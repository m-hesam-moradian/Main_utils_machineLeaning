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507BBE85-7EAC-4B8F-B521-0C37AEA20820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H4" i="1" l="1"/>
  <c r="CI4" i="1"/>
  <c r="CJ4" i="1"/>
  <c r="CK4" i="1"/>
  <c r="CL4" i="1"/>
  <c r="CH5" i="1"/>
  <c r="CI5" i="1"/>
  <c r="CJ5" i="1"/>
  <c r="CK5" i="1"/>
  <c r="CL5" i="1"/>
  <c r="CH6" i="1"/>
  <c r="CI6" i="1"/>
  <c r="CJ6" i="1"/>
  <c r="CK6" i="1"/>
  <c r="CL6" i="1"/>
  <c r="CH7" i="1"/>
  <c r="CI7" i="1"/>
  <c r="CJ7" i="1"/>
  <c r="CK7" i="1"/>
  <c r="CL7" i="1"/>
  <c r="CH8" i="1"/>
  <c r="CI8" i="1"/>
  <c r="CJ8" i="1"/>
  <c r="CK8" i="1"/>
  <c r="CL8" i="1"/>
  <c r="CH9" i="1"/>
  <c r="CI9" i="1"/>
  <c r="CJ9" i="1"/>
  <c r="CK9" i="1"/>
  <c r="CL9" i="1"/>
  <c r="CH10" i="1"/>
  <c r="CI10" i="1"/>
  <c r="CJ10" i="1"/>
  <c r="CK10" i="1"/>
  <c r="CL10" i="1"/>
  <c r="CH11" i="1"/>
  <c r="CI11" i="1"/>
  <c r="CJ11" i="1"/>
  <c r="CK11" i="1"/>
  <c r="CL11" i="1"/>
  <c r="CH12" i="1"/>
  <c r="CI12" i="1"/>
  <c r="CJ12" i="1"/>
  <c r="CK12" i="1"/>
  <c r="CL12" i="1"/>
  <c r="CH13" i="1"/>
  <c r="CI13" i="1"/>
  <c r="CJ13" i="1"/>
  <c r="CK13" i="1"/>
  <c r="CL13" i="1"/>
  <c r="CH14" i="1"/>
  <c r="CI14" i="1"/>
  <c r="CJ14" i="1"/>
  <c r="CK14" i="1"/>
  <c r="CL14" i="1"/>
  <c r="CH15" i="1"/>
  <c r="CI15" i="1"/>
  <c r="CJ15" i="1"/>
  <c r="CK15" i="1"/>
  <c r="CL15" i="1"/>
  <c r="CH16" i="1"/>
  <c r="CI16" i="1"/>
  <c r="CJ16" i="1"/>
  <c r="CK16" i="1"/>
  <c r="CL16" i="1"/>
  <c r="CH17" i="1"/>
  <c r="CI17" i="1"/>
  <c r="CJ17" i="1"/>
  <c r="CK17" i="1"/>
  <c r="CL17" i="1"/>
  <c r="CH18" i="1"/>
  <c r="CI18" i="1"/>
  <c r="CJ18" i="1"/>
  <c r="CK18" i="1"/>
  <c r="CL18" i="1"/>
  <c r="CH19" i="1"/>
  <c r="CI19" i="1"/>
  <c r="CJ19" i="1"/>
  <c r="CK19" i="1"/>
  <c r="CL19" i="1"/>
  <c r="CH20" i="1"/>
  <c r="CI20" i="1"/>
  <c r="CJ20" i="1"/>
  <c r="CK20" i="1"/>
  <c r="CL20" i="1"/>
  <c r="CH21" i="1"/>
  <c r="CI21" i="1"/>
  <c r="CJ21" i="1"/>
  <c r="CK21" i="1"/>
  <c r="CL21" i="1"/>
  <c r="CH22" i="1"/>
  <c r="CI22" i="1"/>
  <c r="CJ22" i="1"/>
  <c r="CK22" i="1"/>
  <c r="CL22" i="1"/>
  <c r="CH23" i="1"/>
  <c r="CI23" i="1"/>
  <c r="CJ23" i="1"/>
  <c r="CK23" i="1"/>
  <c r="CL23" i="1"/>
  <c r="CH24" i="1"/>
  <c r="CI24" i="1"/>
  <c r="CJ24" i="1"/>
  <c r="CK24" i="1"/>
  <c r="CL24" i="1"/>
  <c r="CH25" i="1"/>
  <c r="CI25" i="1"/>
  <c r="CJ25" i="1"/>
  <c r="CK25" i="1"/>
  <c r="CL25" i="1"/>
  <c r="CH26" i="1"/>
  <c r="CI26" i="1"/>
  <c r="CJ26" i="1"/>
  <c r="CK26" i="1"/>
  <c r="CL26" i="1"/>
  <c r="CH27" i="1"/>
  <c r="CI27" i="1"/>
  <c r="CJ27" i="1"/>
  <c r="CK27" i="1"/>
  <c r="CL27" i="1"/>
  <c r="CH28" i="1"/>
  <c r="CI28" i="1"/>
  <c r="CJ28" i="1"/>
  <c r="CK28" i="1"/>
  <c r="CL28" i="1"/>
  <c r="CH29" i="1"/>
  <c r="CI29" i="1"/>
  <c r="CJ29" i="1"/>
  <c r="CK29" i="1"/>
  <c r="CL29" i="1"/>
  <c r="CH30" i="1"/>
  <c r="CI30" i="1"/>
  <c r="CJ30" i="1"/>
  <c r="CK30" i="1"/>
  <c r="CL30" i="1"/>
  <c r="CH31" i="1"/>
  <c r="CI31" i="1"/>
  <c r="CJ31" i="1"/>
  <c r="CK31" i="1"/>
  <c r="CL31" i="1"/>
  <c r="CH32" i="1"/>
  <c r="CI32" i="1"/>
  <c r="CJ32" i="1"/>
  <c r="CK32" i="1"/>
  <c r="CL32" i="1"/>
  <c r="CH33" i="1"/>
  <c r="CI33" i="1"/>
  <c r="CJ33" i="1"/>
  <c r="CK33" i="1"/>
  <c r="CL33" i="1"/>
  <c r="CH34" i="1"/>
  <c r="CI34" i="1"/>
  <c r="CJ34" i="1"/>
  <c r="CK34" i="1"/>
  <c r="CL34" i="1"/>
  <c r="CH35" i="1"/>
  <c r="CI35" i="1"/>
  <c r="CJ35" i="1"/>
  <c r="CK35" i="1"/>
  <c r="CL35" i="1"/>
  <c r="CH36" i="1"/>
  <c r="CI36" i="1"/>
  <c r="CJ36" i="1"/>
  <c r="CK36" i="1"/>
  <c r="CL36" i="1"/>
  <c r="CH37" i="1"/>
  <c r="CI37" i="1"/>
  <c r="CJ37" i="1"/>
  <c r="CK37" i="1"/>
  <c r="CL37" i="1"/>
  <c r="CH38" i="1"/>
  <c r="CI38" i="1"/>
  <c r="CJ38" i="1"/>
  <c r="CK38" i="1"/>
  <c r="CL38" i="1"/>
  <c r="CH39" i="1"/>
  <c r="CI39" i="1"/>
  <c r="CJ39" i="1"/>
  <c r="CK39" i="1"/>
  <c r="CL39" i="1"/>
  <c r="CH40" i="1"/>
  <c r="CI40" i="1"/>
  <c r="CJ40" i="1"/>
  <c r="CK40" i="1"/>
  <c r="CL40" i="1"/>
  <c r="CH41" i="1"/>
  <c r="CI41" i="1"/>
  <c r="CJ41" i="1"/>
  <c r="CK41" i="1"/>
  <c r="CL41" i="1"/>
  <c r="CH42" i="1"/>
  <c r="CI42" i="1"/>
  <c r="CJ42" i="1"/>
  <c r="CK42" i="1"/>
  <c r="CL42" i="1"/>
  <c r="CH43" i="1"/>
  <c r="CI43" i="1"/>
  <c r="CJ43" i="1"/>
  <c r="CK43" i="1"/>
  <c r="CL43" i="1"/>
  <c r="CH44" i="1"/>
  <c r="CI44" i="1"/>
  <c r="CJ44" i="1"/>
  <c r="CK44" i="1"/>
  <c r="CL44" i="1"/>
  <c r="CH45" i="1"/>
  <c r="CI45" i="1"/>
  <c r="CJ45" i="1"/>
  <c r="CK45" i="1"/>
  <c r="CL45" i="1"/>
  <c r="CH46" i="1"/>
  <c r="CI46" i="1"/>
  <c r="CJ46" i="1"/>
  <c r="CK46" i="1"/>
  <c r="CL46" i="1"/>
  <c r="CH47" i="1"/>
  <c r="CI47" i="1"/>
  <c r="CJ47" i="1"/>
  <c r="CK47" i="1"/>
  <c r="CL47" i="1"/>
  <c r="CH48" i="1"/>
  <c r="CI48" i="1"/>
  <c r="CJ48" i="1"/>
  <c r="CK48" i="1"/>
  <c r="CL48" i="1"/>
  <c r="CH49" i="1"/>
  <c r="CI49" i="1"/>
  <c r="CJ49" i="1"/>
  <c r="CK49" i="1"/>
  <c r="CL49" i="1"/>
  <c r="CH50" i="1"/>
  <c r="CI50" i="1"/>
  <c r="CJ50" i="1"/>
  <c r="CK50" i="1"/>
  <c r="CL50" i="1"/>
  <c r="CH51" i="1"/>
  <c r="CI51" i="1"/>
  <c r="CJ51" i="1"/>
  <c r="CK51" i="1"/>
  <c r="CL51" i="1"/>
  <c r="CH52" i="1"/>
  <c r="CI52" i="1"/>
  <c r="CJ52" i="1"/>
  <c r="CK52" i="1"/>
  <c r="CL52" i="1"/>
  <c r="CH53" i="1"/>
  <c r="CI53" i="1"/>
  <c r="CJ53" i="1"/>
  <c r="CK53" i="1"/>
  <c r="CL53" i="1"/>
  <c r="CH54" i="1"/>
  <c r="CI54" i="1"/>
  <c r="CJ54" i="1"/>
  <c r="CK54" i="1"/>
  <c r="CL54" i="1"/>
  <c r="CH55" i="1"/>
  <c r="CI55" i="1"/>
  <c r="CJ55" i="1"/>
  <c r="CK55" i="1"/>
  <c r="CL55" i="1"/>
  <c r="CH56" i="1"/>
  <c r="CI56" i="1"/>
  <c r="CJ56" i="1"/>
  <c r="CK56" i="1"/>
  <c r="CL56" i="1"/>
  <c r="CH57" i="1"/>
  <c r="CI57" i="1"/>
  <c r="CJ57" i="1"/>
  <c r="CK57" i="1"/>
  <c r="CL57" i="1"/>
  <c r="CH58" i="1"/>
  <c r="CI58" i="1"/>
  <c r="CJ58" i="1"/>
  <c r="CK58" i="1"/>
  <c r="CL58" i="1"/>
  <c r="CH59" i="1"/>
  <c r="CI59" i="1"/>
  <c r="CJ59" i="1"/>
  <c r="CK59" i="1"/>
  <c r="CL59" i="1"/>
  <c r="CH60" i="1"/>
  <c r="CI60" i="1"/>
  <c r="CJ60" i="1"/>
  <c r="CK60" i="1"/>
  <c r="CL60" i="1"/>
  <c r="CH61" i="1"/>
  <c r="CI61" i="1"/>
  <c r="CJ61" i="1"/>
  <c r="CK61" i="1"/>
  <c r="CL61" i="1"/>
  <c r="CH62" i="1"/>
  <c r="CI62" i="1"/>
  <c r="CJ62" i="1"/>
  <c r="CK62" i="1"/>
  <c r="CL62" i="1"/>
  <c r="CH63" i="1"/>
  <c r="CI63" i="1"/>
  <c r="CJ63" i="1"/>
  <c r="CK63" i="1"/>
  <c r="CL63" i="1"/>
  <c r="CH64" i="1"/>
  <c r="CI64" i="1"/>
  <c r="CJ64" i="1"/>
  <c r="CK64" i="1"/>
  <c r="CL64" i="1"/>
  <c r="CH65" i="1"/>
  <c r="CI65" i="1"/>
  <c r="CJ65" i="1"/>
  <c r="CK65" i="1"/>
  <c r="CL65" i="1"/>
  <c r="CH66" i="1"/>
  <c r="CI66" i="1"/>
  <c r="CJ66" i="1"/>
  <c r="CK66" i="1"/>
  <c r="CL66" i="1"/>
  <c r="CH67" i="1"/>
  <c r="CI67" i="1"/>
  <c r="CJ67" i="1"/>
  <c r="CK67" i="1"/>
  <c r="CL67" i="1"/>
  <c r="CH68" i="1"/>
  <c r="CI68" i="1"/>
  <c r="CJ68" i="1"/>
  <c r="CK68" i="1"/>
  <c r="CL68" i="1"/>
  <c r="CH69" i="1"/>
  <c r="CI69" i="1"/>
  <c r="CJ69" i="1"/>
  <c r="CK69" i="1"/>
  <c r="CL69" i="1"/>
  <c r="CH70" i="1"/>
  <c r="CI70" i="1"/>
  <c r="CJ70" i="1"/>
  <c r="CK70" i="1"/>
  <c r="CL70" i="1"/>
  <c r="CH71" i="1"/>
  <c r="CI71" i="1"/>
  <c r="CJ71" i="1"/>
  <c r="CK71" i="1"/>
  <c r="CL71" i="1"/>
  <c r="CH72" i="1"/>
  <c r="CI72" i="1"/>
  <c r="CJ72" i="1"/>
  <c r="CK72" i="1"/>
  <c r="CL72" i="1"/>
  <c r="CH73" i="1"/>
  <c r="CI73" i="1"/>
  <c r="CJ73" i="1"/>
  <c r="CK73" i="1"/>
  <c r="CL73" i="1"/>
  <c r="CH74" i="1"/>
  <c r="CI74" i="1"/>
  <c r="CJ74" i="1"/>
  <c r="CK74" i="1"/>
  <c r="CL74" i="1"/>
  <c r="CH75" i="1"/>
  <c r="CI75" i="1"/>
  <c r="CJ75" i="1"/>
  <c r="CK75" i="1"/>
  <c r="CL75" i="1"/>
  <c r="CH76" i="1"/>
  <c r="CI76" i="1"/>
  <c r="CJ76" i="1"/>
  <c r="CK76" i="1"/>
  <c r="CL76" i="1"/>
  <c r="CH77" i="1"/>
  <c r="CI77" i="1"/>
  <c r="CJ77" i="1"/>
  <c r="CK77" i="1"/>
  <c r="CL77" i="1"/>
  <c r="CH78" i="1"/>
  <c r="CI78" i="1"/>
  <c r="CJ78" i="1"/>
  <c r="CK78" i="1"/>
  <c r="CL78" i="1"/>
  <c r="CH79" i="1"/>
  <c r="CI79" i="1"/>
  <c r="CJ79" i="1"/>
  <c r="CK79" i="1"/>
  <c r="CL79" i="1"/>
  <c r="CH80" i="1"/>
  <c r="CI80" i="1"/>
  <c r="CJ80" i="1"/>
  <c r="CK80" i="1"/>
  <c r="CL80" i="1"/>
  <c r="CH81" i="1"/>
  <c r="CI81" i="1"/>
  <c r="CJ81" i="1"/>
  <c r="CK81" i="1"/>
  <c r="CL81" i="1"/>
  <c r="CH82" i="1"/>
  <c r="CI82" i="1"/>
  <c r="CJ82" i="1"/>
  <c r="CK82" i="1"/>
  <c r="CL82" i="1"/>
  <c r="CH83" i="1"/>
  <c r="CI83" i="1"/>
  <c r="CJ83" i="1"/>
  <c r="CK83" i="1"/>
  <c r="CL83" i="1"/>
  <c r="CH84" i="1"/>
  <c r="CI84" i="1"/>
  <c r="CJ84" i="1"/>
  <c r="CK84" i="1"/>
  <c r="CL84" i="1"/>
  <c r="CH85" i="1"/>
  <c r="CI85" i="1"/>
  <c r="CJ85" i="1"/>
  <c r="CK85" i="1"/>
  <c r="CL85" i="1"/>
  <c r="CH86" i="1"/>
  <c r="CI86" i="1"/>
  <c r="CJ86" i="1"/>
  <c r="CK86" i="1"/>
  <c r="CL86" i="1"/>
  <c r="CH87" i="1"/>
  <c r="CI87" i="1"/>
  <c r="CJ87" i="1"/>
  <c r="CK87" i="1"/>
  <c r="CL87" i="1"/>
  <c r="CH88" i="1"/>
  <c r="CI88" i="1"/>
  <c r="CJ88" i="1"/>
  <c r="CK88" i="1"/>
  <c r="CL88" i="1"/>
  <c r="CH89" i="1"/>
  <c r="CI89" i="1"/>
  <c r="CJ89" i="1"/>
  <c r="CK89" i="1"/>
  <c r="CL89" i="1"/>
  <c r="CH90" i="1"/>
  <c r="CI90" i="1"/>
  <c r="CJ90" i="1"/>
  <c r="CK90" i="1"/>
  <c r="CL90" i="1"/>
  <c r="CH91" i="1"/>
  <c r="CI91" i="1"/>
  <c r="CJ91" i="1"/>
  <c r="CK91" i="1"/>
  <c r="CL91" i="1"/>
  <c r="CH92" i="1"/>
  <c r="CI92" i="1"/>
  <c r="CJ92" i="1"/>
  <c r="CK92" i="1"/>
  <c r="CL92" i="1"/>
  <c r="CH93" i="1"/>
  <c r="CI93" i="1"/>
  <c r="CJ93" i="1"/>
  <c r="CK93" i="1"/>
  <c r="CL93" i="1"/>
  <c r="CH94" i="1"/>
  <c r="CI94" i="1"/>
  <c r="CJ94" i="1"/>
  <c r="CK94" i="1"/>
  <c r="CL94" i="1"/>
  <c r="CH95" i="1"/>
  <c r="CI95" i="1"/>
  <c r="CJ95" i="1"/>
  <c r="CK95" i="1"/>
  <c r="CL95" i="1"/>
  <c r="CH96" i="1"/>
  <c r="CI96" i="1"/>
  <c r="CJ96" i="1"/>
  <c r="CK96" i="1"/>
  <c r="CL96" i="1"/>
  <c r="CH97" i="1"/>
  <c r="CI97" i="1"/>
  <c r="CJ97" i="1"/>
  <c r="CK97" i="1"/>
  <c r="CL97" i="1"/>
  <c r="CH98" i="1"/>
  <c r="CI98" i="1"/>
  <c r="CJ98" i="1"/>
  <c r="CK98" i="1"/>
  <c r="CL98" i="1"/>
  <c r="CH99" i="1"/>
  <c r="CI99" i="1"/>
  <c r="CJ99" i="1"/>
  <c r="CK99" i="1"/>
  <c r="CL99" i="1"/>
  <c r="CH100" i="1"/>
  <c r="CI100" i="1"/>
  <c r="CJ100" i="1"/>
  <c r="CK100" i="1"/>
  <c r="CL100" i="1"/>
  <c r="CH101" i="1"/>
  <c r="CI101" i="1"/>
  <c r="CJ101" i="1"/>
  <c r="CK101" i="1"/>
  <c r="CL101" i="1"/>
  <c r="CH102" i="1"/>
  <c r="CI102" i="1"/>
  <c r="CJ102" i="1"/>
  <c r="CK102" i="1"/>
  <c r="CL102" i="1"/>
  <c r="CH103" i="1"/>
  <c r="CI103" i="1"/>
  <c r="CJ103" i="1"/>
  <c r="CK103" i="1"/>
  <c r="CL103" i="1"/>
  <c r="CH104" i="1"/>
  <c r="CI104" i="1"/>
  <c r="CJ104" i="1"/>
  <c r="CK104" i="1"/>
  <c r="CL104" i="1"/>
  <c r="CH105" i="1"/>
  <c r="CI105" i="1"/>
  <c r="CJ105" i="1"/>
  <c r="CK105" i="1"/>
  <c r="CL105" i="1"/>
  <c r="CH106" i="1"/>
  <c r="CI106" i="1"/>
  <c r="CJ106" i="1"/>
  <c r="CK106" i="1"/>
  <c r="CL106" i="1"/>
  <c r="CH107" i="1"/>
  <c r="CI107" i="1"/>
  <c r="CJ107" i="1"/>
  <c r="CK107" i="1"/>
  <c r="CL107" i="1"/>
  <c r="CH108" i="1"/>
  <c r="CI108" i="1"/>
  <c r="CJ108" i="1"/>
  <c r="CK108" i="1"/>
  <c r="CL108" i="1"/>
  <c r="CH109" i="1"/>
  <c r="CI109" i="1"/>
  <c r="CJ109" i="1"/>
  <c r="CK109" i="1"/>
  <c r="CL109" i="1"/>
  <c r="CH110" i="1"/>
  <c r="CI110" i="1"/>
  <c r="CJ110" i="1"/>
  <c r="CK110" i="1"/>
  <c r="CL110" i="1"/>
  <c r="CH111" i="1"/>
  <c r="CI111" i="1"/>
  <c r="CJ111" i="1"/>
  <c r="CK111" i="1"/>
  <c r="CL111" i="1"/>
  <c r="CH112" i="1"/>
  <c r="CI112" i="1"/>
  <c r="CJ112" i="1"/>
  <c r="CK112" i="1"/>
  <c r="CL112" i="1"/>
  <c r="CH113" i="1"/>
  <c r="CI113" i="1"/>
  <c r="CJ113" i="1"/>
  <c r="CK113" i="1"/>
  <c r="CL113" i="1"/>
  <c r="CH114" i="1"/>
  <c r="CI114" i="1"/>
  <c r="CJ114" i="1"/>
  <c r="CK114" i="1"/>
  <c r="CL114" i="1"/>
  <c r="CH115" i="1"/>
  <c r="CI115" i="1"/>
  <c r="CJ115" i="1"/>
  <c r="CK115" i="1"/>
  <c r="CL115" i="1"/>
  <c r="CH116" i="1"/>
  <c r="CI116" i="1"/>
  <c r="CJ116" i="1"/>
  <c r="CK116" i="1"/>
  <c r="CL116" i="1"/>
  <c r="CH117" i="1"/>
  <c r="CI117" i="1"/>
  <c r="CJ117" i="1"/>
  <c r="CK117" i="1"/>
  <c r="CL117" i="1"/>
  <c r="CH118" i="1"/>
  <c r="CI118" i="1"/>
  <c r="CJ118" i="1"/>
  <c r="CK118" i="1"/>
  <c r="CL118" i="1"/>
  <c r="CH119" i="1"/>
  <c r="CI119" i="1"/>
  <c r="CJ119" i="1"/>
  <c r="CK119" i="1"/>
  <c r="CL119" i="1"/>
  <c r="CH120" i="1"/>
  <c r="CI120" i="1"/>
  <c r="CJ120" i="1"/>
  <c r="CK120" i="1"/>
  <c r="CL120" i="1"/>
  <c r="CH121" i="1"/>
  <c r="CI121" i="1"/>
  <c r="CJ121" i="1"/>
  <c r="CK121" i="1"/>
  <c r="CL121" i="1"/>
  <c r="CH122" i="1"/>
  <c r="CI122" i="1"/>
  <c r="CJ122" i="1"/>
  <c r="CK122" i="1"/>
  <c r="CL122" i="1"/>
  <c r="CH123" i="1"/>
  <c r="CI123" i="1"/>
  <c r="CJ123" i="1"/>
  <c r="CK123" i="1"/>
  <c r="CL123" i="1"/>
  <c r="CH124" i="1"/>
  <c r="CI124" i="1"/>
  <c r="CJ124" i="1"/>
  <c r="CK124" i="1"/>
  <c r="CL124" i="1"/>
  <c r="CH125" i="1"/>
  <c r="CI125" i="1"/>
  <c r="CJ125" i="1"/>
  <c r="CK125" i="1"/>
  <c r="CL125" i="1"/>
  <c r="CH126" i="1"/>
  <c r="CI126" i="1"/>
  <c r="CJ126" i="1"/>
  <c r="CK126" i="1"/>
  <c r="CL126" i="1"/>
  <c r="CH127" i="1"/>
  <c r="CI127" i="1"/>
  <c r="CJ127" i="1"/>
  <c r="CK127" i="1"/>
  <c r="CL127" i="1"/>
  <c r="CH128" i="1"/>
  <c r="CI128" i="1"/>
  <c r="CJ128" i="1"/>
  <c r="CK128" i="1"/>
  <c r="CL128" i="1"/>
  <c r="CH129" i="1"/>
  <c r="CI129" i="1"/>
  <c r="CJ129" i="1"/>
  <c r="CK129" i="1"/>
  <c r="CL129" i="1"/>
  <c r="CH130" i="1"/>
  <c r="CI130" i="1"/>
  <c r="CJ130" i="1"/>
  <c r="CK130" i="1"/>
  <c r="CL130" i="1"/>
  <c r="CH131" i="1"/>
  <c r="CI131" i="1"/>
  <c r="CJ131" i="1"/>
  <c r="CK131" i="1"/>
  <c r="CL131" i="1"/>
  <c r="CH132" i="1"/>
  <c r="CI132" i="1"/>
  <c r="CJ132" i="1"/>
  <c r="CK132" i="1"/>
  <c r="CL132" i="1"/>
  <c r="CH133" i="1"/>
  <c r="CI133" i="1"/>
  <c r="CJ133" i="1"/>
  <c r="CK133" i="1"/>
  <c r="CL133" i="1"/>
  <c r="CH134" i="1"/>
  <c r="CI134" i="1"/>
  <c r="CJ134" i="1"/>
  <c r="CK134" i="1"/>
  <c r="CL134" i="1"/>
  <c r="CH135" i="1"/>
  <c r="CI135" i="1"/>
  <c r="CJ135" i="1"/>
  <c r="CK135" i="1"/>
  <c r="CL135" i="1"/>
  <c r="CH136" i="1"/>
  <c r="CI136" i="1"/>
  <c r="CJ136" i="1"/>
  <c r="CK136" i="1"/>
  <c r="CL136" i="1"/>
  <c r="CH137" i="1"/>
  <c r="CI137" i="1"/>
  <c r="CJ137" i="1"/>
  <c r="CK137" i="1"/>
  <c r="CL137" i="1"/>
  <c r="CH138" i="1"/>
  <c r="CI138" i="1"/>
  <c r="CJ138" i="1"/>
  <c r="CK138" i="1"/>
  <c r="CL138" i="1"/>
  <c r="CH139" i="1"/>
  <c r="CI139" i="1"/>
  <c r="CJ139" i="1"/>
  <c r="CK139" i="1"/>
  <c r="CL139" i="1"/>
  <c r="CH140" i="1"/>
  <c r="CI140" i="1"/>
  <c r="CJ140" i="1"/>
  <c r="CK140" i="1"/>
  <c r="CL140" i="1"/>
  <c r="CH141" i="1"/>
  <c r="CI141" i="1"/>
  <c r="CJ141" i="1"/>
  <c r="CK141" i="1"/>
  <c r="CL141" i="1"/>
  <c r="CH142" i="1"/>
  <c r="CI142" i="1"/>
  <c r="CJ142" i="1"/>
  <c r="CK142" i="1"/>
  <c r="CL142" i="1"/>
  <c r="CH143" i="1"/>
  <c r="CI143" i="1"/>
  <c r="CJ143" i="1"/>
  <c r="CK143" i="1"/>
  <c r="CL143" i="1"/>
  <c r="CH144" i="1"/>
  <c r="CI144" i="1"/>
  <c r="CJ144" i="1"/>
  <c r="CK144" i="1"/>
  <c r="CL144" i="1"/>
  <c r="CH145" i="1"/>
  <c r="CI145" i="1"/>
  <c r="CJ145" i="1"/>
  <c r="CK145" i="1"/>
  <c r="CL145" i="1"/>
  <c r="CH146" i="1"/>
  <c r="CI146" i="1"/>
  <c r="CJ146" i="1"/>
  <c r="CK146" i="1"/>
  <c r="CL146" i="1"/>
  <c r="CH147" i="1"/>
  <c r="CI147" i="1"/>
  <c r="CJ147" i="1"/>
  <c r="CK147" i="1"/>
  <c r="CL147" i="1"/>
  <c r="CH148" i="1"/>
  <c r="CI148" i="1"/>
  <c r="CJ148" i="1"/>
  <c r="CK148" i="1"/>
  <c r="CL148" i="1"/>
  <c r="CH149" i="1"/>
  <c r="CI149" i="1"/>
  <c r="CJ149" i="1"/>
  <c r="CK149" i="1"/>
  <c r="CL149" i="1"/>
  <c r="CH150" i="1"/>
  <c r="CI150" i="1"/>
  <c r="CJ150" i="1"/>
  <c r="CK150" i="1"/>
  <c r="CL150" i="1"/>
  <c r="CH151" i="1"/>
  <c r="CI151" i="1"/>
  <c r="CJ151" i="1"/>
  <c r="CK151" i="1"/>
  <c r="CL151" i="1"/>
  <c r="CH152" i="1"/>
  <c r="CI152" i="1"/>
  <c r="CJ152" i="1"/>
  <c r="CK152" i="1"/>
  <c r="CL152" i="1"/>
  <c r="CH153" i="1"/>
  <c r="CI153" i="1"/>
  <c r="CJ153" i="1"/>
  <c r="CK153" i="1"/>
  <c r="CL153" i="1"/>
  <c r="CH154" i="1"/>
  <c r="CI154" i="1"/>
  <c r="CJ154" i="1"/>
  <c r="CK154" i="1"/>
  <c r="CL154" i="1"/>
  <c r="CH155" i="1"/>
  <c r="CI155" i="1"/>
  <c r="CJ155" i="1"/>
  <c r="CK155" i="1"/>
  <c r="CL155" i="1"/>
  <c r="CH156" i="1"/>
  <c r="CI156" i="1"/>
  <c r="CJ156" i="1"/>
  <c r="CK156" i="1"/>
  <c r="CL156" i="1"/>
  <c r="CH157" i="1"/>
  <c r="CI157" i="1"/>
  <c r="CJ157" i="1"/>
  <c r="CK157" i="1"/>
  <c r="CL157" i="1"/>
  <c r="CH158" i="1"/>
  <c r="CI158" i="1"/>
  <c r="CJ158" i="1"/>
  <c r="CK158" i="1"/>
  <c r="CL158" i="1"/>
  <c r="CH159" i="1"/>
  <c r="CI159" i="1"/>
  <c r="CJ159" i="1"/>
  <c r="CK159" i="1"/>
  <c r="CL159" i="1"/>
  <c r="CH160" i="1"/>
  <c r="CI160" i="1"/>
  <c r="CJ160" i="1"/>
  <c r="CK160" i="1"/>
  <c r="CL160" i="1"/>
  <c r="CH161" i="1"/>
  <c r="CI161" i="1"/>
  <c r="CJ161" i="1"/>
  <c r="CK161" i="1"/>
  <c r="CL161" i="1"/>
  <c r="CH162" i="1"/>
  <c r="CI162" i="1"/>
  <c r="CJ162" i="1"/>
  <c r="CK162" i="1"/>
  <c r="CL162" i="1"/>
  <c r="CH163" i="1"/>
  <c r="CI163" i="1"/>
  <c r="CJ163" i="1"/>
  <c r="CK163" i="1"/>
  <c r="CL163" i="1"/>
  <c r="CH164" i="1"/>
  <c r="CI164" i="1"/>
  <c r="CJ164" i="1"/>
  <c r="CK164" i="1"/>
  <c r="CL164" i="1"/>
  <c r="CH165" i="1"/>
  <c r="CI165" i="1"/>
  <c r="CJ165" i="1"/>
  <c r="CK165" i="1"/>
  <c r="CL165" i="1"/>
  <c r="CH166" i="1"/>
  <c r="CI166" i="1"/>
  <c r="CJ166" i="1"/>
  <c r="CK166" i="1"/>
  <c r="CL166" i="1"/>
  <c r="CH167" i="1"/>
  <c r="CI167" i="1"/>
  <c r="CJ167" i="1"/>
  <c r="CK167" i="1"/>
  <c r="CL167" i="1"/>
  <c r="CH168" i="1"/>
  <c r="CI168" i="1"/>
  <c r="CJ168" i="1"/>
  <c r="CK168" i="1"/>
  <c r="CL168" i="1"/>
  <c r="CH169" i="1"/>
  <c r="CI169" i="1"/>
  <c r="CJ169" i="1"/>
  <c r="CK169" i="1"/>
  <c r="CL169" i="1"/>
  <c r="CH170" i="1"/>
  <c r="CI170" i="1"/>
  <c r="CJ170" i="1"/>
  <c r="CK170" i="1"/>
  <c r="CL170" i="1"/>
  <c r="CH171" i="1"/>
  <c r="CI171" i="1"/>
  <c r="CJ171" i="1"/>
  <c r="CK171" i="1"/>
  <c r="CL171" i="1"/>
  <c r="CH172" i="1"/>
  <c r="CI172" i="1"/>
  <c r="CJ172" i="1"/>
  <c r="CK172" i="1"/>
  <c r="CL172" i="1"/>
  <c r="CH173" i="1"/>
  <c r="CI173" i="1"/>
  <c r="CJ173" i="1"/>
  <c r="CK173" i="1"/>
  <c r="CL173" i="1"/>
  <c r="CH174" i="1"/>
  <c r="CI174" i="1"/>
  <c r="CJ174" i="1"/>
  <c r="CK174" i="1"/>
  <c r="CL174" i="1"/>
  <c r="CH175" i="1"/>
  <c r="CI175" i="1"/>
  <c r="CJ175" i="1"/>
  <c r="CK175" i="1"/>
  <c r="CL175" i="1"/>
  <c r="CH176" i="1"/>
  <c r="CI176" i="1"/>
  <c r="CJ176" i="1"/>
  <c r="CK176" i="1"/>
  <c r="CL176" i="1"/>
  <c r="CH177" i="1"/>
  <c r="CI177" i="1"/>
  <c r="CJ177" i="1"/>
  <c r="CK177" i="1"/>
  <c r="CL177" i="1"/>
  <c r="CH178" i="1"/>
  <c r="CI178" i="1"/>
  <c r="CJ178" i="1"/>
  <c r="CK178" i="1"/>
  <c r="CL178" i="1"/>
  <c r="CH179" i="1"/>
  <c r="CI179" i="1"/>
  <c r="CJ179" i="1"/>
  <c r="CK179" i="1"/>
  <c r="CL179" i="1"/>
  <c r="CH180" i="1"/>
  <c r="CI180" i="1"/>
  <c r="CJ180" i="1"/>
  <c r="CK180" i="1"/>
  <c r="CL180" i="1"/>
  <c r="CH181" i="1"/>
  <c r="CI181" i="1"/>
  <c r="CJ181" i="1"/>
  <c r="CK181" i="1"/>
  <c r="CL181" i="1"/>
  <c r="CH182" i="1"/>
  <c r="CI182" i="1"/>
  <c r="CJ182" i="1"/>
  <c r="CK182" i="1"/>
  <c r="CL182" i="1"/>
  <c r="CH183" i="1"/>
  <c r="CI183" i="1"/>
  <c r="CJ183" i="1"/>
  <c r="CK183" i="1"/>
  <c r="CL183" i="1"/>
  <c r="CH184" i="1"/>
  <c r="CI184" i="1"/>
  <c r="CJ184" i="1"/>
  <c r="CK184" i="1"/>
  <c r="CL184" i="1"/>
  <c r="CH185" i="1"/>
  <c r="CI185" i="1"/>
  <c r="CJ185" i="1"/>
  <c r="CK185" i="1"/>
  <c r="CL185" i="1"/>
  <c r="CH186" i="1"/>
  <c r="CI186" i="1"/>
  <c r="CJ186" i="1"/>
  <c r="CK186" i="1"/>
  <c r="CL186" i="1"/>
  <c r="CH187" i="1"/>
  <c r="CI187" i="1"/>
  <c r="CJ187" i="1"/>
  <c r="CK187" i="1"/>
  <c r="CL187" i="1"/>
  <c r="CH188" i="1"/>
  <c r="CI188" i="1"/>
  <c r="CJ188" i="1"/>
  <c r="CK188" i="1"/>
  <c r="CL188" i="1"/>
  <c r="CH189" i="1"/>
  <c r="CI189" i="1"/>
  <c r="CJ189" i="1"/>
  <c r="CK189" i="1"/>
  <c r="CL189" i="1"/>
  <c r="CH190" i="1"/>
  <c r="CI190" i="1"/>
  <c r="CJ190" i="1"/>
  <c r="CK190" i="1"/>
  <c r="CL190" i="1"/>
  <c r="CH191" i="1"/>
  <c r="CI191" i="1"/>
  <c r="CJ191" i="1"/>
  <c r="CK191" i="1"/>
  <c r="CL191" i="1"/>
  <c r="CH192" i="1"/>
  <c r="CI192" i="1"/>
  <c r="CJ192" i="1"/>
  <c r="CK192" i="1"/>
  <c r="CL192" i="1"/>
  <c r="CH193" i="1"/>
  <c r="CI193" i="1"/>
  <c r="CJ193" i="1"/>
  <c r="CK193" i="1"/>
  <c r="CL193" i="1"/>
  <c r="CH194" i="1"/>
  <c r="CI194" i="1"/>
  <c r="CJ194" i="1"/>
  <c r="CK194" i="1"/>
  <c r="CL194" i="1"/>
  <c r="CH195" i="1"/>
  <c r="CI195" i="1"/>
  <c r="CJ195" i="1"/>
  <c r="CK195" i="1"/>
  <c r="CL195" i="1"/>
  <c r="CH196" i="1"/>
  <c r="CI196" i="1"/>
  <c r="CJ196" i="1"/>
  <c r="CK196" i="1"/>
  <c r="CL196" i="1"/>
  <c r="CH197" i="1"/>
  <c r="CI197" i="1"/>
  <c r="CJ197" i="1"/>
  <c r="CK197" i="1"/>
  <c r="CL197" i="1"/>
  <c r="CH198" i="1"/>
  <c r="CI198" i="1"/>
  <c r="CJ198" i="1"/>
  <c r="CK198" i="1"/>
  <c r="CL198" i="1"/>
  <c r="CH199" i="1"/>
  <c r="CI199" i="1"/>
  <c r="CJ199" i="1"/>
  <c r="CK199" i="1"/>
  <c r="CL199" i="1"/>
  <c r="CH200" i="1"/>
  <c r="CI200" i="1"/>
  <c r="CJ200" i="1"/>
  <c r="CK200" i="1"/>
  <c r="CL200" i="1"/>
  <c r="CH201" i="1"/>
  <c r="CI201" i="1"/>
  <c r="CJ201" i="1"/>
  <c r="CK201" i="1"/>
  <c r="CL201" i="1"/>
  <c r="CH202" i="1"/>
  <c r="CI202" i="1"/>
  <c r="CJ202" i="1"/>
  <c r="CK202" i="1"/>
  <c r="CL202" i="1"/>
  <c r="CH3" i="1"/>
  <c r="CI3" i="1"/>
  <c r="CJ3" i="1"/>
  <c r="CK3" i="1"/>
  <c r="CL3" i="1"/>
  <c r="CB4" i="1"/>
  <c r="CC4" i="1"/>
  <c r="CD4" i="1"/>
  <c r="CE4" i="1"/>
  <c r="CF4" i="1"/>
  <c r="CB5" i="1"/>
  <c r="CC5" i="1"/>
  <c r="CD5" i="1"/>
  <c r="CE5" i="1"/>
  <c r="CF5" i="1"/>
  <c r="CB6" i="1"/>
  <c r="CC6" i="1"/>
  <c r="CD6" i="1"/>
  <c r="CE6" i="1"/>
  <c r="CF6" i="1"/>
  <c r="CB7" i="1"/>
  <c r="CC7" i="1"/>
  <c r="CD7" i="1"/>
  <c r="CE7" i="1"/>
  <c r="CF7" i="1"/>
  <c r="CB8" i="1"/>
  <c r="CC8" i="1"/>
  <c r="CD8" i="1"/>
  <c r="CE8" i="1"/>
  <c r="CF8" i="1"/>
  <c r="CB9" i="1"/>
  <c r="CC9" i="1"/>
  <c r="CD9" i="1"/>
  <c r="CE9" i="1"/>
  <c r="CF9" i="1"/>
  <c r="CB10" i="1"/>
  <c r="CC10" i="1"/>
  <c r="CD10" i="1"/>
  <c r="CE10" i="1"/>
  <c r="CF10" i="1"/>
  <c r="CB11" i="1"/>
  <c r="CC11" i="1"/>
  <c r="CD11" i="1"/>
  <c r="CE11" i="1"/>
  <c r="CF11" i="1"/>
  <c r="CB12" i="1"/>
  <c r="CC12" i="1"/>
  <c r="CD12" i="1"/>
  <c r="CE12" i="1"/>
  <c r="CF12" i="1"/>
  <c r="CB13" i="1"/>
  <c r="CC13" i="1"/>
  <c r="CD13" i="1"/>
  <c r="CE13" i="1"/>
  <c r="CF13" i="1"/>
  <c r="CB14" i="1"/>
  <c r="CC14" i="1"/>
  <c r="CD14" i="1"/>
  <c r="CE14" i="1"/>
  <c r="CF14" i="1"/>
  <c r="CB15" i="1"/>
  <c r="CC15" i="1"/>
  <c r="CD15" i="1"/>
  <c r="CE15" i="1"/>
  <c r="CF15" i="1"/>
  <c r="CB16" i="1"/>
  <c r="CC16" i="1"/>
  <c r="CD16" i="1"/>
  <c r="CE16" i="1"/>
  <c r="CF16" i="1"/>
  <c r="CB17" i="1"/>
  <c r="CC17" i="1"/>
  <c r="CD17" i="1"/>
  <c r="CE17" i="1"/>
  <c r="CF17" i="1"/>
  <c r="CB18" i="1"/>
  <c r="CC18" i="1"/>
  <c r="CD18" i="1"/>
  <c r="CE18" i="1"/>
  <c r="CF18" i="1"/>
  <c r="CB19" i="1"/>
  <c r="CC19" i="1"/>
  <c r="CD19" i="1"/>
  <c r="CE19" i="1"/>
  <c r="CF19" i="1"/>
  <c r="CB20" i="1"/>
  <c r="CC20" i="1"/>
  <c r="CD20" i="1"/>
  <c r="CE20" i="1"/>
  <c r="CF20" i="1"/>
  <c r="CB21" i="1"/>
  <c r="CC21" i="1"/>
  <c r="CD21" i="1"/>
  <c r="CE21" i="1"/>
  <c r="CF21" i="1"/>
  <c r="CB22" i="1"/>
  <c r="CC22" i="1"/>
  <c r="CD22" i="1"/>
  <c r="CE22" i="1"/>
  <c r="CF22" i="1"/>
  <c r="CB23" i="1"/>
  <c r="CC23" i="1"/>
  <c r="CD23" i="1"/>
  <c r="CE23" i="1"/>
  <c r="CF23" i="1"/>
  <c r="CB24" i="1"/>
  <c r="CC24" i="1"/>
  <c r="CD24" i="1"/>
  <c r="CE24" i="1"/>
  <c r="CF24" i="1"/>
  <c r="CB25" i="1"/>
  <c r="CC25" i="1"/>
  <c r="CD25" i="1"/>
  <c r="CE25" i="1"/>
  <c r="CF25" i="1"/>
  <c r="CB26" i="1"/>
  <c r="CC26" i="1"/>
  <c r="CD26" i="1"/>
  <c r="CE26" i="1"/>
  <c r="CF26" i="1"/>
  <c r="CB27" i="1"/>
  <c r="CC27" i="1"/>
  <c r="CD27" i="1"/>
  <c r="CE27" i="1"/>
  <c r="CF27" i="1"/>
  <c r="CB28" i="1"/>
  <c r="CC28" i="1"/>
  <c r="CD28" i="1"/>
  <c r="CE28" i="1"/>
  <c r="CF28" i="1"/>
  <c r="CB29" i="1"/>
  <c r="CC29" i="1"/>
  <c r="CD29" i="1"/>
  <c r="CE29" i="1"/>
  <c r="CF29" i="1"/>
  <c r="CB30" i="1"/>
  <c r="CC30" i="1"/>
  <c r="CD30" i="1"/>
  <c r="CE30" i="1"/>
  <c r="CF30" i="1"/>
  <c r="CB31" i="1"/>
  <c r="CC31" i="1"/>
  <c r="CD31" i="1"/>
  <c r="CE31" i="1"/>
  <c r="CF31" i="1"/>
  <c r="CB32" i="1"/>
  <c r="CC32" i="1"/>
  <c r="CD32" i="1"/>
  <c r="CE32" i="1"/>
  <c r="CF32" i="1"/>
  <c r="CB33" i="1"/>
  <c r="CC33" i="1"/>
  <c r="CD33" i="1"/>
  <c r="CE33" i="1"/>
  <c r="CF33" i="1"/>
  <c r="CB34" i="1"/>
  <c r="CC34" i="1"/>
  <c r="CD34" i="1"/>
  <c r="CE34" i="1"/>
  <c r="CF34" i="1"/>
  <c r="CB35" i="1"/>
  <c r="CC35" i="1"/>
  <c r="CD35" i="1"/>
  <c r="CE35" i="1"/>
  <c r="CF35" i="1"/>
  <c r="CB36" i="1"/>
  <c r="CC36" i="1"/>
  <c r="CD36" i="1"/>
  <c r="CE36" i="1"/>
  <c r="CF36" i="1"/>
  <c r="CB37" i="1"/>
  <c r="CC37" i="1"/>
  <c r="CD37" i="1"/>
  <c r="CE37" i="1"/>
  <c r="CF37" i="1"/>
  <c r="CB38" i="1"/>
  <c r="CC38" i="1"/>
  <c r="CD38" i="1"/>
  <c r="CE38" i="1"/>
  <c r="CF38" i="1"/>
  <c r="CB39" i="1"/>
  <c r="CC39" i="1"/>
  <c r="CD39" i="1"/>
  <c r="CE39" i="1"/>
  <c r="CF39" i="1"/>
  <c r="CB40" i="1"/>
  <c r="CC40" i="1"/>
  <c r="CD40" i="1"/>
  <c r="CE40" i="1"/>
  <c r="CF40" i="1"/>
  <c r="CB41" i="1"/>
  <c r="CC41" i="1"/>
  <c r="CD41" i="1"/>
  <c r="CE41" i="1"/>
  <c r="CF41" i="1"/>
  <c r="CB42" i="1"/>
  <c r="CC42" i="1"/>
  <c r="CD42" i="1"/>
  <c r="CE42" i="1"/>
  <c r="CF42" i="1"/>
  <c r="CB43" i="1"/>
  <c r="CC43" i="1"/>
  <c r="CD43" i="1"/>
  <c r="CE43" i="1"/>
  <c r="CF43" i="1"/>
  <c r="CB44" i="1"/>
  <c r="CC44" i="1"/>
  <c r="CD44" i="1"/>
  <c r="CE44" i="1"/>
  <c r="CF44" i="1"/>
  <c r="CB45" i="1"/>
  <c r="CC45" i="1"/>
  <c r="CD45" i="1"/>
  <c r="CE45" i="1"/>
  <c r="CF45" i="1"/>
  <c r="CB46" i="1"/>
  <c r="CC46" i="1"/>
  <c r="CD46" i="1"/>
  <c r="CE46" i="1"/>
  <c r="CF46" i="1"/>
  <c r="CB47" i="1"/>
  <c r="CC47" i="1"/>
  <c r="CD47" i="1"/>
  <c r="CE47" i="1"/>
  <c r="CF47" i="1"/>
  <c r="CB48" i="1"/>
  <c r="CC48" i="1"/>
  <c r="CD48" i="1"/>
  <c r="CE48" i="1"/>
  <c r="CF48" i="1"/>
  <c r="CB49" i="1"/>
  <c r="CC49" i="1"/>
  <c r="CD49" i="1"/>
  <c r="CE49" i="1"/>
  <c r="CF49" i="1"/>
  <c r="CB50" i="1"/>
  <c r="CC50" i="1"/>
  <c r="CD50" i="1"/>
  <c r="CE50" i="1"/>
  <c r="CF50" i="1"/>
  <c r="CB51" i="1"/>
  <c r="CC51" i="1"/>
  <c r="CD51" i="1"/>
  <c r="CE51" i="1"/>
  <c r="CF51" i="1"/>
  <c r="CB52" i="1"/>
  <c r="CC52" i="1"/>
  <c r="CD52" i="1"/>
  <c r="CE52" i="1"/>
  <c r="CF52" i="1"/>
  <c r="CB53" i="1"/>
  <c r="CC53" i="1"/>
  <c r="CD53" i="1"/>
  <c r="CE53" i="1"/>
  <c r="CF53" i="1"/>
  <c r="CB54" i="1"/>
  <c r="CC54" i="1"/>
  <c r="CD54" i="1"/>
  <c r="CE54" i="1"/>
  <c r="CF54" i="1"/>
  <c r="CB55" i="1"/>
  <c r="CC55" i="1"/>
  <c r="CD55" i="1"/>
  <c r="CE55" i="1"/>
  <c r="CF55" i="1"/>
  <c r="CB56" i="1"/>
  <c r="CC56" i="1"/>
  <c r="CD56" i="1"/>
  <c r="CE56" i="1"/>
  <c r="CF56" i="1"/>
  <c r="CB57" i="1"/>
  <c r="CC57" i="1"/>
  <c r="CD57" i="1"/>
  <c r="CE57" i="1"/>
  <c r="CF57" i="1"/>
  <c r="CB58" i="1"/>
  <c r="CC58" i="1"/>
  <c r="CD58" i="1"/>
  <c r="CE58" i="1"/>
  <c r="CF58" i="1"/>
  <c r="CB59" i="1"/>
  <c r="CC59" i="1"/>
  <c r="CD59" i="1"/>
  <c r="CE59" i="1"/>
  <c r="CF59" i="1"/>
  <c r="CB60" i="1"/>
  <c r="CC60" i="1"/>
  <c r="CD60" i="1"/>
  <c r="CE60" i="1"/>
  <c r="CF60" i="1"/>
  <c r="CB61" i="1"/>
  <c r="CC61" i="1"/>
  <c r="CD61" i="1"/>
  <c r="CE61" i="1"/>
  <c r="CF61" i="1"/>
  <c r="CB62" i="1"/>
  <c r="CC62" i="1"/>
  <c r="CD62" i="1"/>
  <c r="CE62" i="1"/>
  <c r="CF62" i="1"/>
  <c r="CB63" i="1"/>
  <c r="CC63" i="1"/>
  <c r="CD63" i="1"/>
  <c r="CE63" i="1"/>
  <c r="CF63" i="1"/>
  <c r="CB64" i="1"/>
  <c r="CC64" i="1"/>
  <c r="CD64" i="1"/>
  <c r="CE64" i="1"/>
  <c r="CF64" i="1"/>
  <c r="CB65" i="1"/>
  <c r="CC65" i="1"/>
  <c r="CD65" i="1"/>
  <c r="CE65" i="1"/>
  <c r="CF65" i="1"/>
  <c r="CB66" i="1"/>
  <c r="CC66" i="1"/>
  <c r="CD66" i="1"/>
  <c r="CE66" i="1"/>
  <c r="CF66" i="1"/>
  <c r="CB67" i="1"/>
  <c r="CC67" i="1"/>
  <c r="CD67" i="1"/>
  <c r="CE67" i="1"/>
  <c r="CF67" i="1"/>
  <c r="CB68" i="1"/>
  <c r="CC68" i="1"/>
  <c r="CD68" i="1"/>
  <c r="CE68" i="1"/>
  <c r="CF68" i="1"/>
  <c r="CB69" i="1"/>
  <c r="CC69" i="1"/>
  <c r="CD69" i="1"/>
  <c r="CE69" i="1"/>
  <c r="CF69" i="1"/>
  <c r="CB70" i="1"/>
  <c r="CC70" i="1"/>
  <c r="CD70" i="1"/>
  <c r="CE70" i="1"/>
  <c r="CF70" i="1"/>
  <c r="CB71" i="1"/>
  <c r="CC71" i="1"/>
  <c r="CD71" i="1"/>
  <c r="CE71" i="1"/>
  <c r="CF71" i="1"/>
  <c r="CB72" i="1"/>
  <c r="CC72" i="1"/>
  <c r="CD72" i="1"/>
  <c r="CE72" i="1"/>
  <c r="CF72" i="1"/>
  <c r="CB73" i="1"/>
  <c r="CC73" i="1"/>
  <c r="CD73" i="1"/>
  <c r="CE73" i="1"/>
  <c r="CF73" i="1"/>
  <c r="CB74" i="1"/>
  <c r="CC74" i="1"/>
  <c r="CD74" i="1"/>
  <c r="CE74" i="1"/>
  <c r="CF74" i="1"/>
  <c r="CB75" i="1"/>
  <c r="CC75" i="1"/>
  <c r="CD75" i="1"/>
  <c r="CE75" i="1"/>
  <c r="CF75" i="1"/>
  <c r="CB76" i="1"/>
  <c r="CC76" i="1"/>
  <c r="CD76" i="1"/>
  <c r="CE76" i="1"/>
  <c r="CF76" i="1"/>
  <c r="CB77" i="1"/>
  <c r="CC77" i="1"/>
  <c r="CD77" i="1"/>
  <c r="CE77" i="1"/>
  <c r="CF77" i="1"/>
  <c r="CB78" i="1"/>
  <c r="CC78" i="1"/>
  <c r="CD78" i="1"/>
  <c r="CE78" i="1"/>
  <c r="CF78" i="1"/>
  <c r="CB79" i="1"/>
  <c r="CC79" i="1"/>
  <c r="CD79" i="1"/>
  <c r="CE79" i="1"/>
  <c r="CF79" i="1"/>
  <c r="CB80" i="1"/>
  <c r="CC80" i="1"/>
  <c r="CD80" i="1"/>
  <c r="CE80" i="1"/>
  <c r="CF80" i="1"/>
  <c r="CB81" i="1"/>
  <c r="CC81" i="1"/>
  <c r="CD81" i="1"/>
  <c r="CE81" i="1"/>
  <c r="CF81" i="1"/>
  <c r="CB82" i="1"/>
  <c r="CC82" i="1"/>
  <c r="CD82" i="1"/>
  <c r="CE82" i="1"/>
  <c r="CF82" i="1"/>
  <c r="CB83" i="1"/>
  <c r="CC83" i="1"/>
  <c r="CD83" i="1"/>
  <c r="CE83" i="1"/>
  <c r="CF83" i="1"/>
  <c r="CB84" i="1"/>
  <c r="CC84" i="1"/>
  <c r="CD84" i="1"/>
  <c r="CE84" i="1"/>
  <c r="CF84" i="1"/>
  <c r="CB85" i="1"/>
  <c r="CC85" i="1"/>
  <c r="CD85" i="1"/>
  <c r="CE85" i="1"/>
  <c r="CF85" i="1"/>
  <c r="CB86" i="1"/>
  <c r="CC86" i="1"/>
  <c r="CD86" i="1"/>
  <c r="CE86" i="1"/>
  <c r="CF86" i="1"/>
  <c r="CB87" i="1"/>
  <c r="CC87" i="1"/>
  <c r="CD87" i="1"/>
  <c r="CE87" i="1"/>
  <c r="CF87" i="1"/>
  <c r="CB88" i="1"/>
  <c r="CC88" i="1"/>
  <c r="CD88" i="1"/>
  <c r="CE88" i="1"/>
  <c r="CF88" i="1"/>
  <c r="CB89" i="1"/>
  <c r="CC89" i="1"/>
  <c r="CD89" i="1"/>
  <c r="CE89" i="1"/>
  <c r="CF89" i="1"/>
  <c r="CB90" i="1"/>
  <c r="CC90" i="1"/>
  <c r="CD90" i="1"/>
  <c r="CE90" i="1"/>
  <c r="CF90" i="1"/>
  <c r="CB91" i="1"/>
  <c r="CC91" i="1"/>
  <c r="CD91" i="1"/>
  <c r="CE91" i="1"/>
  <c r="CF91" i="1"/>
  <c r="CB92" i="1"/>
  <c r="CC92" i="1"/>
  <c r="CD92" i="1"/>
  <c r="CE92" i="1"/>
  <c r="CF92" i="1"/>
  <c r="CB93" i="1"/>
  <c r="CC93" i="1"/>
  <c r="CD93" i="1"/>
  <c r="CE93" i="1"/>
  <c r="CF93" i="1"/>
  <c r="CB94" i="1"/>
  <c r="CC94" i="1"/>
  <c r="CD94" i="1"/>
  <c r="CE94" i="1"/>
  <c r="CF94" i="1"/>
  <c r="CB95" i="1"/>
  <c r="CC95" i="1"/>
  <c r="CD95" i="1"/>
  <c r="CE95" i="1"/>
  <c r="CF95" i="1"/>
  <c r="CB96" i="1"/>
  <c r="CC96" i="1"/>
  <c r="CD96" i="1"/>
  <c r="CE96" i="1"/>
  <c r="CF96" i="1"/>
  <c r="CB97" i="1"/>
  <c r="CC97" i="1"/>
  <c r="CD97" i="1"/>
  <c r="CE97" i="1"/>
  <c r="CF97" i="1"/>
  <c r="CB98" i="1"/>
  <c r="CC98" i="1"/>
  <c r="CD98" i="1"/>
  <c r="CE98" i="1"/>
  <c r="CF98" i="1"/>
  <c r="CB99" i="1"/>
  <c r="CC99" i="1"/>
  <c r="CD99" i="1"/>
  <c r="CE99" i="1"/>
  <c r="CF99" i="1"/>
  <c r="CB100" i="1"/>
  <c r="CC100" i="1"/>
  <c r="CD100" i="1"/>
  <c r="CE100" i="1"/>
  <c r="CF100" i="1"/>
  <c r="CB101" i="1"/>
  <c r="CC101" i="1"/>
  <c r="CD101" i="1"/>
  <c r="CE101" i="1"/>
  <c r="CF101" i="1"/>
  <c r="CB102" i="1"/>
  <c r="CC102" i="1"/>
  <c r="CD102" i="1"/>
  <c r="CE102" i="1"/>
  <c r="CF102" i="1"/>
  <c r="CB103" i="1"/>
  <c r="CC103" i="1"/>
  <c r="CD103" i="1"/>
  <c r="CE103" i="1"/>
  <c r="CF103" i="1"/>
  <c r="CB104" i="1"/>
  <c r="CC104" i="1"/>
  <c r="CD104" i="1"/>
  <c r="CE104" i="1"/>
  <c r="CF104" i="1"/>
  <c r="CB105" i="1"/>
  <c r="CC105" i="1"/>
  <c r="CD105" i="1"/>
  <c r="CE105" i="1"/>
  <c r="CF105" i="1"/>
  <c r="CB106" i="1"/>
  <c r="CC106" i="1"/>
  <c r="CD106" i="1"/>
  <c r="CE106" i="1"/>
  <c r="CF106" i="1"/>
  <c r="CB107" i="1"/>
  <c r="CC107" i="1"/>
  <c r="CD107" i="1"/>
  <c r="CE107" i="1"/>
  <c r="CF107" i="1"/>
  <c r="CB108" i="1"/>
  <c r="CC108" i="1"/>
  <c r="CD108" i="1"/>
  <c r="CE108" i="1"/>
  <c r="CF108" i="1"/>
  <c r="CB109" i="1"/>
  <c r="CC109" i="1"/>
  <c r="CD109" i="1"/>
  <c r="CE109" i="1"/>
  <c r="CF109" i="1"/>
  <c r="CB110" i="1"/>
  <c r="CC110" i="1"/>
  <c r="CD110" i="1"/>
  <c r="CE110" i="1"/>
  <c r="CF110" i="1"/>
  <c r="CB111" i="1"/>
  <c r="CC111" i="1"/>
  <c r="CD111" i="1"/>
  <c r="CE111" i="1"/>
  <c r="CF111" i="1"/>
  <c r="CB112" i="1"/>
  <c r="CC112" i="1"/>
  <c r="CD112" i="1"/>
  <c r="CE112" i="1"/>
  <c r="CF112" i="1"/>
  <c r="CB113" i="1"/>
  <c r="CC113" i="1"/>
  <c r="CD113" i="1"/>
  <c r="CE113" i="1"/>
  <c r="CF113" i="1"/>
  <c r="CB114" i="1"/>
  <c r="CC114" i="1"/>
  <c r="CD114" i="1"/>
  <c r="CE114" i="1"/>
  <c r="CF114" i="1"/>
  <c r="CB115" i="1"/>
  <c r="CC115" i="1"/>
  <c r="CD115" i="1"/>
  <c r="CE115" i="1"/>
  <c r="CF115" i="1"/>
  <c r="CB116" i="1"/>
  <c r="CC116" i="1"/>
  <c r="CD116" i="1"/>
  <c r="CE116" i="1"/>
  <c r="CF116" i="1"/>
  <c r="CB117" i="1"/>
  <c r="CC117" i="1"/>
  <c r="CD117" i="1"/>
  <c r="CE117" i="1"/>
  <c r="CF117" i="1"/>
  <c r="CB118" i="1"/>
  <c r="CC118" i="1"/>
  <c r="CD118" i="1"/>
  <c r="CE118" i="1"/>
  <c r="CF118" i="1"/>
  <c r="CB119" i="1"/>
  <c r="CC119" i="1"/>
  <c r="CD119" i="1"/>
  <c r="CE119" i="1"/>
  <c r="CF119" i="1"/>
  <c r="CB120" i="1"/>
  <c r="CC120" i="1"/>
  <c r="CD120" i="1"/>
  <c r="CE120" i="1"/>
  <c r="CF120" i="1"/>
  <c r="CB121" i="1"/>
  <c r="CC121" i="1"/>
  <c r="CD121" i="1"/>
  <c r="CE121" i="1"/>
  <c r="CF121" i="1"/>
  <c r="CB122" i="1"/>
  <c r="CC122" i="1"/>
  <c r="CD122" i="1"/>
  <c r="CE122" i="1"/>
  <c r="CF122" i="1"/>
  <c r="CB123" i="1"/>
  <c r="CC123" i="1"/>
  <c r="CD123" i="1"/>
  <c r="CE123" i="1"/>
  <c r="CF123" i="1"/>
  <c r="CB124" i="1"/>
  <c r="CC124" i="1"/>
  <c r="CD124" i="1"/>
  <c r="CE124" i="1"/>
  <c r="CF124" i="1"/>
  <c r="CB125" i="1"/>
  <c r="CC125" i="1"/>
  <c r="CD125" i="1"/>
  <c r="CE125" i="1"/>
  <c r="CF125" i="1"/>
  <c r="CB126" i="1"/>
  <c r="CC126" i="1"/>
  <c r="CD126" i="1"/>
  <c r="CE126" i="1"/>
  <c r="CF126" i="1"/>
  <c r="CB127" i="1"/>
  <c r="CC127" i="1"/>
  <c r="CD127" i="1"/>
  <c r="CE127" i="1"/>
  <c r="CF127" i="1"/>
  <c r="CB128" i="1"/>
  <c r="CC128" i="1"/>
  <c r="CD128" i="1"/>
  <c r="CE128" i="1"/>
  <c r="CF128" i="1"/>
  <c r="CB129" i="1"/>
  <c r="CC129" i="1"/>
  <c r="CD129" i="1"/>
  <c r="CE129" i="1"/>
  <c r="CF129" i="1"/>
  <c r="CB130" i="1"/>
  <c r="CC130" i="1"/>
  <c r="CD130" i="1"/>
  <c r="CE130" i="1"/>
  <c r="CF130" i="1"/>
  <c r="CB131" i="1"/>
  <c r="CC131" i="1"/>
  <c r="CD131" i="1"/>
  <c r="CE131" i="1"/>
  <c r="CF131" i="1"/>
  <c r="CB132" i="1"/>
  <c r="CC132" i="1"/>
  <c r="CD132" i="1"/>
  <c r="CE132" i="1"/>
  <c r="CF132" i="1"/>
  <c r="CB133" i="1"/>
  <c r="CC133" i="1"/>
  <c r="CD133" i="1"/>
  <c r="CE133" i="1"/>
  <c r="CF133" i="1"/>
  <c r="CB134" i="1"/>
  <c r="CC134" i="1"/>
  <c r="CD134" i="1"/>
  <c r="CE134" i="1"/>
  <c r="CF134" i="1"/>
  <c r="CB135" i="1"/>
  <c r="CC135" i="1"/>
  <c r="CD135" i="1"/>
  <c r="CE135" i="1"/>
  <c r="CF135" i="1"/>
  <c r="CB136" i="1"/>
  <c r="CC136" i="1"/>
  <c r="CD136" i="1"/>
  <c r="CE136" i="1"/>
  <c r="CF136" i="1"/>
  <c r="CB137" i="1"/>
  <c r="CC137" i="1"/>
  <c r="CD137" i="1"/>
  <c r="CE137" i="1"/>
  <c r="CF137" i="1"/>
  <c r="CB138" i="1"/>
  <c r="CC138" i="1"/>
  <c r="CD138" i="1"/>
  <c r="CE138" i="1"/>
  <c r="CF138" i="1"/>
  <c r="CB139" i="1"/>
  <c r="CC139" i="1"/>
  <c r="CD139" i="1"/>
  <c r="CE139" i="1"/>
  <c r="CF139" i="1"/>
  <c r="CB140" i="1"/>
  <c r="CC140" i="1"/>
  <c r="CD140" i="1"/>
  <c r="CE140" i="1"/>
  <c r="CF140" i="1"/>
  <c r="CB141" i="1"/>
  <c r="CC141" i="1"/>
  <c r="CD141" i="1"/>
  <c r="CE141" i="1"/>
  <c r="CF141" i="1"/>
  <c r="CB142" i="1"/>
  <c r="CC142" i="1"/>
  <c r="CD142" i="1"/>
  <c r="CE142" i="1"/>
  <c r="CF142" i="1"/>
  <c r="CB143" i="1"/>
  <c r="CC143" i="1"/>
  <c r="CD143" i="1"/>
  <c r="CE143" i="1"/>
  <c r="CF143" i="1"/>
  <c r="CB144" i="1"/>
  <c r="CC144" i="1"/>
  <c r="CD144" i="1"/>
  <c r="CE144" i="1"/>
  <c r="CF144" i="1"/>
  <c r="CB145" i="1"/>
  <c r="CC145" i="1"/>
  <c r="CD145" i="1"/>
  <c r="CE145" i="1"/>
  <c r="CF145" i="1"/>
  <c r="CB146" i="1"/>
  <c r="CC146" i="1"/>
  <c r="CD146" i="1"/>
  <c r="CE146" i="1"/>
  <c r="CF146" i="1"/>
  <c r="CB147" i="1"/>
  <c r="CC147" i="1"/>
  <c r="CD147" i="1"/>
  <c r="CE147" i="1"/>
  <c r="CF147" i="1"/>
  <c r="CB148" i="1"/>
  <c r="CC148" i="1"/>
  <c r="CD148" i="1"/>
  <c r="CE148" i="1"/>
  <c r="CF148" i="1"/>
  <c r="CB149" i="1"/>
  <c r="CC149" i="1"/>
  <c r="CD149" i="1"/>
  <c r="CE149" i="1"/>
  <c r="CF149" i="1"/>
  <c r="CB150" i="1"/>
  <c r="CC150" i="1"/>
  <c r="CD150" i="1"/>
  <c r="CE150" i="1"/>
  <c r="CF150" i="1"/>
  <c r="CB151" i="1"/>
  <c r="CC151" i="1"/>
  <c r="CD151" i="1"/>
  <c r="CE151" i="1"/>
  <c r="CF151" i="1"/>
  <c r="CB152" i="1"/>
  <c r="CC152" i="1"/>
  <c r="CD152" i="1"/>
  <c r="CE152" i="1"/>
  <c r="CF152" i="1"/>
  <c r="CB153" i="1"/>
  <c r="CC153" i="1"/>
  <c r="CD153" i="1"/>
  <c r="CE153" i="1"/>
  <c r="CF153" i="1"/>
  <c r="CB154" i="1"/>
  <c r="CC154" i="1"/>
  <c r="CD154" i="1"/>
  <c r="CE154" i="1"/>
  <c r="CF154" i="1"/>
  <c r="CB155" i="1"/>
  <c r="CC155" i="1"/>
  <c r="CD155" i="1"/>
  <c r="CE155" i="1"/>
  <c r="CF155" i="1"/>
  <c r="CB156" i="1"/>
  <c r="CC156" i="1"/>
  <c r="CD156" i="1"/>
  <c r="CE156" i="1"/>
  <c r="CF156" i="1"/>
  <c r="CB157" i="1"/>
  <c r="CC157" i="1"/>
  <c r="CD157" i="1"/>
  <c r="CE157" i="1"/>
  <c r="CF157" i="1"/>
  <c r="CB158" i="1"/>
  <c r="CC158" i="1"/>
  <c r="CD158" i="1"/>
  <c r="CE158" i="1"/>
  <c r="CF158" i="1"/>
  <c r="CB159" i="1"/>
  <c r="CC159" i="1"/>
  <c r="CD159" i="1"/>
  <c r="CE159" i="1"/>
  <c r="CF159" i="1"/>
  <c r="CB160" i="1"/>
  <c r="CC160" i="1"/>
  <c r="CD160" i="1"/>
  <c r="CE160" i="1"/>
  <c r="CF160" i="1"/>
  <c r="CB161" i="1"/>
  <c r="CC161" i="1"/>
  <c r="CD161" i="1"/>
  <c r="CE161" i="1"/>
  <c r="CF161" i="1"/>
  <c r="CB162" i="1"/>
  <c r="CC162" i="1"/>
  <c r="CD162" i="1"/>
  <c r="CE162" i="1"/>
  <c r="CF162" i="1"/>
  <c r="CB163" i="1"/>
  <c r="CC163" i="1"/>
  <c r="CD163" i="1"/>
  <c r="CE163" i="1"/>
  <c r="CF163" i="1"/>
  <c r="CB164" i="1"/>
  <c r="CC164" i="1"/>
  <c r="CD164" i="1"/>
  <c r="CE164" i="1"/>
  <c r="CF164" i="1"/>
  <c r="CB165" i="1"/>
  <c r="CC165" i="1"/>
  <c r="CD165" i="1"/>
  <c r="CE165" i="1"/>
  <c r="CF165" i="1"/>
  <c r="CB166" i="1"/>
  <c r="CC166" i="1"/>
  <c r="CD166" i="1"/>
  <c r="CE166" i="1"/>
  <c r="CF166" i="1"/>
  <c r="CB167" i="1"/>
  <c r="CC167" i="1"/>
  <c r="CD167" i="1"/>
  <c r="CE167" i="1"/>
  <c r="CF167" i="1"/>
  <c r="CB168" i="1"/>
  <c r="CC168" i="1"/>
  <c r="CD168" i="1"/>
  <c r="CE168" i="1"/>
  <c r="CF168" i="1"/>
  <c r="CB169" i="1"/>
  <c r="CC169" i="1"/>
  <c r="CD169" i="1"/>
  <c r="CE169" i="1"/>
  <c r="CF169" i="1"/>
  <c r="CB170" i="1"/>
  <c r="CC170" i="1"/>
  <c r="CD170" i="1"/>
  <c r="CE170" i="1"/>
  <c r="CF170" i="1"/>
  <c r="CB171" i="1"/>
  <c r="CC171" i="1"/>
  <c r="CD171" i="1"/>
  <c r="CE171" i="1"/>
  <c r="CF171" i="1"/>
  <c r="CB172" i="1"/>
  <c r="CC172" i="1"/>
  <c r="CD172" i="1"/>
  <c r="CE172" i="1"/>
  <c r="CF172" i="1"/>
  <c r="CB173" i="1"/>
  <c r="CC173" i="1"/>
  <c r="CD173" i="1"/>
  <c r="CE173" i="1"/>
  <c r="CF173" i="1"/>
  <c r="CB174" i="1"/>
  <c r="CC174" i="1"/>
  <c r="CD174" i="1"/>
  <c r="CE174" i="1"/>
  <c r="CF174" i="1"/>
  <c r="CB175" i="1"/>
  <c r="CC175" i="1"/>
  <c r="CD175" i="1"/>
  <c r="CE175" i="1"/>
  <c r="CF175" i="1"/>
  <c r="CB176" i="1"/>
  <c r="CC176" i="1"/>
  <c r="CD176" i="1"/>
  <c r="CE176" i="1"/>
  <c r="CF176" i="1"/>
  <c r="CB177" i="1"/>
  <c r="CC177" i="1"/>
  <c r="CD177" i="1"/>
  <c r="CE177" i="1"/>
  <c r="CF177" i="1"/>
  <c r="CB178" i="1"/>
  <c r="CC178" i="1"/>
  <c r="CD178" i="1"/>
  <c r="CE178" i="1"/>
  <c r="CF178" i="1"/>
  <c r="CB179" i="1"/>
  <c r="CC179" i="1"/>
  <c r="CD179" i="1"/>
  <c r="CE179" i="1"/>
  <c r="CF179" i="1"/>
  <c r="CB180" i="1"/>
  <c r="CC180" i="1"/>
  <c r="CD180" i="1"/>
  <c r="CE180" i="1"/>
  <c r="CF180" i="1"/>
  <c r="CB181" i="1"/>
  <c r="CC181" i="1"/>
  <c r="CD181" i="1"/>
  <c r="CE181" i="1"/>
  <c r="CF181" i="1"/>
  <c r="CB182" i="1"/>
  <c r="CC182" i="1"/>
  <c r="CD182" i="1"/>
  <c r="CE182" i="1"/>
  <c r="CF182" i="1"/>
  <c r="CB183" i="1"/>
  <c r="CC183" i="1"/>
  <c r="CD183" i="1"/>
  <c r="CE183" i="1"/>
  <c r="CF183" i="1"/>
  <c r="CB184" i="1"/>
  <c r="CC184" i="1"/>
  <c r="CD184" i="1"/>
  <c r="CE184" i="1"/>
  <c r="CF184" i="1"/>
  <c r="CB185" i="1"/>
  <c r="CC185" i="1"/>
  <c r="CD185" i="1"/>
  <c r="CE185" i="1"/>
  <c r="CF185" i="1"/>
  <c r="CB186" i="1"/>
  <c r="CC186" i="1"/>
  <c r="CD186" i="1"/>
  <c r="CE186" i="1"/>
  <c r="CF186" i="1"/>
  <c r="CB187" i="1"/>
  <c r="CC187" i="1"/>
  <c r="CD187" i="1"/>
  <c r="CE187" i="1"/>
  <c r="CF187" i="1"/>
  <c r="CB188" i="1"/>
  <c r="CC188" i="1"/>
  <c r="CD188" i="1"/>
  <c r="CE188" i="1"/>
  <c r="CF188" i="1"/>
  <c r="CB189" i="1"/>
  <c r="CC189" i="1"/>
  <c r="CD189" i="1"/>
  <c r="CE189" i="1"/>
  <c r="CF189" i="1"/>
  <c r="CB190" i="1"/>
  <c r="CC190" i="1"/>
  <c r="CD190" i="1"/>
  <c r="CE190" i="1"/>
  <c r="CF190" i="1"/>
  <c r="CB191" i="1"/>
  <c r="CC191" i="1"/>
  <c r="CD191" i="1"/>
  <c r="CE191" i="1"/>
  <c r="CF191" i="1"/>
  <c r="CB192" i="1"/>
  <c r="CC192" i="1"/>
  <c r="CD192" i="1"/>
  <c r="CE192" i="1"/>
  <c r="CF192" i="1"/>
  <c r="CB193" i="1"/>
  <c r="CC193" i="1"/>
  <c r="CD193" i="1"/>
  <c r="CE193" i="1"/>
  <c r="CF193" i="1"/>
  <c r="CB194" i="1"/>
  <c r="CC194" i="1"/>
  <c r="CD194" i="1"/>
  <c r="CE194" i="1"/>
  <c r="CF194" i="1"/>
  <c r="CB195" i="1"/>
  <c r="CC195" i="1"/>
  <c r="CD195" i="1"/>
  <c r="CE195" i="1"/>
  <c r="CF195" i="1"/>
  <c r="CB196" i="1"/>
  <c r="CC196" i="1"/>
  <c r="CD196" i="1"/>
  <c r="CE196" i="1"/>
  <c r="CF196" i="1"/>
  <c r="CB197" i="1"/>
  <c r="CC197" i="1"/>
  <c r="CD197" i="1"/>
  <c r="CE197" i="1"/>
  <c r="CF197" i="1"/>
  <c r="CB198" i="1"/>
  <c r="CC198" i="1"/>
  <c r="CD198" i="1"/>
  <c r="CE198" i="1"/>
  <c r="CF198" i="1"/>
  <c r="CB199" i="1"/>
  <c r="CC199" i="1"/>
  <c r="CD199" i="1"/>
  <c r="CE199" i="1"/>
  <c r="CF199" i="1"/>
  <c r="CB200" i="1"/>
  <c r="CC200" i="1"/>
  <c r="CD200" i="1"/>
  <c r="CE200" i="1"/>
  <c r="CF200" i="1"/>
  <c r="CB201" i="1"/>
  <c r="CC201" i="1"/>
  <c r="CD201" i="1"/>
  <c r="CE201" i="1"/>
  <c r="CF201" i="1"/>
  <c r="CB202" i="1"/>
  <c r="CC202" i="1"/>
  <c r="CD202" i="1"/>
  <c r="CE202" i="1"/>
  <c r="CF202" i="1"/>
  <c r="CB3" i="1"/>
  <c r="CC3" i="1"/>
  <c r="CD3" i="1"/>
  <c r="CE3" i="1"/>
  <c r="CF3" i="1"/>
  <c r="BV4" i="1"/>
  <c r="BW4" i="1"/>
  <c r="BX4" i="1"/>
  <c r="BY4" i="1"/>
  <c r="BZ4" i="1"/>
  <c r="BV5" i="1"/>
  <c r="BW5" i="1"/>
  <c r="BX5" i="1"/>
  <c r="BY5" i="1"/>
  <c r="BZ5" i="1"/>
  <c r="BV6" i="1"/>
  <c r="BW6" i="1"/>
  <c r="BX6" i="1"/>
  <c r="BY6" i="1"/>
  <c r="BZ6" i="1"/>
  <c r="BV7" i="1"/>
  <c r="BW7" i="1"/>
  <c r="BX7" i="1"/>
  <c r="BY7" i="1"/>
  <c r="BZ7" i="1"/>
  <c r="BV8" i="1"/>
  <c r="BW8" i="1"/>
  <c r="BX8" i="1"/>
  <c r="BY8" i="1"/>
  <c r="BZ8" i="1"/>
  <c r="BV9" i="1"/>
  <c r="BW9" i="1"/>
  <c r="BX9" i="1"/>
  <c r="BY9" i="1"/>
  <c r="BZ9" i="1"/>
  <c r="BV10" i="1"/>
  <c r="BW10" i="1"/>
  <c r="BX10" i="1"/>
  <c r="BY10" i="1"/>
  <c r="BZ10" i="1"/>
  <c r="BV11" i="1"/>
  <c r="BW11" i="1"/>
  <c r="BX11" i="1"/>
  <c r="BY11" i="1"/>
  <c r="BZ11" i="1"/>
  <c r="BV12" i="1"/>
  <c r="BW12" i="1"/>
  <c r="BX12" i="1"/>
  <c r="BY12" i="1"/>
  <c r="BZ12" i="1"/>
  <c r="BV13" i="1"/>
  <c r="BW13" i="1"/>
  <c r="BX13" i="1"/>
  <c r="BY13" i="1"/>
  <c r="BZ13" i="1"/>
  <c r="BV14" i="1"/>
  <c r="BW14" i="1"/>
  <c r="BX14" i="1"/>
  <c r="BY14" i="1"/>
  <c r="BZ14" i="1"/>
  <c r="BV15" i="1"/>
  <c r="BW15" i="1"/>
  <c r="BX15" i="1"/>
  <c r="BY15" i="1"/>
  <c r="BZ15" i="1"/>
  <c r="BV16" i="1"/>
  <c r="BW16" i="1"/>
  <c r="BX16" i="1"/>
  <c r="BY16" i="1"/>
  <c r="BZ16" i="1"/>
  <c r="BV17" i="1"/>
  <c r="BW17" i="1"/>
  <c r="BX17" i="1"/>
  <c r="BY17" i="1"/>
  <c r="BZ17" i="1"/>
  <c r="BV18" i="1"/>
  <c r="BW18" i="1"/>
  <c r="BX18" i="1"/>
  <c r="BY18" i="1"/>
  <c r="BZ18" i="1"/>
  <c r="BV19" i="1"/>
  <c r="BW19" i="1"/>
  <c r="BX19" i="1"/>
  <c r="BY19" i="1"/>
  <c r="BZ19" i="1"/>
  <c r="BV20" i="1"/>
  <c r="BW20" i="1"/>
  <c r="BX20" i="1"/>
  <c r="BY20" i="1"/>
  <c r="BZ20" i="1"/>
  <c r="BV21" i="1"/>
  <c r="BW21" i="1"/>
  <c r="BX21" i="1"/>
  <c r="BY21" i="1"/>
  <c r="BZ21" i="1"/>
  <c r="BV22" i="1"/>
  <c r="BW22" i="1"/>
  <c r="BX22" i="1"/>
  <c r="BY22" i="1"/>
  <c r="BZ22" i="1"/>
  <c r="BV23" i="1"/>
  <c r="BW23" i="1"/>
  <c r="BX23" i="1"/>
  <c r="BY23" i="1"/>
  <c r="BZ23" i="1"/>
  <c r="BV24" i="1"/>
  <c r="BW24" i="1"/>
  <c r="BX24" i="1"/>
  <c r="BY24" i="1"/>
  <c r="BZ24" i="1"/>
  <c r="BV25" i="1"/>
  <c r="BW25" i="1"/>
  <c r="BX25" i="1"/>
  <c r="BY25" i="1"/>
  <c r="BZ25" i="1"/>
  <c r="BV26" i="1"/>
  <c r="BW26" i="1"/>
  <c r="BX26" i="1"/>
  <c r="BY26" i="1"/>
  <c r="BZ26" i="1"/>
  <c r="BV27" i="1"/>
  <c r="BW27" i="1"/>
  <c r="BX27" i="1"/>
  <c r="BY27" i="1"/>
  <c r="BZ27" i="1"/>
  <c r="BV28" i="1"/>
  <c r="BW28" i="1"/>
  <c r="BX28" i="1"/>
  <c r="BY28" i="1"/>
  <c r="BZ28" i="1"/>
  <c r="BV29" i="1"/>
  <c r="BW29" i="1"/>
  <c r="BX29" i="1"/>
  <c r="BY29" i="1"/>
  <c r="BZ29" i="1"/>
  <c r="BV30" i="1"/>
  <c r="BW30" i="1"/>
  <c r="BX30" i="1"/>
  <c r="BY30" i="1"/>
  <c r="BZ30" i="1"/>
  <c r="BV31" i="1"/>
  <c r="BW31" i="1"/>
  <c r="BX31" i="1"/>
  <c r="BY31" i="1"/>
  <c r="BZ31" i="1"/>
  <c r="BV32" i="1"/>
  <c r="BW32" i="1"/>
  <c r="BX32" i="1"/>
  <c r="BY32" i="1"/>
  <c r="BZ32" i="1"/>
  <c r="BV33" i="1"/>
  <c r="BW33" i="1"/>
  <c r="BX33" i="1"/>
  <c r="BY33" i="1"/>
  <c r="BZ33" i="1"/>
  <c r="BV34" i="1"/>
  <c r="BW34" i="1"/>
  <c r="BX34" i="1"/>
  <c r="BY34" i="1"/>
  <c r="BZ34" i="1"/>
  <c r="BV35" i="1"/>
  <c r="BW35" i="1"/>
  <c r="BX35" i="1"/>
  <c r="BY35" i="1"/>
  <c r="BZ35" i="1"/>
  <c r="BV36" i="1"/>
  <c r="BW36" i="1"/>
  <c r="BX36" i="1"/>
  <c r="BY36" i="1"/>
  <c r="BZ36" i="1"/>
  <c r="BV37" i="1"/>
  <c r="BW37" i="1"/>
  <c r="BX37" i="1"/>
  <c r="BY37" i="1"/>
  <c r="BZ37" i="1"/>
  <c r="BV38" i="1"/>
  <c r="BW38" i="1"/>
  <c r="BX38" i="1"/>
  <c r="BY38" i="1"/>
  <c r="BZ38" i="1"/>
  <c r="BV39" i="1"/>
  <c r="BW39" i="1"/>
  <c r="BX39" i="1"/>
  <c r="BY39" i="1"/>
  <c r="BZ39" i="1"/>
  <c r="BV40" i="1"/>
  <c r="BW40" i="1"/>
  <c r="BX40" i="1"/>
  <c r="BY40" i="1"/>
  <c r="BZ40" i="1"/>
  <c r="BV41" i="1"/>
  <c r="BW41" i="1"/>
  <c r="BX41" i="1"/>
  <c r="BY41" i="1"/>
  <c r="BZ41" i="1"/>
  <c r="BV42" i="1"/>
  <c r="BW42" i="1"/>
  <c r="BX42" i="1"/>
  <c r="BY42" i="1"/>
  <c r="BZ42" i="1"/>
  <c r="BV43" i="1"/>
  <c r="BW43" i="1"/>
  <c r="BX43" i="1"/>
  <c r="BY43" i="1"/>
  <c r="BZ43" i="1"/>
  <c r="BV44" i="1"/>
  <c r="BW44" i="1"/>
  <c r="BX44" i="1"/>
  <c r="BY44" i="1"/>
  <c r="BZ44" i="1"/>
  <c r="BV45" i="1"/>
  <c r="BW45" i="1"/>
  <c r="BX45" i="1"/>
  <c r="BY45" i="1"/>
  <c r="BZ45" i="1"/>
  <c r="BV46" i="1"/>
  <c r="BW46" i="1"/>
  <c r="BX46" i="1"/>
  <c r="BY46" i="1"/>
  <c r="BZ46" i="1"/>
  <c r="BV47" i="1"/>
  <c r="BW47" i="1"/>
  <c r="BX47" i="1"/>
  <c r="BY47" i="1"/>
  <c r="BZ47" i="1"/>
  <c r="BV48" i="1"/>
  <c r="BW48" i="1"/>
  <c r="BX48" i="1"/>
  <c r="BY48" i="1"/>
  <c r="BZ48" i="1"/>
  <c r="BV49" i="1"/>
  <c r="BW49" i="1"/>
  <c r="BX49" i="1"/>
  <c r="BY49" i="1"/>
  <c r="BZ49" i="1"/>
  <c r="BV50" i="1"/>
  <c r="BW50" i="1"/>
  <c r="BX50" i="1"/>
  <c r="BY50" i="1"/>
  <c r="BZ50" i="1"/>
  <c r="BV51" i="1"/>
  <c r="BW51" i="1"/>
  <c r="BX51" i="1"/>
  <c r="BY51" i="1"/>
  <c r="BZ51" i="1"/>
  <c r="BV52" i="1"/>
  <c r="BW52" i="1"/>
  <c r="BX52" i="1"/>
  <c r="BY52" i="1"/>
  <c r="BZ52" i="1"/>
  <c r="BV53" i="1"/>
  <c r="BW53" i="1"/>
  <c r="BX53" i="1"/>
  <c r="BY53" i="1"/>
  <c r="BZ53" i="1"/>
  <c r="BV54" i="1"/>
  <c r="BW54" i="1"/>
  <c r="BX54" i="1"/>
  <c r="BY54" i="1"/>
  <c r="BZ54" i="1"/>
  <c r="BV55" i="1"/>
  <c r="BW55" i="1"/>
  <c r="BX55" i="1"/>
  <c r="BY55" i="1"/>
  <c r="BZ55" i="1"/>
  <c r="BV56" i="1"/>
  <c r="BW56" i="1"/>
  <c r="BX56" i="1"/>
  <c r="BY56" i="1"/>
  <c r="BZ56" i="1"/>
  <c r="BV57" i="1"/>
  <c r="BW57" i="1"/>
  <c r="BX57" i="1"/>
  <c r="BY57" i="1"/>
  <c r="BZ57" i="1"/>
  <c r="BV58" i="1"/>
  <c r="BW58" i="1"/>
  <c r="BX58" i="1"/>
  <c r="BY58" i="1"/>
  <c r="BZ58" i="1"/>
  <c r="BV59" i="1"/>
  <c r="BW59" i="1"/>
  <c r="BX59" i="1"/>
  <c r="BY59" i="1"/>
  <c r="BZ59" i="1"/>
  <c r="BV60" i="1"/>
  <c r="BW60" i="1"/>
  <c r="BX60" i="1"/>
  <c r="BY60" i="1"/>
  <c r="BZ60" i="1"/>
  <c r="BV61" i="1"/>
  <c r="BW61" i="1"/>
  <c r="BX61" i="1"/>
  <c r="BY61" i="1"/>
  <c r="BZ61" i="1"/>
  <c r="BV62" i="1"/>
  <c r="BW62" i="1"/>
  <c r="BX62" i="1"/>
  <c r="BY62" i="1"/>
  <c r="BZ62" i="1"/>
  <c r="BV63" i="1"/>
  <c r="BW63" i="1"/>
  <c r="BX63" i="1"/>
  <c r="BY63" i="1"/>
  <c r="BZ63" i="1"/>
  <c r="BV64" i="1"/>
  <c r="BW64" i="1"/>
  <c r="BX64" i="1"/>
  <c r="BY64" i="1"/>
  <c r="BZ64" i="1"/>
  <c r="BV65" i="1"/>
  <c r="BW65" i="1"/>
  <c r="BX65" i="1"/>
  <c r="BY65" i="1"/>
  <c r="BZ65" i="1"/>
  <c r="BV66" i="1"/>
  <c r="BW66" i="1"/>
  <c r="BX66" i="1"/>
  <c r="BY66" i="1"/>
  <c r="BZ66" i="1"/>
  <c r="BV67" i="1"/>
  <c r="BW67" i="1"/>
  <c r="BX67" i="1"/>
  <c r="BY67" i="1"/>
  <c r="BZ67" i="1"/>
  <c r="BV68" i="1"/>
  <c r="BW68" i="1"/>
  <c r="BX68" i="1"/>
  <c r="BY68" i="1"/>
  <c r="BZ68" i="1"/>
  <c r="BV69" i="1"/>
  <c r="BW69" i="1"/>
  <c r="BX69" i="1"/>
  <c r="BY69" i="1"/>
  <c r="BZ69" i="1"/>
  <c r="BV70" i="1"/>
  <c r="BW70" i="1"/>
  <c r="BX70" i="1"/>
  <c r="BY70" i="1"/>
  <c r="BZ70" i="1"/>
  <c r="BV71" i="1"/>
  <c r="BW71" i="1"/>
  <c r="BX71" i="1"/>
  <c r="BY71" i="1"/>
  <c r="BZ71" i="1"/>
  <c r="BV72" i="1"/>
  <c r="BW72" i="1"/>
  <c r="BX72" i="1"/>
  <c r="BY72" i="1"/>
  <c r="BZ72" i="1"/>
  <c r="BV73" i="1"/>
  <c r="BW73" i="1"/>
  <c r="BX73" i="1"/>
  <c r="BY73" i="1"/>
  <c r="BZ73" i="1"/>
  <c r="BV74" i="1"/>
  <c r="BW74" i="1"/>
  <c r="BX74" i="1"/>
  <c r="BY74" i="1"/>
  <c r="BZ74" i="1"/>
  <c r="BV75" i="1"/>
  <c r="BW75" i="1"/>
  <c r="BX75" i="1"/>
  <c r="BY75" i="1"/>
  <c r="BZ75" i="1"/>
  <c r="BV76" i="1"/>
  <c r="BW76" i="1"/>
  <c r="BX76" i="1"/>
  <c r="BY76" i="1"/>
  <c r="BZ76" i="1"/>
  <c r="BV77" i="1"/>
  <c r="BW77" i="1"/>
  <c r="BX77" i="1"/>
  <c r="BY77" i="1"/>
  <c r="BZ77" i="1"/>
  <c r="BV78" i="1"/>
  <c r="BW78" i="1"/>
  <c r="BX78" i="1"/>
  <c r="BY78" i="1"/>
  <c r="BZ78" i="1"/>
  <c r="BV79" i="1"/>
  <c r="BW79" i="1"/>
  <c r="BX79" i="1"/>
  <c r="BY79" i="1"/>
  <c r="BZ79" i="1"/>
  <c r="BV80" i="1"/>
  <c r="BW80" i="1"/>
  <c r="BX80" i="1"/>
  <c r="BY80" i="1"/>
  <c r="BZ80" i="1"/>
  <c r="BV81" i="1"/>
  <c r="BW81" i="1"/>
  <c r="BX81" i="1"/>
  <c r="BY81" i="1"/>
  <c r="BZ81" i="1"/>
  <c r="BV82" i="1"/>
  <c r="BW82" i="1"/>
  <c r="BX82" i="1"/>
  <c r="BY82" i="1"/>
  <c r="BZ82" i="1"/>
  <c r="BV83" i="1"/>
  <c r="BW83" i="1"/>
  <c r="BX83" i="1"/>
  <c r="BY83" i="1"/>
  <c r="BZ83" i="1"/>
  <c r="BV84" i="1"/>
  <c r="BW84" i="1"/>
  <c r="BX84" i="1"/>
  <c r="BY84" i="1"/>
  <c r="BZ84" i="1"/>
  <c r="BV85" i="1"/>
  <c r="BW85" i="1"/>
  <c r="BX85" i="1"/>
  <c r="BY85" i="1"/>
  <c r="BZ85" i="1"/>
  <c r="BV86" i="1"/>
  <c r="BW86" i="1"/>
  <c r="BX86" i="1"/>
  <c r="BY86" i="1"/>
  <c r="BZ86" i="1"/>
  <c r="BV87" i="1"/>
  <c r="BW87" i="1"/>
  <c r="BX87" i="1"/>
  <c r="BY87" i="1"/>
  <c r="BZ87" i="1"/>
  <c r="BV88" i="1"/>
  <c r="BW88" i="1"/>
  <c r="BX88" i="1"/>
  <c r="BY88" i="1"/>
  <c r="BZ88" i="1"/>
  <c r="BV89" i="1"/>
  <c r="BW89" i="1"/>
  <c r="BX89" i="1"/>
  <c r="BY89" i="1"/>
  <c r="BZ89" i="1"/>
  <c r="BV90" i="1"/>
  <c r="BW90" i="1"/>
  <c r="BX90" i="1"/>
  <c r="BY90" i="1"/>
  <c r="BZ90" i="1"/>
  <c r="BV91" i="1"/>
  <c r="BW91" i="1"/>
  <c r="BX91" i="1"/>
  <c r="BY91" i="1"/>
  <c r="BZ91" i="1"/>
  <c r="BV92" i="1"/>
  <c r="BW92" i="1"/>
  <c r="BX92" i="1"/>
  <c r="BY92" i="1"/>
  <c r="BZ92" i="1"/>
  <c r="BV93" i="1"/>
  <c r="BW93" i="1"/>
  <c r="BX93" i="1"/>
  <c r="BY93" i="1"/>
  <c r="BZ93" i="1"/>
  <c r="BV94" i="1"/>
  <c r="BW94" i="1"/>
  <c r="BX94" i="1"/>
  <c r="BY94" i="1"/>
  <c r="BZ94" i="1"/>
  <c r="BV95" i="1"/>
  <c r="BW95" i="1"/>
  <c r="BX95" i="1"/>
  <c r="BY95" i="1"/>
  <c r="BZ95" i="1"/>
  <c r="BV96" i="1"/>
  <c r="BW96" i="1"/>
  <c r="BX96" i="1"/>
  <c r="BY96" i="1"/>
  <c r="BZ96" i="1"/>
  <c r="BV97" i="1"/>
  <c r="BW97" i="1"/>
  <c r="BX97" i="1"/>
  <c r="BY97" i="1"/>
  <c r="BZ97" i="1"/>
  <c r="BV98" i="1"/>
  <c r="BW98" i="1"/>
  <c r="BX98" i="1"/>
  <c r="BY98" i="1"/>
  <c r="BZ98" i="1"/>
  <c r="BV99" i="1"/>
  <c r="BW99" i="1"/>
  <c r="BX99" i="1"/>
  <c r="BY99" i="1"/>
  <c r="BZ99" i="1"/>
  <c r="BV100" i="1"/>
  <c r="BW100" i="1"/>
  <c r="BX100" i="1"/>
  <c r="BY100" i="1"/>
  <c r="BZ100" i="1"/>
  <c r="BV101" i="1"/>
  <c r="BW101" i="1"/>
  <c r="BX101" i="1"/>
  <c r="BY101" i="1"/>
  <c r="BZ101" i="1"/>
  <c r="BV102" i="1"/>
  <c r="BW102" i="1"/>
  <c r="BX102" i="1"/>
  <c r="BY102" i="1"/>
  <c r="BZ102" i="1"/>
  <c r="BV103" i="1"/>
  <c r="BW103" i="1"/>
  <c r="BX103" i="1"/>
  <c r="BY103" i="1"/>
  <c r="BZ103" i="1"/>
  <c r="BV104" i="1"/>
  <c r="BW104" i="1"/>
  <c r="BX104" i="1"/>
  <c r="BY104" i="1"/>
  <c r="BZ104" i="1"/>
  <c r="BV105" i="1"/>
  <c r="BW105" i="1"/>
  <c r="BX105" i="1"/>
  <c r="BY105" i="1"/>
  <c r="BZ105" i="1"/>
  <c r="BV106" i="1"/>
  <c r="BW106" i="1"/>
  <c r="BX106" i="1"/>
  <c r="BY106" i="1"/>
  <c r="BZ106" i="1"/>
  <c r="BV107" i="1"/>
  <c r="BW107" i="1"/>
  <c r="BX107" i="1"/>
  <c r="BY107" i="1"/>
  <c r="BZ107" i="1"/>
  <c r="BV108" i="1"/>
  <c r="BW108" i="1"/>
  <c r="BX108" i="1"/>
  <c r="BY108" i="1"/>
  <c r="BZ108" i="1"/>
  <c r="BV109" i="1"/>
  <c r="BW109" i="1"/>
  <c r="BX109" i="1"/>
  <c r="BY109" i="1"/>
  <c r="BZ109" i="1"/>
  <c r="BV110" i="1"/>
  <c r="BW110" i="1"/>
  <c r="BX110" i="1"/>
  <c r="BY110" i="1"/>
  <c r="BZ110" i="1"/>
  <c r="BV111" i="1"/>
  <c r="BW111" i="1"/>
  <c r="BX111" i="1"/>
  <c r="BY111" i="1"/>
  <c r="BZ111" i="1"/>
  <c r="BV112" i="1"/>
  <c r="BW112" i="1"/>
  <c r="BX112" i="1"/>
  <c r="BY112" i="1"/>
  <c r="BZ112" i="1"/>
  <c r="BV113" i="1"/>
  <c r="BW113" i="1"/>
  <c r="BX113" i="1"/>
  <c r="BY113" i="1"/>
  <c r="BZ113" i="1"/>
  <c r="BV114" i="1"/>
  <c r="BW114" i="1"/>
  <c r="BX114" i="1"/>
  <c r="BY114" i="1"/>
  <c r="BZ114" i="1"/>
  <c r="BV115" i="1"/>
  <c r="BW115" i="1"/>
  <c r="BX115" i="1"/>
  <c r="BY115" i="1"/>
  <c r="BZ115" i="1"/>
  <c r="BV116" i="1"/>
  <c r="BW116" i="1"/>
  <c r="BX116" i="1"/>
  <c r="BY116" i="1"/>
  <c r="BZ116" i="1"/>
  <c r="BV117" i="1"/>
  <c r="BW117" i="1"/>
  <c r="BX117" i="1"/>
  <c r="BY117" i="1"/>
  <c r="BZ117" i="1"/>
  <c r="BV118" i="1"/>
  <c r="BW118" i="1"/>
  <c r="BX118" i="1"/>
  <c r="BY118" i="1"/>
  <c r="BZ118" i="1"/>
  <c r="BV119" i="1"/>
  <c r="BW119" i="1"/>
  <c r="BX119" i="1"/>
  <c r="BY119" i="1"/>
  <c r="BZ119" i="1"/>
  <c r="BV120" i="1"/>
  <c r="BW120" i="1"/>
  <c r="BX120" i="1"/>
  <c r="BY120" i="1"/>
  <c r="BZ120" i="1"/>
  <c r="BV121" i="1"/>
  <c r="BW121" i="1"/>
  <c r="BX121" i="1"/>
  <c r="BY121" i="1"/>
  <c r="BZ121" i="1"/>
  <c r="BV122" i="1"/>
  <c r="BW122" i="1"/>
  <c r="BX122" i="1"/>
  <c r="BY122" i="1"/>
  <c r="BZ122" i="1"/>
  <c r="BV123" i="1"/>
  <c r="BW123" i="1"/>
  <c r="BX123" i="1"/>
  <c r="BY123" i="1"/>
  <c r="BZ123" i="1"/>
  <c r="BV124" i="1"/>
  <c r="BW124" i="1"/>
  <c r="BX124" i="1"/>
  <c r="BY124" i="1"/>
  <c r="BZ124" i="1"/>
  <c r="BV125" i="1"/>
  <c r="BW125" i="1"/>
  <c r="BX125" i="1"/>
  <c r="BY125" i="1"/>
  <c r="BZ125" i="1"/>
  <c r="BV126" i="1"/>
  <c r="BW126" i="1"/>
  <c r="BX126" i="1"/>
  <c r="BY126" i="1"/>
  <c r="BZ126" i="1"/>
  <c r="BV127" i="1"/>
  <c r="BW127" i="1"/>
  <c r="BX127" i="1"/>
  <c r="BY127" i="1"/>
  <c r="BZ127" i="1"/>
  <c r="BV128" i="1"/>
  <c r="BW128" i="1"/>
  <c r="BX128" i="1"/>
  <c r="BY128" i="1"/>
  <c r="BZ128" i="1"/>
  <c r="BV129" i="1"/>
  <c r="BW129" i="1"/>
  <c r="BX129" i="1"/>
  <c r="BY129" i="1"/>
  <c r="BZ129" i="1"/>
  <c r="BV130" i="1"/>
  <c r="BW130" i="1"/>
  <c r="BX130" i="1"/>
  <c r="BY130" i="1"/>
  <c r="BZ130" i="1"/>
  <c r="BV131" i="1"/>
  <c r="BW131" i="1"/>
  <c r="BX131" i="1"/>
  <c r="BY131" i="1"/>
  <c r="BZ131" i="1"/>
  <c r="BV132" i="1"/>
  <c r="BW132" i="1"/>
  <c r="BX132" i="1"/>
  <c r="BY132" i="1"/>
  <c r="BZ132" i="1"/>
  <c r="BV133" i="1"/>
  <c r="BW133" i="1"/>
  <c r="BX133" i="1"/>
  <c r="BY133" i="1"/>
  <c r="BZ133" i="1"/>
  <c r="BV134" i="1"/>
  <c r="BW134" i="1"/>
  <c r="BX134" i="1"/>
  <c r="BY134" i="1"/>
  <c r="BZ134" i="1"/>
  <c r="BV135" i="1"/>
  <c r="BW135" i="1"/>
  <c r="BX135" i="1"/>
  <c r="BY135" i="1"/>
  <c r="BZ135" i="1"/>
  <c r="BV136" i="1"/>
  <c r="BW136" i="1"/>
  <c r="BX136" i="1"/>
  <c r="BY136" i="1"/>
  <c r="BZ136" i="1"/>
  <c r="BV137" i="1"/>
  <c r="BW137" i="1"/>
  <c r="BX137" i="1"/>
  <c r="BY137" i="1"/>
  <c r="BZ137" i="1"/>
  <c r="BV138" i="1"/>
  <c r="BW138" i="1"/>
  <c r="BX138" i="1"/>
  <c r="BY138" i="1"/>
  <c r="BZ138" i="1"/>
  <c r="BV139" i="1"/>
  <c r="BW139" i="1"/>
  <c r="BX139" i="1"/>
  <c r="BY139" i="1"/>
  <c r="BZ139" i="1"/>
  <c r="BV140" i="1"/>
  <c r="BW140" i="1"/>
  <c r="BX140" i="1"/>
  <c r="BY140" i="1"/>
  <c r="BZ140" i="1"/>
  <c r="BV141" i="1"/>
  <c r="BW141" i="1"/>
  <c r="BX141" i="1"/>
  <c r="BY141" i="1"/>
  <c r="BZ141" i="1"/>
  <c r="BV142" i="1"/>
  <c r="BW142" i="1"/>
  <c r="BX142" i="1"/>
  <c r="BY142" i="1"/>
  <c r="BZ142" i="1"/>
  <c r="BV143" i="1"/>
  <c r="BW143" i="1"/>
  <c r="BX143" i="1"/>
  <c r="BY143" i="1"/>
  <c r="BZ143" i="1"/>
  <c r="BV144" i="1"/>
  <c r="BW144" i="1"/>
  <c r="BX144" i="1"/>
  <c r="BY144" i="1"/>
  <c r="BZ144" i="1"/>
  <c r="BV145" i="1"/>
  <c r="BW145" i="1"/>
  <c r="BX145" i="1"/>
  <c r="BY145" i="1"/>
  <c r="BZ145" i="1"/>
  <c r="BV146" i="1"/>
  <c r="BW146" i="1"/>
  <c r="BX146" i="1"/>
  <c r="BY146" i="1"/>
  <c r="BZ146" i="1"/>
  <c r="BV147" i="1"/>
  <c r="BW147" i="1"/>
  <c r="BX147" i="1"/>
  <c r="BY147" i="1"/>
  <c r="BZ147" i="1"/>
  <c r="BV148" i="1"/>
  <c r="BW148" i="1"/>
  <c r="BX148" i="1"/>
  <c r="BY148" i="1"/>
  <c r="BZ148" i="1"/>
  <c r="BV149" i="1"/>
  <c r="BW149" i="1"/>
  <c r="BX149" i="1"/>
  <c r="BY149" i="1"/>
  <c r="BZ149" i="1"/>
  <c r="BV150" i="1"/>
  <c r="BW150" i="1"/>
  <c r="BX150" i="1"/>
  <c r="BY150" i="1"/>
  <c r="BZ150" i="1"/>
  <c r="BV151" i="1"/>
  <c r="BW151" i="1"/>
  <c r="BX151" i="1"/>
  <c r="BY151" i="1"/>
  <c r="BZ151" i="1"/>
  <c r="BV152" i="1"/>
  <c r="BW152" i="1"/>
  <c r="BX152" i="1"/>
  <c r="BY152" i="1"/>
  <c r="BZ152" i="1"/>
  <c r="BV153" i="1"/>
  <c r="BW153" i="1"/>
  <c r="BX153" i="1"/>
  <c r="BY153" i="1"/>
  <c r="BZ153" i="1"/>
  <c r="BV154" i="1"/>
  <c r="BW154" i="1"/>
  <c r="BX154" i="1"/>
  <c r="BY154" i="1"/>
  <c r="BZ154" i="1"/>
  <c r="BV155" i="1"/>
  <c r="BW155" i="1"/>
  <c r="BX155" i="1"/>
  <c r="BY155" i="1"/>
  <c r="BZ155" i="1"/>
  <c r="BV156" i="1"/>
  <c r="BW156" i="1"/>
  <c r="BX156" i="1"/>
  <c r="BY156" i="1"/>
  <c r="BZ156" i="1"/>
  <c r="BV157" i="1"/>
  <c r="BW157" i="1"/>
  <c r="BX157" i="1"/>
  <c r="BY157" i="1"/>
  <c r="BZ157" i="1"/>
  <c r="BV158" i="1"/>
  <c r="BW158" i="1"/>
  <c r="BX158" i="1"/>
  <c r="BY158" i="1"/>
  <c r="BZ158" i="1"/>
  <c r="BV159" i="1"/>
  <c r="BW159" i="1"/>
  <c r="BX159" i="1"/>
  <c r="BY159" i="1"/>
  <c r="BZ159" i="1"/>
  <c r="BV160" i="1"/>
  <c r="BW160" i="1"/>
  <c r="BX160" i="1"/>
  <c r="BY160" i="1"/>
  <c r="BZ160" i="1"/>
  <c r="BV161" i="1"/>
  <c r="BW161" i="1"/>
  <c r="BX161" i="1"/>
  <c r="BY161" i="1"/>
  <c r="BZ161" i="1"/>
  <c r="BV162" i="1"/>
  <c r="BW162" i="1"/>
  <c r="BX162" i="1"/>
  <c r="BY162" i="1"/>
  <c r="BZ162" i="1"/>
  <c r="BV163" i="1"/>
  <c r="BW163" i="1"/>
  <c r="BX163" i="1"/>
  <c r="BY163" i="1"/>
  <c r="BZ163" i="1"/>
  <c r="BV164" i="1"/>
  <c r="BW164" i="1"/>
  <c r="BX164" i="1"/>
  <c r="BY164" i="1"/>
  <c r="BZ164" i="1"/>
  <c r="BV165" i="1"/>
  <c r="BW165" i="1"/>
  <c r="BX165" i="1"/>
  <c r="BY165" i="1"/>
  <c r="BZ165" i="1"/>
  <c r="BV166" i="1"/>
  <c r="BW166" i="1"/>
  <c r="BX166" i="1"/>
  <c r="BY166" i="1"/>
  <c r="BZ166" i="1"/>
  <c r="BV167" i="1"/>
  <c r="BW167" i="1"/>
  <c r="BX167" i="1"/>
  <c r="BY167" i="1"/>
  <c r="BZ167" i="1"/>
  <c r="BV168" i="1"/>
  <c r="BW168" i="1"/>
  <c r="BX168" i="1"/>
  <c r="BY168" i="1"/>
  <c r="BZ168" i="1"/>
  <c r="BV169" i="1"/>
  <c r="BW169" i="1"/>
  <c r="BX169" i="1"/>
  <c r="BY169" i="1"/>
  <c r="BZ169" i="1"/>
  <c r="BV170" i="1"/>
  <c r="BW170" i="1"/>
  <c r="BX170" i="1"/>
  <c r="BY170" i="1"/>
  <c r="BZ170" i="1"/>
  <c r="BV171" i="1"/>
  <c r="BW171" i="1"/>
  <c r="BX171" i="1"/>
  <c r="BY171" i="1"/>
  <c r="BZ171" i="1"/>
  <c r="BV172" i="1"/>
  <c r="BW172" i="1"/>
  <c r="BX172" i="1"/>
  <c r="BY172" i="1"/>
  <c r="BZ172" i="1"/>
  <c r="BV173" i="1"/>
  <c r="BW173" i="1"/>
  <c r="BX173" i="1"/>
  <c r="BY173" i="1"/>
  <c r="BZ173" i="1"/>
  <c r="BV174" i="1"/>
  <c r="BW174" i="1"/>
  <c r="BX174" i="1"/>
  <c r="BY174" i="1"/>
  <c r="BZ174" i="1"/>
  <c r="BV175" i="1"/>
  <c r="BW175" i="1"/>
  <c r="BX175" i="1"/>
  <c r="BY175" i="1"/>
  <c r="BZ175" i="1"/>
  <c r="BV176" i="1"/>
  <c r="BW176" i="1"/>
  <c r="BX176" i="1"/>
  <c r="BY176" i="1"/>
  <c r="BZ176" i="1"/>
  <c r="BV177" i="1"/>
  <c r="BW177" i="1"/>
  <c r="BX177" i="1"/>
  <c r="BY177" i="1"/>
  <c r="BZ177" i="1"/>
  <c r="BV178" i="1"/>
  <c r="BW178" i="1"/>
  <c r="BX178" i="1"/>
  <c r="BY178" i="1"/>
  <c r="BZ178" i="1"/>
  <c r="BV179" i="1"/>
  <c r="BW179" i="1"/>
  <c r="BX179" i="1"/>
  <c r="BY179" i="1"/>
  <c r="BZ179" i="1"/>
  <c r="BV180" i="1"/>
  <c r="BW180" i="1"/>
  <c r="BX180" i="1"/>
  <c r="BY180" i="1"/>
  <c r="BZ180" i="1"/>
  <c r="BV181" i="1"/>
  <c r="BW181" i="1"/>
  <c r="BX181" i="1"/>
  <c r="BY181" i="1"/>
  <c r="BZ181" i="1"/>
  <c r="BV182" i="1"/>
  <c r="BW182" i="1"/>
  <c r="BX182" i="1"/>
  <c r="BY182" i="1"/>
  <c r="BZ182" i="1"/>
  <c r="BV183" i="1"/>
  <c r="BW183" i="1"/>
  <c r="BX183" i="1"/>
  <c r="BY183" i="1"/>
  <c r="BZ183" i="1"/>
  <c r="BV184" i="1"/>
  <c r="BW184" i="1"/>
  <c r="BX184" i="1"/>
  <c r="BY184" i="1"/>
  <c r="BZ184" i="1"/>
  <c r="BV185" i="1"/>
  <c r="BW185" i="1"/>
  <c r="BX185" i="1"/>
  <c r="BY185" i="1"/>
  <c r="BZ185" i="1"/>
  <c r="BV186" i="1"/>
  <c r="BW186" i="1"/>
  <c r="BX186" i="1"/>
  <c r="BY186" i="1"/>
  <c r="BZ186" i="1"/>
  <c r="BV187" i="1"/>
  <c r="BW187" i="1"/>
  <c r="BX187" i="1"/>
  <c r="BY187" i="1"/>
  <c r="BZ187" i="1"/>
  <c r="BV188" i="1"/>
  <c r="BW188" i="1"/>
  <c r="BX188" i="1"/>
  <c r="BY188" i="1"/>
  <c r="BZ188" i="1"/>
  <c r="BV189" i="1"/>
  <c r="BW189" i="1"/>
  <c r="BX189" i="1"/>
  <c r="BY189" i="1"/>
  <c r="BZ189" i="1"/>
  <c r="BV190" i="1"/>
  <c r="BW190" i="1"/>
  <c r="BX190" i="1"/>
  <c r="BY190" i="1"/>
  <c r="BZ190" i="1"/>
  <c r="BV191" i="1"/>
  <c r="BW191" i="1"/>
  <c r="BX191" i="1"/>
  <c r="BY191" i="1"/>
  <c r="BZ191" i="1"/>
  <c r="BV192" i="1"/>
  <c r="BW192" i="1"/>
  <c r="BX192" i="1"/>
  <c r="BY192" i="1"/>
  <c r="BZ192" i="1"/>
  <c r="BV193" i="1"/>
  <c r="BW193" i="1"/>
  <c r="BX193" i="1"/>
  <c r="BY193" i="1"/>
  <c r="BZ193" i="1"/>
  <c r="BV194" i="1"/>
  <c r="BW194" i="1"/>
  <c r="BX194" i="1"/>
  <c r="BY194" i="1"/>
  <c r="BZ194" i="1"/>
  <c r="BV195" i="1"/>
  <c r="BW195" i="1"/>
  <c r="BX195" i="1"/>
  <c r="BY195" i="1"/>
  <c r="BZ195" i="1"/>
  <c r="BV196" i="1"/>
  <c r="BW196" i="1"/>
  <c r="BX196" i="1"/>
  <c r="BY196" i="1"/>
  <c r="BZ196" i="1"/>
  <c r="BV197" i="1"/>
  <c r="BW197" i="1"/>
  <c r="BX197" i="1"/>
  <c r="BY197" i="1"/>
  <c r="BZ197" i="1"/>
  <c r="BV198" i="1"/>
  <c r="BW198" i="1"/>
  <c r="BX198" i="1"/>
  <c r="BY198" i="1"/>
  <c r="BZ198" i="1"/>
  <c r="BV199" i="1"/>
  <c r="BW199" i="1"/>
  <c r="BX199" i="1"/>
  <c r="BY199" i="1"/>
  <c r="BZ199" i="1"/>
  <c r="BV200" i="1"/>
  <c r="BW200" i="1"/>
  <c r="BX200" i="1"/>
  <c r="BY200" i="1"/>
  <c r="BZ200" i="1"/>
  <c r="BV201" i="1"/>
  <c r="BW201" i="1"/>
  <c r="BX201" i="1"/>
  <c r="BY201" i="1"/>
  <c r="BZ201" i="1"/>
  <c r="BV202" i="1"/>
  <c r="BW202" i="1"/>
  <c r="BX202" i="1"/>
  <c r="BY202" i="1"/>
  <c r="BZ202" i="1"/>
  <c r="BV3" i="1"/>
  <c r="BW3" i="1"/>
  <c r="BX3" i="1"/>
  <c r="BY3" i="1"/>
  <c r="BZ3" i="1"/>
  <c r="BR3" i="1"/>
  <c r="BS3" i="1"/>
  <c r="BT3" i="1"/>
  <c r="BO3" i="1"/>
  <c r="BP3" i="1"/>
  <c r="BK3" i="1"/>
  <c r="BL3" i="1"/>
  <c r="BM3" i="1"/>
  <c r="BG3" i="1"/>
  <c r="BH3" i="1"/>
  <c r="BI3" i="1"/>
  <c r="BC3" i="1"/>
  <c r="BD3" i="1"/>
  <c r="BE3" i="1"/>
  <c r="AY4" i="1"/>
  <c r="AZ4" i="1"/>
  <c r="BA4" i="1"/>
  <c r="AY5" i="1"/>
  <c r="AZ5" i="1"/>
  <c r="BA5" i="1"/>
  <c r="AY6" i="1"/>
  <c r="AZ6" i="1"/>
  <c r="BA6" i="1"/>
  <c r="AY7" i="1"/>
  <c r="AZ7" i="1"/>
  <c r="BA7" i="1"/>
  <c r="AY8" i="1"/>
  <c r="AZ8" i="1"/>
  <c r="BA8" i="1"/>
  <c r="AY9" i="1"/>
  <c r="AZ9" i="1"/>
  <c r="BA9" i="1"/>
  <c r="AY10" i="1"/>
  <c r="AZ10" i="1"/>
  <c r="BA10" i="1"/>
  <c r="AY11" i="1"/>
  <c r="AZ11" i="1"/>
  <c r="BA11" i="1"/>
  <c r="AY12" i="1"/>
  <c r="AZ12" i="1"/>
  <c r="BA12" i="1"/>
  <c r="AY13" i="1"/>
  <c r="AZ13" i="1"/>
  <c r="BA13" i="1"/>
  <c r="AY14" i="1"/>
  <c r="AZ14" i="1"/>
  <c r="BA14" i="1"/>
  <c r="AY15" i="1"/>
  <c r="AZ15" i="1"/>
  <c r="BA15" i="1"/>
  <c r="AY16" i="1"/>
  <c r="AZ16" i="1"/>
  <c r="BA16" i="1"/>
  <c r="AY17" i="1"/>
  <c r="AZ17" i="1"/>
  <c r="BA17" i="1"/>
  <c r="AY18" i="1"/>
  <c r="AZ18" i="1"/>
  <c r="BA18" i="1"/>
  <c r="AY19" i="1"/>
  <c r="AZ19" i="1"/>
  <c r="BA19" i="1"/>
  <c r="AY20" i="1"/>
  <c r="AZ20" i="1"/>
  <c r="BA20" i="1"/>
  <c r="AY21" i="1"/>
  <c r="AZ21" i="1"/>
  <c r="BA21" i="1"/>
  <c r="AY22" i="1"/>
  <c r="AZ22" i="1"/>
  <c r="BA22" i="1"/>
  <c r="AY23" i="1"/>
  <c r="AZ23" i="1"/>
  <c r="BA23" i="1"/>
  <c r="AY24" i="1"/>
  <c r="AZ24" i="1"/>
  <c r="BA24" i="1"/>
  <c r="AY25" i="1"/>
  <c r="AZ25" i="1"/>
  <c r="BA25" i="1"/>
  <c r="AY26" i="1"/>
  <c r="AZ26" i="1"/>
  <c r="BA26" i="1"/>
  <c r="AY27" i="1"/>
  <c r="AZ27" i="1"/>
  <c r="BA27" i="1"/>
  <c r="AY28" i="1"/>
  <c r="AZ28" i="1"/>
  <c r="BA28" i="1"/>
  <c r="AY29" i="1"/>
  <c r="AZ29" i="1"/>
  <c r="BA29" i="1"/>
  <c r="AY30" i="1"/>
  <c r="AZ30" i="1"/>
  <c r="BA30" i="1"/>
  <c r="AY31" i="1"/>
  <c r="AZ31" i="1"/>
  <c r="BA31" i="1"/>
  <c r="AY32" i="1"/>
  <c r="AZ32" i="1"/>
  <c r="BA32" i="1"/>
  <c r="AY33" i="1"/>
  <c r="AZ33" i="1"/>
  <c r="BA33" i="1"/>
  <c r="AY34" i="1"/>
  <c r="AZ34" i="1"/>
  <c r="BA34" i="1"/>
  <c r="AY35" i="1"/>
  <c r="AZ35" i="1"/>
  <c r="BA35" i="1"/>
  <c r="AY36" i="1"/>
  <c r="AZ36" i="1"/>
  <c r="BA36" i="1"/>
  <c r="AY37" i="1"/>
  <c r="AZ37" i="1"/>
  <c r="BA37" i="1"/>
  <c r="AY38" i="1"/>
  <c r="AZ38" i="1"/>
  <c r="BA38" i="1"/>
  <c r="AY39" i="1"/>
  <c r="AZ39" i="1"/>
  <c r="BA39" i="1"/>
  <c r="AY40" i="1"/>
  <c r="AZ40" i="1"/>
  <c r="BA40" i="1"/>
  <c r="AY41" i="1"/>
  <c r="AZ41" i="1"/>
  <c r="BA41" i="1"/>
  <c r="AY42" i="1"/>
  <c r="AZ42" i="1"/>
  <c r="BA42" i="1"/>
  <c r="AY43" i="1"/>
  <c r="AZ43" i="1"/>
  <c r="BA43" i="1"/>
  <c r="AY44" i="1"/>
  <c r="AZ44" i="1"/>
  <c r="BA44" i="1"/>
  <c r="AY45" i="1"/>
  <c r="AZ45" i="1"/>
  <c r="BA45" i="1"/>
  <c r="AY46" i="1"/>
  <c r="AZ46" i="1"/>
  <c r="BA46" i="1"/>
  <c r="AY47" i="1"/>
  <c r="AZ47" i="1"/>
  <c r="BA47" i="1"/>
  <c r="AY48" i="1"/>
  <c r="AZ48" i="1"/>
  <c r="BA48" i="1"/>
  <c r="AY49" i="1"/>
  <c r="AZ49" i="1"/>
  <c r="BA49" i="1"/>
  <c r="AY50" i="1"/>
  <c r="AZ50" i="1"/>
  <c r="BA50" i="1"/>
  <c r="AY51" i="1"/>
  <c r="AZ51" i="1"/>
  <c r="BA51" i="1"/>
  <c r="AY52" i="1"/>
  <c r="AZ52" i="1"/>
  <c r="BA52" i="1"/>
  <c r="AY53" i="1"/>
  <c r="AZ53" i="1"/>
  <c r="BA53" i="1"/>
  <c r="AY54" i="1"/>
  <c r="AZ54" i="1"/>
  <c r="BA54" i="1"/>
  <c r="AY55" i="1"/>
  <c r="AZ55" i="1"/>
  <c r="BA55" i="1"/>
  <c r="AY56" i="1"/>
  <c r="AZ56" i="1"/>
  <c r="BA56" i="1"/>
  <c r="AY57" i="1"/>
  <c r="AZ57" i="1"/>
  <c r="BA57" i="1"/>
  <c r="AY58" i="1"/>
  <c r="AZ58" i="1"/>
  <c r="BA58" i="1"/>
  <c r="AY59" i="1"/>
  <c r="AZ59" i="1"/>
  <c r="BA59" i="1"/>
  <c r="AY60" i="1"/>
  <c r="AZ60" i="1"/>
  <c r="BA60" i="1"/>
  <c r="AY61" i="1"/>
  <c r="AZ61" i="1"/>
  <c r="BA61" i="1"/>
  <c r="AY62" i="1"/>
  <c r="AZ62" i="1"/>
  <c r="BA62" i="1"/>
  <c r="AY63" i="1"/>
  <c r="AZ63" i="1"/>
  <c r="BA63" i="1"/>
  <c r="AY64" i="1"/>
  <c r="AZ64" i="1"/>
  <c r="BA64" i="1"/>
  <c r="AY65" i="1"/>
  <c r="AZ65" i="1"/>
  <c r="BA65" i="1"/>
  <c r="AY66" i="1"/>
  <c r="AZ66" i="1"/>
  <c r="BA66" i="1"/>
  <c r="AY67" i="1"/>
  <c r="AZ67" i="1"/>
  <c r="BA67" i="1"/>
  <c r="AY68" i="1"/>
  <c r="AZ68" i="1"/>
  <c r="BA68" i="1"/>
  <c r="AY69" i="1"/>
  <c r="AZ69" i="1"/>
  <c r="BA69" i="1"/>
  <c r="AY70" i="1"/>
  <c r="AZ70" i="1"/>
  <c r="BA70" i="1"/>
  <c r="AY71" i="1"/>
  <c r="AZ71" i="1"/>
  <c r="BA71" i="1"/>
  <c r="AY72" i="1"/>
  <c r="AZ72" i="1"/>
  <c r="BA72" i="1"/>
  <c r="AY73" i="1"/>
  <c r="AZ73" i="1"/>
  <c r="BA73" i="1"/>
  <c r="AY74" i="1"/>
  <c r="AZ74" i="1"/>
  <c r="BA74" i="1"/>
  <c r="AY75" i="1"/>
  <c r="AZ75" i="1"/>
  <c r="BA75" i="1"/>
  <c r="AY76" i="1"/>
  <c r="AZ76" i="1"/>
  <c r="BA76" i="1"/>
  <c r="AY77" i="1"/>
  <c r="AZ77" i="1"/>
  <c r="BA77" i="1"/>
  <c r="AY78" i="1"/>
  <c r="AZ78" i="1"/>
  <c r="BA78" i="1"/>
  <c r="AY79" i="1"/>
  <c r="AZ79" i="1"/>
  <c r="BA79" i="1"/>
  <c r="AY80" i="1"/>
  <c r="AZ80" i="1"/>
  <c r="BA80" i="1"/>
  <c r="AY81" i="1"/>
  <c r="AZ81" i="1"/>
  <c r="BA81" i="1"/>
  <c r="AY82" i="1"/>
  <c r="AZ82" i="1"/>
  <c r="BA82" i="1"/>
  <c r="AY83" i="1"/>
  <c r="AZ83" i="1"/>
  <c r="BA83" i="1"/>
  <c r="AY84" i="1"/>
  <c r="AZ84" i="1"/>
  <c r="BA84" i="1"/>
  <c r="AY85" i="1"/>
  <c r="AZ85" i="1"/>
  <c r="BA85" i="1"/>
  <c r="AY86" i="1"/>
  <c r="AZ86" i="1"/>
  <c r="BA86" i="1"/>
  <c r="AY87" i="1"/>
  <c r="AZ87" i="1"/>
  <c r="BA87" i="1"/>
  <c r="AY88" i="1"/>
  <c r="AZ88" i="1"/>
  <c r="BA88" i="1"/>
  <c r="AY89" i="1"/>
  <c r="AZ89" i="1"/>
  <c r="BA89" i="1"/>
  <c r="AY90" i="1"/>
  <c r="AZ90" i="1"/>
  <c r="BA90" i="1"/>
  <c r="AY91" i="1"/>
  <c r="AZ91" i="1"/>
  <c r="BA91" i="1"/>
  <c r="AY92" i="1"/>
  <c r="AZ92" i="1"/>
  <c r="BA92" i="1"/>
  <c r="AY93" i="1"/>
  <c r="AZ93" i="1"/>
  <c r="BA93" i="1"/>
  <c r="AY94" i="1"/>
  <c r="AZ94" i="1"/>
  <c r="BA94" i="1"/>
  <c r="AY95" i="1"/>
  <c r="AZ95" i="1"/>
  <c r="BA95" i="1"/>
  <c r="AY96" i="1"/>
  <c r="AZ96" i="1"/>
  <c r="BA96" i="1"/>
  <c r="AY97" i="1"/>
  <c r="AZ97" i="1"/>
  <c r="BA97" i="1"/>
  <c r="AY98" i="1"/>
  <c r="AZ98" i="1"/>
  <c r="BA98" i="1"/>
  <c r="AY99" i="1"/>
  <c r="AZ99" i="1"/>
  <c r="BA99" i="1"/>
  <c r="AY100" i="1"/>
  <c r="AZ100" i="1"/>
  <c r="BA100" i="1"/>
  <c r="AY101" i="1"/>
  <c r="AZ101" i="1"/>
  <c r="BA101" i="1"/>
  <c r="AY102" i="1"/>
  <c r="AZ102" i="1"/>
  <c r="BA102" i="1"/>
  <c r="AY103" i="1"/>
  <c r="AZ103" i="1"/>
  <c r="BA103" i="1"/>
  <c r="AY104" i="1"/>
  <c r="AZ104" i="1"/>
  <c r="BA104" i="1"/>
  <c r="AY105" i="1"/>
  <c r="AZ105" i="1"/>
  <c r="BA105" i="1"/>
  <c r="AY106" i="1"/>
  <c r="AZ106" i="1"/>
  <c r="BA106" i="1"/>
  <c r="AY107" i="1"/>
  <c r="AZ107" i="1"/>
  <c r="BA107" i="1"/>
  <c r="AY108" i="1"/>
  <c r="AZ108" i="1"/>
  <c r="BA108" i="1"/>
  <c r="AY109" i="1"/>
  <c r="AZ109" i="1"/>
  <c r="BA109" i="1"/>
  <c r="AY110" i="1"/>
  <c r="AZ110" i="1"/>
  <c r="BA110" i="1"/>
  <c r="AY111" i="1"/>
  <c r="AZ111" i="1"/>
  <c r="BA111" i="1"/>
  <c r="AY112" i="1"/>
  <c r="AZ112" i="1"/>
  <c r="BA112" i="1"/>
  <c r="AY113" i="1"/>
  <c r="AZ113" i="1"/>
  <c r="BA113" i="1"/>
  <c r="AY114" i="1"/>
  <c r="AZ114" i="1"/>
  <c r="BA114" i="1"/>
  <c r="AY115" i="1"/>
  <c r="AZ115" i="1"/>
  <c r="BA115" i="1"/>
  <c r="AY116" i="1"/>
  <c r="AZ116" i="1"/>
  <c r="BA116" i="1"/>
  <c r="AY117" i="1"/>
  <c r="AZ117" i="1"/>
  <c r="BA117" i="1"/>
  <c r="AY118" i="1"/>
  <c r="AZ118" i="1"/>
  <c r="BA118" i="1"/>
  <c r="AY119" i="1"/>
  <c r="AZ119" i="1"/>
  <c r="BA119" i="1"/>
  <c r="AY120" i="1"/>
  <c r="AZ120" i="1"/>
  <c r="BA120" i="1"/>
  <c r="AY121" i="1"/>
  <c r="AZ121" i="1"/>
  <c r="BA121" i="1"/>
  <c r="AY122" i="1"/>
  <c r="AZ122" i="1"/>
  <c r="BA122" i="1"/>
  <c r="AY123" i="1"/>
  <c r="AZ123" i="1"/>
  <c r="BA123" i="1"/>
  <c r="AY124" i="1"/>
  <c r="AZ124" i="1"/>
  <c r="BA124" i="1"/>
  <c r="AY125" i="1"/>
  <c r="AZ125" i="1"/>
  <c r="BA125" i="1"/>
  <c r="AY126" i="1"/>
  <c r="AZ126" i="1"/>
  <c r="BA126" i="1"/>
  <c r="AY127" i="1"/>
  <c r="AZ127" i="1"/>
  <c r="BA127" i="1"/>
  <c r="AY128" i="1"/>
  <c r="AZ128" i="1"/>
  <c r="BA128" i="1"/>
  <c r="AY129" i="1"/>
  <c r="AZ129" i="1"/>
  <c r="BA129" i="1"/>
  <c r="AY130" i="1"/>
  <c r="AZ130" i="1"/>
  <c r="BA130" i="1"/>
  <c r="AY131" i="1"/>
  <c r="AZ131" i="1"/>
  <c r="BA131" i="1"/>
  <c r="AY132" i="1"/>
  <c r="AZ132" i="1"/>
  <c r="BA132" i="1"/>
  <c r="AY133" i="1"/>
  <c r="AZ133" i="1"/>
  <c r="BA133" i="1"/>
  <c r="AY134" i="1"/>
  <c r="AZ134" i="1"/>
  <c r="BA134" i="1"/>
  <c r="AY135" i="1"/>
  <c r="AZ135" i="1"/>
  <c r="BA135" i="1"/>
  <c r="AY136" i="1"/>
  <c r="AZ136" i="1"/>
  <c r="BA136" i="1"/>
  <c r="AY137" i="1"/>
  <c r="AZ137" i="1"/>
  <c r="BA137" i="1"/>
  <c r="AY138" i="1"/>
  <c r="AZ138" i="1"/>
  <c r="BA138" i="1"/>
  <c r="AY139" i="1"/>
  <c r="AZ139" i="1"/>
  <c r="BA139" i="1"/>
  <c r="AY140" i="1"/>
  <c r="AZ140" i="1"/>
  <c r="BA140" i="1"/>
  <c r="AY141" i="1"/>
  <c r="AZ141" i="1"/>
  <c r="BA141" i="1"/>
  <c r="AY142" i="1"/>
  <c r="AZ142" i="1"/>
  <c r="BA142" i="1"/>
  <c r="AY143" i="1"/>
  <c r="AZ143" i="1"/>
  <c r="BA143" i="1"/>
  <c r="AY144" i="1"/>
  <c r="AZ144" i="1"/>
  <c r="BA144" i="1"/>
  <c r="AY145" i="1"/>
  <c r="AZ145" i="1"/>
  <c r="BA145" i="1"/>
  <c r="AY146" i="1"/>
  <c r="AZ146" i="1"/>
  <c r="BA146" i="1"/>
  <c r="AY147" i="1"/>
  <c r="AZ147" i="1"/>
  <c r="BA147" i="1"/>
  <c r="AY148" i="1"/>
  <c r="AZ148" i="1"/>
  <c r="BA148" i="1"/>
  <c r="AY149" i="1"/>
  <c r="AZ149" i="1"/>
  <c r="BA149" i="1"/>
  <c r="AY150" i="1"/>
  <c r="AZ150" i="1"/>
  <c r="BA150" i="1"/>
  <c r="AY151" i="1"/>
  <c r="AZ151" i="1"/>
  <c r="BA151" i="1"/>
  <c r="AY152" i="1"/>
  <c r="AZ152" i="1"/>
  <c r="BA152" i="1"/>
  <c r="AY153" i="1"/>
  <c r="AZ153" i="1"/>
  <c r="BA153" i="1"/>
  <c r="AY154" i="1"/>
  <c r="AZ154" i="1"/>
  <c r="BA154" i="1"/>
  <c r="AY155" i="1"/>
  <c r="AZ155" i="1"/>
  <c r="BA155" i="1"/>
  <c r="AY156" i="1"/>
  <c r="AZ156" i="1"/>
  <c r="BA156" i="1"/>
  <c r="AY157" i="1"/>
  <c r="AZ157" i="1"/>
  <c r="BA157" i="1"/>
  <c r="AY158" i="1"/>
  <c r="AZ158" i="1"/>
  <c r="BA158" i="1"/>
  <c r="AY159" i="1"/>
  <c r="AZ159" i="1"/>
  <c r="BA159" i="1"/>
  <c r="AY160" i="1"/>
  <c r="AZ160" i="1"/>
  <c r="BA160" i="1"/>
  <c r="AY161" i="1"/>
  <c r="AZ161" i="1"/>
  <c r="BA161" i="1"/>
  <c r="AY162" i="1"/>
  <c r="AZ162" i="1"/>
  <c r="BA162" i="1"/>
  <c r="AY163" i="1"/>
  <c r="AZ163" i="1"/>
  <c r="BA163" i="1"/>
  <c r="AY164" i="1"/>
  <c r="AZ164" i="1"/>
  <c r="BA164" i="1"/>
  <c r="AY165" i="1"/>
  <c r="AZ165" i="1"/>
  <c r="BA165" i="1"/>
  <c r="AY166" i="1"/>
  <c r="AZ166" i="1"/>
  <c r="BA166" i="1"/>
  <c r="AY167" i="1"/>
  <c r="AZ167" i="1"/>
  <c r="BA167" i="1"/>
  <c r="AY168" i="1"/>
  <c r="AZ168" i="1"/>
  <c r="BA168" i="1"/>
  <c r="AY169" i="1"/>
  <c r="AZ169" i="1"/>
  <c r="BA169" i="1"/>
  <c r="AY170" i="1"/>
  <c r="AZ170" i="1"/>
  <c r="BA170" i="1"/>
  <c r="AY171" i="1"/>
  <c r="AZ171" i="1"/>
  <c r="BA171" i="1"/>
  <c r="AY172" i="1"/>
  <c r="AZ172" i="1"/>
  <c r="BA172" i="1"/>
  <c r="AY173" i="1"/>
  <c r="AZ173" i="1"/>
  <c r="BA173" i="1"/>
  <c r="AY174" i="1"/>
  <c r="AZ174" i="1"/>
  <c r="BA174" i="1"/>
  <c r="AY175" i="1"/>
  <c r="AZ175" i="1"/>
  <c r="BA175" i="1"/>
  <c r="AY176" i="1"/>
  <c r="AZ176" i="1"/>
  <c r="BA176" i="1"/>
  <c r="AY177" i="1"/>
  <c r="AZ177" i="1"/>
  <c r="BA177" i="1"/>
  <c r="AY178" i="1"/>
  <c r="AZ178" i="1"/>
  <c r="BA178" i="1"/>
  <c r="AY179" i="1"/>
  <c r="AZ179" i="1"/>
  <c r="BA179" i="1"/>
  <c r="AY180" i="1"/>
  <c r="AZ180" i="1"/>
  <c r="BA180" i="1"/>
  <c r="AY181" i="1"/>
  <c r="AZ181" i="1"/>
  <c r="BA181" i="1"/>
  <c r="AY182" i="1"/>
  <c r="AZ182" i="1"/>
  <c r="BA182" i="1"/>
  <c r="AY183" i="1"/>
  <c r="AZ183" i="1"/>
  <c r="BA183" i="1"/>
  <c r="AY184" i="1"/>
  <c r="AZ184" i="1"/>
  <c r="BA184" i="1"/>
  <c r="AY185" i="1"/>
  <c r="AZ185" i="1"/>
  <c r="BA185" i="1"/>
  <c r="AY186" i="1"/>
  <c r="AZ186" i="1"/>
  <c r="BA186" i="1"/>
  <c r="AY187" i="1"/>
  <c r="AZ187" i="1"/>
  <c r="BA187" i="1"/>
  <c r="AY188" i="1"/>
  <c r="AZ188" i="1"/>
  <c r="BA188" i="1"/>
  <c r="AY189" i="1"/>
  <c r="AZ189" i="1"/>
  <c r="BA189" i="1"/>
  <c r="AY190" i="1"/>
  <c r="AZ190" i="1"/>
  <c r="BA190" i="1"/>
  <c r="AY191" i="1"/>
  <c r="AZ191" i="1"/>
  <c r="BA191" i="1"/>
  <c r="AY192" i="1"/>
  <c r="AZ192" i="1"/>
  <c r="BA192" i="1"/>
  <c r="AY193" i="1"/>
  <c r="AZ193" i="1"/>
  <c r="BA193" i="1"/>
  <c r="AY194" i="1"/>
  <c r="AZ194" i="1"/>
  <c r="BA194" i="1"/>
  <c r="AY195" i="1"/>
  <c r="AZ195" i="1"/>
  <c r="BA195" i="1"/>
  <c r="AY196" i="1"/>
  <c r="AZ196" i="1"/>
  <c r="BA196" i="1"/>
  <c r="AY197" i="1"/>
  <c r="AZ197" i="1"/>
  <c r="BA197" i="1"/>
  <c r="AY198" i="1"/>
  <c r="AZ198" i="1"/>
  <c r="BA198" i="1"/>
  <c r="AY199" i="1"/>
  <c r="AZ199" i="1"/>
  <c r="BA199" i="1"/>
  <c r="AY200" i="1"/>
  <c r="AZ200" i="1"/>
  <c r="BA200" i="1"/>
  <c r="AY201" i="1"/>
  <c r="AZ201" i="1"/>
  <c r="BA201" i="1"/>
  <c r="AY202" i="1"/>
  <c r="AZ202" i="1"/>
  <c r="BA202" i="1"/>
  <c r="AY3" i="1"/>
  <c r="AZ3" i="1"/>
  <c r="BA3" i="1"/>
  <c r="AU4" i="1"/>
  <c r="AV4" i="1"/>
  <c r="AW4" i="1"/>
  <c r="AU5" i="1"/>
  <c r="AV5" i="1"/>
  <c r="AW5" i="1"/>
  <c r="AU6" i="1"/>
  <c r="AV6" i="1"/>
  <c r="AW6" i="1"/>
  <c r="AU7" i="1"/>
  <c r="AV7" i="1"/>
  <c r="AW7" i="1"/>
  <c r="AU8" i="1"/>
  <c r="AV8" i="1"/>
  <c r="AW8" i="1"/>
  <c r="AU9" i="1"/>
  <c r="AV9" i="1"/>
  <c r="AW9" i="1"/>
  <c r="AU10" i="1"/>
  <c r="AV10" i="1"/>
  <c r="AW10" i="1"/>
  <c r="AU11" i="1"/>
  <c r="AV11" i="1"/>
  <c r="AW11" i="1"/>
  <c r="AU12" i="1"/>
  <c r="AV12" i="1"/>
  <c r="AW12" i="1"/>
  <c r="AU13" i="1"/>
  <c r="AV13" i="1"/>
  <c r="AW13" i="1"/>
  <c r="AU14" i="1"/>
  <c r="AV14" i="1"/>
  <c r="AW14" i="1"/>
  <c r="AU15" i="1"/>
  <c r="AV15" i="1"/>
  <c r="AW15" i="1"/>
  <c r="AU16" i="1"/>
  <c r="AV16" i="1"/>
  <c r="AW16" i="1"/>
  <c r="AU17" i="1"/>
  <c r="AV17" i="1"/>
  <c r="AW17" i="1"/>
  <c r="AU18" i="1"/>
  <c r="AV18" i="1"/>
  <c r="AW18" i="1"/>
  <c r="AU19" i="1"/>
  <c r="AV19" i="1"/>
  <c r="AW19" i="1"/>
  <c r="AU20" i="1"/>
  <c r="AV20" i="1"/>
  <c r="AW20" i="1"/>
  <c r="AU21" i="1"/>
  <c r="AV21" i="1"/>
  <c r="AW21" i="1"/>
  <c r="AU22" i="1"/>
  <c r="AV22" i="1"/>
  <c r="AW22" i="1"/>
  <c r="AU23" i="1"/>
  <c r="AV23" i="1"/>
  <c r="AW23" i="1"/>
  <c r="AU24" i="1"/>
  <c r="AV24" i="1"/>
  <c r="AW24" i="1"/>
  <c r="AU25" i="1"/>
  <c r="AV25" i="1"/>
  <c r="AW25" i="1"/>
  <c r="AU26" i="1"/>
  <c r="AV26" i="1"/>
  <c r="AW26" i="1"/>
  <c r="AU27" i="1"/>
  <c r="AV27" i="1"/>
  <c r="AW27" i="1"/>
  <c r="AU28" i="1"/>
  <c r="AV28" i="1"/>
  <c r="AW28" i="1"/>
  <c r="AU29" i="1"/>
  <c r="AV29" i="1"/>
  <c r="AW29" i="1"/>
  <c r="AU30" i="1"/>
  <c r="AV30" i="1"/>
  <c r="AW30" i="1"/>
  <c r="AU31" i="1"/>
  <c r="AV31" i="1"/>
  <c r="AW31" i="1"/>
  <c r="AU32" i="1"/>
  <c r="AV32" i="1"/>
  <c r="AW32" i="1"/>
  <c r="AU33" i="1"/>
  <c r="AV33" i="1"/>
  <c r="AW33" i="1"/>
  <c r="AU34" i="1"/>
  <c r="AV34" i="1"/>
  <c r="AW34" i="1"/>
  <c r="AU35" i="1"/>
  <c r="AV35" i="1"/>
  <c r="AW35" i="1"/>
  <c r="AU36" i="1"/>
  <c r="AV36" i="1"/>
  <c r="AW36" i="1"/>
  <c r="AU37" i="1"/>
  <c r="AV37" i="1"/>
  <c r="AW37" i="1"/>
  <c r="AU38" i="1"/>
  <c r="AV38" i="1"/>
  <c r="AW38" i="1"/>
  <c r="AU39" i="1"/>
  <c r="AV39" i="1"/>
  <c r="AW39" i="1"/>
  <c r="AU40" i="1"/>
  <c r="AV40" i="1"/>
  <c r="AW40" i="1"/>
  <c r="AU41" i="1"/>
  <c r="AV41" i="1"/>
  <c r="AW41" i="1"/>
  <c r="AU42" i="1"/>
  <c r="AV42" i="1"/>
  <c r="AW42" i="1"/>
  <c r="AU43" i="1"/>
  <c r="AV43" i="1"/>
  <c r="AW43" i="1"/>
  <c r="AU44" i="1"/>
  <c r="AV44" i="1"/>
  <c r="AW44" i="1"/>
  <c r="AU45" i="1"/>
  <c r="AV45" i="1"/>
  <c r="AW45" i="1"/>
  <c r="AU46" i="1"/>
  <c r="AV46" i="1"/>
  <c r="AW46" i="1"/>
  <c r="AU47" i="1"/>
  <c r="AV47" i="1"/>
  <c r="AW47" i="1"/>
  <c r="AU48" i="1"/>
  <c r="AV48" i="1"/>
  <c r="AW48" i="1"/>
  <c r="AU49" i="1"/>
  <c r="AV49" i="1"/>
  <c r="AW49" i="1"/>
  <c r="AU50" i="1"/>
  <c r="AV50" i="1"/>
  <c r="AW50" i="1"/>
  <c r="AU51" i="1"/>
  <c r="AV51" i="1"/>
  <c r="AW51" i="1"/>
  <c r="AU52" i="1"/>
  <c r="AV52" i="1"/>
  <c r="AW52" i="1"/>
  <c r="AU53" i="1"/>
  <c r="AV53" i="1"/>
  <c r="AW53" i="1"/>
  <c r="AU54" i="1"/>
  <c r="AV54" i="1"/>
  <c r="AW54" i="1"/>
  <c r="AU55" i="1"/>
  <c r="AV55" i="1"/>
  <c r="AW55" i="1"/>
  <c r="AU56" i="1"/>
  <c r="AV56" i="1"/>
  <c r="AW56" i="1"/>
  <c r="AU57" i="1"/>
  <c r="AV57" i="1"/>
  <c r="AW57" i="1"/>
  <c r="AU58" i="1"/>
  <c r="AV58" i="1"/>
  <c r="AW58" i="1"/>
  <c r="AU59" i="1"/>
  <c r="AV59" i="1"/>
  <c r="AW59" i="1"/>
  <c r="AU60" i="1"/>
  <c r="AV60" i="1"/>
  <c r="AW60" i="1"/>
  <c r="AU61" i="1"/>
  <c r="AV61" i="1"/>
  <c r="AW61" i="1"/>
  <c r="AU62" i="1"/>
  <c r="AV62" i="1"/>
  <c r="AW62" i="1"/>
  <c r="AU63" i="1"/>
  <c r="AV63" i="1"/>
  <c r="AW63" i="1"/>
  <c r="AU64" i="1"/>
  <c r="AV64" i="1"/>
  <c r="AW64" i="1"/>
  <c r="AU65" i="1"/>
  <c r="AV65" i="1"/>
  <c r="AW65" i="1"/>
  <c r="AU66" i="1"/>
  <c r="AV66" i="1"/>
  <c r="AW66" i="1"/>
  <c r="AU67" i="1"/>
  <c r="AV67" i="1"/>
  <c r="AW67" i="1"/>
  <c r="AU68" i="1"/>
  <c r="AV68" i="1"/>
  <c r="AW68" i="1"/>
  <c r="AU69" i="1"/>
  <c r="AV69" i="1"/>
  <c r="AW69" i="1"/>
  <c r="AU70" i="1"/>
  <c r="AV70" i="1"/>
  <c r="AW70" i="1"/>
  <c r="AU71" i="1"/>
  <c r="AV71" i="1"/>
  <c r="AW71" i="1"/>
  <c r="AU72" i="1"/>
  <c r="AV72" i="1"/>
  <c r="AW72" i="1"/>
  <c r="AU73" i="1"/>
  <c r="AV73" i="1"/>
  <c r="AW73" i="1"/>
  <c r="AU74" i="1"/>
  <c r="AV74" i="1"/>
  <c r="AW74" i="1"/>
  <c r="AU75" i="1"/>
  <c r="AV75" i="1"/>
  <c r="AW75" i="1"/>
  <c r="AU76" i="1"/>
  <c r="AV76" i="1"/>
  <c r="AW76" i="1"/>
  <c r="AU77" i="1"/>
  <c r="AV77" i="1"/>
  <c r="AW77" i="1"/>
  <c r="AU78" i="1"/>
  <c r="AV78" i="1"/>
  <c r="AW78" i="1"/>
  <c r="AU79" i="1"/>
  <c r="AV79" i="1"/>
  <c r="AW79" i="1"/>
  <c r="AU80" i="1"/>
  <c r="AV80" i="1"/>
  <c r="AW80" i="1"/>
  <c r="AU81" i="1"/>
  <c r="AV81" i="1"/>
  <c r="AW81" i="1"/>
  <c r="AU82" i="1"/>
  <c r="AV82" i="1"/>
  <c r="AW82" i="1"/>
  <c r="AU83" i="1"/>
  <c r="AV83" i="1"/>
  <c r="AW83" i="1"/>
  <c r="AU84" i="1"/>
  <c r="AV84" i="1"/>
  <c r="AW84" i="1"/>
  <c r="AU85" i="1"/>
  <c r="AV85" i="1"/>
  <c r="AW85" i="1"/>
  <c r="AU86" i="1"/>
  <c r="AV86" i="1"/>
  <c r="AW86" i="1"/>
  <c r="AU87" i="1"/>
  <c r="AV87" i="1"/>
  <c r="AW87" i="1"/>
  <c r="AU88" i="1"/>
  <c r="AV88" i="1"/>
  <c r="AW88" i="1"/>
  <c r="AU89" i="1"/>
  <c r="AV89" i="1"/>
  <c r="AW89" i="1"/>
  <c r="AU90" i="1"/>
  <c r="AV90" i="1"/>
  <c r="AW90" i="1"/>
  <c r="AU91" i="1"/>
  <c r="AV91" i="1"/>
  <c r="AW91" i="1"/>
  <c r="AU92" i="1"/>
  <c r="AV92" i="1"/>
  <c r="AW92" i="1"/>
  <c r="AU93" i="1"/>
  <c r="AV93" i="1"/>
  <c r="AW93" i="1"/>
  <c r="AU94" i="1"/>
  <c r="AV94" i="1"/>
  <c r="AW94" i="1"/>
  <c r="AU95" i="1"/>
  <c r="AV95" i="1"/>
  <c r="AW95" i="1"/>
  <c r="AU96" i="1"/>
  <c r="AV96" i="1"/>
  <c r="AW96" i="1"/>
  <c r="AU97" i="1"/>
  <c r="AV97" i="1"/>
  <c r="AW97" i="1"/>
  <c r="AU98" i="1"/>
  <c r="AV98" i="1"/>
  <c r="AW98" i="1"/>
  <c r="AU99" i="1"/>
  <c r="AV99" i="1"/>
  <c r="AW99" i="1"/>
  <c r="AU100" i="1"/>
  <c r="AV100" i="1"/>
  <c r="AW100" i="1"/>
  <c r="AU101" i="1"/>
  <c r="AV101" i="1"/>
  <c r="AW101" i="1"/>
  <c r="AU102" i="1"/>
  <c r="AV102" i="1"/>
  <c r="AW102" i="1"/>
  <c r="AU103" i="1"/>
  <c r="AV103" i="1"/>
  <c r="AW103" i="1"/>
  <c r="AU104" i="1"/>
  <c r="AV104" i="1"/>
  <c r="AW104" i="1"/>
  <c r="AU105" i="1"/>
  <c r="AV105" i="1"/>
  <c r="AW105" i="1"/>
  <c r="AU106" i="1"/>
  <c r="AV106" i="1"/>
  <c r="AW106" i="1"/>
  <c r="AU107" i="1"/>
  <c r="AV107" i="1"/>
  <c r="AW107" i="1"/>
  <c r="AU108" i="1"/>
  <c r="AV108" i="1"/>
  <c r="AW108" i="1"/>
  <c r="AU109" i="1"/>
  <c r="AV109" i="1"/>
  <c r="AW109" i="1"/>
  <c r="AU110" i="1"/>
  <c r="AV110" i="1"/>
  <c r="AW110" i="1"/>
  <c r="AU111" i="1"/>
  <c r="AV111" i="1"/>
  <c r="AW111" i="1"/>
  <c r="AU112" i="1"/>
  <c r="AV112" i="1"/>
  <c r="AW112" i="1"/>
  <c r="AU113" i="1"/>
  <c r="AV113" i="1"/>
  <c r="AW113" i="1"/>
  <c r="AU114" i="1"/>
  <c r="AV114" i="1"/>
  <c r="AW114" i="1"/>
  <c r="AU115" i="1"/>
  <c r="AV115" i="1"/>
  <c r="AW115" i="1"/>
  <c r="AU116" i="1"/>
  <c r="AV116" i="1"/>
  <c r="AW116" i="1"/>
  <c r="AU117" i="1"/>
  <c r="AV117" i="1"/>
  <c r="AW117" i="1"/>
  <c r="AU118" i="1"/>
  <c r="AV118" i="1"/>
  <c r="AW118" i="1"/>
  <c r="AU119" i="1"/>
  <c r="AV119" i="1"/>
  <c r="AW119" i="1"/>
  <c r="AU120" i="1"/>
  <c r="AV120" i="1"/>
  <c r="AW120" i="1"/>
  <c r="AU121" i="1"/>
  <c r="AV121" i="1"/>
  <c r="AW121" i="1"/>
  <c r="AU122" i="1"/>
  <c r="AV122" i="1"/>
  <c r="AW122" i="1"/>
  <c r="AU123" i="1"/>
  <c r="AV123" i="1"/>
  <c r="AW123" i="1"/>
  <c r="AU124" i="1"/>
  <c r="AV124" i="1"/>
  <c r="AW124" i="1"/>
  <c r="AU125" i="1"/>
  <c r="AV125" i="1"/>
  <c r="AW125" i="1"/>
  <c r="AU126" i="1"/>
  <c r="AV126" i="1"/>
  <c r="AW126" i="1"/>
  <c r="AU127" i="1"/>
  <c r="AV127" i="1"/>
  <c r="AW127" i="1"/>
  <c r="AU128" i="1"/>
  <c r="AV128" i="1"/>
  <c r="AW128" i="1"/>
  <c r="AU129" i="1"/>
  <c r="AV129" i="1"/>
  <c r="AW129" i="1"/>
  <c r="AU130" i="1"/>
  <c r="AV130" i="1"/>
  <c r="AW130" i="1"/>
  <c r="AU131" i="1"/>
  <c r="AV131" i="1"/>
  <c r="AW131" i="1"/>
  <c r="AU132" i="1"/>
  <c r="AV132" i="1"/>
  <c r="AW132" i="1"/>
  <c r="AU133" i="1"/>
  <c r="AV133" i="1"/>
  <c r="AW133" i="1"/>
  <c r="AU134" i="1"/>
  <c r="AV134" i="1"/>
  <c r="AW134" i="1"/>
  <c r="AU135" i="1"/>
  <c r="AV135" i="1"/>
  <c r="AW135" i="1"/>
  <c r="AU136" i="1"/>
  <c r="AV136" i="1"/>
  <c r="AW136" i="1"/>
  <c r="AU137" i="1"/>
  <c r="AV137" i="1"/>
  <c r="AW137" i="1"/>
  <c r="AU138" i="1"/>
  <c r="AV138" i="1"/>
  <c r="AW138" i="1"/>
  <c r="AU139" i="1"/>
  <c r="AV139" i="1"/>
  <c r="AW139" i="1"/>
  <c r="AU140" i="1"/>
  <c r="AV140" i="1"/>
  <c r="AW140" i="1"/>
  <c r="AU141" i="1"/>
  <c r="AV141" i="1"/>
  <c r="AW141" i="1"/>
  <c r="AU142" i="1"/>
  <c r="AV142" i="1"/>
  <c r="AW142" i="1"/>
  <c r="AU143" i="1"/>
  <c r="AV143" i="1"/>
  <c r="AW143" i="1"/>
  <c r="AU144" i="1"/>
  <c r="AV144" i="1"/>
  <c r="AW144" i="1"/>
  <c r="AU145" i="1"/>
  <c r="AV145" i="1"/>
  <c r="AW145" i="1"/>
  <c r="AU146" i="1"/>
  <c r="AV146" i="1"/>
  <c r="AW146" i="1"/>
  <c r="AU147" i="1"/>
  <c r="AV147" i="1"/>
  <c r="AW147" i="1"/>
  <c r="AU148" i="1"/>
  <c r="AV148" i="1"/>
  <c r="AW148" i="1"/>
  <c r="AU149" i="1"/>
  <c r="AV149" i="1"/>
  <c r="AW149" i="1"/>
  <c r="AU150" i="1"/>
  <c r="AV150" i="1"/>
  <c r="AW150" i="1"/>
  <c r="AU151" i="1"/>
  <c r="AV151" i="1"/>
  <c r="AW151" i="1"/>
  <c r="AU152" i="1"/>
  <c r="AV152" i="1"/>
  <c r="AW152" i="1"/>
  <c r="AU153" i="1"/>
  <c r="AV153" i="1"/>
  <c r="AW153" i="1"/>
  <c r="AU154" i="1"/>
  <c r="AV154" i="1"/>
  <c r="AW154" i="1"/>
  <c r="AU155" i="1"/>
  <c r="AV155" i="1"/>
  <c r="AW155" i="1"/>
  <c r="AU156" i="1"/>
  <c r="AV156" i="1"/>
  <c r="AW156" i="1"/>
  <c r="AU157" i="1"/>
  <c r="AV157" i="1"/>
  <c r="AW157" i="1"/>
  <c r="AU158" i="1"/>
  <c r="AV158" i="1"/>
  <c r="AW158" i="1"/>
  <c r="AU159" i="1"/>
  <c r="AV159" i="1"/>
  <c r="AW159" i="1"/>
  <c r="AU160" i="1"/>
  <c r="AV160" i="1"/>
  <c r="AW160" i="1"/>
  <c r="AU161" i="1"/>
  <c r="AV161" i="1"/>
  <c r="AW161" i="1"/>
  <c r="AU162" i="1"/>
  <c r="AV162" i="1"/>
  <c r="AW162" i="1"/>
  <c r="AU163" i="1"/>
  <c r="AV163" i="1"/>
  <c r="AW163" i="1"/>
  <c r="AU164" i="1"/>
  <c r="AV164" i="1"/>
  <c r="AW164" i="1"/>
  <c r="AU165" i="1"/>
  <c r="AV165" i="1"/>
  <c r="AW165" i="1"/>
  <c r="AU166" i="1"/>
  <c r="AV166" i="1"/>
  <c r="AW166" i="1"/>
  <c r="AU167" i="1"/>
  <c r="AV167" i="1"/>
  <c r="AW167" i="1"/>
  <c r="AU168" i="1"/>
  <c r="AV168" i="1"/>
  <c r="AW168" i="1"/>
  <c r="AU169" i="1"/>
  <c r="AV169" i="1"/>
  <c r="AW169" i="1"/>
  <c r="AU170" i="1"/>
  <c r="AV170" i="1"/>
  <c r="AW170" i="1"/>
  <c r="AU171" i="1"/>
  <c r="AV171" i="1"/>
  <c r="AW171" i="1"/>
  <c r="AU172" i="1"/>
  <c r="AV172" i="1"/>
  <c r="AW172" i="1"/>
  <c r="AU173" i="1"/>
  <c r="AV173" i="1"/>
  <c r="AW173" i="1"/>
  <c r="AU174" i="1"/>
  <c r="AV174" i="1"/>
  <c r="AW174" i="1"/>
  <c r="AU175" i="1"/>
  <c r="AV175" i="1"/>
  <c r="AW175" i="1"/>
  <c r="AU176" i="1"/>
  <c r="AV176" i="1"/>
  <c r="AW176" i="1"/>
  <c r="AU177" i="1"/>
  <c r="AV177" i="1"/>
  <c r="AW177" i="1"/>
  <c r="AU178" i="1"/>
  <c r="AV178" i="1"/>
  <c r="AW178" i="1"/>
  <c r="AU179" i="1"/>
  <c r="AV179" i="1"/>
  <c r="AW179" i="1"/>
  <c r="AU180" i="1"/>
  <c r="AV180" i="1"/>
  <c r="AW180" i="1"/>
  <c r="AU181" i="1"/>
  <c r="AV181" i="1"/>
  <c r="AW181" i="1"/>
  <c r="AU182" i="1"/>
  <c r="AV182" i="1"/>
  <c r="AW182" i="1"/>
  <c r="AU183" i="1"/>
  <c r="AV183" i="1"/>
  <c r="AW183" i="1"/>
  <c r="AU184" i="1"/>
  <c r="AV184" i="1"/>
  <c r="AW184" i="1"/>
  <c r="AU185" i="1"/>
  <c r="AV185" i="1"/>
  <c r="AW185" i="1"/>
  <c r="AU186" i="1"/>
  <c r="AV186" i="1"/>
  <c r="AW186" i="1"/>
  <c r="AU187" i="1"/>
  <c r="AV187" i="1"/>
  <c r="AW187" i="1"/>
  <c r="AU188" i="1"/>
  <c r="AV188" i="1"/>
  <c r="AW188" i="1"/>
  <c r="AU189" i="1"/>
  <c r="AV189" i="1"/>
  <c r="AW189" i="1"/>
  <c r="AU190" i="1"/>
  <c r="AV190" i="1"/>
  <c r="AW190" i="1"/>
  <c r="AU191" i="1"/>
  <c r="AV191" i="1"/>
  <c r="AW191" i="1"/>
  <c r="AU192" i="1"/>
  <c r="AV192" i="1"/>
  <c r="AW192" i="1"/>
  <c r="AU193" i="1"/>
  <c r="AV193" i="1"/>
  <c r="AW193" i="1"/>
  <c r="AU194" i="1"/>
  <c r="AV194" i="1"/>
  <c r="AW194" i="1"/>
  <c r="AU195" i="1"/>
  <c r="AV195" i="1"/>
  <c r="AW195" i="1"/>
  <c r="AU196" i="1"/>
  <c r="AV196" i="1"/>
  <c r="AW196" i="1"/>
  <c r="AU197" i="1"/>
  <c r="AV197" i="1"/>
  <c r="AW197" i="1"/>
  <c r="AU198" i="1"/>
  <c r="AV198" i="1"/>
  <c r="AW198" i="1"/>
  <c r="AU199" i="1"/>
  <c r="AV199" i="1"/>
  <c r="AW199" i="1"/>
  <c r="AU200" i="1"/>
  <c r="AV200" i="1"/>
  <c r="AW200" i="1"/>
  <c r="AU201" i="1"/>
  <c r="AV201" i="1"/>
  <c r="AW201" i="1"/>
  <c r="AU202" i="1"/>
  <c r="AV202" i="1"/>
  <c r="AW202" i="1"/>
  <c r="AQ4" i="1"/>
  <c r="AR4" i="1"/>
  <c r="AS4" i="1"/>
  <c r="AQ5" i="1"/>
  <c r="AR5" i="1"/>
  <c r="AS5" i="1"/>
  <c r="AQ6" i="1"/>
  <c r="AR6" i="1"/>
  <c r="AS6" i="1"/>
  <c r="AQ7" i="1"/>
  <c r="AR7" i="1"/>
  <c r="AS7" i="1"/>
  <c r="AQ8" i="1"/>
  <c r="AR8" i="1"/>
  <c r="AS8" i="1"/>
  <c r="AQ9" i="1"/>
  <c r="AR9" i="1"/>
  <c r="AS9" i="1"/>
  <c r="AQ10" i="1"/>
  <c r="AR10" i="1"/>
  <c r="AS10" i="1"/>
  <c r="AQ11" i="1"/>
  <c r="AR11" i="1"/>
  <c r="AS11" i="1"/>
  <c r="AQ12" i="1"/>
  <c r="AR12" i="1"/>
  <c r="AS12" i="1"/>
  <c r="AQ13" i="1"/>
  <c r="AR13" i="1"/>
  <c r="AS13" i="1"/>
  <c r="AQ14" i="1"/>
  <c r="AR14" i="1"/>
  <c r="AS14" i="1"/>
  <c r="AQ15" i="1"/>
  <c r="AR15" i="1"/>
  <c r="AS15" i="1"/>
  <c r="AQ16" i="1"/>
  <c r="AR16" i="1"/>
  <c r="AS16" i="1"/>
  <c r="AQ17" i="1"/>
  <c r="AR17" i="1"/>
  <c r="AS17" i="1"/>
  <c r="AQ18" i="1"/>
  <c r="AR18" i="1"/>
  <c r="AS18" i="1"/>
  <c r="AQ19" i="1"/>
  <c r="AR19" i="1"/>
  <c r="AS19" i="1"/>
  <c r="AQ20" i="1"/>
  <c r="AR20" i="1"/>
  <c r="AS20" i="1"/>
  <c r="AQ21" i="1"/>
  <c r="AR21" i="1"/>
  <c r="AS21" i="1"/>
  <c r="AQ22" i="1"/>
  <c r="AR22" i="1"/>
  <c r="AS22" i="1"/>
  <c r="AQ23" i="1"/>
  <c r="AR23" i="1"/>
  <c r="AS23" i="1"/>
  <c r="AQ24" i="1"/>
  <c r="AR24" i="1"/>
  <c r="AS24" i="1"/>
  <c r="AQ25" i="1"/>
  <c r="AR25" i="1"/>
  <c r="AS25" i="1"/>
  <c r="AQ26" i="1"/>
  <c r="AR26" i="1"/>
  <c r="AS26" i="1"/>
  <c r="AQ27" i="1"/>
  <c r="AR27" i="1"/>
  <c r="AS27" i="1"/>
  <c r="AQ28" i="1"/>
  <c r="AR28" i="1"/>
  <c r="AS28" i="1"/>
  <c r="AQ29" i="1"/>
  <c r="AR29" i="1"/>
  <c r="AS29" i="1"/>
  <c r="AQ30" i="1"/>
  <c r="AR30" i="1"/>
  <c r="AS30" i="1"/>
  <c r="AQ31" i="1"/>
  <c r="AR31" i="1"/>
  <c r="AS31" i="1"/>
  <c r="AQ32" i="1"/>
  <c r="AR32" i="1"/>
  <c r="AS32" i="1"/>
  <c r="AQ33" i="1"/>
  <c r="AR33" i="1"/>
  <c r="AS33" i="1"/>
  <c r="AQ34" i="1"/>
  <c r="AR34" i="1"/>
  <c r="AS34" i="1"/>
  <c r="AQ35" i="1"/>
  <c r="AR35" i="1"/>
  <c r="AS35" i="1"/>
  <c r="AQ36" i="1"/>
  <c r="AR36" i="1"/>
  <c r="AS36" i="1"/>
  <c r="AQ37" i="1"/>
  <c r="AR37" i="1"/>
  <c r="AS37" i="1"/>
  <c r="AQ38" i="1"/>
  <c r="AR38" i="1"/>
  <c r="AS38" i="1"/>
  <c r="AQ39" i="1"/>
  <c r="AR39" i="1"/>
  <c r="AS39" i="1"/>
  <c r="AQ40" i="1"/>
  <c r="AR40" i="1"/>
  <c r="AS40" i="1"/>
  <c r="AQ41" i="1"/>
  <c r="AR41" i="1"/>
  <c r="AS41" i="1"/>
  <c r="AQ42" i="1"/>
  <c r="AR42" i="1"/>
  <c r="AS42" i="1"/>
  <c r="AQ43" i="1"/>
  <c r="AR43" i="1"/>
  <c r="AS43" i="1"/>
  <c r="AQ44" i="1"/>
  <c r="AR44" i="1"/>
  <c r="AS44" i="1"/>
  <c r="AQ45" i="1"/>
  <c r="AR45" i="1"/>
  <c r="AS45" i="1"/>
  <c r="AQ46" i="1"/>
  <c r="AR46" i="1"/>
  <c r="AS46" i="1"/>
  <c r="AQ47" i="1"/>
  <c r="AR47" i="1"/>
  <c r="AS47" i="1"/>
  <c r="AQ48" i="1"/>
  <c r="AR48" i="1"/>
  <c r="AS48" i="1"/>
  <c r="AQ49" i="1"/>
  <c r="AR49" i="1"/>
  <c r="AS49" i="1"/>
  <c r="AQ50" i="1"/>
  <c r="AR50" i="1"/>
  <c r="AS50" i="1"/>
  <c r="AQ51" i="1"/>
  <c r="AR51" i="1"/>
  <c r="AS51" i="1"/>
  <c r="AQ52" i="1"/>
  <c r="AR52" i="1"/>
  <c r="AS52" i="1"/>
  <c r="AQ53" i="1"/>
  <c r="AR53" i="1"/>
  <c r="AS53" i="1"/>
  <c r="AQ54" i="1"/>
  <c r="AR54" i="1"/>
  <c r="AS54" i="1"/>
  <c r="AQ55" i="1"/>
  <c r="AR55" i="1"/>
  <c r="AS55" i="1"/>
  <c r="AQ56" i="1"/>
  <c r="AR56" i="1"/>
  <c r="AS56" i="1"/>
  <c r="AQ57" i="1"/>
  <c r="AR57" i="1"/>
  <c r="AS57" i="1"/>
  <c r="AQ58" i="1"/>
  <c r="AR58" i="1"/>
  <c r="AS58" i="1"/>
  <c r="AQ59" i="1"/>
  <c r="AR59" i="1"/>
  <c r="AS59" i="1"/>
  <c r="AQ60" i="1"/>
  <c r="AR60" i="1"/>
  <c r="AS60" i="1"/>
  <c r="AQ61" i="1"/>
  <c r="AR61" i="1"/>
  <c r="AS61" i="1"/>
  <c r="AQ62" i="1"/>
  <c r="AR62" i="1"/>
  <c r="AS62" i="1"/>
  <c r="AQ63" i="1"/>
  <c r="AR63" i="1"/>
  <c r="AS63" i="1"/>
  <c r="AQ64" i="1"/>
  <c r="AR64" i="1"/>
  <c r="AS64" i="1"/>
  <c r="AQ65" i="1"/>
  <c r="AR65" i="1"/>
  <c r="AS65" i="1"/>
  <c r="AQ66" i="1"/>
  <c r="AR66" i="1"/>
  <c r="AS66" i="1"/>
  <c r="AQ67" i="1"/>
  <c r="AR67" i="1"/>
  <c r="AS67" i="1"/>
  <c r="AQ68" i="1"/>
  <c r="AR68" i="1"/>
  <c r="AS68" i="1"/>
  <c r="AQ69" i="1"/>
  <c r="AR69" i="1"/>
  <c r="AS69" i="1"/>
  <c r="AQ70" i="1"/>
  <c r="AR70" i="1"/>
  <c r="AS70" i="1"/>
  <c r="AQ71" i="1"/>
  <c r="AR71" i="1"/>
  <c r="AS71" i="1"/>
  <c r="AQ72" i="1"/>
  <c r="AR72" i="1"/>
  <c r="AS72" i="1"/>
  <c r="AQ73" i="1"/>
  <c r="AR73" i="1"/>
  <c r="AS73" i="1"/>
  <c r="AQ74" i="1"/>
  <c r="AR74" i="1"/>
  <c r="AS74" i="1"/>
  <c r="AQ75" i="1"/>
  <c r="AR75" i="1"/>
  <c r="AS75" i="1"/>
  <c r="AQ76" i="1"/>
  <c r="AR76" i="1"/>
  <c r="AS76" i="1"/>
  <c r="AQ77" i="1"/>
  <c r="AR77" i="1"/>
  <c r="AS77" i="1"/>
  <c r="AQ78" i="1"/>
  <c r="AR78" i="1"/>
  <c r="AS78" i="1"/>
  <c r="AQ79" i="1"/>
  <c r="AR79" i="1"/>
  <c r="AS79" i="1"/>
  <c r="AQ80" i="1"/>
  <c r="AR80" i="1"/>
  <c r="AS80" i="1"/>
  <c r="AQ81" i="1"/>
  <c r="AR81" i="1"/>
  <c r="AS81" i="1"/>
  <c r="AQ82" i="1"/>
  <c r="AR82" i="1"/>
  <c r="AS82" i="1"/>
  <c r="AQ83" i="1"/>
  <c r="AR83" i="1"/>
  <c r="AS83" i="1"/>
  <c r="AQ84" i="1"/>
  <c r="AR84" i="1"/>
  <c r="AS84" i="1"/>
  <c r="AQ85" i="1"/>
  <c r="AR85" i="1"/>
  <c r="AS85" i="1"/>
  <c r="AQ86" i="1"/>
  <c r="AR86" i="1"/>
  <c r="AS86" i="1"/>
  <c r="AQ87" i="1"/>
  <c r="AR87" i="1"/>
  <c r="AS87" i="1"/>
  <c r="AQ88" i="1"/>
  <c r="AR88" i="1"/>
  <c r="AS88" i="1"/>
  <c r="AQ89" i="1"/>
  <c r="AR89" i="1"/>
  <c r="AS89" i="1"/>
  <c r="AQ90" i="1"/>
  <c r="AR90" i="1"/>
  <c r="AS90" i="1"/>
  <c r="AQ91" i="1"/>
  <c r="AR91" i="1"/>
  <c r="AS91" i="1"/>
  <c r="AQ92" i="1"/>
  <c r="AR92" i="1"/>
  <c r="AS92" i="1"/>
  <c r="AQ93" i="1"/>
  <c r="AR93" i="1"/>
  <c r="AS93" i="1"/>
  <c r="AQ94" i="1"/>
  <c r="AR94" i="1"/>
  <c r="AS94" i="1"/>
  <c r="AQ95" i="1"/>
  <c r="AR95" i="1"/>
  <c r="AS95" i="1"/>
  <c r="AQ96" i="1"/>
  <c r="AR96" i="1"/>
  <c r="AS96" i="1"/>
  <c r="AQ97" i="1"/>
  <c r="AR97" i="1"/>
  <c r="AS97" i="1"/>
  <c r="AQ98" i="1"/>
  <c r="AR98" i="1"/>
  <c r="AS98" i="1"/>
  <c r="AQ99" i="1"/>
  <c r="AR99" i="1"/>
  <c r="AS99" i="1"/>
  <c r="AQ100" i="1"/>
  <c r="AR100" i="1"/>
  <c r="AS100" i="1"/>
  <c r="AQ101" i="1"/>
  <c r="AR101" i="1"/>
  <c r="AS101" i="1"/>
  <c r="AQ102" i="1"/>
  <c r="AR102" i="1"/>
  <c r="AS102" i="1"/>
  <c r="AQ103" i="1"/>
  <c r="AR103" i="1"/>
  <c r="AS103" i="1"/>
  <c r="AQ104" i="1"/>
  <c r="AR104" i="1"/>
  <c r="AS104" i="1"/>
  <c r="AQ105" i="1"/>
  <c r="AR105" i="1"/>
  <c r="AS105" i="1"/>
  <c r="AQ106" i="1"/>
  <c r="AR106" i="1"/>
  <c r="AS106" i="1"/>
  <c r="AQ107" i="1"/>
  <c r="AR107" i="1"/>
  <c r="AS107" i="1"/>
  <c r="AQ108" i="1"/>
  <c r="AR108" i="1"/>
  <c r="AS108" i="1"/>
  <c r="AQ109" i="1"/>
  <c r="AR109" i="1"/>
  <c r="AS109" i="1"/>
  <c r="AQ110" i="1"/>
  <c r="AR110" i="1"/>
  <c r="AS110" i="1"/>
  <c r="AQ111" i="1"/>
  <c r="AR111" i="1"/>
  <c r="AS111" i="1"/>
  <c r="AQ112" i="1"/>
  <c r="AR112" i="1"/>
  <c r="AS112" i="1"/>
  <c r="AQ113" i="1"/>
  <c r="AR113" i="1"/>
  <c r="AS113" i="1"/>
  <c r="AQ114" i="1"/>
  <c r="AR114" i="1"/>
  <c r="AS114" i="1"/>
  <c r="AQ115" i="1"/>
  <c r="AR115" i="1"/>
  <c r="AS115" i="1"/>
  <c r="AQ116" i="1"/>
  <c r="AR116" i="1"/>
  <c r="AS116" i="1"/>
  <c r="AQ117" i="1"/>
  <c r="AR117" i="1"/>
  <c r="AS117" i="1"/>
  <c r="AQ118" i="1"/>
  <c r="AR118" i="1"/>
  <c r="AS118" i="1"/>
  <c r="AQ119" i="1"/>
  <c r="AR119" i="1"/>
  <c r="AS119" i="1"/>
  <c r="AQ120" i="1"/>
  <c r="AR120" i="1"/>
  <c r="AS120" i="1"/>
  <c r="AQ121" i="1"/>
  <c r="AR121" i="1"/>
  <c r="AS121" i="1"/>
  <c r="AQ122" i="1"/>
  <c r="AR122" i="1"/>
  <c r="AS122" i="1"/>
  <c r="AQ123" i="1"/>
  <c r="AR123" i="1"/>
  <c r="AS123" i="1"/>
  <c r="AQ124" i="1"/>
  <c r="AR124" i="1"/>
  <c r="AS124" i="1"/>
  <c r="AQ125" i="1"/>
  <c r="AR125" i="1"/>
  <c r="AS125" i="1"/>
  <c r="AQ126" i="1"/>
  <c r="AR126" i="1"/>
  <c r="AS126" i="1"/>
  <c r="AQ127" i="1"/>
  <c r="AR127" i="1"/>
  <c r="AS127" i="1"/>
  <c r="AQ128" i="1"/>
  <c r="AR128" i="1"/>
  <c r="AS128" i="1"/>
  <c r="AQ129" i="1"/>
  <c r="AR129" i="1"/>
  <c r="AS129" i="1"/>
  <c r="AQ130" i="1"/>
  <c r="AR130" i="1"/>
  <c r="AS130" i="1"/>
  <c r="AQ131" i="1"/>
  <c r="AR131" i="1"/>
  <c r="AS131" i="1"/>
  <c r="AQ132" i="1"/>
  <c r="AR132" i="1"/>
  <c r="AS132" i="1"/>
  <c r="AQ133" i="1"/>
  <c r="AR133" i="1"/>
  <c r="AS133" i="1"/>
  <c r="AQ134" i="1"/>
  <c r="AR134" i="1"/>
  <c r="AS134" i="1"/>
  <c r="AQ135" i="1"/>
  <c r="AR135" i="1"/>
  <c r="AS135" i="1"/>
  <c r="AQ136" i="1"/>
  <c r="AR136" i="1"/>
  <c r="AS136" i="1"/>
  <c r="AQ137" i="1"/>
  <c r="AR137" i="1"/>
  <c r="AS137" i="1"/>
  <c r="AQ138" i="1"/>
  <c r="AR138" i="1"/>
  <c r="AS138" i="1"/>
  <c r="AQ139" i="1"/>
  <c r="AR139" i="1"/>
  <c r="AS139" i="1"/>
  <c r="AQ140" i="1"/>
  <c r="AR140" i="1"/>
  <c r="AS140" i="1"/>
  <c r="AQ141" i="1"/>
  <c r="AR141" i="1"/>
  <c r="AS141" i="1"/>
  <c r="AQ142" i="1"/>
  <c r="AR142" i="1"/>
  <c r="AS142" i="1"/>
  <c r="AQ143" i="1"/>
  <c r="AR143" i="1"/>
  <c r="AS143" i="1"/>
  <c r="AQ144" i="1"/>
  <c r="AR144" i="1"/>
  <c r="AS144" i="1"/>
  <c r="AQ145" i="1"/>
  <c r="AR145" i="1"/>
  <c r="AS145" i="1"/>
  <c r="AQ146" i="1"/>
  <c r="AR146" i="1"/>
  <c r="AS146" i="1"/>
  <c r="AQ147" i="1"/>
  <c r="AR147" i="1"/>
  <c r="AS147" i="1"/>
  <c r="AQ148" i="1"/>
  <c r="AR148" i="1"/>
  <c r="AS148" i="1"/>
  <c r="AQ149" i="1"/>
  <c r="AR149" i="1"/>
  <c r="AS149" i="1"/>
  <c r="AQ150" i="1"/>
  <c r="AR150" i="1"/>
  <c r="AS150" i="1"/>
  <c r="AQ151" i="1"/>
  <c r="AR151" i="1"/>
  <c r="AS151" i="1"/>
  <c r="AQ152" i="1"/>
  <c r="AR152" i="1"/>
  <c r="AS152" i="1"/>
  <c r="AQ153" i="1"/>
  <c r="AR153" i="1"/>
  <c r="AS153" i="1"/>
  <c r="AQ154" i="1"/>
  <c r="AR154" i="1"/>
  <c r="AS154" i="1"/>
  <c r="AQ155" i="1"/>
  <c r="AR155" i="1"/>
  <c r="AS155" i="1"/>
  <c r="AQ156" i="1"/>
  <c r="AR156" i="1"/>
  <c r="AS156" i="1"/>
  <c r="AQ157" i="1"/>
  <c r="AR157" i="1"/>
  <c r="AS157" i="1"/>
  <c r="AQ158" i="1"/>
  <c r="AR158" i="1"/>
  <c r="AS158" i="1"/>
  <c r="AQ159" i="1"/>
  <c r="AR159" i="1"/>
  <c r="AS159" i="1"/>
  <c r="AQ160" i="1"/>
  <c r="AR160" i="1"/>
  <c r="AS160" i="1"/>
  <c r="AQ161" i="1"/>
  <c r="AR161" i="1"/>
  <c r="AS161" i="1"/>
  <c r="AQ162" i="1"/>
  <c r="AR162" i="1"/>
  <c r="AS162" i="1"/>
  <c r="AQ163" i="1"/>
  <c r="AR163" i="1"/>
  <c r="AS163" i="1"/>
  <c r="AQ164" i="1"/>
  <c r="AR164" i="1"/>
  <c r="AS164" i="1"/>
  <c r="AQ165" i="1"/>
  <c r="AR165" i="1"/>
  <c r="AS165" i="1"/>
  <c r="AQ166" i="1"/>
  <c r="AR166" i="1"/>
  <c r="AS166" i="1"/>
  <c r="AQ167" i="1"/>
  <c r="AR167" i="1"/>
  <c r="AS167" i="1"/>
  <c r="AQ168" i="1"/>
  <c r="AR168" i="1"/>
  <c r="AS168" i="1"/>
  <c r="AQ169" i="1"/>
  <c r="AR169" i="1"/>
  <c r="AS169" i="1"/>
  <c r="AQ170" i="1"/>
  <c r="AR170" i="1"/>
  <c r="AS170" i="1"/>
  <c r="AQ171" i="1"/>
  <c r="AR171" i="1"/>
  <c r="AS171" i="1"/>
  <c r="AQ172" i="1"/>
  <c r="AR172" i="1"/>
  <c r="AS172" i="1"/>
  <c r="AQ173" i="1"/>
  <c r="AR173" i="1"/>
  <c r="AS173" i="1"/>
  <c r="AQ174" i="1"/>
  <c r="AR174" i="1"/>
  <c r="AS174" i="1"/>
  <c r="AQ175" i="1"/>
  <c r="AR175" i="1"/>
  <c r="AS175" i="1"/>
  <c r="AQ176" i="1"/>
  <c r="AR176" i="1"/>
  <c r="AS176" i="1"/>
  <c r="AQ177" i="1"/>
  <c r="AR177" i="1"/>
  <c r="AS177" i="1"/>
  <c r="AQ178" i="1"/>
  <c r="AR178" i="1"/>
  <c r="AS178" i="1"/>
  <c r="AQ179" i="1"/>
  <c r="AR179" i="1"/>
  <c r="AS179" i="1"/>
  <c r="AQ180" i="1"/>
  <c r="AR180" i="1"/>
  <c r="AS180" i="1"/>
  <c r="AQ181" i="1"/>
  <c r="AR181" i="1"/>
  <c r="AS181" i="1"/>
  <c r="AQ182" i="1"/>
  <c r="AR182" i="1"/>
  <c r="AS182" i="1"/>
  <c r="AQ183" i="1"/>
  <c r="AR183" i="1"/>
  <c r="AS183" i="1"/>
  <c r="AQ184" i="1"/>
  <c r="AR184" i="1"/>
  <c r="AS184" i="1"/>
  <c r="AQ185" i="1"/>
  <c r="AR185" i="1"/>
  <c r="AS185" i="1"/>
  <c r="AQ186" i="1"/>
  <c r="AR186" i="1"/>
  <c r="AS186" i="1"/>
  <c r="AQ187" i="1"/>
  <c r="AR187" i="1"/>
  <c r="AS187" i="1"/>
  <c r="AQ188" i="1"/>
  <c r="AR188" i="1"/>
  <c r="AS188" i="1"/>
  <c r="AQ189" i="1"/>
  <c r="AR189" i="1"/>
  <c r="AS189" i="1"/>
  <c r="AQ190" i="1"/>
  <c r="AR190" i="1"/>
  <c r="AS190" i="1"/>
  <c r="AQ191" i="1"/>
  <c r="AR191" i="1"/>
  <c r="AS191" i="1"/>
  <c r="AQ192" i="1"/>
  <c r="AR192" i="1"/>
  <c r="AS192" i="1"/>
  <c r="AQ193" i="1"/>
  <c r="AR193" i="1"/>
  <c r="AS193" i="1"/>
  <c r="AQ194" i="1"/>
  <c r="AR194" i="1"/>
  <c r="AS194" i="1"/>
  <c r="AQ195" i="1"/>
  <c r="AR195" i="1"/>
  <c r="AS195" i="1"/>
  <c r="AQ196" i="1"/>
  <c r="AR196" i="1"/>
  <c r="AS196" i="1"/>
  <c r="AQ197" i="1"/>
  <c r="AR197" i="1"/>
  <c r="AS197" i="1"/>
  <c r="AQ198" i="1"/>
  <c r="AR198" i="1"/>
  <c r="AS198" i="1"/>
  <c r="AQ199" i="1"/>
  <c r="AR199" i="1"/>
  <c r="AS199" i="1"/>
  <c r="AQ200" i="1"/>
  <c r="AR200" i="1"/>
  <c r="AS200" i="1"/>
  <c r="AQ201" i="1"/>
  <c r="AR201" i="1"/>
  <c r="AS201" i="1"/>
  <c r="AQ202" i="1"/>
  <c r="AR202" i="1"/>
  <c r="AS202" i="1"/>
  <c r="AU3" i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<sst xmlns="http://schemas.openxmlformats.org/spreadsheetml/2006/main" count="90" uniqueCount="51">
  <si>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</si>
  <si>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</si>
  <si>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</si>
  <si>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</si>
  <si>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</si>
  <si>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</si>
  <si>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</si>
  <si>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</si>
  <si>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</si>
  <si>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</si>
  <si>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</si>
  <si>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</si>
  <si>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</si>
  <si>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</si>
  <si>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</si>
  <si>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</si>
  <si>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</si>
  <si>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</si>
  <si>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</si>
  <si>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</si>
  <si>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</si>
  <si>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</si>
  <si>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</si>
  <si>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</si>
  <si>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</si>
  <si>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</si>
  <si>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</si>
  <si>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</si>
  <si>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</si>
  <si>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</si>
  <si>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</si>
  <si>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</si>
  <si>
    <t>epsilon</t>
  </si>
  <si>
    <t>HR</t>
  </si>
  <si>
    <t>kernel</t>
  </si>
  <si>
    <t>KRR</t>
  </si>
  <si>
    <t>l1_ratio</t>
  </si>
  <si>
    <t>ENR</t>
  </si>
  <si>
    <t>iterations</t>
  </si>
  <si>
    <t>depth</t>
  </si>
  <si>
    <t>CATR</t>
  </si>
  <si>
    <t>GPR</t>
  </si>
  <si>
    <t>alpha_1</t>
  </si>
  <si>
    <t>lambda_1</t>
  </si>
  <si>
    <t>SBR</t>
  </si>
  <si>
    <t>eta0</t>
  </si>
  <si>
    <t>subsample</t>
  </si>
  <si>
    <t>colsample_bytree</t>
  </si>
  <si>
    <t>quantile</t>
  </si>
  <si>
    <t>fit_intercept</t>
  </si>
  <si>
    <t>XGBR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</si>
</sst>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10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3" fillId="4" borderId="2" xfId="1" applyBorder="1" applyAlignment="1">
      <alignment horizontal="center"/>
    </xf>
    <xf numFmtId="0" fontId="3" fillId="4" borderId="3" xfId="1" applyBorder="1" applyAlignment="1">
      <alignment horizontal="center"/>
    </xf>
    <xf numFmtId="0" fontId="3" fillId="4" borderId="1" xfId="1" applyAlignment="1">
      <alignment horizontal="center"/>
    </xf>
    <xf numFmtId="0" fontId="3" fillId="4" borderId="4" xfId="1" applyBorder="1" applyAlignment="1">
      <alignment horizontal="center"/>
    </xf>
    <xf numFmtId="0" fontId="0" fillId="0" borderId="0" xfId="0" applyAlignment="1">
      <alignment vertical="center" wrapText="1"/>
    </xf>
    <xf numFmtId="0" fontId="3" fillId="4" borderId="5" xfId="1" applyBorder="1" applyAlignment="1">
      <alignment horizontal="center"/>
    </xf>
    <xf numFmtId="0" fontId="3" fillId="4" borderId="0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L202"/>
  <sheetViews>
    <sheetView tabSelected="1" topLeftCell="BQ1" zoomScale="70" zoomScaleNormal="70" workbookViewId="0">
      <selection activeCell="CA14" sqref="CA14"/>
    </sheetView>
  </sheetViews>
  <sheetFormatPr defaultRowHeight="15" x14ac:dyDescent="0.25"/>
  <cols>
    <col min="43" max="43" width="23.85546875" customWidth="1"/>
    <col min="44" max="44" width="25.7109375" customWidth="1"/>
  </cols>
  <sheetData>
    <row r="1" spans="2:90" x14ac:dyDescent="0.25">
      <c r="B1" s="5" t="s">
        <v>3</v>
      </c>
      <c r="C1" s="5"/>
      <c r="D1" s="5"/>
      <c r="F1" s="5" t="s">
        <v>14</v>
      </c>
      <c r="G1" s="5"/>
      <c r="H1" s="5"/>
      <c r="I1" s="1"/>
      <c r="J1" s="5" t="s">
        <v>6</v>
      </c>
      <c r="K1" s="5"/>
      <c r="L1" s="5"/>
      <c r="M1" s="1"/>
      <c r="N1" s="3" t="s">
        <v>10</v>
      </c>
      <c r="O1" s="4"/>
      <c r="P1" s="1"/>
      <c r="Q1" s="3" t="s">
        <v>11</v>
      </c>
      <c r="R1" s="4"/>
      <c r="S1" s="1"/>
      <c r="T1" s="5" t="s">
        <v>15</v>
      </c>
      <c r="U1" s="5"/>
      <c r="V1" s="5"/>
      <c r="W1" s="1"/>
      <c r="X1" s="5" t="s">
        <v>16</v>
      </c>
      <c r="Y1" s="5"/>
      <c r="Z1" s="5"/>
      <c r="AB1" s="5" t="s">
        <v>20</v>
      </c>
      <c r="AC1" s="5"/>
      <c r="AD1" s="5"/>
      <c r="AE1" s="1"/>
      <c r="AF1" s="5" t="s">
        <v>22</v>
      </c>
      <c r="AG1" s="5"/>
      <c r="AH1" s="5"/>
      <c r="AJ1" s="3" t="s">
        <v>24</v>
      </c>
      <c r="AK1" s="4"/>
      <c r="AM1" s="3" t="s">
        <v>26</v>
      </c>
      <c r="AN1" s="6"/>
      <c r="AO1" s="6"/>
      <c r="AQ1" s="3" t="s">
        <v>30</v>
      </c>
      <c r="AR1" s="6"/>
      <c r="AS1" s="6"/>
      <c r="AU1" s="3" t="s">
        <v>31</v>
      </c>
      <c r="AV1" s="6"/>
      <c r="AW1" s="6"/>
      <c r="AY1" s="5" t="s">
        <v>33</v>
      </c>
      <c r="AZ1" s="5"/>
      <c r="BA1" s="5"/>
      <c r="BC1" s="5" t="s">
        <v>35</v>
      </c>
      <c r="BD1" s="5"/>
      <c r="BE1" s="5"/>
      <c r="BG1" s="5" t="s">
        <v>37</v>
      </c>
      <c r="BH1" s="5"/>
      <c r="BI1" s="5"/>
      <c r="BK1" s="5" t="s">
        <v>40</v>
      </c>
      <c r="BL1" s="5"/>
      <c r="BM1" s="5"/>
      <c r="BO1" s="3" t="s">
        <v>41</v>
      </c>
      <c r="BP1" s="4"/>
      <c r="BR1" s="5" t="s">
        <v>44</v>
      </c>
      <c r="BS1" s="5"/>
      <c r="BT1" s="5"/>
      <c r="BV1" s="8" t="s">
        <v>37</v>
      </c>
      <c r="BW1" s="9"/>
      <c r="BX1" s="9"/>
      <c r="BY1" s="9"/>
      <c r="BZ1" s="9"/>
      <c r="CB1" s="8" t="s">
        <v>50</v>
      </c>
      <c r="CC1" s="9"/>
      <c r="CD1" s="9"/>
      <c r="CE1" s="9"/>
      <c r="CF1" s="9"/>
      <c r="CH1" s="8" t="s">
        <v>22</v>
      </c>
      <c r="CI1" s="9"/>
      <c r="CJ1" s="9"/>
      <c r="CK1" s="9"/>
      <c r="CL1" s="9"/>
    </row>
    <row r="2" spans="2:90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  <c r="AY2" s="2" t="s">
        <v>32</v>
      </c>
      <c r="AZ2" s="2" t="s">
        <v>13</v>
      </c>
      <c r="BA2" s="2" t="s">
        <v>18</v>
      </c>
      <c r="BC2" s="2" t="s">
        <v>18</v>
      </c>
      <c r="BD2" s="2" t="s">
        <v>17</v>
      </c>
      <c r="BE2" s="2" t="s">
        <v>34</v>
      </c>
      <c r="BG2" s="2" t="s">
        <v>18</v>
      </c>
      <c r="BH2" s="2" t="s">
        <v>36</v>
      </c>
      <c r="BI2" s="2" t="s">
        <v>13</v>
      </c>
      <c r="BK2" s="2" t="s">
        <v>38</v>
      </c>
      <c r="BL2" s="2" t="s">
        <v>39</v>
      </c>
      <c r="BM2" s="2" t="s">
        <v>2</v>
      </c>
      <c r="BO2" s="2" t="s">
        <v>18</v>
      </c>
      <c r="BP2" s="2" t="s">
        <v>28</v>
      </c>
      <c r="BR2" s="2" t="s">
        <v>42</v>
      </c>
      <c r="BS2" s="2" t="s">
        <v>43</v>
      </c>
      <c r="BT2" s="2" t="s">
        <v>13</v>
      </c>
      <c r="BV2" s="2" t="s">
        <v>18</v>
      </c>
      <c r="BW2" s="2" t="s">
        <v>13</v>
      </c>
      <c r="BX2" s="2" t="s">
        <v>19</v>
      </c>
      <c r="BY2" s="2" t="s">
        <v>45</v>
      </c>
      <c r="BZ2" s="2" t="s">
        <v>36</v>
      </c>
      <c r="CB2" s="2" t="s">
        <v>0</v>
      </c>
      <c r="CC2" s="2" t="s">
        <v>1</v>
      </c>
      <c r="CD2" s="2" t="s">
        <v>2</v>
      </c>
      <c r="CE2" s="2" t="s">
        <v>46</v>
      </c>
      <c r="CF2" s="2" t="s">
        <v>47</v>
      </c>
      <c r="CH2" s="2" t="s">
        <v>18</v>
      </c>
      <c r="CI2" s="2" t="s">
        <v>48</v>
      </c>
      <c r="CJ2" s="2" t="s">
        <v>13</v>
      </c>
      <c r="CK2" s="2" t="s">
        <v>19</v>
      </c>
      <c r="CL2" s="2" t="s">
        <v>49</v>
      </c>
    </row>
    <row r="3" spans="2:90" x14ac:dyDescent="0.25">
      <c r="B3">
        <f ca="1">RANDBETWEEN(15,1000)</f>
        <v>282</v>
      </c>
      <c r="C3">
        <f ca="1">RANDBETWEEN(2,52)</f>
        <v>26</v>
      </c>
      <c r="D3">
        <f ca="1">RAND()*(0.3-0.01)+0.01</f>
        <v>0.28385226411987285</v>
      </c>
      <c r="F3" s="1">
        <f ca="1">RANDBETWEEN(2,52)</f>
        <v>42</v>
      </c>
      <c r="G3" s="1">
        <f ca="1">RANDBETWEEN(2,30)</f>
        <v>3</v>
      </c>
      <c r="H3" s="1">
        <f ca="1">RANDBETWEEN(1,15)</f>
        <v>10</v>
      </c>
      <c r="I3" s="1"/>
      <c r="J3" s="1">
        <f ca="1">RANDBETWEEN(1,39)</f>
        <v>31</v>
      </c>
      <c r="K3" s="1">
        <f ca="1">RAND()*(3-1)+1</f>
        <v>1.7010946199364092</v>
      </c>
      <c r="L3" s="1">
        <f ca="1">RANDBETWEEN(2,35)</f>
        <v>23</v>
      </c>
      <c r="M3" s="1"/>
      <c r="N3" s="1">
        <f ca="1">RANDBETWEEN(15,1000)</f>
        <v>831</v>
      </c>
      <c r="O3" s="1">
        <f ca="1">RANDBETWEEN(2,52)</f>
        <v>25</v>
      </c>
      <c r="P3" s="1"/>
      <c r="Q3" s="1">
        <f ca="1">RAND()*(5-0.01)+0.01</f>
        <v>4.9030192471141927</v>
      </c>
      <c r="R3" s="1">
        <f ca="1">RANDBETWEEN(200,1200)</f>
        <v>1086</v>
      </c>
      <c r="S3" s="1"/>
      <c r="T3" s="1">
        <f ca="1">RAND()*(0.2-0.01)+0.01</f>
        <v>0.1269118447280462</v>
      </c>
      <c r="U3" s="1">
        <f ca="1">RANDBETWEEN(50,450)</f>
        <v>67</v>
      </c>
      <c r="V3" s="1">
        <f ca="1">RANDBETWEEN(2,52)</f>
        <v>28</v>
      </c>
      <c r="W3" s="1"/>
      <c r="X3" s="1">
        <f ca="1">RAND()*(10-0.01)+0.01</f>
        <v>5.5415766774291768</v>
      </c>
      <c r="Y3" s="1">
        <f ca="1">RAND()*(1-0.0001)+0.0001</f>
        <v>0.62913906648880136</v>
      </c>
      <c r="Z3" s="1">
        <f ca="1">RANDBETWEEN(100,2000)</f>
        <v>1911</v>
      </c>
      <c r="AB3" s="1">
        <f ca="1">RAND()*(1-0.0001)+0.0001</f>
        <v>0.15139807018066298</v>
      </c>
      <c r="AC3" s="1">
        <f ca="1">RANDBETWEEN(100,1000)</f>
        <v>785</v>
      </c>
      <c r="AD3" s="1">
        <f ca="1">RAND()*(0.01-0.00001)+0.00001</f>
        <v>6.8112078468162973E-3</v>
      </c>
      <c r="AE3" s="1"/>
      <c r="AF3" s="1">
        <f ca="1">RAND()*(0.9-0.1)+0.1</f>
        <v>0.46274017252915167</v>
      </c>
      <c r="AG3" s="1">
        <f ca="1">RANDBETWEEN(100,1000)</f>
        <v>957</v>
      </c>
      <c r="AH3" s="1">
        <f ca="1">RAND()*(0.01-0.00001)+0.00001</f>
        <v>6.8124762077975886E-3</v>
      </c>
      <c r="AJ3" s="1">
        <f ca="1">RAND()*(1-0)+0</f>
        <v>0.47998649872478583</v>
      </c>
      <c r="AK3" s="1">
        <f ca="1">RAND()*(0.01-0.00001)+0.00001</f>
        <v>1.1470292875122444E-3</v>
      </c>
      <c r="AM3" s="1">
        <f ca="1">RAND()*(0.2-0.005)+0.005</f>
        <v>0.16868300257677318</v>
      </c>
      <c r="AN3" s="1">
        <f ca="1">RANDBETWEEN(10,80)</f>
        <v>61</v>
      </c>
      <c r="AO3" s="1">
        <f ca="1">RANDBETWEEN(-1,20)</f>
        <v>3</v>
      </c>
      <c r="AQ3" s="1">
        <f ca="1">RANDBETWEEN(10,200)</f>
        <v>34</v>
      </c>
      <c r="AR3" s="1">
        <f ca="1">RANDBETWEEN(0,10)</f>
        <v>9</v>
      </c>
      <c r="AS3" s="1">
        <f ca="1">RANDBETWEEN(1,100)</f>
        <v>80</v>
      </c>
      <c r="AU3" s="1">
        <f ca="1">RANDBETWEEN(50,400)</f>
        <v>334</v>
      </c>
      <c r="AV3" s="1">
        <f ca="1">RANDBETWEEN(2,10)</f>
        <v>3</v>
      </c>
      <c r="AW3" s="1">
        <f ca="1">RAND()*(0.2-0.01)+0.01</f>
        <v>2.1648145771120932E-2</v>
      </c>
      <c r="AY3" s="1">
        <f ca="1">RAND()*(2-1.1)+1.1</f>
        <v>1.7514039229996401</v>
      </c>
      <c r="AZ3" s="1">
        <f ca="1">RANDBETWEEN(50,500)</f>
        <v>332</v>
      </c>
      <c r="BA3" s="1">
        <f ca="1">RAND()*(0.01-0.00001)+0.00001</f>
        <v>7.6396057755749782E-3</v>
      </c>
      <c r="BC3" s="1">
        <f ca="1">RAND()*(1-0.0001)+0.0001</f>
        <v>0.97360679920473081</v>
      </c>
      <c r="BD3" s="1">
        <f ca="1">RAND()*(1-0.0001)+0.0001</f>
        <v>0.96170196188548751</v>
      </c>
      <c r="BE3" s="1">
        <f ca="1">RANDBETWEEN(0,2)</f>
        <v>0</v>
      </c>
      <c r="BG3" s="1">
        <f ca="1">RAND()*(1-0.0001)+0.0001</f>
        <v>1.9521567728330247E-2</v>
      </c>
      <c r="BH3" s="1">
        <f ca="1">RAND()*(1-0)+0</f>
        <v>0.20525815672091086</v>
      </c>
      <c r="BI3" s="1">
        <f ca="1">RANDBETWEEN(100,1000)</f>
        <v>152</v>
      </c>
      <c r="BK3" s="1">
        <f ca="1">RANDBETWEEN(100,600)</f>
        <v>208</v>
      </c>
      <c r="BL3" s="1">
        <f ca="1">RANDBETWEEN(3,10)</f>
        <v>9</v>
      </c>
      <c r="BM3" s="1">
        <f ca="1">RAND()*(0.3-0.01)+0.01</f>
        <v>5.2743594838737279E-2</v>
      </c>
      <c r="BO3" s="1">
        <f ca="1">RAND()*(0.1-0.000001)+0.000001</f>
        <v>9.6269565571760737E-2</v>
      </c>
      <c r="BP3" s="1">
        <f ca="1">RANDBETWEEN(0,15)</f>
        <v>5</v>
      </c>
      <c r="BR3" s="1">
        <f ca="1">RAND()*(0.01-0.000001)+0.000001</f>
        <v>9.7314955117630882E-3</v>
      </c>
      <c r="BS3" s="1">
        <f ca="1">RAND()*(0.01-0.000001)+0.000001</f>
        <v>7.4322870395070401E-3</v>
      </c>
      <c r="BT3" s="1">
        <f ca="1">RANDBETWEEN(100,1000)</f>
        <v>245</v>
      </c>
      <c r="BV3" s="1">
        <f ca="1">RAND()*(1-0.0001)+0.0001</f>
        <v>0.52360677124448585</v>
      </c>
      <c r="BW3" s="1">
        <f ca="1">RANDBETWEEN(100,1000)</f>
        <v>501</v>
      </c>
      <c r="BX3" s="1">
        <f ca="1">RAND()*(0.01-0.00001)+0.00001</f>
        <v>6.2773413434792013E-3</v>
      </c>
      <c r="BY3" s="1">
        <f ca="1">RAND()*(0.1-0.0001)+0.0001</f>
        <v>5.7315513380168812E-2</v>
      </c>
      <c r="BZ3" s="1">
        <f ca="1">RAND()*(1-0)+0</f>
        <v>3.6434187731324119E-2</v>
      </c>
      <c r="CB3" s="1">
        <f ca="1">RANDBETWEEN(50,500)</f>
        <v>251</v>
      </c>
      <c r="CC3" s="1">
        <f ca="1">RANDBETWEEN(3,15)</f>
        <v>11</v>
      </c>
      <c r="CD3" s="1">
        <f ca="1">RAND()*(0.3-0.01)+0.01</f>
        <v>0.12101522542292889</v>
      </c>
      <c r="CE3" s="1">
        <f ca="1">RAND()*(1-0.5)+0.5</f>
        <v>0.7552913062420773</v>
      </c>
      <c r="CF3" s="1">
        <f ca="1">RAND()*(1-0.5)+0.5</f>
        <v>0.7514199687983345</v>
      </c>
      <c r="CH3" s="7">
        <f ca="1">RAND()*(1-0.0001)+0.0001</f>
        <v>0.72070139133235445</v>
      </c>
      <c r="CI3" s="7">
        <f ca="1">RAND()*(0.99-0.01)+0.01</f>
        <v>0.18540452371951788</v>
      </c>
      <c r="CJ3" s="7">
        <f ca="1">RANDBETWEEN(100,2000)</f>
        <v>717</v>
      </c>
      <c r="CK3" s="7">
        <f ca="1">RAND()*(0.01-0.000001)+0.000001</f>
        <v>4.5073114468692759E-3</v>
      </c>
      <c r="CL3" s="7">
        <f ca="1">RANDBETWEEN(0,1)</f>
        <v>0</v>
      </c>
    </row>
    <row r="4" spans="2:90" x14ac:dyDescent="0.25">
      <c r="B4">
        <f t="shared" ref="B4:B67" ca="1" si="0">RANDBETWEEN(15,1000)</f>
        <v>309</v>
      </c>
      <c r="C4">
        <f t="shared" ref="C4:C67" ca="1" si="1">RANDBETWEEN(2,52)</f>
        <v>13</v>
      </c>
      <c r="D4">
        <f t="shared" ref="D4:D67" ca="1" si="2">RAND()*(0.3-0.01)+0.01</f>
        <v>5.0701619853864635E-2</v>
      </c>
      <c r="F4" s="1">
        <f t="shared" ref="F4:F67" ca="1" si="3">RANDBETWEEN(2,52)</f>
        <v>13</v>
      </c>
      <c r="G4" s="1">
        <f t="shared" ref="G4:G67" ca="1" si="4">RANDBETWEEN(2,30)</f>
        <v>5</v>
      </c>
      <c r="H4" s="1">
        <f t="shared" ref="H4:H67" ca="1" si="5">RANDBETWEEN(1,15)</f>
        <v>10</v>
      </c>
      <c r="I4" s="1"/>
      <c r="J4" s="1">
        <f t="shared" ref="J4:J67" ca="1" si="6">RANDBETWEEN(1,39)</f>
        <v>2</v>
      </c>
      <c r="K4" s="1">
        <f t="shared" ref="K4:K67" ca="1" si="7">RAND()*(3-1)+1</f>
        <v>2.339555646841089</v>
      </c>
      <c r="L4" s="1">
        <f t="shared" ref="L4:L67" ca="1" si="8">RANDBETWEEN(2,35)</f>
        <v>21</v>
      </c>
      <c r="M4" s="1"/>
      <c r="N4" s="1">
        <f t="shared" ref="N4:N67" ca="1" si="9">RANDBETWEEN(15,1000)</f>
        <v>250</v>
      </c>
      <c r="O4" s="1">
        <f t="shared" ref="O4:O67" ca="1" si="10">RANDBETWEEN(2,52)</f>
        <v>6</v>
      </c>
      <c r="P4" s="1"/>
      <c r="Q4" s="1">
        <f t="shared" ref="Q4:Q67" ca="1" si="11">RAND()*(5-0.01)+0.01</f>
        <v>1.7908135596118455</v>
      </c>
      <c r="R4" s="1">
        <f t="shared" ref="R4:R67" ca="1" si="12">RANDBETWEEN(200,1200)</f>
        <v>1084</v>
      </c>
      <c r="S4" s="1"/>
      <c r="T4" s="1">
        <f t="shared" ref="T4:T67" ca="1" si="13">RAND()*(0.2-0.01)+0.01</f>
        <v>0.10347070923357775</v>
      </c>
      <c r="U4" s="1">
        <f t="shared" ref="U4:U67" ca="1" si="14">RANDBETWEEN(50,450)</f>
        <v>159</v>
      </c>
      <c r="V4" s="1">
        <f t="shared" ref="V4:V67" ca="1" si="15">RANDBETWEEN(2,52)</f>
        <v>14</v>
      </c>
      <c r="W4" s="1"/>
      <c r="X4" s="1">
        <f t="shared" ref="X4:X67" ca="1" si="16">RAND()*(10-0.01)+0.01</f>
        <v>0.50972473353537395</v>
      </c>
      <c r="Y4" s="1">
        <f t="shared" ref="Y4:Y67" ca="1" si="17">RAND()*(1-0.0001)+0.0001</f>
        <v>0.44041102168347973</v>
      </c>
      <c r="Z4" s="1">
        <f t="shared" ref="Z4:Z67" ca="1" si="18">RANDBETWEEN(100,2000)</f>
        <v>921</v>
      </c>
      <c r="AB4" s="1">
        <f t="shared" ref="AB4:AB67" ca="1" si="19">RAND()*(1-0.0001)+0.0001</f>
        <v>0.82864851238377712</v>
      </c>
      <c r="AC4" s="1">
        <f t="shared" ref="AC4:AC67" ca="1" si="20">RANDBETWEEN(100,1000)</f>
        <v>868</v>
      </c>
      <c r="AD4" s="1">
        <f t="shared" ref="AD4:AD67" ca="1" si="21">RAND()*(0.01-0.00001)+0.00001</f>
        <v>9.4531455770068707E-3</v>
      </c>
      <c r="AE4" s="1"/>
      <c r="AF4" s="1">
        <f t="shared" ref="AF4:AF67" ca="1" si="22">RAND()*(0.9-0.1)+0.1</f>
        <v>0.63730428228412173</v>
      </c>
      <c r="AG4" s="1">
        <f t="shared" ref="AG4:AG67" ca="1" si="23">RANDBETWEEN(100,1000)</f>
        <v>571</v>
      </c>
      <c r="AH4" s="1">
        <f t="shared" ref="AH4:AH67" ca="1" si="24">RAND()*(0.01-0.00001)+0.00001</f>
        <v>2.8455945979450763E-4</v>
      </c>
      <c r="AJ4" s="1">
        <f t="shared" ref="AJ4:AJ67" ca="1" si="25">RAND()*(1-0)+0</f>
        <v>0.93104647335514046</v>
      </c>
      <c r="AK4" s="1">
        <f t="shared" ref="AK4:AK67" ca="1" si="26">RAND()*(0.01-0.00001)+0.00001</f>
        <v>5.4400781280960738E-4</v>
      </c>
      <c r="AL4" s="1"/>
      <c r="AM4" s="1">
        <f t="shared" ref="AM4:AM67" ca="1" si="27">RAND()*(0.2-0.005)+0.005</f>
        <v>0.14991067228395055</v>
      </c>
      <c r="AN4" s="1">
        <f t="shared" ref="AN4:AN67" ca="1" si="28">RANDBETWEEN(10,80)</f>
        <v>38</v>
      </c>
      <c r="AO4" s="1">
        <f t="shared" ref="AO4:AO67" ca="1" si="29">RANDBETWEEN(-1,20)</f>
        <v>12</v>
      </c>
      <c r="AQ4" s="1">
        <f t="shared" ref="AQ4:AQ67" ca="1" si="30">RANDBETWEEN(10,200)</f>
        <v>174</v>
      </c>
      <c r="AR4" s="1">
        <f t="shared" ref="AR4:AR67" ca="1" si="31">RANDBETWEEN(0,10)</f>
        <v>1</v>
      </c>
      <c r="AS4" s="1">
        <f t="shared" ref="AS4:AS67" ca="1" si="32">RANDBETWEEN(1,100)</f>
        <v>70</v>
      </c>
      <c r="AU4" s="1">
        <f t="shared" ref="AU4:AU67" ca="1" si="33">RANDBETWEEN(50,400)</f>
        <v>157</v>
      </c>
      <c r="AV4" s="1">
        <f t="shared" ref="AV4:AV67" ca="1" si="34">RANDBETWEEN(2,10)</f>
        <v>3</v>
      </c>
      <c r="AW4" s="1">
        <f t="shared" ref="AW4:AW67" ca="1" si="35">RAND()*(0.2-0.01)+0.01</f>
        <v>0.11344627757362354</v>
      </c>
      <c r="AY4" s="1">
        <f t="shared" ref="AY4:AY67" ca="1" si="36">RAND()*(2-1.1)+1.1</f>
        <v>1.7818592553450472</v>
      </c>
      <c r="AZ4" s="1">
        <f t="shared" ref="AZ4:AZ67" ca="1" si="37">RANDBETWEEN(50,500)</f>
        <v>245</v>
      </c>
      <c r="BA4" s="1">
        <f t="shared" ref="BA4:BA67" ca="1" si="38">RAND()*(0.01-0.00001)+0.00001</f>
        <v>2.2204460726485561E-4</v>
      </c>
      <c r="BV4" s="1">
        <f t="shared" ref="BV4:BV67" ca="1" si="39">RAND()*(1-0.0001)+0.0001</f>
        <v>0.15087805360725057</v>
      </c>
      <c r="BW4" s="1">
        <f t="shared" ref="BW4:BW67" ca="1" si="40">RANDBETWEEN(100,1000)</f>
        <v>421</v>
      </c>
      <c r="BX4" s="1">
        <f t="shared" ref="BX4:BX67" ca="1" si="41">RAND()*(0.01-0.00001)+0.00001</f>
        <v>8.2240696564615681E-4</v>
      </c>
      <c r="BY4" s="1">
        <f t="shared" ref="BY4:BY67" ca="1" si="42">RAND()*(0.1-0.0001)+0.0001</f>
        <v>3.7363481054276157E-2</v>
      </c>
      <c r="BZ4" s="1">
        <f t="shared" ref="BZ4:BZ67" ca="1" si="43">RAND()*(1-0)+0</f>
        <v>0.19221928515451403</v>
      </c>
      <c r="CB4" s="1">
        <f t="shared" ref="CB4:CB67" ca="1" si="44">RANDBETWEEN(50,500)</f>
        <v>384</v>
      </c>
      <c r="CC4" s="1">
        <f t="shared" ref="CC4:CC67" ca="1" si="45">RANDBETWEEN(3,15)</f>
        <v>3</v>
      </c>
      <c r="CD4" s="1">
        <f t="shared" ref="CD4:CD67" ca="1" si="46">RAND()*(0.3-0.01)+0.01</f>
        <v>0.11198146976077973</v>
      </c>
      <c r="CE4" s="1">
        <f t="shared" ref="CE4:CF35" ca="1" si="47">RAND()*(1-0.5)+0.5</f>
        <v>0.65529644029799683</v>
      </c>
      <c r="CF4" s="1">
        <f t="shared" ca="1" si="47"/>
        <v>0.52877858478146011</v>
      </c>
      <c r="CH4" s="7">
        <f t="shared" ref="CH4:CH67" ca="1" si="48">RAND()*(1-0.0001)+0.0001</f>
        <v>0.61237103050822572</v>
      </c>
      <c r="CI4" s="7">
        <f t="shared" ref="CI4:CI67" ca="1" si="49">RAND()*(0.99-0.01)+0.01</f>
        <v>0.67059821890625271</v>
      </c>
      <c r="CJ4" s="7">
        <f t="shared" ref="CJ4:CJ67" ca="1" si="50">RANDBETWEEN(100,2000)</f>
        <v>1744</v>
      </c>
      <c r="CK4" s="7">
        <f t="shared" ref="CK4:CK67" ca="1" si="51">RAND()*(0.01-0.000001)+0.000001</f>
        <v>5.0703374242668832E-3</v>
      </c>
      <c r="CL4" s="7">
        <f t="shared" ref="CL4:CL67" ca="1" si="52">RANDBETWEEN(0,1)</f>
        <v>1</v>
      </c>
    </row>
    <row r="5" spans="2:90" x14ac:dyDescent="0.25">
      <c r="B5">
        <f t="shared" ca="1" si="0"/>
        <v>349</v>
      </c>
      <c r="C5">
        <f t="shared" ca="1" si="1"/>
        <v>35</v>
      </c>
      <c r="D5">
        <f t="shared" ca="1" si="2"/>
        <v>2.3048362870510021E-2</v>
      </c>
      <c r="F5" s="1">
        <f t="shared" ca="1" si="3"/>
        <v>23</v>
      </c>
      <c r="G5" s="1">
        <f t="shared" ca="1" si="4"/>
        <v>7</v>
      </c>
      <c r="H5" s="1">
        <f t="shared" ca="1" si="5"/>
        <v>7</v>
      </c>
      <c r="I5" s="1"/>
      <c r="J5" s="1">
        <f t="shared" ca="1" si="6"/>
        <v>5</v>
      </c>
      <c r="K5" s="1">
        <f t="shared" ca="1" si="7"/>
        <v>2.3159310143895722</v>
      </c>
      <c r="L5" s="1">
        <f t="shared" ca="1" si="8"/>
        <v>3</v>
      </c>
      <c r="M5" s="1"/>
      <c r="N5" s="1">
        <f t="shared" ca="1" si="9"/>
        <v>968</v>
      </c>
      <c r="O5" s="1">
        <f t="shared" ca="1" si="10"/>
        <v>31</v>
      </c>
      <c r="P5" s="1"/>
      <c r="Q5" s="1">
        <f t="shared" ca="1" si="11"/>
        <v>1.3656519413689605</v>
      </c>
      <c r="R5" s="1">
        <f t="shared" ca="1" si="12"/>
        <v>988</v>
      </c>
      <c r="S5" s="1"/>
      <c r="T5" s="1">
        <f t="shared" ca="1" si="13"/>
        <v>0.16088036526812569</v>
      </c>
      <c r="U5" s="1">
        <f t="shared" ca="1" si="14"/>
        <v>290</v>
      </c>
      <c r="V5" s="1">
        <f t="shared" ca="1" si="15"/>
        <v>4</v>
      </c>
      <c r="W5" s="1"/>
      <c r="X5" s="1">
        <f t="shared" ca="1" si="16"/>
        <v>8.8835778072999076</v>
      </c>
      <c r="Y5" s="1">
        <f t="shared" ca="1" si="17"/>
        <v>0.70444547985583394</v>
      </c>
      <c r="Z5" s="1">
        <f t="shared" ca="1" si="18"/>
        <v>703</v>
      </c>
      <c r="AB5" s="1">
        <f t="shared" ca="1" si="19"/>
        <v>0.93321689113910411</v>
      </c>
      <c r="AC5" s="1">
        <f t="shared" ca="1" si="20"/>
        <v>944</v>
      </c>
      <c r="AD5" s="1">
        <f t="shared" ca="1" si="21"/>
        <v>6.3316611744018564E-3</v>
      </c>
      <c r="AE5" s="1"/>
      <c r="AF5" s="1">
        <f t="shared" ca="1" si="22"/>
        <v>0.84466345154454092</v>
      </c>
      <c r="AG5" s="1">
        <f t="shared" ca="1" si="23"/>
        <v>383</v>
      </c>
      <c r="AH5" s="1">
        <f t="shared" ca="1" si="24"/>
        <v>4.2756380670286838E-3</v>
      </c>
      <c r="AJ5" s="1">
        <f t="shared" ca="1" si="25"/>
        <v>0.52685569968724077</v>
      </c>
      <c r="AK5" s="1">
        <f t="shared" ca="1" si="26"/>
        <v>2.8165105276815416E-3</v>
      </c>
      <c r="AL5" s="1"/>
      <c r="AM5" s="1">
        <f t="shared" ca="1" si="27"/>
        <v>0.11581808961446695</v>
      </c>
      <c r="AN5" s="1">
        <f t="shared" ca="1" si="28"/>
        <v>11</v>
      </c>
      <c r="AO5" s="1">
        <f t="shared" ca="1" si="29"/>
        <v>6</v>
      </c>
      <c r="AQ5" s="1">
        <f t="shared" ca="1" si="30"/>
        <v>108</v>
      </c>
      <c r="AR5" s="1">
        <f t="shared" ca="1" si="31"/>
        <v>4</v>
      </c>
      <c r="AS5" s="1">
        <f t="shared" ca="1" si="32"/>
        <v>56</v>
      </c>
      <c r="AU5" s="1">
        <f t="shared" ca="1" si="33"/>
        <v>110</v>
      </c>
      <c r="AV5" s="1">
        <f t="shared" ca="1" si="34"/>
        <v>4</v>
      </c>
      <c r="AW5" s="1">
        <f t="shared" ca="1" si="35"/>
        <v>1.3189201985539085E-2</v>
      </c>
      <c r="AY5" s="1">
        <f t="shared" ca="1" si="36"/>
        <v>1.5682292569136012</v>
      </c>
      <c r="AZ5" s="1">
        <f t="shared" ca="1" si="37"/>
        <v>276</v>
      </c>
      <c r="BA5" s="1">
        <f t="shared" ca="1" si="38"/>
        <v>8.8708530946688714E-3</v>
      </c>
      <c r="BV5" s="1">
        <f t="shared" ca="1" si="39"/>
        <v>0.99449694233669272</v>
      </c>
      <c r="BW5" s="1">
        <f t="shared" ca="1" si="40"/>
        <v>276</v>
      </c>
      <c r="BX5" s="1">
        <f t="shared" ca="1" si="41"/>
        <v>6.4391731521548537E-4</v>
      </c>
      <c r="BY5" s="1">
        <f t="shared" ca="1" si="42"/>
        <v>1.9584564850476903E-2</v>
      </c>
      <c r="BZ5" s="1">
        <f t="shared" ca="1" si="43"/>
        <v>0.50468210593571139</v>
      </c>
      <c r="CB5" s="1">
        <f t="shared" ca="1" si="44"/>
        <v>266</v>
      </c>
      <c r="CC5" s="1">
        <f t="shared" ca="1" si="45"/>
        <v>10</v>
      </c>
      <c r="CD5" s="1">
        <f t="shared" ca="1" si="46"/>
        <v>0.24405917896357693</v>
      </c>
      <c r="CE5" s="1">
        <f t="shared" ca="1" si="47"/>
        <v>0.67127726014669387</v>
      </c>
      <c r="CF5" s="1">
        <f t="shared" ca="1" si="47"/>
        <v>0.75503126748061067</v>
      </c>
      <c r="CH5" s="7">
        <f t="shared" ca="1" si="48"/>
        <v>0.95666705290540321</v>
      </c>
      <c r="CI5" s="7">
        <f t="shared" ca="1" si="49"/>
        <v>0.6479453314571666</v>
      </c>
      <c r="CJ5" s="7">
        <f t="shared" ca="1" si="50"/>
        <v>589</v>
      </c>
      <c r="CK5" s="7">
        <f t="shared" ca="1" si="51"/>
        <v>5.0937598205375318E-3</v>
      </c>
      <c r="CL5" s="7">
        <f t="shared" ca="1" si="52"/>
        <v>1</v>
      </c>
    </row>
    <row r="6" spans="2:90" x14ac:dyDescent="0.25">
      <c r="B6">
        <f t="shared" ca="1" si="0"/>
        <v>905</v>
      </c>
      <c r="C6">
        <f t="shared" ca="1" si="1"/>
        <v>26</v>
      </c>
      <c r="D6">
        <f t="shared" ca="1" si="2"/>
        <v>0.11398961400596504</v>
      </c>
      <c r="F6" s="1">
        <f t="shared" ca="1" si="3"/>
        <v>35</v>
      </c>
      <c r="G6" s="1">
        <f t="shared" ca="1" si="4"/>
        <v>17</v>
      </c>
      <c r="H6" s="1">
        <f t="shared" ca="1" si="5"/>
        <v>12</v>
      </c>
      <c r="I6" s="1"/>
      <c r="J6" s="1">
        <f t="shared" ca="1" si="6"/>
        <v>33</v>
      </c>
      <c r="K6" s="1">
        <f t="shared" ca="1" si="7"/>
        <v>1.2541641281162077</v>
      </c>
      <c r="L6" s="1">
        <f t="shared" ca="1" si="8"/>
        <v>34</v>
      </c>
      <c r="M6" s="1"/>
      <c r="N6" s="1">
        <f t="shared" ca="1" si="9"/>
        <v>576</v>
      </c>
      <c r="O6" s="1">
        <f t="shared" ca="1" si="10"/>
        <v>29</v>
      </c>
      <c r="P6" s="1"/>
      <c r="Q6" s="1">
        <f t="shared" ca="1" si="11"/>
        <v>0.90455535207116355</v>
      </c>
      <c r="R6" s="1">
        <f t="shared" ca="1" si="12"/>
        <v>1027</v>
      </c>
      <c r="S6" s="1"/>
      <c r="T6" s="1">
        <f t="shared" ca="1" si="13"/>
        <v>4.3019894294112328E-2</v>
      </c>
      <c r="U6" s="1">
        <f t="shared" ca="1" si="14"/>
        <v>266</v>
      </c>
      <c r="V6" s="1">
        <f t="shared" ca="1" si="15"/>
        <v>25</v>
      </c>
      <c r="W6" s="1"/>
      <c r="X6" s="1">
        <f t="shared" ca="1" si="16"/>
        <v>1.7854267234995689</v>
      </c>
      <c r="Y6" s="1">
        <f t="shared" ca="1" si="17"/>
        <v>0.2130913266487407</v>
      </c>
      <c r="Z6" s="1">
        <f t="shared" ca="1" si="18"/>
        <v>766</v>
      </c>
      <c r="AB6" s="1">
        <f t="shared" ca="1" si="19"/>
        <v>0.50833886079068069</v>
      </c>
      <c r="AC6" s="1">
        <f t="shared" ca="1" si="20"/>
        <v>919</v>
      </c>
      <c r="AD6" s="1">
        <f t="shared" ca="1" si="21"/>
        <v>9.2213549633755783E-3</v>
      </c>
      <c r="AE6" s="1"/>
      <c r="AF6" s="1">
        <f t="shared" ca="1" si="22"/>
        <v>0.70892954974841804</v>
      </c>
      <c r="AG6" s="1">
        <f t="shared" ca="1" si="23"/>
        <v>242</v>
      </c>
      <c r="AH6" s="1">
        <f t="shared" ca="1" si="24"/>
        <v>6.828491604698418E-3</v>
      </c>
      <c r="AJ6" s="1">
        <f t="shared" ca="1" si="25"/>
        <v>0.9099094525023228</v>
      </c>
      <c r="AK6" s="1">
        <f t="shared" ca="1" si="26"/>
        <v>3.5868154382630562E-3</v>
      </c>
      <c r="AL6" s="1"/>
      <c r="AM6" s="1">
        <f t="shared" ca="1" si="27"/>
        <v>5.8459903312725235E-2</v>
      </c>
      <c r="AN6" s="1">
        <f t="shared" ca="1" si="28"/>
        <v>34</v>
      </c>
      <c r="AO6" s="1">
        <f t="shared" ca="1" si="29"/>
        <v>12</v>
      </c>
      <c r="AQ6" s="1">
        <f t="shared" ca="1" si="30"/>
        <v>39</v>
      </c>
      <c r="AR6" s="1">
        <f t="shared" ca="1" si="31"/>
        <v>2</v>
      </c>
      <c r="AS6" s="1">
        <f t="shared" ca="1" si="32"/>
        <v>99</v>
      </c>
      <c r="AU6" s="1">
        <f t="shared" ca="1" si="33"/>
        <v>76</v>
      </c>
      <c r="AV6" s="1">
        <f t="shared" ca="1" si="34"/>
        <v>9</v>
      </c>
      <c r="AW6" s="1">
        <f t="shared" ca="1" si="35"/>
        <v>2.4234425398819214E-2</v>
      </c>
      <c r="AY6" s="1">
        <f t="shared" ca="1" si="36"/>
        <v>1.7341834664393063</v>
      </c>
      <c r="AZ6" s="1">
        <f t="shared" ca="1" si="37"/>
        <v>157</v>
      </c>
      <c r="BA6" s="1">
        <f t="shared" ca="1" si="38"/>
        <v>3.8613195938884625E-3</v>
      </c>
      <c r="BV6" s="1">
        <f t="shared" ca="1" si="39"/>
        <v>0.26509786995956497</v>
      </c>
      <c r="BW6" s="1">
        <f t="shared" ca="1" si="40"/>
        <v>235</v>
      </c>
      <c r="BX6" s="1">
        <f t="shared" ca="1" si="41"/>
        <v>2.5611834752360353E-3</v>
      </c>
      <c r="BY6" s="1">
        <f t="shared" ca="1" si="42"/>
        <v>9.272801238946915E-2</v>
      </c>
      <c r="BZ6" s="1">
        <f t="shared" ca="1" si="43"/>
        <v>0.40110465830340369</v>
      </c>
      <c r="CB6" s="1">
        <f t="shared" ca="1" si="44"/>
        <v>245</v>
      </c>
      <c r="CC6" s="1">
        <f t="shared" ca="1" si="45"/>
        <v>9</v>
      </c>
      <c r="CD6" s="1">
        <f t="shared" ca="1" si="46"/>
        <v>0.21726941934704436</v>
      </c>
      <c r="CE6" s="1">
        <f t="shared" ca="1" si="47"/>
        <v>0.74085236353453265</v>
      </c>
      <c r="CF6" s="1">
        <f t="shared" ca="1" si="47"/>
        <v>0.56709408237900494</v>
      </c>
      <c r="CH6" s="7">
        <f t="shared" ca="1" si="48"/>
        <v>0.50378662247927142</v>
      </c>
      <c r="CI6" s="7">
        <f t="shared" ca="1" si="49"/>
        <v>0.3028957024366809</v>
      </c>
      <c r="CJ6" s="7">
        <f t="shared" ca="1" si="50"/>
        <v>1370</v>
      </c>
      <c r="CK6" s="7">
        <f t="shared" ca="1" si="51"/>
        <v>5.1324676504226532E-3</v>
      </c>
      <c r="CL6" s="7">
        <f t="shared" ca="1" si="52"/>
        <v>1</v>
      </c>
    </row>
    <row r="7" spans="2:90" x14ac:dyDescent="0.25">
      <c r="B7">
        <f t="shared" ca="1" si="0"/>
        <v>329</v>
      </c>
      <c r="C7">
        <f t="shared" ca="1" si="1"/>
        <v>30</v>
      </c>
      <c r="D7">
        <f t="shared" ca="1" si="2"/>
        <v>0.28139086806981128</v>
      </c>
      <c r="F7" s="1">
        <f t="shared" ca="1" si="3"/>
        <v>37</v>
      </c>
      <c r="G7" s="1">
        <f t="shared" ca="1" si="4"/>
        <v>29</v>
      </c>
      <c r="H7" s="1">
        <f t="shared" ca="1" si="5"/>
        <v>1</v>
      </c>
      <c r="I7" s="1"/>
      <c r="J7" s="1">
        <f t="shared" ca="1" si="6"/>
        <v>27</v>
      </c>
      <c r="K7" s="1">
        <f t="shared" ca="1" si="7"/>
        <v>1.5747775703448503</v>
      </c>
      <c r="L7" s="1">
        <f t="shared" ca="1" si="8"/>
        <v>33</v>
      </c>
      <c r="M7" s="1"/>
      <c r="N7" s="1">
        <f t="shared" ca="1" si="9"/>
        <v>793</v>
      </c>
      <c r="O7" s="1">
        <f t="shared" ca="1" si="10"/>
        <v>47</v>
      </c>
      <c r="P7" s="1"/>
      <c r="Q7" s="1">
        <f t="shared" ca="1" si="11"/>
        <v>2.7138880289398366</v>
      </c>
      <c r="R7" s="1">
        <f t="shared" ca="1" si="12"/>
        <v>667</v>
      </c>
      <c r="S7" s="1"/>
      <c r="T7" s="1">
        <f t="shared" ca="1" si="13"/>
        <v>0.19579066036698464</v>
      </c>
      <c r="U7" s="1">
        <f t="shared" ca="1" si="14"/>
        <v>433</v>
      </c>
      <c r="V7" s="1">
        <f t="shared" ca="1" si="15"/>
        <v>50</v>
      </c>
      <c r="W7" s="1"/>
      <c r="X7" s="1">
        <f t="shared" ca="1" si="16"/>
        <v>4.1159022167208521</v>
      </c>
      <c r="Y7" s="1">
        <f t="shared" ca="1" si="17"/>
        <v>0.79237317877958857</v>
      </c>
      <c r="Z7" s="1">
        <f t="shared" ca="1" si="18"/>
        <v>1604</v>
      </c>
      <c r="AB7" s="1">
        <f t="shared" ca="1" si="19"/>
        <v>0.54109473651199069</v>
      </c>
      <c r="AC7" s="1">
        <f t="shared" ca="1" si="20"/>
        <v>583</v>
      </c>
      <c r="AD7" s="1">
        <f t="shared" ca="1" si="21"/>
        <v>9.9848932616387956E-3</v>
      </c>
      <c r="AE7" s="1"/>
      <c r="AF7" s="1">
        <f t="shared" ca="1" si="22"/>
        <v>0.20756380156547127</v>
      </c>
      <c r="AG7" s="1">
        <f t="shared" ca="1" si="23"/>
        <v>661</v>
      </c>
      <c r="AH7" s="1">
        <f t="shared" ca="1" si="24"/>
        <v>3.5253628544911321E-3</v>
      </c>
      <c r="AJ7" s="1">
        <f t="shared" ca="1" si="25"/>
        <v>0.10039386953746166</v>
      </c>
      <c r="AK7" s="1">
        <f t="shared" ca="1" si="26"/>
        <v>5.8288215562436602E-3</v>
      </c>
      <c r="AL7" s="1"/>
      <c r="AM7" s="1">
        <f t="shared" ca="1" si="27"/>
        <v>9.5326538733606636E-2</v>
      </c>
      <c r="AN7" s="1">
        <f t="shared" ca="1" si="28"/>
        <v>23</v>
      </c>
      <c r="AO7" s="1">
        <f t="shared" ca="1" si="29"/>
        <v>8</v>
      </c>
      <c r="AQ7" s="1">
        <f t="shared" ca="1" si="30"/>
        <v>162</v>
      </c>
      <c r="AR7" s="1">
        <f t="shared" ca="1" si="31"/>
        <v>4</v>
      </c>
      <c r="AS7" s="1">
        <f t="shared" ca="1" si="32"/>
        <v>23</v>
      </c>
      <c r="AU7" s="1">
        <f t="shared" ca="1" si="33"/>
        <v>211</v>
      </c>
      <c r="AV7" s="1">
        <f t="shared" ca="1" si="34"/>
        <v>2</v>
      </c>
      <c r="AW7" s="1">
        <f t="shared" ca="1" si="35"/>
        <v>0.19010201074428845</v>
      </c>
      <c r="AY7" s="1">
        <f t="shared" ca="1" si="36"/>
        <v>1.9833876343753072</v>
      </c>
      <c r="AZ7" s="1">
        <f t="shared" ca="1" si="37"/>
        <v>132</v>
      </c>
      <c r="BA7" s="1">
        <f t="shared" ca="1" si="38"/>
        <v>1.0826705637355947E-3</v>
      </c>
      <c r="BV7" s="1">
        <f t="shared" ca="1" si="39"/>
        <v>0.61184071659222083</v>
      </c>
      <c r="BW7" s="1">
        <f t="shared" ca="1" si="40"/>
        <v>759</v>
      </c>
      <c r="BX7" s="1">
        <f t="shared" ca="1" si="41"/>
        <v>1.1151362157073197E-3</v>
      </c>
      <c r="BY7" s="1">
        <f t="shared" ca="1" si="42"/>
        <v>5.3495205482984191E-2</v>
      </c>
      <c r="BZ7" s="1">
        <f t="shared" ca="1" si="43"/>
        <v>0.32951475555189147</v>
      </c>
      <c r="CB7" s="1">
        <f t="shared" ca="1" si="44"/>
        <v>54</v>
      </c>
      <c r="CC7" s="1">
        <f t="shared" ca="1" si="45"/>
        <v>3</v>
      </c>
      <c r="CD7" s="1">
        <f t="shared" ca="1" si="46"/>
        <v>0.27396632192126191</v>
      </c>
      <c r="CE7" s="1">
        <f t="shared" ca="1" si="47"/>
        <v>0.96765739228086245</v>
      </c>
      <c r="CF7" s="1">
        <f t="shared" ca="1" si="47"/>
        <v>0.78010112166747991</v>
      </c>
      <c r="CH7" s="7">
        <f t="shared" ca="1" si="48"/>
        <v>0.41956178033397712</v>
      </c>
      <c r="CI7" s="7">
        <f t="shared" ca="1" si="49"/>
        <v>0.10930227240353671</v>
      </c>
      <c r="CJ7" s="7">
        <f t="shared" ca="1" si="50"/>
        <v>1085</v>
      </c>
      <c r="CK7" s="7">
        <f t="shared" ca="1" si="51"/>
        <v>6.5486016200705212E-3</v>
      </c>
      <c r="CL7" s="7">
        <f t="shared" ca="1" si="52"/>
        <v>1</v>
      </c>
    </row>
    <row r="8" spans="2:90" x14ac:dyDescent="0.25">
      <c r="B8">
        <f t="shared" ca="1" si="0"/>
        <v>93</v>
      </c>
      <c r="C8">
        <f t="shared" ca="1" si="1"/>
        <v>44</v>
      </c>
      <c r="D8">
        <f t="shared" ca="1" si="2"/>
        <v>0.16161438460974709</v>
      </c>
      <c r="F8" s="1">
        <f t="shared" ca="1" si="3"/>
        <v>41</v>
      </c>
      <c r="G8" s="1">
        <f t="shared" ca="1" si="4"/>
        <v>4</v>
      </c>
      <c r="H8" s="1">
        <f t="shared" ca="1" si="5"/>
        <v>12</v>
      </c>
      <c r="I8" s="1"/>
      <c r="J8" s="1">
        <f t="shared" ca="1" si="6"/>
        <v>14</v>
      </c>
      <c r="K8" s="1">
        <f t="shared" ca="1" si="7"/>
        <v>2.344328533281713</v>
      </c>
      <c r="L8" s="1">
        <f t="shared" ca="1" si="8"/>
        <v>33</v>
      </c>
      <c r="M8" s="1"/>
      <c r="N8" s="1">
        <f t="shared" ca="1" si="9"/>
        <v>479</v>
      </c>
      <c r="O8" s="1">
        <f t="shared" ca="1" si="10"/>
        <v>42</v>
      </c>
      <c r="P8" s="1"/>
      <c r="Q8" s="1">
        <f t="shared" ca="1" si="11"/>
        <v>3.9187491433320631</v>
      </c>
      <c r="R8" s="1">
        <f t="shared" ca="1" si="12"/>
        <v>692</v>
      </c>
      <c r="S8" s="1"/>
      <c r="T8" s="1">
        <f t="shared" ca="1" si="13"/>
        <v>0.12479725822185632</v>
      </c>
      <c r="U8" s="1">
        <f t="shared" ca="1" si="14"/>
        <v>402</v>
      </c>
      <c r="V8" s="1">
        <f t="shared" ca="1" si="15"/>
        <v>41</v>
      </c>
      <c r="W8" s="1"/>
      <c r="X8" s="1">
        <f t="shared" ca="1" si="16"/>
        <v>2.9612752844407755</v>
      </c>
      <c r="Y8" s="1">
        <f t="shared" ca="1" si="17"/>
        <v>0.32260911816298549</v>
      </c>
      <c r="Z8" s="1">
        <f t="shared" ca="1" si="18"/>
        <v>1373</v>
      </c>
      <c r="AB8" s="1">
        <f t="shared" ca="1" si="19"/>
        <v>0.91429679361984972</v>
      </c>
      <c r="AC8" s="1">
        <f t="shared" ca="1" si="20"/>
        <v>782</v>
      </c>
      <c r="AD8" s="1">
        <f t="shared" ca="1" si="21"/>
        <v>6.8438491247566138E-3</v>
      </c>
      <c r="AE8" s="1"/>
      <c r="AF8" s="1">
        <f t="shared" ca="1" si="22"/>
        <v>0.52847404363012018</v>
      </c>
      <c r="AG8" s="1">
        <f t="shared" ca="1" si="23"/>
        <v>295</v>
      </c>
      <c r="AH8" s="1">
        <f t="shared" ca="1" si="24"/>
        <v>5.7303147857945182E-3</v>
      </c>
      <c r="AJ8" s="1">
        <f t="shared" ca="1" si="25"/>
        <v>0.61321567402592847</v>
      </c>
      <c r="AK8" s="1">
        <f t="shared" ca="1" si="26"/>
        <v>6.9959430382352207E-3</v>
      </c>
      <c r="AL8" s="1"/>
      <c r="AM8" s="1">
        <f t="shared" ca="1" si="27"/>
        <v>9.6881997927764557E-2</v>
      </c>
      <c r="AN8" s="1">
        <f t="shared" ca="1" si="28"/>
        <v>24</v>
      </c>
      <c r="AO8" s="1">
        <f t="shared" ca="1" si="29"/>
        <v>3</v>
      </c>
      <c r="AQ8" s="1">
        <f t="shared" ca="1" si="30"/>
        <v>19</v>
      </c>
      <c r="AR8" s="1">
        <f t="shared" ca="1" si="31"/>
        <v>7</v>
      </c>
      <c r="AS8" s="1">
        <f t="shared" ca="1" si="32"/>
        <v>43</v>
      </c>
      <c r="AU8" s="1">
        <f t="shared" ca="1" si="33"/>
        <v>101</v>
      </c>
      <c r="AV8" s="1">
        <f t="shared" ca="1" si="34"/>
        <v>8</v>
      </c>
      <c r="AW8" s="1">
        <f t="shared" ca="1" si="35"/>
        <v>6.9319957320943648E-2</v>
      </c>
      <c r="AY8" s="1">
        <f t="shared" ca="1" si="36"/>
        <v>1.5371403111837223</v>
      </c>
      <c r="AZ8" s="1">
        <f t="shared" ca="1" si="37"/>
        <v>281</v>
      </c>
      <c r="BA8" s="1">
        <f t="shared" ca="1" si="38"/>
        <v>4.1199021151912159E-3</v>
      </c>
      <c r="BV8" s="1">
        <f t="shared" ca="1" si="39"/>
        <v>0.80326214176197253</v>
      </c>
      <c r="BW8" s="1">
        <f t="shared" ca="1" si="40"/>
        <v>871</v>
      </c>
      <c r="BX8" s="1">
        <f t="shared" ca="1" si="41"/>
        <v>5.6925177952828188E-4</v>
      </c>
      <c r="BY8" s="1">
        <f t="shared" ca="1" si="42"/>
        <v>4.9024593773249213E-2</v>
      </c>
      <c r="BZ8" s="1">
        <f t="shared" ca="1" si="43"/>
        <v>0.99855539275232863</v>
      </c>
      <c r="CB8" s="1">
        <f t="shared" ca="1" si="44"/>
        <v>306</v>
      </c>
      <c r="CC8" s="1">
        <f t="shared" ca="1" si="45"/>
        <v>3</v>
      </c>
      <c r="CD8" s="1">
        <f t="shared" ca="1" si="46"/>
        <v>0.12683860923660129</v>
      </c>
      <c r="CE8" s="1">
        <f t="shared" ca="1" si="47"/>
        <v>0.56596016555932094</v>
      </c>
      <c r="CF8" s="1">
        <f t="shared" ca="1" si="47"/>
        <v>0.67944507215084859</v>
      </c>
      <c r="CH8" s="7">
        <f t="shared" ca="1" si="48"/>
        <v>0.7685803329923272</v>
      </c>
      <c r="CI8" s="7">
        <f t="shared" ca="1" si="49"/>
        <v>0.64955617383296704</v>
      </c>
      <c r="CJ8" s="7">
        <f t="shared" ca="1" si="50"/>
        <v>666</v>
      </c>
      <c r="CK8" s="7">
        <f t="shared" ca="1" si="51"/>
        <v>9.2476868040341151E-3</v>
      </c>
      <c r="CL8" s="7">
        <f t="shared" ca="1" si="52"/>
        <v>0</v>
      </c>
    </row>
    <row r="9" spans="2:90" x14ac:dyDescent="0.25">
      <c r="B9">
        <f t="shared" ca="1" si="0"/>
        <v>840</v>
      </c>
      <c r="C9">
        <f t="shared" ca="1" si="1"/>
        <v>29</v>
      </c>
      <c r="D9">
        <f t="shared" ca="1" si="2"/>
        <v>0.11563475949627164</v>
      </c>
      <c r="F9" s="1">
        <f t="shared" ca="1" si="3"/>
        <v>25</v>
      </c>
      <c r="G9" s="1">
        <f t="shared" ca="1" si="4"/>
        <v>23</v>
      </c>
      <c r="H9" s="1">
        <f t="shared" ca="1" si="5"/>
        <v>13</v>
      </c>
      <c r="I9" s="1"/>
      <c r="J9" s="1">
        <f t="shared" ca="1" si="6"/>
        <v>18</v>
      </c>
      <c r="K9" s="1">
        <f t="shared" ca="1" si="7"/>
        <v>1.3717149829743582</v>
      </c>
      <c r="L9" s="1">
        <f t="shared" ca="1" si="8"/>
        <v>23</v>
      </c>
      <c r="M9" s="1"/>
      <c r="N9" s="1">
        <f t="shared" ca="1" si="9"/>
        <v>75</v>
      </c>
      <c r="O9" s="1">
        <f t="shared" ca="1" si="10"/>
        <v>43</v>
      </c>
      <c r="P9" s="1"/>
      <c r="Q9" s="1">
        <f t="shared" ca="1" si="11"/>
        <v>0.43453284785039681</v>
      </c>
      <c r="R9" s="1">
        <f t="shared" ca="1" si="12"/>
        <v>1168</v>
      </c>
      <c r="S9" s="1"/>
      <c r="T9" s="1">
        <f t="shared" ca="1" si="13"/>
        <v>7.0601173915454382E-2</v>
      </c>
      <c r="U9" s="1">
        <f t="shared" ca="1" si="14"/>
        <v>112</v>
      </c>
      <c r="V9" s="1">
        <f t="shared" ca="1" si="15"/>
        <v>28</v>
      </c>
      <c r="W9" s="1"/>
      <c r="X9" s="1">
        <f t="shared" ca="1" si="16"/>
        <v>5.5705567344500428</v>
      </c>
      <c r="Y9" s="1">
        <f t="shared" ca="1" si="17"/>
        <v>0.23007155622253053</v>
      </c>
      <c r="Z9" s="1">
        <f t="shared" ca="1" si="18"/>
        <v>1862</v>
      </c>
      <c r="AB9" s="1">
        <f t="shared" ca="1" si="19"/>
        <v>8.3521052304963775E-2</v>
      </c>
      <c r="AC9" s="1">
        <f t="shared" ca="1" si="20"/>
        <v>779</v>
      </c>
      <c r="AD9" s="1">
        <f t="shared" ca="1" si="21"/>
        <v>9.9338030700329445E-3</v>
      </c>
      <c r="AE9" s="1"/>
      <c r="AF9" s="1">
        <f t="shared" ca="1" si="22"/>
        <v>0.26557985111656618</v>
      </c>
      <c r="AG9" s="1">
        <f t="shared" ca="1" si="23"/>
        <v>111</v>
      </c>
      <c r="AH9" s="1">
        <f t="shared" ca="1" si="24"/>
        <v>8.2652752061949126E-3</v>
      </c>
      <c r="AJ9" s="1">
        <f t="shared" ca="1" si="25"/>
        <v>0.51356699980970266</v>
      </c>
      <c r="AK9" s="1">
        <f t="shared" ca="1" si="26"/>
        <v>4.424573035501503E-3</v>
      </c>
      <c r="AL9" s="1"/>
      <c r="AM9" s="1">
        <f t="shared" ca="1" si="27"/>
        <v>0.18276053612593343</v>
      </c>
      <c r="AN9" s="1">
        <f t="shared" ca="1" si="28"/>
        <v>75</v>
      </c>
      <c r="AO9" s="1">
        <f t="shared" ca="1" si="29"/>
        <v>3</v>
      </c>
      <c r="AQ9" s="1">
        <f t="shared" ca="1" si="30"/>
        <v>129</v>
      </c>
      <c r="AR9" s="1">
        <f t="shared" ca="1" si="31"/>
        <v>7</v>
      </c>
      <c r="AS9" s="1">
        <f t="shared" ca="1" si="32"/>
        <v>72</v>
      </c>
      <c r="AU9" s="1">
        <f t="shared" ca="1" si="33"/>
        <v>313</v>
      </c>
      <c r="AV9" s="1">
        <f t="shared" ca="1" si="34"/>
        <v>2</v>
      </c>
      <c r="AW9" s="1">
        <f t="shared" ca="1" si="35"/>
        <v>0.12047201300582541</v>
      </c>
      <c r="AY9" s="1">
        <f t="shared" ca="1" si="36"/>
        <v>1.6903108146767489</v>
      </c>
      <c r="AZ9" s="1">
        <f t="shared" ca="1" si="37"/>
        <v>403</v>
      </c>
      <c r="BA9" s="1">
        <f t="shared" ca="1" si="38"/>
        <v>3.2257225423965828E-3</v>
      </c>
      <c r="BV9" s="1">
        <f t="shared" ca="1" si="39"/>
        <v>6.18644670371066E-3</v>
      </c>
      <c r="BW9" s="1">
        <f t="shared" ca="1" si="40"/>
        <v>637</v>
      </c>
      <c r="BX9" s="1">
        <f t="shared" ca="1" si="41"/>
        <v>4.8188832525891548E-3</v>
      </c>
      <c r="BY9" s="1">
        <f t="shared" ca="1" si="42"/>
        <v>6.4090635088799638E-3</v>
      </c>
      <c r="BZ9" s="1">
        <f t="shared" ca="1" si="43"/>
        <v>0.78518773902146033</v>
      </c>
      <c r="CB9" s="1">
        <f t="shared" ca="1" si="44"/>
        <v>304</v>
      </c>
      <c r="CC9" s="1">
        <f t="shared" ca="1" si="45"/>
        <v>6</v>
      </c>
      <c r="CD9" s="1">
        <f t="shared" ca="1" si="46"/>
        <v>1.877364121452E-2</v>
      </c>
      <c r="CE9" s="1">
        <f t="shared" ca="1" si="47"/>
        <v>0.88581759773413116</v>
      </c>
      <c r="CF9" s="1">
        <f t="shared" ca="1" si="47"/>
        <v>0.51288279586553776</v>
      </c>
      <c r="CH9" s="7">
        <f t="shared" ca="1" si="48"/>
        <v>0.18617971632707081</v>
      </c>
      <c r="CI9" s="7">
        <f t="shared" ca="1" si="49"/>
        <v>0.87354992018340327</v>
      </c>
      <c r="CJ9" s="7">
        <f t="shared" ca="1" si="50"/>
        <v>1092</v>
      </c>
      <c r="CK9" s="7">
        <f t="shared" ca="1" si="51"/>
        <v>3.2815314274612186E-3</v>
      </c>
      <c r="CL9" s="7">
        <f t="shared" ca="1" si="52"/>
        <v>1</v>
      </c>
    </row>
    <row r="10" spans="2:90" x14ac:dyDescent="0.25">
      <c r="B10">
        <f t="shared" ca="1" si="0"/>
        <v>940</v>
      </c>
      <c r="C10">
        <f t="shared" ca="1" si="1"/>
        <v>47</v>
      </c>
      <c r="D10">
        <f t="shared" ca="1" si="2"/>
        <v>0.17440421728705027</v>
      </c>
      <c r="F10" s="1">
        <f t="shared" ca="1" si="3"/>
        <v>31</v>
      </c>
      <c r="G10" s="1">
        <f t="shared" ca="1" si="4"/>
        <v>7</v>
      </c>
      <c r="H10" s="1">
        <f t="shared" ca="1" si="5"/>
        <v>10</v>
      </c>
      <c r="I10" s="1"/>
      <c r="J10" s="1">
        <f t="shared" ca="1" si="6"/>
        <v>16</v>
      </c>
      <c r="K10" s="1">
        <f t="shared" ca="1" si="7"/>
        <v>1.9650652151107864</v>
      </c>
      <c r="L10" s="1">
        <f t="shared" ca="1" si="8"/>
        <v>2</v>
      </c>
      <c r="M10" s="1"/>
      <c r="N10" s="1">
        <f t="shared" ca="1" si="9"/>
        <v>285</v>
      </c>
      <c r="O10" s="1">
        <f t="shared" ca="1" si="10"/>
        <v>31</v>
      </c>
      <c r="P10" s="1"/>
      <c r="Q10" s="1">
        <f t="shared" ca="1" si="11"/>
        <v>3.0423338670323754</v>
      </c>
      <c r="R10" s="1">
        <f t="shared" ca="1" si="12"/>
        <v>486</v>
      </c>
      <c r="S10" s="1"/>
      <c r="T10" s="1">
        <f t="shared" ca="1" si="13"/>
        <v>3.4122734815132262E-2</v>
      </c>
      <c r="U10" s="1">
        <f t="shared" ca="1" si="14"/>
        <v>417</v>
      </c>
      <c r="V10" s="1">
        <f t="shared" ca="1" si="15"/>
        <v>21</v>
      </c>
      <c r="W10" s="1"/>
      <c r="X10" s="1">
        <f t="shared" ca="1" si="16"/>
        <v>3.3944422062071786</v>
      </c>
      <c r="Y10" s="1">
        <f t="shared" ca="1" si="17"/>
        <v>0.17790853647204088</v>
      </c>
      <c r="Z10" s="1">
        <f t="shared" ca="1" si="18"/>
        <v>988</v>
      </c>
      <c r="AB10" s="1">
        <f t="shared" ca="1" si="19"/>
        <v>0.98659702869724353</v>
      </c>
      <c r="AC10" s="1">
        <f t="shared" ca="1" si="20"/>
        <v>350</v>
      </c>
      <c r="AD10" s="1">
        <f t="shared" ca="1" si="21"/>
        <v>2.1481403379487148E-3</v>
      </c>
      <c r="AE10" s="1"/>
      <c r="AF10" s="1">
        <f t="shared" ca="1" si="22"/>
        <v>0.21272116477359404</v>
      </c>
      <c r="AG10" s="1">
        <f t="shared" ca="1" si="23"/>
        <v>888</v>
      </c>
      <c r="AH10" s="1">
        <f t="shared" ca="1" si="24"/>
        <v>9.5420204670976106E-3</v>
      </c>
      <c r="AJ10" s="1">
        <f t="shared" ca="1" si="25"/>
        <v>0.87454065664864611</v>
      </c>
      <c r="AK10" s="1">
        <f t="shared" ca="1" si="26"/>
        <v>8.7815376134363658E-4</v>
      </c>
      <c r="AL10" s="1"/>
      <c r="AM10" s="1">
        <f t="shared" ca="1" si="27"/>
        <v>0.11276527056696117</v>
      </c>
      <c r="AN10" s="1">
        <f t="shared" ca="1" si="28"/>
        <v>76</v>
      </c>
      <c r="AO10" s="1">
        <f t="shared" ca="1" si="29"/>
        <v>13</v>
      </c>
      <c r="AQ10" s="1">
        <f t="shared" ca="1" si="30"/>
        <v>140</v>
      </c>
      <c r="AR10" s="1">
        <f t="shared" ca="1" si="31"/>
        <v>1</v>
      </c>
      <c r="AS10" s="1">
        <f t="shared" ca="1" si="32"/>
        <v>76</v>
      </c>
      <c r="AU10" s="1">
        <f t="shared" ca="1" si="33"/>
        <v>344</v>
      </c>
      <c r="AV10" s="1">
        <f t="shared" ca="1" si="34"/>
        <v>5</v>
      </c>
      <c r="AW10" s="1">
        <f t="shared" ca="1" si="35"/>
        <v>0.12157309147844746</v>
      </c>
      <c r="AY10" s="1">
        <f t="shared" ca="1" si="36"/>
        <v>1.9547787706860804</v>
      </c>
      <c r="AZ10" s="1">
        <f t="shared" ca="1" si="37"/>
        <v>133</v>
      </c>
      <c r="BA10" s="1">
        <f t="shared" ca="1" si="38"/>
        <v>1.6101011691089559E-3</v>
      </c>
      <c r="BV10" s="1">
        <f t="shared" ca="1" si="39"/>
        <v>0.41862997722640594</v>
      </c>
      <c r="BW10" s="1">
        <f t="shared" ca="1" si="40"/>
        <v>933</v>
      </c>
      <c r="BX10" s="1">
        <f t="shared" ca="1" si="41"/>
        <v>2.0825676258178854E-3</v>
      </c>
      <c r="BY10" s="1">
        <f t="shared" ca="1" si="42"/>
        <v>9.8942403051327232E-2</v>
      </c>
      <c r="BZ10" s="1">
        <f t="shared" ca="1" si="43"/>
        <v>0.5832750269256527</v>
      </c>
      <c r="CB10" s="1">
        <f t="shared" ca="1" si="44"/>
        <v>444</v>
      </c>
      <c r="CC10" s="1">
        <f t="shared" ca="1" si="45"/>
        <v>7</v>
      </c>
      <c r="CD10" s="1">
        <f t="shared" ca="1" si="46"/>
        <v>0.25378208100184979</v>
      </c>
      <c r="CE10" s="1">
        <f t="shared" ca="1" si="47"/>
        <v>0.9279728209071465</v>
      </c>
      <c r="CF10" s="1">
        <f t="shared" ca="1" si="47"/>
        <v>0.61022827754166775</v>
      </c>
      <c r="CH10" s="7">
        <f t="shared" ca="1" si="48"/>
        <v>0.47062746896638774</v>
      </c>
      <c r="CI10" s="7">
        <f t="shared" ca="1" si="49"/>
        <v>0.26996343022027958</v>
      </c>
      <c r="CJ10" s="7">
        <f t="shared" ca="1" si="50"/>
        <v>1009</v>
      </c>
      <c r="CK10" s="7">
        <f t="shared" ca="1" si="51"/>
        <v>8.4014486414657492E-3</v>
      </c>
      <c r="CL10" s="7">
        <f t="shared" ca="1" si="52"/>
        <v>0</v>
      </c>
    </row>
    <row r="11" spans="2:90" x14ac:dyDescent="0.25">
      <c r="B11">
        <f t="shared" ca="1" si="0"/>
        <v>445</v>
      </c>
      <c r="C11">
        <f t="shared" ca="1" si="1"/>
        <v>48</v>
      </c>
      <c r="D11">
        <f t="shared" ca="1" si="2"/>
        <v>0.26093788837598075</v>
      </c>
      <c r="F11" s="1">
        <f t="shared" ca="1" si="3"/>
        <v>51</v>
      </c>
      <c r="G11" s="1">
        <f t="shared" ca="1" si="4"/>
        <v>30</v>
      </c>
      <c r="H11" s="1">
        <f t="shared" ca="1" si="5"/>
        <v>9</v>
      </c>
      <c r="I11" s="1"/>
      <c r="J11" s="1">
        <f t="shared" ca="1" si="6"/>
        <v>31</v>
      </c>
      <c r="K11" s="1">
        <f t="shared" ca="1" si="7"/>
        <v>1.9015078186850332</v>
      </c>
      <c r="L11" s="1">
        <f t="shared" ca="1" si="8"/>
        <v>22</v>
      </c>
      <c r="M11" s="1"/>
      <c r="N11" s="1">
        <f t="shared" ca="1" si="9"/>
        <v>273</v>
      </c>
      <c r="O11" s="1">
        <f t="shared" ca="1" si="10"/>
        <v>2</v>
      </c>
      <c r="P11" s="1"/>
      <c r="Q11" s="1">
        <f t="shared" ca="1" si="11"/>
        <v>4.9528903901288466</v>
      </c>
      <c r="R11" s="1">
        <f t="shared" ca="1" si="12"/>
        <v>584</v>
      </c>
      <c r="S11" s="1"/>
      <c r="T11" s="1">
        <f t="shared" ca="1" si="13"/>
        <v>5.5147148305312761E-2</v>
      </c>
      <c r="U11" s="1">
        <f t="shared" ca="1" si="14"/>
        <v>147</v>
      </c>
      <c r="V11" s="1">
        <f t="shared" ca="1" si="15"/>
        <v>5</v>
      </c>
      <c r="W11" s="1"/>
      <c r="X11" s="1">
        <f t="shared" ca="1" si="16"/>
        <v>1.5739805362968886</v>
      </c>
      <c r="Y11" s="1">
        <f t="shared" ca="1" si="17"/>
        <v>0.99384886227053049</v>
      </c>
      <c r="Z11" s="1">
        <f t="shared" ca="1" si="18"/>
        <v>890</v>
      </c>
      <c r="AB11" s="1">
        <f t="shared" ca="1" si="19"/>
        <v>0.9054863157647679</v>
      </c>
      <c r="AC11" s="1">
        <f t="shared" ca="1" si="20"/>
        <v>365</v>
      </c>
      <c r="AD11" s="1">
        <f t="shared" ca="1" si="21"/>
        <v>8.5549507504236073E-3</v>
      </c>
      <c r="AE11" s="1"/>
      <c r="AF11" s="1">
        <f t="shared" ca="1" si="22"/>
        <v>0.72350137567920825</v>
      </c>
      <c r="AG11" s="1">
        <f t="shared" ca="1" si="23"/>
        <v>157</v>
      </c>
      <c r="AH11" s="1">
        <f t="shared" ca="1" si="24"/>
        <v>2.9311360755881711E-3</v>
      </c>
      <c r="AJ11" s="1">
        <f t="shared" ca="1" si="25"/>
        <v>0.39991874075724654</v>
      </c>
      <c r="AK11" s="1">
        <f t="shared" ca="1" si="26"/>
        <v>3.0460424743100688E-3</v>
      </c>
      <c r="AL11" s="1"/>
      <c r="AM11" s="1">
        <f t="shared" ca="1" si="27"/>
        <v>0.17464470461913498</v>
      </c>
      <c r="AN11" s="1">
        <f t="shared" ca="1" si="28"/>
        <v>31</v>
      </c>
      <c r="AO11" s="1">
        <f t="shared" ca="1" si="29"/>
        <v>16</v>
      </c>
      <c r="AQ11" s="1">
        <f t="shared" ca="1" si="30"/>
        <v>59</v>
      </c>
      <c r="AR11" s="1">
        <f t="shared" ca="1" si="31"/>
        <v>6</v>
      </c>
      <c r="AS11" s="1">
        <f t="shared" ca="1" si="32"/>
        <v>61</v>
      </c>
      <c r="AU11" s="1">
        <f t="shared" ca="1" si="33"/>
        <v>101</v>
      </c>
      <c r="AV11" s="1">
        <f t="shared" ca="1" si="34"/>
        <v>3</v>
      </c>
      <c r="AW11" s="1">
        <f t="shared" ca="1" si="35"/>
        <v>9.4399695335884201E-2</v>
      </c>
      <c r="AY11" s="1">
        <f t="shared" ca="1" si="36"/>
        <v>1.3469517133580746</v>
      </c>
      <c r="AZ11" s="1">
        <f t="shared" ca="1" si="37"/>
        <v>476</v>
      </c>
      <c r="BA11" s="1">
        <f t="shared" ca="1" si="38"/>
        <v>3.8850542182599247E-4</v>
      </c>
      <c r="BV11" s="1">
        <f t="shared" ca="1" si="39"/>
        <v>0.25621798609780444</v>
      </c>
      <c r="BW11" s="1">
        <f t="shared" ca="1" si="40"/>
        <v>168</v>
      </c>
      <c r="BX11" s="1">
        <f t="shared" ca="1" si="41"/>
        <v>8.0270968921892245E-3</v>
      </c>
      <c r="BY11" s="1">
        <f t="shared" ca="1" si="42"/>
        <v>8.1518229120043417E-2</v>
      </c>
      <c r="BZ11" s="1">
        <f t="shared" ca="1" si="43"/>
        <v>0.19673260580027785</v>
      </c>
      <c r="CB11" s="1">
        <f t="shared" ca="1" si="44"/>
        <v>155</v>
      </c>
      <c r="CC11" s="1">
        <f t="shared" ca="1" si="45"/>
        <v>5</v>
      </c>
      <c r="CD11" s="1">
        <f t="shared" ca="1" si="46"/>
        <v>0.22672047255808686</v>
      </c>
      <c r="CE11" s="1">
        <f t="shared" ca="1" si="47"/>
        <v>0.80824452226716581</v>
      </c>
      <c r="CF11" s="1">
        <f t="shared" ca="1" si="47"/>
        <v>0.94586405858380718</v>
      </c>
      <c r="CH11" s="7">
        <f t="shared" ca="1" si="48"/>
        <v>0.65413718855421421</v>
      </c>
      <c r="CI11" s="7">
        <f t="shared" ca="1" si="49"/>
        <v>0.41575652913125755</v>
      </c>
      <c r="CJ11" s="7">
        <f t="shared" ca="1" si="50"/>
        <v>983</v>
      </c>
      <c r="CK11" s="7">
        <f t="shared" ca="1" si="51"/>
        <v>7.3248349069455349E-3</v>
      </c>
      <c r="CL11" s="7">
        <f t="shared" ca="1" si="52"/>
        <v>0</v>
      </c>
    </row>
    <row r="12" spans="2:90" x14ac:dyDescent="0.25">
      <c r="B12">
        <f t="shared" ca="1" si="0"/>
        <v>673</v>
      </c>
      <c r="C12">
        <f t="shared" ca="1" si="1"/>
        <v>39</v>
      </c>
      <c r="D12">
        <f t="shared" ca="1" si="2"/>
        <v>8.5771955463632074E-2</v>
      </c>
      <c r="F12" s="1">
        <f t="shared" ca="1" si="3"/>
        <v>34</v>
      </c>
      <c r="G12" s="1">
        <f t="shared" ca="1" si="4"/>
        <v>14</v>
      </c>
      <c r="H12" s="1">
        <f t="shared" ca="1" si="5"/>
        <v>10</v>
      </c>
      <c r="I12" s="1"/>
      <c r="J12" s="1">
        <f t="shared" ca="1" si="6"/>
        <v>26</v>
      </c>
      <c r="K12" s="1">
        <f t="shared" ca="1" si="7"/>
        <v>2.9935043547223739</v>
      </c>
      <c r="L12" s="1">
        <f t="shared" ca="1" si="8"/>
        <v>18</v>
      </c>
      <c r="M12" s="1"/>
      <c r="N12" s="1">
        <f t="shared" ca="1" si="9"/>
        <v>346</v>
      </c>
      <c r="O12" s="1">
        <f t="shared" ca="1" si="10"/>
        <v>47</v>
      </c>
      <c r="P12" s="1"/>
      <c r="Q12" s="1">
        <f t="shared" ca="1" si="11"/>
        <v>2.2757892396918398</v>
      </c>
      <c r="R12" s="1">
        <f t="shared" ca="1" si="12"/>
        <v>671</v>
      </c>
      <c r="S12" s="1"/>
      <c r="T12" s="1">
        <f t="shared" ca="1" si="13"/>
        <v>0.18239101784791192</v>
      </c>
      <c r="U12" s="1">
        <f t="shared" ca="1" si="14"/>
        <v>390</v>
      </c>
      <c r="V12" s="1">
        <f t="shared" ca="1" si="15"/>
        <v>38</v>
      </c>
      <c r="W12" s="1"/>
      <c r="X12" s="1">
        <f t="shared" ca="1" si="16"/>
        <v>0.76348317753187878</v>
      </c>
      <c r="Y12" s="1">
        <f t="shared" ca="1" si="17"/>
        <v>0.67812452017201552</v>
      </c>
      <c r="Z12" s="1">
        <f t="shared" ca="1" si="18"/>
        <v>469</v>
      </c>
      <c r="AB12" s="1">
        <f t="shared" ca="1" si="19"/>
        <v>5.9946664475200334E-2</v>
      </c>
      <c r="AC12" s="1">
        <f t="shared" ca="1" si="20"/>
        <v>171</v>
      </c>
      <c r="AD12" s="1">
        <f t="shared" ca="1" si="21"/>
        <v>7.7492694214094642E-4</v>
      </c>
      <c r="AE12" s="1"/>
      <c r="AF12" s="1">
        <f t="shared" ca="1" si="22"/>
        <v>0.87180066920263455</v>
      </c>
      <c r="AG12" s="1">
        <f t="shared" ca="1" si="23"/>
        <v>417</v>
      </c>
      <c r="AH12" s="1">
        <f t="shared" ca="1" si="24"/>
        <v>6.4515442291483349E-3</v>
      </c>
      <c r="AJ12" s="1">
        <f t="shared" ca="1" si="25"/>
        <v>0.624602341475887</v>
      </c>
      <c r="AK12" s="1">
        <f t="shared" ca="1" si="26"/>
        <v>6.4583475771405425E-3</v>
      </c>
      <c r="AL12" s="1"/>
      <c r="AM12" s="1">
        <f t="shared" ca="1" si="27"/>
        <v>7.8546648958311829E-2</v>
      </c>
      <c r="AN12" s="1">
        <f t="shared" ca="1" si="28"/>
        <v>43</v>
      </c>
      <c r="AO12" s="1">
        <f t="shared" ca="1" si="29"/>
        <v>7</v>
      </c>
      <c r="AQ12" s="1">
        <f t="shared" ca="1" si="30"/>
        <v>84</v>
      </c>
      <c r="AR12" s="1">
        <f t="shared" ca="1" si="31"/>
        <v>0</v>
      </c>
      <c r="AS12" s="1">
        <f t="shared" ca="1" si="32"/>
        <v>19</v>
      </c>
      <c r="AU12" s="1">
        <f t="shared" ca="1" si="33"/>
        <v>52</v>
      </c>
      <c r="AV12" s="1">
        <f t="shared" ca="1" si="34"/>
        <v>10</v>
      </c>
      <c r="AW12" s="1">
        <f t="shared" ca="1" si="35"/>
        <v>3.7715499193540912E-2</v>
      </c>
      <c r="AY12" s="1">
        <f t="shared" ca="1" si="36"/>
        <v>1.7646181281993956</v>
      </c>
      <c r="AZ12" s="1">
        <f t="shared" ca="1" si="37"/>
        <v>166</v>
      </c>
      <c r="BA12" s="1">
        <f t="shared" ca="1" si="38"/>
        <v>9.385384830252386E-3</v>
      </c>
      <c r="BV12" s="1">
        <f t="shared" ca="1" si="39"/>
        <v>0.33426895124954797</v>
      </c>
      <c r="BW12" s="1">
        <f t="shared" ca="1" si="40"/>
        <v>179</v>
      </c>
      <c r="BX12" s="1">
        <f t="shared" ca="1" si="41"/>
        <v>2.6683976716243727E-3</v>
      </c>
      <c r="BY12" s="1">
        <f t="shared" ca="1" si="42"/>
        <v>6.5141248283285113E-3</v>
      </c>
      <c r="BZ12" s="1">
        <f t="shared" ca="1" si="43"/>
        <v>0.89579605996758216</v>
      </c>
      <c r="CB12" s="1">
        <f t="shared" ca="1" si="44"/>
        <v>143</v>
      </c>
      <c r="CC12" s="1">
        <f t="shared" ca="1" si="45"/>
        <v>10</v>
      </c>
      <c r="CD12" s="1">
        <f t="shared" ca="1" si="46"/>
        <v>0.11499757710143374</v>
      </c>
      <c r="CE12" s="1">
        <f t="shared" ca="1" si="47"/>
        <v>0.7378893282522615</v>
      </c>
      <c r="CF12" s="1">
        <f t="shared" ca="1" si="47"/>
        <v>0.94088822840305675</v>
      </c>
      <c r="CH12" s="7">
        <f t="shared" ca="1" si="48"/>
        <v>0.57843945571859701</v>
      </c>
      <c r="CI12" s="7">
        <f t="shared" ca="1" si="49"/>
        <v>0.25403098755127984</v>
      </c>
      <c r="CJ12" s="7">
        <f t="shared" ca="1" si="50"/>
        <v>1377</v>
      </c>
      <c r="CK12" s="7">
        <f t="shared" ca="1" si="51"/>
        <v>1.7715529889397719E-3</v>
      </c>
      <c r="CL12" s="7">
        <f t="shared" ca="1" si="52"/>
        <v>0</v>
      </c>
    </row>
    <row r="13" spans="2:90" x14ac:dyDescent="0.25">
      <c r="B13">
        <f t="shared" ca="1" si="0"/>
        <v>342</v>
      </c>
      <c r="C13">
        <f t="shared" ca="1" si="1"/>
        <v>44</v>
      </c>
      <c r="D13">
        <f t="shared" ca="1" si="2"/>
        <v>4.6908770067643255E-2</v>
      </c>
      <c r="F13" s="1">
        <f t="shared" ca="1" si="3"/>
        <v>4</v>
      </c>
      <c r="G13" s="1">
        <f t="shared" ca="1" si="4"/>
        <v>11</v>
      </c>
      <c r="H13" s="1">
        <f t="shared" ca="1" si="5"/>
        <v>10</v>
      </c>
      <c r="I13" s="1"/>
      <c r="J13" s="1">
        <f t="shared" ca="1" si="6"/>
        <v>8</v>
      </c>
      <c r="K13" s="1">
        <f t="shared" ca="1" si="7"/>
        <v>2.5860958898072317</v>
      </c>
      <c r="L13" s="1">
        <f t="shared" ca="1" si="8"/>
        <v>27</v>
      </c>
      <c r="M13" s="1"/>
      <c r="N13" s="1">
        <f t="shared" ca="1" si="9"/>
        <v>376</v>
      </c>
      <c r="O13" s="1">
        <f t="shared" ca="1" si="10"/>
        <v>20</v>
      </c>
      <c r="P13" s="1"/>
      <c r="Q13" s="1">
        <f t="shared" ca="1" si="11"/>
        <v>1.8665201147312211</v>
      </c>
      <c r="R13" s="1">
        <f t="shared" ca="1" si="12"/>
        <v>658</v>
      </c>
      <c r="S13" s="1"/>
      <c r="T13" s="1">
        <f t="shared" ca="1" si="13"/>
        <v>0.15943372559110355</v>
      </c>
      <c r="U13" s="1">
        <f t="shared" ca="1" si="14"/>
        <v>306</v>
      </c>
      <c r="V13" s="1">
        <f t="shared" ca="1" si="15"/>
        <v>9</v>
      </c>
      <c r="W13" s="1"/>
      <c r="X13" s="1">
        <f t="shared" ca="1" si="16"/>
        <v>7.9830071299430738</v>
      </c>
      <c r="Y13" s="1">
        <f t="shared" ca="1" si="17"/>
        <v>0.43239061513610338</v>
      </c>
      <c r="Z13" s="1">
        <f t="shared" ca="1" si="18"/>
        <v>1733</v>
      </c>
      <c r="AB13" s="1">
        <f t="shared" ca="1" si="19"/>
        <v>0.56217352721347891</v>
      </c>
      <c r="AC13" s="1">
        <f t="shared" ca="1" si="20"/>
        <v>269</v>
      </c>
      <c r="AD13" s="1">
        <f t="shared" ca="1" si="21"/>
        <v>5.5718566372766161E-3</v>
      </c>
      <c r="AE13" s="1"/>
      <c r="AF13" s="1">
        <f t="shared" ca="1" si="22"/>
        <v>0.12139287083742518</v>
      </c>
      <c r="AG13" s="1">
        <f t="shared" ca="1" si="23"/>
        <v>513</v>
      </c>
      <c r="AH13" s="1">
        <f t="shared" ca="1" si="24"/>
        <v>4.0565799206490937E-3</v>
      </c>
      <c r="AJ13" s="1">
        <f t="shared" ca="1" si="25"/>
        <v>0.10009749848002392</v>
      </c>
      <c r="AK13" s="1">
        <f t="shared" ca="1" si="26"/>
        <v>5.0735614947408705E-3</v>
      </c>
      <c r="AL13" s="1"/>
      <c r="AM13" s="1">
        <f t="shared" ca="1" si="27"/>
        <v>9.6074076230216243E-2</v>
      </c>
      <c r="AN13" s="1">
        <f t="shared" ca="1" si="28"/>
        <v>43</v>
      </c>
      <c r="AO13" s="1">
        <f t="shared" ca="1" si="29"/>
        <v>6</v>
      </c>
      <c r="AQ13" s="1">
        <f t="shared" ca="1" si="30"/>
        <v>198</v>
      </c>
      <c r="AR13" s="1">
        <f t="shared" ca="1" si="31"/>
        <v>4</v>
      </c>
      <c r="AS13" s="1">
        <f t="shared" ca="1" si="32"/>
        <v>10</v>
      </c>
      <c r="AU13" s="1">
        <f t="shared" ca="1" si="33"/>
        <v>340</v>
      </c>
      <c r="AV13" s="1">
        <f t="shared" ca="1" si="34"/>
        <v>5</v>
      </c>
      <c r="AW13" s="1">
        <f t="shared" ca="1" si="35"/>
        <v>0.1101585778260244</v>
      </c>
      <c r="AY13" s="1">
        <f t="shared" ca="1" si="36"/>
        <v>1.7013803965912633</v>
      </c>
      <c r="AZ13" s="1">
        <f t="shared" ca="1" si="37"/>
        <v>445</v>
      </c>
      <c r="BA13" s="1">
        <f t="shared" ca="1" si="38"/>
        <v>9.6618137638791596E-3</v>
      </c>
      <c r="BV13" s="1">
        <f t="shared" ca="1" si="39"/>
        <v>0.42242828813851968</v>
      </c>
      <c r="BW13" s="1">
        <f t="shared" ca="1" si="40"/>
        <v>391</v>
      </c>
      <c r="BX13" s="1">
        <f t="shared" ca="1" si="41"/>
        <v>1.6904661590635302E-3</v>
      </c>
      <c r="BY13" s="1">
        <f t="shared" ca="1" si="42"/>
        <v>6.2109093081424156E-2</v>
      </c>
      <c r="BZ13" s="1">
        <f t="shared" ca="1" si="43"/>
        <v>0.6687228076966012</v>
      </c>
      <c r="CB13" s="1">
        <f t="shared" ca="1" si="44"/>
        <v>69</v>
      </c>
      <c r="CC13" s="1">
        <f t="shared" ca="1" si="45"/>
        <v>14</v>
      </c>
      <c r="CD13" s="1">
        <f t="shared" ca="1" si="46"/>
        <v>0.16857711460797309</v>
      </c>
      <c r="CE13" s="1">
        <f t="shared" ca="1" si="47"/>
        <v>0.78626059295712714</v>
      </c>
      <c r="CF13" s="1">
        <f t="shared" ca="1" si="47"/>
        <v>0.67418640281142572</v>
      </c>
      <c r="CH13" s="7">
        <f t="shared" ca="1" si="48"/>
        <v>0.49765061733763122</v>
      </c>
      <c r="CI13" s="7">
        <f t="shared" ca="1" si="49"/>
        <v>0.21844084247499679</v>
      </c>
      <c r="CJ13" s="7">
        <f t="shared" ca="1" si="50"/>
        <v>1673</v>
      </c>
      <c r="CK13" s="7">
        <f t="shared" ca="1" si="51"/>
        <v>9.9187317922821271E-3</v>
      </c>
      <c r="CL13" s="7">
        <f t="shared" ca="1" si="52"/>
        <v>1</v>
      </c>
    </row>
    <row r="14" spans="2:90" x14ac:dyDescent="0.25">
      <c r="B14">
        <f t="shared" ca="1" si="0"/>
        <v>369</v>
      </c>
      <c r="C14">
        <f t="shared" ca="1" si="1"/>
        <v>20</v>
      </c>
      <c r="D14">
        <f t="shared" ca="1" si="2"/>
        <v>0.29451885503814856</v>
      </c>
      <c r="F14" s="1">
        <f t="shared" ca="1" si="3"/>
        <v>3</v>
      </c>
      <c r="G14" s="1">
        <f t="shared" ca="1" si="4"/>
        <v>24</v>
      </c>
      <c r="H14" s="1">
        <f t="shared" ca="1" si="5"/>
        <v>15</v>
      </c>
      <c r="I14" s="1"/>
      <c r="J14" s="1">
        <f t="shared" ca="1" si="6"/>
        <v>7</v>
      </c>
      <c r="K14" s="1">
        <f t="shared" ca="1" si="7"/>
        <v>2.894971793382763</v>
      </c>
      <c r="L14" s="1">
        <f t="shared" ca="1" si="8"/>
        <v>9</v>
      </c>
      <c r="M14" s="1"/>
      <c r="N14" s="1">
        <f t="shared" ca="1" si="9"/>
        <v>740</v>
      </c>
      <c r="O14" s="1">
        <f t="shared" ca="1" si="10"/>
        <v>14</v>
      </c>
      <c r="P14" s="1"/>
      <c r="Q14" s="1">
        <f t="shared" ca="1" si="11"/>
        <v>1.8918689547048413</v>
      </c>
      <c r="R14" s="1">
        <f t="shared" ca="1" si="12"/>
        <v>769</v>
      </c>
      <c r="S14" s="1"/>
      <c r="T14" s="1">
        <f t="shared" ca="1" si="13"/>
        <v>0.16319920089397061</v>
      </c>
      <c r="U14" s="1">
        <f t="shared" ca="1" si="14"/>
        <v>254</v>
      </c>
      <c r="V14" s="1">
        <f t="shared" ca="1" si="15"/>
        <v>21</v>
      </c>
      <c r="W14" s="1"/>
      <c r="X14" s="1">
        <f t="shared" ca="1" si="16"/>
        <v>7.1924977826813139</v>
      </c>
      <c r="Y14" s="1">
        <f t="shared" ca="1" si="17"/>
        <v>0.12978270638434322</v>
      </c>
      <c r="Z14" s="1">
        <f t="shared" ca="1" si="18"/>
        <v>1045</v>
      </c>
      <c r="AB14" s="1">
        <f t="shared" ca="1" si="19"/>
        <v>0.78300513556848161</v>
      </c>
      <c r="AC14" s="1">
        <f t="shared" ca="1" si="20"/>
        <v>368</v>
      </c>
      <c r="AD14" s="1">
        <f t="shared" ca="1" si="21"/>
        <v>3.4524854739310571E-3</v>
      </c>
      <c r="AE14" s="1"/>
      <c r="AF14" s="1">
        <f t="shared" ca="1" si="22"/>
        <v>0.89952640710172149</v>
      </c>
      <c r="AG14" s="1">
        <f t="shared" ca="1" si="23"/>
        <v>163</v>
      </c>
      <c r="AH14" s="1">
        <f t="shared" ca="1" si="24"/>
        <v>8.7621477715262731E-3</v>
      </c>
      <c r="AJ14" s="1">
        <f t="shared" ca="1" si="25"/>
        <v>0.59774309322434038</v>
      </c>
      <c r="AK14" s="1">
        <f t="shared" ca="1" si="26"/>
        <v>6.2649769987564241E-4</v>
      </c>
      <c r="AL14" s="1"/>
      <c r="AM14" s="1">
        <f t="shared" ca="1" si="27"/>
        <v>0.1372769697677628</v>
      </c>
      <c r="AN14" s="1">
        <f t="shared" ca="1" si="28"/>
        <v>43</v>
      </c>
      <c r="AO14" s="1">
        <f t="shared" ca="1" si="29"/>
        <v>13</v>
      </c>
      <c r="AQ14" s="1">
        <f t="shared" ca="1" si="30"/>
        <v>18</v>
      </c>
      <c r="AR14" s="1">
        <f t="shared" ca="1" si="31"/>
        <v>3</v>
      </c>
      <c r="AS14" s="1">
        <f t="shared" ca="1" si="32"/>
        <v>18</v>
      </c>
      <c r="AU14" s="1">
        <f t="shared" ca="1" si="33"/>
        <v>181</v>
      </c>
      <c r="AV14" s="1">
        <f t="shared" ca="1" si="34"/>
        <v>6</v>
      </c>
      <c r="AW14" s="1">
        <f t="shared" ca="1" si="35"/>
        <v>0.15461517425389154</v>
      </c>
      <c r="AY14" s="1">
        <f t="shared" ca="1" si="36"/>
        <v>1.2358614975166629</v>
      </c>
      <c r="AZ14" s="1">
        <f t="shared" ca="1" si="37"/>
        <v>64</v>
      </c>
      <c r="BA14" s="1">
        <f t="shared" ca="1" si="38"/>
        <v>8.0525233910080912E-3</v>
      </c>
      <c r="BV14" s="1">
        <f t="shared" ca="1" si="39"/>
        <v>0.61113242010466362</v>
      </c>
      <c r="BW14" s="1">
        <f t="shared" ca="1" si="40"/>
        <v>585</v>
      </c>
      <c r="BX14" s="1">
        <f t="shared" ca="1" si="41"/>
        <v>6.7661018660996487E-3</v>
      </c>
      <c r="BY14" s="1">
        <f t="shared" ca="1" si="42"/>
        <v>4.8908270585504059E-2</v>
      </c>
      <c r="BZ14" s="1">
        <f t="shared" ca="1" si="43"/>
        <v>0.57766053381361671</v>
      </c>
      <c r="CB14" s="1">
        <f t="shared" ca="1" si="44"/>
        <v>182</v>
      </c>
      <c r="CC14" s="1">
        <f t="shared" ca="1" si="45"/>
        <v>3</v>
      </c>
      <c r="CD14" s="1">
        <f t="shared" ca="1" si="46"/>
        <v>0.277820208161076</v>
      </c>
      <c r="CE14" s="1">
        <f t="shared" ca="1" si="47"/>
        <v>0.7323064783534603</v>
      </c>
      <c r="CF14" s="1">
        <f t="shared" ca="1" si="47"/>
        <v>0.65073173940603191</v>
      </c>
      <c r="CH14" s="7">
        <f t="shared" ca="1" si="48"/>
        <v>0.27388820612539305</v>
      </c>
      <c r="CI14" s="7">
        <f t="shared" ca="1" si="49"/>
        <v>0.61631861202641025</v>
      </c>
      <c r="CJ14" s="7">
        <f t="shared" ca="1" si="50"/>
        <v>623</v>
      </c>
      <c r="CK14" s="7">
        <f t="shared" ca="1" si="51"/>
        <v>9.2815415529427462E-3</v>
      </c>
      <c r="CL14" s="7">
        <f t="shared" ca="1" si="52"/>
        <v>0</v>
      </c>
    </row>
    <row r="15" spans="2:90" x14ac:dyDescent="0.25">
      <c r="B15">
        <f t="shared" ca="1" si="0"/>
        <v>940</v>
      </c>
      <c r="C15">
        <f t="shared" ca="1" si="1"/>
        <v>5</v>
      </c>
      <c r="D15">
        <f t="shared" ca="1" si="2"/>
        <v>4.330445141976022E-2</v>
      </c>
      <c r="F15" s="1">
        <f t="shared" ca="1" si="3"/>
        <v>4</v>
      </c>
      <c r="G15" s="1">
        <f t="shared" ca="1" si="4"/>
        <v>10</v>
      </c>
      <c r="H15" s="1">
        <f t="shared" ca="1" si="5"/>
        <v>1</v>
      </c>
      <c r="I15" s="1"/>
      <c r="J15" s="1">
        <f t="shared" ca="1" si="6"/>
        <v>32</v>
      </c>
      <c r="K15" s="1">
        <f t="shared" ca="1" si="7"/>
        <v>1.6989639514740309</v>
      </c>
      <c r="L15" s="1">
        <f t="shared" ca="1" si="8"/>
        <v>6</v>
      </c>
      <c r="M15" s="1"/>
      <c r="N15" s="1">
        <f t="shared" ca="1" si="9"/>
        <v>931</v>
      </c>
      <c r="O15" s="1">
        <f t="shared" ca="1" si="10"/>
        <v>42</v>
      </c>
      <c r="P15" s="1"/>
      <c r="Q15" s="1">
        <f t="shared" ca="1" si="11"/>
        <v>3.9923681039397372</v>
      </c>
      <c r="R15" s="1">
        <f t="shared" ca="1" si="12"/>
        <v>583</v>
      </c>
      <c r="S15" s="1"/>
      <c r="T15" s="1">
        <f t="shared" ca="1" si="13"/>
        <v>9.2461819324108574E-2</v>
      </c>
      <c r="U15" s="1">
        <f t="shared" ca="1" si="14"/>
        <v>322</v>
      </c>
      <c r="V15" s="1">
        <f t="shared" ca="1" si="15"/>
        <v>40</v>
      </c>
      <c r="W15" s="1"/>
      <c r="X15" s="1">
        <f t="shared" ca="1" si="16"/>
        <v>6.6459909552576164</v>
      </c>
      <c r="Y15" s="1">
        <f t="shared" ca="1" si="17"/>
        <v>0.12744853817360749</v>
      </c>
      <c r="Z15" s="1">
        <f t="shared" ca="1" si="18"/>
        <v>662</v>
      </c>
      <c r="AB15" s="1">
        <f t="shared" ca="1" si="19"/>
        <v>7.2813157745850204E-2</v>
      </c>
      <c r="AC15" s="1">
        <f t="shared" ca="1" si="20"/>
        <v>884</v>
      </c>
      <c r="AD15" s="1">
        <f t="shared" ca="1" si="21"/>
        <v>9.8604581785972298E-3</v>
      </c>
      <c r="AE15" s="1"/>
      <c r="AF15" s="1">
        <f t="shared" ca="1" si="22"/>
        <v>0.48832617139741907</v>
      </c>
      <c r="AG15" s="1">
        <f t="shared" ca="1" si="23"/>
        <v>669</v>
      </c>
      <c r="AH15" s="1">
        <f t="shared" ca="1" si="24"/>
        <v>9.786784704548579E-3</v>
      </c>
      <c r="AJ15" s="1">
        <f t="shared" ca="1" si="25"/>
        <v>0.30670470780798997</v>
      </c>
      <c r="AK15" s="1">
        <f t="shared" ca="1" si="26"/>
        <v>2.7914370041234198E-3</v>
      </c>
      <c r="AL15" s="1"/>
      <c r="AM15" s="1">
        <f t="shared" ca="1" si="27"/>
        <v>0.17880167465667729</v>
      </c>
      <c r="AN15" s="1">
        <f t="shared" ca="1" si="28"/>
        <v>21</v>
      </c>
      <c r="AO15" s="1">
        <f t="shared" ca="1" si="29"/>
        <v>19</v>
      </c>
      <c r="AQ15" s="1">
        <f t="shared" ca="1" si="30"/>
        <v>83</v>
      </c>
      <c r="AR15" s="1">
        <f t="shared" ca="1" si="31"/>
        <v>5</v>
      </c>
      <c r="AS15" s="1">
        <f t="shared" ca="1" si="32"/>
        <v>51</v>
      </c>
      <c r="AU15" s="1">
        <f t="shared" ca="1" si="33"/>
        <v>241</v>
      </c>
      <c r="AV15" s="1">
        <f t="shared" ca="1" si="34"/>
        <v>8</v>
      </c>
      <c r="AW15" s="1">
        <f t="shared" ca="1" si="35"/>
        <v>3.9220803755190624E-2</v>
      </c>
      <c r="AY15" s="1">
        <f t="shared" ca="1" si="36"/>
        <v>1.7079906010681531</v>
      </c>
      <c r="AZ15" s="1">
        <f t="shared" ca="1" si="37"/>
        <v>357</v>
      </c>
      <c r="BA15" s="1">
        <f t="shared" ca="1" si="38"/>
        <v>3.6787376075630171E-4</v>
      </c>
      <c r="BV15" s="1">
        <f t="shared" ca="1" si="39"/>
        <v>7.1502882187509054E-2</v>
      </c>
      <c r="BW15" s="1">
        <f t="shared" ca="1" si="40"/>
        <v>624</v>
      </c>
      <c r="BX15" s="1">
        <f t="shared" ca="1" si="41"/>
        <v>6.6753094765842833E-3</v>
      </c>
      <c r="BY15" s="1">
        <f t="shared" ca="1" si="42"/>
        <v>2.9700814961978312E-2</v>
      </c>
      <c r="BZ15" s="1">
        <f t="shared" ca="1" si="43"/>
        <v>0.63720823995970777</v>
      </c>
      <c r="CB15" s="1">
        <f t="shared" ca="1" si="44"/>
        <v>270</v>
      </c>
      <c r="CC15" s="1">
        <f t="shared" ca="1" si="45"/>
        <v>4</v>
      </c>
      <c r="CD15" s="1">
        <f t="shared" ca="1" si="46"/>
        <v>6.1223258792982037E-2</v>
      </c>
      <c r="CE15" s="1">
        <f t="shared" ca="1" si="47"/>
        <v>0.8436294083757796</v>
      </c>
      <c r="CF15" s="1">
        <f t="shared" ca="1" si="47"/>
        <v>0.81788075568469198</v>
      </c>
      <c r="CH15" s="7">
        <f t="shared" ca="1" si="48"/>
        <v>0.60124808886383618</v>
      </c>
      <c r="CI15" s="7">
        <f t="shared" ca="1" si="49"/>
        <v>0.41124945265396762</v>
      </c>
      <c r="CJ15" s="7">
        <f t="shared" ca="1" si="50"/>
        <v>1646</v>
      </c>
      <c r="CK15" s="7">
        <f t="shared" ca="1" si="51"/>
        <v>5.0091385375818625E-3</v>
      </c>
      <c r="CL15" s="7">
        <f t="shared" ca="1" si="52"/>
        <v>0</v>
      </c>
    </row>
    <row r="16" spans="2:90" x14ac:dyDescent="0.25">
      <c r="B16">
        <f t="shared" ca="1" si="0"/>
        <v>714</v>
      </c>
      <c r="C16">
        <f t="shared" ca="1" si="1"/>
        <v>35</v>
      </c>
      <c r="D16">
        <f t="shared" ca="1" si="2"/>
        <v>0.24341582349497465</v>
      </c>
      <c r="F16" s="1">
        <f t="shared" ca="1" si="3"/>
        <v>4</v>
      </c>
      <c r="G16" s="1">
        <f t="shared" ca="1" si="4"/>
        <v>21</v>
      </c>
      <c r="H16" s="1">
        <f t="shared" ca="1" si="5"/>
        <v>3</v>
      </c>
      <c r="I16" s="1"/>
      <c r="J16" s="1">
        <f t="shared" ca="1" si="6"/>
        <v>26</v>
      </c>
      <c r="K16" s="1">
        <f t="shared" ca="1" si="7"/>
        <v>2.4889053172448907</v>
      </c>
      <c r="L16" s="1">
        <f t="shared" ca="1" si="8"/>
        <v>10</v>
      </c>
      <c r="M16" s="1"/>
      <c r="N16" s="1">
        <f t="shared" ca="1" si="9"/>
        <v>461</v>
      </c>
      <c r="O16" s="1">
        <f t="shared" ca="1" si="10"/>
        <v>26</v>
      </c>
      <c r="P16" s="1"/>
      <c r="Q16" s="1">
        <f t="shared" ca="1" si="11"/>
        <v>4.7611901443164237</v>
      </c>
      <c r="R16" s="1">
        <f t="shared" ca="1" si="12"/>
        <v>582</v>
      </c>
      <c r="S16" s="1"/>
      <c r="T16" s="1">
        <f t="shared" ca="1" si="13"/>
        <v>2.338886190993035E-2</v>
      </c>
      <c r="U16" s="1">
        <f t="shared" ca="1" si="14"/>
        <v>368</v>
      </c>
      <c r="V16" s="1">
        <f t="shared" ca="1" si="15"/>
        <v>25</v>
      </c>
      <c r="W16" s="1"/>
      <c r="X16" s="1">
        <f t="shared" ca="1" si="16"/>
        <v>1.6089688438157748</v>
      </c>
      <c r="Y16" s="1">
        <f t="shared" ca="1" si="17"/>
        <v>0.94239936594793361</v>
      </c>
      <c r="Z16" s="1">
        <f t="shared" ca="1" si="18"/>
        <v>113</v>
      </c>
      <c r="AB16" s="1">
        <f t="shared" ca="1" si="19"/>
        <v>7.2634996539297156E-4</v>
      </c>
      <c r="AC16" s="1">
        <f t="shared" ca="1" si="20"/>
        <v>499</v>
      </c>
      <c r="AD16" s="1">
        <f t="shared" ca="1" si="21"/>
        <v>5.2128104504714562E-3</v>
      </c>
      <c r="AE16" s="1"/>
      <c r="AF16" s="1">
        <f t="shared" ca="1" si="22"/>
        <v>0.35636878320722776</v>
      </c>
      <c r="AG16" s="1">
        <f t="shared" ca="1" si="23"/>
        <v>619</v>
      </c>
      <c r="AH16" s="1">
        <f t="shared" ca="1" si="24"/>
        <v>9.5789039603466283E-3</v>
      </c>
      <c r="AJ16" s="1">
        <f t="shared" ca="1" si="25"/>
        <v>0.65914711279503546</v>
      </c>
      <c r="AK16" s="1">
        <f t="shared" ca="1" si="26"/>
        <v>1.8345977599749654E-3</v>
      </c>
      <c r="AL16" s="1"/>
      <c r="AM16" s="1">
        <f t="shared" ca="1" si="27"/>
        <v>8.6069291163210285E-2</v>
      </c>
      <c r="AN16" s="1">
        <f t="shared" ca="1" si="28"/>
        <v>55</v>
      </c>
      <c r="AO16" s="1">
        <f t="shared" ca="1" si="29"/>
        <v>1</v>
      </c>
      <c r="AQ16" s="1">
        <f t="shared" ca="1" si="30"/>
        <v>134</v>
      </c>
      <c r="AR16" s="1">
        <f t="shared" ca="1" si="31"/>
        <v>4</v>
      </c>
      <c r="AS16" s="1">
        <f t="shared" ca="1" si="32"/>
        <v>68</v>
      </c>
      <c r="AU16" s="1">
        <f t="shared" ca="1" si="33"/>
        <v>358</v>
      </c>
      <c r="AV16" s="1">
        <f t="shared" ca="1" si="34"/>
        <v>7</v>
      </c>
      <c r="AW16" s="1">
        <f t="shared" ca="1" si="35"/>
        <v>3.2762129494667599E-2</v>
      </c>
      <c r="AY16" s="1">
        <f t="shared" ca="1" si="36"/>
        <v>1.8916357508588242</v>
      </c>
      <c r="AZ16" s="1">
        <f t="shared" ca="1" si="37"/>
        <v>380</v>
      </c>
      <c r="BA16" s="1">
        <f t="shared" ca="1" si="38"/>
        <v>5.9619026227686958E-3</v>
      </c>
      <c r="BV16" s="1">
        <f t="shared" ca="1" si="39"/>
        <v>0.97440393116151169</v>
      </c>
      <c r="BW16" s="1">
        <f t="shared" ca="1" si="40"/>
        <v>149</v>
      </c>
      <c r="BX16" s="1">
        <f t="shared" ca="1" si="41"/>
        <v>5.1489677676884969E-3</v>
      </c>
      <c r="BY16" s="1">
        <f t="shared" ca="1" si="42"/>
        <v>4.4166997076168328E-2</v>
      </c>
      <c r="BZ16" s="1">
        <f t="shared" ca="1" si="43"/>
        <v>0.11399715442835823</v>
      </c>
      <c r="CB16" s="1">
        <f t="shared" ca="1" si="44"/>
        <v>205</v>
      </c>
      <c r="CC16" s="1">
        <f t="shared" ca="1" si="45"/>
        <v>15</v>
      </c>
      <c r="CD16" s="1">
        <f t="shared" ca="1" si="46"/>
        <v>3.6936281142799635E-2</v>
      </c>
      <c r="CE16" s="1">
        <f t="shared" ca="1" si="47"/>
        <v>0.90680020777586312</v>
      </c>
      <c r="CF16" s="1">
        <f t="shared" ca="1" si="47"/>
        <v>0.6073875412341655</v>
      </c>
      <c r="CH16" s="7">
        <f t="shared" ca="1" si="48"/>
        <v>0.35338533207059741</v>
      </c>
      <c r="CI16" s="7">
        <f t="shared" ca="1" si="49"/>
        <v>0.45901493579184699</v>
      </c>
      <c r="CJ16" s="7">
        <f t="shared" ca="1" si="50"/>
        <v>1200</v>
      </c>
      <c r="CK16" s="7">
        <f t="shared" ca="1" si="51"/>
        <v>7.9571239594125476E-3</v>
      </c>
      <c r="CL16" s="7">
        <f t="shared" ca="1" si="52"/>
        <v>0</v>
      </c>
    </row>
    <row r="17" spans="2:90" x14ac:dyDescent="0.25">
      <c r="B17">
        <f t="shared" ca="1" si="0"/>
        <v>81</v>
      </c>
      <c r="C17">
        <f t="shared" ca="1" si="1"/>
        <v>12</v>
      </c>
      <c r="D17">
        <f t="shared" ca="1" si="2"/>
        <v>0.24660782621623484</v>
      </c>
      <c r="F17" s="1">
        <f t="shared" ca="1" si="3"/>
        <v>31</v>
      </c>
      <c r="G17" s="1">
        <f t="shared" ca="1" si="4"/>
        <v>18</v>
      </c>
      <c r="H17" s="1">
        <f t="shared" ca="1" si="5"/>
        <v>9</v>
      </c>
      <c r="I17" s="1"/>
      <c r="J17" s="1">
        <f t="shared" ca="1" si="6"/>
        <v>11</v>
      </c>
      <c r="K17" s="1">
        <f t="shared" ca="1" si="7"/>
        <v>2.8772133139844924</v>
      </c>
      <c r="L17" s="1">
        <f t="shared" ca="1" si="8"/>
        <v>6</v>
      </c>
      <c r="M17" s="1"/>
      <c r="N17" s="1">
        <f t="shared" ca="1" si="9"/>
        <v>415</v>
      </c>
      <c r="O17" s="1">
        <f t="shared" ca="1" si="10"/>
        <v>38</v>
      </c>
      <c r="P17" s="1"/>
      <c r="Q17" s="1">
        <f t="shared" ca="1" si="11"/>
        <v>3.1127872244392272</v>
      </c>
      <c r="R17" s="1">
        <f t="shared" ca="1" si="12"/>
        <v>570</v>
      </c>
      <c r="S17" s="1"/>
      <c r="T17" s="1">
        <f t="shared" ca="1" si="13"/>
        <v>0.19770216354496575</v>
      </c>
      <c r="U17" s="1">
        <f t="shared" ca="1" si="14"/>
        <v>278</v>
      </c>
      <c r="V17" s="1">
        <f t="shared" ca="1" si="15"/>
        <v>13</v>
      </c>
      <c r="W17" s="1"/>
      <c r="X17" s="1">
        <f t="shared" ca="1" si="16"/>
        <v>4.7442280292100367</v>
      </c>
      <c r="Y17" s="1">
        <f t="shared" ca="1" si="17"/>
        <v>0.33151308488222048</v>
      </c>
      <c r="Z17" s="1">
        <f t="shared" ca="1" si="18"/>
        <v>1320</v>
      </c>
      <c r="AB17" s="1">
        <f t="shared" ca="1" si="19"/>
        <v>0.81591714226912659</v>
      </c>
      <c r="AC17" s="1">
        <f t="shared" ca="1" si="20"/>
        <v>721</v>
      </c>
      <c r="AD17" s="1">
        <f t="shared" ca="1" si="21"/>
        <v>6.3973645874541732E-4</v>
      </c>
      <c r="AE17" s="1"/>
      <c r="AF17" s="1">
        <f t="shared" ca="1" si="22"/>
        <v>0.27443068001571203</v>
      </c>
      <c r="AG17" s="1">
        <f t="shared" ca="1" si="23"/>
        <v>886</v>
      </c>
      <c r="AH17" s="1">
        <f t="shared" ca="1" si="24"/>
        <v>8.1890440036820143E-3</v>
      </c>
      <c r="AJ17" s="1">
        <f t="shared" ca="1" si="25"/>
        <v>9.8167483924117338E-2</v>
      </c>
      <c r="AK17" s="1">
        <f t="shared" ca="1" si="26"/>
        <v>9.7328227099994797E-3</v>
      </c>
      <c r="AL17" s="1"/>
      <c r="AM17" s="1">
        <f t="shared" ca="1" si="27"/>
        <v>8.398607770425999E-2</v>
      </c>
      <c r="AN17" s="1">
        <f t="shared" ca="1" si="28"/>
        <v>45</v>
      </c>
      <c r="AO17" s="1">
        <f t="shared" ca="1" si="29"/>
        <v>20</v>
      </c>
      <c r="AQ17" s="1">
        <f t="shared" ca="1" si="30"/>
        <v>159</v>
      </c>
      <c r="AR17" s="1">
        <f t="shared" ca="1" si="31"/>
        <v>3</v>
      </c>
      <c r="AS17" s="1">
        <f t="shared" ca="1" si="32"/>
        <v>14</v>
      </c>
      <c r="AU17" s="1">
        <f t="shared" ca="1" si="33"/>
        <v>267</v>
      </c>
      <c r="AV17" s="1">
        <f t="shared" ca="1" si="34"/>
        <v>9</v>
      </c>
      <c r="AW17" s="1">
        <f t="shared" ca="1" si="35"/>
        <v>0.19329026595107163</v>
      </c>
      <c r="AY17" s="1">
        <f t="shared" ca="1" si="36"/>
        <v>1.8059542863714162</v>
      </c>
      <c r="AZ17" s="1">
        <f t="shared" ca="1" si="37"/>
        <v>130</v>
      </c>
      <c r="BA17" s="1">
        <f t="shared" ca="1" si="38"/>
        <v>9.9457128077469151E-3</v>
      </c>
      <c r="BV17" s="1">
        <f t="shared" ca="1" si="39"/>
        <v>0.57800702593372644</v>
      </c>
      <c r="BW17" s="1">
        <f t="shared" ca="1" si="40"/>
        <v>443</v>
      </c>
      <c r="BX17" s="1">
        <f t="shared" ca="1" si="41"/>
        <v>9.2746972160510956E-3</v>
      </c>
      <c r="BY17" s="1">
        <f t="shared" ca="1" si="42"/>
        <v>2.7814885717088095E-2</v>
      </c>
      <c r="BZ17" s="1">
        <f t="shared" ca="1" si="43"/>
        <v>0.58540339379393713</v>
      </c>
      <c r="CB17" s="1">
        <f t="shared" ca="1" si="44"/>
        <v>481</v>
      </c>
      <c r="CC17" s="1">
        <f t="shared" ca="1" si="45"/>
        <v>9</v>
      </c>
      <c r="CD17" s="1">
        <f t="shared" ca="1" si="46"/>
        <v>0.18884161117409909</v>
      </c>
      <c r="CE17" s="1">
        <f t="shared" ca="1" si="47"/>
        <v>0.84865218368607054</v>
      </c>
      <c r="CF17" s="1">
        <f t="shared" ca="1" si="47"/>
        <v>0.71800728726034546</v>
      </c>
      <c r="CH17" s="7">
        <f t="shared" ca="1" si="48"/>
        <v>0.66757804356321027</v>
      </c>
      <c r="CI17" s="7">
        <f t="shared" ca="1" si="49"/>
        <v>0.2272441812364123</v>
      </c>
      <c r="CJ17" s="7">
        <f t="shared" ca="1" si="50"/>
        <v>364</v>
      </c>
      <c r="CK17" s="7">
        <f t="shared" ca="1" si="51"/>
        <v>3.4843318594247334E-3</v>
      </c>
      <c r="CL17" s="7">
        <f t="shared" ca="1" si="52"/>
        <v>0</v>
      </c>
    </row>
    <row r="18" spans="2:90" x14ac:dyDescent="0.25">
      <c r="B18">
        <f t="shared" ca="1" si="0"/>
        <v>196</v>
      </c>
      <c r="C18">
        <f t="shared" ca="1" si="1"/>
        <v>8</v>
      </c>
      <c r="D18">
        <f t="shared" ca="1" si="2"/>
        <v>0.23954423411427844</v>
      </c>
      <c r="F18" s="1">
        <f t="shared" ca="1" si="3"/>
        <v>27</v>
      </c>
      <c r="G18" s="1">
        <f t="shared" ca="1" si="4"/>
        <v>23</v>
      </c>
      <c r="H18" s="1">
        <f t="shared" ca="1" si="5"/>
        <v>4</v>
      </c>
      <c r="I18" s="1"/>
      <c r="J18" s="1">
        <f t="shared" ca="1" si="6"/>
        <v>7</v>
      </c>
      <c r="K18" s="1">
        <f t="shared" ca="1" si="7"/>
        <v>2.5582660619146358</v>
      </c>
      <c r="L18" s="1">
        <f t="shared" ca="1" si="8"/>
        <v>9</v>
      </c>
      <c r="M18" s="1"/>
      <c r="N18" s="1">
        <f t="shared" ca="1" si="9"/>
        <v>912</v>
      </c>
      <c r="O18" s="1">
        <f t="shared" ca="1" si="10"/>
        <v>12</v>
      </c>
      <c r="P18" s="1"/>
      <c r="Q18" s="1">
        <f t="shared" ca="1" si="11"/>
        <v>0.63658399144962141</v>
      </c>
      <c r="R18" s="1">
        <f t="shared" ca="1" si="12"/>
        <v>704</v>
      </c>
      <c r="S18" s="1"/>
      <c r="T18" s="1">
        <f t="shared" ca="1" si="13"/>
        <v>3.9908839981688544E-2</v>
      </c>
      <c r="U18" s="1">
        <f t="shared" ca="1" si="14"/>
        <v>177</v>
      </c>
      <c r="V18" s="1">
        <f t="shared" ca="1" si="15"/>
        <v>7</v>
      </c>
      <c r="W18" s="1"/>
      <c r="X18" s="1">
        <f t="shared" ca="1" si="16"/>
        <v>0.72241909843417429</v>
      </c>
      <c r="Y18" s="1">
        <f t="shared" ca="1" si="17"/>
        <v>0.33619745132027368</v>
      </c>
      <c r="Z18" s="1">
        <f t="shared" ca="1" si="18"/>
        <v>1870</v>
      </c>
      <c r="AB18" s="1">
        <f t="shared" ca="1" si="19"/>
        <v>0.88422909862241539</v>
      </c>
      <c r="AC18" s="1">
        <f t="shared" ca="1" si="20"/>
        <v>962</v>
      </c>
      <c r="AD18" s="1">
        <f t="shared" ca="1" si="21"/>
        <v>2.8250190995265344E-3</v>
      </c>
      <c r="AE18" s="1"/>
      <c r="AF18" s="1">
        <f t="shared" ca="1" si="22"/>
        <v>0.185098968010242</v>
      </c>
      <c r="AG18" s="1">
        <f t="shared" ca="1" si="23"/>
        <v>607</v>
      </c>
      <c r="AH18" s="1">
        <f t="shared" ca="1" si="24"/>
        <v>7.7582475342096438E-3</v>
      </c>
      <c r="AJ18" s="1">
        <f t="shared" ca="1" si="25"/>
        <v>0.96463178963599994</v>
      </c>
      <c r="AK18" s="1">
        <f t="shared" ca="1" si="26"/>
        <v>2.032066173333113E-3</v>
      </c>
      <c r="AL18" s="1"/>
      <c r="AM18" s="1">
        <f t="shared" ca="1" si="27"/>
        <v>6.7813304841100486E-2</v>
      </c>
      <c r="AN18" s="1">
        <f t="shared" ca="1" si="28"/>
        <v>78</v>
      </c>
      <c r="AO18" s="1">
        <f t="shared" ca="1" si="29"/>
        <v>0</v>
      </c>
      <c r="AQ18" s="1">
        <f t="shared" ca="1" si="30"/>
        <v>101</v>
      </c>
      <c r="AR18" s="1">
        <f t="shared" ca="1" si="31"/>
        <v>10</v>
      </c>
      <c r="AS18" s="1">
        <f t="shared" ca="1" si="32"/>
        <v>62</v>
      </c>
      <c r="AU18" s="1">
        <f t="shared" ca="1" si="33"/>
        <v>155</v>
      </c>
      <c r="AV18" s="1">
        <f t="shared" ca="1" si="34"/>
        <v>4</v>
      </c>
      <c r="AW18" s="1">
        <f t="shared" ca="1" si="35"/>
        <v>0.14142296615960998</v>
      </c>
      <c r="AY18" s="1">
        <f t="shared" ca="1" si="36"/>
        <v>1.6490826467263497</v>
      </c>
      <c r="AZ18" s="1">
        <f t="shared" ca="1" si="37"/>
        <v>296</v>
      </c>
      <c r="BA18" s="1">
        <f t="shared" ca="1" si="38"/>
        <v>2.1111512077528379E-5</v>
      </c>
      <c r="BV18" s="1">
        <f t="shared" ca="1" si="39"/>
        <v>0.98450816000785912</v>
      </c>
      <c r="BW18" s="1">
        <f t="shared" ca="1" si="40"/>
        <v>695</v>
      </c>
      <c r="BX18" s="1">
        <f t="shared" ca="1" si="41"/>
        <v>9.3182806870711621E-3</v>
      </c>
      <c r="BY18" s="1">
        <f t="shared" ca="1" si="42"/>
        <v>4.667232438718192E-2</v>
      </c>
      <c r="BZ18" s="1">
        <f t="shared" ca="1" si="43"/>
        <v>0.34779879897903088</v>
      </c>
      <c r="CB18" s="1">
        <f t="shared" ca="1" si="44"/>
        <v>139</v>
      </c>
      <c r="CC18" s="1">
        <f t="shared" ca="1" si="45"/>
        <v>3</v>
      </c>
      <c r="CD18" s="1">
        <f t="shared" ca="1" si="46"/>
        <v>0.12900579521842348</v>
      </c>
      <c r="CE18" s="1">
        <f t="shared" ca="1" si="47"/>
        <v>0.53688219828948158</v>
      </c>
      <c r="CF18" s="1">
        <f t="shared" ca="1" si="47"/>
        <v>0.62675191268928199</v>
      </c>
      <c r="CH18" s="7">
        <f t="shared" ca="1" si="48"/>
        <v>0.61771273121728776</v>
      </c>
      <c r="CI18" s="7">
        <f t="shared" ca="1" si="49"/>
        <v>0.51775479859476459</v>
      </c>
      <c r="CJ18" s="7">
        <f t="shared" ca="1" si="50"/>
        <v>310</v>
      </c>
      <c r="CK18" s="7">
        <f t="shared" ca="1" si="51"/>
        <v>4.4877363728040767E-3</v>
      </c>
      <c r="CL18" s="7">
        <f t="shared" ca="1" si="52"/>
        <v>1</v>
      </c>
    </row>
    <row r="19" spans="2:90" x14ac:dyDescent="0.25">
      <c r="B19">
        <f t="shared" ca="1" si="0"/>
        <v>50</v>
      </c>
      <c r="C19">
        <f t="shared" ca="1" si="1"/>
        <v>26</v>
      </c>
      <c r="D19">
        <f t="shared" ca="1" si="2"/>
        <v>0.24972873199633594</v>
      </c>
      <c r="F19" s="1">
        <f t="shared" ca="1" si="3"/>
        <v>15</v>
      </c>
      <c r="G19" s="1">
        <f t="shared" ca="1" si="4"/>
        <v>10</v>
      </c>
      <c r="H19" s="1">
        <f t="shared" ca="1" si="5"/>
        <v>14</v>
      </c>
      <c r="I19" s="1"/>
      <c r="J19" s="1">
        <f t="shared" ca="1" si="6"/>
        <v>27</v>
      </c>
      <c r="K19" s="1">
        <f t="shared" ca="1" si="7"/>
        <v>1.3022132634240273</v>
      </c>
      <c r="L19" s="1">
        <f t="shared" ca="1" si="8"/>
        <v>12</v>
      </c>
      <c r="M19" s="1"/>
      <c r="N19" s="1">
        <f t="shared" ca="1" si="9"/>
        <v>522</v>
      </c>
      <c r="O19" s="1">
        <f t="shared" ca="1" si="10"/>
        <v>33</v>
      </c>
      <c r="P19" s="1"/>
      <c r="Q19" s="1">
        <f t="shared" ca="1" si="11"/>
        <v>1.125930207031238</v>
      </c>
      <c r="R19" s="1">
        <f t="shared" ca="1" si="12"/>
        <v>726</v>
      </c>
      <c r="S19" s="1"/>
      <c r="T19" s="1">
        <f t="shared" ca="1" si="13"/>
        <v>0.12763894399277728</v>
      </c>
      <c r="U19" s="1">
        <f t="shared" ca="1" si="14"/>
        <v>110</v>
      </c>
      <c r="V19" s="1">
        <f t="shared" ca="1" si="15"/>
        <v>35</v>
      </c>
      <c r="W19" s="1"/>
      <c r="X19" s="1">
        <f t="shared" ca="1" si="16"/>
        <v>2.1508762089541711</v>
      </c>
      <c r="Y19" s="1">
        <f t="shared" ca="1" si="17"/>
        <v>0.70426503677034624</v>
      </c>
      <c r="Z19" s="1">
        <f t="shared" ca="1" si="18"/>
        <v>729</v>
      </c>
      <c r="AB19" s="1">
        <f t="shared" ca="1" si="19"/>
        <v>0.43925134081458633</v>
      </c>
      <c r="AC19" s="1">
        <f t="shared" ca="1" si="20"/>
        <v>975</v>
      </c>
      <c r="AD19" s="1">
        <f t="shared" ca="1" si="21"/>
        <v>5.6361104436825375E-3</v>
      </c>
      <c r="AE19" s="1"/>
      <c r="AF19" s="1">
        <f t="shared" ca="1" si="22"/>
        <v>0.44039882147257292</v>
      </c>
      <c r="AG19" s="1">
        <f t="shared" ca="1" si="23"/>
        <v>215</v>
      </c>
      <c r="AH19" s="1">
        <f t="shared" ca="1" si="24"/>
        <v>7.7457916087956434E-3</v>
      </c>
      <c r="AJ19" s="1">
        <f t="shared" ca="1" si="25"/>
        <v>0.76830059341534129</v>
      </c>
      <c r="AK19" s="1">
        <f t="shared" ca="1" si="26"/>
        <v>4.041875152329893E-3</v>
      </c>
      <c r="AL19" s="1"/>
      <c r="AM19" s="1">
        <f t="shared" ca="1" si="27"/>
        <v>1.2129850101032891E-2</v>
      </c>
      <c r="AN19" s="1">
        <f t="shared" ca="1" si="28"/>
        <v>48</v>
      </c>
      <c r="AO19" s="1">
        <f t="shared" ca="1" si="29"/>
        <v>4</v>
      </c>
      <c r="AQ19" s="1">
        <f t="shared" ca="1" si="30"/>
        <v>188</v>
      </c>
      <c r="AR19" s="1">
        <f t="shared" ca="1" si="31"/>
        <v>7</v>
      </c>
      <c r="AS19" s="1">
        <f t="shared" ca="1" si="32"/>
        <v>83</v>
      </c>
      <c r="AU19" s="1">
        <f t="shared" ca="1" si="33"/>
        <v>366</v>
      </c>
      <c r="AV19" s="1">
        <f t="shared" ca="1" si="34"/>
        <v>10</v>
      </c>
      <c r="AW19" s="1">
        <f t="shared" ca="1" si="35"/>
        <v>0.1500034351968233</v>
      </c>
      <c r="AY19" s="1">
        <f t="shared" ca="1" si="36"/>
        <v>1.7298089551297897</v>
      </c>
      <c r="AZ19" s="1">
        <f t="shared" ca="1" si="37"/>
        <v>366</v>
      </c>
      <c r="BA19" s="1">
        <f t="shared" ca="1" si="38"/>
        <v>1.2178864074039451E-3</v>
      </c>
      <c r="BV19" s="1">
        <f t="shared" ca="1" si="39"/>
        <v>0.43364175350872947</v>
      </c>
      <c r="BW19" s="1">
        <f t="shared" ca="1" si="40"/>
        <v>203</v>
      </c>
      <c r="BX19" s="1">
        <f t="shared" ca="1" si="41"/>
        <v>2.2684307655922707E-3</v>
      </c>
      <c r="BY19" s="1">
        <f t="shared" ca="1" si="42"/>
        <v>3.3500496594837392E-2</v>
      </c>
      <c r="BZ19" s="1">
        <f t="shared" ca="1" si="43"/>
        <v>0.84623631148972722</v>
      </c>
      <c r="CB19" s="1">
        <f t="shared" ca="1" si="44"/>
        <v>413</v>
      </c>
      <c r="CC19" s="1">
        <f t="shared" ca="1" si="45"/>
        <v>5</v>
      </c>
      <c r="CD19" s="1">
        <f t="shared" ca="1" si="46"/>
        <v>0.13450568398855356</v>
      </c>
      <c r="CE19" s="1">
        <f t="shared" ca="1" si="47"/>
        <v>0.50656836694499963</v>
      </c>
      <c r="CF19" s="1">
        <f t="shared" ca="1" si="47"/>
        <v>0.63489672443046308</v>
      </c>
      <c r="CH19" s="7">
        <f t="shared" ca="1" si="48"/>
        <v>0.8124825990017841</v>
      </c>
      <c r="CI19" s="7">
        <f t="shared" ca="1" si="49"/>
        <v>0.52899570261989792</v>
      </c>
      <c r="CJ19" s="7">
        <f t="shared" ca="1" si="50"/>
        <v>637</v>
      </c>
      <c r="CK19" s="7">
        <f t="shared" ca="1" si="51"/>
        <v>7.690930505914146E-3</v>
      </c>
      <c r="CL19" s="7">
        <f t="shared" ca="1" si="52"/>
        <v>0</v>
      </c>
    </row>
    <row r="20" spans="2:90" x14ac:dyDescent="0.25">
      <c r="B20">
        <f t="shared" ca="1" si="0"/>
        <v>946</v>
      </c>
      <c r="C20">
        <f t="shared" ca="1" si="1"/>
        <v>50</v>
      </c>
      <c r="D20">
        <f t="shared" ca="1" si="2"/>
        <v>0.20305661676892778</v>
      </c>
      <c r="F20" s="1">
        <f t="shared" ca="1" si="3"/>
        <v>22</v>
      </c>
      <c r="G20" s="1">
        <f t="shared" ca="1" si="4"/>
        <v>30</v>
      </c>
      <c r="H20" s="1">
        <f t="shared" ca="1" si="5"/>
        <v>5</v>
      </c>
      <c r="I20" s="1"/>
      <c r="J20" s="1">
        <f t="shared" ca="1" si="6"/>
        <v>14</v>
      </c>
      <c r="K20" s="1">
        <f t="shared" ca="1" si="7"/>
        <v>1.0943637544821367</v>
      </c>
      <c r="L20" s="1">
        <f t="shared" ca="1" si="8"/>
        <v>18</v>
      </c>
      <c r="M20" s="1"/>
      <c r="N20" s="1">
        <f t="shared" ca="1" si="9"/>
        <v>582</v>
      </c>
      <c r="O20" s="1">
        <f t="shared" ca="1" si="10"/>
        <v>11</v>
      </c>
      <c r="P20" s="1"/>
      <c r="Q20" s="1">
        <f t="shared" ca="1" si="11"/>
        <v>1.1144104069764156</v>
      </c>
      <c r="R20" s="1">
        <f t="shared" ca="1" si="12"/>
        <v>1081</v>
      </c>
      <c r="S20" s="1"/>
      <c r="T20" s="1">
        <f t="shared" ca="1" si="13"/>
        <v>0.15645367828953038</v>
      </c>
      <c r="U20" s="1">
        <f t="shared" ca="1" si="14"/>
        <v>74</v>
      </c>
      <c r="V20" s="1">
        <f t="shared" ca="1" si="15"/>
        <v>25</v>
      </c>
      <c r="W20" s="1"/>
      <c r="X20" s="1">
        <f t="shared" ca="1" si="16"/>
        <v>0.37401031060702233</v>
      </c>
      <c r="Y20" s="1">
        <f t="shared" ca="1" si="17"/>
        <v>0.65917872381141007</v>
      </c>
      <c r="Z20" s="1">
        <f t="shared" ca="1" si="18"/>
        <v>1616</v>
      </c>
      <c r="AB20" s="1">
        <f t="shared" ca="1" si="19"/>
        <v>5.0411101674769004E-2</v>
      </c>
      <c r="AC20" s="1">
        <f t="shared" ca="1" si="20"/>
        <v>979</v>
      </c>
      <c r="AD20" s="1">
        <f t="shared" ca="1" si="21"/>
        <v>2.9765365166376707E-3</v>
      </c>
      <c r="AE20" s="1"/>
      <c r="AF20" s="1">
        <f t="shared" ca="1" si="22"/>
        <v>0.5811382103736914</v>
      </c>
      <c r="AG20" s="1">
        <f t="shared" ca="1" si="23"/>
        <v>764</v>
      </c>
      <c r="AH20" s="1">
        <f t="shared" ca="1" si="24"/>
        <v>8.8155935436677688E-3</v>
      </c>
      <c r="AJ20" s="1">
        <f t="shared" ca="1" si="25"/>
        <v>4.5669667600764741E-2</v>
      </c>
      <c r="AK20" s="1">
        <f t="shared" ca="1" si="26"/>
        <v>3.5215187481001569E-3</v>
      </c>
      <c r="AL20" s="1"/>
      <c r="AM20" s="1">
        <f t="shared" ca="1" si="27"/>
        <v>0.13031555045671636</v>
      </c>
      <c r="AN20" s="1">
        <f t="shared" ca="1" si="28"/>
        <v>35</v>
      </c>
      <c r="AO20" s="1">
        <f t="shared" ca="1" si="29"/>
        <v>4</v>
      </c>
      <c r="AQ20" s="1">
        <f t="shared" ca="1" si="30"/>
        <v>30</v>
      </c>
      <c r="AR20" s="1">
        <f t="shared" ca="1" si="31"/>
        <v>8</v>
      </c>
      <c r="AS20" s="1">
        <f t="shared" ca="1" si="32"/>
        <v>17</v>
      </c>
      <c r="AU20" s="1">
        <f t="shared" ca="1" si="33"/>
        <v>250</v>
      </c>
      <c r="AV20" s="1">
        <f t="shared" ca="1" si="34"/>
        <v>8</v>
      </c>
      <c r="AW20" s="1">
        <f t="shared" ca="1" si="35"/>
        <v>0.19351622712890826</v>
      </c>
      <c r="AY20" s="1">
        <f t="shared" ca="1" si="36"/>
        <v>1.2173091346001153</v>
      </c>
      <c r="AZ20" s="1">
        <f t="shared" ca="1" si="37"/>
        <v>395</v>
      </c>
      <c r="BA20" s="1">
        <f t="shared" ca="1" si="38"/>
        <v>4.9821764901213112E-3</v>
      </c>
      <c r="BV20" s="1">
        <f t="shared" ca="1" si="39"/>
        <v>0.62595605888040484</v>
      </c>
      <c r="BW20" s="1">
        <f t="shared" ca="1" si="40"/>
        <v>976</v>
      </c>
      <c r="BX20" s="1">
        <f t="shared" ca="1" si="41"/>
        <v>8.1019547385709385E-3</v>
      </c>
      <c r="BY20" s="1">
        <f t="shared" ca="1" si="42"/>
        <v>9.8686439768140372E-2</v>
      </c>
      <c r="BZ20" s="1">
        <f t="shared" ca="1" si="43"/>
        <v>0.98977157214907585</v>
      </c>
      <c r="CB20" s="1">
        <f t="shared" ca="1" si="44"/>
        <v>246</v>
      </c>
      <c r="CC20" s="1">
        <f t="shared" ca="1" si="45"/>
        <v>3</v>
      </c>
      <c r="CD20" s="1">
        <f t="shared" ca="1" si="46"/>
        <v>0.18171628665180045</v>
      </c>
      <c r="CE20" s="1">
        <f t="shared" ca="1" si="47"/>
        <v>0.73722218455725652</v>
      </c>
      <c r="CF20" s="1">
        <f t="shared" ca="1" si="47"/>
        <v>0.72519173330228726</v>
      </c>
      <c r="CH20" s="7">
        <f t="shared" ca="1" si="48"/>
        <v>0.38210923206670494</v>
      </c>
      <c r="CI20" s="7">
        <f t="shared" ca="1" si="49"/>
        <v>0.52530111388030365</v>
      </c>
      <c r="CJ20" s="7">
        <f t="shared" ca="1" si="50"/>
        <v>1438</v>
      </c>
      <c r="CK20" s="7">
        <f t="shared" ca="1" si="51"/>
        <v>7.1713922816853386E-3</v>
      </c>
      <c r="CL20" s="7">
        <f t="shared" ca="1" si="52"/>
        <v>0</v>
      </c>
    </row>
    <row r="21" spans="2:90" x14ac:dyDescent="0.25">
      <c r="B21">
        <f t="shared" ca="1" si="0"/>
        <v>249</v>
      </c>
      <c r="C21">
        <f t="shared" ca="1" si="1"/>
        <v>28</v>
      </c>
      <c r="D21">
        <f t="shared" ca="1" si="2"/>
        <v>5.6461239090915612E-2</v>
      </c>
      <c r="F21" s="1">
        <f t="shared" ca="1" si="3"/>
        <v>2</v>
      </c>
      <c r="G21" s="1">
        <f t="shared" ca="1" si="4"/>
        <v>29</v>
      </c>
      <c r="H21" s="1">
        <f t="shared" ca="1" si="5"/>
        <v>2</v>
      </c>
      <c r="I21" s="1"/>
      <c r="J21" s="1">
        <f t="shared" ca="1" si="6"/>
        <v>38</v>
      </c>
      <c r="K21" s="1">
        <f t="shared" ca="1" si="7"/>
        <v>2.4305761209019723</v>
      </c>
      <c r="L21" s="1">
        <f t="shared" ca="1" si="8"/>
        <v>30</v>
      </c>
      <c r="M21" s="1"/>
      <c r="N21" s="1">
        <f t="shared" ca="1" si="9"/>
        <v>314</v>
      </c>
      <c r="O21" s="1">
        <f t="shared" ca="1" si="10"/>
        <v>6</v>
      </c>
      <c r="P21" s="1"/>
      <c r="Q21" s="1">
        <f t="shared" ca="1" si="11"/>
        <v>4.3559250324234497</v>
      </c>
      <c r="R21" s="1">
        <f t="shared" ca="1" si="12"/>
        <v>450</v>
      </c>
      <c r="S21" s="1"/>
      <c r="T21" s="1">
        <f t="shared" ca="1" si="13"/>
        <v>6.3153778861337592E-2</v>
      </c>
      <c r="U21" s="1">
        <f t="shared" ca="1" si="14"/>
        <v>239</v>
      </c>
      <c r="V21" s="1">
        <f t="shared" ca="1" si="15"/>
        <v>28</v>
      </c>
      <c r="W21" s="1"/>
      <c r="X21" s="1">
        <f t="shared" ca="1" si="16"/>
        <v>7.1528377513569739</v>
      </c>
      <c r="Y21" s="1">
        <f t="shared" ca="1" si="17"/>
        <v>0.30924058581959052</v>
      </c>
      <c r="Z21" s="1">
        <f t="shared" ca="1" si="18"/>
        <v>160</v>
      </c>
      <c r="AB21" s="1">
        <f t="shared" ca="1" si="19"/>
        <v>0.82047051823429473</v>
      </c>
      <c r="AC21" s="1">
        <f t="shared" ca="1" si="20"/>
        <v>778</v>
      </c>
      <c r="AD21" s="1">
        <f t="shared" ca="1" si="21"/>
        <v>1.8049446278089517E-3</v>
      </c>
      <c r="AE21" s="1"/>
      <c r="AF21" s="1">
        <f t="shared" ca="1" si="22"/>
        <v>0.22054531312358946</v>
      </c>
      <c r="AG21" s="1">
        <f t="shared" ca="1" si="23"/>
        <v>355</v>
      </c>
      <c r="AH21" s="1">
        <f t="shared" ca="1" si="24"/>
        <v>2.3618092481551556E-3</v>
      </c>
      <c r="AJ21" s="1">
        <f t="shared" ca="1" si="25"/>
        <v>0.24721017431083425</v>
      </c>
      <c r="AK21" s="1">
        <f t="shared" ca="1" si="26"/>
        <v>3.8983210135738126E-4</v>
      </c>
      <c r="AL21" s="1"/>
      <c r="AM21" s="1">
        <f t="shared" ca="1" si="27"/>
        <v>0.16426227637266938</v>
      </c>
      <c r="AN21" s="1">
        <f t="shared" ca="1" si="28"/>
        <v>43</v>
      </c>
      <c r="AO21" s="1">
        <f t="shared" ca="1" si="29"/>
        <v>5</v>
      </c>
      <c r="AQ21" s="1">
        <f t="shared" ca="1" si="30"/>
        <v>80</v>
      </c>
      <c r="AR21" s="1">
        <f t="shared" ca="1" si="31"/>
        <v>7</v>
      </c>
      <c r="AS21" s="1">
        <f t="shared" ca="1" si="32"/>
        <v>73</v>
      </c>
      <c r="AU21" s="1">
        <f t="shared" ca="1" si="33"/>
        <v>229</v>
      </c>
      <c r="AV21" s="1">
        <f t="shared" ca="1" si="34"/>
        <v>5</v>
      </c>
      <c r="AW21" s="1">
        <f t="shared" ca="1" si="35"/>
        <v>0.17385308138505579</v>
      </c>
      <c r="AY21" s="1">
        <f t="shared" ca="1" si="36"/>
        <v>1.3262293843049404</v>
      </c>
      <c r="AZ21" s="1">
        <f t="shared" ca="1" si="37"/>
        <v>301</v>
      </c>
      <c r="BA21" s="1">
        <f t="shared" ca="1" si="38"/>
        <v>9.6698203559891401E-3</v>
      </c>
      <c r="BV21" s="1">
        <f t="shared" ca="1" si="39"/>
        <v>0.83646182755908738</v>
      </c>
      <c r="BW21" s="1">
        <f t="shared" ca="1" si="40"/>
        <v>358</v>
      </c>
      <c r="BX21" s="1">
        <f t="shared" ca="1" si="41"/>
        <v>7.9121034894876936E-3</v>
      </c>
      <c r="BY21" s="1">
        <f t="shared" ca="1" si="42"/>
        <v>7.5247139476717809E-2</v>
      </c>
      <c r="BZ21" s="1">
        <f t="shared" ca="1" si="43"/>
        <v>0.73592648694457619</v>
      </c>
      <c r="CB21" s="1">
        <f t="shared" ca="1" si="44"/>
        <v>232</v>
      </c>
      <c r="CC21" s="1">
        <f t="shared" ca="1" si="45"/>
        <v>5</v>
      </c>
      <c r="CD21" s="1">
        <f t="shared" ca="1" si="46"/>
        <v>6.8761525112463528E-2</v>
      </c>
      <c r="CE21" s="1">
        <f t="shared" ca="1" si="47"/>
        <v>0.96535460169786291</v>
      </c>
      <c r="CF21" s="1">
        <f t="shared" ca="1" si="47"/>
        <v>0.83390931604407326</v>
      </c>
      <c r="CH21" s="7">
        <f t="shared" ca="1" si="48"/>
        <v>0.74079338350905066</v>
      </c>
      <c r="CI21" s="7">
        <f t="shared" ca="1" si="49"/>
        <v>0.24338050280998494</v>
      </c>
      <c r="CJ21" s="7">
        <f t="shared" ca="1" si="50"/>
        <v>472</v>
      </c>
      <c r="CK21" s="7">
        <f t="shared" ca="1" si="51"/>
        <v>9.7203859625874728E-4</v>
      </c>
      <c r="CL21" s="7">
        <f t="shared" ca="1" si="52"/>
        <v>1</v>
      </c>
    </row>
    <row r="22" spans="2:90" x14ac:dyDescent="0.25">
      <c r="B22">
        <f t="shared" ca="1" si="0"/>
        <v>102</v>
      </c>
      <c r="C22">
        <f t="shared" ca="1" si="1"/>
        <v>17</v>
      </c>
      <c r="D22">
        <f t="shared" ca="1" si="2"/>
        <v>8.3913683233893852E-2</v>
      </c>
      <c r="F22" s="1">
        <f t="shared" ca="1" si="3"/>
        <v>17</v>
      </c>
      <c r="G22" s="1">
        <f t="shared" ca="1" si="4"/>
        <v>9</v>
      </c>
      <c r="H22" s="1">
        <f t="shared" ca="1" si="5"/>
        <v>1</v>
      </c>
      <c r="I22" s="1"/>
      <c r="J22" s="1">
        <f t="shared" ca="1" si="6"/>
        <v>20</v>
      </c>
      <c r="K22" s="1">
        <f t="shared" ca="1" si="7"/>
        <v>1.3939578909595642</v>
      </c>
      <c r="L22" s="1">
        <f t="shared" ca="1" si="8"/>
        <v>6</v>
      </c>
      <c r="M22" s="1"/>
      <c r="N22" s="1">
        <f t="shared" ca="1" si="9"/>
        <v>148</v>
      </c>
      <c r="O22" s="1">
        <f t="shared" ca="1" si="10"/>
        <v>7</v>
      </c>
      <c r="P22" s="1"/>
      <c r="Q22" s="1">
        <f t="shared" ca="1" si="11"/>
        <v>4.6973980239562998</v>
      </c>
      <c r="R22" s="1">
        <f t="shared" ca="1" si="12"/>
        <v>718</v>
      </c>
      <c r="S22" s="1"/>
      <c r="T22" s="1">
        <f t="shared" ca="1" si="13"/>
        <v>8.1154049218616242E-2</v>
      </c>
      <c r="U22" s="1">
        <f t="shared" ca="1" si="14"/>
        <v>226</v>
      </c>
      <c r="V22" s="1">
        <f t="shared" ca="1" si="15"/>
        <v>50</v>
      </c>
      <c r="W22" s="1"/>
      <c r="X22" s="1">
        <f t="shared" ca="1" si="16"/>
        <v>7.8517132165698467</v>
      </c>
      <c r="Y22" s="1">
        <f t="shared" ca="1" si="17"/>
        <v>0.57961683546693787</v>
      </c>
      <c r="Z22" s="1">
        <f t="shared" ca="1" si="18"/>
        <v>1245</v>
      </c>
      <c r="AB22" s="1">
        <f t="shared" ca="1" si="19"/>
        <v>0.50731555395897188</v>
      </c>
      <c r="AC22" s="1">
        <f t="shared" ca="1" si="20"/>
        <v>797</v>
      </c>
      <c r="AD22" s="1">
        <f t="shared" ca="1" si="21"/>
        <v>7.9625532523320778E-3</v>
      </c>
      <c r="AE22" s="1"/>
      <c r="AF22" s="1">
        <f t="shared" ca="1" si="22"/>
        <v>0.1460383179918604</v>
      </c>
      <c r="AG22" s="1">
        <f t="shared" ca="1" si="23"/>
        <v>659</v>
      </c>
      <c r="AH22" s="1">
        <f t="shared" ca="1" si="24"/>
        <v>3.6849141051872774E-3</v>
      </c>
      <c r="AJ22" s="1">
        <f t="shared" ca="1" si="25"/>
        <v>0.30863971451164485</v>
      </c>
      <c r="AK22" s="1">
        <f t="shared" ca="1" si="26"/>
        <v>4.2915460230795038E-3</v>
      </c>
      <c r="AL22" s="1"/>
      <c r="AM22" s="1">
        <f t="shared" ca="1" si="27"/>
        <v>3.9045542261046548E-2</v>
      </c>
      <c r="AN22" s="1">
        <f t="shared" ca="1" si="28"/>
        <v>28</v>
      </c>
      <c r="AO22" s="1">
        <f t="shared" ca="1" si="29"/>
        <v>11</v>
      </c>
      <c r="AQ22" s="1">
        <f t="shared" ca="1" si="30"/>
        <v>110</v>
      </c>
      <c r="AR22" s="1">
        <f t="shared" ca="1" si="31"/>
        <v>2</v>
      </c>
      <c r="AS22" s="1">
        <f t="shared" ca="1" si="32"/>
        <v>31</v>
      </c>
      <c r="AU22" s="1">
        <f t="shared" ca="1" si="33"/>
        <v>186</v>
      </c>
      <c r="AV22" s="1">
        <f t="shared" ca="1" si="34"/>
        <v>4</v>
      </c>
      <c r="AW22" s="1">
        <f t="shared" ca="1" si="35"/>
        <v>4.5205645656375006E-2</v>
      </c>
      <c r="AY22" s="1">
        <f t="shared" ca="1" si="36"/>
        <v>1.4472624725597378</v>
      </c>
      <c r="AZ22" s="1">
        <f t="shared" ca="1" si="37"/>
        <v>412</v>
      </c>
      <c r="BA22" s="1">
        <f t="shared" ca="1" si="38"/>
        <v>5.3455701175280437E-3</v>
      </c>
      <c r="BV22" s="1">
        <f t="shared" ca="1" si="39"/>
        <v>0.27641697149791122</v>
      </c>
      <c r="BW22" s="1">
        <f t="shared" ca="1" si="40"/>
        <v>925</v>
      </c>
      <c r="BX22" s="1">
        <f t="shared" ca="1" si="41"/>
        <v>9.4769209714450561E-3</v>
      </c>
      <c r="BY22" s="1">
        <f t="shared" ca="1" si="42"/>
        <v>3.998238373681224E-2</v>
      </c>
      <c r="BZ22" s="1">
        <f t="shared" ca="1" si="43"/>
        <v>0.10153272106723754</v>
      </c>
      <c r="CB22" s="1">
        <f t="shared" ca="1" si="44"/>
        <v>242</v>
      </c>
      <c r="CC22" s="1">
        <f t="shared" ca="1" si="45"/>
        <v>13</v>
      </c>
      <c r="CD22" s="1">
        <f t="shared" ca="1" si="46"/>
        <v>0.2263599035070622</v>
      </c>
      <c r="CE22" s="1">
        <f t="shared" ca="1" si="47"/>
        <v>0.699875952131082</v>
      </c>
      <c r="CF22" s="1">
        <f t="shared" ca="1" si="47"/>
        <v>0.71538618704097423</v>
      </c>
      <c r="CH22" s="7">
        <f t="shared" ca="1" si="48"/>
        <v>1.1103493155683961E-2</v>
      </c>
      <c r="CI22" s="7">
        <f t="shared" ca="1" si="49"/>
        <v>0.83070110107121464</v>
      </c>
      <c r="CJ22" s="7">
        <f t="shared" ca="1" si="50"/>
        <v>1693</v>
      </c>
      <c r="CK22" s="7">
        <f t="shared" ca="1" si="51"/>
        <v>1.7035471009374573E-3</v>
      </c>
      <c r="CL22" s="7">
        <f t="shared" ca="1" si="52"/>
        <v>0</v>
      </c>
    </row>
    <row r="23" spans="2:90" x14ac:dyDescent="0.25">
      <c r="B23">
        <f t="shared" ca="1" si="0"/>
        <v>461</v>
      </c>
      <c r="C23">
        <f t="shared" ca="1" si="1"/>
        <v>52</v>
      </c>
      <c r="D23">
        <f t="shared" ca="1" si="2"/>
        <v>4.5957700628617565E-2</v>
      </c>
      <c r="F23" s="1">
        <f t="shared" ca="1" si="3"/>
        <v>36</v>
      </c>
      <c r="G23" s="1">
        <f t="shared" ca="1" si="4"/>
        <v>16</v>
      </c>
      <c r="H23" s="1">
        <f t="shared" ca="1" si="5"/>
        <v>2</v>
      </c>
      <c r="I23" s="1"/>
      <c r="J23" s="1">
        <f t="shared" ca="1" si="6"/>
        <v>7</v>
      </c>
      <c r="K23" s="1">
        <f t="shared" ca="1" si="7"/>
        <v>2.639886804459695</v>
      </c>
      <c r="L23" s="1">
        <f t="shared" ca="1" si="8"/>
        <v>3</v>
      </c>
      <c r="M23" s="1"/>
      <c r="N23" s="1">
        <f t="shared" ca="1" si="9"/>
        <v>417</v>
      </c>
      <c r="O23" s="1">
        <f t="shared" ca="1" si="10"/>
        <v>15</v>
      </c>
      <c r="P23" s="1"/>
      <c r="Q23" s="1">
        <f t="shared" ca="1" si="11"/>
        <v>4.9465038577934548</v>
      </c>
      <c r="R23" s="1">
        <f t="shared" ca="1" si="12"/>
        <v>853</v>
      </c>
      <c r="S23" s="1"/>
      <c r="T23" s="1">
        <f t="shared" ca="1" si="13"/>
        <v>8.3471796646006222E-2</v>
      </c>
      <c r="U23" s="1">
        <f t="shared" ca="1" si="14"/>
        <v>250</v>
      </c>
      <c r="V23" s="1">
        <f t="shared" ca="1" si="15"/>
        <v>20</v>
      </c>
      <c r="W23" s="1"/>
      <c r="X23" s="1">
        <f t="shared" ca="1" si="16"/>
        <v>1.6278711044176211</v>
      </c>
      <c r="Y23" s="1">
        <f t="shared" ca="1" si="17"/>
        <v>0.7876345879483504</v>
      </c>
      <c r="Z23" s="1">
        <f t="shared" ca="1" si="18"/>
        <v>1433</v>
      </c>
      <c r="AB23" s="1">
        <f t="shared" ca="1" si="19"/>
        <v>0.59727014276894685</v>
      </c>
      <c r="AC23" s="1">
        <f t="shared" ca="1" si="20"/>
        <v>330</v>
      </c>
      <c r="AD23" s="1">
        <f t="shared" ca="1" si="21"/>
        <v>6.4527740566849949E-3</v>
      </c>
      <c r="AE23" s="1"/>
      <c r="AF23" s="1">
        <f t="shared" ca="1" si="22"/>
        <v>0.31688905136419676</v>
      </c>
      <c r="AG23" s="1">
        <f t="shared" ca="1" si="23"/>
        <v>982</v>
      </c>
      <c r="AH23" s="1">
        <f t="shared" ca="1" si="24"/>
        <v>2.6654757722010106E-3</v>
      </c>
      <c r="AJ23" s="1">
        <f t="shared" ca="1" si="25"/>
        <v>0.84445851504965441</v>
      </c>
      <c r="AK23" s="1">
        <f t="shared" ca="1" si="26"/>
        <v>7.9886244483889715E-3</v>
      </c>
      <c r="AL23" s="1"/>
      <c r="AM23" s="1">
        <f t="shared" ca="1" si="27"/>
        <v>0.1628657339129333</v>
      </c>
      <c r="AN23" s="1">
        <f t="shared" ca="1" si="28"/>
        <v>47</v>
      </c>
      <c r="AO23" s="1">
        <f t="shared" ca="1" si="29"/>
        <v>15</v>
      </c>
      <c r="AQ23" s="1">
        <f t="shared" ca="1" si="30"/>
        <v>18</v>
      </c>
      <c r="AR23" s="1">
        <f t="shared" ca="1" si="31"/>
        <v>5</v>
      </c>
      <c r="AS23" s="1">
        <f t="shared" ca="1" si="32"/>
        <v>54</v>
      </c>
      <c r="AU23" s="1">
        <f t="shared" ca="1" si="33"/>
        <v>313</v>
      </c>
      <c r="AV23" s="1">
        <f t="shared" ca="1" si="34"/>
        <v>6</v>
      </c>
      <c r="AW23" s="1">
        <f t="shared" ca="1" si="35"/>
        <v>0.10687014935142404</v>
      </c>
      <c r="AY23" s="1">
        <f t="shared" ca="1" si="36"/>
        <v>1.7799618870648724</v>
      </c>
      <c r="AZ23" s="1">
        <f t="shared" ca="1" si="37"/>
        <v>207</v>
      </c>
      <c r="BA23" s="1">
        <f t="shared" ca="1" si="38"/>
        <v>8.1267902975647767E-3</v>
      </c>
      <c r="BV23" s="1">
        <f t="shared" ca="1" si="39"/>
        <v>0.85239719125374247</v>
      </c>
      <c r="BW23" s="1">
        <f t="shared" ca="1" si="40"/>
        <v>714</v>
      </c>
      <c r="BX23" s="1">
        <f t="shared" ca="1" si="41"/>
        <v>9.0154459569291249E-3</v>
      </c>
      <c r="BY23" s="1">
        <f t="shared" ca="1" si="42"/>
        <v>3.6673402595495889E-2</v>
      </c>
      <c r="BZ23" s="1">
        <f t="shared" ca="1" si="43"/>
        <v>0.11454529181732687</v>
      </c>
      <c r="CB23" s="1">
        <f t="shared" ca="1" si="44"/>
        <v>339</v>
      </c>
      <c r="CC23" s="1">
        <f t="shared" ca="1" si="45"/>
        <v>15</v>
      </c>
      <c r="CD23" s="1">
        <f t="shared" ca="1" si="46"/>
        <v>0.25603414227014859</v>
      </c>
      <c r="CE23" s="1">
        <f t="shared" ca="1" si="47"/>
        <v>0.65719732734202729</v>
      </c>
      <c r="CF23" s="1">
        <f t="shared" ca="1" si="47"/>
        <v>0.85394170986379969</v>
      </c>
      <c r="CH23" s="7">
        <f t="shared" ca="1" si="48"/>
        <v>0.82496573459686107</v>
      </c>
      <c r="CI23" s="7">
        <f t="shared" ca="1" si="49"/>
        <v>0.70992657342573884</v>
      </c>
      <c r="CJ23" s="7">
        <f t="shared" ca="1" si="50"/>
        <v>470</v>
      </c>
      <c r="CK23" s="7">
        <f t="shared" ca="1" si="51"/>
        <v>5.5387324112299912E-3</v>
      </c>
      <c r="CL23" s="7">
        <f t="shared" ca="1" si="52"/>
        <v>0</v>
      </c>
    </row>
    <row r="24" spans="2:90" x14ac:dyDescent="0.25">
      <c r="B24">
        <f t="shared" ca="1" si="0"/>
        <v>961</v>
      </c>
      <c r="C24">
        <f t="shared" ca="1" si="1"/>
        <v>11</v>
      </c>
      <c r="D24">
        <f t="shared" ca="1" si="2"/>
        <v>0.23603636995216745</v>
      </c>
      <c r="F24" s="1">
        <f t="shared" ca="1" si="3"/>
        <v>22</v>
      </c>
      <c r="G24" s="1">
        <f t="shared" ca="1" si="4"/>
        <v>10</v>
      </c>
      <c r="H24" s="1">
        <f t="shared" ca="1" si="5"/>
        <v>5</v>
      </c>
      <c r="I24" s="1"/>
      <c r="J24" s="1">
        <f t="shared" ca="1" si="6"/>
        <v>16</v>
      </c>
      <c r="K24" s="1">
        <f t="shared" ca="1" si="7"/>
        <v>2.2169730934256258</v>
      </c>
      <c r="L24" s="1">
        <f t="shared" ca="1" si="8"/>
        <v>31</v>
      </c>
      <c r="M24" s="1"/>
      <c r="N24" s="1">
        <f t="shared" ca="1" si="9"/>
        <v>600</v>
      </c>
      <c r="O24" s="1">
        <f t="shared" ca="1" si="10"/>
        <v>48</v>
      </c>
      <c r="P24" s="1"/>
      <c r="Q24" s="1">
        <f t="shared" ca="1" si="11"/>
        <v>1.1328040231750185</v>
      </c>
      <c r="R24" s="1">
        <f t="shared" ca="1" si="12"/>
        <v>1100</v>
      </c>
      <c r="S24" s="1"/>
      <c r="T24" s="1">
        <f t="shared" ca="1" si="13"/>
        <v>0.17254923785863424</v>
      </c>
      <c r="U24" s="1">
        <f t="shared" ca="1" si="14"/>
        <v>72</v>
      </c>
      <c r="V24" s="1">
        <f t="shared" ca="1" si="15"/>
        <v>39</v>
      </c>
      <c r="W24" s="1"/>
      <c r="X24" s="1">
        <f t="shared" ca="1" si="16"/>
        <v>4.0315035912623483</v>
      </c>
      <c r="Y24" s="1">
        <f t="shared" ca="1" si="17"/>
        <v>0.68326875810790955</v>
      </c>
      <c r="Z24" s="1">
        <f t="shared" ca="1" si="18"/>
        <v>538</v>
      </c>
      <c r="AB24" s="1">
        <f t="shared" ca="1" si="19"/>
        <v>0.83563506241501861</v>
      </c>
      <c r="AC24" s="1">
        <f t="shared" ca="1" si="20"/>
        <v>254</v>
      </c>
      <c r="AD24" s="1">
        <f t="shared" ca="1" si="21"/>
        <v>1.0862721404397292E-3</v>
      </c>
      <c r="AE24" s="1"/>
      <c r="AF24" s="1">
        <f t="shared" ca="1" si="22"/>
        <v>0.60488996158262531</v>
      </c>
      <c r="AG24" s="1">
        <f t="shared" ca="1" si="23"/>
        <v>317</v>
      </c>
      <c r="AH24" s="1">
        <f t="shared" ca="1" si="24"/>
        <v>5.4954844845791452E-3</v>
      </c>
      <c r="AJ24" s="1">
        <f t="shared" ca="1" si="25"/>
        <v>0.15169444777995311</v>
      </c>
      <c r="AK24" s="1">
        <f t="shared" ca="1" si="26"/>
        <v>1.5061624537122678E-3</v>
      </c>
      <c r="AL24" s="1"/>
      <c r="AM24" s="1">
        <f t="shared" ca="1" si="27"/>
        <v>0.12194330721093789</v>
      </c>
      <c r="AN24" s="1">
        <f t="shared" ca="1" si="28"/>
        <v>19</v>
      </c>
      <c r="AO24" s="1">
        <f t="shared" ca="1" si="29"/>
        <v>6</v>
      </c>
      <c r="AQ24" s="1">
        <f t="shared" ca="1" si="30"/>
        <v>48</v>
      </c>
      <c r="AR24" s="1">
        <f t="shared" ca="1" si="31"/>
        <v>6</v>
      </c>
      <c r="AS24" s="1">
        <f t="shared" ca="1" si="32"/>
        <v>8</v>
      </c>
      <c r="AU24" s="1">
        <f t="shared" ca="1" si="33"/>
        <v>185</v>
      </c>
      <c r="AV24" s="1">
        <f t="shared" ca="1" si="34"/>
        <v>6</v>
      </c>
      <c r="AW24" s="1">
        <f t="shared" ca="1" si="35"/>
        <v>0.10448789478952004</v>
      </c>
      <c r="AY24" s="1">
        <f t="shared" ca="1" si="36"/>
        <v>1.5701503298636861</v>
      </c>
      <c r="AZ24" s="1">
        <f t="shared" ca="1" si="37"/>
        <v>345</v>
      </c>
      <c r="BA24" s="1">
        <f t="shared" ca="1" si="38"/>
        <v>4.4831225039584531E-3</v>
      </c>
      <c r="BV24" s="1">
        <f t="shared" ca="1" si="39"/>
        <v>0.31466675586259835</v>
      </c>
      <c r="BW24" s="1">
        <f t="shared" ca="1" si="40"/>
        <v>551</v>
      </c>
      <c r="BX24" s="1">
        <f t="shared" ca="1" si="41"/>
        <v>4.250645518709778E-4</v>
      </c>
      <c r="BY24" s="1">
        <f t="shared" ca="1" si="42"/>
        <v>4.7305125672745557E-2</v>
      </c>
      <c r="BZ24" s="1">
        <f t="shared" ca="1" si="43"/>
        <v>0.30594056697202054</v>
      </c>
      <c r="CB24" s="1">
        <f t="shared" ca="1" si="44"/>
        <v>85</v>
      </c>
      <c r="CC24" s="1">
        <f t="shared" ca="1" si="45"/>
        <v>10</v>
      </c>
      <c r="CD24" s="1">
        <f t="shared" ca="1" si="46"/>
        <v>0.13444123093996477</v>
      </c>
      <c r="CE24" s="1">
        <f t="shared" ca="1" si="47"/>
        <v>0.50362907753715258</v>
      </c>
      <c r="CF24" s="1">
        <f t="shared" ca="1" si="47"/>
        <v>0.74541106317540118</v>
      </c>
      <c r="CH24" s="7">
        <f t="shared" ca="1" si="48"/>
        <v>0.85498738595074741</v>
      </c>
      <c r="CI24" s="7">
        <f t="shared" ca="1" si="49"/>
        <v>0.31784933300502971</v>
      </c>
      <c r="CJ24" s="7">
        <f t="shared" ca="1" si="50"/>
        <v>1288</v>
      </c>
      <c r="CK24" s="7">
        <f t="shared" ca="1" si="51"/>
        <v>6.4442495860006612E-3</v>
      </c>
      <c r="CL24" s="7">
        <f t="shared" ca="1" si="52"/>
        <v>0</v>
      </c>
    </row>
    <row r="25" spans="2:90" x14ac:dyDescent="0.25">
      <c r="B25">
        <f t="shared" ca="1" si="0"/>
        <v>873</v>
      </c>
      <c r="C25">
        <f t="shared" ca="1" si="1"/>
        <v>43</v>
      </c>
      <c r="D25">
        <f t="shared" ca="1" si="2"/>
        <v>0.17792080318929177</v>
      </c>
      <c r="F25" s="1">
        <f t="shared" ca="1" si="3"/>
        <v>38</v>
      </c>
      <c r="G25" s="1">
        <f t="shared" ca="1" si="4"/>
        <v>16</v>
      </c>
      <c r="H25" s="1">
        <f t="shared" ca="1" si="5"/>
        <v>8</v>
      </c>
      <c r="I25" s="1"/>
      <c r="J25" s="1">
        <f t="shared" ca="1" si="6"/>
        <v>38</v>
      </c>
      <c r="K25" s="1">
        <f t="shared" ca="1" si="7"/>
        <v>2.02110859799765</v>
      </c>
      <c r="L25" s="1">
        <f t="shared" ca="1" si="8"/>
        <v>28</v>
      </c>
      <c r="M25" s="1"/>
      <c r="N25" s="1">
        <f t="shared" ca="1" si="9"/>
        <v>807</v>
      </c>
      <c r="O25" s="1">
        <f t="shared" ca="1" si="10"/>
        <v>28</v>
      </c>
      <c r="P25" s="1"/>
      <c r="Q25" s="1">
        <f t="shared" ca="1" si="11"/>
        <v>1.0369146973628725</v>
      </c>
      <c r="R25" s="1">
        <f t="shared" ca="1" si="12"/>
        <v>892</v>
      </c>
      <c r="S25" s="1"/>
      <c r="T25" s="1">
        <f t="shared" ca="1" si="13"/>
        <v>0.16380178603759837</v>
      </c>
      <c r="U25" s="1">
        <f t="shared" ca="1" si="14"/>
        <v>102</v>
      </c>
      <c r="V25" s="1">
        <f t="shared" ca="1" si="15"/>
        <v>18</v>
      </c>
      <c r="W25" s="1"/>
      <c r="X25" s="1">
        <f t="shared" ca="1" si="16"/>
        <v>9.7563919791725358</v>
      </c>
      <c r="Y25" s="1">
        <f t="shared" ca="1" si="17"/>
        <v>0.53709596482917243</v>
      </c>
      <c r="Z25" s="1">
        <f t="shared" ca="1" si="18"/>
        <v>315</v>
      </c>
      <c r="AB25" s="1">
        <f t="shared" ca="1" si="19"/>
        <v>0.32643858111850682</v>
      </c>
      <c r="AC25" s="1">
        <f t="shared" ca="1" si="20"/>
        <v>532</v>
      </c>
      <c r="AD25" s="1">
        <f t="shared" ca="1" si="21"/>
        <v>1.6427144332485961E-4</v>
      </c>
      <c r="AE25" s="1"/>
      <c r="AF25" s="1">
        <f t="shared" ca="1" si="22"/>
        <v>0.39854976519212426</v>
      </c>
      <c r="AG25" s="1">
        <f t="shared" ca="1" si="23"/>
        <v>509</v>
      </c>
      <c r="AH25" s="1">
        <f t="shared" ca="1" si="24"/>
        <v>4.4753913847714833E-3</v>
      </c>
      <c r="AJ25" s="1">
        <f t="shared" ca="1" si="25"/>
        <v>0.15984009677734223</v>
      </c>
      <c r="AK25" s="1">
        <f t="shared" ca="1" si="26"/>
        <v>9.0068429000196328E-3</v>
      </c>
      <c r="AL25" s="1"/>
      <c r="AM25" s="1">
        <f t="shared" ca="1" si="27"/>
        <v>9.432821887637366E-2</v>
      </c>
      <c r="AN25" s="1">
        <f t="shared" ca="1" si="28"/>
        <v>21</v>
      </c>
      <c r="AO25" s="1">
        <f t="shared" ca="1" si="29"/>
        <v>0</v>
      </c>
      <c r="AQ25" s="1">
        <f t="shared" ca="1" si="30"/>
        <v>55</v>
      </c>
      <c r="AR25" s="1">
        <f t="shared" ca="1" si="31"/>
        <v>1</v>
      </c>
      <c r="AS25" s="1">
        <f t="shared" ca="1" si="32"/>
        <v>78</v>
      </c>
      <c r="AU25" s="1">
        <f t="shared" ca="1" si="33"/>
        <v>67</v>
      </c>
      <c r="AV25" s="1">
        <f t="shared" ca="1" si="34"/>
        <v>7</v>
      </c>
      <c r="AW25" s="1">
        <f t="shared" ca="1" si="35"/>
        <v>0.1726875089876882</v>
      </c>
      <c r="AY25" s="1">
        <f t="shared" ca="1" si="36"/>
        <v>1.6470842776415833</v>
      </c>
      <c r="AZ25" s="1">
        <f t="shared" ca="1" si="37"/>
        <v>173</v>
      </c>
      <c r="BA25" s="1">
        <f t="shared" ca="1" si="38"/>
        <v>7.8153413622178251E-3</v>
      </c>
      <c r="BV25" s="1">
        <f t="shared" ca="1" si="39"/>
        <v>0.13038690287930041</v>
      </c>
      <c r="BW25" s="1">
        <f t="shared" ca="1" si="40"/>
        <v>372</v>
      </c>
      <c r="BX25" s="1">
        <f t="shared" ca="1" si="41"/>
        <v>6.3306661710097172E-3</v>
      </c>
      <c r="BY25" s="1">
        <f t="shared" ca="1" si="42"/>
        <v>9.6032079256815658E-2</v>
      </c>
      <c r="BZ25" s="1">
        <f t="shared" ca="1" si="43"/>
        <v>0.92400208128008698</v>
      </c>
      <c r="CB25" s="1">
        <f t="shared" ca="1" si="44"/>
        <v>441</v>
      </c>
      <c r="CC25" s="1">
        <f t="shared" ca="1" si="45"/>
        <v>7</v>
      </c>
      <c r="CD25" s="1">
        <f t="shared" ca="1" si="46"/>
        <v>5.6020347933096244E-2</v>
      </c>
      <c r="CE25" s="1">
        <f t="shared" ca="1" si="47"/>
        <v>0.50137660371881088</v>
      </c>
      <c r="CF25" s="1">
        <f t="shared" ca="1" si="47"/>
        <v>0.67376831054039221</v>
      </c>
      <c r="CH25" s="7">
        <f t="shared" ca="1" si="48"/>
        <v>0.32454994559539824</v>
      </c>
      <c r="CI25" s="7">
        <f t="shared" ca="1" si="49"/>
        <v>0.80145713424743592</v>
      </c>
      <c r="CJ25" s="7">
        <f t="shared" ca="1" si="50"/>
        <v>1466</v>
      </c>
      <c r="CK25" s="7">
        <f t="shared" ca="1" si="51"/>
        <v>2.8097939273095049E-3</v>
      </c>
      <c r="CL25" s="7">
        <f t="shared" ca="1" si="52"/>
        <v>1</v>
      </c>
    </row>
    <row r="26" spans="2:90" x14ac:dyDescent="0.25">
      <c r="B26">
        <f t="shared" ca="1" si="0"/>
        <v>740</v>
      </c>
      <c r="C26">
        <f t="shared" ca="1" si="1"/>
        <v>32</v>
      </c>
      <c r="D26">
        <f t="shared" ca="1" si="2"/>
        <v>0.24309465457604532</v>
      </c>
      <c r="F26" s="1">
        <f t="shared" ca="1" si="3"/>
        <v>25</v>
      </c>
      <c r="G26" s="1">
        <f t="shared" ca="1" si="4"/>
        <v>13</v>
      </c>
      <c r="H26" s="1">
        <f t="shared" ca="1" si="5"/>
        <v>11</v>
      </c>
      <c r="I26" s="1"/>
      <c r="J26" s="1">
        <f t="shared" ca="1" si="6"/>
        <v>23</v>
      </c>
      <c r="K26" s="1">
        <f t="shared" ca="1" si="7"/>
        <v>1.0209351194716214</v>
      </c>
      <c r="L26" s="1">
        <f t="shared" ca="1" si="8"/>
        <v>19</v>
      </c>
      <c r="M26" s="1"/>
      <c r="N26" s="1">
        <f t="shared" ca="1" si="9"/>
        <v>742</v>
      </c>
      <c r="O26" s="1">
        <f t="shared" ca="1" si="10"/>
        <v>25</v>
      </c>
      <c r="P26" s="1"/>
      <c r="Q26" s="1">
        <f t="shared" ca="1" si="11"/>
        <v>1.5019708915747942</v>
      </c>
      <c r="R26" s="1">
        <f t="shared" ca="1" si="12"/>
        <v>1118</v>
      </c>
      <c r="S26" s="1"/>
      <c r="T26" s="1">
        <f t="shared" ca="1" si="13"/>
        <v>5.8701946481172329E-2</v>
      </c>
      <c r="U26" s="1">
        <f t="shared" ca="1" si="14"/>
        <v>161</v>
      </c>
      <c r="V26" s="1">
        <f t="shared" ca="1" si="15"/>
        <v>52</v>
      </c>
      <c r="W26" s="1"/>
      <c r="X26" s="1">
        <f t="shared" ca="1" si="16"/>
        <v>1.2136401804061341</v>
      </c>
      <c r="Y26" s="1">
        <f t="shared" ca="1" si="17"/>
        <v>0.13361064447374929</v>
      </c>
      <c r="Z26" s="1">
        <f t="shared" ca="1" si="18"/>
        <v>481</v>
      </c>
      <c r="AB26" s="1">
        <f t="shared" ca="1" si="19"/>
        <v>0.13652606311458432</v>
      </c>
      <c r="AC26" s="1">
        <f t="shared" ca="1" si="20"/>
        <v>651</v>
      </c>
      <c r="AD26" s="1">
        <f t="shared" ca="1" si="21"/>
        <v>2.1166521732018985E-4</v>
      </c>
      <c r="AE26" s="1"/>
      <c r="AF26" s="1">
        <f t="shared" ca="1" si="22"/>
        <v>0.78491391553656964</v>
      </c>
      <c r="AG26" s="1">
        <f t="shared" ca="1" si="23"/>
        <v>186</v>
      </c>
      <c r="AH26" s="1">
        <f t="shared" ca="1" si="24"/>
        <v>4.0590336207894382E-3</v>
      </c>
      <c r="AJ26" s="1">
        <f t="shared" ca="1" si="25"/>
        <v>0.60607636844156498</v>
      </c>
      <c r="AK26" s="1">
        <f t="shared" ca="1" si="26"/>
        <v>1.8731869455076312E-3</v>
      </c>
      <c r="AL26" s="1"/>
      <c r="AM26" s="1">
        <f t="shared" ca="1" si="27"/>
        <v>0.14252903883910267</v>
      </c>
      <c r="AN26" s="1">
        <f t="shared" ca="1" si="28"/>
        <v>34</v>
      </c>
      <c r="AO26" s="1">
        <f t="shared" ca="1" si="29"/>
        <v>10</v>
      </c>
      <c r="AQ26" s="1">
        <f t="shared" ca="1" si="30"/>
        <v>81</v>
      </c>
      <c r="AR26" s="1">
        <f t="shared" ca="1" si="31"/>
        <v>8</v>
      </c>
      <c r="AS26" s="1">
        <f t="shared" ca="1" si="32"/>
        <v>32</v>
      </c>
      <c r="AU26" s="1">
        <f t="shared" ca="1" si="33"/>
        <v>203</v>
      </c>
      <c r="AV26" s="1">
        <f t="shared" ca="1" si="34"/>
        <v>7</v>
      </c>
      <c r="AW26" s="1">
        <f t="shared" ca="1" si="35"/>
        <v>6.8543791323110517E-2</v>
      </c>
      <c r="AY26" s="1">
        <f t="shared" ca="1" si="36"/>
        <v>1.6798976383104289</v>
      </c>
      <c r="AZ26" s="1">
        <f t="shared" ca="1" si="37"/>
        <v>420</v>
      </c>
      <c r="BA26" s="1">
        <f t="shared" ca="1" si="38"/>
        <v>8.1327439689251376E-3</v>
      </c>
      <c r="BV26" s="1">
        <f t="shared" ca="1" si="39"/>
        <v>0.22578323164868389</v>
      </c>
      <c r="BW26" s="1">
        <f t="shared" ca="1" si="40"/>
        <v>936</v>
      </c>
      <c r="BX26" s="1">
        <f t="shared" ca="1" si="41"/>
        <v>6.4723174116883397E-3</v>
      </c>
      <c r="BY26" s="1">
        <f t="shared" ca="1" si="42"/>
        <v>2.4251782923409768E-2</v>
      </c>
      <c r="BZ26" s="1">
        <f t="shared" ca="1" si="43"/>
        <v>0.80081557841745588</v>
      </c>
      <c r="CB26" s="1">
        <f t="shared" ca="1" si="44"/>
        <v>142</v>
      </c>
      <c r="CC26" s="1">
        <f t="shared" ca="1" si="45"/>
        <v>9</v>
      </c>
      <c r="CD26" s="1">
        <f t="shared" ca="1" si="46"/>
        <v>0.10071295616239768</v>
      </c>
      <c r="CE26" s="1">
        <f t="shared" ca="1" si="47"/>
        <v>0.86200652343856643</v>
      </c>
      <c r="CF26" s="1">
        <f t="shared" ca="1" si="47"/>
        <v>0.90067066203302182</v>
      </c>
      <c r="CH26" s="7">
        <f t="shared" ca="1" si="48"/>
        <v>0.1660327915386883</v>
      </c>
      <c r="CI26" s="7">
        <f t="shared" ca="1" si="49"/>
        <v>0.13411502766003355</v>
      </c>
      <c r="CJ26" s="7">
        <f t="shared" ca="1" si="50"/>
        <v>1406</v>
      </c>
      <c r="CK26" s="7">
        <f t="shared" ca="1" si="51"/>
        <v>6.8035239226670145E-3</v>
      </c>
      <c r="CL26" s="7">
        <f t="shared" ca="1" si="52"/>
        <v>0</v>
      </c>
    </row>
    <row r="27" spans="2:90" x14ac:dyDescent="0.25">
      <c r="B27">
        <f t="shared" ca="1" si="0"/>
        <v>40</v>
      </c>
      <c r="C27">
        <f t="shared" ca="1" si="1"/>
        <v>11</v>
      </c>
      <c r="D27">
        <f t="shared" ca="1" si="2"/>
        <v>4.4139012721431468E-2</v>
      </c>
      <c r="F27" s="1">
        <f t="shared" ca="1" si="3"/>
        <v>28</v>
      </c>
      <c r="G27" s="1">
        <f t="shared" ca="1" si="4"/>
        <v>16</v>
      </c>
      <c r="H27" s="1">
        <f t="shared" ca="1" si="5"/>
        <v>11</v>
      </c>
      <c r="I27" s="1"/>
      <c r="J27" s="1">
        <f t="shared" ca="1" si="6"/>
        <v>31</v>
      </c>
      <c r="K27" s="1">
        <f t="shared" ca="1" si="7"/>
        <v>1.0514217860819293</v>
      </c>
      <c r="L27" s="1">
        <f t="shared" ca="1" si="8"/>
        <v>30</v>
      </c>
      <c r="M27" s="1"/>
      <c r="N27" s="1">
        <f t="shared" ca="1" si="9"/>
        <v>404</v>
      </c>
      <c r="O27" s="1">
        <f t="shared" ca="1" si="10"/>
        <v>30</v>
      </c>
      <c r="P27" s="1"/>
      <c r="Q27" s="1">
        <f t="shared" ca="1" si="11"/>
        <v>3.8108760635502539</v>
      </c>
      <c r="R27" s="1">
        <f t="shared" ca="1" si="12"/>
        <v>505</v>
      </c>
      <c r="S27" s="1"/>
      <c r="T27" s="1">
        <f t="shared" ca="1" si="13"/>
        <v>0.13461188874224472</v>
      </c>
      <c r="U27" s="1">
        <f t="shared" ca="1" si="14"/>
        <v>255</v>
      </c>
      <c r="V27" s="1">
        <f t="shared" ca="1" si="15"/>
        <v>24</v>
      </c>
      <c r="W27" s="1"/>
      <c r="X27" s="1">
        <f t="shared" ca="1" si="16"/>
        <v>0.95560902139372172</v>
      </c>
      <c r="Y27" s="1">
        <f t="shared" ca="1" si="17"/>
        <v>0.69175238959398155</v>
      </c>
      <c r="Z27" s="1">
        <f t="shared" ca="1" si="18"/>
        <v>1367</v>
      </c>
      <c r="AB27" s="1">
        <f t="shared" ca="1" si="19"/>
        <v>0.61784917722585353</v>
      </c>
      <c r="AC27" s="1">
        <f t="shared" ca="1" si="20"/>
        <v>717</v>
      </c>
      <c r="AD27" s="1">
        <f t="shared" ca="1" si="21"/>
        <v>4.4053782551519474E-4</v>
      </c>
      <c r="AE27" s="1"/>
      <c r="AF27" s="1">
        <f t="shared" ca="1" si="22"/>
        <v>0.71836594732821801</v>
      </c>
      <c r="AG27" s="1">
        <f t="shared" ca="1" si="23"/>
        <v>808</v>
      </c>
      <c r="AH27" s="1">
        <f t="shared" ca="1" si="24"/>
        <v>6.3218426805282902E-3</v>
      </c>
      <c r="AJ27" s="1">
        <f t="shared" ca="1" si="25"/>
        <v>0.52085438495511016</v>
      </c>
      <c r="AK27" s="1">
        <f t="shared" ca="1" si="26"/>
        <v>8.2017530153618116E-3</v>
      </c>
      <c r="AL27" s="1"/>
      <c r="AM27" s="1">
        <f t="shared" ca="1" si="27"/>
        <v>0.14126528412634723</v>
      </c>
      <c r="AN27" s="1">
        <f t="shared" ca="1" si="28"/>
        <v>18</v>
      </c>
      <c r="AO27" s="1">
        <f t="shared" ca="1" si="29"/>
        <v>11</v>
      </c>
      <c r="AQ27" s="1">
        <f t="shared" ca="1" si="30"/>
        <v>115</v>
      </c>
      <c r="AR27" s="1">
        <f t="shared" ca="1" si="31"/>
        <v>9</v>
      </c>
      <c r="AS27" s="1">
        <f t="shared" ca="1" si="32"/>
        <v>57</v>
      </c>
      <c r="AU27" s="1">
        <f t="shared" ca="1" si="33"/>
        <v>77</v>
      </c>
      <c r="AV27" s="1">
        <f t="shared" ca="1" si="34"/>
        <v>7</v>
      </c>
      <c r="AW27" s="1">
        <f t="shared" ca="1" si="35"/>
        <v>2.5457535523542435E-2</v>
      </c>
      <c r="AY27" s="1">
        <f t="shared" ca="1" si="36"/>
        <v>1.4256734871928392</v>
      </c>
      <c r="AZ27" s="1">
        <f t="shared" ca="1" si="37"/>
        <v>407</v>
      </c>
      <c r="BA27" s="1">
        <f t="shared" ca="1" si="38"/>
        <v>2.1097139730232918E-3</v>
      </c>
      <c r="BV27" s="1">
        <f t="shared" ca="1" si="39"/>
        <v>0.97358392199316179</v>
      </c>
      <c r="BW27" s="1">
        <f t="shared" ca="1" si="40"/>
        <v>645</v>
      </c>
      <c r="BX27" s="1">
        <f t="shared" ca="1" si="41"/>
        <v>1.2678443874292236E-3</v>
      </c>
      <c r="BY27" s="1">
        <f t="shared" ca="1" si="42"/>
        <v>1.0415130432784822E-2</v>
      </c>
      <c r="BZ27" s="1">
        <f t="shared" ca="1" si="43"/>
        <v>7.8155397322960507E-2</v>
      </c>
      <c r="CB27" s="1">
        <f t="shared" ca="1" si="44"/>
        <v>157</v>
      </c>
      <c r="CC27" s="1">
        <f t="shared" ca="1" si="45"/>
        <v>5</v>
      </c>
      <c r="CD27" s="1">
        <f t="shared" ca="1" si="46"/>
        <v>0.12825973225850795</v>
      </c>
      <c r="CE27" s="1">
        <f t="shared" ca="1" si="47"/>
        <v>0.5871571364908611</v>
      </c>
      <c r="CF27" s="1">
        <f t="shared" ca="1" si="47"/>
        <v>0.66829230220979496</v>
      </c>
      <c r="CH27" s="7">
        <f t="shared" ca="1" si="48"/>
        <v>0.9736652474425066</v>
      </c>
      <c r="CI27" s="7">
        <f t="shared" ca="1" si="49"/>
        <v>0.35628515590401633</v>
      </c>
      <c r="CJ27" s="7">
        <f t="shared" ca="1" si="50"/>
        <v>1111</v>
      </c>
      <c r="CK27" s="7">
        <f t="shared" ca="1" si="51"/>
        <v>6.0009753064252363E-3</v>
      </c>
      <c r="CL27" s="7">
        <f t="shared" ca="1" si="52"/>
        <v>1</v>
      </c>
    </row>
    <row r="28" spans="2:90" x14ac:dyDescent="0.25">
      <c r="B28">
        <f t="shared" ca="1" si="0"/>
        <v>638</v>
      </c>
      <c r="C28">
        <f t="shared" ca="1" si="1"/>
        <v>36</v>
      </c>
      <c r="D28">
        <f t="shared" ca="1" si="2"/>
        <v>4.1817521064483588E-2</v>
      </c>
      <c r="F28" s="1">
        <f t="shared" ca="1" si="3"/>
        <v>26</v>
      </c>
      <c r="G28" s="1">
        <f t="shared" ca="1" si="4"/>
        <v>17</v>
      </c>
      <c r="H28" s="1">
        <f t="shared" ca="1" si="5"/>
        <v>12</v>
      </c>
      <c r="I28" s="1"/>
      <c r="J28" s="1">
        <f t="shared" ca="1" si="6"/>
        <v>23</v>
      </c>
      <c r="K28" s="1">
        <f t="shared" ca="1" si="7"/>
        <v>2.3153720184356867</v>
      </c>
      <c r="L28" s="1">
        <f t="shared" ca="1" si="8"/>
        <v>4</v>
      </c>
      <c r="M28" s="1"/>
      <c r="N28" s="1">
        <f t="shared" ca="1" si="9"/>
        <v>574</v>
      </c>
      <c r="O28" s="1">
        <f t="shared" ca="1" si="10"/>
        <v>2</v>
      </c>
      <c r="P28" s="1"/>
      <c r="Q28" s="1">
        <f t="shared" ca="1" si="11"/>
        <v>1.4605263312081094</v>
      </c>
      <c r="R28" s="1">
        <f t="shared" ca="1" si="12"/>
        <v>368</v>
      </c>
      <c r="S28" s="1"/>
      <c r="T28" s="1">
        <f t="shared" ca="1" si="13"/>
        <v>5.7214377230820207E-2</v>
      </c>
      <c r="U28" s="1">
        <f t="shared" ca="1" si="14"/>
        <v>74</v>
      </c>
      <c r="V28" s="1">
        <f t="shared" ca="1" si="15"/>
        <v>49</v>
      </c>
      <c r="W28" s="1"/>
      <c r="X28" s="1">
        <f t="shared" ca="1" si="16"/>
        <v>2.0058150144671383</v>
      </c>
      <c r="Y28" s="1">
        <f t="shared" ca="1" si="17"/>
        <v>0.18172152844327438</v>
      </c>
      <c r="Z28" s="1">
        <f t="shared" ca="1" si="18"/>
        <v>1735</v>
      </c>
      <c r="AB28" s="1">
        <f t="shared" ca="1" si="19"/>
        <v>0.37932832585819382</v>
      </c>
      <c r="AC28" s="1">
        <f t="shared" ca="1" si="20"/>
        <v>672</v>
      </c>
      <c r="AD28" s="1">
        <f t="shared" ca="1" si="21"/>
        <v>3.2264637485371361E-3</v>
      </c>
      <c r="AE28" s="1"/>
      <c r="AF28" s="1">
        <f t="shared" ca="1" si="22"/>
        <v>0.69314591987517615</v>
      </c>
      <c r="AG28" s="1">
        <f t="shared" ca="1" si="23"/>
        <v>246</v>
      </c>
      <c r="AH28" s="1">
        <f t="shared" ca="1" si="24"/>
        <v>5.724595981897721E-3</v>
      </c>
      <c r="AJ28" s="1">
        <f t="shared" ca="1" si="25"/>
        <v>0.4393885287437943</v>
      </c>
      <c r="AK28" s="1">
        <f t="shared" ca="1" si="26"/>
        <v>4.2495288697454604E-3</v>
      </c>
      <c r="AL28" s="1"/>
      <c r="AM28" s="1">
        <f t="shared" ca="1" si="27"/>
        <v>0.13976001657386555</v>
      </c>
      <c r="AN28" s="1">
        <f t="shared" ca="1" si="28"/>
        <v>61</v>
      </c>
      <c r="AO28" s="1">
        <f t="shared" ca="1" si="29"/>
        <v>12</v>
      </c>
      <c r="AQ28" s="1">
        <f t="shared" ca="1" si="30"/>
        <v>183</v>
      </c>
      <c r="AR28" s="1">
        <f t="shared" ca="1" si="31"/>
        <v>6</v>
      </c>
      <c r="AS28" s="1">
        <f t="shared" ca="1" si="32"/>
        <v>39</v>
      </c>
      <c r="AU28" s="1">
        <f t="shared" ca="1" si="33"/>
        <v>301</v>
      </c>
      <c r="AV28" s="1">
        <f t="shared" ca="1" si="34"/>
        <v>4</v>
      </c>
      <c r="AW28" s="1">
        <f t="shared" ca="1" si="35"/>
        <v>9.6221059983624305E-2</v>
      </c>
      <c r="AY28" s="1">
        <f t="shared" ca="1" si="36"/>
        <v>1.6252545792299975</v>
      </c>
      <c r="AZ28" s="1">
        <f t="shared" ca="1" si="37"/>
        <v>498</v>
      </c>
      <c r="BA28" s="1">
        <f t="shared" ca="1" si="38"/>
        <v>5.4788649219455554E-3</v>
      </c>
      <c r="BV28" s="1">
        <f t="shared" ca="1" si="39"/>
        <v>0.30775247739094552</v>
      </c>
      <c r="BW28" s="1">
        <f t="shared" ca="1" si="40"/>
        <v>783</v>
      </c>
      <c r="BX28" s="1">
        <f t="shared" ca="1" si="41"/>
        <v>4.5571901419686096E-3</v>
      </c>
      <c r="BY28" s="1">
        <f t="shared" ca="1" si="42"/>
        <v>8.7575922260860278E-2</v>
      </c>
      <c r="BZ28" s="1">
        <f t="shared" ca="1" si="43"/>
        <v>0.88754208602519269</v>
      </c>
      <c r="CB28" s="1">
        <f t="shared" ca="1" si="44"/>
        <v>363</v>
      </c>
      <c r="CC28" s="1">
        <f t="shared" ca="1" si="45"/>
        <v>5</v>
      </c>
      <c r="CD28" s="1">
        <f t="shared" ca="1" si="46"/>
        <v>0.23202174443328641</v>
      </c>
      <c r="CE28" s="1">
        <f t="shared" ca="1" si="47"/>
        <v>0.63348214226357791</v>
      </c>
      <c r="CF28" s="1">
        <f t="shared" ca="1" si="47"/>
        <v>0.60383694834979229</v>
      </c>
      <c r="CH28" s="7">
        <f t="shared" ca="1" si="48"/>
        <v>0.76013464720411972</v>
      </c>
      <c r="CI28" s="7">
        <f t="shared" ca="1" si="49"/>
        <v>0.27750491390858861</v>
      </c>
      <c r="CJ28" s="7">
        <f t="shared" ca="1" si="50"/>
        <v>357</v>
      </c>
      <c r="CK28" s="7">
        <f t="shared" ca="1" si="51"/>
        <v>6.8402843445930497E-3</v>
      </c>
      <c r="CL28" s="7">
        <f t="shared" ca="1" si="52"/>
        <v>0</v>
      </c>
    </row>
    <row r="29" spans="2:90" x14ac:dyDescent="0.25">
      <c r="B29">
        <f t="shared" ca="1" si="0"/>
        <v>475</v>
      </c>
      <c r="C29">
        <f t="shared" ca="1" si="1"/>
        <v>44</v>
      </c>
      <c r="D29">
        <f t="shared" ca="1" si="2"/>
        <v>6.1939920942510295E-2</v>
      </c>
      <c r="F29" s="1">
        <f t="shared" ca="1" si="3"/>
        <v>15</v>
      </c>
      <c r="G29" s="1">
        <f t="shared" ca="1" si="4"/>
        <v>23</v>
      </c>
      <c r="H29" s="1">
        <f t="shared" ca="1" si="5"/>
        <v>9</v>
      </c>
      <c r="I29" s="1"/>
      <c r="J29" s="1">
        <f t="shared" ca="1" si="6"/>
        <v>14</v>
      </c>
      <c r="K29" s="1">
        <f t="shared" ca="1" si="7"/>
        <v>2.1322075339884172</v>
      </c>
      <c r="L29" s="1">
        <f t="shared" ca="1" si="8"/>
        <v>18</v>
      </c>
      <c r="M29" s="1"/>
      <c r="N29" s="1">
        <f t="shared" ca="1" si="9"/>
        <v>818</v>
      </c>
      <c r="O29" s="1">
        <f t="shared" ca="1" si="10"/>
        <v>47</v>
      </c>
      <c r="P29" s="1"/>
      <c r="Q29" s="1">
        <f t="shared" ca="1" si="11"/>
        <v>3.0223621274197474</v>
      </c>
      <c r="R29" s="1">
        <f t="shared" ca="1" si="12"/>
        <v>767</v>
      </c>
      <c r="S29" s="1"/>
      <c r="T29" s="1">
        <f t="shared" ca="1" si="13"/>
        <v>9.0380548783114786E-2</v>
      </c>
      <c r="U29" s="1">
        <f t="shared" ca="1" si="14"/>
        <v>241</v>
      </c>
      <c r="V29" s="1">
        <f t="shared" ca="1" si="15"/>
        <v>26</v>
      </c>
      <c r="W29" s="1"/>
      <c r="X29" s="1">
        <f t="shared" ca="1" si="16"/>
        <v>0.84253303373261512</v>
      </c>
      <c r="Y29" s="1">
        <f t="shared" ca="1" si="17"/>
        <v>0.17383502308674295</v>
      </c>
      <c r="Z29" s="1">
        <f t="shared" ca="1" si="18"/>
        <v>742</v>
      </c>
      <c r="AB29" s="1">
        <f t="shared" ca="1" si="19"/>
        <v>0.65968944155396847</v>
      </c>
      <c r="AC29" s="1">
        <f t="shared" ca="1" si="20"/>
        <v>632</v>
      </c>
      <c r="AD29" s="1">
        <f t="shared" ca="1" si="21"/>
        <v>7.2884688254086472E-4</v>
      </c>
      <c r="AE29" s="1"/>
      <c r="AF29" s="1">
        <f t="shared" ca="1" si="22"/>
        <v>0.49892149947121689</v>
      </c>
      <c r="AG29" s="1">
        <f t="shared" ca="1" si="23"/>
        <v>199</v>
      </c>
      <c r="AH29" s="1">
        <f t="shared" ca="1" si="24"/>
        <v>2.9176439904021736E-3</v>
      </c>
      <c r="AJ29" s="1">
        <f t="shared" ca="1" si="25"/>
        <v>0.14749124475554365</v>
      </c>
      <c r="AK29" s="1">
        <f t="shared" ca="1" si="26"/>
        <v>8.0435013055518319E-3</v>
      </c>
      <c r="AL29" s="1"/>
      <c r="AM29" s="1">
        <f t="shared" ca="1" si="27"/>
        <v>5.5690105830309998E-2</v>
      </c>
      <c r="AN29" s="1">
        <f t="shared" ca="1" si="28"/>
        <v>13</v>
      </c>
      <c r="AO29" s="1">
        <f t="shared" ca="1" si="29"/>
        <v>16</v>
      </c>
      <c r="AQ29" s="1">
        <f t="shared" ca="1" si="30"/>
        <v>162</v>
      </c>
      <c r="AR29" s="1">
        <f t="shared" ca="1" si="31"/>
        <v>8</v>
      </c>
      <c r="AS29" s="1">
        <f t="shared" ca="1" si="32"/>
        <v>93</v>
      </c>
      <c r="AU29" s="1">
        <f t="shared" ca="1" si="33"/>
        <v>375</v>
      </c>
      <c r="AV29" s="1">
        <f t="shared" ca="1" si="34"/>
        <v>5</v>
      </c>
      <c r="AW29" s="1">
        <f t="shared" ca="1" si="35"/>
        <v>0.1088629760345977</v>
      </c>
      <c r="AY29" s="1">
        <f t="shared" ca="1" si="36"/>
        <v>1.45518996123262</v>
      </c>
      <c r="AZ29" s="1">
        <f t="shared" ca="1" si="37"/>
        <v>371</v>
      </c>
      <c r="BA29" s="1">
        <f t="shared" ca="1" si="38"/>
        <v>2.9090510238364339E-3</v>
      </c>
      <c r="BV29" s="1">
        <f t="shared" ca="1" si="39"/>
        <v>0.23964024459557731</v>
      </c>
      <c r="BW29" s="1">
        <f t="shared" ca="1" si="40"/>
        <v>231</v>
      </c>
      <c r="BX29" s="1">
        <f t="shared" ca="1" si="41"/>
        <v>5.6506901994877821E-3</v>
      </c>
      <c r="BY29" s="1">
        <f t="shared" ca="1" si="42"/>
        <v>3.2404769066795798E-2</v>
      </c>
      <c r="BZ29" s="1">
        <f t="shared" ca="1" si="43"/>
        <v>0.81571807822918452</v>
      </c>
      <c r="CB29" s="1">
        <f t="shared" ca="1" si="44"/>
        <v>181</v>
      </c>
      <c r="CC29" s="1">
        <f t="shared" ca="1" si="45"/>
        <v>5</v>
      </c>
      <c r="CD29" s="1">
        <f t="shared" ca="1" si="46"/>
        <v>9.1434730669348416E-2</v>
      </c>
      <c r="CE29" s="1">
        <f t="shared" ca="1" si="47"/>
        <v>0.86435389021173403</v>
      </c>
      <c r="CF29" s="1">
        <f t="shared" ca="1" si="47"/>
        <v>0.56639552329171083</v>
      </c>
      <c r="CH29" s="7">
        <f t="shared" ca="1" si="48"/>
        <v>2.0332914472979071E-3</v>
      </c>
      <c r="CI29" s="7">
        <f t="shared" ca="1" si="49"/>
        <v>1.1261489000845067E-2</v>
      </c>
      <c r="CJ29" s="7">
        <f t="shared" ca="1" si="50"/>
        <v>1761</v>
      </c>
      <c r="CK29" s="7">
        <f t="shared" ca="1" si="51"/>
        <v>9.5973352412304005E-3</v>
      </c>
      <c r="CL29" s="7">
        <f t="shared" ca="1" si="52"/>
        <v>0</v>
      </c>
    </row>
    <row r="30" spans="2:90" x14ac:dyDescent="0.25">
      <c r="B30">
        <f t="shared" ca="1" si="0"/>
        <v>652</v>
      </c>
      <c r="C30">
        <f t="shared" ca="1" si="1"/>
        <v>9</v>
      </c>
      <c r="D30">
        <f t="shared" ca="1" si="2"/>
        <v>9.0594131188935681E-2</v>
      </c>
      <c r="F30" s="1">
        <f t="shared" ca="1" si="3"/>
        <v>47</v>
      </c>
      <c r="G30" s="1">
        <f t="shared" ca="1" si="4"/>
        <v>22</v>
      </c>
      <c r="H30" s="1">
        <f t="shared" ca="1" si="5"/>
        <v>4</v>
      </c>
      <c r="I30" s="1"/>
      <c r="J30" s="1">
        <f t="shared" ca="1" si="6"/>
        <v>2</v>
      </c>
      <c r="K30" s="1">
        <f t="shared" ca="1" si="7"/>
        <v>1.749348937078022</v>
      </c>
      <c r="L30" s="1">
        <f t="shared" ca="1" si="8"/>
        <v>7</v>
      </c>
      <c r="M30" s="1"/>
      <c r="N30" s="1">
        <f t="shared" ca="1" si="9"/>
        <v>283</v>
      </c>
      <c r="O30" s="1">
        <f t="shared" ca="1" si="10"/>
        <v>10</v>
      </c>
      <c r="P30" s="1"/>
      <c r="Q30" s="1">
        <f t="shared" ca="1" si="11"/>
        <v>1.991013361821552</v>
      </c>
      <c r="R30" s="1">
        <f t="shared" ca="1" si="12"/>
        <v>320</v>
      </c>
      <c r="S30" s="1"/>
      <c r="T30" s="1">
        <f t="shared" ca="1" si="13"/>
        <v>0.18721204935252184</v>
      </c>
      <c r="U30" s="1">
        <f t="shared" ca="1" si="14"/>
        <v>63</v>
      </c>
      <c r="V30" s="1">
        <f t="shared" ca="1" si="15"/>
        <v>37</v>
      </c>
      <c r="W30" s="1"/>
      <c r="X30" s="1">
        <f t="shared" ca="1" si="16"/>
        <v>6.1414947581387214</v>
      </c>
      <c r="Y30" s="1">
        <f t="shared" ca="1" si="17"/>
        <v>0.1474593282199429</v>
      </c>
      <c r="Z30" s="1">
        <f t="shared" ca="1" si="18"/>
        <v>602</v>
      </c>
      <c r="AB30" s="1">
        <f t="shared" ca="1" si="19"/>
        <v>0.25650037245218205</v>
      </c>
      <c r="AC30" s="1">
        <f t="shared" ca="1" si="20"/>
        <v>297</v>
      </c>
      <c r="AD30" s="1">
        <f t="shared" ca="1" si="21"/>
        <v>8.5800720055242855E-4</v>
      </c>
      <c r="AE30" s="1"/>
      <c r="AF30" s="1">
        <f t="shared" ca="1" si="22"/>
        <v>0.49618087551837398</v>
      </c>
      <c r="AG30" s="1">
        <f t="shared" ca="1" si="23"/>
        <v>420</v>
      </c>
      <c r="AH30" s="1">
        <f t="shared" ca="1" si="24"/>
        <v>1.9991585248259726E-3</v>
      </c>
      <c r="AJ30" s="1">
        <f t="shared" ca="1" si="25"/>
        <v>0.27433038446357172</v>
      </c>
      <c r="AK30" s="1">
        <f t="shared" ca="1" si="26"/>
        <v>5.8236787338004732E-3</v>
      </c>
      <c r="AL30" s="1"/>
      <c r="AM30" s="1">
        <f t="shared" ca="1" si="27"/>
        <v>6.3988528352520127E-2</v>
      </c>
      <c r="AN30" s="1">
        <f t="shared" ca="1" si="28"/>
        <v>55</v>
      </c>
      <c r="AO30" s="1">
        <f t="shared" ca="1" si="29"/>
        <v>14</v>
      </c>
      <c r="AQ30" s="1">
        <f t="shared" ca="1" si="30"/>
        <v>186</v>
      </c>
      <c r="AR30" s="1">
        <f t="shared" ca="1" si="31"/>
        <v>5</v>
      </c>
      <c r="AS30" s="1">
        <f t="shared" ca="1" si="32"/>
        <v>32</v>
      </c>
      <c r="AU30" s="1">
        <f t="shared" ca="1" si="33"/>
        <v>261</v>
      </c>
      <c r="AV30" s="1">
        <f t="shared" ca="1" si="34"/>
        <v>6</v>
      </c>
      <c r="AW30" s="1">
        <f t="shared" ca="1" si="35"/>
        <v>0.19349625268873788</v>
      </c>
      <c r="AY30" s="1">
        <f t="shared" ca="1" si="36"/>
        <v>1.5275446295132551</v>
      </c>
      <c r="AZ30" s="1">
        <f t="shared" ca="1" si="37"/>
        <v>161</v>
      </c>
      <c r="BA30" s="1">
        <f t="shared" ca="1" si="38"/>
        <v>3.180016196161305E-3</v>
      </c>
      <c r="BV30" s="1">
        <f t="shared" ca="1" si="39"/>
        <v>0.36510521622198666</v>
      </c>
      <c r="BW30" s="1">
        <f t="shared" ca="1" si="40"/>
        <v>536</v>
      </c>
      <c r="BX30" s="1">
        <f t="shared" ca="1" si="41"/>
        <v>4.9180739730642405E-3</v>
      </c>
      <c r="BY30" s="1">
        <f t="shared" ca="1" si="42"/>
        <v>3.2161927749212067E-2</v>
      </c>
      <c r="BZ30" s="1">
        <f t="shared" ca="1" si="43"/>
        <v>0.40485225379935141</v>
      </c>
      <c r="CB30" s="1">
        <f t="shared" ca="1" si="44"/>
        <v>364</v>
      </c>
      <c r="CC30" s="1">
        <f t="shared" ca="1" si="45"/>
        <v>12</v>
      </c>
      <c r="CD30" s="1">
        <f t="shared" ca="1" si="46"/>
        <v>8.3576493911546229E-2</v>
      </c>
      <c r="CE30" s="1">
        <f t="shared" ca="1" si="47"/>
        <v>0.99257311643460011</v>
      </c>
      <c r="CF30" s="1">
        <f t="shared" ca="1" si="47"/>
        <v>0.86654720075234759</v>
      </c>
      <c r="CH30" s="7">
        <f t="shared" ca="1" si="48"/>
        <v>0.98962148494132463</v>
      </c>
      <c r="CI30" s="7">
        <f t="shared" ca="1" si="49"/>
        <v>0.38778669305712932</v>
      </c>
      <c r="CJ30" s="7">
        <f t="shared" ca="1" si="50"/>
        <v>1242</v>
      </c>
      <c r="CK30" s="7">
        <f t="shared" ca="1" si="51"/>
        <v>8.4530805782373642E-3</v>
      </c>
      <c r="CL30" s="7">
        <f t="shared" ca="1" si="52"/>
        <v>1</v>
      </c>
    </row>
    <row r="31" spans="2:90" x14ac:dyDescent="0.25">
      <c r="B31">
        <f t="shared" ca="1" si="0"/>
        <v>436</v>
      </c>
      <c r="C31">
        <f t="shared" ca="1" si="1"/>
        <v>10</v>
      </c>
      <c r="D31">
        <f t="shared" ca="1" si="2"/>
        <v>3.1591100928124678E-2</v>
      </c>
      <c r="F31" s="1">
        <f t="shared" ca="1" si="3"/>
        <v>22</v>
      </c>
      <c r="G31" s="1">
        <f t="shared" ca="1" si="4"/>
        <v>21</v>
      </c>
      <c r="H31" s="1">
        <f t="shared" ca="1" si="5"/>
        <v>4</v>
      </c>
      <c r="I31" s="1"/>
      <c r="J31" s="1">
        <f t="shared" ca="1" si="6"/>
        <v>16</v>
      </c>
      <c r="K31" s="1">
        <f t="shared" ca="1" si="7"/>
        <v>2.9708080500726055</v>
      </c>
      <c r="L31" s="1">
        <f t="shared" ca="1" si="8"/>
        <v>35</v>
      </c>
      <c r="M31" s="1"/>
      <c r="N31" s="1">
        <f t="shared" ca="1" si="9"/>
        <v>207</v>
      </c>
      <c r="O31" s="1">
        <f t="shared" ca="1" si="10"/>
        <v>7</v>
      </c>
      <c r="P31" s="1"/>
      <c r="Q31" s="1">
        <f t="shared" ca="1" si="11"/>
        <v>4.3230969971366555</v>
      </c>
      <c r="R31" s="1">
        <f t="shared" ca="1" si="12"/>
        <v>1028</v>
      </c>
      <c r="S31" s="1"/>
      <c r="T31" s="1">
        <f t="shared" ca="1" si="13"/>
        <v>3.5949852107458331E-2</v>
      </c>
      <c r="U31" s="1">
        <f t="shared" ca="1" si="14"/>
        <v>220</v>
      </c>
      <c r="V31" s="1">
        <f t="shared" ca="1" si="15"/>
        <v>39</v>
      </c>
      <c r="W31" s="1"/>
      <c r="X31" s="1">
        <f t="shared" ca="1" si="16"/>
        <v>6.3619934605441131</v>
      </c>
      <c r="Y31" s="1">
        <f t="shared" ca="1" si="17"/>
        <v>0.56649231637291464</v>
      </c>
      <c r="Z31" s="1">
        <f t="shared" ca="1" si="18"/>
        <v>814</v>
      </c>
      <c r="AB31" s="1">
        <f t="shared" ca="1" si="19"/>
        <v>0.74336120512375525</v>
      </c>
      <c r="AC31" s="1">
        <f t="shared" ca="1" si="20"/>
        <v>415</v>
      </c>
      <c r="AD31" s="1">
        <f t="shared" ca="1" si="21"/>
        <v>1.2191913222257926E-3</v>
      </c>
      <c r="AE31" s="1"/>
      <c r="AF31" s="1">
        <f t="shared" ca="1" si="22"/>
        <v>0.34022409848413204</v>
      </c>
      <c r="AG31" s="1">
        <f t="shared" ca="1" si="23"/>
        <v>729</v>
      </c>
      <c r="AH31" s="1">
        <f t="shared" ca="1" si="24"/>
        <v>2.3254774276531775E-3</v>
      </c>
      <c r="AJ31" s="1">
        <f t="shared" ca="1" si="25"/>
        <v>0.3872182993794363</v>
      </c>
      <c r="AK31" s="1">
        <f t="shared" ca="1" si="26"/>
        <v>8.8088073442827537E-4</v>
      </c>
      <c r="AL31" s="1"/>
      <c r="AM31" s="1">
        <f t="shared" ca="1" si="27"/>
        <v>6.0718873696146279E-2</v>
      </c>
      <c r="AN31" s="1">
        <f t="shared" ca="1" si="28"/>
        <v>15</v>
      </c>
      <c r="AO31" s="1">
        <f t="shared" ca="1" si="29"/>
        <v>10</v>
      </c>
      <c r="AQ31" s="1">
        <f t="shared" ca="1" si="30"/>
        <v>170</v>
      </c>
      <c r="AR31" s="1">
        <f t="shared" ca="1" si="31"/>
        <v>6</v>
      </c>
      <c r="AS31" s="1">
        <f t="shared" ca="1" si="32"/>
        <v>44</v>
      </c>
      <c r="AU31" s="1">
        <f t="shared" ca="1" si="33"/>
        <v>129</v>
      </c>
      <c r="AV31" s="1">
        <f t="shared" ca="1" si="34"/>
        <v>5</v>
      </c>
      <c r="AW31" s="1">
        <f t="shared" ca="1" si="35"/>
        <v>0.1037405767087112</v>
      </c>
      <c r="AY31" s="1">
        <f t="shared" ca="1" si="36"/>
        <v>1.6960854375787371</v>
      </c>
      <c r="AZ31" s="1">
        <f t="shared" ca="1" si="37"/>
        <v>214</v>
      </c>
      <c r="BA31" s="1">
        <f t="shared" ca="1" si="38"/>
        <v>7.5605059468429603E-3</v>
      </c>
      <c r="BV31" s="1">
        <f t="shared" ca="1" si="39"/>
        <v>0.40590293927560134</v>
      </c>
      <c r="BW31" s="1">
        <f t="shared" ca="1" si="40"/>
        <v>524</v>
      </c>
      <c r="BX31" s="1">
        <f t="shared" ca="1" si="41"/>
        <v>7.3261157665944227E-3</v>
      </c>
      <c r="BY31" s="1">
        <f t="shared" ca="1" si="42"/>
        <v>3.342299049891511E-2</v>
      </c>
      <c r="BZ31" s="1">
        <f t="shared" ca="1" si="43"/>
        <v>7.9850949518555647E-2</v>
      </c>
      <c r="CB31" s="1">
        <f t="shared" ca="1" si="44"/>
        <v>218</v>
      </c>
      <c r="CC31" s="1">
        <f t="shared" ca="1" si="45"/>
        <v>10</v>
      </c>
      <c r="CD31" s="1">
        <f t="shared" ca="1" si="46"/>
        <v>0.20350382118739166</v>
      </c>
      <c r="CE31" s="1">
        <f t="shared" ca="1" si="47"/>
        <v>0.88400272838040017</v>
      </c>
      <c r="CF31" s="1">
        <f t="shared" ca="1" si="47"/>
        <v>0.55044914416520518</v>
      </c>
      <c r="CH31" s="7">
        <f t="shared" ca="1" si="48"/>
        <v>0.82022402372318504</v>
      </c>
      <c r="CI31" s="7">
        <f t="shared" ca="1" si="49"/>
        <v>1.1480953306879151E-2</v>
      </c>
      <c r="CJ31" s="7">
        <f t="shared" ca="1" si="50"/>
        <v>1544</v>
      </c>
      <c r="CK31" s="7">
        <f t="shared" ca="1" si="51"/>
        <v>2.6513891783343365E-3</v>
      </c>
      <c r="CL31" s="7">
        <f t="shared" ca="1" si="52"/>
        <v>1</v>
      </c>
    </row>
    <row r="32" spans="2:90" x14ac:dyDescent="0.25">
      <c r="B32">
        <f t="shared" ca="1" si="0"/>
        <v>770</v>
      </c>
      <c r="C32">
        <f t="shared" ca="1" si="1"/>
        <v>39</v>
      </c>
      <c r="D32">
        <f t="shared" ca="1" si="2"/>
        <v>0.17197254287416383</v>
      </c>
      <c r="F32" s="1">
        <f t="shared" ca="1" si="3"/>
        <v>4</v>
      </c>
      <c r="G32" s="1">
        <f t="shared" ca="1" si="4"/>
        <v>15</v>
      </c>
      <c r="H32" s="1">
        <f t="shared" ca="1" si="5"/>
        <v>4</v>
      </c>
      <c r="I32" s="1"/>
      <c r="J32" s="1">
        <f t="shared" ca="1" si="6"/>
        <v>29</v>
      </c>
      <c r="K32" s="1">
        <f t="shared" ca="1" si="7"/>
        <v>1.9664477163163387</v>
      </c>
      <c r="L32" s="1">
        <f t="shared" ca="1" si="8"/>
        <v>21</v>
      </c>
      <c r="M32" s="1"/>
      <c r="N32" s="1">
        <f t="shared" ca="1" si="9"/>
        <v>254</v>
      </c>
      <c r="O32" s="1">
        <f t="shared" ca="1" si="10"/>
        <v>25</v>
      </c>
      <c r="P32" s="1"/>
      <c r="Q32" s="1">
        <f t="shared" ca="1" si="11"/>
        <v>4.2393401869962783</v>
      </c>
      <c r="R32" s="1">
        <f t="shared" ca="1" si="12"/>
        <v>1043</v>
      </c>
      <c r="S32" s="1"/>
      <c r="T32" s="1">
        <f t="shared" ca="1" si="13"/>
        <v>0.19717201595627584</v>
      </c>
      <c r="U32" s="1">
        <f t="shared" ca="1" si="14"/>
        <v>444</v>
      </c>
      <c r="V32" s="1">
        <f t="shared" ca="1" si="15"/>
        <v>41</v>
      </c>
      <c r="W32" s="1"/>
      <c r="X32" s="1">
        <f t="shared" ca="1" si="16"/>
        <v>4.9410530232946934</v>
      </c>
      <c r="Y32" s="1">
        <f t="shared" ca="1" si="17"/>
        <v>0.51670067862794422</v>
      </c>
      <c r="Z32" s="1">
        <f t="shared" ca="1" si="18"/>
        <v>931</v>
      </c>
      <c r="AB32" s="1">
        <f t="shared" ca="1" si="19"/>
        <v>0.57744052207797336</v>
      </c>
      <c r="AC32" s="1">
        <f t="shared" ca="1" si="20"/>
        <v>330</v>
      </c>
      <c r="AD32" s="1">
        <f t="shared" ca="1" si="21"/>
        <v>3.5573483793378312E-3</v>
      </c>
      <c r="AE32" s="1"/>
      <c r="AF32" s="1">
        <f t="shared" ca="1" si="22"/>
        <v>0.8604486429216931</v>
      </c>
      <c r="AG32" s="1">
        <f t="shared" ca="1" si="23"/>
        <v>832</v>
      </c>
      <c r="AH32" s="1">
        <f t="shared" ca="1" si="24"/>
        <v>4.5743092651573678E-3</v>
      </c>
      <c r="AJ32" s="1">
        <f t="shared" ca="1" si="25"/>
        <v>0.83418460249359816</v>
      </c>
      <c r="AK32" s="1">
        <f t="shared" ca="1" si="26"/>
        <v>5.3581492414730746E-3</v>
      </c>
      <c r="AL32" s="1"/>
      <c r="AM32" s="1">
        <f t="shared" ca="1" si="27"/>
        <v>0.19425942416199632</v>
      </c>
      <c r="AN32" s="1">
        <f t="shared" ca="1" si="28"/>
        <v>22</v>
      </c>
      <c r="AO32" s="1">
        <f t="shared" ca="1" si="29"/>
        <v>6</v>
      </c>
      <c r="AQ32" s="1">
        <f t="shared" ca="1" si="30"/>
        <v>29</v>
      </c>
      <c r="AR32" s="1">
        <f t="shared" ca="1" si="31"/>
        <v>4</v>
      </c>
      <c r="AS32" s="1">
        <f t="shared" ca="1" si="32"/>
        <v>55</v>
      </c>
      <c r="AU32" s="1">
        <f t="shared" ca="1" si="33"/>
        <v>75</v>
      </c>
      <c r="AV32" s="1">
        <f t="shared" ca="1" si="34"/>
        <v>3</v>
      </c>
      <c r="AW32" s="1">
        <f t="shared" ca="1" si="35"/>
        <v>4.6926041112584568E-2</v>
      </c>
      <c r="AY32" s="1">
        <f t="shared" ca="1" si="36"/>
        <v>1.4722667249162089</v>
      </c>
      <c r="AZ32" s="1">
        <f t="shared" ca="1" si="37"/>
        <v>139</v>
      </c>
      <c r="BA32" s="1">
        <f t="shared" ca="1" si="38"/>
        <v>7.6033341658757159E-4</v>
      </c>
      <c r="BV32" s="1">
        <f t="shared" ca="1" si="39"/>
        <v>0.32505099684038802</v>
      </c>
      <c r="BW32" s="1">
        <f t="shared" ca="1" si="40"/>
        <v>220</v>
      </c>
      <c r="BX32" s="1">
        <f t="shared" ca="1" si="41"/>
        <v>6.4393586007338386E-3</v>
      </c>
      <c r="BY32" s="1">
        <f t="shared" ca="1" si="42"/>
        <v>2.11633990503904E-2</v>
      </c>
      <c r="BZ32" s="1">
        <f t="shared" ca="1" si="43"/>
        <v>0.35105340797783902</v>
      </c>
      <c r="CB32" s="1">
        <f t="shared" ca="1" si="44"/>
        <v>61</v>
      </c>
      <c r="CC32" s="1">
        <f t="shared" ca="1" si="45"/>
        <v>12</v>
      </c>
      <c r="CD32" s="1">
        <f t="shared" ca="1" si="46"/>
        <v>0.24852160123450268</v>
      </c>
      <c r="CE32" s="1">
        <f t="shared" ca="1" si="47"/>
        <v>0.92029848790294877</v>
      </c>
      <c r="CF32" s="1">
        <f t="shared" ca="1" si="47"/>
        <v>0.57428950275966595</v>
      </c>
      <c r="CH32" s="7">
        <f t="shared" ca="1" si="48"/>
        <v>0.19455993912496136</v>
      </c>
      <c r="CI32" s="7">
        <f t="shared" ca="1" si="49"/>
        <v>0.17002532852150501</v>
      </c>
      <c r="CJ32" s="7">
        <f t="shared" ca="1" si="50"/>
        <v>1550</v>
      </c>
      <c r="CK32" s="7">
        <f t="shared" ca="1" si="51"/>
        <v>2.1785574047024432E-3</v>
      </c>
      <c r="CL32" s="7">
        <f t="shared" ca="1" si="52"/>
        <v>1</v>
      </c>
    </row>
    <row r="33" spans="2:90" x14ac:dyDescent="0.25">
      <c r="B33">
        <f t="shared" ca="1" si="0"/>
        <v>864</v>
      </c>
      <c r="C33">
        <f t="shared" ca="1" si="1"/>
        <v>51</v>
      </c>
      <c r="D33">
        <f t="shared" ca="1" si="2"/>
        <v>8.1556505937127266E-2</v>
      </c>
      <c r="F33" s="1">
        <f t="shared" ca="1" si="3"/>
        <v>10</v>
      </c>
      <c r="G33" s="1">
        <f t="shared" ca="1" si="4"/>
        <v>12</v>
      </c>
      <c r="H33" s="1">
        <f t="shared" ca="1" si="5"/>
        <v>3</v>
      </c>
      <c r="I33" s="1"/>
      <c r="J33" s="1">
        <f t="shared" ca="1" si="6"/>
        <v>8</v>
      </c>
      <c r="K33" s="1">
        <f t="shared" ca="1" si="7"/>
        <v>2.8954489918354498</v>
      </c>
      <c r="L33" s="1">
        <f t="shared" ca="1" si="8"/>
        <v>9</v>
      </c>
      <c r="M33" s="1"/>
      <c r="N33" s="1">
        <f t="shared" ca="1" si="9"/>
        <v>950</v>
      </c>
      <c r="O33" s="1">
        <f t="shared" ca="1" si="10"/>
        <v>48</v>
      </c>
      <c r="P33" s="1"/>
      <c r="Q33" s="1">
        <f t="shared" ca="1" si="11"/>
        <v>3.0633123028502136</v>
      </c>
      <c r="R33" s="1">
        <f t="shared" ca="1" si="12"/>
        <v>1065</v>
      </c>
      <c r="S33" s="1"/>
      <c r="T33" s="1">
        <f t="shared" ca="1" si="13"/>
        <v>1.1230540627774266E-2</v>
      </c>
      <c r="U33" s="1">
        <f t="shared" ca="1" si="14"/>
        <v>119</v>
      </c>
      <c r="V33" s="1">
        <f t="shared" ca="1" si="15"/>
        <v>9</v>
      </c>
      <c r="W33" s="1"/>
      <c r="X33" s="1">
        <f t="shared" ca="1" si="16"/>
        <v>1.5635789080882148</v>
      </c>
      <c r="Y33" s="1">
        <f t="shared" ca="1" si="17"/>
        <v>0.14776853751127542</v>
      </c>
      <c r="Z33" s="1">
        <f t="shared" ca="1" si="18"/>
        <v>1947</v>
      </c>
      <c r="AB33" s="1">
        <f t="shared" ca="1" si="19"/>
        <v>0.78869261917775058</v>
      </c>
      <c r="AC33" s="1">
        <f t="shared" ca="1" si="20"/>
        <v>832</v>
      </c>
      <c r="AD33" s="1">
        <f t="shared" ca="1" si="21"/>
        <v>7.0667568171855879E-3</v>
      </c>
      <c r="AE33" s="1"/>
      <c r="AF33" s="1">
        <f t="shared" ca="1" si="22"/>
        <v>0.80056979925668226</v>
      </c>
      <c r="AG33" s="1">
        <f t="shared" ca="1" si="23"/>
        <v>975</v>
      </c>
      <c r="AH33" s="1">
        <f t="shared" ca="1" si="24"/>
        <v>3.138951778016374E-3</v>
      </c>
      <c r="AJ33" s="1">
        <f t="shared" ca="1" si="25"/>
        <v>0.31204729965684597</v>
      </c>
      <c r="AK33" s="1">
        <f t="shared" ca="1" si="26"/>
        <v>7.7579731228263659E-3</v>
      </c>
      <c r="AL33" s="1"/>
      <c r="AM33" s="1">
        <f t="shared" ca="1" si="27"/>
        <v>0.14099259414400822</v>
      </c>
      <c r="AN33" s="1">
        <f t="shared" ca="1" si="28"/>
        <v>55</v>
      </c>
      <c r="AO33" s="1">
        <f t="shared" ca="1" si="29"/>
        <v>11</v>
      </c>
      <c r="AQ33" s="1">
        <f t="shared" ca="1" si="30"/>
        <v>143</v>
      </c>
      <c r="AR33" s="1">
        <f t="shared" ca="1" si="31"/>
        <v>9</v>
      </c>
      <c r="AS33" s="1">
        <f t="shared" ca="1" si="32"/>
        <v>73</v>
      </c>
      <c r="AU33" s="1">
        <f t="shared" ca="1" si="33"/>
        <v>377</v>
      </c>
      <c r="AV33" s="1">
        <f t="shared" ca="1" si="34"/>
        <v>8</v>
      </c>
      <c r="AW33" s="1">
        <f t="shared" ca="1" si="35"/>
        <v>0.13180749701386305</v>
      </c>
      <c r="AY33" s="1">
        <f t="shared" ca="1" si="36"/>
        <v>1.1094089717717577</v>
      </c>
      <c r="AZ33" s="1">
        <f t="shared" ca="1" si="37"/>
        <v>387</v>
      </c>
      <c r="BA33" s="1">
        <f t="shared" ca="1" si="38"/>
        <v>7.8913232323246099E-4</v>
      </c>
      <c r="BV33" s="1">
        <f t="shared" ca="1" si="39"/>
        <v>0.19057785958451295</v>
      </c>
      <c r="BW33" s="1">
        <f t="shared" ca="1" si="40"/>
        <v>432</v>
      </c>
      <c r="BX33" s="1">
        <f t="shared" ca="1" si="41"/>
        <v>4.7903411886388945E-3</v>
      </c>
      <c r="BY33" s="1">
        <f t="shared" ca="1" si="42"/>
        <v>7.8123313450980059E-2</v>
      </c>
      <c r="BZ33" s="1">
        <f t="shared" ca="1" si="43"/>
        <v>0.33107504839582003</v>
      </c>
      <c r="CB33" s="1">
        <f t="shared" ca="1" si="44"/>
        <v>339</v>
      </c>
      <c r="CC33" s="1">
        <f t="shared" ca="1" si="45"/>
        <v>6</v>
      </c>
      <c r="CD33" s="1">
        <f t="shared" ca="1" si="46"/>
        <v>2.6227672556575161E-2</v>
      </c>
      <c r="CE33" s="1">
        <f t="shared" ca="1" si="47"/>
        <v>0.52596539640625917</v>
      </c>
      <c r="CF33" s="1">
        <f t="shared" ca="1" si="47"/>
        <v>0.69622366241353539</v>
      </c>
      <c r="CH33" s="7">
        <f t="shared" ca="1" si="48"/>
        <v>0.36832816741361851</v>
      </c>
      <c r="CI33" s="7">
        <f t="shared" ca="1" si="49"/>
        <v>4.8156330519154703E-2</v>
      </c>
      <c r="CJ33" s="7">
        <f t="shared" ca="1" si="50"/>
        <v>1356</v>
      </c>
      <c r="CK33" s="7">
        <f t="shared" ca="1" si="51"/>
        <v>9.5944981418910197E-3</v>
      </c>
      <c r="CL33" s="7">
        <f t="shared" ca="1" si="52"/>
        <v>1</v>
      </c>
    </row>
    <row r="34" spans="2:90" x14ac:dyDescent="0.25">
      <c r="B34">
        <f t="shared" ca="1" si="0"/>
        <v>993</v>
      </c>
      <c r="C34">
        <f t="shared" ca="1" si="1"/>
        <v>6</v>
      </c>
      <c r="D34">
        <f t="shared" ca="1" si="2"/>
        <v>0.1048987062373562</v>
      </c>
      <c r="F34" s="1">
        <f t="shared" ca="1" si="3"/>
        <v>24</v>
      </c>
      <c r="G34" s="1">
        <f t="shared" ca="1" si="4"/>
        <v>13</v>
      </c>
      <c r="H34" s="1">
        <f t="shared" ca="1" si="5"/>
        <v>5</v>
      </c>
      <c r="I34" s="1"/>
      <c r="J34" s="1">
        <f t="shared" ca="1" si="6"/>
        <v>8</v>
      </c>
      <c r="K34" s="1">
        <f t="shared" ca="1" si="7"/>
        <v>2.810900013127164</v>
      </c>
      <c r="L34" s="1">
        <f t="shared" ca="1" si="8"/>
        <v>15</v>
      </c>
      <c r="M34" s="1"/>
      <c r="N34" s="1">
        <f t="shared" ca="1" si="9"/>
        <v>922</v>
      </c>
      <c r="O34" s="1">
        <f t="shared" ca="1" si="10"/>
        <v>16</v>
      </c>
      <c r="P34" s="1"/>
      <c r="Q34" s="1">
        <f t="shared" ca="1" si="11"/>
        <v>2.4238739997517906</v>
      </c>
      <c r="R34" s="1">
        <f t="shared" ca="1" si="12"/>
        <v>586</v>
      </c>
      <c r="S34" s="1"/>
      <c r="T34" s="1">
        <f t="shared" ca="1" si="13"/>
        <v>7.5784574238672103E-2</v>
      </c>
      <c r="U34" s="1">
        <f t="shared" ca="1" si="14"/>
        <v>173</v>
      </c>
      <c r="V34" s="1">
        <f t="shared" ca="1" si="15"/>
        <v>23</v>
      </c>
      <c r="W34" s="1"/>
      <c r="X34" s="1">
        <f t="shared" ca="1" si="16"/>
        <v>1.7578208953950372</v>
      </c>
      <c r="Y34" s="1">
        <f t="shared" ca="1" si="17"/>
        <v>0.31111300552496329</v>
      </c>
      <c r="Z34" s="1">
        <f t="shared" ca="1" si="18"/>
        <v>208</v>
      </c>
      <c r="AB34" s="1">
        <f t="shared" ca="1" si="19"/>
        <v>0.22646879655756472</v>
      </c>
      <c r="AC34" s="1">
        <f t="shared" ca="1" si="20"/>
        <v>332</v>
      </c>
      <c r="AD34" s="1">
        <f t="shared" ca="1" si="21"/>
        <v>2.3712555008957728E-3</v>
      </c>
      <c r="AE34" s="1"/>
      <c r="AF34" s="1">
        <f t="shared" ca="1" si="22"/>
        <v>0.89778222114442108</v>
      </c>
      <c r="AG34" s="1">
        <f t="shared" ca="1" si="23"/>
        <v>589</v>
      </c>
      <c r="AH34" s="1">
        <f t="shared" ca="1" si="24"/>
        <v>3.3873904764216349E-3</v>
      </c>
      <c r="AJ34" s="1">
        <f t="shared" ca="1" si="25"/>
        <v>0.98092135954481852</v>
      </c>
      <c r="AK34" s="1">
        <f t="shared" ca="1" si="26"/>
        <v>2.4715716405027573E-3</v>
      </c>
      <c r="AL34" s="1"/>
      <c r="AM34" s="1">
        <f t="shared" ca="1" si="27"/>
        <v>5.136516730239897E-3</v>
      </c>
      <c r="AN34" s="1">
        <f t="shared" ca="1" si="28"/>
        <v>71</v>
      </c>
      <c r="AO34" s="1">
        <f t="shared" ca="1" si="29"/>
        <v>19</v>
      </c>
      <c r="AQ34" s="1">
        <f t="shared" ca="1" si="30"/>
        <v>70</v>
      </c>
      <c r="AR34" s="1">
        <f t="shared" ca="1" si="31"/>
        <v>9</v>
      </c>
      <c r="AS34" s="1">
        <f t="shared" ca="1" si="32"/>
        <v>19</v>
      </c>
      <c r="AU34" s="1">
        <f t="shared" ca="1" si="33"/>
        <v>246</v>
      </c>
      <c r="AV34" s="1">
        <f t="shared" ca="1" si="34"/>
        <v>10</v>
      </c>
      <c r="AW34" s="1">
        <f t="shared" ca="1" si="35"/>
        <v>0.18084813448763326</v>
      </c>
      <c r="AY34" s="1">
        <f t="shared" ca="1" si="36"/>
        <v>1.2824199447974305</v>
      </c>
      <c r="AZ34" s="1">
        <f t="shared" ca="1" si="37"/>
        <v>232</v>
      </c>
      <c r="BA34" s="1">
        <f t="shared" ca="1" si="38"/>
        <v>8.0760138349194165E-3</v>
      </c>
      <c r="BV34" s="1">
        <f t="shared" ca="1" si="39"/>
        <v>6.8919332221571539E-2</v>
      </c>
      <c r="BW34" s="1">
        <f t="shared" ca="1" si="40"/>
        <v>427</v>
      </c>
      <c r="BX34" s="1">
        <f t="shared" ca="1" si="41"/>
        <v>6.9265594030988734E-3</v>
      </c>
      <c r="BY34" s="1">
        <f t="shared" ca="1" si="42"/>
        <v>7.4571394679136219E-2</v>
      </c>
      <c r="BZ34" s="1">
        <f t="shared" ca="1" si="43"/>
        <v>0.62614837040900229</v>
      </c>
      <c r="CB34" s="1">
        <f t="shared" ca="1" si="44"/>
        <v>206</v>
      </c>
      <c r="CC34" s="1">
        <f t="shared" ca="1" si="45"/>
        <v>5</v>
      </c>
      <c r="CD34" s="1">
        <f t="shared" ca="1" si="46"/>
        <v>0.14437027805975503</v>
      </c>
      <c r="CE34" s="1">
        <f t="shared" ca="1" si="47"/>
        <v>0.63828707036805765</v>
      </c>
      <c r="CF34" s="1">
        <f t="shared" ca="1" si="47"/>
        <v>0.69012010000455248</v>
      </c>
      <c r="CH34" s="7">
        <f t="shared" ca="1" si="48"/>
        <v>0.92224162502915852</v>
      </c>
      <c r="CI34" s="7">
        <f t="shared" ca="1" si="49"/>
        <v>0.31164333350350026</v>
      </c>
      <c r="CJ34" s="7">
        <f t="shared" ca="1" si="50"/>
        <v>643</v>
      </c>
      <c r="CK34" s="7">
        <f t="shared" ca="1" si="51"/>
        <v>7.2586730988325118E-3</v>
      </c>
      <c r="CL34" s="7">
        <f t="shared" ca="1" si="52"/>
        <v>0</v>
      </c>
    </row>
    <row r="35" spans="2:90" x14ac:dyDescent="0.25">
      <c r="B35">
        <f t="shared" ca="1" si="0"/>
        <v>773</v>
      </c>
      <c r="C35">
        <f t="shared" ca="1" si="1"/>
        <v>42</v>
      </c>
      <c r="D35">
        <f t="shared" ca="1" si="2"/>
        <v>0.27665142711256713</v>
      </c>
      <c r="F35" s="1">
        <f t="shared" ca="1" si="3"/>
        <v>36</v>
      </c>
      <c r="G35" s="1">
        <f t="shared" ca="1" si="4"/>
        <v>23</v>
      </c>
      <c r="H35" s="1">
        <f t="shared" ca="1" si="5"/>
        <v>6</v>
      </c>
      <c r="I35" s="1"/>
      <c r="J35" s="1">
        <f t="shared" ca="1" si="6"/>
        <v>36</v>
      </c>
      <c r="K35" s="1">
        <f t="shared" ca="1" si="7"/>
        <v>1.624158925912339</v>
      </c>
      <c r="L35" s="1">
        <f t="shared" ca="1" si="8"/>
        <v>30</v>
      </c>
      <c r="M35" s="1"/>
      <c r="N35" s="1">
        <f t="shared" ca="1" si="9"/>
        <v>522</v>
      </c>
      <c r="O35" s="1">
        <f t="shared" ca="1" si="10"/>
        <v>28</v>
      </c>
      <c r="P35" s="1"/>
      <c r="Q35" s="1">
        <f t="shared" ca="1" si="11"/>
        <v>0.27344530121968558</v>
      </c>
      <c r="R35" s="1">
        <f t="shared" ca="1" si="12"/>
        <v>223</v>
      </c>
      <c r="S35" s="1"/>
      <c r="T35" s="1">
        <f t="shared" ca="1" si="13"/>
        <v>0.11749904972282789</v>
      </c>
      <c r="U35" s="1">
        <f t="shared" ca="1" si="14"/>
        <v>330</v>
      </c>
      <c r="V35" s="1">
        <f t="shared" ca="1" si="15"/>
        <v>14</v>
      </c>
      <c r="W35" s="1"/>
      <c r="X35" s="1">
        <f t="shared" ca="1" si="16"/>
        <v>1.7115585703932912</v>
      </c>
      <c r="Y35" s="1">
        <f t="shared" ca="1" si="17"/>
        <v>0.28797808606416991</v>
      </c>
      <c r="Z35" s="1">
        <f t="shared" ca="1" si="18"/>
        <v>261</v>
      </c>
      <c r="AB35" s="1">
        <f t="shared" ca="1" si="19"/>
        <v>0.16088963288371383</v>
      </c>
      <c r="AC35" s="1">
        <f t="shared" ca="1" si="20"/>
        <v>747</v>
      </c>
      <c r="AD35" s="1">
        <f t="shared" ca="1" si="21"/>
        <v>7.2639534485285338E-3</v>
      </c>
      <c r="AE35" s="1"/>
      <c r="AF35" s="1">
        <f t="shared" ca="1" si="22"/>
        <v>0.33767654813615822</v>
      </c>
      <c r="AG35" s="1">
        <f t="shared" ca="1" si="23"/>
        <v>625</v>
      </c>
      <c r="AH35" s="1">
        <f t="shared" ca="1" si="24"/>
        <v>8.9163604316002294E-3</v>
      </c>
      <c r="AJ35" s="1">
        <f t="shared" ca="1" si="25"/>
        <v>0.82246113148456979</v>
      </c>
      <c r="AK35" s="1">
        <f t="shared" ca="1" si="26"/>
        <v>7.9495092014436487E-3</v>
      </c>
      <c r="AL35" s="1"/>
      <c r="AM35" s="1">
        <f t="shared" ca="1" si="27"/>
        <v>0.10555138139542128</v>
      </c>
      <c r="AN35" s="1">
        <f t="shared" ca="1" si="28"/>
        <v>66</v>
      </c>
      <c r="AO35" s="1">
        <f t="shared" ca="1" si="29"/>
        <v>5</v>
      </c>
      <c r="AQ35" s="1">
        <f t="shared" ca="1" si="30"/>
        <v>12</v>
      </c>
      <c r="AR35" s="1">
        <f t="shared" ca="1" si="31"/>
        <v>4</v>
      </c>
      <c r="AS35" s="1">
        <f t="shared" ca="1" si="32"/>
        <v>65</v>
      </c>
      <c r="AU35" s="1">
        <f t="shared" ca="1" si="33"/>
        <v>259</v>
      </c>
      <c r="AV35" s="1">
        <f t="shared" ca="1" si="34"/>
        <v>8</v>
      </c>
      <c r="AW35" s="1">
        <f t="shared" ca="1" si="35"/>
        <v>0.12047964057710206</v>
      </c>
      <c r="AY35" s="1">
        <f t="shared" ca="1" si="36"/>
        <v>1.8993901316150326</v>
      </c>
      <c r="AZ35" s="1">
        <f t="shared" ca="1" si="37"/>
        <v>456</v>
      </c>
      <c r="BA35" s="1">
        <f t="shared" ca="1" si="38"/>
        <v>6.2670082224717929E-3</v>
      </c>
      <c r="BV35" s="1">
        <f t="shared" ca="1" si="39"/>
        <v>0.87340371379144088</v>
      </c>
      <c r="BW35" s="1">
        <f t="shared" ca="1" si="40"/>
        <v>890</v>
      </c>
      <c r="BX35" s="1">
        <f t="shared" ca="1" si="41"/>
        <v>1.9132754451254717E-3</v>
      </c>
      <c r="BY35" s="1">
        <f t="shared" ca="1" si="42"/>
        <v>5.7960999650148975E-2</v>
      </c>
      <c r="BZ35" s="1">
        <f t="shared" ca="1" si="43"/>
        <v>0.2000736891786723</v>
      </c>
      <c r="CB35" s="1">
        <f t="shared" ca="1" si="44"/>
        <v>323</v>
      </c>
      <c r="CC35" s="1">
        <f t="shared" ca="1" si="45"/>
        <v>14</v>
      </c>
      <c r="CD35" s="1">
        <f t="shared" ca="1" si="46"/>
        <v>0.13599129626368245</v>
      </c>
      <c r="CE35" s="1">
        <f t="shared" ca="1" si="47"/>
        <v>0.78392062250368011</v>
      </c>
      <c r="CF35" s="1">
        <f t="shared" ca="1" si="47"/>
        <v>0.53339493467049959</v>
      </c>
      <c r="CH35" s="7">
        <f t="shared" ca="1" si="48"/>
        <v>0.61250702166385096</v>
      </c>
      <c r="CI35" s="7">
        <f t="shared" ca="1" si="49"/>
        <v>0.95344730280953904</v>
      </c>
      <c r="CJ35" s="7">
        <f t="shared" ca="1" si="50"/>
        <v>201</v>
      </c>
      <c r="CK35" s="7">
        <f t="shared" ca="1" si="51"/>
        <v>7.765663102225184E-3</v>
      </c>
      <c r="CL35" s="7">
        <f t="shared" ca="1" si="52"/>
        <v>0</v>
      </c>
    </row>
    <row r="36" spans="2:90" x14ac:dyDescent="0.25">
      <c r="B36">
        <f t="shared" ca="1" si="0"/>
        <v>228</v>
      </c>
      <c r="C36">
        <f t="shared" ca="1" si="1"/>
        <v>30</v>
      </c>
      <c r="D36">
        <f t="shared" ca="1" si="2"/>
        <v>0.1934063648604924</v>
      </c>
      <c r="F36" s="1">
        <f t="shared" ca="1" si="3"/>
        <v>49</v>
      </c>
      <c r="G36" s="1">
        <f t="shared" ca="1" si="4"/>
        <v>13</v>
      </c>
      <c r="H36" s="1">
        <f t="shared" ca="1" si="5"/>
        <v>2</v>
      </c>
      <c r="I36" s="1"/>
      <c r="J36" s="1">
        <f t="shared" ca="1" si="6"/>
        <v>37</v>
      </c>
      <c r="K36" s="1">
        <f t="shared" ca="1" si="7"/>
        <v>1.1843290645097901</v>
      </c>
      <c r="L36" s="1">
        <f t="shared" ca="1" si="8"/>
        <v>34</v>
      </c>
      <c r="M36" s="1"/>
      <c r="N36" s="1">
        <f t="shared" ca="1" si="9"/>
        <v>697</v>
      </c>
      <c r="O36" s="1">
        <f t="shared" ca="1" si="10"/>
        <v>2</v>
      </c>
      <c r="P36" s="1"/>
      <c r="Q36" s="1">
        <f t="shared" ca="1" si="11"/>
        <v>2.925771159741188</v>
      </c>
      <c r="R36" s="1">
        <f t="shared" ca="1" si="12"/>
        <v>313</v>
      </c>
      <c r="S36" s="1"/>
      <c r="T36" s="1">
        <f t="shared" ca="1" si="13"/>
        <v>3.3268895515740117E-2</v>
      </c>
      <c r="U36" s="1">
        <f t="shared" ca="1" si="14"/>
        <v>94</v>
      </c>
      <c r="V36" s="1">
        <f t="shared" ca="1" si="15"/>
        <v>21</v>
      </c>
      <c r="W36" s="1"/>
      <c r="X36" s="1">
        <f t="shared" ca="1" si="16"/>
        <v>0.63061042177317284</v>
      </c>
      <c r="Y36" s="1">
        <f t="shared" ca="1" si="17"/>
        <v>0.37045915938139479</v>
      </c>
      <c r="Z36" s="1">
        <f t="shared" ca="1" si="18"/>
        <v>1582</v>
      </c>
      <c r="AB36" s="1">
        <f t="shared" ca="1" si="19"/>
        <v>0.16742068573250757</v>
      </c>
      <c r="AC36" s="1">
        <f t="shared" ca="1" si="20"/>
        <v>216</v>
      </c>
      <c r="AD36" s="1">
        <f t="shared" ca="1" si="21"/>
        <v>3.5036473577140289E-3</v>
      </c>
      <c r="AE36" s="1"/>
      <c r="AF36" s="1">
        <f t="shared" ca="1" si="22"/>
        <v>0.44473960215511121</v>
      </c>
      <c r="AG36" s="1">
        <f t="shared" ca="1" si="23"/>
        <v>293</v>
      </c>
      <c r="AH36" s="1">
        <f t="shared" ca="1" si="24"/>
        <v>3.0311359946446196E-3</v>
      </c>
      <c r="AJ36" s="1">
        <f t="shared" ca="1" si="25"/>
        <v>0.32311235707768304</v>
      </c>
      <c r="AK36" s="1">
        <f t="shared" ca="1" si="26"/>
        <v>8.9545836927497589E-3</v>
      </c>
      <c r="AL36" s="1"/>
      <c r="AM36" s="1">
        <f t="shared" ca="1" si="27"/>
        <v>0.14095530351334451</v>
      </c>
      <c r="AN36" s="1">
        <f t="shared" ca="1" si="28"/>
        <v>75</v>
      </c>
      <c r="AO36" s="1">
        <f t="shared" ca="1" si="29"/>
        <v>15</v>
      </c>
      <c r="AQ36" s="1">
        <f t="shared" ca="1" si="30"/>
        <v>123</v>
      </c>
      <c r="AR36" s="1">
        <f t="shared" ca="1" si="31"/>
        <v>10</v>
      </c>
      <c r="AS36" s="1">
        <f t="shared" ca="1" si="32"/>
        <v>32</v>
      </c>
      <c r="AU36" s="1">
        <f t="shared" ca="1" si="33"/>
        <v>379</v>
      </c>
      <c r="AV36" s="1">
        <f t="shared" ca="1" si="34"/>
        <v>5</v>
      </c>
      <c r="AW36" s="1">
        <f t="shared" ca="1" si="35"/>
        <v>9.5400076082874957E-2</v>
      </c>
      <c r="AY36" s="1">
        <f t="shared" ca="1" si="36"/>
        <v>1.2982215388687011</v>
      </c>
      <c r="AZ36" s="1">
        <f t="shared" ca="1" si="37"/>
        <v>129</v>
      </c>
      <c r="BA36" s="1">
        <f t="shared" ca="1" si="38"/>
        <v>7.9757808806468627E-3</v>
      </c>
      <c r="BV36" s="1">
        <f t="shared" ca="1" si="39"/>
        <v>0.59722679728746964</v>
      </c>
      <c r="BW36" s="1">
        <f t="shared" ca="1" si="40"/>
        <v>977</v>
      </c>
      <c r="BX36" s="1">
        <f t="shared" ca="1" si="41"/>
        <v>9.6548743682694903E-3</v>
      </c>
      <c r="BY36" s="1">
        <f t="shared" ca="1" si="42"/>
        <v>6.4980947744746193E-2</v>
      </c>
      <c r="BZ36" s="1">
        <f t="shared" ca="1" si="43"/>
        <v>0.58654940815462586</v>
      </c>
      <c r="CB36" s="1">
        <f t="shared" ca="1" si="44"/>
        <v>58</v>
      </c>
      <c r="CC36" s="1">
        <f t="shared" ca="1" si="45"/>
        <v>7</v>
      </c>
      <c r="CD36" s="1">
        <f t="shared" ca="1" si="46"/>
        <v>0.19498065958056521</v>
      </c>
      <c r="CE36" s="1">
        <f t="shared" ref="CE36:CF67" ca="1" si="53">RAND()*(1-0.5)+0.5</f>
        <v>0.75610472753196256</v>
      </c>
      <c r="CF36" s="1">
        <f t="shared" ca="1" si="53"/>
        <v>0.9459937667383419</v>
      </c>
      <c r="CH36" s="7">
        <f t="shared" ca="1" si="48"/>
        <v>0.28054392489875435</v>
      </c>
      <c r="CI36" s="7">
        <f t="shared" ca="1" si="49"/>
        <v>0.77108466320197622</v>
      </c>
      <c r="CJ36" s="7">
        <f t="shared" ca="1" si="50"/>
        <v>807</v>
      </c>
      <c r="CK36" s="7">
        <f t="shared" ca="1" si="51"/>
        <v>8.5874313855558229E-3</v>
      </c>
      <c r="CL36" s="7">
        <f t="shared" ca="1" si="52"/>
        <v>0</v>
      </c>
    </row>
    <row r="37" spans="2:90" x14ac:dyDescent="0.25">
      <c r="B37">
        <f t="shared" ca="1" si="0"/>
        <v>699</v>
      </c>
      <c r="C37">
        <f t="shared" ca="1" si="1"/>
        <v>30</v>
      </c>
      <c r="D37">
        <f t="shared" ca="1" si="2"/>
        <v>0.12292089439483443</v>
      </c>
      <c r="F37" s="1">
        <f t="shared" ca="1" si="3"/>
        <v>38</v>
      </c>
      <c r="G37" s="1">
        <f t="shared" ca="1" si="4"/>
        <v>29</v>
      </c>
      <c r="H37" s="1">
        <f t="shared" ca="1" si="5"/>
        <v>15</v>
      </c>
      <c r="I37" s="1"/>
      <c r="J37" s="1">
        <f t="shared" ca="1" si="6"/>
        <v>8</v>
      </c>
      <c r="K37" s="1">
        <f t="shared" ca="1" si="7"/>
        <v>2.671283199842228</v>
      </c>
      <c r="L37" s="1">
        <f t="shared" ca="1" si="8"/>
        <v>21</v>
      </c>
      <c r="M37" s="1"/>
      <c r="N37" s="1">
        <f t="shared" ca="1" si="9"/>
        <v>954</v>
      </c>
      <c r="O37" s="1">
        <f t="shared" ca="1" si="10"/>
        <v>11</v>
      </c>
      <c r="P37" s="1"/>
      <c r="Q37" s="1">
        <f t="shared" ca="1" si="11"/>
        <v>4.6692216491960359</v>
      </c>
      <c r="R37" s="1">
        <f t="shared" ca="1" si="12"/>
        <v>1068</v>
      </c>
      <c r="S37" s="1"/>
      <c r="T37" s="1">
        <f t="shared" ca="1" si="13"/>
        <v>5.2321501148282074E-2</v>
      </c>
      <c r="U37" s="1">
        <f t="shared" ca="1" si="14"/>
        <v>229</v>
      </c>
      <c r="V37" s="1">
        <f t="shared" ca="1" si="15"/>
        <v>27</v>
      </c>
      <c r="W37" s="1"/>
      <c r="X37" s="1">
        <f t="shared" ca="1" si="16"/>
        <v>8.7834947991090626</v>
      </c>
      <c r="Y37" s="1">
        <f t="shared" ca="1" si="17"/>
        <v>0.25640272771326011</v>
      </c>
      <c r="Z37" s="1">
        <f t="shared" ca="1" si="18"/>
        <v>368</v>
      </c>
      <c r="AB37" s="1">
        <f t="shared" ca="1" si="19"/>
        <v>0.3070559817924301</v>
      </c>
      <c r="AC37" s="1">
        <f t="shared" ca="1" si="20"/>
        <v>483</v>
      </c>
      <c r="AD37" s="1">
        <f t="shared" ca="1" si="21"/>
        <v>3.3024331674464595E-3</v>
      </c>
      <c r="AE37" s="1"/>
      <c r="AF37" s="1">
        <f t="shared" ca="1" si="22"/>
        <v>0.46883249717981779</v>
      </c>
      <c r="AG37" s="1">
        <f t="shared" ca="1" si="23"/>
        <v>325</v>
      </c>
      <c r="AH37" s="1">
        <f t="shared" ca="1" si="24"/>
        <v>7.5911226361937778E-3</v>
      </c>
      <c r="AJ37" s="1">
        <f t="shared" ca="1" si="25"/>
        <v>0.65985054638897656</v>
      </c>
      <c r="AK37" s="1">
        <f t="shared" ca="1" si="26"/>
        <v>3.8545255157795065E-3</v>
      </c>
      <c r="AL37" s="1"/>
      <c r="AM37" s="1">
        <f t="shared" ca="1" si="27"/>
        <v>0.13910149173531178</v>
      </c>
      <c r="AN37" s="1">
        <f t="shared" ca="1" si="28"/>
        <v>69</v>
      </c>
      <c r="AO37" s="1">
        <f t="shared" ca="1" si="29"/>
        <v>8</v>
      </c>
      <c r="AQ37" s="1">
        <f t="shared" ca="1" si="30"/>
        <v>34</v>
      </c>
      <c r="AR37" s="1">
        <f t="shared" ca="1" si="31"/>
        <v>3</v>
      </c>
      <c r="AS37" s="1">
        <f t="shared" ca="1" si="32"/>
        <v>22</v>
      </c>
      <c r="AU37" s="1">
        <f t="shared" ca="1" si="33"/>
        <v>63</v>
      </c>
      <c r="AV37" s="1">
        <f t="shared" ca="1" si="34"/>
        <v>3</v>
      </c>
      <c r="AW37" s="1">
        <f t="shared" ca="1" si="35"/>
        <v>0.19245684110900577</v>
      </c>
      <c r="AY37" s="1">
        <f t="shared" ca="1" si="36"/>
        <v>1.2151966350471146</v>
      </c>
      <c r="AZ37" s="1">
        <f t="shared" ca="1" si="37"/>
        <v>423</v>
      </c>
      <c r="BA37" s="1">
        <f t="shared" ca="1" si="38"/>
        <v>7.8552153762735492E-3</v>
      </c>
      <c r="BV37" s="1">
        <f t="shared" ca="1" si="39"/>
        <v>0.19244398834260076</v>
      </c>
      <c r="BW37" s="1">
        <f t="shared" ca="1" si="40"/>
        <v>445</v>
      </c>
      <c r="BX37" s="1">
        <f t="shared" ca="1" si="41"/>
        <v>3.7678591578064581E-3</v>
      </c>
      <c r="BY37" s="1">
        <f t="shared" ca="1" si="42"/>
        <v>6.223770657299324E-2</v>
      </c>
      <c r="BZ37" s="1">
        <f t="shared" ca="1" si="43"/>
        <v>0.67573804983482744</v>
      </c>
      <c r="CB37" s="1">
        <f t="shared" ca="1" si="44"/>
        <v>376</v>
      </c>
      <c r="CC37" s="1">
        <f t="shared" ca="1" si="45"/>
        <v>11</v>
      </c>
      <c r="CD37" s="1">
        <f t="shared" ca="1" si="46"/>
        <v>0.19505600195345002</v>
      </c>
      <c r="CE37" s="1">
        <f t="shared" ca="1" si="53"/>
        <v>0.60038258530895761</v>
      </c>
      <c r="CF37" s="1">
        <f t="shared" ca="1" si="53"/>
        <v>0.88186325467879501</v>
      </c>
      <c r="CH37" s="7">
        <f t="shared" ca="1" si="48"/>
        <v>0.14436300418459408</v>
      </c>
      <c r="CI37" s="7">
        <f t="shared" ca="1" si="49"/>
        <v>0.43566385959473919</v>
      </c>
      <c r="CJ37" s="7">
        <f t="shared" ca="1" si="50"/>
        <v>582</v>
      </c>
      <c r="CK37" s="7">
        <f t="shared" ca="1" si="51"/>
        <v>6.1968435552560517E-3</v>
      </c>
      <c r="CL37" s="7">
        <f t="shared" ca="1" si="52"/>
        <v>1</v>
      </c>
    </row>
    <row r="38" spans="2:90" x14ac:dyDescent="0.25">
      <c r="B38">
        <f t="shared" ca="1" si="0"/>
        <v>590</v>
      </c>
      <c r="C38">
        <f t="shared" ca="1" si="1"/>
        <v>6</v>
      </c>
      <c r="D38">
        <f t="shared" ca="1" si="2"/>
        <v>0.2341595968884452</v>
      </c>
      <c r="F38" s="1">
        <f t="shared" ca="1" si="3"/>
        <v>33</v>
      </c>
      <c r="G38" s="1">
        <f t="shared" ca="1" si="4"/>
        <v>3</v>
      </c>
      <c r="H38" s="1">
        <f t="shared" ca="1" si="5"/>
        <v>3</v>
      </c>
      <c r="I38" s="1"/>
      <c r="J38" s="1">
        <f t="shared" ca="1" si="6"/>
        <v>3</v>
      </c>
      <c r="K38" s="1">
        <f t="shared" ca="1" si="7"/>
        <v>1.6409225950219579</v>
      </c>
      <c r="L38" s="1">
        <f t="shared" ca="1" si="8"/>
        <v>16</v>
      </c>
      <c r="M38" s="1"/>
      <c r="N38" s="1">
        <f t="shared" ca="1" si="9"/>
        <v>322</v>
      </c>
      <c r="O38" s="1">
        <f t="shared" ca="1" si="10"/>
        <v>7</v>
      </c>
      <c r="P38" s="1"/>
      <c r="Q38" s="1">
        <f t="shared" ca="1" si="11"/>
        <v>4.5606128598383915</v>
      </c>
      <c r="R38" s="1">
        <f t="shared" ca="1" si="12"/>
        <v>679</v>
      </c>
      <c r="S38" s="1"/>
      <c r="T38" s="1">
        <f t="shared" ca="1" si="13"/>
        <v>1.6941402942147091E-2</v>
      </c>
      <c r="U38" s="1">
        <f t="shared" ca="1" si="14"/>
        <v>387</v>
      </c>
      <c r="V38" s="1">
        <f t="shared" ca="1" si="15"/>
        <v>48</v>
      </c>
      <c r="W38" s="1"/>
      <c r="X38" s="1">
        <f t="shared" ca="1" si="16"/>
        <v>0.365111780877801</v>
      </c>
      <c r="Y38" s="1">
        <f t="shared" ca="1" si="17"/>
        <v>0.88030158976103712</v>
      </c>
      <c r="Z38" s="1">
        <f t="shared" ca="1" si="18"/>
        <v>873</v>
      </c>
      <c r="AB38" s="1">
        <f t="shared" ca="1" si="19"/>
        <v>0.2057750640570091</v>
      </c>
      <c r="AC38" s="1">
        <f t="shared" ca="1" si="20"/>
        <v>493</v>
      </c>
      <c r="AD38" s="1">
        <f t="shared" ca="1" si="21"/>
        <v>5.8867148884191528E-3</v>
      </c>
      <c r="AE38" s="1"/>
      <c r="AF38" s="1">
        <f t="shared" ca="1" si="22"/>
        <v>0.43116886500750251</v>
      </c>
      <c r="AG38" s="1">
        <f t="shared" ca="1" si="23"/>
        <v>224</v>
      </c>
      <c r="AH38" s="1">
        <f t="shared" ca="1" si="24"/>
        <v>9.5802621319236482E-3</v>
      </c>
      <c r="AJ38" s="1">
        <f t="shared" ca="1" si="25"/>
        <v>0.89915180032995889</v>
      </c>
      <c r="AK38" s="1">
        <f t="shared" ca="1" si="26"/>
        <v>8.6414257394430132E-3</v>
      </c>
      <c r="AL38" s="1"/>
      <c r="AM38" s="1">
        <f t="shared" ca="1" si="27"/>
        <v>0.15700431131956377</v>
      </c>
      <c r="AN38" s="1">
        <f t="shared" ca="1" si="28"/>
        <v>12</v>
      </c>
      <c r="AO38" s="1">
        <f t="shared" ca="1" si="29"/>
        <v>17</v>
      </c>
      <c r="AQ38" s="1">
        <f t="shared" ca="1" si="30"/>
        <v>166</v>
      </c>
      <c r="AR38" s="1">
        <f t="shared" ca="1" si="31"/>
        <v>4</v>
      </c>
      <c r="AS38" s="1">
        <f t="shared" ca="1" si="32"/>
        <v>98</v>
      </c>
      <c r="AU38" s="1">
        <f t="shared" ca="1" si="33"/>
        <v>172</v>
      </c>
      <c r="AV38" s="1">
        <f t="shared" ca="1" si="34"/>
        <v>3</v>
      </c>
      <c r="AW38" s="1">
        <f t="shared" ca="1" si="35"/>
        <v>1.4126992175490179E-2</v>
      </c>
      <c r="AY38" s="1">
        <f t="shared" ca="1" si="36"/>
        <v>1.6571877155255863</v>
      </c>
      <c r="AZ38" s="1">
        <f t="shared" ca="1" si="37"/>
        <v>91</v>
      </c>
      <c r="BA38" s="1">
        <f t="shared" ca="1" si="38"/>
        <v>7.3400890131432653E-3</v>
      </c>
      <c r="BV38" s="1">
        <f t="shared" ca="1" si="39"/>
        <v>0.39015330491671191</v>
      </c>
      <c r="BW38" s="1">
        <f t="shared" ca="1" si="40"/>
        <v>951</v>
      </c>
      <c r="BX38" s="1">
        <f t="shared" ca="1" si="41"/>
        <v>4.1151150412057315E-3</v>
      </c>
      <c r="BY38" s="1">
        <f t="shared" ca="1" si="42"/>
        <v>9.0105202330986886E-2</v>
      </c>
      <c r="BZ38" s="1">
        <f t="shared" ca="1" si="43"/>
        <v>0.17605757284602519</v>
      </c>
      <c r="CB38" s="1">
        <f t="shared" ca="1" si="44"/>
        <v>95</v>
      </c>
      <c r="CC38" s="1">
        <f t="shared" ca="1" si="45"/>
        <v>7</v>
      </c>
      <c r="CD38" s="1">
        <f t="shared" ca="1" si="46"/>
        <v>6.2708896545542445E-2</v>
      </c>
      <c r="CE38" s="1">
        <f t="shared" ca="1" si="53"/>
        <v>0.91146845668161225</v>
      </c>
      <c r="CF38" s="1">
        <f t="shared" ca="1" si="53"/>
        <v>0.93959002599602992</v>
      </c>
      <c r="CH38" s="7">
        <f t="shared" ca="1" si="48"/>
        <v>0.82660984133362359</v>
      </c>
      <c r="CI38" s="7">
        <f t="shared" ca="1" si="49"/>
        <v>0.20450106203470922</v>
      </c>
      <c r="CJ38" s="7">
        <f t="shared" ca="1" si="50"/>
        <v>1870</v>
      </c>
      <c r="CK38" s="7">
        <f t="shared" ca="1" si="51"/>
        <v>4.9715122823783525E-3</v>
      </c>
      <c r="CL38" s="7">
        <f t="shared" ca="1" si="52"/>
        <v>1</v>
      </c>
    </row>
    <row r="39" spans="2:90" x14ac:dyDescent="0.25">
      <c r="B39">
        <f t="shared" ca="1" si="0"/>
        <v>509</v>
      </c>
      <c r="C39">
        <f t="shared" ca="1" si="1"/>
        <v>32</v>
      </c>
      <c r="D39">
        <f t="shared" ca="1" si="2"/>
        <v>0.19431024670701957</v>
      </c>
      <c r="F39" s="1">
        <f t="shared" ca="1" si="3"/>
        <v>32</v>
      </c>
      <c r="G39" s="1">
        <f t="shared" ca="1" si="4"/>
        <v>17</v>
      </c>
      <c r="H39" s="1">
        <f t="shared" ca="1" si="5"/>
        <v>14</v>
      </c>
      <c r="I39" s="1"/>
      <c r="J39" s="1">
        <f t="shared" ca="1" si="6"/>
        <v>29</v>
      </c>
      <c r="K39" s="1">
        <f t="shared" ca="1" si="7"/>
        <v>1.1085221969555472</v>
      </c>
      <c r="L39" s="1">
        <f t="shared" ca="1" si="8"/>
        <v>11</v>
      </c>
      <c r="M39" s="1"/>
      <c r="N39" s="1">
        <f t="shared" ca="1" si="9"/>
        <v>523</v>
      </c>
      <c r="O39" s="1">
        <f t="shared" ca="1" si="10"/>
        <v>9</v>
      </c>
      <c r="P39" s="1"/>
      <c r="Q39" s="1">
        <f t="shared" ca="1" si="11"/>
        <v>2.8531689370977911</v>
      </c>
      <c r="R39" s="1">
        <f t="shared" ca="1" si="12"/>
        <v>354</v>
      </c>
      <c r="S39" s="1"/>
      <c r="T39" s="1">
        <f t="shared" ca="1" si="13"/>
        <v>6.7354371692161338E-2</v>
      </c>
      <c r="U39" s="1">
        <f t="shared" ca="1" si="14"/>
        <v>70</v>
      </c>
      <c r="V39" s="1">
        <f t="shared" ca="1" si="15"/>
        <v>12</v>
      </c>
      <c r="W39" s="1"/>
      <c r="X39" s="1">
        <f t="shared" ca="1" si="16"/>
        <v>6.8603703655698833</v>
      </c>
      <c r="Y39" s="1">
        <f t="shared" ca="1" si="17"/>
        <v>0.71416529485940394</v>
      </c>
      <c r="Z39" s="1">
        <f t="shared" ca="1" si="18"/>
        <v>664</v>
      </c>
      <c r="AB39" s="1">
        <f t="shared" ca="1" si="19"/>
        <v>0.70891649101451326</v>
      </c>
      <c r="AC39" s="1">
        <f t="shared" ca="1" si="20"/>
        <v>993</v>
      </c>
      <c r="AD39" s="1">
        <f t="shared" ca="1" si="21"/>
        <v>8.0920824239492078E-3</v>
      </c>
      <c r="AE39" s="1"/>
      <c r="AF39" s="1">
        <f t="shared" ca="1" si="22"/>
        <v>0.4909429709278611</v>
      </c>
      <c r="AG39" s="1">
        <f t="shared" ca="1" si="23"/>
        <v>622</v>
      </c>
      <c r="AH39" s="1">
        <f t="shared" ca="1" si="24"/>
        <v>4.3605842429133221E-3</v>
      </c>
      <c r="AJ39" s="1">
        <f t="shared" ca="1" si="25"/>
        <v>0.75574694741350334</v>
      </c>
      <c r="AK39" s="1">
        <f t="shared" ca="1" si="26"/>
        <v>2.4576953232299382E-3</v>
      </c>
      <c r="AL39" s="1"/>
      <c r="AM39" s="1">
        <f t="shared" ca="1" si="27"/>
        <v>0.18631751395072216</v>
      </c>
      <c r="AN39" s="1">
        <f t="shared" ca="1" si="28"/>
        <v>64</v>
      </c>
      <c r="AO39" s="1">
        <f t="shared" ca="1" si="29"/>
        <v>17</v>
      </c>
      <c r="AQ39" s="1">
        <f t="shared" ca="1" si="30"/>
        <v>17</v>
      </c>
      <c r="AR39" s="1">
        <f t="shared" ca="1" si="31"/>
        <v>6</v>
      </c>
      <c r="AS39" s="1">
        <f t="shared" ca="1" si="32"/>
        <v>68</v>
      </c>
      <c r="AU39" s="1">
        <f t="shared" ca="1" si="33"/>
        <v>139</v>
      </c>
      <c r="AV39" s="1">
        <f t="shared" ca="1" si="34"/>
        <v>2</v>
      </c>
      <c r="AW39" s="1">
        <f t="shared" ca="1" si="35"/>
        <v>0.1856966793630985</v>
      </c>
      <c r="AY39" s="1">
        <f t="shared" ca="1" si="36"/>
        <v>1.6713585351332632</v>
      </c>
      <c r="AZ39" s="1">
        <f t="shared" ca="1" si="37"/>
        <v>425</v>
      </c>
      <c r="BA39" s="1">
        <f t="shared" ca="1" si="38"/>
        <v>2.397744031395887E-3</v>
      </c>
      <c r="BV39" s="1">
        <f t="shared" ca="1" si="39"/>
        <v>0.54717987545134716</v>
      </c>
      <c r="BW39" s="1">
        <f t="shared" ca="1" si="40"/>
        <v>725</v>
      </c>
      <c r="BX39" s="1">
        <f t="shared" ca="1" si="41"/>
        <v>3.3047281939093372E-3</v>
      </c>
      <c r="BY39" s="1">
        <f t="shared" ca="1" si="42"/>
        <v>1.9786644252613998E-2</v>
      </c>
      <c r="BZ39" s="1">
        <f t="shared" ca="1" si="43"/>
        <v>0.21513845449968749</v>
      </c>
      <c r="CB39" s="1">
        <f t="shared" ca="1" si="44"/>
        <v>220</v>
      </c>
      <c r="CC39" s="1">
        <f t="shared" ca="1" si="45"/>
        <v>3</v>
      </c>
      <c r="CD39" s="1">
        <f t="shared" ca="1" si="46"/>
        <v>0.18123638651565041</v>
      </c>
      <c r="CE39" s="1">
        <f t="shared" ca="1" si="53"/>
        <v>0.86154659930613153</v>
      </c>
      <c r="CF39" s="1">
        <f t="shared" ca="1" si="53"/>
        <v>0.61531907379607809</v>
      </c>
      <c r="CH39" s="7">
        <f t="shared" ca="1" si="48"/>
        <v>0.45243416968481326</v>
      </c>
      <c r="CI39" s="7">
        <f t="shared" ca="1" si="49"/>
        <v>0.23965312060980695</v>
      </c>
      <c r="CJ39" s="7">
        <f t="shared" ca="1" si="50"/>
        <v>589</v>
      </c>
      <c r="CK39" s="7">
        <f t="shared" ca="1" si="51"/>
        <v>7.2394043369779547E-3</v>
      </c>
      <c r="CL39" s="7">
        <f t="shared" ca="1" si="52"/>
        <v>0</v>
      </c>
    </row>
    <row r="40" spans="2:90" x14ac:dyDescent="0.25">
      <c r="B40">
        <f t="shared" ca="1" si="0"/>
        <v>934</v>
      </c>
      <c r="C40">
        <f t="shared" ca="1" si="1"/>
        <v>21</v>
      </c>
      <c r="D40">
        <f t="shared" ca="1" si="2"/>
        <v>1.9339846017417658E-2</v>
      </c>
      <c r="F40" s="1">
        <f t="shared" ca="1" si="3"/>
        <v>33</v>
      </c>
      <c r="G40" s="1">
        <f t="shared" ca="1" si="4"/>
        <v>17</v>
      </c>
      <c r="H40" s="1">
        <f t="shared" ca="1" si="5"/>
        <v>12</v>
      </c>
      <c r="I40" s="1"/>
      <c r="J40" s="1">
        <f t="shared" ca="1" si="6"/>
        <v>14</v>
      </c>
      <c r="K40" s="1">
        <f t="shared" ca="1" si="7"/>
        <v>1.659933606939372</v>
      </c>
      <c r="L40" s="1">
        <f t="shared" ca="1" si="8"/>
        <v>29</v>
      </c>
      <c r="M40" s="1"/>
      <c r="N40" s="1">
        <f t="shared" ca="1" si="9"/>
        <v>219</v>
      </c>
      <c r="O40" s="1">
        <f t="shared" ca="1" si="10"/>
        <v>16</v>
      </c>
      <c r="P40" s="1"/>
      <c r="Q40" s="1">
        <f t="shared" ca="1" si="11"/>
        <v>1.1881546815568698</v>
      </c>
      <c r="R40" s="1">
        <f t="shared" ca="1" si="12"/>
        <v>1036</v>
      </c>
      <c r="S40" s="1"/>
      <c r="T40" s="1">
        <f t="shared" ca="1" si="13"/>
        <v>5.0663859345747124E-2</v>
      </c>
      <c r="U40" s="1">
        <f t="shared" ca="1" si="14"/>
        <v>394</v>
      </c>
      <c r="V40" s="1">
        <f t="shared" ca="1" si="15"/>
        <v>8</v>
      </c>
      <c r="W40" s="1"/>
      <c r="X40" s="1">
        <f t="shared" ca="1" si="16"/>
        <v>3.6352188981567686</v>
      </c>
      <c r="Y40" s="1">
        <f t="shared" ca="1" si="17"/>
        <v>7.2758433632986369E-2</v>
      </c>
      <c r="Z40" s="1">
        <f t="shared" ca="1" si="18"/>
        <v>256</v>
      </c>
      <c r="AB40" s="1">
        <f t="shared" ca="1" si="19"/>
        <v>0.36180065595073996</v>
      </c>
      <c r="AC40" s="1">
        <f t="shared" ca="1" si="20"/>
        <v>466</v>
      </c>
      <c r="AD40" s="1">
        <f t="shared" ca="1" si="21"/>
        <v>6.326396575011212E-3</v>
      </c>
      <c r="AE40" s="1"/>
      <c r="AF40" s="1">
        <f t="shared" ca="1" si="22"/>
        <v>0.22962300996675822</v>
      </c>
      <c r="AG40" s="1">
        <f t="shared" ca="1" si="23"/>
        <v>527</v>
      </c>
      <c r="AH40" s="1">
        <f t="shared" ca="1" si="24"/>
        <v>2.555301395627835E-3</v>
      </c>
      <c r="AJ40" s="1">
        <f t="shared" ca="1" si="25"/>
        <v>0.99639047799659275</v>
      </c>
      <c r="AK40" s="1">
        <f t="shared" ca="1" si="26"/>
        <v>6.0937245729741569E-3</v>
      </c>
      <c r="AL40" s="1"/>
      <c r="AM40" s="1">
        <f t="shared" ca="1" si="27"/>
        <v>1.5064358894611992E-2</v>
      </c>
      <c r="AN40" s="1">
        <f t="shared" ca="1" si="28"/>
        <v>58</v>
      </c>
      <c r="AO40" s="1">
        <f t="shared" ca="1" si="29"/>
        <v>2</v>
      </c>
      <c r="AQ40" s="1">
        <f t="shared" ca="1" si="30"/>
        <v>160</v>
      </c>
      <c r="AR40" s="1">
        <f t="shared" ca="1" si="31"/>
        <v>1</v>
      </c>
      <c r="AS40" s="1">
        <f t="shared" ca="1" si="32"/>
        <v>99</v>
      </c>
      <c r="AU40" s="1">
        <f t="shared" ca="1" si="33"/>
        <v>391</v>
      </c>
      <c r="AV40" s="1">
        <f t="shared" ca="1" si="34"/>
        <v>7</v>
      </c>
      <c r="AW40" s="1">
        <f t="shared" ca="1" si="35"/>
        <v>8.5884704742536386E-2</v>
      </c>
      <c r="AY40" s="1">
        <f t="shared" ca="1" si="36"/>
        <v>1.1793268839286715</v>
      </c>
      <c r="AZ40" s="1">
        <f t="shared" ca="1" si="37"/>
        <v>469</v>
      </c>
      <c r="BA40" s="1">
        <f t="shared" ca="1" si="38"/>
        <v>6.088608332117288E-4</v>
      </c>
      <c r="BV40" s="1">
        <f t="shared" ca="1" si="39"/>
        <v>0.77326680585471042</v>
      </c>
      <c r="BW40" s="1">
        <f t="shared" ca="1" si="40"/>
        <v>310</v>
      </c>
      <c r="BX40" s="1">
        <f t="shared" ca="1" si="41"/>
        <v>4.5554183903500182E-3</v>
      </c>
      <c r="BY40" s="1">
        <f t="shared" ca="1" si="42"/>
        <v>5.5500953279212201E-2</v>
      </c>
      <c r="BZ40" s="1">
        <f t="shared" ca="1" si="43"/>
        <v>0.56917593007763867</v>
      </c>
      <c r="CB40" s="1">
        <f t="shared" ca="1" si="44"/>
        <v>454</v>
      </c>
      <c r="CC40" s="1">
        <f t="shared" ca="1" si="45"/>
        <v>13</v>
      </c>
      <c r="CD40" s="1">
        <f t="shared" ca="1" si="46"/>
        <v>6.1376125439073372E-2</v>
      </c>
      <c r="CE40" s="1">
        <f t="shared" ca="1" si="53"/>
        <v>0.91254081334464765</v>
      </c>
      <c r="CF40" s="1">
        <f t="shared" ca="1" si="53"/>
        <v>0.6176703678703046</v>
      </c>
      <c r="CH40" s="7">
        <f t="shared" ca="1" si="48"/>
        <v>0.2702676943980189</v>
      </c>
      <c r="CI40" s="7">
        <f t="shared" ca="1" si="49"/>
        <v>0.95010758894272473</v>
      </c>
      <c r="CJ40" s="7">
        <f t="shared" ca="1" si="50"/>
        <v>1984</v>
      </c>
      <c r="CK40" s="7">
        <f t="shared" ca="1" si="51"/>
        <v>7.6401470523024678E-3</v>
      </c>
      <c r="CL40" s="7">
        <f t="shared" ca="1" si="52"/>
        <v>1</v>
      </c>
    </row>
    <row r="41" spans="2:90" x14ac:dyDescent="0.25">
      <c r="B41">
        <f t="shared" ca="1" si="0"/>
        <v>769</v>
      </c>
      <c r="C41">
        <f t="shared" ca="1" si="1"/>
        <v>11</v>
      </c>
      <c r="D41">
        <f t="shared" ca="1" si="2"/>
        <v>2.417415868659701E-2</v>
      </c>
      <c r="F41" s="1">
        <f t="shared" ca="1" si="3"/>
        <v>8</v>
      </c>
      <c r="G41" s="1">
        <f t="shared" ca="1" si="4"/>
        <v>4</v>
      </c>
      <c r="H41" s="1">
        <f t="shared" ca="1" si="5"/>
        <v>10</v>
      </c>
      <c r="I41" s="1"/>
      <c r="J41" s="1">
        <f t="shared" ca="1" si="6"/>
        <v>10</v>
      </c>
      <c r="K41" s="1">
        <f t="shared" ca="1" si="7"/>
        <v>2.4770247753422501</v>
      </c>
      <c r="L41" s="1">
        <f t="shared" ca="1" si="8"/>
        <v>26</v>
      </c>
      <c r="M41" s="1"/>
      <c r="N41" s="1">
        <f t="shared" ca="1" si="9"/>
        <v>933</v>
      </c>
      <c r="O41" s="1">
        <f t="shared" ca="1" si="10"/>
        <v>21</v>
      </c>
      <c r="P41" s="1"/>
      <c r="Q41" s="1">
        <f t="shared" ca="1" si="11"/>
        <v>2.9987649679570589</v>
      </c>
      <c r="R41" s="1">
        <f t="shared" ca="1" si="12"/>
        <v>1200</v>
      </c>
      <c r="S41" s="1"/>
      <c r="T41" s="1">
        <f t="shared" ca="1" si="13"/>
        <v>3.0322803595070211E-2</v>
      </c>
      <c r="U41" s="1">
        <f t="shared" ca="1" si="14"/>
        <v>404</v>
      </c>
      <c r="V41" s="1">
        <f t="shared" ca="1" si="15"/>
        <v>36</v>
      </c>
      <c r="W41" s="1"/>
      <c r="X41" s="1">
        <f t="shared" ca="1" si="16"/>
        <v>5.1583309809876488</v>
      </c>
      <c r="Y41" s="1">
        <f t="shared" ca="1" si="17"/>
        <v>0.3936322742410262</v>
      </c>
      <c r="Z41" s="1">
        <f t="shared" ca="1" si="18"/>
        <v>673</v>
      </c>
      <c r="AB41" s="1">
        <f t="shared" ca="1" si="19"/>
        <v>0.54321058238594355</v>
      </c>
      <c r="AC41" s="1">
        <f t="shared" ca="1" si="20"/>
        <v>294</v>
      </c>
      <c r="AD41" s="1">
        <f t="shared" ca="1" si="21"/>
        <v>7.2526903425592978E-3</v>
      </c>
      <c r="AE41" s="1"/>
      <c r="AF41" s="1">
        <f t="shared" ca="1" si="22"/>
        <v>0.38522215840271057</v>
      </c>
      <c r="AG41" s="1">
        <f t="shared" ca="1" si="23"/>
        <v>658</v>
      </c>
      <c r="AH41" s="1">
        <f t="shared" ca="1" si="24"/>
        <v>8.732105349834391E-3</v>
      </c>
      <c r="AJ41" s="1">
        <f t="shared" ca="1" si="25"/>
        <v>0.42492335434672712</v>
      </c>
      <c r="AK41" s="1">
        <f t="shared" ca="1" si="26"/>
        <v>6.1767622990956603E-3</v>
      </c>
      <c r="AL41" s="1"/>
      <c r="AM41" s="1">
        <f t="shared" ca="1" si="27"/>
        <v>5.272906584401111E-2</v>
      </c>
      <c r="AN41" s="1">
        <f t="shared" ca="1" si="28"/>
        <v>34</v>
      </c>
      <c r="AO41" s="1">
        <f t="shared" ca="1" si="29"/>
        <v>9</v>
      </c>
      <c r="AQ41" s="1">
        <f t="shared" ca="1" si="30"/>
        <v>68</v>
      </c>
      <c r="AR41" s="1">
        <f t="shared" ca="1" si="31"/>
        <v>9</v>
      </c>
      <c r="AS41" s="1">
        <f t="shared" ca="1" si="32"/>
        <v>65</v>
      </c>
      <c r="AU41" s="1">
        <f t="shared" ca="1" si="33"/>
        <v>162</v>
      </c>
      <c r="AV41" s="1">
        <f t="shared" ca="1" si="34"/>
        <v>4</v>
      </c>
      <c r="AW41" s="1">
        <f t="shared" ca="1" si="35"/>
        <v>7.7217988109782018E-2</v>
      </c>
      <c r="AY41" s="1">
        <f t="shared" ca="1" si="36"/>
        <v>1.9478370875040003</v>
      </c>
      <c r="AZ41" s="1">
        <f t="shared" ca="1" si="37"/>
        <v>148</v>
      </c>
      <c r="BA41" s="1">
        <f t="shared" ca="1" si="38"/>
        <v>3.4326881365591699E-3</v>
      </c>
      <c r="BV41" s="1">
        <f t="shared" ca="1" si="39"/>
        <v>0.83859806186147323</v>
      </c>
      <c r="BW41" s="1">
        <f t="shared" ca="1" si="40"/>
        <v>855</v>
      </c>
      <c r="BX41" s="1">
        <f t="shared" ca="1" si="41"/>
        <v>8.2824316210976003E-3</v>
      </c>
      <c r="BY41" s="1">
        <f t="shared" ca="1" si="42"/>
        <v>3.8369034291470455E-2</v>
      </c>
      <c r="BZ41" s="1">
        <f t="shared" ca="1" si="43"/>
        <v>0.86574180667805056</v>
      </c>
      <c r="CB41" s="1">
        <f t="shared" ca="1" si="44"/>
        <v>84</v>
      </c>
      <c r="CC41" s="1">
        <f t="shared" ca="1" si="45"/>
        <v>8</v>
      </c>
      <c r="CD41" s="1">
        <f t="shared" ca="1" si="46"/>
        <v>0.28297030699115927</v>
      </c>
      <c r="CE41" s="1">
        <f t="shared" ca="1" si="53"/>
        <v>0.67501283313200677</v>
      </c>
      <c r="CF41" s="1">
        <f t="shared" ca="1" si="53"/>
        <v>0.88196959917844731</v>
      </c>
      <c r="CH41" s="7">
        <f t="shared" ca="1" si="48"/>
        <v>0.66517457583342654</v>
      </c>
      <c r="CI41" s="7">
        <f t="shared" ca="1" si="49"/>
        <v>0.86818129046849635</v>
      </c>
      <c r="CJ41" s="7">
        <f t="shared" ca="1" si="50"/>
        <v>1336</v>
      </c>
      <c r="CK41" s="7">
        <f t="shared" ca="1" si="51"/>
        <v>6.7943371147603775E-3</v>
      </c>
      <c r="CL41" s="7">
        <f t="shared" ca="1" si="52"/>
        <v>0</v>
      </c>
    </row>
    <row r="42" spans="2:90" x14ac:dyDescent="0.25">
      <c r="B42">
        <f t="shared" ca="1" si="0"/>
        <v>989</v>
      </c>
      <c r="C42">
        <f t="shared" ca="1" si="1"/>
        <v>30</v>
      </c>
      <c r="D42">
        <f t="shared" ca="1" si="2"/>
        <v>0.23342012455563249</v>
      </c>
      <c r="F42" s="1">
        <f t="shared" ca="1" si="3"/>
        <v>27</v>
      </c>
      <c r="G42" s="1">
        <f t="shared" ca="1" si="4"/>
        <v>7</v>
      </c>
      <c r="H42" s="1">
        <f t="shared" ca="1" si="5"/>
        <v>2</v>
      </c>
      <c r="I42" s="1"/>
      <c r="J42" s="1">
        <f t="shared" ca="1" si="6"/>
        <v>7</v>
      </c>
      <c r="K42" s="1">
        <f t="shared" ca="1" si="7"/>
        <v>2.5975165679956711</v>
      </c>
      <c r="L42" s="1">
        <f t="shared" ca="1" si="8"/>
        <v>10</v>
      </c>
      <c r="M42" s="1"/>
      <c r="N42" s="1">
        <f t="shared" ca="1" si="9"/>
        <v>512</v>
      </c>
      <c r="O42" s="1">
        <f t="shared" ca="1" si="10"/>
        <v>2</v>
      </c>
      <c r="P42" s="1"/>
      <c r="Q42" s="1">
        <f t="shared" ca="1" si="11"/>
        <v>0.15033549036256427</v>
      </c>
      <c r="R42" s="1">
        <f t="shared" ca="1" si="12"/>
        <v>713</v>
      </c>
      <c r="S42" s="1"/>
      <c r="T42" s="1">
        <f t="shared" ca="1" si="13"/>
        <v>1.4694673933838305E-2</v>
      </c>
      <c r="U42" s="1">
        <f t="shared" ca="1" si="14"/>
        <v>327</v>
      </c>
      <c r="V42" s="1">
        <f t="shared" ca="1" si="15"/>
        <v>29</v>
      </c>
      <c r="W42" s="1"/>
      <c r="X42" s="1">
        <f t="shared" ca="1" si="16"/>
        <v>3.6108233721672431</v>
      </c>
      <c r="Y42" s="1">
        <f t="shared" ca="1" si="17"/>
        <v>0.96718466948311388</v>
      </c>
      <c r="Z42" s="1">
        <f t="shared" ca="1" si="18"/>
        <v>300</v>
      </c>
      <c r="AB42" s="1">
        <f t="shared" ca="1" si="19"/>
        <v>9.8911959070213926E-2</v>
      </c>
      <c r="AC42" s="1">
        <f t="shared" ca="1" si="20"/>
        <v>698</v>
      </c>
      <c r="AD42" s="1">
        <f t="shared" ca="1" si="21"/>
        <v>4.3043490458081644E-3</v>
      </c>
      <c r="AE42" s="1"/>
      <c r="AF42" s="1">
        <f t="shared" ca="1" si="22"/>
        <v>0.40998849318699127</v>
      </c>
      <c r="AG42" s="1">
        <f t="shared" ca="1" si="23"/>
        <v>731</v>
      </c>
      <c r="AH42" s="1">
        <f t="shared" ca="1" si="24"/>
        <v>8.8925238565517664E-3</v>
      </c>
      <c r="AJ42" s="1">
        <f t="shared" ca="1" si="25"/>
        <v>0.73515058990672488</v>
      </c>
      <c r="AK42" s="1">
        <f t="shared" ca="1" si="26"/>
        <v>4.3305234461363563E-3</v>
      </c>
      <c r="AL42" s="1"/>
      <c r="AM42" s="1">
        <f t="shared" ca="1" si="27"/>
        <v>9.7532342089045501E-2</v>
      </c>
      <c r="AN42" s="1">
        <f t="shared" ca="1" si="28"/>
        <v>50</v>
      </c>
      <c r="AO42" s="1">
        <f t="shared" ca="1" si="29"/>
        <v>17</v>
      </c>
      <c r="AQ42" s="1">
        <f t="shared" ca="1" si="30"/>
        <v>43</v>
      </c>
      <c r="AR42" s="1">
        <f t="shared" ca="1" si="31"/>
        <v>5</v>
      </c>
      <c r="AS42" s="1">
        <f t="shared" ca="1" si="32"/>
        <v>15</v>
      </c>
      <c r="AU42" s="1">
        <f t="shared" ca="1" si="33"/>
        <v>101</v>
      </c>
      <c r="AV42" s="1">
        <f t="shared" ca="1" si="34"/>
        <v>8</v>
      </c>
      <c r="AW42" s="1">
        <f t="shared" ca="1" si="35"/>
        <v>5.4931446200464674E-2</v>
      </c>
      <c r="AY42" s="1">
        <f t="shared" ca="1" si="36"/>
        <v>1.3830244680576362</v>
      </c>
      <c r="AZ42" s="1">
        <f t="shared" ca="1" si="37"/>
        <v>367</v>
      </c>
      <c r="BA42" s="1">
        <f t="shared" ca="1" si="38"/>
        <v>4.1274829401404456E-3</v>
      </c>
      <c r="BV42" s="1">
        <f t="shared" ca="1" si="39"/>
        <v>0.75340975926242126</v>
      </c>
      <c r="BW42" s="1">
        <f t="shared" ca="1" si="40"/>
        <v>798</v>
      </c>
      <c r="BX42" s="1">
        <f t="shared" ca="1" si="41"/>
        <v>9.439568357296306E-3</v>
      </c>
      <c r="BY42" s="1">
        <f t="shared" ca="1" si="42"/>
        <v>9.9451705273409761E-3</v>
      </c>
      <c r="BZ42" s="1">
        <f t="shared" ca="1" si="43"/>
        <v>0.75915225806165498</v>
      </c>
      <c r="CB42" s="1">
        <f t="shared" ca="1" si="44"/>
        <v>483</v>
      </c>
      <c r="CC42" s="1">
        <f t="shared" ca="1" si="45"/>
        <v>9</v>
      </c>
      <c r="CD42" s="1">
        <f t="shared" ca="1" si="46"/>
        <v>0.16084554167046552</v>
      </c>
      <c r="CE42" s="1">
        <f t="shared" ca="1" si="53"/>
        <v>0.68988735184280747</v>
      </c>
      <c r="CF42" s="1">
        <f t="shared" ca="1" si="53"/>
        <v>0.59435948821319606</v>
      </c>
      <c r="CH42" s="7">
        <f t="shared" ca="1" si="48"/>
        <v>0.53601150905258654</v>
      </c>
      <c r="CI42" s="7">
        <f t="shared" ca="1" si="49"/>
        <v>0.7075835114734359</v>
      </c>
      <c r="CJ42" s="7">
        <f t="shared" ca="1" si="50"/>
        <v>1804</v>
      </c>
      <c r="CK42" s="7">
        <f t="shared" ca="1" si="51"/>
        <v>5.2861201322604709E-3</v>
      </c>
      <c r="CL42" s="7">
        <f t="shared" ca="1" si="52"/>
        <v>1</v>
      </c>
    </row>
    <row r="43" spans="2:90" x14ac:dyDescent="0.25">
      <c r="B43">
        <f t="shared" ca="1" si="0"/>
        <v>399</v>
      </c>
      <c r="C43">
        <f t="shared" ca="1" si="1"/>
        <v>42</v>
      </c>
      <c r="D43">
        <f t="shared" ca="1" si="2"/>
        <v>0.14804410085179423</v>
      </c>
      <c r="F43" s="1">
        <f t="shared" ca="1" si="3"/>
        <v>29</v>
      </c>
      <c r="G43" s="1">
        <f t="shared" ca="1" si="4"/>
        <v>20</v>
      </c>
      <c r="H43" s="1">
        <f t="shared" ca="1" si="5"/>
        <v>4</v>
      </c>
      <c r="I43" s="1"/>
      <c r="J43" s="1">
        <f t="shared" ca="1" si="6"/>
        <v>4</v>
      </c>
      <c r="K43" s="1">
        <f t="shared" ca="1" si="7"/>
        <v>2.5263733212342032</v>
      </c>
      <c r="L43" s="1">
        <f t="shared" ca="1" si="8"/>
        <v>32</v>
      </c>
      <c r="M43" s="1"/>
      <c r="N43" s="1">
        <f t="shared" ca="1" si="9"/>
        <v>342</v>
      </c>
      <c r="O43" s="1">
        <f t="shared" ca="1" si="10"/>
        <v>43</v>
      </c>
      <c r="P43" s="1"/>
      <c r="Q43" s="1">
        <f t="shared" ca="1" si="11"/>
        <v>1.0448204329351563</v>
      </c>
      <c r="R43" s="1">
        <f t="shared" ca="1" si="12"/>
        <v>398</v>
      </c>
      <c r="S43" s="1"/>
      <c r="T43" s="1">
        <f t="shared" ca="1" si="13"/>
        <v>0.11027016479210226</v>
      </c>
      <c r="U43" s="1">
        <f t="shared" ca="1" si="14"/>
        <v>415</v>
      </c>
      <c r="V43" s="1">
        <f t="shared" ca="1" si="15"/>
        <v>22</v>
      </c>
      <c r="W43" s="1"/>
      <c r="X43" s="1">
        <f t="shared" ca="1" si="16"/>
        <v>1.6807132191028196</v>
      </c>
      <c r="Y43" s="1">
        <f t="shared" ca="1" si="17"/>
        <v>0.2772741218129261</v>
      </c>
      <c r="Z43" s="1">
        <f t="shared" ca="1" si="18"/>
        <v>513</v>
      </c>
      <c r="AB43" s="1">
        <f t="shared" ca="1" si="19"/>
        <v>0.47937906094529187</v>
      </c>
      <c r="AC43" s="1">
        <f t="shared" ca="1" si="20"/>
        <v>876</v>
      </c>
      <c r="AD43" s="1">
        <f t="shared" ca="1" si="21"/>
        <v>5.6546413691183588E-5</v>
      </c>
      <c r="AE43" s="1"/>
      <c r="AF43" s="1">
        <f t="shared" ca="1" si="22"/>
        <v>0.48343072834316647</v>
      </c>
      <c r="AG43" s="1">
        <f t="shared" ca="1" si="23"/>
        <v>449</v>
      </c>
      <c r="AH43" s="1">
        <f t="shared" ca="1" si="24"/>
        <v>4.3764765194499611E-3</v>
      </c>
      <c r="AJ43" s="1">
        <f t="shared" ca="1" si="25"/>
        <v>0.74740906182693623</v>
      </c>
      <c r="AK43" s="1">
        <f t="shared" ca="1" si="26"/>
        <v>3.2171438244923715E-3</v>
      </c>
      <c r="AL43" s="1"/>
      <c r="AM43" s="1">
        <f t="shared" ca="1" si="27"/>
        <v>0.16667879217690992</v>
      </c>
      <c r="AN43" s="1">
        <f t="shared" ca="1" si="28"/>
        <v>15</v>
      </c>
      <c r="AO43" s="1">
        <f t="shared" ca="1" si="29"/>
        <v>3</v>
      </c>
      <c r="AQ43" s="1">
        <f t="shared" ca="1" si="30"/>
        <v>65</v>
      </c>
      <c r="AR43" s="1">
        <f t="shared" ca="1" si="31"/>
        <v>6</v>
      </c>
      <c r="AS43" s="1">
        <f t="shared" ca="1" si="32"/>
        <v>73</v>
      </c>
      <c r="AU43" s="1">
        <f t="shared" ca="1" si="33"/>
        <v>202</v>
      </c>
      <c r="AV43" s="1">
        <f t="shared" ca="1" si="34"/>
        <v>4</v>
      </c>
      <c r="AW43" s="1">
        <f t="shared" ca="1" si="35"/>
        <v>9.4280697203255021E-2</v>
      </c>
      <c r="AY43" s="1">
        <f t="shared" ca="1" si="36"/>
        <v>1.9919907394425149</v>
      </c>
      <c r="AZ43" s="1">
        <f t="shared" ca="1" si="37"/>
        <v>282</v>
      </c>
      <c r="BA43" s="1">
        <f t="shared" ca="1" si="38"/>
        <v>4.1199616646701281E-3</v>
      </c>
      <c r="BV43" s="1">
        <f t="shared" ca="1" si="39"/>
        <v>0.45964589181914517</v>
      </c>
      <c r="BW43" s="1">
        <f t="shared" ca="1" si="40"/>
        <v>518</v>
      </c>
      <c r="BX43" s="1">
        <f t="shared" ca="1" si="41"/>
        <v>6.6048549575296071E-3</v>
      </c>
      <c r="BY43" s="1">
        <f t="shared" ca="1" si="42"/>
        <v>3.2122171747859432E-2</v>
      </c>
      <c r="BZ43" s="1">
        <f t="shared" ca="1" si="43"/>
        <v>0.19029758640891981</v>
      </c>
      <c r="CB43" s="1">
        <f t="shared" ca="1" si="44"/>
        <v>387</v>
      </c>
      <c r="CC43" s="1">
        <f t="shared" ca="1" si="45"/>
        <v>9</v>
      </c>
      <c r="CD43" s="1">
        <f t="shared" ca="1" si="46"/>
        <v>0.28306047841938081</v>
      </c>
      <c r="CE43" s="1">
        <f t="shared" ca="1" si="53"/>
        <v>0.65428483165469253</v>
      </c>
      <c r="CF43" s="1">
        <f t="shared" ca="1" si="53"/>
        <v>0.79921177121474674</v>
      </c>
      <c r="CH43" s="7">
        <f t="shared" ca="1" si="48"/>
        <v>0.78618884576183767</v>
      </c>
      <c r="CI43" s="7">
        <f t="shared" ca="1" si="49"/>
        <v>0.91613429988328643</v>
      </c>
      <c r="CJ43" s="7">
        <f t="shared" ca="1" si="50"/>
        <v>1471</v>
      </c>
      <c r="CK43" s="7">
        <f t="shared" ca="1" si="51"/>
        <v>4.4172746478216202E-4</v>
      </c>
      <c r="CL43" s="7">
        <f t="shared" ca="1" si="52"/>
        <v>0</v>
      </c>
    </row>
    <row r="44" spans="2:90" x14ac:dyDescent="0.25">
      <c r="B44">
        <f t="shared" ca="1" si="0"/>
        <v>798</v>
      </c>
      <c r="C44">
        <f t="shared" ca="1" si="1"/>
        <v>10</v>
      </c>
      <c r="D44">
        <f t="shared" ca="1" si="2"/>
        <v>2.5131933272234556E-2</v>
      </c>
      <c r="F44" s="1">
        <f t="shared" ca="1" si="3"/>
        <v>19</v>
      </c>
      <c r="G44" s="1">
        <f t="shared" ca="1" si="4"/>
        <v>25</v>
      </c>
      <c r="H44" s="1">
        <f t="shared" ca="1" si="5"/>
        <v>7</v>
      </c>
      <c r="I44" s="1"/>
      <c r="J44" s="1">
        <f t="shared" ca="1" si="6"/>
        <v>18</v>
      </c>
      <c r="K44" s="1">
        <f t="shared" ca="1" si="7"/>
        <v>1.8760981939955987</v>
      </c>
      <c r="L44" s="1">
        <f t="shared" ca="1" si="8"/>
        <v>19</v>
      </c>
      <c r="M44" s="1"/>
      <c r="N44" s="1">
        <f t="shared" ca="1" si="9"/>
        <v>175</v>
      </c>
      <c r="O44" s="1">
        <f t="shared" ca="1" si="10"/>
        <v>7</v>
      </c>
      <c r="P44" s="1"/>
      <c r="Q44" s="1">
        <f t="shared" ca="1" si="11"/>
        <v>0.92922151280834719</v>
      </c>
      <c r="R44" s="1">
        <f t="shared" ca="1" si="12"/>
        <v>546</v>
      </c>
      <c r="S44" s="1"/>
      <c r="T44" s="1">
        <f t="shared" ca="1" si="13"/>
        <v>0.17347144721996491</v>
      </c>
      <c r="U44" s="1">
        <f t="shared" ca="1" si="14"/>
        <v>308</v>
      </c>
      <c r="V44" s="1">
        <f t="shared" ca="1" si="15"/>
        <v>46</v>
      </c>
      <c r="W44" s="1"/>
      <c r="X44" s="1">
        <f t="shared" ca="1" si="16"/>
        <v>8.9493773752361747</v>
      </c>
      <c r="Y44" s="1">
        <f t="shared" ca="1" si="17"/>
        <v>0.58456436048772065</v>
      </c>
      <c r="Z44" s="1">
        <f t="shared" ca="1" si="18"/>
        <v>1715</v>
      </c>
      <c r="AB44" s="1">
        <f t="shared" ca="1" si="19"/>
        <v>0.66086037325899571</v>
      </c>
      <c r="AC44" s="1">
        <f t="shared" ca="1" si="20"/>
        <v>337</v>
      </c>
      <c r="AD44" s="1">
        <f t="shared" ca="1" si="21"/>
        <v>1.9249712888365336E-3</v>
      </c>
      <c r="AE44" s="1"/>
      <c r="AF44" s="1">
        <f t="shared" ca="1" si="22"/>
        <v>0.80685157001784225</v>
      </c>
      <c r="AG44" s="1">
        <f t="shared" ca="1" si="23"/>
        <v>966</v>
      </c>
      <c r="AH44" s="1">
        <f t="shared" ca="1" si="24"/>
        <v>7.5175356132825668E-3</v>
      </c>
      <c r="AJ44" s="1">
        <f t="shared" ca="1" si="25"/>
        <v>0.39977852806673875</v>
      </c>
      <c r="AK44" s="1">
        <f t="shared" ca="1" si="26"/>
        <v>8.8025981694326814E-3</v>
      </c>
      <c r="AL44" s="1"/>
      <c r="AM44" s="1">
        <f t="shared" ca="1" si="27"/>
        <v>9.2689105242838229E-2</v>
      </c>
      <c r="AN44" s="1">
        <f t="shared" ca="1" si="28"/>
        <v>76</v>
      </c>
      <c r="AO44" s="1">
        <f t="shared" ca="1" si="29"/>
        <v>6</v>
      </c>
      <c r="AQ44" s="1">
        <f t="shared" ca="1" si="30"/>
        <v>165</v>
      </c>
      <c r="AR44" s="1">
        <f t="shared" ca="1" si="31"/>
        <v>10</v>
      </c>
      <c r="AS44" s="1">
        <f t="shared" ca="1" si="32"/>
        <v>65</v>
      </c>
      <c r="AU44" s="1">
        <f t="shared" ca="1" si="33"/>
        <v>358</v>
      </c>
      <c r="AV44" s="1">
        <f t="shared" ca="1" si="34"/>
        <v>3</v>
      </c>
      <c r="AW44" s="1">
        <f t="shared" ca="1" si="35"/>
        <v>1.7972224044626495E-2</v>
      </c>
      <c r="AY44" s="1">
        <f t="shared" ca="1" si="36"/>
        <v>1.9742399790815321</v>
      </c>
      <c r="AZ44" s="1">
        <f t="shared" ca="1" si="37"/>
        <v>243</v>
      </c>
      <c r="BA44" s="1">
        <f t="shared" ca="1" si="38"/>
        <v>5.8014437092767093E-3</v>
      </c>
      <c r="BV44" s="1">
        <f t="shared" ca="1" si="39"/>
        <v>0.95377257529383475</v>
      </c>
      <c r="BW44" s="1">
        <f t="shared" ca="1" si="40"/>
        <v>569</v>
      </c>
      <c r="BX44" s="1">
        <f t="shared" ca="1" si="41"/>
        <v>1.583876285507952E-3</v>
      </c>
      <c r="BY44" s="1">
        <f t="shared" ca="1" si="42"/>
        <v>8.4456244940854866E-2</v>
      </c>
      <c r="BZ44" s="1">
        <f t="shared" ca="1" si="43"/>
        <v>0.30107060689207676</v>
      </c>
      <c r="CB44" s="1">
        <f t="shared" ca="1" si="44"/>
        <v>453</v>
      </c>
      <c r="CC44" s="1">
        <f t="shared" ca="1" si="45"/>
        <v>4</v>
      </c>
      <c r="CD44" s="1">
        <f t="shared" ca="1" si="46"/>
        <v>0.17566015877680685</v>
      </c>
      <c r="CE44" s="1">
        <f t="shared" ca="1" si="53"/>
        <v>0.61048683739194243</v>
      </c>
      <c r="CF44" s="1">
        <f t="shared" ca="1" si="53"/>
        <v>0.69813262280290678</v>
      </c>
      <c r="CH44" s="7">
        <f t="shared" ca="1" si="48"/>
        <v>0.74205632575968317</v>
      </c>
      <c r="CI44" s="7">
        <f t="shared" ca="1" si="49"/>
        <v>0.71662096140539611</v>
      </c>
      <c r="CJ44" s="7">
        <f t="shared" ca="1" si="50"/>
        <v>1366</v>
      </c>
      <c r="CK44" s="7">
        <f t="shared" ca="1" si="51"/>
        <v>7.344038528640435E-3</v>
      </c>
      <c r="CL44" s="7">
        <f t="shared" ca="1" si="52"/>
        <v>1</v>
      </c>
    </row>
    <row r="45" spans="2:90" x14ac:dyDescent="0.25">
      <c r="B45">
        <f t="shared" ca="1" si="0"/>
        <v>916</v>
      </c>
      <c r="C45">
        <f t="shared" ca="1" si="1"/>
        <v>23</v>
      </c>
      <c r="D45">
        <f t="shared" ca="1" si="2"/>
        <v>2.0412222692036908E-2</v>
      </c>
      <c r="F45" s="1">
        <f t="shared" ca="1" si="3"/>
        <v>24</v>
      </c>
      <c r="G45" s="1">
        <f t="shared" ca="1" si="4"/>
        <v>2</v>
      </c>
      <c r="H45" s="1">
        <f t="shared" ca="1" si="5"/>
        <v>11</v>
      </c>
      <c r="I45" s="1"/>
      <c r="J45" s="1">
        <f t="shared" ca="1" si="6"/>
        <v>25</v>
      </c>
      <c r="K45" s="1">
        <f t="shared" ca="1" si="7"/>
        <v>2.723718515256091</v>
      </c>
      <c r="L45" s="1">
        <f t="shared" ca="1" si="8"/>
        <v>35</v>
      </c>
      <c r="M45" s="1"/>
      <c r="N45" s="1">
        <f t="shared" ca="1" si="9"/>
        <v>859</v>
      </c>
      <c r="O45" s="1">
        <f t="shared" ca="1" si="10"/>
        <v>21</v>
      </c>
      <c r="P45" s="1"/>
      <c r="Q45" s="1">
        <f t="shared" ca="1" si="11"/>
        <v>2.7888785754809673</v>
      </c>
      <c r="R45" s="1">
        <f t="shared" ca="1" si="12"/>
        <v>267</v>
      </c>
      <c r="S45" s="1"/>
      <c r="T45" s="1">
        <f t="shared" ca="1" si="13"/>
        <v>3.7694286666455114E-2</v>
      </c>
      <c r="U45" s="1">
        <f t="shared" ca="1" si="14"/>
        <v>344</v>
      </c>
      <c r="V45" s="1">
        <f t="shared" ca="1" si="15"/>
        <v>12</v>
      </c>
      <c r="W45" s="1"/>
      <c r="X45" s="1">
        <f t="shared" ca="1" si="16"/>
        <v>4.2631215177323911</v>
      </c>
      <c r="Y45" s="1">
        <f t="shared" ca="1" si="17"/>
        <v>0.63828182203574857</v>
      </c>
      <c r="Z45" s="1">
        <f t="shared" ca="1" si="18"/>
        <v>1147</v>
      </c>
      <c r="AB45" s="1">
        <f t="shared" ca="1" si="19"/>
        <v>0.22165988243639445</v>
      </c>
      <c r="AC45" s="1">
        <f t="shared" ca="1" si="20"/>
        <v>505</v>
      </c>
      <c r="AD45" s="1">
        <f t="shared" ca="1" si="21"/>
        <v>6.0476247943143224E-3</v>
      </c>
      <c r="AE45" s="1"/>
      <c r="AF45" s="1">
        <f t="shared" ca="1" si="22"/>
        <v>0.67602345908733841</v>
      </c>
      <c r="AG45" s="1">
        <f t="shared" ca="1" si="23"/>
        <v>234</v>
      </c>
      <c r="AH45" s="1">
        <f t="shared" ca="1" si="24"/>
        <v>5.3815498574362325E-3</v>
      </c>
      <c r="AJ45" s="1">
        <f t="shared" ca="1" si="25"/>
        <v>0.13891533580855109</v>
      </c>
      <c r="AK45" s="1">
        <f t="shared" ca="1" si="26"/>
        <v>4.6018239988107213E-3</v>
      </c>
      <c r="AL45" s="1"/>
      <c r="AM45" s="1">
        <f t="shared" ca="1" si="27"/>
        <v>0.10155137230984923</v>
      </c>
      <c r="AN45" s="1">
        <f t="shared" ca="1" si="28"/>
        <v>77</v>
      </c>
      <c r="AO45" s="1">
        <f t="shared" ca="1" si="29"/>
        <v>19</v>
      </c>
      <c r="AQ45" s="1">
        <f t="shared" ca="1" si="30"/>
        <v>95</v>
      </c>
      <c r="AR45" s="1">
        <f t="shared" ca="1" si="31"/>
        <v>3</v>
      </c>
      <c r="AS45" s="1">
        <f t="shared" ca="1" si="32"/>
        <v>20</v>
      </c>
      <c r="AU45" s="1">
        <f t="shared" ca="1" si="33"/>
        <v>352</v>
      </c>
      <c r="AV45" s="1">
        <f t="shared" ca="1" si="34"/>
        <v>7</v>
      </c>
      <c r="AW45" s="1">
        <f t="shared" ca="1" si="35"/>
        <v>9.835611256553102E-2</v>
      </c>
      <c r="AY45" s="1">
        <f t="shared" ca="1" si="36"/>
        <v>1.8142562692019364</v>
      </c>
      <c r="AZ45" s="1">
        <f t="shared" ca="1" si="37"/>
        <v>340</v>
      </c>
      <c r="BA45" s="1">
        <f t="shared" ca="1" si="38"/>
        <v>6.8428764502936517E-3</v>
      </c>
      <c r="BV45" s="1">
        <f t="shared" ca="1" si="39"/>
        <v>0.44326292609301232</v>
      </c>
      <c r="BW45" s="1">
        <f t="shared" ca="1" si="40"/>
        <v>396</v>
      </c>
      <c r="BX45" s="1">
        <f t="shared" ca="1" si="41"/>
        <v>4.2762289750833057E-3</v>
      </c>
      <c r="BY45" s="1">
        <f t="shared" ca="1" si="42"/>
        <v>7.5546865230496613E-2</v>
      </c>
      <c r="BZ45" s="1">
        <f t="shared" ca="1" si="43"/>
        <v>0.14873277800512941</v>
      </c>
      <c r="CB45" s="1">
        <f t="shared" ca="1" si="44"/>
        <v>454</v>
      </c>
      <c r="CC45" s="1">
        <f t="shared" ca="1" si="45"/>
        <v>14</v>
      </c>
      <c r="CD45" s="1">
        <f t="shared" ca="1" si="46"/>
        <v>0.18161866363964507</v>
      </c>
      <c r="CE45" s="1">
        <f t="shared" ca="1" si="53"/>
        <v>0.7723069750469238</v>
      </c>
      <c r="CF45" s="1">
        <f t="shared" ca="1" si="53"/>
        <v>0.96741939845548175</v>
      </c>
      <c r="CH45" s="7">
        <f t="shared" ca="1" si="48"/>
        <v>0.81367420774636767</v>
      </c>
      <c r="CI45" s="7">
        <f t="shared" ca="1" si="49"/>
        <v>0.65508365261526669</v>
      </c>
      <c r="CJ45" s="7">
        <f t="shared" ca="1" si="50"/>
        <v>1717</v>
      </c>
      <c r="CK45" s="7">
        <f t="shared" ca="1" si="51"/>
        <v>4.689008794846624E-3</v>
      </c>
      <c r="CL45" s="7">
        <f t="shared" ca="1" si="52"/>
        <v>0</v>
      </c>
    </row>
    <row r="46" spans="2:90" x14ac:dyDescent="0.25">
      <c r="B46">
        <f t="shared" ca="1" si="0"/>
        <v>644</v>
      </c>
      <c r="C46">
        <f t="shared" ca="1" si="1"/>
        <v>23</v>
      </c>
      <c r="D46">
        <f t="shared" ca="1" si="2"/>
        <v>0.11688770462247876</v>
      </c>
      <c r="F46" s="1">
        <f t="shared" ca="1" si="3"/>
        <v>3</v>
      </c>
      <c r="G46" s="1">
        <f t="shared" ca="1" si="4"/>
        <v>23</v>
      </c>
      <c r="H46" s="1">
        <f t="shared" ca="1" si="5"/>
        <v>5</v>
      </c>
      <c r="I46" s="1"/>
      <c r="J46" s="1">
        <f t="shared" ca="1" si="6"/>
        <v>4</v>
      </c>
      <c r="K46" s="1">
        <f t="shared" ca="1" si="7"/>
        <v>2.0920013044751866</v>
      </c>
      <c r="L46" s="1">
        <f t="shared" ca="1" si="8"/>
        <v>19</v>
      </c>
      <c r="M46" s="1"/>
      <c r="N46" s="1">
        <f t="shared" ca="1" si="9"/>
        <v>123</v>
      </c>
      <c r="O46" s="1">
        <f t="shared" ca="1" si="10"/>
        <v>29</v>
      </c>
      <c r="P46" s="1"/>
      <c r="Q46" s="1">
        <f t="shared" ca="1" si="11"/>
        <v>2.7192442229145848</v>
      </c>
      <c r="R46" s="1">
        <f t="shared" ca="1" si="12"/>
        <v>870</v>
      </c>
      <c r="S46" s="1"/>
      <c r="T46" s="1">
        <f t="shared" ca="1" si="13"/>
        <v>8.155059948068627E-2</v>
      </c>
      <c r="U46" s="1">
        <f t="shared" ca="1" si="14"/>
        <v>144</v>
      </c>
      <c r="V46" s="1">
        <f t="shared" ca="1" si="15"/>
        <v>28</v>
      </c>
      <c r="W46" s="1"/>
      <c r="X46" s="1">
        <f t="shared" ca="1" si="16"/>
        <v>8.8118177477449731</v>
      </c>
      <c r="Y46" s="1">
        <f t="shared" ca="1" si="17"/>
        <v>0.75288584347574283</v>
      </c>
      <c r="Z46" s="1">
        <f t="shared" ca="1" si="18"/>
        <v>1484</v>
      </c>
      <c r="AB46" s="1">
        <f t="shared" ca="1" si="19"/>
        <v>0.13741700890920178</v>
      </c>
      <c r="AC46" s="1">
        <f t="shared" ca="1" si="20"/>
        <v>390</v>
      </c>
      <c r="AD46" s="1">
        <f t="shared" ca="1" si="21"/>
        <v>7.5480607534950993E-3</v>
      </c>
      <c r="AE46" s="1"/>
      <c r="AF46" s="1">
        <f t="shared" ca="1" si="22"/>
        <v>0.51815503952237141</v>
      </c>
      <c r="AG46" s="1">
        <f t="shared" ca="1" si="23"/>
        <v>900</v>
      </c>
      <c r="AH46" s="1">
        <f t="shared" ca="1" si="24"/>
        <v>4.4323010762788821E-3</v>
      </c>
      <c r="AJ46" s="1">
        <f t="shared" ca="1" si="25"/>
        <v>9.4383565502677236E-2</v>
      </c>
      <c r="AK46" s="1">
        <f t="shared" ca="1" si="26"/>
        <v>1.5705316304493423E-3</v>
      </c>
      <c r="AL46" s="1"/>
      <c r="AM46" s="1">
        <f t="shared" ca="1" si="27"/>
        <v>0.10871648453524985</v>
      </c>
      <c r="AN46" s="1">
        <f t="shared" ca="1" si="28"/>
        <v>19</v>
      </c>
      <c r="AO46" s="1">
        <f t="shared" ca="1" si="29"/>
        <v>3</v>
      </c>
      <c r="AQ46" s="1">
        <f t="shared" ca="1" si="30"/>
        <v>50</v>
      </c>
      <c r="AR46" s="1">
        <f t="shared" ca="1" si="31"/>
        <v>9</v>
      </c>
      <c r="AS46" s="1">
        <f t="shared" ca="1" si="32"/>
        <v>8</v>
      </c>
      <c r="AU46" s="1">
        <f t="shared" ca="1" si="33"/>
        <v>193</v>
      </c>
      <c r="AV46" s="1">
        <f t="shared" ca="1" si="34"/>
        <v>7</v>
      </c>
      <c r="AW46" s="1">
        <f t="shared" ca="1" si="35"/>
        <v>0.16819678903971236</v>
      </c>
      <c r="AY46" s="1">
        <f t="shared" ca="1" si="36"/>
        <v>1.2051453950308539</v>
      </c>
      <c r="AZ46" s="1">
        <f t="shared" ca="1" si="37"/>
        <v>84</v>
      </c>
      <c r="BA46" s="1">
        <f t="shared" ca="1" si="38"/>
        <v>4.2870619114630838E-3</v>
      </c>
      <c r="BV46" s="1">
        <f t="shared" ca="1" si="39"/>
        <v>0.9943779880837107</v>
      </c>
      <c r="BW46" s="1">
        <f t="shared" ca="1" si="40"/>
        <v>234</v>
      </c>
      <c r="BX46" s="1">
        <f t="shared" ca="1" si="41"/>
        <v>9.671199793186756E-3</v>
      </c>
      <c r="BY46" s="1">
        <f t="shared" ca="1" si="42"/>
        <v>7.1716570046260017E-2</v>
      </c>
      <c r="BZ46" s="1">
        <f t="shared" ca="1" si="43"/>
        <v>0.35578235905231492</v>
      </c>
      <c r="CB46" s="1">
        <f t="shared" ca="1" si="44"/>
        <v>425</v>
      </c>
      <c r="CC46" s="1">
        <f t="shared" ca="1" si="45"/>
        <v>7</v>
      </c>
      <c r="CD46" s="1">
        <f t="shared" ca="1" si="46"/>
        <v>4.3569715652607192E-2</v>
      </c>
      <c r="CE46" s="1">
        <f t="shared" ca="1" si="53"/>
        <v>0.59251077642478822</v>
      </c>
      <c r="CF46" s="1">
        <f t="shared" ca="1" si="53"/>
        <v>0.99204841102046892</v>
      </c>
      <c r="CH46" s="7">
        <f t="shared" ca="1" si="48"/>
        <v>0.59476001486581986</v>
      </c>
      <c r="CI46" s="7">
        <f t="shared" ca="1" si="49"/>
        <v>0.41083820495484025</v>
      </c>
      <c r="CJ46" s="7">
        <f t="shared" ca="1" si="50"/>
        <v>775</v>
      </c>
      <c r="CK46" s="7">
        <f t="shared" ca="1" si="51"/>
        <v>5.7986650045323438E-3</v>
      </c>
      <c r="CL46" s="7">
        <f t="shared" ca="1" si="52"/>
        <v>1</v>
      </c>
    </row>
    <row r="47" spans="2:90" x14ac:dyDescent="0.25">
      <c r="B47">
        <f t="shared" ca="1" si="0"/>
        <v>217</v>
      </c>
      <c r="C47">
        <f t="shared" ca="1" si="1"/>
        <v>48</v>
      </c>
      <c r="D47">
        <f t="shared" ca="1" si="2"/>
        <v>0.29961198330287608</v>
      </c>
      <c r="F47" s="1">
        <f t="shared" ca="1" si="3"/>
        <v>40</v>
      </c>
      <c r="G47" s="1">
        <f t="shared" ca="1" si="4"/>
        <v>20</v>
      </c>
      <c r="H47" s="1">
        <f t="shared" ca="1" si="5"/>
        <v>12</v>
      </c>
      <c r="I47" s="1"/>
      <c r="J47" s="1">
        <f t="shared" ca="1" si="6"/>
        <v>38</v>
      </c>
      <c r="K47" s="1">
        <f t="shared" ca="1" si="7"/>
        <v>1.496944967301219</v>
      </c>
      <c r="L47" s="1">
        <f t="shared" ca="1" si="8"/>
        <v>30</v>
      </c>
      <c r="M47" s="1"/>
      <c r="N47" s="1">
        <f t="shared" ca="1" si="9"/>
        <v>634</v>
      </c>
      <c r="O47" s="1">
        <f t="shared" ca="1" si="10"/>
        <v>38</v>
      </c>
      <c r="P47" s="1"/>
      <c r="Q47" s="1">
        <f t="shared" ca="1" si="11"/>
        <v>2.8606209670301634</v>
      </c>
      <c r="R47" s="1">
        <f t="shared" ca="1" si="12"/>
        <v>894</v>
      </c>
      <c r="S47" s="1"/>
      <c r="T47" s="1">
        <f t="shared" ca="1" si="13"/>
        <v>0.1312226399689628</v>
      </c>
      <c r="U47" s="1">
        <f t="shared" ca="1" si="14"/>
        <v>332</v>
      </c>
      <c r="V47" s="1">
        <f t="shared" ca="1" si="15"/>
        <v>29</v>
      </c>
      <c r="W47" s="1"/>
      <c r="X47" s="1">
        <f t="shared" ca="1" si="16"/>
        <v>4.6247853471870002</v>
      </c>
      <c r="Y47" s="1">
        <f t="shared" ca="1" si="17"/>
        <v>0.79781951706569865</v>
      </c>
      <c r="Z47" s="1">
        <f t="shared" ca="1" si="18"/>
        <v>1395</v>
      </c>
      <c r="AB47" s="1">
        <f t="shared" ca="1" si="19"/>
        <v>0.58953284535183514</v>
      </c>
      <c r="AC47" s="1">
        <f t="shared" ca="1" si="20"/>
        <v>743</v>
      </c>
      <c r="AD47" s="1">
        <f t="shared" ca="1" si="21"/>
        <v>4.90443467729435E-3</v>
      </c>
      <c r="AE47" s="1"/>
      <c r="AF47" s="1">
        <f t="shared" ca="1" si="22"/>
        <v>0.67971401247708563</v>
      </c>
      <c r="AG47" s="1">
        <f t="shared" ca="1" si="23"/>
        <v>399</v>
      </c>
      <c r="AH47" s="1">
        <f t="shared" ca="1" si="24"/>
        <v>5.1035799581392923E-3</v>
      </c>
      <c r="AJ47" s="1">
        <f t="shared" ca="1" si="25"/>
        <v>0.35620842475669856</v>
      </c>
      <c r="AK47" s="1">
        <f t="shared" ca="1" si="26"/>
        <v>3.2907514155245789E-3</v>
      </c>
      <c r="AL47" s="1"/>
      <c r="AM47" s="1">
        <f t="shared" ca="1" si="27"/>
        <v>1.4531384790820813E-2</v>
      </c>
      <c r="AN47" s="1">
        <f t="shared" ca="1" si="28"/>
        <v>70</v>
      </c>
      <c r="AO47" s="1">
        <f t="shared" ca="1" si="29"/>
        <v>1</v>
      </c>
      <c r="AQ47" s="1">
        <f t="shared" ca="1" si="30"/>
        <v>153</v>
      </c>
      <c r="AR47" s="1">
        <f t="shared" ca="1" si="31"/>
        <v>5</v>
      </c>
      <c r="AS47" s="1">
        <f t="shared" ca="1" si="32"/>
        <v>28</v>
      </c>
      <c r="AU47" s="1">
        <f t="shared" ca="1" si="33"/>
        <v>139</v>
      </c>
      <c r="AV47" s="1">
        <f t="shared" ca="1" si="34"/>
        <v>3</v>
      </c>
      <c r="AW47" s="1">
        <f t="shared" ca="1" si="35"/>
        <v>5.4981959957368876E-2</v>
      </c>
      <c r="AY47" s="1">
        <f t="shared" ca="1" si="36"/>
        <v>1.4673792415427298</v>
      </c>
      <c r="AZ47" s="1">
        <f t="shared" ca="1" si="37"/>
        <v>75</v>
      </c>
      <c r="BA47" s="1">
        <f t="shared" ca="1" si="38"/>
        <v>7.7809232996402522E-3</v>
      </c>
      <c r="BV47" s="1">
        <f t="shared" ca="1" si="39"/>
        <v>0.19097194834061887</v>
      </c>
      <c r="BW47" s="1">
        <f t="shared" ca="1" si="40"/>
        <v>471</v>
      </c>
      <c r="BX47" s="1">
        <f t="shared" ca="1" si="41"/>
        <v>5.8185730952341422E-3</v>
      </c>
      <c r="BY47" s="1">
        <f t="shared" ca="1" si="42"/>
        <v>3.367670197951405E-2</v>
      </c>
      <c r="BZ47" s="1">
        <f t="shared" ca="1" si="43"/>
        <v>4.7798309486382085E-2</v>
      </c>
      <c r="CB47" s="1">
        <f t="shared" ca="1" si="44"/>
        <v>166</v>
      </c>
      <c r="CC47" s="1">
        <f t="shared" ca="1" si="45"/>
        <v>5</v>
      </c>
      <c r="CD47" s="1">
        <f t="shared" ca="1" si="46"/>
        <v>3.3643501575001643E-2</v>
      </c>
      <c r="CE47" s="1">
        <f t="shared" ca="1" si="53"/>
        <v>0.60273001204760435</v>
      </c>
      <c r="CF47" s="1">
        <f t="shared" ca="1" si="53"/>
        <v>0.63025133887059437</v>
      </c>
      <c r="CH47" s="7">
        <f t="shared" ca="1" si="48"/>
        <v>0.87956229656776552</v>
      </c>
      <c r="CI47" s="7">
        <f t="shared" ca="1" si="49"/>
        <v>0.30004526795406744</v>
      </c>
      <c r="CJ47" s="7">
        <f t="shared" ca="1" si="50"/>
        <v>1087</v>
      </c>
      <c r="CK47" s="7">
        <f t="shared" ca="1" si="51"/>
        <v>2.3478117301658079E-4</v>
      </c>
      <c r="CL47" s="7">
        <f t="shared" ca="1" si="52"/>
        <v>1</v>
      </c>
    </row>
    <row r="48" spans="2:90" x14ac:dyDescent="0.25">
      <c r="B48">
        <f t="shared" ca="1" si="0"/>
        <v>645</v>
      </c>
      <c r="C48">
        <f t="shared" ca="1" si="1"/>
        <v>34</v>
      </c>
      <c r="D48">
        <f t="shared" ca="1" si="2"/>
        <v>8.6997652336352607E-2</v>
      </c>
      <c r="F48" s="1">
        <f t="shared" ca="1" si="3"/>
        <v>14</v>
      </c>
      <c r="G48" s="1">
        <f t="shared" ca="1" si="4"/>
        <v>29</v>
      </c>
      <c r="H48" s="1">
        <f t="shared" ca="1" si="5"/>
        <v>14</v>
      </c>
      <c r="I48" s="1"/>
      <c r="J48" s="1">
        <f t="shared" ca="1" si="6"/>
        <v>32</v>
      </c>
      <c r="K48" s="1">
        <f t="shared" ca="1" si="7"/>
        <v>1.2994804441409054</v>
      </c>
      <c r="L48" s="1">
        <f t="shared" ca="1" si="8"/>
        <v>31</v>
      </c>
      <c r="M48" s="1"/>
      <c r="N48" s="1">
        <f t="shared" ca="1" si="9"/>
        <v>813</v>
      </c>
      <c r="O48" s="1">
        <f t="shared" ca="1" si="10"/>
        <v>43</v>
      </c>
      <c r="P48" s="1"/>
      <c r="Q48" s="1">
        <f t="shared" ca="1" si="11"/>
        <v>3.8496575004787341</v>
      </c>
      <c r="R48" s="1">
        <f t="shared" ca="1" si="12"/>
        <v>241</v>
      </c>
      <c r="S48" s="1"/>
      <c r="T48" s="1">
        <f t="shared" ca="1" si="13"/>
        <v>2.9330132392284561E-2</v>
      </c>
      <c r="U48" s="1">
        <f t="shared" ca="1" si="14"/>
        <v>342</v>
      </c>
      <c r="V48" s="1">
        <f t="shared" ca="1" si="15"/>
        <v>25</v>
      </c>
      <c r="W48" s="1"/>
      <c r="X48" s="1">
        <f t="shared" ca="1" si="16"/>
        <v>3.5504788859422445</v>
      </c>
      <c r="Y48" s="1">
        <f t="shared" ca="1" si="17"/>
        <v>0.26867882637999424</v>
      </c>
      <c r="Z48" s="1">
        <f t="shared" ca="1" si="18"/>
        <v>1235</v>
      </c>
      <c r="AB48" s="1">
        <f t="shared" ca="1" si="19"/>
        <v>0.63650616662983095</v>
      </c>
      <c r="AC48" s="1">
        <f t="shared" ca="1" si="20"/>
        <v>506</v>
      </c>
      <c r="AD48" s="1">
        <f t="shared" ca="1" si="21"/>
        <v>1.8003988901023084E-3</v>
      </c>
      <c r="AE48" s="1"/>
      <c r="AF48" s="1">
        <f t="shared" ca="1" si="22"/>
        <v>0.21372709964366329</v>
      </c>
      <c r="AG48" s="1">
        <f t="shared" ca="1" si="23"/>
        <v>309</v>
      </c>
      <c r="AH48" s="1">
        <f t="shared" ca="1" si="24"/>
        <v>7.7508962454864109E-3</v>
      </c>
      <c r="AJ48" s="1">
        <f t="shared" ca="1" si="25"/>
        <v>0.81719202698264004</v>
      </c>
      <c r="AK48" s="1">
        <f t="shared" ca="1" si="26"/>
        <v>5.6576427705676913E-3</v>
      </c>
      <c r="AL48" s="1"/>
      <c r="AM48" s="1">
        <f t="shared" ca="1" si="27"/>
        <v>0.14096512938619349</v>
      </c>
      <c r="AN48" s="1">
        <f t="shared" ca="1" si="28"/>
        <v>74</v>
      </c>
      <c r="AO48" s="1">
        <f t="shared" ca="1" si="29"/>
        <v>16</v>
      </c>
      <c r="AQ48" s="1">
        <f t="shared" ca="1" si="30"/>
        <v>85</v>
      </c>
      <c r="AR48" s="1">
        <f t="shared" ca="1" si="31"/>
        <v>3</v>
      </c>
      <c r="AS48" s="1">
        <f t="shared" ca="1" si="32"/>
        <v>72</v>
      </c>
      <c r="AU48" s="1">
        <f t="shared" ca="1" si="33"/>
        <v>87</v>
      </c>
      <c r="AV48" s="1">
        <f t="shared" ca="1" si="34"/>
        <v>4</v>
      </c>
      <c r="AW48" s="1">
        <f t="shared" ca="1" si="35"/>
        <v>6.9626165707678392E-2</v>
      </c>
      <c r="AY48" s="1">
        <f t="shared" ca="1" si="36"/>
        <v>1.1164158943467275</v>
      </c>
      <c r="AZ48" s="1">
        <f t="shared" ca="1" si="37"/>
        <v>314</v>
      </c>
      <c r="BA48" s="1">
        <f t="shared" ca="1" si="38"/>
        <v>6.2723063102876255E-3</v>
      </c>
      <c r="BV48" s="1">
        <f t="shared" ca="1" si="39"/>
        <v>0.1911017287248816</v>
      </c>
      <c r="BW48" s="1">
        <f t="shared" ca="1" si="40"/>
        <v>329</v>
      </c>
      <c r="BX48" s="1">
        <f t="shared" ca="1" si="41"/>
        <v>2.0516704377076035E-3</v>
      </c>
      <c r="BY48" s="1">
        <f t="shared" ca="1" si="42"/>
        <v>4.5032845704241382E-2</v>
      </c>
      <c r="BZ48" s="1">
        <f t="shared" ca="1" si="43"/>
        <v>0.64065356173951349</v>
      </c>
      <c r="CB48" s="1">
        <f t="shared" ca="1" si="44"/>
        <v>257</v>
      </c>
      <c r="CC48" s="1">
        <f t="shared" ca="1" si="45"/>
        <v>7</v>
      </c>
      <c r="CD48" s="1">
        <f t="shared" ca="1" si="46"/>
        <v>0.23821165983872258</v>
      </c>
      <c r="CE48" s="1">
        <f t="shared" ca="1" si="53"/>
        <v>0.58570009518058508</v>
      </c>
      <c r="CF48" s="1">
        <f t="shared" ca="1" si="53"/>
        <v>0.8295951413773488</v>
      </c>
      <c r="CH48" s="7">
        <f t="shared" ca="1" si="48"/>
        <v>0.95233870819297806</v>
      </c>
      <c r="CI48" s="7">
        <f t="shared" ca="1" si="49"/>
        <v>0.48417821654429627</v>
      </c>
      <c r="CJ48" s="7">
        <f t="shared" ca="1" si="50"/>
        <v>1375</v>
      </c>
      <c r="CK48" s="7">
        <f t="shared" ca="1" si="51"/>
        <v>8.0044445981270161E-3</v>
      </c>
      <c r="CL48" s="7">
        <f t="shared" ca="1" si="52"/>
        <v>0</v>
      </c>
    </row>
    <row r="49" spans="2:90" x14ac:dyDescent="0.25">
      <c r="B49">
        <f t="shared" ca="1" si="0"/>
        <v>772</v>
      </c>
      <c r="C49">
        <f t="shared" ca="1" si="1"/>
        <v>16</v>
      </c>
      <c r="D49">
        <f t="shared" ca="1" si="2"/>
        <v>0.15583525992378544</v>
      </c>
      <c r="F49" s="1">
        <f t="shared" ca="1" si="3"/>
        <v>48</v>
      </c>
      <c r="G49" s="1">
        <f t="shared" ca="1" si="4"/>
        <v>13</v>
      </c>
      <c r="H49" s="1">
        <f t="shared" ca="1" si="5"/>
        <v>3</v>
      </c>
      <c r="I49" s="1"/>
      <c r="J49" s="1">
        <f t="shared" ca="1" si="6"/>
        <v>2</v>
      </c>
      <c r="K49" s="1">
        <f t="shared" ca="1" si="7"/>
        <v>1.2985119877756752</v>
      </c>
      <c r="L49" s="1">
        <f t="shared" ca="1" si="8"/>
        <v>18</v>
      </c>
      <c r="M49" s="1"/>
      <c r="N49" s="1">
        <f t="shared" ca="1" si="9"/>
        <v>208</v>
      </c>
      <c r="O49" s="1">
        <f t="shared" ca="1" si="10"/>
        <v>39</v>
      </c>
      <c r="P49" s="1"/>
      <c r="Q49" s="1">
        <f t="shared" ca="1" si="11"/>
        <v>1.8637493412128705</v>
      </c>
      <c r="R49" s="1">
        <f t="shared" ca="1" si="12"/>
        <v>1003</v>
      </c>
      <c r="S49" s="1"/>
      <c r="T49" s="1">
        <f t="shared" ca="1" si="13"/>
        <v>5.9860914787978572E-2</v>
      </c>
      <c r="U49" s="1">
        <f t="shared" ca="1" si="14"/>
        <v>412</v>
      </c>
      <c r="V49" s="1">
        <f t="shared" ca="1" si="15"/>
        <v>21</v>
      </c>
      <c r="W49" s="1"/>
      <c r="X49" s="1">
        <f t="shared" ca="1" si="16"/>
        <v>5.6040745393485842</v>
      </c>
      <c r="Y49" s="1">
        <f t="shared" ca="1" si="17"/>
        <v>4.4099121774963015E-2</v>
      </c>
      <c r="Z49" s="1">
        <f t="shared" ca="1" si="18"/>
        <v>641</v>
      </c>
      <c r="AB49" s="1">
        <f t="shared" ca="1" si="19"/>
        <v>5.2164503579249571E-3</v>
      </c>
      <c r="AC49" s="1">
        <f t="shared" ca="1" si="20"/>
        <v>381</v>
      </c>
      <c r="AD49" s="1">
        <f t="shared" ca="1" si="21"/>
        <v>4.3438668049274763E-3</v>
      </c>
      <c r="AE49" s="1"/>
      <c r="AF49" s="1">
        <f t="shared" ca="1" si="22"/>
        <v>0.60784286284307543</v>
      </c>
      <c r="AG49" s="1">
        <f t="shared" ca="1" si="23"/>
        <v>975</v>
      </c>
      <c r="AH49" s="1">
        <f t="shared" ca="1" si="24"/>
        <v>5.624165556228326E-3</v>
      </c>
      <c r="AJ49" s="1">
        <f t="shared" ca="1" si="25"/>
        <v>0.24986463078654841</v>
      </c>
      <c r="AK49" s="1">
        <f t="shared" ca="1" si="26"/>
        <v>2.4461572478376003E-3</v>
      </c>
      <c r="AL49" s="1"/>
      <c r="AM49" s="1">
        <f t="shared" ca="1" si="27"/>
        <v>0.16361430524608264</v>
      </c>
      <c r="AN49" s="1">
        <f t="shared" ca="1" si="28"/>
        <v>43</v>
      </c>
      <c r="AO49" s="1">
        <f t="shared" ca="1" si="29"/>
        <v>10</v>
      </c>
      <c r="AQ49" s="1">
        <f t="shared" ca="1" si="30"/>
        <v>41</v>
      </c>
      <c r="AR49" s="1">
        <f t="shared" ca="1" si="31"/>
        <v>6</v>
      </c>
      <c r="AS49" s="1">
        <f t="shared" ca="1" si="32"/>
        <v>24</v>
      </c>
      <c r="AU49" s="1">
        <f t="shared" ca="1" si="33"/>
        <v>279</v>
      </c>
      <c r="AV49" s="1">
        <f t="shared" ca="1" si="34"/>
        <v>4</v>
      </c>
      <c r="AW49" s="1">
        <f t="shared" ca="1" si="35"/>
        <v>9.8710800273084306E-2</v>
      </c>
      <c r="AY49" s="1">
        <f t="shared" ca="1" si="36"/>
        <v>1.3558038279314002</v>
      </c>
      <c r="AZ49" s="1">
        <f t="shared" ca="1" si="37"/>
        <v>92</v>
      </c>
      <c r="BA49" s="1">
        <f t="shared" ca="1" si="38"/>
        <v>7.4907681343449803E-4</v>
      </c>
      <c r="BV49" s="1">
        <f t="shared" ca="1" si="39"/>
        <v>0.87563870885622075</v>
      </c>
      <c r="BW49" s="1">
        <f t="shared" ca="1" si="40"/>
        <v>127</v>
      </c>
      <c r="BX49" s="1">
        <f t="shared" ca="1" si="41"/>
        <v>3.1948786115632189E-3</v>
      </c>
      <c r="BY49" s="1">
        <f t="shared" ca="1" si="42"/>
        <v>3.6149371357158018E-2</v>
      </c>
      <c r="BZ49" s="1">
        <f t="shared" ca="1" si="43"/>
        <v>0.17712398998254031</v>
      </c>
      <c r="CB49" s="1">
        <f t="shared" ca="1" si="44"/>
        <v>211</v>
      </c>
      <c r="CC49" s="1">
        <f t="shared" ca="1" si="45"/>
        <v>8</v>
      </c>
      <c r="CD49" s="1">
        <f t="shared" ca="1" si="46"/>
        <v>0.26416537422234182</v>
      </c>
      <c r="CE49" s="1">
        <f t="shared" ca="1" si="53"/>
        <v>0.56131079843491316</v>
      </c>
      <c r="CF49" s="1">
        <f t="shared" ca="1" si="53"/>
        <v>0.89495845666388529</v>
      </c>
      <c r="CH49" s="7">
        <f t="shared" ca="1" si="48"/>
        <v>0.53897241435631638</v>
      </c>
      <c r="CI49" s="7">
        <f t="shared" ca="1" si="49"/>
        <v>0.35251784978062572</v>
      </c>
      <c r="CJ49" s="7">
        <f t="shared" ca="1" si="50"/>
        <v>1928</v>
      </c>
      <c r="CK49" s="7">
        <f t="shared" ca="1" si="51"/>
        <v>9.3922227090590029E-3</v>
      </c>
      <c r="CL49" s="7">
        <f t="shared" ca="1" si="52"/>
        <v>1</v>
      </c>
    </row>
    <row r="50" spans="2:90" x14ac:dyDescent="0.25">
      <c r="B50">
        <f t="shared" ca="1" si="0"/>
        <v>350</v>
      </c>
      <c r="C50">
        <f t="shared" ca="1" si="1"/>
        <v>45</v>
      </c>
      <c r="D50">
        <f t="shared" ca="1" si="2"/>
        <v>0.18956068933430151</v>
      </c>
      <c r="F50" s="1">
        <f t="shared" ca="1" si="3"/>
        <v>43</v>
      </c>
      <c r="G50" s="1">
        <f t="shared" ca="1" si="4"/>
        <v>3</v>
      </c>
      <c r="H50" s="1">
        <f t="shared" ca="1" si="5"/>
        <v>14</v>
      </c>
      <c r="I50" s="1"/>
      <c r="J50" s="1">
        <f t="shared" ca="1" si="6"/>
        <v>28</v>
      </c>
      <c r="K50" s="1">
        <f t="shared" ca="1" si="7"/>
        <v>1.8387900150330101</v>
      </c>
      <c r="L50" s="1">
        <f t="shared" ca="1" si="8"/>
        <v>16</v>
      </c>
      <c r="M50" s="1"/>
      <c r="N50" s="1">
        <f t="shared" ca="1" si="9"/>
        <v>892</v>
      </c>
      <c r="O50" s="1">
        <f t="shared" ca="1" si="10"/>
        <v>40</v>
      </c>
      <c r="P50" s="1"/>
      <c r="Q50" s="1">
        <f t="shared" ca="1" si="11"/>
        <v>2.4239074689488862</v>
      </c>
      <c r="R50" s="1">
        <f t="shared" ca="1" si="12"/>
        <v>481</v>
      </c>
      <c r="S50" s="1"/>
      <c r="T50" s="1">
        <f t="shared" ca="1" si="13"/>
        <v>0.1641591239198312</v>
      </c>
      <c r="U50" s="1">
        <f t="shared" ca="1" si="14"/>
        <v>90</v>
      </c>
      <c r="V50" s="1">
        <f t="shared" ca="1" si="15"/>
        <v>44</v>
      </c>
      <c r="W50" s="1"/>
      <c r="X50" s="1">
        <f t="shared" ca="1" si="16"/>
        <v>7.2441970824669513</v>
      </c>
      <c r="Y50" s="1">
        <f t="shared" ca="1" si="17"/>
        <v>5.5377163599350777E-2</v>
      </c>
      <c r="Z50" s="1">
        <f t="shared" ca="1" si="18"/>
        <v>133</v>
      </c>
      <c r="AB50" s="1">
        <f t="shared" ca="1" si="19"/>
        <v>0.74411320035441653</v>
      </c>
      <c r="AC50" s="1">
        <f t="shared" ca="1" si="20"/>
        <v>965</v>
      </c>
      <c r="AD50" s="1">
        <f t="shared" ca="1" si="21"/>
        <v>4.4511777710191545E-3</v>
      </c>
      <c r="AE50" s="1"/>
      <c r="AF50" s="1">
        <f t="shared" ca="1" si="22"/>
        <v>0.7342631718655811</v>
      </c>
      <c r="AG50" s="1">
        <f t="shared" ca="1" si="23"/>
        <v>260</v>
      </c>
      <c r="AH50" s="1">
        <f t="shared" ca="1" si="24"/>
        <v>3.8372358018873786E-3</v>
      </c>
      <c r="AJ50" s="1">
        <f t="shared" ca="1" si="25"/>
        <v>0.59410719125097078</v>
      </c>
      <c r="AK50" s="1">
        <f t="shared" ca="1" si="26"/>
        <v>7.4072356215084652E-3</v>
      </c>
      <c r="AL50" s="1"/>
      <c r="AM50" s="1">
        <f t="shared" ca="1" si="27"/>
        <v>0.13098350471878939</v>
      </c>
      <c r="AN50" s="1">
        <f t="shared" ca="1" si="28"/>
        <v>46</v>
      </c>
      <c r="AO50" s="1">
        <f t="shared" ca="1" si="29"/>
        <v>9</v>
      </c>
      <c r="AQ50" s="1">
        <f t="shared" ca="1" si="30"/>
        <v>91</v>
      </c>
      <c r="AR50" s="1">
        <f t="shared" ca="1" si="31"/>
        <v>9</v>
      </c>
      <c r="AS50" s="1">
        <f t="shared" ca="1" si="32"/>
        <v>45</v>
      </c>
      <c r="AU50" s="1">
        <f t="shared" ca="1" si="33"/>
        <v>139</v>
      </c>
      <c r="AV50" s="1">
        <f t="shared" ca="1" si="34"/>
        <v>10</v>
      </c>
      <c r="AW50" s="1">
        <f t="shared" ca="1" si="35"/>
        <v>0.13326122146892863</v>
      </c>
      <c r="AY50" s="1">
        <f t="shared" ca="1" si="36"/>
        <v>1.4872891318963253</v>
      </c>
      <c r="AZ50" s="1">
        <f t="shared" ca="1" si="37"/>
        <v>295</v>
      </c>
      <c r="BA50" s="1">
        <f t="shared" ca="1" si="38"/>
        <v>5.5352701907063965E-4</v>
      </c>
      <c r="BV50" s="1">
        <f t="shared" ca="1" si="39"/>
        <v>8.2814091115470209E-2</v>
      </c>
      <c r="BW50" s="1">
        <f t="shared" ca="1" si="40"/>
        <v>235</v>
      </c>
      <c r="BX50" s="1">
        <f t="shared" ca="1" si="41"/>
        <v>1.8534262066414583E-3</v>
      </c>
      <c r="BY50" s="1">
        <f t="shared" ca="1" si="42"/>
        <v>7.5526897276757668E-2</v>
      </c>
      <c r="BZ50" s="1">
        <f t="shared" ca="1" si="43"/>
        <v>0.57947292894895175</v>
      </c>
      <c r="CB50" s="1">
        <f t="shared" ca="1" si="44"/>
        <v>404</v>
      </c>
      <c r="CC50" s="1">
        <f t="shared" ca="1" si="45"/>
        <v>7</v>
      </c>
      <c r="CD50" s="1">
        <f t="shared" ca="1" si="46"/>
        <v>3.585596631501476E-2</v>
      </c>
      <c r="CE50" s="1">
        <f t="shared" ca="1" si="53"/>
        <v>0.64809259363424843</v>
      </c>
      <c r="CF50" s="1">
        <f t="shared" ca="1" si="53"/>
        <v>0.63691183299886345</v>
      </c>
      <c r="CH50" s="7">
        <f t="shared" ca="1" si="48"/>
        <v>0.67485783546374756</v>
      </c>
      <c r="CI50" s="7">
        <f t="shared" ca="1" si="49"/>
        <v>3.9848748128441622E-2</v>
      </c>
      <c r="CJ50" s="7">
        <f t="shared" ca="1" si="50"/>
        <v>1515</v>
      </c>
      <c r="CK50" s="7">
        <f t="shared" ca="1" si="51"/>
        <v>2.7644440489419512E-3</v>
      </c>
      <c r="CL50" s="7">
        <f t="shared" ca="1" si="52"/>
        <v>0</v>
      </c>
    </row>
    <row r="51" spans="2:90" x14ac:dyDescent="0.25">
      <c r="B51">
        <f t="shared" ca="1" si="0"/>
        <v>532</v>
      </c>
      <c r="C51">
        <f t="shared" ca="1" si="1"/>
        <v>40</v>
      </c>
      <c r="D51">
        <f t="shared" ca="1" si="2"/>
        <v>5.0583531894312882E-2</v>
      </c>
      <c r="F51" s="1">
        <f t="shared" ca="1" si="3"/>
        <v>47</v>
      </c>
      <c r="G51" s="1">
        <f t="shared" ca="1" si="4"/>
        <v>29</v>
      </c>
      <c r="H51" s="1">
        <f t="shared" ca="1" si="5"/>
        <v>14</v>
      </c>
      <c r="I51" s="1"/>
      <c r="J51" s="1">
        <f t="shared" ca="1" si="6"/>
        <v>1</v>
      </c>
      <c r="K51" s="1">
        <f t="shared" ca="1" si="7"/>
        <v>2.3678091745297571</v>
      </c>
      <c r="L51" s="1">
        <f t="shared" ca="1" si="8"/>
        <v>10</v>
      </c>
      <c r="M51" s="1"/>
      <c r="N51" s="1">
        <f t="shared" ca="1" si="9"/>
        <v>265</v>
      </c>
      <c r="O51" s="1">
        <f t="shared" ca="1" si="10"/>
        <v>19</v>
      </c>
      <c r="P51" s="1"/>
      <c r="Q51" s="1">
        <f t="shared" ca="1" si="11"/>
        <v>4.6179026867136361</v>
      </c>
      <c r="R51" s="1">
        <f t="shared" ca="1" si="12"/>
        <v>402</v>
      </c>
      <c r="S51" s="1"/>
      <c r="T51" s="1">
        <f t="shared" ca="1" si="13"/>
        <v>8.8925509239192235E-2</v>
      </c>
      <c r="U51" s="1">
        <f t="shared" ca="1" si="14"/>
        <v>188</v>
      </c>
      <c r="V51" s="1">
        <f t="shared" ca="1" si="15"/>
        <v>36</v>
      </c>
      <c r="W51" s="1"/>
      <c r="X51" s="1">
        <f t="shared" ca="1" si="16"/>
        <v>5.4186273471875053</v>
      </c>
      <c r="Y51" s="1">
        <f t="shared" ca="1" si="17"/>
        <v>0.12185187261354234</v>
      </c>
      <c r="Z51" s="1">
        <f t="shared" ca="1" si="18"/>
        <v>439</v>
      </c>
      <c r="AB51" s="1">
        <f t="shared" ca="1" si="19"/>
        <v>0.28486113386479589</v>
      </c>
      <c r="AC51" s="1">
        <f t="shared" ca="1" si="20"/>
        <v>618</v>
      </c>
      <c r="AD51" s="1">
        <f t="shared" ca="1" si="21"/>
        <v>1.7906156269824373E-3</v>
      </c>
      <c r="AE51" s="1"/>
      <c r="AF51" s="1">
        <f t="shared" ca="1" si="22"/>
        <v>0.24524107242812498</v>
      </c>
      <c r="AG51" s="1">
        <f t="shared" ca="1" si="23"/>
        <v>173</v>
      </c>
      <c r="AH51" s="1">
        <f t="shared" ca="1" si="24"/>
        <v>1.7595281829583234E-3</v>
      </c>
      <c r="AJ51" s="1">
        <f t="shared" ca="1" si="25"/>
        <v>0.30950908648218756</v>
      </c>
      <c r="AK51" s="1">
        <f t="shared" ca="1" si="26"/>
        <v>9.6735252212377526E-3</v>
      </c>
      <c r="AL51" s="1"/>
      <c r="AM51" s="1">
        <f t="shared" ca="1" si="27"/>
        <v>0.14319213865152799</v>
      </c>
      <c r="AN51" s="1">
        <f t="shared" ca="1" si="28"/>
        <v>38</v>
      </c>
      <c r="AO51" s="1">
        <f t="shared" ca="1" si="29"/>
        <v>0</v>
      </c>
      <c r="AQ51" s="1">
        <f t="shared" ca="1" si="30"/>
        <v>192</v>
      </c>
      <c r="AR51" s="1">
        <f t="shared" ca="1" si="31"/>
        <v>0</v>
      </c>
      <c r="AS51" s="1">
        <f t="shared" ca="1" si="32"/>
        <v>4</v>
      </c>
      <c r="AU51" s="1">
        <f t="shared" ca="1" si="33"/>
        <v>368</v>
      </c>
      <c r="AV51" s="1">
        <f t="shared" ca="1" si="34"/>
        <v>4</v>
      </c>
      <c r="AW51" s="1">
        <f t="shared" ca="1" si="35"/>
        <v>7.667117184643181E-2</v>
      </c>
      <c r="AY51" s="1">
        <f t="shared" ca="1" si="36"/>
        <v>1.8678106936362799</v>
      </c>
      <c r="AZ51" s="1">
        <f t="shared" ca="1" si="37"/>
        <v>256</v>
      </c>
      <c r="BA51" s="1">
        <f t="shared" ca="1" si="38"/>
        <v>8.8459025993844337E-4</v>
      </c>
      <c r="BV51" s="1">
        <f t="shared" ca="1" si="39"/>
        <v>0.55670227406813599</v>
      </c>
      <c r="BW51" s="1">
        <f t="shared" ca="1" si="40"/>
        <v>561</v>
      </c>
      <c r="BX51" s="1">
        <f t="shared" ca="1" si="41"/>
        <v>1.4089039024690819E-3</v>
      </c>
      <c r="BY51" s="1">
        <f t="shared" ca="1" si="42"/>
        <v>8.0612619424179008E-2</v>
      </c>
      <c r="BZ51" s="1">
        <f t="shared" ca="1" si="43"/>
        <v>0.56330321492644997</v>
      </c>
      <c r="CB51" s="1">
        <f t="shared" ca="1" si="44"/>
        <v>247</v>
      </c>
      <c r="CC51" s="1">
        <f t="shared" ca="1" si="45"/>
        <v>7</v>
      </c>
      <c r="CD51" s="1">
        <f t="shared" ca="1" si="46"/>
        <v>0.29331913108260788</v>
      </c>
      <c r="CE51" s="1">
        <f t="shared" ca="1" si="53"/>
        <v>0.90992400801409179</v>
      </c>
      <c r="CF51" s="1">
        <f t="shared" ca="1" si="53"/>
        <v>0.66715014563813113</v>
      </c>
      <c r="CH51" s="7">
        <f t="shared" ca="1" si="48"/>
        <v>0.85003297001310063</v>
      </c>
      <c r="CI51" s="7">
        <f t="shared" ca="1" si="49"/>
        <v>0.36066742930907203</v>
      </c>
      <c r="CJ51" s="7">
        <f t="shared" ca="1" si="50"/>
        <v>261</v>
      </c>
      <c r="CK51" s="7">
        <f t="shared" ca="1" si="51"/>
        <v>4.3756301285695085E-3</v>
      </c>
      <c r="CL51" s="7">
        <f t="shared" ca="1" si="52"/>
        <v>0</v>
      </c>
    </row>
    <row r="52" spans="2:90" x14ac:dyDescent="0.25">
      <c r="B52">
        <f t="shared" ca="1" si="0"/>
        <v>688</v>
      </c>
      <c r="C52">
        <f t="shared" ca="1" si="1"/>
        <v>3</v>
      </c>
      <c r="D52">
        <f t="shared" ca="1" si="2"/>
        <v>0.19095851771533778</v>
      </c>
      <c r="F52" s="1">
        <f t="shared" ca="1" si="3"/>
        <v>35</v>
      </c>
      <c r="G52" s="1">
        <f t="shared" ca="1" si="4"/>
        <v>3</v>
      </c>
      <c r="H52" s="1">
        <f t="shared" ca="1" si="5"/>
        <v>10</v>
      </c>
      <c r="I52" s="1"/>
      <c r="J52" s="1">
        <f t="shared" ca="1" si="6"/>
        <v>27</v>
      </c>
      <c r="K52" s="1">
        <f t="shared" ca="1" si="7"/>
        <v>2.3013608476974392</v>
      </c>
      <c r="L52" s="1">
        <f t="shared" ca="1" si="8"/>
        <v>13</v>
      </c>
      <c r="M52" s="1"/>
      <c r="N52" s="1">
        <f t="shared" ca="1" si="9"/>
        <v>464</v>
      </c>
      <c r="O52" s="1">
        <f t="shared" ca="1" si="10"/>
        <v>20</v>
      </c>
      <c r="P52" s="1"/>
      <c r="Q52" s="1">
        <f t="shared" ca="1" si="11"/>
        <v>2.5759275329128739</v>
      </c>
      <c r="R52" s="1">
        <f t="shared" ca="1" si="12"/>
        <v>875</v>
      </c>
      <c r="S52" s="1"/>
      <c r="T52" s="1">
        <f t="shared" ca="1" si="13"/>
        <v>0.18897877020443188</v>
      </c>
      <c r="U52" s="1">
        <f t="shared" ca="1" si="14"/>
        <v>300</v>
      </c>
      <c r="V52" s="1">
        <f t="shared" ca="1" si="15"/>
        <v>45</v>
      </c>
      <c r="W52" s="1"/>
      <c r="X52" s="1">
        <f t="shared" ca="1" si="16"/>
        <v>9.0730438171783963</v>
      </c>
      <c r="Y52" s="1">
        <f t="shared" ca="1" si="17"/>
        <v>0.64962319910546062</v>
      </c>
      <c r="Z52" s="1">
        <f t="shared" ca="1" si="18"/>
        <v>1763</v>
      </c>
      <c r="AB52" s="1">
        <f t="shared" ca="1" si="19"/>
        <v>0.74437505232657775</v>
      </c>
      <c r="AC52" s="1">
        <f t="shared" ca="1" si="20"/>
        <v>679</v>
      </c>
      <c r="AD52" s="1">
        <f t="shared" ca="1" si="21"/>
        <v>1.0943934833649294E-3</v>
      </c>
      <c r="AE52" s="1"/>
      <c r="AF52" s="1">
        <f t="shared" ca="1" si="22"/>
        <v>0.41565527643433153</v>
      </c>
      <c r="AG52" s="1">
        <f t="shared" ca="1" si="23"/>
        <v>317</v>
      </c>
      <c r="AH52" s="1">
        <f t="shared" ca="1" si="24"/>
        <v>9.2186910802273155E-3</v>
      </c>
      <c r="AJ52" s="1">
        <f t="shared" ca="1" si="25"/>
        <v>0.18253548768958994</v>
      </c>
      <c r="AK52" s="1">
        <f t="shared" ca="1" si="26"/>
        <v>1.858282634107575E-3</v>
      </c>
      <c r="AL52" s="1"/>
      <c r="AM52" s="1">
        <f t="shared" ca="1" si="27"/>
        <v>1.9391007205255096E-2</v>
      </c>
      <c r="AN52" s="1">
        <f t="shared" ca="1" si="28"/>
        <v>62</v>
      </c>
      <c r="AO52" s="1">
        <f t="shared" ca="1" si="29"/>
        <v>5</v>
      </c>
      <c r="AQ52" s="1">
        <f t="shared" ca="1" si="30"/>
        <v>114</v>
      </c>
      <c r="AR52" s="1">
        <f t="shared" ca="1" si="31"/>
        <v>3</v>
      </c>
      <c r="AS52" s="1">
        <f t="shared" ca="1" si="32"/>
        <v>3</v>
      </c>
      <c r="AU52" s="1">
        <f t="shared" ca="1" si="33"/>
        <v>390</v>
      </c>
      <c r="AV52" s="1">
        <f t="shared" ca="1" si="34"/>
        <v>4</v>
      </c>
      <c r="AW52" s="1">
        <f t="shared" ca="1" si="35"/>
        <v>0.12709548926887507</v>
      </c>
      <c r="AY52" s="1">
        <f t="shared" ca="1" si="36"/>
        <v>1.2075179793194442</v>
      </c>
      <c r="AZ52" s="1">
        <f t="shared" ca="1" si="37"/>
        <v>314</v>
      </c>
      <c r="BA52" s="1">
        <f t="shared" ca="1" si="38"/>
        <v>2.3347419113258724E-3</v>
      </c>
      <c r="BV52" s="1">
        <f t="shared" ca="1" si="39"/>
        <v>0.68116133560138237</v>
      </c>
      <c r="BW52" s="1">
        <f t="shared" ca="1" si="40"/>
        <v>306</v>
      </c>
      <c r="BX52" s="1">
        <f t="shared" ca="1" si="41"/>
        <v>6.849755536777665E-4</v>
      </c>
      <c r="BY52" s="1">
        <f t="shared" ca="1" si="42"/>
        <v>2.0393908442538616E-2</v>
      </c>
      <c r="BZ52" s="1">
        <f t="shared" ca="1" si="43"/>
        <v>2.4981109290237002E-2</v>
      </c>
      <c r="CB52" s="1">
        <f t="shared" ca="1" si="44"/>
        <v>353</v>
      </c>
      <c r="CC52" s="1">
        <f t="shared" ca="1" si="45"/>
        <v>8</v>
      </c>
      <c r="CD52" s="1">
        <f t="shared" ca="1" si="46"/>
        <v>0.13012830777893961</v>
      </c>
      <c r="CE52" s="1">
        <f t="shared" ca="1" si="53"/>
        <v>0.66809606321489801</v>
      </c>
      <c r="CF52" s="1">
        <f t="shared" ca="1" si="53"/>
        <v>0.68972578501728199</v>
      </c>
      <c r="CH52" s="7">
        <f t="shared" ca="1" si="48"/>
        <v>8.5595600334806732E-2</v>
      </c>
      <c r="CI52" s="7">
        <f t="shared" ca="1" si="49"/>
        <v>9.8475220137498251E-2</v>
      </c>
      <c r="CJ52" s="7">
        <f t="shared" ca="1" si="50"/>
        <v>690</v>
      </c>
      <c r="CK52" s="7">
        <f t="shared" ca="1" si="51"/>
        <v>1.9155216891683674E-3</v>
      </c>
      <c r="CL52" s="7">
        <f t="shared" ca="1" si="52"/>
        <v>1</v>
      </c>
    </row>
    <row r="53" spans="2:90" x14ac:dyDescent="0.25">
      <c r="B53">
        <f t="shared" ca="1" si="0"/>
        <v>319</v>
      </c>
      <c r="C53">
        <f t="shared" ca="1" si="1"/>
        <v>40</v>
      </c>
      <c r="D53">
        <f t="shared" ca="1" si="2"/>
        <v>0.23303803435401921</v>
      </c>
      <c r="F53" s="1">
        <f t="shared" ca="1" si="3"/>
        <v>41</v>
      </c>
      <c r="G53" s="1">
        <f t="shared" ca="1" si="4"/>
        <v>3</v>
      </c>
      <c r="H53" s="1">
        <f t="shared" ca="1" si="5"/>
        <v>10</v>
      </c>
      <c r="I53" s="1"/>
      <c r="J53" s="1">
        <f t="shared" ca="1" si="6"/>
        <v>11</v>
      </c>
      <c r="K53" s="1">
        <f t="shared" ca="1" si="7"/>
        <v>2.8451525224958765</v>
      </c>
      <c r="L53" s="1">
        <f t="shared" ca="1" si="8"/>
        <v>6</v>
      </c>
      <c r="M53" s="1"/>
      <c r="N53" s="1">
        <f t="shared" ca="1" si="9"/>
        <v>882</v>
      </c>
      <c r="O53" s="1">
        <f t="shared" ca="1" si="10"/>
        <v>52</v>
      </c>
      <c r="P53" s="1"/>
      <c r="Q53" s="1">
        <f t="shared" ca="1" si="11"/>
        <v>3.703261654963808</v>
      </c>
      <c r="R53" s="1">
        <f t="shared" ca="1" si="12"/>
        <v>245</v>
      </c>
      <c r="S53" s="1"/>
      <c r="T53" s="1">
        <f t="shared" ca="1" si="13"/>
        <v>0.19770729510872512</v>
      </c>
      <c r="U53" s="1">
        <f t="shared" ca="1" si="14"/>
        <v>371</v>
      </c>
      <c r="V53" s="1">
        <f t="shared" ca="1" si="15"/>
        <v>28</v>
      </c>
      <c r="W53" s="1"/>
      <c r="X53" s="1">
        <f t="shared" ca="1" si="16"/>
        <v>7.7312145399847765</v>
      </c>
      <c r="Y53" s="1">
        <f t="shared" ca="1" si="17"/>
        <v>0.39746548829581846</v>
      </c>
      <c r="Z53" s="1">
        <f t="shared" ca="1" si="18"/>
        <v>1500</v>
      </c>
      <c r="AB53" s="1">
        <f t="shared" ca="1" si="19"/>
        <v>0.18530208768810524</v>
      </c>
      <c r="AC53" s="1">
        <f t="shared" ca="1" si="20"/>
        <v>925</v>
      </c>
      <c r="AD53" s="1">
        <f t="shared" ca="1" si="21"/>
        <v>5.4690338395799775E-3</v>
      </c>
      <c r="AE53" s="1"/>
      <c r="AF53" s="1">
        <f t="shared" ca="1" si="22"/>
        <v>0.46694123716769331</v>
      </c>
      <c r="AG53" s="1">
        <f t="shared" ca="1" si="23"/>
        <v>127</v>
      </c>
      <c r="AH53" s="1">
        <f t="shared" ca="1" si="24"/>
        <v>8.0378795812541502E-3</v>
      </c>
      <c r="AJ53" s="1">
        <f t="shared" ca="1" si="25"/>
        <v>0.32263259997646843</v>
      </c>
      <c r="AK53" s="1">
        <f t="shared" ca="1" si="26"/>
        <v>7.7067022084732013E-4</v>
      </c>
      <c r="AL53" s="1"/>
      <c r="AM53" s="1">
        <f t="shared" ca="1" si="27"/>
        <v>0.13751787959495368</v>
      </c>
      <c r="AN53" s="1">
        <f t="shared" ca="1" si="28"/>
        <v>62</v>
      </c>
      <c r="AO53" s="1">
        <f t="shared" ca="1" si="29"/>
        <v>10</v>
      </c>
      <c r="AQ53" s="1">
        <f t="shared" ca="1" si="30"/>
        <v>166</v>
      </c>
      <c r="AR53" s="1">
        <f t="shared" ca="1" si="31"/>
        <v>0</v>
      </c>
      <c r="AS53" s="1">
        <f t="shared" ca="1" si="32"/>
        <v>6</v>
      </c>
      <c r="AU53" s="1">
        <f t="shared" ca="1" si="33"/>
        <v>334</v>
      </c>
      <c r="AV53" s="1">
        <f t="shared" ca="1" si="34"/>
        <v>6</v>
      </c>
      <c r="AW53" s="1">
        <f t="shared" ca="1" si="35"/>
        <v>0.18397197793660575</v>
      </c>
      <c r="AY53" s="1">
        <f t="shared" ca="1" si="36"/>
        <v>1.1485238971140008</v>
      </c>
      <c r="AZ53" s="1">
        <f t="shared" ca="1" si="37"/>
        <v>99</v>
      </c>
      <c r="BA53" s="1">
        <f t="shared" ca="1" si="38"/>
        <v>6.4589922024253579E-3</v>
      </c>
      <c r="BV53" s="1">
        <f t="shared" ca="1" si="39"/>
        <v>0.82629777389224146</v>
      </c>
      <c r="BW53" s="1">
        <f t="shared" ca="1" si="40"/>
        <v>593</v>
      </c>
      <c r="BX53" s="1">
        <f t="shared" ca="1" si="41"/>
        <v>9.0637417592957428E-3</v>
      </c>
      <c r="BY53" s="1">
        <f t="shared" ca="1" si="42"/>
        <v>1.0422511400148796E-3</v>
      </c>
      <c r="BZ53" s="1">
        <f t="shared" ca="1" si="43"/>
        <v>0.41749782094523691</v>
      </c>
      <c r="CB53" s="1">
        <f t="shared" ca="1" si="44"/>
        <v>448</v>
      </c>
      <c r="CC53" s="1">
        <f t="shared" ca="1" si="45"/>
        <v>10</v>
      </c>
      <c r="CD53" s="1">
        <f t="shared" ca="1" si="46"/>
        <v>0.18456649314874235</v>
      </c>
      <c r="CE53" s="1">
        <f t="shared" ca="1" si="53"/>
        <v>0.50587811756063861</v>
      </c>
      <c r="CF53" s="1">
        <f t="shared" ca="1" si="53"/>
        <v>0.5873149274596885</v>
      </c>
      <c r="CH53" s="7">
        <f t="shared" ca="1" si="48"/>
        <v>0.71110101926038194</v>
      </c>
      <c r="CI53" s="7">
        <f t="shared" ca="1" si="49"/>
        <v>0.67810500004355445</v>
      </c>
      <c r="CJ53" s="7">
        <f t="shared" ca="1" si="50"/>
        <v>902</v>
      </c>
      <c r="CK53" s="7">
        <f t="shared" ca="1" si="51"/>
        <v>2.3208157334108949E-3</v>
      </c>
      <c r="CL53" s="7">
        <f t="shared" ca="1" si="52"/>
        <v>0</v>
      </c>
    </row>
    <row r="54" spans="2:90" x14ac:dyDescent="0.25">
      <c r="B54">
        <f t="shared" ca="1" si="0"/>
        <v>556</v>
      </c>
      <c r="C54">
        <f t="shared" ca="1" si="1"/>
        <v>38</v>
      </c>
      <c r="D54">
        <f t="shared" ca="1" si="2"/>
        <v>5.1129031854238401E-2</v>
      </c>
      <c r="F54" s="1">
        <f t="shared" ca="1" si="3"/>
        <v>24</v>
      </c>
      <c r="G54" s="1">
        <f t="shared" ca="1" si="4"/>
        <v>26</v>
      </c>
      <c r="H54" s="1">
        <f t="shared" ca="1" si="5"/>
        <v>9</v>
      </c>
      <c r="I54" s="1"/>
      <c r="J54" s="1">
        <f t="shared" ca="1" si="6"/>
        <v>39</v>
      </c>
      <c r="K54" s="1">
        <f t="shared" ca="1" si="7"/>
        <v>2.3894998111083954</v>
      </c>
      <c r="L54" s="1">
        <f t="shared" ca="1" si="8"/>
        <v>29</v>
      </c>
      <c r="M54" s="1"/>
      <c r="N54" s="1">
        <f t="shared" ca="1" si="9"/>
        <v>993</v>
      </c>
      <c r="O54" s="1">
        <f t="shared" ca="1" si="10"/>
        <v>51</v>
      </c>
      <c r="P54" s="1"/>
      <c r="Q54" s="1">
        <f t="shared" ca="1" si="11"/>
        <v>1.0347187069876329</v>
      </c>
      <c r="R54" s="1">
        <f t="shared" ca="1" si="12"/>
        <v>1097</v>
      </c>
      <c r="S54" s="1"/>
      <c r="T54" s="1">
        <f t="shared" ca="1" si="13"/>
        <v>0.1085304979395665</v>
      </c>
      <c r="U54" s="1">
        <f t="shared" ca="1" si="14"/>
        <v>254</v>
      </c>
      <c r="V54" s="1">
        <f t="shared" ca="1" si="15"/>
        <v>4</v>
      </c>
      <c r="W54" s="1"/>
      <c r="X54" s="1">
        <f t="shared" ca="1" si="16"/>
        <v>2.1178611704337076</v>
      </c>
      <c r="Y54" s="1">
        <f t="shared" ca="1" si="17"/>
        <v>0.2368729898912415</v>
      </c>
      <c r="Z54" s="1">
        <f t="shared" ca="1" si="18"/>
        <v>1512</v>
      </c>
      <c r="AB54" s="1">
        <f t="shared" ca="1" si="19"/>
        <v>0.19391786339663594</v>
      </c>
      <c r="AC54" s="1">
        <f t="shared" ca="1" si="20"/>
        <v>768</v>
      </c>
      <c r="AD54" s="1">
        <f t="shared" ca="1" si="21"/>
        <v>9.3700297695177986E-3</v>
      </c>
      <c r="AE54" s="1"/>
      <c r="AF54" s="1">
        <f t="shared" ca="1" si="22"/>
        <v>0.64987251064118534</v>
      </c>
      <c r="AG54" s="1">
        <f t="shared" ca="1" si="23"/>
        <v>508</v>
      </c>
      <c r="AH54" s="1">
        <f t="shared" ca="1" si="24"/>
        <v>3.3125362943753865E-3</v>
      </c>
      <c r="AJ54" s="1">
        <f t="shared" ca="1" si="25"/>
        <v>0.14174340501617844</v>
      </c>
      <c r="AK54" s="1">
        <f t="shared" ca="1" si="26"/>
        <v>5.3634728143038667E-3</v>
      </c>
      <c r="AL54" s="1"/>
      <c r="AM54" s="1">
        <f t="shared" ca="1" si="27"/>
        <v>0.16449449777303771</v>
      </c>
      <c r="AN54" s="1">
        <f t="shared" ca="1" si="28"/>
        <v>10</v>
      </c>
      <c r="AO54" s="1">
        <f t="shared" ca="1" si="29"/>
        <v>16</v>
      </c>
      <c r="AQ54" s="1">
        <f t="shared" ca="1" si="30"/>
        <v>154</v>
      </c>
      <c r="AR54" s="1">
        <f t="shared" ca="1" si="31"/>
        <v>6</v>
      </c>
      <c r="AS54" s="1">
        <f t="shared" ca="1" si="32"/>
        <v>88</v>
      </c>
      <c r="AU54" s="1">
        <f t="shared" ca="1" si="33"/>
        <v>205</v>
      </c>
      <c r="AV54" s="1">
        <f t="shared" ca="1" si="34"/>
        <v>2</v>
      </c>
      <c r="AW54" s="1">
        <f t="shared" ca="1" si="35"/>
        <v>0.19633881911857662</v>
      </c>
      <c r="AY54" s="1">
        <f t="shared" ca="1" si="36"/>
        <v>1.9334232339367579</v>
      </c>
      <c r="AZ54" s="1">
        <f t="shared" ca="1" si="37"/>
        <v>282</v>
      </c>
      <c r="BA54" s="1">
        <f t="shared" ca="1" si="38"/>
        <v>5.8016025543382345E-3</v>
      </c>
      <c r="BV54" s="1">
        <f t="shared" ca="1" si="39"/>
        <v>3.3393646479033695E-3</v>
      </c>
      <c r="BW54" s="1">
        <f t="shared" ca="1" si="40"/>
        <v>656</v>
      </c>
      <c r="BX54" s="1">
        <f t="shared" ca="1" si="41"/>
        <v>2.4616724947620922E-3</v>
      </c>
      <c r="BY54" s="1">
        <f t="shared" ca="1" si="42"/>
        <v>9.2370949772863684E-2</v>
      </c>
      <c r="BZ54" s="1">
        <f t="shared" ca="1" si="43"/>
        <v>0.40455378244597595</v>
      </c>
      <c r="CB54" s="1">
        <f t="shared" ca="1" si="44"/>
        <v>221</v>
      </c>
      <c r="CC54" s="1">
        <f t="shared" ca="1" si="45"/>
        <v>13</v>
      </c>
      <c r="CD54" s="1">
        <f t="shared" ca="1" si="46"/>
        <v>0.2163836219586025</v>
      </c>
      <c r="CE54" s="1">
        <f t="shared" ca="1" si="53"/>
        <v>0.63180980191430014</v>
      </c>
      <c r="CF54" s="1">
        <f t="shared" ca="1" si="53"/>
        <v>0.95702945613413259</v>
      </c>
      <c r="CH54" s="7">
        <f t="shared" ca="1" si="48"/>
        <v>0.16543319588523356</v>
      </c>
      <c r="CI54" s="7">
        <f t="shared" ca="1" si="49"/>
        <v>0.9464218780070508</v>
      </c>
      <c r="CJ54" s="7">
        <f t="shared" ca="1" si="50"/>
        <v>1119</v>
      </c>
      <c r="CK54" s="7">
        <f t="shared" ca="1" si="51"/>
        <v>7.1295080836033791E-3</v>
      </c>
      <c r="CL54" s="7">
        <f t="shared" ca="1" si="52"/>
        <v>0</v>
      </c>
    </row>
    <row r="55" spans="2:90" x14ac:dyDescent="0.25">
      <c r="B55">
        <f t="shared" ca="1" si="0"/>
        <v>140</v>
      </c>
      <c r="C55">
        <f t="shared" ca="1" si="1"/>
        <v>3</v>
      </c>
      <c r="D55">
        <f t="shared" ca="1" si="2"/>
        <v>0.28910730029727671</v>
      </c>
      <c r="F55" s="1">
        <f t="shared" ca="1" si="3"/>
        <v>52</v>
      </c>
      <c r="G55" s="1">
        <f t="shared" ca="1" si="4"/>
        <v>20</v>
      </c>
      <c r="H55" s="1">
        <f t="shared" ca="1" si="5"/>
        <v>10</v>
      </c>
      <c r="I55" s="1"/>
      <c r="J55" s="1">
        <f t="shared" ca="1" si="6"/>
        <v>23</v>
      </c>
      <c r="K55" s="1">
        <f t="shared" ca="1" si="7"/>
        <v>2.7567199348342801</v>
      </c>
      <c r="L55" s="1">
        <f t="shared" ca="1" si="8"/>
        <v>11</v>
      </c>
      <c r="M55" s="1"/>
      <c r="N55" s="1">
        <f t="shared" ca="1" si="9"/>
        <v>620</v>
      </c>
      <c r="O55" s="1">
        <f t="shared" ca="1" si="10"/>
        <v>50</v>
      </c>
      <c r="P55" s="1"/>
      <c r="Q55" s="1">
        <f t="shared" ca="1" si="11"/>
        <v>1.4650979150612597</v>
      </c>
      <c r="R55" s="1">
        <f t="shared" ca="1" si="12"/>
        <v>414</v>
      </c>
      <c r="S55" s="1"/>
      <c r="T55" s="1">
        <f t="shared" ca="1" si="13"/>
        <v>0.14038432392462957</v>
      </c>
      <c r="U55" s="1">
        <f t="shared" ca="1" si="14"/>
        <v>76</v>
      </c>
      <c r="V55" s="1">
        <f t="shared" ca="1" si="15"/>
        <v>31</v>
      </c>
      <c r="W55" s="1"/>
      <c r="X55" s="1">
        <f t="shared" ca="1" si="16"/>
        <v>3.7566605747076962</v>
      </c>
      <c r="Y55" s="1">
        <f t="shared" ca="1" si="17"/>
        <v>0.79375304687402115</v>
      </c>
      <c r="Z55" s="1">
        <f t="shared" ca="1" si="18"/>
        <v>1841</v>
      </c>
      <c r="AB55" s="1">
        <f t="shared" ca="1" si="19"/>
        <v>0.73688983026942101</v>
      </c>
      <c r="AC55" s="1">
        <f t="shared" ca="1" si="20"/>
        <v>907</v>
      </c>
      <c r="AD55" s="1">
        <f t="shared" ca="1" si="21"/>
        <v>7.2546390067957202E-5</v>
      </c>
      <c r="AE55" s="1"/>
      <c r="AF55" s="1">
        <f t="shared" ca="1" si="22"/>
        <v>0.87861926394657208</v>
      </c>
      <c r="AG55" s="1">
        <f t="shared" ca="1" si="23"/>
        <v>741</v>
      </c>
      <c r="AH55" s="1">
        <f t="shared" ca="1" si="24"/>
        <v>9.6229959890062524E-3</v>
      </c>
      <c r="AJ55" s="1">
        <f t="shared" ca="1" si="25"/>
        <v>0.79570652114358598</v>
      </c>
      <c r="AK55" s="1">
        <f t="shared" ca="1" si="26"/>
        <v>8.6909977499732109E-3</v>
      </c>
      <c r="AL55" s="1"/>
      <c r="AM55" s="1">
        <f t="shared" ca="1" si="27"/>
        <v>9.6256609470150828E-2</v>
      </c>
      <c r="AN55" s="1">
        <f t="shared" ca="1" si="28"/>
        <v>36</v>
      </c>
      <c r="AO55" s="1">
        <f t="shared" ca="1" si="29"/>
        <v>7</v>
      </c>
      <c r="AQ55" s="1">
        <f t="shared" ca="1" si="30"/>
        <v>157</v>
      </c>
      <c r="AR55" s="1">
        <f t="shared" ca="1" si="31"/>
        <v>4</v>
      </c>
      <c r="AS55" s="1">
        <f t="shared" ca="1" si="32"/>
        <v>37</v>
      </c>
      <c r="AU55" s="1">
        <f t="shared" ca="1" si="33"/>
        <v>305</v>
      </c>
      <c r="AV55" s="1">
        <f t="shared" ca="1" si="34"/>
        <v>6</v>
      </c>
      <c r="AW55" s="1">
        <f t="shared" ca="1" si="35"/>
        <v>7.8856519219233256E-2</v>
      </c>
      <c r="AY55" s="1">
        <f t="shared" ca="1" si="36"/>
        <v>1.9485057708594673</v>
      </c>
      <c r="AZ55" s="1">
        <f t="shared" ca="1" si="37"/>
        <v>252</v>
      </c>
      <c r="BA55" s="1">
        <f t="shared" ca="1" si="38"/>
        <v>3.6205300131434311E-3</v>
      </c>
      <c r="BV55" s="1">
        <f t="shared" ca="1" si="39"/>
        <v>0.46946726553633555</v>
      </c>
      <c r="BW55" s="1">
        <f t="shared" ca="1" si="40"/>
        <v>537</v>
      </c>
      <c r="BX55" s="1">
        <f t="shared" ca="1" si="41"/>
        <v>1.4068842735755775E-3</v>
      </c>
      <c r="BY55" s="1">
        <f t="shared" ca="1" si="42"/>
        <v>7.7346116183120067E-2</v>
      </c>
      <c r="BZ55" s="1">
        <f t="shared" ca="1" si="43"/>
        <v>0.47188374197545857</v>
      </c>
      <c r="CB55" s="1">
        <f t="shared" ca="1" si="44"/>
        <v>442</v>
      </c>
      <c r="CC55" s="1">
        <f t="shared" ca="1" si="45"/>
        <v>14</v>
      </c>
      <c r="CD55" s="1">
        <f t="shared" ca="1" si="46"/>
        <v>2.278197170234255E-2</v>
      </c>
      <c r="CE55" s="1">
        <f t="shared" ca="1" si="53"/>
        <v>0.59924649111915462</v>
      </c>
      <c r="CF55" s="1">
        <f t="shared" ca="1" si="53"/>
        <v>0.84418200550040923</v>
      </c>
      <c r="CH55" s="7">
        <f t="shared" ca="1" si="48"/>
        <v>0.73349116580589402</v>
      </c>
      <c r="CI55" s="7">
        <f t="shared" ca="1" si="49"/>
        <v>0.6828322193151376</v>
      </c>
      <c r="CJ55" s="7">
        <f t="shared" ca="1" si="50"/>
        <v>1262</v>
      </c>
      <c r="CK55" s="7">
        <f t="shared" ca="1" si="51"/>
        <v>1.9687226856767381E-3</v>
      </c>
      <c r="CL55" s="7">
        <f t="shared" ca="1" si="52"/>
        <v>1</v>
      </c>
    </row>
    <row r="56" spans="2:90" x14ac:dyDescent="0.25">
      <c r="B56">
        <f t="shared" ca="1" si="0"/>
        <v>519</v>
      </c>
      <c r="C56">
        <f t="shared" ca="1" si="1"/>
        <v>29</v>
      </c>
      <c r="D56">
        <f t="shared" ca="1" si="2"/>
        <v>3.0455457349493405E-2</v>
      </c>
      <c r="F56" s="1">
        <f t="shared" ca="1" si="3"/>
        <v>16</v>
      </c>
      <c r="G56" s="1">
        <f t="shared" ca="1" si="4"/>
        <v>25</v>
      </c>
      <c r="H56" s="1">
        <f t="shared" ca="1" si="5"/>
        <v>15</v>
      </c>
      <c r="I56" s="1"/>
      <c r="J56" s="1">
        <f t="shared" ca="1" si="6"/>
        <v>21</v>
      </c>
      <c r="K56" s="1">
        <f t="shared" ca="1" si="7"/>
        <v>1.9525307960595168</v>
      </c>
      <c r="L56" s="1">
        <f t="shared" ca="1" si="8"/>
        <v>23</v>
      </c>
      <c r="M56" s="1"/>
      <c r="N56" s="1">
        <f t="shared" ca="1" si="9"/>
        <v>856</v>
      </c>
      <c r="O56" s="1">
        <f t="shared" ca="1" si="10"/>
        <v>3</v>
      </c>
      <c r="P56" s="1"/>
      <c r="Q56" s="1">
        <f t="shared" ca="1" si="11"/>
        <v>4.290651665535627</v>
      </c>
      <c r="R56" s="1">
        <f t="shared" ca="1" si="12"/>
        <v>724</v>
      </c>
      <c r="S56" s="1"/>
      <c r="T56" s="1">
        <f t="shared" ca="1" si="13"/>
        <v>0.1675563384252246</v>
      </c>
      <c r="U56" s="1">
        <f t="shared" ca="1" si="14"/>
        <v>220</v>
      </c>
      <c r="V56" s="1">
        <f t="shared" ca="1" si="15"/>
        <v>23</v>
      </c>
      <c r="W56" s="1"/>
      <c r="X56" s="1">
        <f t="shared" ca="1" si="16"/>
        <v>4.4615575906382476</v>
      </c>
      <c r="Y56" s="1">
        <f t="shared" ca="1" si="17"/>
        <v>0.29831769835584965</v>
      </c>
      <c r="Z56" s="1">
        <f t="shared" ca="1" si="18"/>
        <v>1457</v>
      </c>
      <c r="AB56" s="1">
        <f t="shared" ca="1" si="19"/>
        <v>0.27293269425689526</v>
      </c>
      <c r="AC56" s="1">
        <f t="shared" ca="1" si="20"/>
        <v>550</v>
      </c>
      <c r="AD56" s="1">
        <f t="shared" ca="1" si="21"/>
        <v>4.1666619969881885E-3</v>
      </c>
      <c r="AE56" s="1"/>
      <c r="AF56" s="1">
        <f t="shared" ca="1" si="22"/>
        <v>0.2772020711023031</v>
      </c>
      <c r="AG56" s="1">
        <f t="shared" ca="1" si="23"/>
        <v>828</v>
      </c>
      <c r="AH56" s="1">
        <f t="shared" ca="1" si="24"/>
        <v>7.065299120058423E-3</v>
      </c>
      <c r="AJ56" s="1">
        <f t="shared" ca="1" si="25"/>
        <v>0.79894713872078948</v>
      </c>
      <c r="AK56" s="1">
        <f t="shared" ca="1" si="26"/>
        <v>1.0009630676516381E-3</v>
      </c>
      <c r="AL56" s="1"/>
      <c r="AM56" s="1">
        <f t="shared" ca="1" si="27"/>
        <v>7.7834186408801574E-3</v>
      </c>
      <c r="AN56" s="1">
        <f t="shared" ca="1" si="28"/>
        <v>58</v>
      </c>
      <c r="AO56" s="1">
        <f t="shared" ca="1" si="29"/>
        <v>9</v>
      </c>
      <c r="AQ56" s="1">
        <f t="shared" ca="1" si="30"/>
        <v>36</v>
      </c>
      <c r="AR56" s="1">
        <f t="shared" ca="1" si="31"/>
        <v>0</v>
      </c>
      <c r="AS56" s="1">
        <f t="shared" ca="1" si="32"/>
        <v>70</v>
      </c>
      <c r="AU56" s="1">
        <f t="shared" ca="1" si="33"/>
        <v>309</v>
      </c>
      <c r="AV56" s="1">
        <f t="shared" ca="1" si="34"/>
        <v>7</v>
      </c>
      <c r="AW56" s="1">
        <f t="shared" ca="1" si="35"/>
        <v>0.19727668175218138</v>
      </c>
      <c r="AY56" s="1">
        <f t="shared" ca="1" si="36"/>
        <v>1.3092054462821889</v>
      </c>
      <c r="AZ56" s="1">
        <f t="shared" ca="1" si="37"/>
        <v>162</v>
      </c>
      <c r="BA56" s="1">
        <f t="shared" ca="1" si="38"/>
        <v>1.5757295560094122E-3</v>
      </c>
      <c r="BV56" s="1">
        <f t="shared" ca="1" si="39"/>
        <v>0.87342766169611907</v>
      </c>
      <c r="BW56" s="1">
        <f t="shared" ca="1" si="40"/>
        <v>373</v>
      </c>
      <c r="BX56" s="1">
        <f t="shared" ca="1" si="41"/>
        <v>8.6919639502508472E-3</v>
      </c>
      <c r="BY56" s="1">
        <f t="shared" ca="1" si="42"/>
        <v>7.5225509213668232E-2</v>
      </c>
      <c r="BZ56" s="1">
        <f t="shared" ca="1" si="43"/>
        <v>0.97133006419831813</v>
      </c>
      <c r="CB56" s="1">
        <f t="shared" ca="1" si="44"/>
        <v>219</v>
      </c>
      <c r="CC56" s="1">
        <f t="shared" ca="1" si="45"/>
        <v>4</v>
      </c>
      <c r="CD56" s="1">
        <f t="shared" ca="1" si="46"/>
        <v>0.22469175055752125</v>
      </c>
      <c r="CE56" s="1">
        <f t="shared" ca="1" si="53"/>
        <v>0.86153523029435708</v>
      </c>
      <c r="CF56" s="1">
        <f t="shared" ca="1" si="53"/>
        <v>0.86982079402819656</v>
      </c>
      <c r="CH56" s="7">
        <f t="shared" ca="1" si="48"/>
        <v>0.73080190179003646</v>
      </c>
      <c r="CI56" s="7">
        <f t="shared" ca="1" si="49"/>
        <v>0.35103307218880714</v>
      </c>
      <c r="CJ56" s="7">
        <f t="shared" ca="1" si="50"/>
        <v>1628</v>
      </c>
      <c r="CK56" s="7">
        <f t="shared" ca="1" si="51"/>
        <v>7.7002484608375919E-3</v>
      </c>
      <c r="CL56" s="7">
        <f t="shared" ca="1" si="52"/>
        <v>1</v>
      </c>
    </row>
    <row r="57" spans="2:90" x14ac:dyDescent="0.25">
      <c r="B57">
        <f t="shared" ca="1" si="0"/>
        <v>484</v>
      </c>
      <c r="C57">
        <f t="shared" ca="1" si="1"/>
        <v>50</v>
      </c>
      <c r="D57">
        <f t="shared" ca="1" si="2"/>
        <v>4.5261355644702427E-2</v>
      </c>
      <c r="F57" s="1">
        <f t="shared" ca="1" si="3"/>
        <v>50</v>
      </c>
      <c r="G57" s="1">
        <f t="shared" ca="1" si="4"/>
        <v>19</v>
      </c>
      <c r="H57" s="1">
        <f t="shared" ca="1" si="5"/>
        <v>1</v>
      </c>
      <c r="I57" s="1"/>
      <c r="J57" s="1">
        <f t="shared" ca="1" si="6"/>
        <v>5</v>
      </c>
      <c r="K57" s="1">
        <f t="shared" ca="1" si="7"/>
        <v>2.6142255837470074</v>
      </c>
      <c r="L57" s="1">
        <f t="shared" ca="1" si="8"/>
        <v>22</v>
      </c>
      <c r="M57" s="1"/>
      <c r="N57" s="1">
        <f t="shared" ca="1" si="9"/>
        <v>587</v>
      </c>
      <c r="O57" s="1">
        <f t="shared" ca="1" si="10"/>
        <v>3</v>
      </c>
      <c r="P57" s="1"/>
      <c r="Q57" s="1">
        <f t="shared" ca="1" si="11"/>
        <v>4.2588604460502397</v>
      </c>
      <c r="R57" s="1">
        <f t="shared" ca="1" si="12"/>
        <v>283</v>
      </c>
      <c r="S57" s="1"/>
      <c r="T57" s="1">
        <f t="shared" ca="1" si="13"/>
        <v>0.10602038098594169</v>
      </c>
      <c r="U57" s="1">
        <f t="shared" ca="1" si="14"/>
        <v>118</v>
      </c>
      <c r="V57" s="1">
        <f t="shared" ca="1" si="15"/>
        <v>31</v>
      </c>
      <c r="W57" s="1"/>
      <c r="X57" s="1">
        <f t="shared" ca="1" si="16"/>
        <v>1.0591335931107755</v>
      </c>
      <c r="Y57" s="1">
        <f t="shared" ca="1" si="17"/>
        <v>0.70433620011006226</v>
      </c>
      <c r="Z57" s="1">
        <f t="shared" ca="1" si="18"/>
        <v>1508</v>
      </c>
      <c r="AB57" s="1">
        <f t="shared" ca="1" si="19"/>
        <v>0.77124995174048339</v>
      </c>
      <c r="AC57" s="1">
        <f t="shared" ca="1" si="20"/>
        <v>831</v>
      </c>
      <c r="AD57" s="1">
        <f t="shared" ca="1" si="21"/>
        <v>6.9446714186719482E-3</v>
      </c>
      <c r="AE57" s="1"/>
      <c r="AF57" s="1">
        <f t="shared" ca="1" si="22"/>
        <v>0.65369080820199077</v>
      </c>
      <c r="AG57" s="1">
        <f t="shared" ca="1" si="23"/>
        <v>789</v>
      </c>
      <c r="AH57" s="1">
        <f t="shared" ca="1" si="24"/>
        <v>9.7050348351419308E-3</v>
      </c>
      <c r="AJ57" s="1">
        <f t="shared" ca="1" si="25"/>
        <v>0.50875917712976049</v>
      </c>
      <c r="AK57" s="1">
        <f t="shared" ca="1" si="26"/>
        <v>4.5977264075899235E-3</v>
      </c>
      <c r="AL57" s="1"/>
      <c r="AM57" s="1">
        <f t="shared" ca="1" si="27"/>
        <v>4.8437546724786083E-2</v>
      </c>
      <c r="AN57" s="1">
        <f t="shared" ca="1" si="28"/>
        <v>15</v>
      </c>
      <c r="AO57" s="1">
        <f t="shared" ca="1" si="29"/>
        <v>14</v>
      </c>
      <c r="AQ57" s="1">
        <f t="shared" ca="1" si="30"/>
        <v>122</v>
      </c>
      <c r="AR57" s="1">
        <f t="shared" ca="1" si="31"/>
        <v>7</v>
      </c>
      <c r="AS57" s="1">
        <f t="shared" ca="1" si="32"/>
        <v>100</v>
      </c>
      <c r="AU57" s="1">
        <f t="shared" ca="1" si="33"/>
        <v>388</v>
      </c>
      <c r="AV57" s="1">
        <f t="shared" ca="1" si="34"/>
        <v>4</v>
      </c>
      <c r="AW57" s="1">
        <f t="shared" ca="1" si="35"/>
        <v>2.6414165042014416E-2</v>
      </c>
      <c r="AY57" s="1">
        <f t="shared" ca="1" si="36"/>
        <v>1.8595722443513445</v>
      </c>
      <c r="AZ57" s="1">
        <f t="shared" ca="1" si="37"/>
        <v>235</v>
      </c>
      <c r="BA57" s="1">
        <f t="shared" ca="1" si="38"/>
        <v>5.8069426846086881E-3</v>
      </c>
      <c r="BV57" s="1">
        <f t="shared" ca="1" si="39"/>
        <v>0.99921823536852306</v>
      </c>
      <c r="BW57" s="1">
        <f t="shared" ca="1" si="40"/>
        <v>601</v>
      </c>
      <c r="BX57" s="1">
        <f t="shared" ca="1" si="41"/>
        <v>1.9580632991355156E-4</v>
      </c>
      <c r="BY57" s="1">
        <f t="shared" ca="1" si="42"/>
        <v>9.8336649483190611E-2</v>
      </c>
      <c r="BZ57" s="1">
        <f t="shared" ca="1" si="43"/>
        <v>0.5087836161466861</v>
      </c>
      <c r="CB57" s="1">
        <f t="shared" ca="1" si="44"/>
        <v>365</v>
      </c>
      <c r="CC57" s="1">
        <f t="shared" ca="1" si="45"/>
        <v>14</v>
      </c>
      <c r="CD57" s="1">
        <f t="shared" ca="1" si="46"/>
        <v>0.23247150313981813</v>
      </c>
      <c r="CE57" s="1">
        <f t="shared" ca="1" si="53"/>
        <v>0.71266652589635404</v>
      </c>
      <c r="CF57" s="1">
        <f t="shared" ca="1" si="53"/>
        <v>0.65100169813699127</v>
      </c>
      <c r="CH57" s="7">
        <f t="shared" ca="1" si="48"/>
        <v>7.9859603456497133E-2</v>
      </c>
      <c r="CI57" s="7">
        <f t="shared" ca="1" si="49"/>
        <v>0.65263050425009961</v>
      </c>
      <c r="CJ57" s="7">
        <f t="shared" ca="1" si="50"/>
        <v>1597</v>
      </c>
      <c r="CK57" s="7">
        <f t="shared" ca="1" si="51"/>
        <v>5.9963971602718016E-3</v>
      </c>
      <c r="CL57" s="7">
        <f t="shared" ca="1" si="52"/>
        <v>1</v>
      </c>
    </row>
    <row r="58" spans="2:90" x14ac:dyDescent="0.25">
      <c r="B58">
        <f t="shared" ca="1" si="0"/>
        <v>101</v>
      </c>
      <c r="C58">
        <f t="shared" ca="1" si="1"/>
        <v>35</v>
      </c>
      <c r="D58">
        <f t="shared" ca="1" si="2"/>
        <v>0.20647466186405719</v>
      </c>
      <c r="F58" s="1">
        <f t="shared" ca="1" si="3"/>
        <v>27</v>
      </c>
      <c r="G58" s="1">
        <f t="shared" ca="1" si="4"/>
        <v>7</v>
      </c>
      <c r="H58" s="1">
        <f t="shared" ca="1" si="5"/>
        <v>15</v>
      </c>
      <c r="I58" s="1"/>
      <c r="J58" s="1">
        <f t="shared" ca="1" si="6"/>
        <v>12</v>
      </c>
      <c r="K58" s="1">
        <f t="shared" ca="1" si="7"/>
        <v>2.4307497569330021</v>
      </c>
      <c r="L58" s="1">
        <f t="shared" ca="1" si="8"/>
        <v>3</v>
      </c>
      <c r="M58" s="1"/>
      <c r="N58" s="1">
        <f t="shared" ca="1" si="9"/>
        <v>403</v>
      </c>
      <c r="O58" s="1">
        <f t="shared" ca="1" si="10"/>
        <v>20</v>
      </c>
      <c r="P58" s="1"/>
      <c r="Q58" s="1">
        <f t="shared" ca="1" si="11"/>
        <v>3.7578543887711708</v>
      </c>
      <c r="R58" s="1">
        <f t="shared" ca="1" si="12"/>
        <v>885</v>
      </c>
      <c r="S58" s="1"/>
      <c r="T58" s="1">
        <f t="shared" ca="1" si="13"/>
        <v>0.13608467240212435</v>
      </c>
      <c r="U58" s="1">
        <f t="shared" ca="1" si="14"/>
        <v>345</v>
      </c>
      <c r="V58" s="1">
        <f t="shared" ca="1" si="15"/>
        <v>28</v>
      </c>
      <c r="W58" s="1"/>
      <c r="X58" s="1">
        <f t="shared" ca="1" si="16"/>
        <v>5.7588236420009267</v>
      </c>
      <c r="Y58" s="1">
        <f t="shared" ca="1" si="17"/>
        <v>0.69262786088845496</v>
      </c>
      <c r="Z58" s="1">
        <f t="shared" ca="1" si="18"/>
        <v>1370</v>
      </c>
      <c r="AB58" s="1">
        <f t="shared" ca="1" si="19"/>
        <v>4.4478360797149299E-2</v>
      </c>
      <c r="AC58" s="1">
        <f t="shared" ca="1" si="20"/>
        <v>443</v>
      </c>
      <c r="AD58" s="1">
        <f t="shared" ca="1" si="21"/>
        <v>1.3576680983566599E-3</v>
      </c>
      <c r="AE58" s="1"/>
      <c r="AF58" s="1">
        <f t="shared" ca="1" si="22"/>
        <v>0.15210474393645745</v>
      </c>
      <c r="AG58" s="1">
        <f t="shared" ca="1" si="23"/>
        <v>988</v>
      </c>
      <c r="AH58" s="1">
        <f t="shared" ca="1" si="24"/>
        <v>2.4707765162940063E-3</v>
      </c>
      <c r="AJ58" s="1">
        <f t="shared" ca="1" si="25"/>
        <v>0.22139375687224361</v>
      </c>
      <c r="AK58" s="1">
        <f t="shared" ca="1" si="26"/>
        <v>5.1447554320426109E-3</v>
      </c>
      <c r="AL58" s="1"/>
      <c r="AM58" s="1">
        <f t="shared" ca="1" si="27"/>
        <v>7.9229734464404164E-2</v>
      </c>
      <c r="AN58" s="1">
        <f t="shared" ca="1" si="28"/>
        <v>52</v>
      </c>
      <c r="AO58" s="1">
        <f t="shared" ca="1" si="29"/>
        <v>6</v>
      </c>
      <c r="AQ58" s="1">
        <f t="shared" ca="1" si="30"/>
        <v>39</v>
      </c>
      <c r="AR58" s="1">
        <f t="shared" ca="1" si="31"/>
        <v>2</v>
      </c>
      <c r="AS58" s="1">
        <f t="shared" ca="1" si="32"/>
        <v>56</v>
      </c>
      <c r="AU58" s="1">
        <f t="shared" ca="1" si="33"/>
        <v>53</v>
      </c>
      <c r="AV58" s="1">
        <f t="shared" ca="1" si="34"/>
        <v>10</v>
      </c>
      <c r="AW58" s="1">
        <f t="shared" ca="1" si="35"/>
        <v>1.1430399505972841E-2</v>
      </c>
      <c r="AY58" s="1">
        <f t="shared" ca="1" si="36"/>
        <v>1.1757000187469524</v>
      </c>
      <c r="AZ58" s="1">
        <f t="shared" ca="1" si="37"/>
        <v>306</v>
      </c>
      <c r="BA58" s="1">
        <f t="shared" ca="1" si="38"/>
        <v>3.668510136880518E-3</v>
      </c>
      <c r="BV58" s="1">
        <f t="shared" ca="1" si="39"/>
        <v>0.2594638028685799</v>
      </c>
      <c r="BW58" s="1">
        <f t="shared" ca="1" si="40"/>
        <v>670</v>
      </c>
      <c r="BX58" s="1">
        <f t="shared" ca="1" si="41"/>
        <v>4.5040511546918785E-3</v>
      </c>
      <c r="BY58" s="1">
        <f t="shared" ca="1" si="42"/>
        <v>3.6636200662065056E-2</v>
      </c>
      <c r="BZ58" s="1">
        <f t="shared" ca="1" si="43"/>
        <v>7.4340349460626953E-2</v>
      </c>
      <c r="CB58" s="1">
        <f t="shared" ca="1" si="44"/>
        <v>437</v>
      </c>
      <c r="CC58" s="1">
        <f t="shared" ca="1" si="45"/>
        <v>8</v>
      </c>
      <c r="CD58" s="1">
        <f t="shared" ca="1" si="46"/>
        <v>0.1899291550202864</v>
      </c>
      <c r="CE58" s="1">
        <f t="shared" ca="1" si="53"/>
        <v>0.85543571471624436</v>
      </c>
      <c r="CF58" s="1">
        <f t="shared" ca="1" si="53"/>
        <v>0.98790823231428893</v>
      </c>
      <c r="CH58" s="7">
        <f t="shared" ca="1" si="48"/>
        <v>0.23295316345302666</v>
      </c>
      <c r="CI58" s="7">
        <f t="shared" ca="1" si="49"/>
        <v>0.55040884149978109</v>
      </c>
      <c r="CJ58" s="7">
        <f t="shared" ca="1" si="50"/>
        <v>108</v>
      </c>
      <c r="CK58" s="7">
        <f t="shared" ca="1" si="51"/>
        <v>4.9346078134964262E-3</v>
      </c>
      <c r="CL58" s="7">
        <f t="shared" ca="1" si="52"/>
        <v>0</v>
      </c>
    </row>
    <row r="59" spans="2:90" x14ac:dyDescent="0.25">
      <c r="B59">
        <f t="shared" ca="1" si="0"/>
        <v>44</v>
      </c>
      <c r="C59">
        <f t="shared" ca="1" si="1"/>
        <v>4</v>
      </c>
      <c r="D59">
        <f t="shared" ca="1" si="2"/>
        <v>2.4507237234262014E-2</v>
      </c>
      <c r="F59" s="1">
        <f t="shared" ca="1" si="3"/>
        <v>18</v>
      </c>
      <c r="G59" s="1">
        <f t="shared" ca="1" si="4"/>
        <v>13</v>
      </c>
      <c r="H59" s="1">
        <f t="shared" ca="1" si="5"/>
        <v>4</v>
      </c>
      <c r="I59" s="1"/>
      <c r="J59" s="1">
        <f t="shared" ca="1" si="6"/>
        <v>2</v>
      </c>
      <c r="K59" s="1">
        <f t="shared" ca="1" si="7"/>
        <v>2.4710643407946895</v>
      </c>
      <c r="L59" s="1">
        <f t="shared" ca="1" si="8"/>
        <v>21</v>
      </c>
      <c r="M59" s="1"/>
      <c r="N59" s="1">
        <f t="shared" ca="1" si="9"/>
        <v>266</v>
      </c>
      <c r="O59" s="1">
        <f t="shared" ca="1" si="10"/>
        <v>51</v>
      </c>
      <c r="P59" s="1"/>
      <c r="Q59" s="1">
        <f t="shared" ca="1" si="11"/>
        <v>2.852192061480499</v>
      </c>
      <c r="R59" s="1">
        <f t="shared" ca="1" si="12"/>
        <v>703</v>
      </c>
      <c r="S59" s="1"/>
      <c r="T59" s="1">
        <f t="shared" ca="1" si="13"/>
        <v>9.6041221254717951E-2</v>
      </c>
      <c r="U59" s="1">
        <f t="shared" ca="1" si="14"/>
        <v>352</v>
      </c>
      <c r="V59" s="1">
        <f t="shared" ca="1" si="15"/>
        <v>47</v>
      </c>
      <c r="W59" s="1"/>
      <c r="X59" s="1">
        <f t="shared" ca="1" si="16"/>
        <v>6.5526222170129795</v>
      </c>
      <c r="Y59" s="1">
        <f t="shared" ca="1" si="17"/>
        <v>0.55279467423653428</v>
      </c>
      <c r="Z59" s="1">
        <f t="shared" ca="1" si="18"/>
        <v>1012</v>
      </c>
      <c r="AB59" s="1">
        <f t="shared" ca="1" si="19"/>
        <v>0.71782679776182312</v>
      </c>
      <c r="AC59" s="1">
        <f t="shared" ca="1" si="20"/>
        <v>669</v>
      </c>
      <c r="AD59" s="1">
        <f t="shared" ca="1" si="21"/>
        <v>8.8832165816282536E-3</v>
      </c>
      <c r="AE59" s="1"/>
      <c r="AF59" s="1">
        <f t="shared" ca="1" si="22"/>
        <v>0.66726222489197418</v>
      </c>
      <c r="AG59" s="1">
        <f t="shared" ca="1" si="23"/>
        <v>496</v>
      </c>
      <c r="AH59" s="1">
        <f t="shared" ca="1" si="24"/>
        <v>1.6493544738747901E-3</v>
      </c>
      <c r="AJ59" s="1">
        <f t="shared" ca="1" si="25"/>
        <v>0.43387904136175459</v>
      </c>
      <c r="AK59" s="1">
        <f t="shared" ca="1" si="26"/>
        <v>9.0215594311098442E-3</v>
      </c>
      <c r="AL59" s="1"/>
      <c r="AM59" s="1">
        <f t="shared" ca="1" si="27"/>
        <v>0.1640516297797803</v>
      </c>
      <c r="AN59" s="1">
        <f t="shared" ca="1" si="28"/>
        <v>73</v>
      </c>
      <c r="AO59" s="1">
        <f t="shared" ca="1" si="29"/>
        <v>19</v>
      </c>
      <c r="AQ59" s="1">
        <f t="shared" ca="1" si="30"/>
        <v>18</v>
      </c>
      <c r="AR59" s="1">
        <f t="shared" ca="1" si="31"/>
        <v>10</v>
      </c>
      <c r="AS59" s="1">
        <f t="shared" ca="1" si="32"/>
        <v>55</v>
      </c>
      <c r="AU59" s="1">
        <f t="shared" ca="1" si="33"/>
        <v>246</v>
      </c>
      <c r="AV59" s="1">
        <f t="shared" ca="1" si="34"/>
        <v>7</v>
      </c>
      <c r="AW59" s="1">
        <f t="shared" ca="1" si="35"/>
        <v>0.16044475272987974</v>
      </c>
      <c r="AY59" s="1">
        <f t="shared" ca="1" si="36"/>
        <v>1.5567937851720386</v>
      </c>
      <c r="AZ59" s="1">
        <f t="shared" ca="1" si="37"/>
        <v>149</v>
      </c>
      <c r="BA59" s="1">
        <f t="shared" ca="1" si="38"/>
        <v>4.2709210063687813E-5</v>
      </c>
      <c r="BV59" s="1">
        <f t="shared" ca="1" si="39"/>
        <v>0.7186749536439444</v>
      </c>
      <c r="BW59" s="1">
        <f t="shared" ca="1" si="40"/>
        <v>648</v>
      </c>
      <c r="BX59" s="1">
        <f t="shared" ca="1" si="41"/>
        <v>3.1524940040788306E-3</v>
      </c>
      <c r="BY59" s="1">
        <f t="shared" ca="1" si="42"/>
        <v>8.3713096061108078E-3</v>
      </c>
      <c r="BZ59" s="1">
        <f t="shared" ca="1" si="43"/>
        <v>7.7401384454685918E-2</v>
      </c>
      <c r="CB59" s="1">
        <f t="shared" ca="1" si="44"/>
        <v>456</v>
      </c>
      <c r="CC59" s="1">
        <f t="shared" ca="1" si="45"/>
        <v>15</v>
      </c>
      <c r="CD59" s="1">
        <f t="shared" ca="1" si="46"/>
        <v>5.0220304163493393E-2</v>
      </c>
      <c r="CE59" s="1">
        <f t="shared" ca="1" si="53"/>
        <v>0.52581756480110964</v>
      </c>
      <c r="CF59" s="1">
        <f t="shared" ca="1" si="53"/>
        <v>0.61597888839300707</v>
      </c>
      <c r="CH59" s="7">
        <f t="shared" ca="1" si="48"/>
        <v>0.8689232672442635</v>
      </c>
      <c r="CI59" s="7">
        <f t="shared" ca="1" si="49"/>
        <v>0.44044738426517571</v>
      </c>
      <c r="CJ59" s="7">
        <f t="shared" ca="1" si="50"/>
        <v>909</v>
      </c>
      <c r="CK59" s="7">
        <f t="shared" ca="1" si="51"/>
        <v>1.6321067223697863E-3</v>
      </c>
      <c r="CL59" s="7">
        <f t="shared" ca="1" si="52"/>
        <v>0</v>
      </c>
    </row>
    <row r="60" spans="2:90" x14ac:dyDescent="0.25">
      <c r="B60">
        <f t="shared" ca="1" si="0"/>
        <v>115</v>
      </c>
      <c r="C60">
        <f t="shared" ca="1" si="1"/>
        <v>5</v>
      </c>
      <c r="D60">
        <f t="shared" ca="1" si="2"/>
        <v>0.15829268767445151</v>
      </c>
      <c r="F60" s="1">
        <f t="shared" ca="1" si="3"/>
        <v>19</v>
      </c>
      <c r="G60" s="1">
        <f t="shared" ca="1" si="4"/>
        <v>9</v>
      </c>
      <c r="H60" s="1">
        <f t="shared" ca="1" si="5"/>
        <v>3</v>
      </c>
      <c r="I60" s="1"/>
      <c r="J60" s="1">
        <f t="shared" ca="1" si="6"/>
        <v>1</v>
      </c>
      <c r="K60" s="1">
        <f t="shared" ca="1" si="7"/>
        <v>1.0917290816063239</v>
      </c>
      <c r="L60" s="1">
        <f t="shared" ca="1" si="8"/>
        <v>7</v>
      </c>
      <c r="M60" s="1"/>
      <c r="N60" s="1">
        <f t="shared" ca="1" si="9"/>
        <v>980</v>
      </c>
      <c r="O60" s="1">
        <f t="shared" ca="1" si="10"/>
        <v>3</v>
      </c>
      <c r="P60" s="1"/>
      <c r="Q60" s="1">
        <f t="shared" ca="1" si="11"/>
        <v>1.9589668261180022</v>
      </c>
      <c r="R60" s="1">
        <f t="shared" ca="1" si="12"/>
        <v>785</v>
      </c>
      <c r="S60" s="1"/>
      <c r="T60" s="1">
        <f t="shared" ca="1" si="13"/>
        <v>0.13759525994435445</v>
      </c>
      <c r="U60" s="1">
        <f t="shared" ca="1" si="14"/>
        <v>323</v>
      </c>
      <c r="V60" s="1">
        <f t="shared" ca="1" si="15"/>
        <v>48</v>
      </c>
      <c r="W60" s="1"/>
      <c r="X60" s="1">
        <f t="shared" ca="1" si="16"/>
        <v>2.1807860466750051</v>
      </c>
      <c r="Y60" s="1">
        <f t="shared" ca="1" si="17"/>
        <v>0.97288096218964437</v>
      </c>
      <c r="Z60" s="1">
        <f t="shared" ca="1" si="18"/>
        <v>1240</v>
      </c>
      <c r="AB60" s="1">
        <f t="shared" ca="1" si="19"/>
        <v>0.26699486298696889</v>
      </c>
      <c r="AC60" s="1">
        <f t="shared" ca="1" si="20"/>
        <v>984</v>
      </c>
      <c r="AD60" s="1">
        <f t="shared" ca="1" si="21"/>
        <v>7.2216552937380152E-3</v>
      </c>
      <c r="AE60" s="1"/>
      <c r="AF60" s="1">
        <f t="shared" ca="1" si="22"/>
        <v>0.63689773075604561</v>
      </c>
      <c r="AG60" s="1">
        <f t="shared" ca="1" si="23"/>
        <v>363</v>
      </c>
      <c r="AH60" s="1">
        <f t="shared" ca="1" si="24"/>
        <v>9.8217264985693345E-3</v>
      </c>
      <c r="AJ60" s="1">
        <f t="shared" ca="1" si="25"/>
        <v>0.35992430374845252</v>
      </c>
      <c r="AK60" s="1">
        <f t="shared" ca="1" si="26"/>
        <v>2.951322461924883E-3</v>
      </c>
      <c r="AL60" s="1"/>
      <c r="AM60" s="1">
        <f t="shared" ca="1" si="27"/>
        <v>6.1984092495150744E-2</v>
      </c>
      <c r="AN60" s="1">
        <f t="shared" ca="1" si="28"/>
        <v>52</v>
      </c>
      <c r="AO60" s="1">
        <f t="shared" ca="1" si="29"/>
        <v>13</v>
      </c>
      <c r="AQ60" s="1">
        <f t="shared" ca="1" si="30"/>
        <v>46</v>
      </c>
      <c r="AR60" s="1">
        <f t="shared" ca="1" si="31"/>
        <v>2</v>
      </c>
      <c r="AS60" s="1">
        <f t="shared" ca="1" si="32"/>
        <v>43</v>
      </c>
      <c r="AU60" s="1">
        <f t="shared" ca="1" si="33"/>
        <v>383</v>
      </c>
      <c r="AV60" s="1">
        <f t="shared" ca="1" si="34"/>
        <v>3</v>
      </c>
      <c r="AW60" s="1">
        <f t="shared" ca="1" si="35"/>
        <v>0.15271929553091917</v>
      </c>
      <c r="AY60" s="1">
        <f t="shared" ca="1" si="36"/>
        <v>1.5821327354139063</v>
      </c>
      <c r="AZ60" s="1">
        <f t="shared" ca="1" si="37"/>
        <v>342</v>
      </c>
      <c r="BA60" s="1">
        <f t="shared" ca="1" si="38"/>
        <v>3.3036400287838634E-3</v>
      </c>
      <c r="BV60" s="1">
        <f t="shared" ca="1" si="39"/>
        <v>0.4198316065437791</v>
      </c>
      <c r="BW60" s="1">
        <f t="shared" ca="1" si="40"/>
        <v>692</v>
      </c>
      <c r="BX60" s="1">
        <f t="shared" ca="1" si="41"/>
        <v>7.8152180907754068E-3</v>
      </c>
      <c r="BY60" s="1">
        <f t="shared" ca="1" si="42"/>
        <v>1.8849227304071972E-2</v>
      </c>
      <c r="BZ60" s="1">
        <f t="shared" ca="1" si="43"/>
        <v>0.3541397263756686</v>
      </c>
      <c r="CB60" s="1">
        <f t="shared" ca="1" si="44"/>
        <v>150</v>
      </c>
      <c r="CC60" s="1">
        <f t="shared" ca="1" si="45"/>
        <v>11</v>
      </c>
      <c r="CD60" s="1">
        <f t="shared" ca="1" si="46"/>
        <v>0.23336649293798017</v>
      </c>
      <c r="CE60" s="1">
        <f t="shared" ca="1" si="53"/>
        <v>0.77880323032119869</v>
      </c>
      <c r="CF60" s="1">
        <f t="shared" ca="1" si="53"/>
        <v>0.91049006885470263</v>
      </c>
      <c r="CH60" s="7">
        <f t="shared" ca="1" si="48"/>
        <v>0.45304392257522447</v>
      </c>
      <c r="CI60" s="7">
        <f t="shared" ca="1" si="49"/>
        <v>0.57210711409431514</v>
      </c>
      <c r="CJ60" s="7">
        <f t="shared" ca="1" si="50"/>
        <v>1225</v>
      </c>
      <c r="CK60" s="7">
        <f t="shared" ca="1" si="51"/>
        <v>3.5653998688904734E-3</v>
      </c>
      <c r="CL60" s="7">
        <f t="shared" ca="1" si="52"/>
        <v>1</v>
      </c>
    </row>
    <row r="61" spans="2:90" x14ac:dyDescent="0.25">
      <c r="B61">
        <f t="shared" ca="1" si="0"/>
        <v>507</v>
      </c>
      <c r="C61">
        <f t="shared" ca="1" si="1"/>
        <v>20</v>
      </c>
      <c r="D61">
        <f t="shared" ca="1" si="2"/>
        <v>0.17372854698320686</v>
      </c>
      <c r="F61" s="1">
        <f t="shared" ca="1" si="3"/>
        <v>32</v>
      </c>
      <c r="G61" s="1">
        <f t="shared" ca="1" si="4"/>
        <v>30</v>
      </c>
      <c r="H61" s="1">
        <f t="shared" ca="1" si="5"/>
        <v>8</v>
      </c>
      <c r="I61" s="1"/>
      <c r="J61" s="1">
        <f t="shared" ca="1" si="6"/>
        <v>21</v>
      </c>
      <c r="K61" s="1">
        <f t="shared" ca="1" si="7"/>
        <v>2.8468096155625719</v>
      </c>
      <c r="L61" s="1">
        <f t="shared" ca="1" si="8"/>
        <v>8</v>
      </c>
      <c r="M61" s="1"/>
      <c r="N61" s="1">
        <f t="shared" ca="1" si="9"/>
        <v>660</v>
      </c>
      <c r="O61" s="1">
        <f t="shared" ca="1" si="10"/>
        <v>34</v>
      </c>
      <c r="P61" s="1"/>
      <c r="Q61" s="1">
        <f t="shared" ca="1" si="11"/>
        <v>2.5625727212876246</v>
      </c>
      <c r="R61" s="1">
        <f t="shared" ca="1" si="12"/>
        <v>947</v>
      </c>
      <c r="S61" s="1"/>
      <c r="T61" s="1">
        <f t="shared" ca="1" si="13"/>
        <v>0.19168533206520116</v>
      </c>
      <c r="U61" s="1">
        <f t="shared" ca="1" si="14"/>
        <v>291</v>
      </c>
      <c r="V61" s="1">
        <f t="shared" ca="1" si="15"/>
        <v>7</v>
      </c>
      <c r="W61" s="1"/>
      <c r="X61" s="1">
        <f t="shared" ca="1" si="16"/>
        <v>4.4113787950217214</v>
      </c>
      <c r="Y61" s="1">
        <f t="shared" ca="1" si="17"/>
        <v>0.45196913977839764</v>
      </c>
      <c r="Z61" s="1">
        <f t="shared" ca="1" si="18"/>
        <v>1083</v>
      </c>
      <c r="AB61" s="1">
        <f t="shared" ca="1" si="19"/>
        <v>0.94132574309465544</v>
      </c>
      <c r="AC61" s="1">
        <f t="shared" ca="1" si="20"/>
        <v>782</v>
      </c>
      <c r="AD61" s="1">
        <f t="shared" ca="1" si="21"/>
        <v>2.8480397927135176E-4</v>
      </c>
      <c r="AE61" s="1"/>
      <c r="AF61" s="1">
        <f t="shared" ca="1" si="22"/>
        <v>0.50780351356627584</v>
      </c>
      <c r="AG61" s="1">
        <f t="shared" ca="1" si="23"/>
        <v>630</v>
      </c>
      <c r="AH61" s="1">
        <f t="shared" ca="1" si="24"/>
        <v>4.9643547119658177E-3</v>
      </c>
      <c r="AJ61" s="1">
        <f t="shared" ca="1" si="25"/>
        <v>0.90498371652156717</v>
      </c>
      <c r="AK61" s="1">
        <f t="shared" ca="1" si="26"/>
        <v>4.5920328529561946E-3</v>
      </c>
      <c r="AL61" s="1"/>
      <c r="AM61" s="1">
        <f t="shared" ca="1" si="27"/>
        <v>5.5912542190943784E-2</v>
      </c>
      <c r="AN61" s="1">
        <f t="shared" ca="1" si="28"/>
        <v>77</v>
      </c>
      <c r="AO61" s="1">
        <f t="shared" ca="1" si="29"/>
        <v>6</v>
      </c>
      <c r="AQ61" s="1">
        <f t="shared" ca="1" si="30"/>
        <v>110</v>
      </c>
      <c r="AR61" s="1">
        <f t="shared" ca="1" si="31"/>
        <v>5</v>
      </c>
      <c r="AS61" s="1">
        <f t="shared" ca="1" si="32"/>
        <v>51</v>
      </c>
      <c r="AU61" s="1">
        <f t="shared" ca="1" si="33"/>
        <v>302</v>
      </c>
      <c r="AV61" s="1">
        <f t="shared" ca="1" si="34"/>
        <v>3</v>
      </c>
      <c r="AW61" s="1">
        <f t="shared" ca="1" si="35"/>
        <v>0.17736017845444005</v>
      </c>
      <c r="AY61" s="1">
        <f t="shared" ca="1" si="36"/>
        <v>1.9102931197285113</v>
      </c>
      <c r="AZ61" s="1">
        <f t="shared" ca="1" si="37"/>
        <v>354</v>
      </c>
      <c r="BA61" s="1">
        <f t="shared" ca="1" si="38"/>
        <v>4.9151053328164258E-3</v>
      </c>
      <c r="BV61" s="1">
        <f t="shared" ca="1" si="39"/>
        <v>0.6053816963527755</v>
      </c>
      <c r="BW61" s="1">
        <f t="shared" ca="1" si="40"/>
        <v>935</v>
      </c>
      <c r="BX61" s="1">
        <f t="shared" ca="1" si="41"/>
        <v>3.4467273235300726E-3</v>
      </c>
      <c r="BY61" s="1">
        <f t="shared" ca="1" si="42"/>
        <v>9.5592037243145994E-2</v>
      </c>
      <c r="BZ61" s="1">
        <f t="shared" ca="1" si="43"/>
        <v>0.35459669694971319</v>
      </c>
      <c r="CB61" s="1">
        <f t="shared" ca="1" si="44"/>
        <v>340</v>
      </c>
      <c r="CC61" s="1">
        <f t="shared" ca="1" si="45"/>
        <v>14</v>
      </c>
      <c r="CD61" s="1">
        <f t="shared" ca="1" si="46"/>
        <v>0.29669902348511873</v>
      </c>
      <c r="CE61" s="1">
        <f t="shared" ca="1" si="53"/>
        <v>0.90189233938966629</v>
      </c>
      <c r="CF61" s="1">
        <f t="shared" ca="1" si="53"/>
        <v>0.74885183407588563</v>
      </c>
      <c r="CH61" s="7">
        <f t="shared" ca="1" si="48"/>
        <v>0.42456828838510846</v>
      </c>
      <c r="CI61" s="7">
        <f t="shared" ca="1" si="49"/>
        <v>5.529372458995363E-2</v>
      </c>
      <c r="CJ61" s="7">
        <f t="shared" ca="1" si="50"/>
        <v>472</v>
      </c>
      <c r="CK61" s="7">
        <f t="shared" ca="1" si="51"/>
        <v>4.0619753026521332E-3</v>
      </c>
      <c r="CL61" s="7">
        <f t="shared" ca="1" si="52"/>
        <v>0</v>
      </c>
    </row>
    <row r="62" spans="2:90" x14ac:dyDescent="0.25">
      <c r="B62">
        <f t="shared" ca="1" si="0"/>
        <v>468</v>
      </c>
      <c r="C62">
        <f t="shared" ca="1" si="1"/>
        <v>30</v>
      </c>
      <c r="D62">
        <f t="shared" ca="1" si="2"/>
        <v>9.0547263622818994E-2</v>
      </c>
      <c r="F62" s="1">
        <f t="shared" ca="1" si="3"/>
        <v>12</v>
      </c>
      <c r="G62" s="1">
        <f t="shared" ca="1" si="4"/>
        <v>8</v>
      </c>
      <c r="H62" s="1">
        <f t="shared" ca="1" si="5"/>
        <v>7</v>
      </c>
      <c r="I62" s="1"/>
      <c r="J62" s="1">
        <f t="shared" ca="1" si="6"/>
        <v>17</v>
      </c>
      <c r="K62" s="1">
        <f t="shared" ca="1" si="7"/>
        <v>2.8019335071521532</v>
      </c>
      <c r="L62" s="1">
        <f t="shared" ca="1" si="8"/>
        <v>28</v>
      </c>
      <c r="M62" s="1"/>
      <c r="N62" s="1">
        <f t="shared" ca="1" si="9"/>
        <v>751</v>
      </c>
      <c r="O62" s="1">
        <f t="shared" ca="1" si="10"/>
        <v>41</v>
      </c>
      <c r="P62" s="1"/>
      <c r="Q62" s="1">
        <f t="shared" ca="1" si="11"/>
        <v>1.6268562474447281</v>
      </c>
      <c r="R62" s="1">
        <f t="shared" ca="1" si="12"/>
        <v>299</v>
      </c>
      <c r="S62" s="1"/>
      <c r="T62" s="1">
        <f t="shared" ca="1" si="13"/>
        <v>0.16735946892927253</v>
      </c>
      <c r="U62" s="1">
        <f t="shared" ca="1" si="14"/>
        <v>71</v>
      </c>
      <c r="V62" s="1">
        <f t="shared" ca="1" si="15"/>
        <v>2</v>
      </c>
      <c r="W62" s="1"/>
      <c r="X62" s="1">
        <f t="shared" ca="1" si="16"/>
        <v>4.7732558056177508E-2</v>
      </c>
      <c r="Y62" s="1">
        <f t="shared" ca="1" si="17"/>
        <v>0.16217941608796477</v>
      </c>
      <c r="Z62" s="1">
        <f t="shared" ca="1" si="18"/>
        <v>1558</v>
      </c>
      <c r="AB62" s="1">
        <f t="shared" ca="1" si="19"/>
        <v>0.81570363243568689</v>
      </c>
      <c r="AC62" s="1">
        <f t="shared" ca="1" si="20"/>
        <v>502</v>
      </c>
      <c r="AD62" s="1">
        <f t="shared" ca="1" si="21"/>
        <v>9.6416475411764888E-3</v>
      </c>
      <c r="AE62" s="1"/>
      <c r="AF62" s="1">
        <f t="shared" ca="1" si="22"/>
        <v>0.51431831097564407</v>
      </c>
      <c r="AG62" s="1">
        <f t="shared" ca="1" si="23"/>
        <v>770</v>
      </c>
      <c r="AH62" s="1">
        <f t="shared" ca="1" si="24"/>
        <v>7.1365103751928399E-3</v>
      </c>
      <c r="AJ62" s="1">
        <f t="shared" ca="1" si="25"/>
        <v>0.11766490493778614</v>
      </c>
      <c r="AK62" s="1">
        <f t="shared" ca="1" si="26"/>
        <v>6.5778071072418211E-3</v>
      </c>
      <c r="AL62" s="1"/>
      <c r="AM62" s="1">
        <f t="shared" ca="1" si="27"/>
        <v>8.0815089144367927E-2</v>
      </c>
      <c r="AN62" s="1">
        <f t="shared" ca="1" si="28"/>
        <v>73</v>
      </c>
      <c r="AO62" s="1">
        <f t="shared" ca="1" si="29"/>
        <v>19</v>
      </c>
      <c r="AQ62" s="1">
        <f t="shared" ca="1" si="30"/>
        <v>92</v>
      </c>
      <c r="AR62" s="1">
        <f t="shared" ca="1" si="31"/>
        <v>1</v>
      </c>
      <c r="AS62" s="1">
        <f t="shared" ca="1" si="32"/>
        <v>84</v>
      </c>
      <c r="AU62" s="1">
        <f t="shared" ca="1" si="33"/>
        <v>286</v>
      </c>
      <c r="AV62" s="1">
        <f t="shared" ca="1" si="34"/>
        <v>4</v>
      </c>
      <c r="AW62" s="1">
        <f t="shared" ca="1" si="35"/>
        <v>8.2942914233940235E-2</v>
      </c>
      <c r="AY62" s="1">
        <f t="shared" ca="1" si="36"/>
        <v>1.4297642292863384</v>
      </c>
      <c r="AZ62" s="1">
        <f t="shared" ca="1" si="37"/>
        <v>481</v>
      </c>
      <c r="BA62" s="1">
        <f t="shared" ca="1" si="38"/>
        <v>1.5196363165208763E-3</v>
      </c>
      <c r="BV62" s="1">
        <f t="shared" ca="1" si="39"/>
        <v>0.46020785764130956</v>
      </c>
      <c r="BW62" s="1">
        <f t="shared" ca="1" si="40"/>
        <v>348</v>
      </c>
      <c r="BX62" s="1">
        <f t="shared" ca="1" si="41"/>
        <v>9.163138071646872E-3</v>
      </c>
      <c r="BY62" s="1">
        <f t="shared" ca="1" si="42"/>
        <v>3.759511224777537E-2</v>
      </c>
      <c r="BZ62" s="1">
        <f t="shared" ca="1" si="43"/>
        <v>4.8843299733890344E-2</v>
      </c>
      <c r="CB62" s="1">
        <f t="shared" ca="1" si="44"/>
        <v>244</v>
      </c>
      <c r="CC62" s="1">
        <f t="shared" ca="1" si="45"/>
        <v>15</v>
      </c>
      <c r="CD62" s="1">
        <f t="shared" ca="1" si="46"/>
        <v>0.21718111585876113</v>
      </c>
      <c r="CE62" s="1">
        <f t="shared" ca="1" si="53"/>
        <v>0.85406287809922554</v>
      </c>
      <c r="CF62" s="1">
        <f t="shared" ca="1" si="53"/>
        <v>0.91438559284170084</v>
      </c>
      <c r="CH62" s="7">
        <f t="shared" ca="1" si="48"/>
        <v>0.37594864920235921</v>
      </c>
      <c r="CI62" s="7">
        <f t="shared" ca="1" si="49"/>
        <v>0.316777748747747</v>
      </c>
      <c r="CJ62" s="7">
        <f t="shared" ca="1" si="50"/>
        <v>470</v>
      </c>
      <c r="CK62" s="7">
        <f t="shared" ca="1" si="51"/>
        <v>3.8907704095341674E-3</v>
      </c>
      <c r="CL62" s="7">
        <f t="shared" ca="1" si="52"/>
        <v>0</v>
      </c>
    </row>
    <row r="63" spans="2:90" x14ac:dyDescent="0.25">
      <c r="B63">
        <f t="shared" ca="1" si="0"/>
        <v>358</v>
      </c>
      <c r="C63">
        <f t="shared" ca="1" si="1"/>
        <v>17</v>
      </c>
      <c r="D63">
        <f t="shared" ca="1" si="2"/>
        <v>0.2330627541973207</v>
      </c>
      <c r="F63" s="1">
        <f t="shared" ca="1" si="3"/>
        <v>38</v>
      </c>
      <c r="G63" s="1">
        <f t="shared" ca="1" si="4"/>
        <v>12</v>
      </c>
      <c r="H63" s="1">
        <f t="shared" ca="1" si="5"/>
        <v>8</v>
      </c>
      <c r="I63" s="1"/>
      <c r="J63" s="1">
        <f t="shared" ca="1" si="6"/>
        <v>36</v>
      </c>
      <c r="K63" s="1">
        <f t="shared" ca="1" si="7"/>
        <v>1.2043781066501462</v>
      </c>
      <c r="L63" s="1">
        <f t="shared" ca="1" si="8"/>
        <v>23</v>
      </c>
      <c r="M63" s="1"/>
      <c r="N63" s="1">
        <f t="shared" ca="1" si="9"/>
        <v>354</v>
      </c>
      <c r="O63" s="1">
        <f t="shared" ca="1" si="10"/>
        <v>14</v>
      </c>
      <c r="P63" s="1"/>
      <c r="Q63" s="1">
        <f t="shared" ca="1" si="11"/>
        <v>2.0748093720022536</v>
      </c>
      <c r="R63" s="1">
        <f t="shared" ca="1" si="12"/>
        <v>1177</v>
      </c>
      <c r="S63" s="1"/>
      <c r="T63" s="1">
        <f t="shared" ca="1" si="13"/>
        <v>5.3848998570828269E-2</v>
      </c>
      <c r="U63" s="1">
        <f t="shared" ca="1" si="14"/>
        <v>404</v>
      </c>
      <c r="V63" s="1">
        <f t="shared" ca="1" si="15"/>
        <v>7</v>
      </c>
      <c r="W63" s="1"/>
      <c r="X63" s="1">
        <f t="shared" ca="1" si="16"/>
        <v>7.6890132369020341</v>
      </c>
      <c r="Y63" s="1">
        <f t="shared" ca="1" si="17"/>
        <v>0.8889703656331468</v>
      </c>
      <c r="Z63" s="1">
        <f t="shared" ca="1" si="18"/>
        <v>1269</v>
      </c>
      <c r="AB63" s="1">
        <f t="shared" ca="1" si="19"/>
        <v>0.88133739026945257</v>
      </c>
      <c r="AC63" s="1">
        <f t="shared" ca="1" si="20"/>
        <v>332</v>
      </c>
      <c r="AD63" s="1">
        <f t="shared" ca="1" si="21"/>
        <v>5.0706405359822113E-3</v>
      </c>
      <c r="AE63" s="1"/>
      <c r="AF63" s="1">
        <f t="shared" ca="1" si="22"/>
        <v>0.53253362129662107</v>
      </c>
      <c r="AG63" s="1">
        <f t="shared" ca="1" si="23"/>
        <v>673</v>
      </c>
      <c r="AH63" s="1">
        <f t="shared" ca="1" si="24"/>
        <v>2.39110574810737E-3</v>
      </c>
      <c r="AJ63" s="1">
        <f t="shared" ca="1" si="25"/>
        <v>0.5949515924742208</v>
      </c>
      <c r="AK63" s="1">
        <f t="shared" ca="1" si="26"/>
        <v>5.3854784123037727E-3</v>
      </c>
      <c r="AL63" s="1"/>
      <c r="AM63" s="1">
        <f t="shared" ca="1" si="27"/>
        <v>0.19884808635468346</v>
      </c>
      <c r="AN63" s="1">
        <f t="shared" ca="1" si="28"/>
        <v>28</v>
      </c>
      <c r="AO63" s="1">
        <f t="shared" ca="1" si="29"/>
        <v>0</v>
      </c>
      <c r="AQ63" s="1">
        <f t="shared" ca="1" si="30"/>
        <v>94</v>
      </c>
      <c r="AR63" s="1">
        <f t="shared" ca="1" si="31"/>
        <v>2</v>
      </c>
      <c r="AS63" s="1">
        <f t="shared" ca="1" si="32"/>
        <v>27</v>
      </c>
      <c r="AU63" s="1">
        <f t="shared" ca="1" si="33"/>
        <v>260</v>
      </c>
      <c r="AV63" s="1">
        <f t="shared" ca="1" si="34"/>
        <v>7</v>
      </c>
      <c r="AW63" s="1">
        <f t="shared" ca="1" si="35"/>
        <v>8.8357331237034695E-2</v>
      </c>
      <c r="AY63" s="1">
        <f t="shared" ca="1" si="36"/>
        <v>1.2458571757370769</v>
      </c>
      <c r="AZ63" s="1">
        <f t="shared" ca="1" si="37"/>
        <v>137</v>
      </c>
      <c r="BA63" s="1">
        <f t="shared" ca="1" si="38"/>
        <v>8.9728898813308134E-3</v>
      </c>
      <c r="BV63" s="1">
        <f t="shared" ca="1" si="39"/>
        <v>0.96193836299028779</v>
      </c>
      <c r="BW63" s="1">
        <f t="shared" ca="1" si="40"/>
        <v>605</v>
      </c>
      <c r="BX63" s="1">
        <f t="shared" ca="1" si="41"/>
        <v>6.6209223851596277E-3</v>
      </c>
      <c r="BY63" s="1">
        <f t="shared" ca="1" si="42"/>
        <v>4.0829257905591269E-2</v>
      </c>
      <c r="BZ63" s="1">
        <f t="shared" ca="1" si="43"/>
        <v>0.39667054921654288</v>
      </c>
      <c r="CB63" s="1">
        <f t="shared" ca="1" si="44"/>
        <v>230</v>
      </c>
      <c r="CC63" s="1">
        <f t="shared" ca="1" si="45"/>
        <v>15</v>
      </c>
      <c r="CD63" s="1">
        <f t="shared" ca="1" si="46"/>
        <v>0.12970468625723086</v>
      </c>
      <c r="CE63" s="1">
        <f t="shared" ca="1" si="53"/>
        <v>0.65644940857626621</v>
      </c>
      <c r="CF63" s="1">
        <f t="shared" ca="1" si="53"/>
        <v>0.76412843788695839</v>
      </c>
      <c r="CH63" s="7">
        <f t="shared" ca="1" si="48"/>
        <v>0.56312230336141933</v>
      </c>
      <c r="CI63" s="7">
        <f t="shared" ca="1" si="49"/>
        <v>0.65518392255668623</v>
      </c>
      <c r="CJ63" s="7">
        <f t="shared" ca="1" si="50"/>
        <v>1790</v>
      </c>
      <c r="CK63" s="7">
        <f t="shared" ca="1" si="51"/>
        <v>8.6584167076346492E-3</v>
      </c>
      <c r="CL63" s="7">
        <f t="shared" ca="1" si="52"/>
        <v>1</v>
      </c>
    </row>
    <row r="64" spans="2:90" x14ac:dyDescent="0.25">
      <c r="B64">
        <f t="shared" ca="1" si="0"/>
        <v>875</v>
      </c>
      <c r="C64">
        <f t="shared" ca="1" si="1"/>
        <v>34</v>
      </c>
      <c r="D64">
        <f t="shared" ca="1" si="2"/>
        <v>0.2995603229181224</v>
      </c>
      <c r="F64" s="1">
        <f t="shared" ca="1" si="3"/>
        <v>27</v>
      </c>
      <c r="G64" s="1">
        <f t="shared" ca="1" si="4"/>
        <v>20</v>
      </c>
      <c r="H64" s="1">
        <f t="shared" ca="1" si="5"/>
        <v>9</v>
      </c>
      <c r="I64" s="1"/>
      <c r="J64" s="1">
        <f t="shared" ca="1" si="6"/>
        <v>33</v>
      </c>
      <c r="K64" s="1">
        <f t="shared" ca="1" si="7"/>
        <v>1.415845501663761</v>
      </c>
      <c r="L64" s="1">
        <f t="shared" ca="1" si="8"/>
        <v>35</v>
      </c>
      <c r="M64" s="1"/>
      <c r="N64" s="1">
        <f t="shared" ca="1" si="9"/>
        <v>925</v>
      </c>
      <c r="O64" s="1">
        <f t="shared" ca="1" si="10"/>
        <v>52</v>
      </c>
      <c r="P64" s="1"/>
      <c r="Q64" s="1">
        <f t="shared" ca="1" si="11"/>
        <v>2.9031306854769454</v>
      </c>
      <c r="R64" s="1">
        <f t="shared" ca="1" si="12"/>
        <v>573</v>
      </c>
      <c r="S64" s="1"/>
      <c r="T64" s="1">
        <f t="shared" ca="1" si="13"/>
        <v>0.11535587357846763</v>
      </c>
      <c r="U64" s="1">
        <f t="shared" ca="1" si="14"/>
        <v>301</v>
      </c>
      <c r="V64" s="1">
        <f t="shared" ca="1" si="15"/>
        <v>28</v>
      </c>
      <c r="W64" s="1"/>
      <c r="X64" s="1">
        <f t="shared" ca="1" si="16"/>
        <v>5.5724417877067411</v>
      </c>
      <c r="Y64" s="1">
        <f t="shared" ca="1" si="17"/>
        <v>0.75466682413076425</v>
      </c>
      <c r="Z64" s="1">
        <f t="shared" ca="1" si="18"/>
        <v>1360</v>
      </c>
      <c r="AB64" s="1">
        <f t="shared" ca="1" si="19"/>
        <v>0.90624975816927733</v>
      </c>
      <c r="AC64" s="1">
        <f t="shared" ca="1" si="20"/>
        <v>792</v>
      </c>
      <c r="AD64" s="1">
        <f t="shared" ca="1" si="21"/>
        <v>2.0089516327276641E-4</v>
      </c>
      <c r="AE64" s="1"/>
      <c r="AF64" s="1">
        <f t="shared" ca="1" si="22"/>
        <v>0.74900595957364302</v>
      </c>
      <c r="AG64" s="1">
        <f t="shared" ca="1" si="23"/>
        <v>667</v>
      </c>
      <c r="AH64" s="1">
        <f t="shared" ca="1" si="24"/>
        <v>2.5897270098780442E-4</v>
      </c>
      <c r="AJ64" s="1">
        <f t="shared" ca="1" si="25"/>
        <v>0.97174423119850328</v>
      </c>
      <c r="AK64" s="1">
        <f t="shared" ca="1" si="26"/>
        <v>8.6684040234203067E-5</v>
      </c>
      <c r="AL64" s="1"/>
      <c r="AM64" s="1">
        <f t="shared" ca="1" si="27"/>
        <v>0.12714603978592801</v>
      </c>
      <c r="AN64" s="1">
        <f t="shared" ca="1" si="28"/>
        <v>60</v>
      </c>
      <c r="AO64" s="1">
        <f t="shared" ca="1" si="29"/>
        <v>16</v>
      </c>
      <c r="AQ64" s="1">
        <f t="shared" ca="1" si="30"/>
        <v>83</v>
      </c>
      <c r="AR64" s="1">
        <f t="shared" ca="1" si="31"/>
        <v>3</v>
      </c>
      <c r="AS64" s="1">
        <f t="shared" ca="1" si="32"/>
        <v>98</v>
      </c>
      <c r="AU64" s="1">
        <f t="shared" ca="1" si="33"/>
        <v>299</v>
      </c>
      <c r="AV64" s="1">
        <f t="shared" ca="1" si="34"/>
        <v>7</v>
      </c>
      <c r="AW64" s="1">
        <f t="shared" ca="1" si="35"/>
        <v>7.3606683002669857E-2</v>
      </c>
      <c r="AY64" s="1">
        <f t="shared" ca="1" si="36"/>
        <v>1.5660205146339246</v>
      </c>
      <c r="AZ64" s="1">
        <f t="shared" ca="1" si="37"/>
        <v>73</v>
      </c>
      <c r="BA64" s="1">
        <f t="shared" ca="1" si="38"/>
        <v>8.7877323289751955E-3</v>
      </c>
      <c r="BV64" s="1">
        <f t="shared" ca="1" si="39"/>
        <v>0.57458455366727612</v>
      </c>
      <c r="BW64" s="1">
        <f t="shared" ca="1" si="40"/>
        <v>858</v>
      </c>
      <c r="BX64" s="1">
        <f t="shared" ca="1" si="41"/>
        <v>8.4976546017288979E-3</v>
      </c>
      <c r="BY64" s="1">
        <f t="shared" ca="1" si="42"/>
        <v>8.1996199772129214E-2</v>
      </c>
      <c r="BZ64" s="1">
        <f t="shared" ca="1" si="43"/>
        <v>0.47640655106937757</v>
      </c>
      <c r="CB64" s="1">
        <f t="shared" ca="1" si="44"/>
        <v>98</v>
      </c>
      <c r="CC64" s="1">
        <f t="shared" ca="1" si="45"/>
        <v>3</v>
      </c>
      <c r="CD64" s="1">
        <f t="shared" ca="1" si="46"/>
        <v>0.11707175609752479</v>
      </c>
      <c r="CE64" s="1">
        <f t="shared" ca="1" si="53"/>
        <v>0.62738060665325057</v>
      </c>
      <c r="CF64" s="1">
        <f t="shared" ca="1" si="53"/>
        <v>0.8502070091149293</v>
      </c>
      <c r="CH64" s="7">
        <f t="shared" ca="1" si="48"/>
        <v>0.18665784780849201</v>
      </c>
      <c r="CI64" s="7">
        <f t="shared" ca="1" si="49"/>
        <v>0.36407396181587603</v>
      </c>
      <c r="CJ64" s="7">
        <f t="shared" ca="1" si="50"/>
        <v>805</v>
      </c>
      <c r="CK64" s="7">
        <f t="shared" ca="1" si="51"/>
        <v>9.7860863177658868E-4</v>
      </c>
      <c r="CL64" s="7">
        <f t="shared" ca="1" si="52"/>
        <v>0</v>
      </c>
    </row>
    <row r="65" spans="2:90" x14ac:dyDescent="0.25">
      <c r="B65">
        <f t="shared" ca="1" si="0"/>
        <v>104</v>
      </c>
      <c r="C65">
        <f t="shared" ca="1" si="1"/>
        <v>52</v>
      </c>
      <c r="D65">
        <f t="shared" ca="1" si="2"/>
        <v>0.23780148521373054</v>
      </c>
      <c r="F65" s="1">
        <f t="shared" ca="1" si="3"/>
        <v>19</v>
      </c>
      <c r="G65" s="1">
        <f t="shared" ca="1" si="4"/>
        <v>22</v>
      </c>
      <c r="H65" s="1">
        <f t="shared" ca="1" si="5"/>
        <v>6</v>
      </c>
      <c r="I65" s="1"/>
      <c r="J65" s="1">
        <f t="shared" ca="1" si="6"/>
        <v>12</v>
      </c>
      <c r="K65" s="1">
        <f t="shared" ca="1" si="7"/>
        <v>2.5687932077134787</v>
      </c>
      <c r="L65" s="1">
        <f t="shared" ca="1" si="8"/>
        <v>11</v>
      </c>
      <c r="M65" s="1"/>
      <c r="N65" s="1">
        <f t="shared" ca="1" si="9"/>
        <v>733</v>
      </c>
      <c r="O65" s="1">
        <f t="shared" ca="1" si="10"/>
        <v>36</v>
      </c>
      <c r="P65" s="1"/>
      <c r="Q65" s="1">
        <f t="shared" ca="1" si="11"/>
        <v>4.1603586530048515</v>
      </c>
      <c r="R65" s="1">
        <f t="shared" ca="1" si="12"/>
        <v>1063</v>
      </c>
      <c r="S65" s="1"/>
      <c r="T65" s="1">
        <f t="shared" ca="1" si="13"/>
        <v>4.7822940223078203E-2</v>
      </c>
      <c r="U65" s="1">
        <f t="shared" ca="1" si="14"/>
        <v>168</v>
      </c>
      <c r="V65" s="1">
        <f t="shared" ca="1" si="15"/>
        <v>40</v>
      </c>
      <c r="W65" s="1"/>
      <c r="X65" s="1">
        <f t="shared" ca="1" si="16"/>
        <v>2.6616980637534775</v>
      </c>
      <c r="Y65" s="1">
        <f t="shared" ca="1" si="17"/>
        <v>1.2614456015701832E-2</v>
      </c>
      <c r="Z65" s="1">
        <f t="shared" ca="1" si="18"/>
        <v>1973</v>
      </c>
      <c r="AB65" s="1">
        <f t="shared" ca="1" si="19"/>
        <v>0.83327402337231837</v>
      </c>
      <c r="AC65" s="1">
        <f t="shared" ca="1" si="20"/>
        <v>498</v>
      </c>
      <c r="AD65" s="1">
        <f t="shared" ca="1" si="21"/>
        <v>9.4009188129414931E-3</v>
      </c>
      <c r="AE65" s="1"/>
      <c r="AF65" s="1">
        <f t="shared" ca="1" si="22"/>
        <v>0.72346701702802652</v>
      </c>
      <c r="AG65" s="1">
        <f t="shared" ca="1" si="23"/>
        <v>697</v>
      </c>
      <c r="AH65" s="1">
        <f t="shared" ca="1" si="24"/>
        <v>8.5182920526242958E-3</v>
      </c>
      <c r="AJ65" s="1">
        <f t="shared" ca="1" si="25"/>
        <v>0.31375806663405059</v>
      </c>
      <c r="AK65" s="1">
        <f t="shared" ca="1" si="26"/>
        <v>2.8257639659952905E-3</v>
      </c>
      <c r="AL65" s="1"/>
      <c r="AM65" s="1">
        <f t="shared" ca="1" si="27"/>
        <v>0.17279120894507244</v>
      </c>
      <c r="AN65" s="1">
        <f t="shared" ca="1" si="28"/>
        <v>19</v>
      </c>
      <c r="AO65" s="1">
        <f t="shared" ca="1" si="29"/>
        <v>6</v>
      </c>
      <c r="AQ65" s="1">
        <f t="shared" ca="1" si="30"/>
        <v>80</v>
      </c>
      <c r="AR65" s="1">
        <f t="shared" ca="1" si="31"/>
        <v>0</v>
      </c>
      <c r="AS65" s="1">
        <f t="shared" ca="1" si="32"/>
        <v>64</v>
      </c>
      <c r="AU65" s="1">
        <f t="shared" ca="1" si="33"/>
        <v>176</v>
      </c>
      <c r="AV65" s="1">
        <f t="shared" ca="1" si="34"/>
        <v>7</v>
      </c>
      <c r="AW65" s="1">
        <f t="shared" ca="1" si="35"/>
        <v>8.5285817246225679E-2</v>
      </c>
      <c r="AY65" s="1">
        <f t="shared" ca="1" si="36"/>
        <v>1.2144754840233858</v>
      </c>
      <c r="AZ65" s="1">
        <f t="shared" ca="1" si="37"/>
        <v>418</v>
      </c>
      <c r="BA65" s="1">
        <f t="shared" ca="1" si="38"/>
        <v>5.5210245355288316E-3</v>
      </c>
      <c r="BV65" s="1">
        <f t="shared" ca="1" si="39"/>
        <v>0.83397998549202468</v>
      </c>
      <c r="BW65" s="1">
        <f t="shared" ca="1" si="40"/>
        <v>995</v>
      </c>
      <c r="BX65" s="1">
        <f t="shared" ca="1" si="41"/>
        <v>6.4957610482565204E-3</v>
      </c>
      <c r="BY65" s="1">
        <f t="shared" ca="1" si="42"/>
        <v>9.2407129171358723E-2</v>
      </c>
      <c r="BZ65" s="1">
        <f t="shared" ca="1" si="43"/>
        <v>0.88642949946087479</v>
      </c>
      <c r="CB65" s="1">
        <f t="shared" ca="1" si="44"/>
        <v>148</v>
      </c>
      <c r="CC65" s="1">
        <f t="shared" ca="1" si="45"/>
        <v>10</v>
      </c>
      <c r="CD65" s="1">
        <f t="shared" ca="1" si="46"/>
        <v>0.10744316333952628</v>
      </c>
      <c r="CE65" s="1">
        <f t="shared" ca="1" si="53"/>
        <v>0.76566341918755143</v>
      </c>
      <c r="CF65" s="1">
        <f t="shared" ca="1" si="53"/>
        <v>0.6033606041194095</v>
      </c>
      <c r="CH65" s="7">
        <f t="shared" ca="1" si="48"/>
        <v>0.56348202321538432</v>
      </c>
      <c r="CI65" s="7">
        <f t="shared" ca="1" si="49"/>
        <v>0.25770276485329502</v>
      </c>
      <c r="CJ65" s="7">
        <f t="shared" ca="1" si="50"/>
        <v>1137</v>
      </c>
      <c r="CK65" s="7">
        <f t="shared" ca="1" si="51"/>
        <v>7.7359221781287046E-3</v>
      </c>
      <c r="CL65" s="7">
        <f t="shared" ca="1" si="52"/>
        <v>0</v>
      </c>
    </row>
    <row r="66" spans="2:90" x14ac:dyDescent="0.25">
      <c r="B66">
        <f t="shared" ca="1" si="0"/>
        <v>175</v>
      </c>
      <c r="C66">
        <f t="shared" ca="1" si="1"/>
        <v>47</v>
      </c>
      <c r="D66">
        <f t="shared" ca="1" si="2"/>
        <v>8.1629271188235902E-2</v>
      </c>
      <c r="F66" s="1">
        <f t="shared" ca="1" si="3"/>
        <v>49</v>
      </c>
      <c r="G66" s="1">
        <f t="shared" ca="1" si="4"/>
        <v>9</v>
      </c>
      <c r="H66" s="1">
        <f t="shared" ca="1" si="5"/>
        <v>3</v>
      </c>
      <c r="I66" s="1"/>
      <c r="J66" s="1">
        <f t="shared" ca="1" si="6"/>
        <v>26</v>
      </c>
      <c r="K66" s="1">
        <f t="shared" ca="1" si="7"/>
        <v>1.2336900532129431</v>
      </c>
      <c r="L66" s="1">
        <f t="shared" ca="1" si="8"/>
        <v>33</v>
      </c>
      <c r="M66" s="1"/>
      <c r="N66" s="1">
        <f t="shared" ca="1" si="9"/>
        <v>925</v>
      </c>
      <c r="O66" s="1">
        <f t="shared" ca="1" si="10"/>
        <v>17</v>
      </c>
      <c r="P66" s="1"/>
      <c r="Q66" s="1">
        <f t="shared" ca="1" si="11"/>
        <v>4.2865057471474888</v>
      </c>
      <c r="R66" s="1">
        <f t="shared" ca="1" si="12"/>
        <v>1061</v>
      </c>
      <c r="S66" s="1"/>
      <c r="T66" s="1">
        <f t="shared" ca="1" si="13"/>
        <v>0.1038390466833454</v>
      </c>
      <c r="U66" s="1">
        <f t="shared" ca="1" si="14"/>
        <v>368</v>
      </c>
      <c r="V66" s="1">
        <f t="shared" ca="1" si="15"/>
        <v>36</v>
      </c>
      <c r="W66" s="1"/>
      <c r="X66" s="1">
        <f t="shared" ca="1" si="16"/>
        <v>8.6934856218314387</v>
      </c>
      <c r="Y66" s="1">
        <f t="shared" ca="1" si="17"/>
        <v>0.85408049845551615</v>
      </c>
      <c r="Z66" s="1">
        <f t="shared" ca="1" si="18"/>
        <v>272</v>
      </c>
      <c r="AB66" s="1">
        <f t="shared" ca="1" si="19"/>
        <v>0.69523631452881374</v>
      </c>
      <c r="AC66" s="1">
        <f t="shared" ca="1" si="20"/>
        <v>477</v>
      </c>
      <c r="AD66" s="1">
        <f t="shared" ca="1" si="21"/>
        <v>2.7189894239908214E-3</v>
      </c>
      <c r="AE66" s="1"/>
      <c r="AF66" s="1">
        <f t="shared" ca="1" si="22"/>
        <v>0.77464961427479451</v>
      </c>
      <c r="AG66" s="1">
        <f t="shared" ca="1" si="23"/>
        <v>586</v>
      </c>
      <c r="AH66" s="1">
        <f t="shared" ca="1" si="24"/>
        <v>9.5513999730699652E-3</v>
      </c>
      <c r="AJ66" s="1">
        <f t="shared" ca="1" si="25"/>
        <v>4.8799218217229323E-2</v>
      </c>
      <c r="AK66" s="1">
        <f t="shared" ca="1" si="26"/>
        <v>2.9343528628751649E-3</v>
      </c>
      <c r="AL66" s="1"/>
      <c r="AM66" s="1">
        <f t="shared" ca="1" si="27"/>
        <v>4.0887255005311138E-2</v>
      </c>
      <c r="AN66" s="1">
        <f t="shared" ca="1" si="28"/>
        <v>66</v>
      </c>
      <c r="AO66" s="1">
        <f t="shared" ca="1" si="29"/>
        <v>7</v>
      </c>
      <c r="AQ66" s="1">
        <f t="shared" ca="1" si="30"/>
        <v>148</v>
      </c>
      <c r="AR66" s="1">
        <f t="shared" ca="1" si="31"/>
        <v>1</v>
      </c>
      <c r="AS66" s="1">
        <f t="shared" ca="1" si="32"/>
        <v>42</v>
      </c>
      <c r="AU66" s="1">
        <f t="shared" ca="1" si="33"/>
        <v>288</v>
      </c>
      <c r="AV66" s="1">
        <f t="shared" ca="1" si="34"/>
        <v>2</v>
      </c>
      <c r="AW66" s="1">
        <f t="shared" ca="1" si="35"/>
        <v>0.18840325091369289</v>
      </c>
      <c r="AY66" s="1">
        <f t="shared" ca="1" si="36"/>
        <v>1.7366047611930682</v>
      </c>
      <c r="AZ66" s="1">
        <f t="shared" ca="1" si="37"/>
        <v>249</v>
      </c>
      <c r="BA66" s="1">
        <f t="shared" ca="1" si="38"/>
        <v>3.5367231387957686E-3</v>
      </c>
      <c r="BV66" s="1">
        <f t="shared" ca="1" si="39"/>
        <v>0.63908901219510228</v>
      </c>
      <c r="BW66" s="1">
        <f t="shared" ca="1" si="40"/>
        <v>934</v>
      </c>
      <c r="BX66" s="1">
        <f t="shared" ca="1" si="41"/>
        <v>7.2983714957670174E-3</v>
      </c>
      <c r="BY66" s="1">
        <f t="shared" ca="1" si="42"/>
        <v>1.661851923080471E-2</v>
      </c>
      <c r="BZ66" s="1">
        <f t="shared" ca="1" si="43"/>
        <v>0.49144127760895873</v>
      </c>
      <c r="CB66" s="1">
        <f t="shared" ca="1" si="44"/>
        <v>134</v>
      </c>
      <c r="CC66" s="1">
        <f t="shared" ca="1" si="45"/>
        <v>4</v>
      </c>
      <c r="CD66" s="1">
        <f t="shared" ca="1" si="46"/>
        <v>3.7488658079396456E-2</v>
      </c>
      <c r="CE66" s="1">
        <f t="shared" ca="1" si="53"/>
        <v>0.60356093655090937</v>
      </c>
      <c r="CF66" s="1">
        <f t="shared" ca="1" si="53"/>
        <v>0.76249195443146245</v>
      </c>
      <c r="CH66" s="7">
        <f t="shared" ca="1" si="48"/>
        <v>0.3339674453693614</v>
      </c>
      <c r="CI66" s="7">
        <f t="shared" ca="1" si="49"/>
        <v>0.28085971630318507</v>
      </c>
      <c r="CJ66" s="7">
        <f t="shared" ca="1" si="50"/>
        <v>1972</v>
      </c>
      <c r="CK66" s="7">
        <f t="shared" ca="1" si="51"/>
        <v>2.3810526861263166E-3</v>
      </c>
      <c r="CL66" s="7">
        <f t="shared" ca="1" si="52"/>
        <v>0</v>
      </c>
    </row>
    <row r="67" spans="2:90" x14ac:dyDescent="0.25">
      <c r="B67">
        <f t="shared" ca="1" si="0"/>
        <v>82</v>
      </c>
      <c r="C67">
        <f t="shared" ca="1" si="1"/>
        <v>15</v>
      </c>
      <c r="D67">
        <f t="shared" ca="1" si="2"/>
        <v>9.7313985297495603E-2</v>
      </c>
      <c r="F67" s="1">
        <f t="shared" ca="1" si="3"/>
        <v>3</v>
      </c>
      <c r="G67" s="1">
        <f t="shared" ca="1" si="4"/>
        <v>21</v>
      </c>
      <c r="H67" s="1">
        <f t="shared" ca="1" si="5"/>
        <v>12</v>
      </c>
      <c r="I67" s="1"/>
      <c r="J67" s="1">
        <f t="shared" ca="1" si="6"/>
        <v>16</v>
      </c>
      <c r="K67" s="1">
        <f t="shared" ca="1" si="7"/>
        <v>1.0125088538263394</v>
      </c>
      <c r="L67" s="1">
        <f t="shared" ca="1" si="8"/>
        <v>7</v>
      </c>
      <c r="M67" s="1"/>
      <c r="N67" s="1">
        <f t="shared" ca="1" si="9"/>
        <v>947</v>
      </c>
      <c r="O67" s="1">
        <f t="shared" ca="1" si="10"/>
        <v>20</v>
      </c>
      <c r="P67" s="1"/>
      <c r="Q67" s="1">
        <f t="shared" ca="1" si="11"/>
        <v>4.0543765652124595</v>
      </c>
      <c r="R67" s="1">
        <f t="shared" ca="1" si="12"/>
        <v>1091</v>
      </c>
      <c r="S67" s="1"/>
      <c r="T67" s="1">
        <f t="shared" ca="1" si="13"/>
        <v>8.3766987386896544E-2</v>
      </c>
      <c r="U67" s="1">
        <f t="shared" ca="1" si="14"/>
        <v>84</v>
      </c>
      <c r="V67" s="1">
        <f t="shared" ca="1" si="15"/>
        <v>12</v>
      </c>
      <c r="W67" s="1"/>
      <c r="X67" s="1">
        <f t="shared" ca="1" si="16"/>
        <v>4.5475835691489888</v>
      </c>
      <c r="Y67" s="1">
        <f t="shared" ca="1" si="17"/>
        <v>0.65475867920877262</v>
      </c>
      <c r="Z67" s="1">
        <f t="shared" ca="1" si="18"/>
        <v>1446</v>
      </c>
      <c r="AB67" s="1">
        <f t="shared" ca="1" si="19"/>
        <v>0.51828495770127558</v>
      </c>
      <c r="AC67" s="1">
        <f t="shared" ca="1" si="20"/>
        <v>328</v>
      </c>
      <c r="AD67" s="1">
        <f t="shared" ca="1" si="21"/>
        <v>2.148397963490254E-3</v>
      </c>
      <c r="AE67" s="1"/>
      <c r="AF67" s="1">
        <f t="shared" ca="1" si="22"/>
        <v>0.10017781539714879</v>
      </c>
      <c r="AG67" s="1">
        <f t="shared" ca="1" si="23"/>
        <v>953</v>
      </c>
      <c r="AH67" s="1">
        <f t="shared" ca="1" si="24"/>
        <v>4.3513458170612853E-3</v>
      </c>
      <c r="AJ67" s="1">
        <f t="shared" ca="1" si="25"/>
        <v>0.95425828894363729</v>
      </c>
      <c r="AK67" s="1">
        <f t="shared" ca="1" si="26"/>
        <v>7.869672728945289E-3</v>
      </c>
      <c r="AL67" s="1"/>
      <c r="AM67" s="1">
        <f t="shared" ca="1" si="27"/>
        <v>0.19162814069061956</v>
      </c>
      <c r="AN67" s="1">
        <f t="shared" ca="1" si="28"/>
        <v>58</v>
      </c>
      <c r="AO67" s="1">
        <f t="shared" ca="1" si="29"/>
        <v>20</v>
      </c>
      <c r="AQ67" s="1">
        <f t="shared" ca="1" si="30"/>
        <v>144</v>
      </c>
      <c r="AR67" s="1">
        <f t="shared" ca="1" si="31"/>
        <v>1</v>
      </c>
      <c r="AS67" s="1">
        <f t="shared" ca="1" si="32"/>
        <v>36</v>
      </c>
      <c r="AU67" s="1">
        <f t="shared" ca="1" si="33"/>
        <v>224</v>
      </c>
      <c r="AV67" s="1">
        <f t="shared" ca="1" si="34"/>
        <v>6</v>
      </c>
      <c r="AW67" s="1">
        <f t="shared" ca="1" si="35"/>
        <v>0.13568919373368268</v>
      </c>
      <c r="AY67" s="1">
        <f t="shared" ca="1" si="36"/>
        <v>1.2785939180841026</v>
      </c>
      <c r="AZ67" s="1">
        <f t="shared" ca="1" si="37"/>
        <v>143</v>
      </c>
      <c r="BA67" s="1">
        <f t="shared" ca="1" si="38"/>
        <v>9.7669336974661857E-3</v>
      </c>
      <c r="BV67" s="1">
        <f t="shared" ca="1" si="39"/>
        <v>0.24955465075650307</v>
      </c>
      <c r="BW67" s="1">
        <f t="shared" ca="1" si="40"/>
        <v>105</v>
      </c>
      <c r="BX67" s="1">
        <f t="shared" ca="1" si="41"/>
        <v>3.7232129478683335E-4</v>
      </c>
      <c r="BY67" s="1">
        <f t="shared" ca="1" si="42"/>
        <v>9.6095519620259168E-2</v>
      </c>
      <c r="BZ67" s="1">
        <f t="shared" ca="1" si="43"/>
        <v>0.22368580564540674</v>
      </c>
      <c r="CB67" s="1">
        <f t="shared" ca="1" si="44"/>
        <v>439</v>
      </c>
      <c r="CC67" s="1">
        <f t="shared" ca="1" si="45"/>
        <v>6</v>
      </c>
      <c r="CD67" s="1">
        <f t="shared" ca="1" si="46"/>
        <v>0.24883177200518611</v>
      </c>
      <c r="CE67" s="1">
        <f t="shared" ca="1" si="53"/>
        <v>0.65160951922441679</v>
      </c>
      <c r="CF67" s="1">
        <f t="shared" ca="1" si="53"/>
        <v>0.74086005337537353</v>
      </c>
      <c r="CH67" s="7">
        <f t="shared" ca="1" si="48"/>
        <v>0.66860350614505815</v>
      </c>
      <c r="CI67" s="7">
        <f t="shared" ca="1" si="49"/>
        <v>0.77815364012112087</v>
      </c>
      <c r="CJ67" s="7">
        <f t="shared" ca="1" si="50"/>
        <v>1856</v>
      </c>
      <c r="CK67" s="7">
        <f t="shared" ca="1" si="51"/>
        <v>8.6853757694990499E-3</v>
      </c>
      <c r="CL67" s="7">
        <f t="shared" ca="1" si="52"/>
        <v>1</v>
      </c>
    </row>
    <row r="68" spans="2:90" x14ac:dyDescent="0.25">
      <c r="B68">
        <f t="shared" ref="B68:B131" ca="1" si="54">RANDBETWEEN(15,1000)</f>
        <v>168</v>
      </c>
      <c r="C68">
        <f t="shared" ref="C68:C131" ca="1" si="55">RANDBETWEEN(2,52)</f>
        <v>8</v>
      </c>
      <c r="D68">
        <f t="shared" ref="D68:D131" ca="1" si="56">RAND()*(0.3-0.01)+0.01</f>
        <v>0.19289280696723834</v>
      </c>
      <c r="F68" s="1">
        <f t="shared" ref="F68:F131" ca="1" si="57">RANDBETWEEN(2,52)</f>
        <v>43</v>
      </c>
      <c r="G68" s="1">
        <f t="shared" ref="G68:G131" ca="1" si="58">RANDBETWEEN(2,30)</f>
        <v>20</v>
      </c>
      <c r="H68" s="1">
        <f t="shared" ref="H68:H131" ca="1" si="59">RANDBETWEEN(1,15)</f>
        <v>9</v>
      </c>
      <c r="I68" s="1"/>
      <c r="J68" s="1">
        <f t="shared" ref="J68:J131" ca="1" si="60">RANDBETWEEN(1,39)</f>
        <v>12</v>
      </c>
      <c r="K68" s="1">
        <f t="shared" ref="K68:K131" ca="1" si="61">RAND()*(3-1)+1</f>
        <v>1.8585374413665365</v>
      </c>
      <c r="L68" s="1">
        <f t="shared" ref="L68:L131" ca="1" si="62">RANDBETWEEN(2,35)</f>
        <v>30</v>
      </c>
      <c r="M68" s="1"/>
      <c r="N68" s="1">
        <f t="shared" ref="N68:N131" ca="1" si="63">RANDBETWEEN(15,1000)</f>
        <v>447</v>
      </c>
      <c r="O68" s="1">
        <f t="shared" ref="O68:O131" ca="1" si="64">RANDBETWEEN(2,52)</f>
        <v>16</v>
      </c>
      <c r="P68" s="1"/>
      <c r="Q68" s="1">
        <f t="shared" ref="Q68:Q131" ca="1" si="65">RAND()*(5-0.01)+0.01</f>
        <v>3.1173968908499172</v>
      </c>
      <c r="R68" s="1">
        <f t="shared" ref="R68:R131" ca="1" si="66">RANDBETWEEN(200,1200)</f>
        <v>1032</v>
      </c>
      <c r="S68" s="1"/>
      <c r="T68" s="1">
        <f t="shared" ref="T68:T131" ca="1" si="67">RAND()*(0.2-0.01)+0.01</f>
        <v>0.13368972764173012</v>
      </c>
      <c r="U68" s="1">
        <f t="shared" ref="U68:U131" ca="1" si="68">RANDBETWEEN(50,450)</f>
        <v>228</v>
      </c>
      <c r="V68" s="1">
        <f t="shared" ref="V68:V131" ca="1" si="69">RANDBETWEEN(2,52)</f>
        <v>8</v>
      </c>
      <c r="W68" s="1"/>
      <c r="X68" s="1">
        <f t="shared" ref="X68:X131" ca="1" si="70">RAND()*(10-0.01)+0.01</f>
        <v>8.9185455036855341</v>
      </c>
      <c r="Y68" s="1">
        <f t="shared" ref="Y68:Y131" ca="1" si="71">RAND()*(1-0.0001)+0.0001</f>
        <v>0.97396324290752112</v>
      </c>
      <c r="Z68" s="1">
        <f t="shared" ref="Z68:Z131" ca="1" si="72">RANDBETWEEN(100,2000)</f>
        <v>751</v>
      </c>
      <c r="AB68" s="1">
        <f t="shared" ref="AB68:AB131" ca="1" si="73">RAND()*(1-0.0001)+0.0001</f>
        <v>0.65461040080269728</v>
      </c>
      <c r="AC68" s="1">
        <f t="shared" ref="AC68:AC131" ca="1" si="74">RANDBETWEEN(100,1000)</f>
        <v>557</v>
      </c>
      <c r="AD68" s="1">
        <f t="shared" ref="AD68:AD131" ca="1" si="75">RAND()*(0.01-0.00001)+0.00001</f>
        <v>7.8593350668352494E-3</v>
      </c>
      <c r="AE68" s="1"/>
      <c r="AF68" s="1">
        <f t="shared" ref="AF68:AF131" ca="1" si="76">RAND()*(0.9-0.1)+0.1</f>
        <v>0.75777798128124108</v>
      </c>
      <c r="AG68" s="1">
        <f t="shared" ref="AG68:AG131" ca="1" si="77">RANDBETWEEN(100,1000)</f>
        <v>700</v>
      </c>
      <c r="AH68" s="1">
        <f t="shared" ref="AH68:AH131" ca="1" si="78">RAND()*(0.01-0.00001)+0.00001</f>
        <v>7.9663943374561758E-3</v>
      </c>
      <c r="AJ68" s="1">
        <f t="shared" ref="AJ68:AJ131" ca="1" si="79">RAND()*(1-0)+0</f>
        <v>8.7459395049948707E-2</v>
      </c>
      <c r="AK68" s="1">
        <f t="shared" ref="AK68:AK131" ca="1" si="80">RAND()*(0.01-0.00001)+0.00001</f>
        <v>9.6911376716215056E-3</v>
      </c>
      <c r="AL68" s="1"/>
      <c r="AM68" s="1">
        <f t="shared" ref="AM68:AM131" ca="1" si="81">RAND()*(0.2-0.005)+0.005</f>
        <v>0.1431507851104524</v>
      </c>
      <c r="AN68" s="1">
        <f t="shared" ref="AN68:AN131" ca="1" si="82">RANDBETWEEN(10,80)</f>
        <v>65</v>
      </c>
      <c r="AO68" s="1">
        <f t="shared" ref="AO68:AO131" ca="1" si="83">RANDBETWEEN(-1,20)</f>
        <v>8</v>
      </c>
      <c r="AQ68" s="1">
        <f t="shared" ref="AQ68:AQ131" ca="1" si="84">RANDBETWEEN(10,200)</f>
        <v>16</v>
      </c>
      <c r="AR68" s="1">
        <f t="shared" ref="AR68:AR131" ca="1" si="85">RANDBETWEEN(0,10)</f>
        <v>2</v>
      </c>
      <c r="AS68" s="1">
        <f t="shared" ref="AS68:AS131" ca="1" si="86">RANDBETWEEN(1,100)</f>
        <v>65</v>
      </c>
      <c r="AU68" s="1">
        <f t="shared" ref="AU68:AU131" ca="1" si="87">RANDBETWEEN(50,400)</f>
        <v>174</v>
      </c>
      <c r="AV68" s="1">
        <f t="shared" ref="AV68:AV131" ca="1" si="88">RANDBETWEEN(2,10)</f>
        <v>10</v>
      </c>
      <c r="AW68" s="1">
        <f t="shared" ref="AW68:AW131" ca="1" si="89">RAND()*(0.2-0.01)+0.01</f>
        <v>0.13617917634807294</v>
      </c>
      <c r="AY68" s="1">
        <f t="shared" ref="AY68:AY131" ca="1" si="90">RAND()*(2-1.1)+1.1</f>
        <v>1.2667398544167681</v>
      </c>
      <c r="AZ68" s="1">
        <f t="shared" ref="AZ68:AZ131" ca="1" si="91">RANDBETWEEN(50,500)</f>
        <v>428</v>
      </c>
      <c r="BA68" s="1">
        <f t="shared" ref="BA68:BA131" ca="1" si="92">RAND()*(0.01-0.00001)+0.00001</f>
        <v>6.8954310680054707E-3</v>
      </c>
      <c r="BV68" s="1">
        <f t="shared" ref="BV68:BV131" ca="1" si="93">RAND()*(1-0.0001)+0.0001</f>
        <v>0.49513370695294862</v>
      </c>
      <c r="BW68" s="1">
        <f t="shared" ref="BW68:BW131" ca="1" si="94">RANDBETWEEN(100,1000)</f>
        <v>567</v>
      </c>
      <c r="BX68" s="1">
        <f t="shared" ref="BX68:BX131" ca="1" si="95">RAND()*(0.01-0.00001)+0.00001</f>
        <v>8.8430200609468964E-4</v>
      </c>
      <c r="BY68" s="1">
        <f t="shared" ref="BY68:BY131" ca="1" si="96">RAND()*(0.1-0.0001)+0.0001</f>
        <v>8.9192749228717227E-2</v>
      </c>
      <c r="BZ68" s="1">
        <f t="shared" ref="BZ68:BZ131" ca="1" si="97">RAND()*(1-0)+0</f>
        <v>0.59865921658431087</v>
      </c>
      <c r="CB68" s="1">
        <f t="shared" ref="CB68:CB131" ca="1" si="98">RANDBETWEEN(50,500)</f>
        <v>90</v>
      </c>
      <c r="CC68" s="1">
        <f t="shared" ref="CC68:CC131" ca="1" si="99">RANDBETWEEN(3,15)</f>
        <v>6</v>
      </c>
      <c r="CD68" s="1">
        <f t="shared" ref="CD68:CD131" ca="1" si="100">RAND()*(0.3-0.01)+0.01</f>
        <v>0.24215628746353249</v>
      </c>
      <c r="CE68" s="1">
        <f t="shared" ref="CE68:CF99" ca="1" si="101">RAND()*(1-0.5)+0.5</f>
        <v>0.97138502441298535</v>
      </c>
      <c r="CF68" s="1">
        <f t="shared" ca="1" si="101"/>
        <v>0.57934763166126624</v>
      </c>
      <c r="CH68" s="7">
        <f t="shared" ref="CH68:CH131" ca="1" si="102">RAND()*(1-0.0001)+0.0001</f>
        <v>0.15186280926956777</v>
      </c>
      <c r="CI68" s="7">
        <f t="shared" ref="CI68:CI131" ca="1" si="103">RAND()*(0.99-0.01)+0.01</f>
        <v>0.40230945122619782</v>
      </c>
      <c r="CJ68" s="7">
        <f t="shared" ref="CJ68:CJ131" ca="1" si="104">RANDBETWEEN(100,2000)</f>
        <v>1059</v>
      </c>
      <c r="CK68" s="7">
        <f t="shared" ref="CK68:CK131" ca="1" si="105">RAND()*(0.01-0.000001)+0.000001</f>
        <v>6.3834281125685214E-3</v>
      </c>
      <c r="CL68" s="7">
        <f t="shared" ref="CL68:CL131" ca="1" si="106">RANDBETWEEN(0,1)</f>
        <v>0</v>
      </c>
    </row>
    <row r="69" spans="2:90" x14ac:dyDescent="0.25">
      <c r="B69">
        <f t="shared" ca="1" si="54"/>
        <v>210</v>
      </c>
      <c r="C69">
        <f t="shared" ca="1" si="55"/>
        <v>44</v>
      </c>
      <c r="D69">
        <f t="shared" ca="1" si="56"/>
        <v>0.20169250494735658</v>
      </c>
      <c r="F69" s="1">
        <f t="shared" ca="1" si="57"/>
        <v>51</v>
      </c>
      <c r="G69" s="1">
        <f t="shared" ca="1" si="58"/>
        <v>4</v>
      </c>
      <c r="H69" s="1">
        <f t="shared" ca="1" si="59"/>
        <v>9</v>
      </c>
      <c r="I69" s="1"/>
      <c r="J69" s="1">
        <f t="shared" ca="1" si="60"/>
        <v>37</v>
      </c>
      <c r="K69" s="1">
        <f t="shared" ca="1" si="61"/>
        <v>1.496720749408889</v>
      </c>
      <c r="L69" s="1">
        <f t="shared" ca="1" si="62"/>
        <v>9</v>
      </c>
      <c r="M69" s="1"/>
      <c r="N69" s="1">
        <f t="shared" ca="1" si="63"/>
        <v>456</v>
      </c>
      <c r="O69" s="1">
        <f t="shared" ca="1" si="64"/>
        <v>13</v>
      </c>
      <c r="P69" s="1"/>
      <c r="Q69" s="1">
        <f t="shared" ca="1" si="65"/>
        <v>4.176063501620761</v>
      </c>
      <c r="R69" s="1">
        <f t="shared" ca="1" si="66"/>
        <v>686</v>
      </c>
      <c r="S69" s="1"/>
      <c r="T69" s="1">
        <f t="shared" ca="1" si="67"/>
        <v>0.11864930093653631</v>
      </c>
      <c r="U69" s="1">
        <f t="shared" ca="1" si="68"/>
        <v>248</v>
      </c>
      <c r="V69" s="1">
        <f t="shared" ca="1" si="69"/>
        <v>2</v>
      </c>
      <c r="W69" s="1"/>
      <c r="X69" s="1">
        <f t="shared" ca="1" si="70"/>
        <v>1.0071906028045734</v>
      </c>
      <c r="Y69" s="1">
        <f t="shared" ca="1" si="71"/>
        <v>0.52129303975442987</v>
      </c>
      <c r="Z69" s="1">
        <f t="shared" ca="1" si="72"/>
        <v>381</v>
      </c>
      <c r="AB69" s="1">
        <f t="shared" ca="1" si="73"/>
        <v>0.31936797687077867</v>
      </c>
      <c r="AC69" s="1">
        <f t="shared" ca="1" si="74"/>
        <v>471</v>
      </c>
      <c r="AD69" s="1">
        <f t="shared" ca="1" si="75"/>
        <v>5.2387550163862468E-3</v>
      </c>
      <c r="AE69" s="1"/>
      <c r="AF69" s="1">
        <f t="shared" ca="1" si="76"/>
        <v>0.1132669725387256</v>
      </c>
      <c r="AG69" s="1">
        <f t="shared" ca="1" si="77"/>
        <v>422</v>
      </c>
      <c r="AH69" s="1">
        <f t="shared" ca="1" si="78"/>
        <v>4.3921227001112399E-3</v>
      </c>
      <c r="AJ69" s="1">
        <f t="shared" ca="1" si="79"/>
        <v>0.41894452313347541</v>
      </c>
      <c r="AK69" s="1">
        <f t="shared" ca="1" si="80"/>
        <v>4.8112986749154129E-3</v>
      </c>
      <c r="AL69" s="1"/>
      <c r="AM69" s="1">
        <f t="shared" ca="1" si="81"/>
        <v>0.16590031654572029</v>
      </c>
      <c r="AN69" s="1">
        <f t="shared" ca="1" si="82"/>
        <v>77</v>
      </c>
      <c r="AO69" s="1">
        <f t="shared" ca="1" si="83"/>
        <v>6</v>
      </c>
      <c r="AQ69" s="1">
        <f t="shared" ca="1" si="84"/>
        <v>98</v>
      </c>
      <c r="AR69" s="1">
        <f t="shared" ca="1" si="85"/>
        <v>0</v>
      </c>
      <c r="AS69" s="1">
        <f t="shared" ca="1" si="86"/>
        <v>39</v>
      </c>
      <c r="AU69" s="1">
        <f t="shared" ca="1" si="87"/>
        <v>178</v>
      </c>
      <c r="AV69" s="1">
        <f t="shared" ca="1" si="88"/>
        <v>4</v>
      </c>
      <c r="AW69" s="1">
        <f t="shared" ca="1" si="89"/>
        <v>6.8738568890463272E-2</v>
      </c>
      <c r="AY69" s="1">
        <f t="shared" ca="1" si="90"/>
        <v>1.8600106821421005</v>
      </c>
      <c r="AZ69" s="1">
        <f t="shared" ca="1" si="91"/>
        <v>141</v>
      </c>
      <c r="BA69" s="1">
        <f t="shared" ca="1" si="92"/>
        <v>5.2321310300346537E-4</v>
      </c>
      <c r="BV69" s="1">
        <f t="shared" ca="1" si="93"/>
        <v>0.31271169804096727</v>
      </c>
      <c r="BW69" s="1">
        <f t="shared" ca="1" si="94"/>
        <v>720</v>
      </c>
      <c r="BX69" s="1">
        <f t="shared" ca="1" si="95"/>
        <v>3.5515433903021338E-3</v>
      </c>
      <c r="BY69" s="1">
        <f t="shared" ca="1" si="96"/>
        <v>2.597868166486085E-2</v>
      </c>
      <c r="BZ69" s="1">
        <f t="shared" ca="1" si="97"/>
        <v>0.98939539941320287</v>
      </c>
      <c r="CB69" s="1">
        <f t="shared" ca="1" si="98"/>
        <v>333</v>
      </c>
      <c r="CC69" s="1">
        <f t="shared" ca="1" si="99"/>
        <v>5</v>
      </c>
      <c r="CD69" s="1">
        <f t="shared" ca="1" si="100"/>
        <v>0.13095273329276966</v>
      </c>
      <c r="CE69" s="1">
        <f t="shared" ca="1" si="101"/>
        <v>0.6677672910527559</v>
      </c>
      <c r="CF69" s="1">
        <f t="shared" ca="1" si="101"/>
        <v>0.8836287348149815</v>
      </c>
      <c r="CH69" s="7">
        <f t="shared" ca="1" si="102"/>
        <v>0.28087544625616723</v>
      </c>
      <c r="CI69" s="7">
        <f t="shared" ca="1" si="103"/>
        <v>0.84297305447343274</v>
      </c>
      <c r="CJ69" s="7">
        <f t="shared" ca="1" si="104"/>
        <v>143</v>
      </c>
      <c r="CK69" s="7">
        <f t="shared" ca="1" si="105"/>
        <v>2.965069425791193E-3</v>
      </c>
      <c r="CL69" s="7">
        <f t="shared" ca="1" si="106"/>
        <v>1</v>
      </c>
    </row>
    <row r="70" spans="2:90" x14ac:dyDescent="0.25">
      <c r="B70">
        <f t="shared" ca="1" si="54"/>
        <v>958</v>
      </c>
      <c r="C70">
        <f t="shared" ca="1" si="55"/>
        <v>29</v>
      </c>
      <c r="D70">
        <f t="shared" ca="1" si="56"/>
        <v>5.964163357296088E-2</v>
      </c>
      <c r="F70" s="1">
        <f t="shared" ca="1" si="57"/>
        <v>45</v>
      </c>
      <c r="G70" s="1">
        <f t="shared" ca="1" si="58"/>
        <v>27</v>
      </c>
      <c r="H70" s="1">
        <f t="shared" ca="1" si="59"/>
        <v>9</v>
      </c>
      <c r="I70" s="1"/>
      <c r="J70" s="1">
        <f t="shared" ca="1" si="60"/>
        <v>33</v>
      </c>
      <c r="K70" s="1">
        <f t="shared" ca="1" si="61"/>
        <v>1.0565520219476283</v>
      </c>
      <c r="L70" s="1">
        <f t="shared" ca="1" si="62"/>
        <v>18</v>
      </c>
      <c r="M70" s="1"/>
      <c r="N70" s="1">
        <f t="shared" ca="1" si="63"/>
        <v>780</v>
      </c>
      <c r="O70" s="1">
        <f t="shared" ca="1" si="64"/>
        <v>2</v>
      </c>
      <c r="P70" s="1"/>
      <c r="Q70" s="1">
        <f t="shared" ca="1" si="65"/>
        <v>2.4825628115138243</v>
      </c>
      <c r="R70" s="1">
        <f t="shared" ca="1" si="66"/>
        <v>819</v>
      </c>
      <c r="S70" s="1"/>
      <c r="T70" s="1">
        <f t="shared" ca="1" si="67"/>
        <v>0.19434450650840454</v>
      </c>
      <c r="U70" s="1">
        <f t="shared" ca="1" si="68"/>
        <v>182</v>
      </c>
      <c r="V70" s="1">
        <f t="shared" ca="1" si="69"/>
        <v>50</v>
      </c>
      <c r="W70" s="1"/>
      <c r="X70" s="1">
        <f t="shared" ca="1" si="70"/>
        <v>2.9424535787651549</v>
      </c>
      <c r="Y70" s="1">
        <f t="shared" ca="1" si="71"/>
        <v>0.18823895406529026</v>
      </c>
      <c r="Z70" s="1">
        <f t="shared" ca="1" si="72"/>
        <v>189</v>
      </c>
      <c r="AB70" s="1">
        <f t="shared" ca="1" si="73"/>
        <v>0.92307665794417049</v>
      </c>
      <c r="AC70" s="1">
        <f t="shared" ca="1" si="74"/>
        <v>894</v>
      </c>
      <c r="AD70" s="1">
        <f t="shared" ca="1" si="75"/>
        <v>9.6511387991433245E-3</v>
      </c>
      <c r="AE70" s="1"/>
      <c r="AF70" s="1">
        <f t="shared" ca="1" si="76"/>
        <v>0.31889725181004169</v>
      </c>
      <c r="AG70" s="1">
        <f t="shared" ca="1" si="77"/>
        <v>781</v>
      </c>
      <c r="AH70" s="1">
        <f t="shared" ca="1" si="78"/>
        <v>4.116778486233188E-3</v>
      </c>
      <c r="AJ70" s="1">
        <f t="shared" ca="1" si="79"/>
        <v>0.69451122821333033</v>
      </c>
      <c r="AK70" s="1">
        <f t="shared" ca="1" si="80"/>
        <v>8.4329051396576336E-3</v>
      </c>
      <c r="AL70" s="1"/>
      <c r="AM70" s="1">
        <f t="shared" ca="1" si="81"/>
        <v>4.9436133004415572E-2</v>
      </c>
      <c r="AN70" s="1">
        <f t="shared" ca="1" si="82"/>
        <v>80</v>
      </c>
      <c r="AO70" s="1">
        <f t="shared" ca="1" si="83"/>
        <v>-1</v>
      </c>
      <c r="AQ70" s="1">
        <f t="shared" ca="1" si="84"/>
        <v>28</v>
      </c>
      <c r="AR70" s="1">
        <f t="shared" ca="1" si="85"/>
        <v>0</v>
      </c>
      <c r="AS70" s="1">
        <f t="shared" ca="1" si="86"/>
        <v>29</v>
      </c>
      <c r="AU70" s="1">
        <f t="shared" ca="1" si="87"/>
        <v>164</v>
      </c>
      <c r="AV70" s="1">
        <f t="shared" ca="1" si="88"/>
        <v>7</v>
      </c>
      <c r="AW70" s="1">
        <f t="shared" ca="1" si="89"/>
        <v>8.9447144688231645E-2</v>
      </c>
      <c r="AY70" s="1">
        <f t="shared" ca="1" si="90"/>
        <v>1.9006014031911165</v>
      </c>
      <c r="AZ70" s="1">
        <f t="shared" ca="1" si="91"/>
        <v>249</v>
      </c>
      <c r="BA70" s="1">
        <f t="shared" ca="1" si="92"/>
        <v>5.1889444886699266E-3</v>
      </c>
      <c r="BV70" s="1">
        <f t="shared" ca="1" si="93"/>
        <v>0.98230451040603806</v>
      </c>
      <c r="BW70" s="1">
        <f t="shared" ca="1" si="94"/>
        <v>652</v>
      </c>
      <c r="BX70" s="1">
        <f t="shared" ca="1" si="95"/>
        <v>2.9465451973889212E-3</v>
      </c>
      <c r="BY70" s="1">
        <f t="shared" ca="1" si="96"/>
        <v>4.7352570179595078E-2</v>
      </c>
      <c r="BZ70" s="1">
        <f t="shared" ca="1" si="97"/>
        <v>0.27723305248759977</v>
      </c>
      <c r="CB70" s="1">
        <f t="shared" ca="1" si="98"/>
        <v>74</v>
      </c>
      <c r="CC70" s="1">
        <f t="shared" ca="1" si="99"/>
        <v>8</v>
      </c>
      <c r="CD70" s="1">
        <f t="shared" ca="1" si="100"/>
        <v>0.13444810929818338</v>
      </c>
      <c r="CE70" s="1">
        <f t="shared" ca="1" si="101"/>
        <v>0.82414381299776074</v>
      </c>
      <c r="CF70" s="1">
        <f t="shared" ca="1" si="101"/>
        <v>0.54031353607892796</v>
      </c>
      <c r="CH70" s="7">
        <f t="shared" ca="1" si="102"/>
        <v>0.80177344423312014</v>
      </c>
      <c r="CI70" s="7">
        <f t="shared" ca="1" si="103"/>
        <v>0.92265574289054031</v>
      </c>
      <c r="CJ70" s="7">
        <f t="shared" ca="1" si="104"/>
        <v>1928</v>
      </c>
      <c r="CK70" s="7">
        <f t="shared" ca="1" si="105"/>
        <v>1.2824468426523689E-3</v>
      </c>
      <c r="CL70" s="7">
        <f t="shared" ca="1" si="106"/>
        <v>1</v>
      </c>
    </row>
    <row r="71" spans="2:90" x14ac:dyDescent="0.25">
      <c r="B71">
        <f t="shared" ca="1" si="54"/>
        <v>935</v>
      </c>
      <c r="C71">
        <f t="shared" ca="1" si="55"/>
        <v>17</v>
      </c>
      <c r="D71">
        <f t="shared" ca="1" si="56"/>
        <v>0.13500077082860806</v>
      </c>
      <c r="F71" s="1">
        <f t="shared" ca="1" si="57"/>
        <v>4</v>
      </c>
      <c r="G71" s="1">
        <f t="shared" ca="1" si="58"/>
        <v>18</v>
      </c>
      <c r="H71" s="1">
        <f t="shared" ca="1" si="59"/>
        <v>14</v>
      </c>
      <c r="I71" s="1"/>
      <c r="J71" s="1">
        <f t="shared" ca="1" si="60"/>
        <v>32</v>
      </c>
      <c r="K71" s="1">
        <f t="shared" ca="1" si="61"/>
        <v>2.609307915161593</v>
      </c>
      <c r="L71" s="1">
        <f t="shared" ca="1" si="62"/>
        <v>17</v>
      </c>
      <c r="M71" s="1"/>
      <c r="N71" s="1">
        <f t="shared" ca="1" si="63"/>
        <v>240</v>
      </c>
      <c r="O71" s="1">
        <f t="shared" ca="1" si="64"/>
        <v>43</v>
      </c>
      <c r="P71" s="1"/>
      <c r="Q71" s="1">
        <f t="shared" ca="1" si="65"/>
        <v>2.4056552323870122</v>
      </c>
      <c r="R71" s="1">
        <f t="shared" ca="1" si="66"/>
        <v>277</v>
      </c>
      <c r="S71" s="1"/>
      <c r="T71" s="1">
        <f t="shared" ca="1" si="67"/>
        <v>0.1553862550806899</v>
      </c>
      <c r="U71" s="1">
        <f t="shared" ca="1" si="68"/>
        <v>310</v>
      </c>
      <c r="V71" s="1">
        <f t="shared" ca="1" si="69"/>
        <v>13</v>
      </c>
      <c r="W71" s="1"/>
      <c r="X71" s="1">
        <f t="shared" ca="1" si="70"/>
        <v>3.3198817738478303</v>
      </c>
      <c r="Y71" s="1">
        <f t="shared" ca="1" si="71"/>
        <v>0.18919518317937475</v>
      </c>
      <c r="Z71" s="1">
        <f t="shared" ca="1" si="72"/>
        <v>1231</v>
      </c>
      <c r="AB71" s="1">
        <f t="shared" ca="1" si="73"/>
        <v>0.9071445281647107</v>
      </c>
      <c r="AC71" s="1">
        <f t="shared" ca="1" si="74"/>
        <v>196</v>
      </c>
      <c r="AD71" s="1">
        <f t="shared" ca="1" si="75"/>
        <v>5.9167122463941848E-3</v>
      </c>
      <c r="AE71" s="1"/>
      <c r="AF71" s="1">
        <f t="shared" ca="1" si="76"/>
        <v>0.57682216123510743</v>
      </c>
      <c r="AG71" s="1">
        <f t="shared" ca="1" si="77"/>
        <v>353</v>
      </c>
      <c r="AH71" s="1">
        <f t="shared" ca="1" si="78"/>
        <v>4.1598078484565183E-3</v>
      </c>
      <c r="AJ71" s="1">
        <f t="shared" ca="1" si="79"/>
        <v>0.87360640509242904</v>
      </c>
      <c r="AK71" s="1">
        <f t="shared" ca="1" si="80"/>
        <v>5.7937521207282973E-3</v>
      </c>
      <c r="AL71" s="1"/>
      <c r="AM71" s="1">
        <f t="shared" ca="1" si="81"/>
        <v>7.896884900347001E-2</v>
      </c>
      <c r="AN71" s="1">
        <f t="shared" ca="1" si="82"/>
        <v>16</v>
      </c>
      <c r="AO71" s="1">
        <f t="shared" ca="1" si="83"/>
        <v>13</v>
      </c>
      <c r="AQ71" s="1">
        <f t="shared" ca="1" si="84"/>
        <v>91</v>
      </c>
      <c r="AR71" s="1">
        <f t="shared" ca="1" si="85"/>
        <v>6</v>
      </c>
      <c r="AS71" s="1">
        <f t="shared" ca="1" si="86"/>
        <v>53</v>
      </c>
      <c r="AU71" s="1">
        <f t="shared" ca="1" si="87"/>
        <v>399</v>
      </c>
      <c r="AV71" s="1">
        <f t="shared" ca="1" si="88"/>
        <v>7</v>
      </c>
      <c r="AW71" s="1">
        <f t="shared" ca="1" si="89"/>
        <v>1.0850548259592514E-2</v>
      </c>
      <c r="AY71" s="1">
        <f t="shared" ca="1" si="90"/>
        <v>1.7012894021045946</v>
      </c>
      <c r="AZ71" s="1">
        <f t="shared" ca="1" si="91"/>
        <v>372</v>
      </c>
      <c r="BA71" s="1">
        <f t="shared" ca="1" si="92"/>
        <v>2.9670610682245674E-4</v>
      </c>
      <c r="BV71" s="1">
        <f t="shared" ca="1" si="93"/>
        <v>0.14694934782331276</v>
      </c>
      <c r="BW71" s="1">
        <f t="shared" ca="1" si="94"/>
        <v>932</v>
      </c>
      <c r="BX71" s="1">
        <f t="shared" ca="1" si="95"/>
        <v>3.7381354785370659E-3</v>
      </c>
      <c r="BY71" s="1">
        <f t="shared" ca="1" si="96"/>
        <v>7.7915083260697168E-2</v>
      </c>
      <c r="BZ71" s="1">
        <f t="shared" ca="1" si="97"/>
        <v>0.51906384178987441</v>
      </c>
      <c r="CB71" s="1">
        <f t="shared" ca="1" si="98"/>
        <v>158</v>
      </c>
      <c r="CC71" s="1">
        <f t="shared" ca="1" si="99"/>
        <v>4</v>
      </c>
      <c r="CD71" s="1">
        <f t="shared" ca="1" si="100"/>
        <v>0.12430500573695613</v>
      </c>
      <c r="CE71" s="1">
        <f t="shared" ca="1" si="101"/>
        <v>0.93101382287254064</v>
      </c>
      <c r="CF71" s="1">
        <f t="shared" ca="1" si="101"/>
        <v>0.69936039219820467</v>
      </c>
      <c r="CH71" s="7">
        <f t="shared" ca="1" si="102"/>
        <v>0.91509739170447579</v>
      </c>
      <c r="CI71" s="7">
        <f t="shared" ca="1" si="103"/>
        <v>0.47415158544523528</v>
      </c>
      <c r="CJ71" s="7">
        <f t="shared" ca="1" si="104"/>
        <v>239</v>
      </c>
      <c r="CK71" s="7">
        <f t="shared" ca="1" si="105"/>
        <v>9.7204521229416717E-3</v>
      </c>
      <c r="CL71" s="7">
        <f t="shared" ca="1" si="106"/>
        <v>0</v>
      </c>
    </row>
    <row r="72" spans="2:90" x14ac:dyDescent="0.25">
      <c r="B72">
        <f t="shared" ca="1" si="54"/>
        <v>971</v>
      </c>
      <c r="C72">
        <f t="shared" ca="1" si="55"/>
        <v>37</v>
      </c>
      <c r="D72">
        <f t="shared" ca="1" si="56"/>
        <v>0.1702402164613952</v>
      </c>
      <c r="F72" s="1">
        <f t="shared" ca="1" si="57"/>
        <v>28</v>
      </c>
      <c r="G72" s="1">
        <f t="shared" ca="1" si="58"/>
        <v>28</v>
      </c>
      <c r="H72" s="1">
        <f t="shared" ca="1" si="59"/>
        <v>10</v>
      </c>
      <c r="I72" s="1"/>
      <c r="J72" s="1">
        <f t="shared" ca="1" si="60"/>
        <v>34</v>
      </c>
      <c r="K72" s="1">
        <f t="shared" ca="1" si="61"/>
        <v>1.0681666537859733</v>
      </c>
      <c r="L72" s="1">
        <f t="shared" ca="1" si="62"/>
        <v>16</v>
      </c>
      <c r="M72" s="1"/>
      <c r="N72" s="1">
        <f t="shared" ca="1" si="63"/>
        <v>835</v>
      </c>
      <c r="O72" s="1">
        <f t="shared" ca="1" si="64"/>
        <v>20</v>
      </c>
      <c r="P72" s="1"/>
      <c r="Q72" s="1">
        <f t="shared" ca="1" si="65"/>
        <v>0.78935662448303456</v>
      </c>
      <c r="R72" s="1">
        <f t="shared" ca="1" si="66"/>
        <v>341</v>
      </c>
      <c r="S72" s="1"/>
      <c r="T72" s="1">
        <f t="shared" ca="1" si="67"/>
        <v>7.8101023364090319E-2</v>
      </c>
      <c r="U72" s="1">
        <f t="shared" ca="1" si="68"/>
        <v>186</v>
      </c>
      <c r="V72" s="1">
        <f t="shared" ca="1" si="69"/>
        <v>16</v>
      </c>
      <c r="W72" s="1"/>
      <c r="X72" s="1">
        <f t="shared" ca="1" si="70"/>
        <v>1.7460025332165061</v>
      </c>
      <c r="Y72" s="1">
        <f t="shared" ca="1" si="71"/>
        <v>0.5464131252469443</v>
      </c>
      <c r="Z72" s="1">
        <f t="shared" ca="1" si="72"/>
        <v>387</v>
      </c>
      <c r="AB72" s="1">
        <f t="shared" ca="1" si="73"/>
        <v>0.34810369224645449</v>
      </c>
      <c r="AC72" s="1">
        <f t="shared" ca="1" si="74"/>
        <v>843</v>
      </c>
      <c r="AD72" s="1">
        <f t="shared" ca="1" si="75"/>
        <v>8.6901395550648217E-3</v>
      </c>
      <c r="AE72" s="1"/>
      <c r="AF72" s="1">
        <f t="shared" ca="1" si="76"/>
        <v>0.69199447266927439</v>
      </c>
      <c r="AG72" s="1">
        <f t="shared" ca="1" si="77"/>
        <v>985</v>
      </c>
      <c r="AH72" s="1">
        <f t="shared" ca="1" si="78"/>
        <v>4.9293088810668849E-4</v>
      </c>
      <c r="AJ72" s="1">
        <f t="shared" ca="1" si="79"/>
        <v>0.59348616944162202</v>
      </c>
      <c r="AK72" s="1">
        <f t="shared" ca="1" si="80"/>
        <v>5.3626956407198533E-4</v>
      </c>
      <c r="AL72" s="1"/>
      <c r="AM72" s="1">
        <f t="shared" ca="1" si="81"/>
        <v>0.19425653081757982</v>
      </c>
      <c r="AN72" s="1">
        <f t="shared" ca="1" si="82"/>
        <v>76</v>
      </c>
      <c r="AO72" s="1">
        <f t="shared" ca="1" si="83"/>
        <v>17</v>
      </c>
      <c r="AQ72" s="1">
        <f t="shared" ca="1" si="84"/>
        <v>146</v>
      </c>
      <c r="AR72" s="1">
        <f t="shared" ca="1" si="85"/>
        <v>2</v>
      </c>
      <c r="AS72" s="1">
        <f t="shared" ca="1" si="86"/>
        <v>32</v>
      </c>
      <c r="AU72" s="1">
        <f t="shared" ca="1" si="87"/>
        <v>355</v>
      </c>
      <c r="AV72" s="1">
        <f t="shared" ca="1" si="88"/>
        <v>9</v>
      </c>
      <c r="AW72" s="1">
        <f t="shared" ca="1" si="89"/>
        <v>8.2817783058862532E-2</v>
      </c>
      <c r="AY72" s="1">
        <f t="shared" ca="1" si="90"/>
        <v>1.9315382031541799</v>
      </c>
      <c r="AZ72" s="1">
        <f t="shared" ca="1" si="91"/>
        <v>97</v>
      </c>
      <c r="BA72" s="1">
        <f t="shared" ca="1" si="92"/>
        <v>7.646737121381848E-3</v>
      </c>
      <c r="BV72" s="1">
        <f t="shared" ca="1" si="93"/>
        <v>0.73996872575962447</v>
      </c>
      <c r="BW72" s="1">
        <f t="shared" ca="1" si="94"/>
        <v>915</v>
      </c>
      <c r="BX72" s="1">
        <f t="shared" ca="1" si="95"/>
        <v>9.4958679528086253E-3</v>
      </c>
      <c r="BY72" s="1">
        <f t="shared" ca="1" si="96"/>
        <v>7.915591716195855E-2</v>
      </c>
      <c r="BZ72" s="1">
        <f t="shared" ca="1" si="97"/>
        <v>0.91361907061962233</v>
      </c>
      <c r="CB72" s="1">
        <f t="shared" ca="1" si="98"/>
        <v>86</v>
      </c>
      <c r="CC72" s="1">
        <f t="shared" ca="1" si="99"/>
        <v>7</v>
      </c>
      <c r="CD72" s="1">
        <f t="shared" ca="1" si="100"/>
        <v>0.27924789938389555</v>
      </c>
      <c r="CE72" s="1">
        <f t="shared" ca="1" si="101"/>
        <v>0.92700013653713809</v>
      </c>
      <c r="CF72" s="1">
        <f t="shared" ca="1" si="101"/>
        <v>0.89825197983801541</v>
      </c>
      <c r="CH72" s="7">
        <f t="shared" ca="1" si="102"/>
        <v>0.42596727805682205</v>
      </c>
      <c r="CI72" s="7">
        <f t="shared" ca="1" si="103"/>
        <v>0.87726665560775163</v>
      </c>
      <c r="CJ72" s="7">
        <f t="shared" ca="1" si="104"/>
        <v>1248</v>
      </c>
      <c r="CK72" s="7">
        <f t="shared" ca="1" si="105"/>
        <v>8.3836921831416389E-3</v>
      </c>
      <c r="CL72" s="7">
        <f t="shared" ca="1" si="106"/>
        <v>1</v>
      </c>
    </row>
    <row r="73" spans="2:90" x14ac:dyDescent="0.25">
      <c r="B73">
        <f t="shared" ca="1" si="54"/>
        <v>927</v>
      </c>
      <c r="C73">
        <f t="shared" ca="1" si="55"/>
        <v>29</v>
      </c>
      <c r="D73">
        <f t="shared" ca="1" si="56"/>
        <v>4.0364164857589847E-2</v>
      </c>
      <c r="F73" s="1">
        <f t="shared" ca="1" si="57"/>
        <v>16</v>
      </c>
      <c r="G73" s="1">
        <f t="shared" ca="1" si="58"/>
        <v>21</v>
      </c>
      <c r="H73" s="1">
        <f t="shared" ca="1" si="59"/>
        <v>15</v>
      </c>
      <c r="I73" s="1"/>
      <c r="J73" s="1">
        <f t="shared" ca="1" si="60"/>
        <v>36</v>
      </c>
      <c r="K73" s="1">
        <f t="shared" ca="1" si="61"/>
        <v>2.9207350666107645</v>
      </c>
      <c r="L73" s="1">
        <f t="shared" ca="1" si="62"/>
        <v>5</v>
      </c>
      <c r="M73" s="1"/>
      <c r="N73" s="1">
        <f t="shared" ca="1" si="63"/>
        <v>92</v>
      </c>
      <c r="O73" s="1">
        <f t="shared" ca="1" si="64"/>
        <v>25</v>
      </c>
      <c r="P73" s="1"/>
      <c r="Q73" s="1">
        <f t="shared" ca="1" si="65"/>
        <v>2.7964193200934155</v>
      </c>
      <c r="R73" s="1">
        <f t="shared" ca="1" si="66"/>
        <v>910</v>
      </c>
      <c r="S73" s="1"/>
      <c r="T73" s="1">
        <f t="shared" ca="1" si="67"/>
        <v>4.7720098950265695E-2</v>
      </c>
      <c r="U73" s="1">
        <f t="shared" ca="1" si="68"/>
        <v>89</v>
      </c>
      <c r="V73" s="1">
        <f t="shared" ca="1" si="69"/>
        <v>37</v>
      </c>
      <c r="W73" s="1"/>
      <c r="X73" s="1">
        <f t="shared" ca="1" si="70"/>
        <v>2.1072587066794157</v>
      </c>
      <c r="Y73" s="1">
        <f t="shared" ca="1" si="71"/>
        <v>0.56468132919761582</v>
      </c>
      <c r="Z73" s="1">
        <f t="shared" ca="1" si="72"/>
        <v>755</v>
      </c>
      <c r="AB73" s="1">
        <f t="shared" ca="1" si="73"/>
        <v>0.85913249405536896</v>
      </c>
      <c r="AC73" s="1">
        <f t="shared" ca="1" si="74"/>
        <v>256</v>
      </c>
      <c r="AD73" s="1">
        <f t="shared" ca="1" si="75"/>
        <v>3.5384047230755922E-3</v>
      </c>
      <c r="AE73" s="1"/>
      <c r="AF73" s="1">
        <f t="shared" ca="1" si="76"/>
        <v>0.10828630377362405</v>
      </c>
      <c r="AG73" s="1">
        <f t="shared" ca="1" si="77"/>
        <v>534</v>
      </c>
      <c r="AH73" s="1">
        <f t="shared" ca="1" si="78"/>
        <v>7.9165988565175795E-3</v>
      </c>
      <c r="AJ73" s="1">
        <f t="shared" ca="1" si="79"/>
        <v>0.63984311465542676</v>
      </c>
      <c r="AK73" s="1">
        <f t="shared" ca="1" si="80"/>
        <v>9.6361248896961009E-3</v>
      </c>
      <c r="AL73" s="1"/>
      <c r="AM73" s="1">
        <f t="shared" ca="1" si="81"/>
        <v>5.9114409876313341E-2</v>
      </c>
      <c r="AN73" s="1">
        <f t="shared" ca="1" si="82"/>
        <v>53</v>
      </c>
      <c r="AO73" s="1">
        <f t="shared" ca="1" si="83"/>
        <v>1</v>
      </c>
      <c r="AQ73" s="1">
        <f t="shared" ca="1" si="84"/>
        <v>142</v>
      </c>
      <c r="AR73" s="1">
        <f t="shared" ca="1" si="85"/>
        <v>2</v>
      </c>
      <c r="AS73" s="1">
        <f t="shared" ca="1" si="86"/>
        <v>24</v>
      </c>
      <c r="AU73" s="1">
        <f t="shared" ca="1" si="87"/>
        <v>109</v>
      </c>
      <c r="AV73" s="1">
        <f t="shared" ca="1" si="88"/>
        <v>10</v>
      </c>
      <c r="AW73" s="1">
        <f t="shared" ca="1" si="89"/>
        <v>5.5534326148888299E-2</v>
      </c>
      <c r="AY73" s="1">
        <f t="shared" ca="1" si="90"/>
        <v>1.5125725391423774</v>
      </c>
      <c r="AZ73" s="1">
        <f t="shared" ca="1" si="91"/>
        <v>58</v>
      </c>
      <c r="BA73" s="1">
        <f t="shared" ca="1" si="92"/>
        <v>9.9184491564985027E-3</v>
      </c>
      <c r="BV73" s="1">
        <f t="shared" ca="1" si="93"/>
        <v>0.75681330152459303</v>
      </c>
      <c r="BW73" s="1">
        <f t="shared" ca="1" si="94"/>
        <v>347</v>
      </c>
      <c r="BX73" s="1">
        <f t="shared" ca="1" si="95"/>
        <v>2.0737644536227037E-3</v>
      </c>
      <c r="BY73" s="1">
        <f t="shared" ca="1" si="96"/>
        <v>1.8350901519000661E-2</v>
      </c>
      <c r="BZ73" s="1">
        <f t="shared" ca="1" si="97"/>
        <v>0.21793645156150765</v>
      </c>
      <c r="CB73" s="1">
        <f t="shared" ca="1" si="98"/>
        <v>369</v>
      </c>
      <c r="CC73" s="1">
        <f t="shared" ca="1" si="99"/>
        <v>8</v>
      </c>
      <c r="CD73" s="1">
        <f t="shared" ca="1" si="100"/>
        <v>0.29820720322920086</v>
      </c>
      <c r="CE73" s="1">
        <f t="shared" ca="1" si="101"/>
        <v>0.50032607295502496</v>
      </c>
      <c r="CF73" s="1">
        <f t="shared" ca="1" si="101"/>
        <v>0.70193987302617566</v>
      </c>
      <c r="CH73" s="7">
        <f t="shared" ca="1" si="102"/>
        <v>0.48914969944580999</v>
      </c>
      <c r="CI73" s="7">
        <f t="shared" ca="1" si="103"/>
        <v>0.29018765976289695</v>
      </c>
      <c r="CJ73" s="7">
        <f t="shared" ca="1" si="104"/>
        <v>1437</v>
      </c>
      <c r="CK73" s="7">
        <f t="shared" ca="1" si="105"/>
        <v>9.5978999347853498E-3</v>
      </c>
      <c r="CL73" s="7">
        <f t="shared" ca="1" si="106"/>
        <v>0</v>
      </c>
    </row>
    <row r="74" spans="2:90" x14ac:dyDescent="0.25">
      <c r="B74">
        <f t="shared" ca="1" si="54"/>
        <v>564</v>
      </c>
      <c r="C74">
        <f t="shared" ca="1" si="55"/>
        <v>8</v>
      </c>
      <c r="D74">
        <f t="shared" ca="1" si="56"/>
        <v>0.10754865568466658</v>
      </c>
      <c r="F74" s="1">
        <f t="shared" ca="1" si="57"/>
        <v>16</v>
      </c>
      <c r="G74" s="1">
        <f t="shared" ca="1" si="58"/>
        <v>20</v>
      </c>
      <c r="H74" s="1">
        <f t="shared" ca="1" si="59"/>
        <v>9</v>
      </c>
      <c r="I74" s="1"/>
      <c r="J74" s="1">
        <f t="shared" ca="1" si="60"/>
        <v>19</v>
      </c>
      <c r="K74" s="1">
        <f t="shared" ca="1" si="61"/>
        <v>1.9527962648650175</v>
      </c>
      <c r="L74" s="1">
        <f t="shared" ca="1" si="62"/>
        <v>31</v>
      </c>
      <c r="M74" s="1"/>
      <c r="N74" s="1">
        <f t="shared" ca="1" si="63"/>
        <v>868</v>
      </c>
      <c r="O74" s="1">
        <f t="shared" ca="1" si="64"/>
        <v>42</v>
      </c>
      <c r="P74" s="1"/>
      <c r="Q74" s="1">
        <f t="shared" ca="1" si="65"/>
        <v>2.9088078534690069</v>
      </c>
      <c r="R74" s="1">
        <f t="shared" ca="1" si="66"/>
        <v>838</v>
      </c>
      <c r="S74" s="1"/>
      <c r="T74" s="1">
        <f t="shared" ca="1" si="67"/>
        <v>0.17827506092410053</v>
      </c>
      <c r="U74" s="1">
        <f t="shared" ca="1" si="68"/>
        <v>371</v>
      </c>
      <c r="V74" s="1">
        <f t="shared" ca="1" si="69"/>
        <v>48</v>
      </c>
      <c r="W74" s="1"/>
      <c r="X74" s="1">
        <f t="shared" ca="1" si="70"/>
        <v>6.6696258073376162</v>
      </c>
      <c r="Y74" s="1">
        <f t="shared" ca="1" si="71"/>
        <v>0.84133071333999887</v>
      </c>
      <c r="Z74" s="1">
        <f t="shared" ca="1" si="72"/>
        <v>1758</v>
      </c>
      <c r="AB74" s="1">
        <f t="shared" ca="1" si="73"/>
        <v>0.91065385385633435</v>
      </c>
      <c r="AC74" s="1">
        <f t="shared" ca="1" si="74"/>
        <v>478</v>
      </c>
      <c r="AD74" s="1">
        <f t="shared" ca="1" si="75"/>
        <v>4.5646258658915001E-3</v>
      </c>
      <c r="AE74" s="1"/>
      <c r="AF74" s="1">
        <f t="shared" ca="1" si="76"/>
        <v>0.18757659286857731</v>
      </c>
      <c r="AG74" s="1">
        <f t="shared" ca="1" si="77"/>
        <v>459</v>
      </c>
      <c r="AH74" s="1">
        <f t="shared" ca="1" si="78"/>
        <v>9.9466659501529263E-4</v>
      </c>
      <c r="AJ74" s="1">
        <f t="shared" ca="1" si="79"/>
        <v>0.40751293661881061</v>
      </c>
      <c r="AK74" s="1">
        <f t="shared" ca="1" si="80"/>
        <v>2.6553331838334968E-3</v>
      </c>
      <c r="AL74" s="1"/>
      <c r="AM74" s="1">
        <f t="shared" ca="1" si="81"/>
        <v>0.14710962105694589</v>
      </c>
      <c r="AN74" s="1">
        <f t="shared" ca="1" si="82"/>
        <v>13</v>
      </c>
      <c r="AO74" s="1">
        <f t="shared" ca="1" si="83"/>
        <v>16</v>
      </c>
      <c r="AQ74" s="1">
        <f t="shared" ca="1" si="84"/>
        <v>140</v>
      </c>
      <c r="AR74" s="1">
        <f t="shared" ca="1" si="85"/>
        <v>8</v>
      </c>
      <c r="AS74" s="1">
        <f t="shared" ca="1" si="86"/>
        <v>22</v>
      </c>
      <c r="AU74" s="1">
        <f t="shared" ca="1" si="87"/>
        <v>360</v>
      </c>
      <c r="AV74" s="1">
        <f t="shared" ca="1" si="88"/>
        <v>4</v>
      </c>
      <c r="AW74" s="1">
        <f t="shared" ca="1" si="89"/>
        <v>7.1089973590229505E-2</v>
      </c>
      <c r="AY74" s="1">
        <f t="shared" ca="1" si="90"/>
        <v>1.332427958607705</v>
      </c>
      <c r="AZ74" s="1">
        <f t="shared" ca="1" si="91"/>
        <v>267</v>
      </c>
      <c r="BA74" s="1">
        <f t="shared" ca="1" si="92"/>
        <v>7.2606456555034974E-3</v>
      </c>
      <c r="BV74" s="1">
        <f t="shared" ca="1" si="93"/>
        <v>0.1645392961636758</v>
      </c>
      <c r="BW74" s="1">
        <f t="shared" ca="1" si="94"/>
        <v>384</v>
      </c>
      <c r="BX74" s="1">
        <f t="shared" ca="1" si="95"/>
        <v>7.4295053097573104E-3</v>
      </c>
      <c r="BY74" s="1">
        <f t="shared" ca="1" si="96"/>
        <v>7.902123782831642E-3</v>
      </c>
      <c r="BZ74" s="1">
        <f t="shared" ca="1" si="97"/>
        <v>0.47077030654784824</v>
      </c>
      <c r="CB74" s="1">
        <f t="shared" ca="1" si="98"/>
        <v>447</v>
      </c>
      <c r="CC74" s="1">
        <f t="shared" ca="1" si="99"/>
        <v>14</v>
      </c>
      <c r="CD74" s="1">
        <f t="shared" ca="1" si="100"/>
        <v>0.10849538477131908</v>
      </c>
      <c r="CE74" s="1">
        <f t="shared" ca="1" si="101"/>
        <v>0.96403647655056401</v>
      </c>
      <c r="CF74" s="1">
        <f t="shared" ca="1" si="101"/>
        <v>0.54377209213343669</v>
      </c>
      <c r="CH74" s="7">
        <f t="shared" ca="1" si="102"/>
        <v>0.24166428137317444</v>
      </c>
      <c r="CI74" s="7">
        <f t="shared" ca="1" si="103"/>
        <v>0.70906027491009993</v>
      </c>
      <c r="CJ74" s="7">
        <f t="shared" ca="1" si="104"/>
        <v>305</v>
      </c>
      <c r="CK74" s="7">
        <f t="shared" ca="1" si="105"/>
        <v>7.6591229596594005E-3</v>
      </c>
      <c r="CL74" s="7">
        <f t="shared" ca="1" si="106"/>
        <v>0</v>
      </c>
    </row>
    <row r="75" spans="2:90" x14ac:dyDescent="0.25">
      <c r="B75">
        <f t="shared" ca="1" si="54"/>
        <v>362</v>
      </c>
      <c r="C75">
        <f t="shared" ca="1" si="55"/>
        <v>21</v>
      </c>
      <c r="D75">
        <f t="shared" ca="1" si="56"/>
        <v>2.6089447965548317E-2</v>
      </c>
      <c r="F75" s="1">
        <f t="shared" ca="1" si="57"/>
        <v>23</v>
      </c>
      <c r="G75" s="1">
        <f t="shared" ca="1" si="58"/>
        <v>16</v>
      </c>
      <c r="H75" s="1">
        <f t="shared" ca="1" si="59"/>
        <v>11</v>
      </c>
      <c r="I75" s="1"/>
      <c r="J75" s="1">
        <f t="shared" ca="1" si="60"/>
        <v>36</v>
      </c>
      <c r="K75" s="1">
        <f t="shared" ca="1" si="61"/>
        <v>1.9341809510534183</v>
      </c>
      <c r="L75" s="1">
        <f t="shared" ca="1" si="62"/>
        <v>18</v>
      </c>
      <c r="M75" s="1"/>
      <c r="N75" s="1">
        <f t="shared" ca="1" si="63"/>
        <v>554</v>
      </c>
      <c r="O75" s="1">
        <f t="shared" ca="1" si="64"/>
        <v>49</v>
      </c>
      <c r="P75" s="1"/>
      <c r="Q75" s="1">
        <f t="shared" ca="1" si="65"/>
        <v>3.959765663330058</v>
      </c>
      <c r="R75" s="1">
        <f t="shared" ca="1" si="66"/>
        <v>918</v>
      </c>
      <c r="S75" s="1"/>
      <c r="T75" s="1">
        <f t="shared" ca="1" si="67"/>
        <v>9.8751110593287658E-2</v>
      </c>
      <c r="U75" s="1">
        <f t="shared" ca="1" si="68"/>
        <v>90</v>
      </c>
      <c r="V75" s="1">
        <f t="shared" ca="1" si="69"/>
        <v>5</v>
      </c>
      <c r="W75" s="1"/>
      <c r="X75" s="1">
        <f t="shared" ca="1" si="70"/>
        <v>1.0981928916815296</v>
      </c>
      <c r="Y75" s="1">
        <f t="shared" ca="1" si="71"/>
        <v>0.96678837299049358</v>
      </c>
      <c r="Z75" s="1">
        <f t="shared" ca="1" si="72"/>
        <v>1146</v>
      </c>
      <c r="AB75" s="1">
        <f t="shared" ca="1" si="73"/>
        <v>0.95988052230953147</v>
      </c>
      <c r="AC75" s="1">
        <f t="shared" ca="1" si="74"/>
        <v>790</v>
      </c>
      <c r="AD75" s="1">
        <f t="shared" ca="1" si="75"/>
        <v>8.2860037933364435E-3</v>
      </c>
      <c r="AE75" s="1"/>
      <c r="AF75" s="1">
        <f t="shared" ca="1" si="76"/>
        <v>0.49957450528616265</v>
      </c>
      <c r="AG75" s="1">
        <f t="shared" ca="1" si="77"/>
        <v>580</v>
      </c>
      <c r="AH75" s="1">
        <f t="shared" ca="1" si="78"/>
        <v>7.5556041658239115E-3</v>
      </c>
      <c r="AJ75" s="1">
        <f t="shared" ca="1" si="79"/>
        <v>0.45924212400986342</v>
      </c>
      <c r="AK75" s="1">
        <f t="shared" ca="1" si="80"/>
        <v>7.5083238029499313E-3</v>
      </c>
      <c r="AL75" s="1"/>
      <c r="AM75" s="1">
        <f t="shared" ca="1" si="81"/>
        <v>0.17002976694292327</v>
      </c>
      <c r="AN75" s="1">
        <f t="shared" ca="1" si="82"/>
        <v>29</v>
      </c>
      <c r="AO75" s="1">
        <f t="shared" ca="1" si="83"/>
        <v>2</v>
      </c>
      <c r="AQ75" s="1">
        <f t="shared" ca="1" si="84"/>
        <v>182</v>
      </c>
      <c r="AR75" s="1">
        <f t="shared" ca="1" si="85"/>
        <v>1</v>
      </c>
      <c r="AS75" s="1">
        <f t="shared" ca="1" si="86"/>
        <v>7</v>
      </c>
      <c r="AU75" s="1">
        <f t="shared" ca="1" si="87"/>
        <v>127</v>
      </c>
      <c r="AV75" s="1">
        <f t="shared" ca="1" si="88"/>
        <v>9</v>
      </c>
      <c r="AW75" s="1">
        <f t="shared" ca="1" si="89"/>
        <v>2.6939512702190756E-2</v>
      </c>
      <c r="AY75" s="1">
        <f t="shared" ca="1" si="90"/>
        <v>1.414173057538189</v>
      </c>
      <c r="AZ75" s="1">
        <f t="shared" ca="1" si="91"/>
        <v>395</v>
      </c>
      <c r="BA75" s="1">
        <f t="shared" ca="1" si="92"/>
        <v>8.0231544459569339E-3</v>
      </c>
      <c r="BV75" s="1">
        <f t="shared" ca="1" si="93"/>
        <v>0.14560125693441736</v>
      </c>
      <c r="BW75" s="1">
        <f t="shared" ca="1" si="94"/>
        <v>682</v>
      </c>
      <c r="BX75" s="1">
        <f t="shared" ca="1" si="95"/>
        <v>6.3038700166559158E-3</v>
      </c>
      <c r="BY75" s="1">
        <f t="shared" ca="1" si="96"/>
        <v>1.2691161767191528E-3</v>
      </c>
      <c r="BZ75" s="1">
        <f t="shared" ca="1" si="97"/>
        <v>0.46709003654199954</v>
      </c>
      <c r="CB75" s="1">
        <f t="shared" ca="1" si="98"/>
        <v>260</v>
      </c>
      <c r="CC75" s="1">
        <f t="shared" ca="1" si="99"/>
        <v>12</v>
      </c>
      <c r="CD75" s="1">
        <f t="shared" ca="1" si="100"/>
        <v>0.1472272814478166</v>
      </c>
      <c r="CE75" s="1">
        <f t="shared" ca="1" si="101"/>
        <v>0.78967772061210062</v>
      </c>
      <c r="CF75" s="1">
        <f t="shared" ca="1" si="101"/>
        <v>0.70437931629739059</v>
      </c>
      <c r="CH75" s="7">
        <f t="shared" ca="1" si="102"/>
        <v>0.67488078235776927</v>
      </c>
      <c r="CI75" s="7">
        <f t="shared" ca="1" si="103"/>
        <v>0.29598323049411202</v>
      </c>
      <c r="CJ75" s="7">
        <f t="shared" ca="1" si="104"/>
        <v>588</v>
      </c>
      <c r="CK75" s="7">
        <f t="shared" ca="1" si="105"/>
        <v>5.9708897377872966E-3</v>
      </c>
      <c r="CL75" s="7">
        <f t="shared" ca="1" si="106"/>
        <v>1</v>
      </c>
    </row>
    <row r="76" spans="2:90" x14ac:dyDescent="0.25">
      <c r="B76">
        <f t="shared" ca="1" si="54"/>
        <v>434</v>
      </c>
      <c r="C76">
        <f t="shared" ca="1" si="55"/>
        <v>17</v>
      </c>
      <c r="D76">
        <f t="shared" ca="1" si="56"/>
        <v>0.11957750870751424</v>
      </c>
      <c r="F76" s="1">
        <f t="shared" ca="1" si="57"/>
        <v>11</v>
      </c>
      <c r="G76" s="1">
        <f t="shared" ca="1" si="58"/>
        <v>10</v>
      </c>
      <c r="H76" s="1">
        <f t="shared" ca="1" si="59"/>
        <v>12</v>
      </c>
      <c r="I76" s="1"/>
      <c r="J76" s="1">
        <f t="shared" ca="1" si="60"/>
        <v>16</v>
      </c>
      <c r="K76" s="1">
        <f t="shared" ca="1" si="61"/>
        <v>2.5803516714633141</v>
      </c>
      <c r="L76" s="1">
        <f t="shared" ca="1" si="62"/>
        <v>15</v>
      </c>
      <c r="M76" s="1"/>
      <c r="N76" s="1">
        <f t="shared" ca="1" si="63"/>
        <v>177</v>
      </c>
      <c r="O76" s="1">
        <f t="shared" ca="1" si="64"/>
        <v>31</v>
      </c>
      <c r="P76" s="1"/>
      <c r="Q76" s="1">
        <f t="shared" ca="1" si="65"/>
        <v>0.80296121541470955</v>
      </c>
      <c r="R76" s="1">
        <f t="shared" ca="1" si="66"/>
        <v>794</v>
      </c>
      <c r="S76" s="1"/>
      <c r="T76" s="1">
        <f t="shared" ca="1" si="67"/>
        <v>7.0558553732352494E-2</v>
      </c>
      <c r="U76" s="1">
        <f t="shared" ca="1" si="68"/>
        <v>444</v>
      </c>
      <c r="V76" s="1">
        <f t="shared" ca="1" si="69"/>
        <v>48</v>
      </c>
      <c r="W76" s="1"/>
      <c r="X76" s="1">
        <f t="shared" ca="1" si="70"/>
        <v>7.3872012442410133</v>
      </c>
      <c r="Y76" s="1">
        <f t="shared" ca="1" si="71"/>
        <v>0.45685671743134476</v>
      </c>
      <c r="Z76" s="1">
        <f t="shared" ca="1" si="72"/>
        <v>1770</v>
      </c>
      <c r="AB76" s="1">
        <f t="shared" ca="1" si="73"/>
        <v>0.44001259564688477</v>
      </c>
      <c r="AC76" s="1">
        <f t="shared" ca="1" si="74"/>
        <v>667</v>
      </c>
      <c r="AD76" s="1">
        <f t="shared" ca="1" si="75"/>
        <v>3.8149754504512921E-3</v>
      </c>
      <c r="AE76" s="1"/>
      <c r="AF76" s="1">
        <f t="shared" ca="1" si="76"/>
        <v>0.79006513936610301</v>
      </c>
      <c r="AG76" s="1">
        <f t="shared" ca="1" si="77"/>
        <v>257</v>
      </c>
      <c r="AH76" s="1">
        <f t="shared" ca="1" si="78"/>
        <v>7.4509487617256296E-4</v>
      </c>
      <c r="AJ76" s="1">
        <f t="shared" ca="1" si="79"/>
        <v>0.33176381280556833</v>
      </c>
      <c r="AK76" s="1">
        <f t="shared" ca="1" si="80"/>
        <v>5.8955324338068838E-3</v>
      </c>
      <c r="AL76" s="1"/>
      <c r="AM76" s="1">
        <f t="shared" ca="1" si="81"/>
        <v>1.4215565467666617E-2</v>
      </c>
      <c r="AN76" s="1">
        <f t="shared" ca="1" si="82"/>
        <v>21</v>
      </c>
      <c r="AO76" s="1">
        <f t="shared" ca="1" si="83"/>
        <v>16</v>
      </c>
      <c r="AQ76" s="1">
        <f t="shared" ca="1" si="84"/>
        <v>58</v>
      </c>
      <c r="AR76" s="1">
        <f t="shared" ca="1" si="85"/>
        <v>1</v>
      </c>
      <c r="AS76" s="1">
        <f t="shared" ca="1" si="86"/>
        <v>6</v>
      </c>
      <c r="AU76" s="1">
        <f t="shared" ca="1" si="87"/>
        <v>128</v>
      </c>
      <c r="AV76" s="1">
        <f t="shared" ca="1" si="88"/>
        <v>9</v>
      </c>
      <c r="AW76" s="1">
        <f t="shared" ca="1" si="89"/>
        <v>9.2533017034527792E-2</v>
      </c>
      <c r="AY76" s="1">
        <f t="shared" ca="1" si="90"/>
        <v>1.4992657276799923</v>
      </c>
      <c r="AZ76" s="1">
        <f t="shared" ca="1" si="91"/>
        <v>329</v>
      </c>
      <c r="BA76" s="1">
        <f t="shared" ca="1" si="92"/>
        <v>3.4364030035982872E-3</v>
      </c>
      <c r="BV76" s="1">
        <f t="shared" ca="1" si="93"/>
        <v>0.80177913834623404</v>
      </c>
      <c r="BW76" s="1">
        <f t="shared" ca="1" si="94"/>
        <v>636</v>
      </c>
      <c r="BX76" s="1">
        <f t="shared" ca="1" si="95"/>
        <v>9.2753247768843688E-4</v>
      </c>
      <c r="BY76" s="1">
        <f t="shared" ca="1" si="96"/>
        <v>3.8563422483692884E-2</v>
      </c>
      <c r="BZ76" s="1">
        <f t="shared" ca="1" si="97"/>
        <v>0.63846722457251925</v>
      </c>
      <c r="CB76" s="1">
        <f t="shared" ca="1" si="98"/>
        <v>213</v>
      </c>
      <c r="CC76" s="1">
        <f t="shared" ca="1" si="99"/>
        <v>10</v>
      </c>
      <c r="CD76" s="1">
        <f t="shared" ca="1" si="100"/>
        <v>5.3837024352990162E-2</v>
      </c>
      <c r="CE76" s="1">
        <f t="shared" ca="1" si="101"/>
        <v>0.82879871973128849</v>
      </c>
      <c r="CF76" s="1">
        <f t="shared" ca="1" si="101"/>
        <v>0.75971418265649704</v>
      </c>
      <c r="CH76" s="7">
        <f t="shared" ca="1" si="102"/>
        <v>0.60027474331426112</v>
      </c>
      <c r="CI76" s="7">
        <f t="shared" ca="1" si="103"/>
        <v>0.29359368396042845</v>
      </c>
      <c r="CJ76" s="7">
        <f t="shared" ca="1" si="104"/>
        <v>1138</v>
      </c>
      <c r="CK76" s="7">
        <f t="shared" ca="1" si="105"/>
        <v>4.8875220633692847E-3</v>
      </c>
      <c r="CL76" s="7">
        <f t="shared" ca="1" si="106"/>
        <v>0</v>
      </c>
    </row>
    <row r="77" spans="2:90" x14ac:dyDescent="0.25">
      <c r="B77">
        <f t="shared" ca="1" si="54"/>
        <v>246</v>
      </c>
      <c r="C77">
        <f t="shared" ca="1" si="55"/>
        <v>15</v>
      </c>
      <c r="D77">
        <f t="shared" ca="1" si="56"/>
        <v>0.10301862462348464</v>
      </c>
      <c r="F77" s="1">
        <f t="shared" ca="1" si="57"/>
        <v>26</v>
      </c>
      <c r="G77" s="1">
        <f t="shared" ca="1" si="58"/>
        <v>18</v>
      </c>
      <c r="H77" s="1">
        <f t="shared" ca="1" si="59"/>
        <v>2</v>
      </c>
      <c r="I77" s="1"/>
      <c r="J77" s="1">
        <f t="shared" ca="1" si="60"/>
        <v>2</v>
      </c>
      <c r="K77" s="1">
        <f t="shared" ca="1" si="61"/>
        <v>1.1529816953070655</v>
      </c>
      <c r="L77" s="1">
        <f t="shared" ca="1" si="62"/>
        <v>8</v>
      </c>
      <c r="M77" s="1"/>
      <c r="N77" s="1">
        <f t="shared" ca="1" si="63"/>
        <v>486</v>
      </c>
      <c r="O77" s="1">
        <f t="shared" ca="1" si="64"/>
        <v>30</v>
      </c>
      <c r="P77" s="1"/>
      <c r="Q77" s="1">
        <f t="shared" ca="1" si="65"/>
        <v>4.3929642236487618</v>
      </c>
      <c r="R77" s="1">
        <f t="shared" ca="1" si="66"/>
        <v>693</v>
      </c>
      <c r="S77" s="1"/>
      <c r="T77" s="1">
        <f t="shared" ca="1" si="67"/>
        <v>2.1548299837566773E-2</v>
      </c>
      <c r="U77" s="1">
        <f t="shared" ca="1" si="68"/>
        <v>434</v>
      </c>
      <c r="V77" s="1">
        <f t="shared" ca="1" si="69"/>
        <v>48</v>
      </c>
      <c r="W77" s="1"/>
      <c r="X77" s="1">
        <f t="shared" ca="1" si="70"/>
        <v>6.4069402023409294</v>
      </c>
      <c r="Y77" s="1">
        <f t="shared" ca="1" si="71"/>
        <v>0.81398755419570734</v>
      </c>
      <c r="Z77" s="1">
        <f t="shared" ca="1" si="72"/>
        <v>373</v>
      </c>
      <c r="AB77" s="1">
        <f t="shared" ca="1" si="73"/>
        <v>0.57755092549717435</v>
      </c>
      <c r="AC77" s="1">
        <f t="shared" ca="1" si="74"/>
        <v>771</v>
      </c>
      <c r="AD77" s="1">
        <f t="shared" ca="1" si="75"/>
        <v>8.0225725971036638E-3</v>
      </c>
      <c r="AE77" s="1"/>
      <c r="AF77" s="1">
        <f t="shared" ca="1" si="76"/>
        <v>0.52268017819555845</v>
      </c>
      <c r="AG77" s="1">
        <f t="shared" ca="1" si="77"/>
        <v>776</v>
      </c>
      <c r="AH77" s="1">
        <f t="shared" ca="1" si="78"/>
        <v>3.9097851424518722E-3</v>
      </c>
      <c r="AJ77" s="1">
        <f t="shared" ca="1" si="79"/>
        <v>0.54576006679751754</v>
      </c>
      <c r="AK77" s="1">
        <f t="shared" ca="1" si="80"/>
        <v>9.6012648089535638E-3</v>
      </c>
      <c r="AL77" s="1"/>
      <c r="AM77" s="1">
        <f t="shared" ca="1" si="81"/>
        <v>1.1943242003595887E-2</v>
      </c>
      <c r="AN77" s="1">
        <f t="shared" ca="1" si="82"/>
        <v>29</v>
      </c>
      <c r="AO77" s="1">
        <f t="shared" ca="1" si="83"/>
        <v>15</v>
      </c>
      <c r="AQ77" s="1">
        <f t="shared" ca="1" si="84"/>
        <v>24</v>
      </c>
      <c r="AR77" s="1">
        <f t="shared" ca="1" si="85"/>
        <v>6</v>
      </c>
      <c r="AS77" s="1">
        <f t="shared" ca="1" si="86"/>
        <v>94</v>
      </c>
      <c r="AU77" s="1">
        <f t="shared" ca="1" si="87"/>
        <v>251</v>
      </c>
      <c r="AV77" s="1">
        <f t="shared" ca="1" si="88"/>
        <v>3</v>
      </c>
      <c r="AW77" s="1">
        <f t="shared" ca="1" si="89"/>
        <v>4.9928617694685387E-2</v>
      </c>
      <c r="AY77" s="1">
        <f t="shared" ca="1" si="90"/>
        <v>1.1314872632367821</v>
      </c>
      <c r="AZ77" s="1">
        <f t="shared" ca="1" si="91"/>
        <v>323</v>
      </c>
      <c r="BA77" s="1">
        <f t="shared" ca="1" si="92"/>
        <v>9.9488044679882214E-3</v>
      </c>
      <c r="BV77" s="1">
        <f t="shared" ca="1" si="93"/>
        <v>0.1073251019921682</v>
      </c>
      <c r="BW77" s="1">
        <f t="shared" ca="1" si="94"/>
        <v>421</v>
      </c>
      <c r="BX77" s="1">
        <f t="shared" ca="1" si="95"/>
        <v>8.7482566695259523E-4</v>
      </c>
      <c r="BY77" s="1">
        <f t="shared" ca="1" si="96"/>
        <v>4.7643040739762388E-3</v>
      </c>
      <c r="BZ77" s="1">
        <f t="shared" ca="1" si="97"/>
        <v>8.618902055726918E-2</v>
      </c>
      <c r="CB77" s="1">
        <f t="shared" ca="1" si="98"/>
        <v>342</v>
      </c>
      <c r="CC77" s="1">
        <f t="shared" ca="1" si="99"/>
        <v>3</v>
      </c>
      <c r="CD77" s="1">
        <f t="shared" ca="1" si="100"/>
        <v>0.12624332961310941</v>
      </c>
      <c r="CE77" s="1">
        <f t="shared" ca="1" si="101"/>
        <v>0.50590862038686213</v>
      </c>
      <c r="CF77" s="1">
        <f t="shared" ca="1" si="101"/>
        <v>0.67010614553507986</v>
      </c>
      <c r="CH77" s="7">
        <f t="shared" ca="1" si="102"/>
        <v>0.71495559500832651</v>
      </c>
      <c r="CI77" s="7">
        <f t="shared" ca="1" si="103"/>
        <v>0.38999092515539069</v>
      </c>
      <c r="CJ77" s="7">
        <f t="shared" ca="1" si="104"/>
        <v>1512</v>
      </c>
      <c r="CK77" s="7">
        <f t="shared" ca="1" si="105"/>
        <v>3.3296911381244807E-3</v>
      </c>
      <c r="CL77" s="7">
        <f t="shared" ca="1" si="106"/>
        <v>0</v>
      </c>
    </row>
    <row r="78" spans="2:90" x14ac:dyDescent="0.25">
      <c r="B78">
        <f t="shared" ca="1" si="54"/>
        <v>505</v>
      </c>
      <c r="C78">
        <f t="shared" ca="1" si="55"/>
        <v>51</v>
      </c>
      <c r="D78">
        <f t="shared" ca="1" si="56"/>
        <v>4.9968372222540476E-2</v>
      </c>
      <c r="F78" s="1">
        <f t="shared" ca="1" si="57"/>
        <v>15</v>
      </c>
      <c r="G78" s="1">
        <f t="shared" ca="1" si="58"/>
        <v>4</v>
      </c>
      <c r="H78" s="1">
        <f t="shared" ca="1" si="59"/>
        <v>7</v>
      </c>
      <c r="I78" s="1"/>
      <c r="J78" s="1">
        <f t="shared" ca="1" si="60"/>
        <v>23</v>
      </c>
      <c r="K78" s="1">
        <f t="shared" ca="1" si="61"/>
        <v>1.9491167689892981</v>
      </c>
      <c r="L78" s="1">
        <f t="shared" ca="1" si="62"/>
        <v>21</v>
      </c>
      <c r="M78" s="1"/>
      <c r="N78" s="1">
        <f t="shared" ca="1" si="63"/>
        <v>904</v>
      </c>
      <c r="O78" s="1">
        <f t="shared" ca="1" si="64"/>
        <v>19</v>
      </c>
      <c r="P78" s="1"/>
      <c r="Q78" s="1">
        <f t="shared" ca="1" si="65"/>
        <v>2.3054718219086698</v>
      </c>
      <c r="R78" s="1">
        <f t="shared" ca="1" si="66"/>
        <v>850</v>
      </c>
      <c r="S78" s="1"/>
      <c r="T78" s="1">
        <f t="shared" ca="1" si="67"/>
        <v>0.11003990882017033</v>
      </c>
      <c r="U78" s="1">
        <f t="shared" ca="1" si="68"/>
        <v>180</v>
      </c>
      <c r="V78" s="1">
        <f t="shared" ca="1" si="69"/>
        <v>36</v>
      </c>
      <c r="W78" s="1"/>
      <c r="X78" s="1">
        <f t="shared" ca="1" si="70"/>
        <v>2.2002756152709764</v>
      </c>
      <c r="Y78" s="1">
        <f t="shared" ca="1" si="71"/>
        <v>2.7679750525865389E-2</v>
      </c>
      <c r="Z78" s="1">
        <f t="shared" ca="1" si="72"/>
        <v>287</v>
      </c>
      <c r="AB78" s="1">
        <f t="shared" ca="1" si="73"/>
        <v>0.558753100380743</v>
      </c>
      <c r="AC78" s="1">
        <f t="shared" ca="1" si="74"/>
        <v>803</v>
      </c>
      <c r="AD78" s="1">
        <f t="shared" ca="1" si="75"/>
        <v>7.1894983379827753E-3</v>
      </c>
      <c r="AE78" s="1"/>
      <c r="AF78" s="1">
        <f t="shared" ca="1" si="76"/>
        <v>0.24926377299710475</v>
      </c>
      <c r="AG78" s="1">
        <f t="shared" ca="1" si="77"/>
        <v>561</v>
      </c>
      <c r="AH78" s="1">
        <f t="shared" ca="1" si="78"/>
        <v>6.9313755697050974E-3</v>
      </c>
      <c r="AJ78" s="1">
        <f t="shared" ca="1" si="79"/>
        <v>0.33234457873142109</v>
      </c>
      <c r="AK78" s="1">
        <f t="shared" ca="1" si="80"/>
        <v>2.124288679323959E-5</v>
      </c>
      <c r="AL78" s="1"/>
      <c r="AM78" s="1">
        <f t="shared" ca="1" si="81"/>
        <v>0.18470728389976743</v>
      </c>
      <c r="AN78" s="1">
        <f t="shared" ca="1" si="82"/>
        <v>10</v>
      </c>
      <c r="AO78" s="1">
        <f t="shared" ca="1" si="83"/>
        <v>3</v>
      </c>
      <c r="AQ78" s="1">
        <f t="shared" ca="1" si="84"/>
        <v>18</v>
      </c>
      <c r="AR78" s="1">
        <f t="shared" ca="1" si="85"/>
        <v>10</v>
      </c>
      <c r="AS78" s="1">
        <f t="shared" ca="1" si="86"/>
        <v>61</v>
      </c>
      <c r="AU78" s="1">
        <f t="shared" ca="1" si="87"/>
        <v>180</v>
      </c>
      <c r="AV78" s="1">
        <f t="shared" ca="1" si="88"/>
        <v>10</v>
      </c>
      <c r="AW78" s="1">
        <f t="shared" ca="1" si="89"/>
        <v>8.4093451818055567E-2</v>
      </c>
      <c r="AY78" s="1">
        <f t="shared" ca="1" si="90"/>
        <v>1.1230700618703218</v>
      </c>
      <c r="AZ78" s="1">
        <f t="shared" ca="1" si="91"/>
        <v>359</v>
      </c>
      <c r="BA78" s="1">
        <f t="shared" ca="1" si="92"/>
        <v>2.3161293559661534E-3</v>
      </c>
      <c r="BV78" s="1">
        <f t="shared" ca="1" si="93"/>
        <v>0.4265781421901394</v>
      </c>
      <c r="BW78" s="1">
        <f t="shared" ca="1" si="94"/>
        <v>761</v>
      </c>
      <c r="BX78" s="1">
        <f t="shared" ca="1" si="95"/>
        <v>5.2198149038505106E-3</v>
      </c>
      <c r="BY78" s="1">
        <f t="shared" ca="1" si="96"/>
        <v>4.3293978019909835E-2</v>
      </c>
      <c r="BZ78" s="1">
        <f t="shared" ca="1" si="97"/>
        <v>0.34217579677450993</v>
      </c>
      <c r="CB78" s="1">
        <f t="shared" ca="1" si="98"/>
        <v>336</v>
      </c>
      <c r="CC78" s="1">
        <f t="shared" ca="1" si="99"/>
        <v>4</v>
      </c>
      <c r="CD78" s="1">
        <f t="shared" ca="1" si="100"/>
        <v>0.1581400263160502</v>
      </c>
      <c r="CE78" s="1">
        <f t="shared" ca="1" si="101"/>
        <v>0.6454662438146298</v>
      </c>
      <c r="CF78" s="1">
        <f t="shared" ca="1" si="101"/>
        <v>0.54842332227573476</v>
      </c>
      <c r="CH78" s="7">
        <f t="shared" ca="1" si="102"/>
        <v>0.65211057326200528</v>
      </c>
      <c r="CI78" s="7">
        <f t="shared" ca="1" si="103"/>
        <v>0.17770219617782104</v>
      </c>
      <c r="CJ78" s="7">
        <f t="shared" ca="1" si="104"/>
        <v>1316</v>
      </c>
      <c r="CK78" s="7">
        <f t="shared" ca="1" si="105"/>
        <v>7.0288184787294537E-3</v>
      </c>
      <c r="CL78" s="7">
        <f t="shared" ca="1" si="106"/>
        <v>1</v>
      </c>
    </row>
    <row r="79" spans="2:90" x14ac:dyDescent="0.25">
      <c r="B79">
        <f t="shared" ca="1" si="54"/>
        <v>30</v>
      </c>
      <c r="C79">
        <f t="shared" ca="1" si="55"/>
        <v>3</v>
      </c>
      <c r="D79">
        <f t="shared" ca="1" si="56"/>
        <v>0.21364090428633417</v>
      </c>
      <c r="F79" s="1">
        <f t="shared" ca="1" si="57"/>
        <v>49</v>
      </c>
      <c r="G79" s="1">
        <f t="shared" ca="1" si="58"/>
        <v>23</v>
      </c>
      <c r="H79" s="1">
        <f t="shared" ca="1" si="59"/>
        <v>1</v>
      </c>
      <c r="I79" s="1"/>
      <c r="J79" s="1">
        <f t="shared" ca="1" si="60"/>
        <v>4</v>
      </c>
      <c r="K79" s="1">
        <f t="shared" ca="1" si="61"/>
        <v>1.9003232148905307</v>
      </c>
      <c r="L79" s="1">
        <f t="shared" ca="1" si="62"/>
        <v>16</v>
      </c>
      <c r="M79" s="1"/>
      <c r="N79" s="1">
        <f t="shared" ca="1" si="63"/>
        <v>304</v>
      </c>
      <c r="O79" s="1">
        <f t="shared" ca="1" si="64"/>
        <v>6</v>
      </c>
      <c r="P79" s="1"/>
      <c r="Q79" s="1">
        <f t="shared" ca="1" si="65"/>
        <v>2.2394322883235449</v>
      </c>
      <c r="R79" s="1">
        <f t="shared" ca="1" si="66"/>
        <v>218</v>
      </c>
      <c r="S79" s="1"/>
      <c r="T79" s="1">
        <f t="shared" ca="1" si="67"/>
        <v>3.9466878270846807E-2</v>
      </c>
      <c r="U79" s="1">
        <f t="shared" ca="1" si="68"/>
        <v>444</v>
      </c>
      <c r="V79" s="1">
        <f t="shared" ca="1" si="69"/>
        <v>14</v>
      </c>
      <c r="W79" s="1"/>
      <c r="X79" s="1">
        <f t="shared" ca="1" si="70"/>
        <v>7.7944001568761259</v>
      </c>
      <c r="Y79" s="1">
        <f t="shared" ca="1" si="71"/>
        <v>0.37114635802184093</v>
      </c>
      <c r="Z79" s="1">
        <f t="shared" ca="1" si="72"/>
        <v>427</v>
      </c>
      <c r="AB79" s="1">
        <f t="shared" ca="1" si="73"/>
        <v>0.74562025006025989</v>
      </c>
      <c r="AC79" s="1">
        <f t="shared" ca="1" si="74"/>
        <v>869</v>
      </c>
      <c r="AD79" s="1">
        <f t="shared" ca="1" si="75"/>
        <v>6.1417146007973272E-3</v>
      </c>
      <c r="AE79" s="1"/>
      <c r="AF79" s="1">
        <f t="shared" ca="1" si="76"/>
        <v>0.24163185061127807</v>
      </c>
      <c r="AG79" s="1">
        <f t="shared" ca="1" si="77"/>
        <v>899</v>
      </c>
      <c r="AH79" s="1">
        <f t="shared" ca="1" si="78"/>
        <v>5.4650088178914633E-3</v>
      </c>
      <c r="AJ79" s="1">
        <f t="shared" ca="1" si="79"/>
        <v>0.44712656184768285</v>
      </c>
      <c r="AK79" s="1">
        <f t="shared" ca="1" si="80"/>
        <v>2.1885374553844727E-3</v>
      </c>
      <c r="AL79" s="1"/>
      <c r="AM79" s="1">
        <f t="shared" ca="1" si="81"/>
        <v>9.254928916697408E-2</v>
      </c>
      <c r="AN79" s="1">
        <f t="shared" ca="1" si="82"/>
        <v>67</v>
      </c>
      <c r="AO79" s="1">
        <f t="shared" ca="1" si="83"/>
        <v>17</v>
      </c>
      <c r="AQ79" s="1">
        <f t="shared" ca="1" si="84"/>
        <v>60</v>
      </c>
      <c r="AR79" s="1">
        <f t="shared" ca="1" si="85"/>
        <v>9</v>
      </c>
      <c r="AS79" s="1">
        <f t="shared" ca="1" si="86"/>
        <v>95</v>
      </c>
      <c r="AU79" s="1">
        <f t="shared" ca="1" si="87"/>
        <v>206</v>
      </c>
      <c r="AV79" s="1">
        <f t="shared" ca="1" si="88"/>
        <v>4</v>
      </c>
      <c r="AW79" s="1">
        <f t="shared" ca="1" si="89"/>
        <v>2.4438579534365526E-2</v>
      </c>
      <c r="AY79" s="1">
        <f t="shared" ca="1" si="90"/>
        <v>1.737658565036114</v>
      </c>
      <c r="AZ79" s="1">
        <f t="shared" ca="1" si="91"/>
        <v>174</v>
      </c>
      <c r="BA79" s="1">
        <f t="shared" ca="1" si="92"/>
        <v>9.0526910389209861E-3</v>
      </c>
      <c r="BV79" s="1">
        <f t="shared" ca="1" si="93"/>
        <v>0.76068675110487471</v>
      </c>
      <c r="BW79" s="1">
        <f t="shared" ca="1" si="94"/>
        <v>312</v>
      </c>
      <c r="BX79" s="1">
        <f t="shared" ca="1" si="95"/>
        <v>2.3263906560445778E-3</v>
      </c>
      <c r="BY79" s="1">
        <f t="shared" ca="1" si="96"/>
        <v>1.9025648755516336E-2</v>
      </c>
      <c r="BZ79" s="1">
        <f t="shared" ca="1" si="97"/>
        <v>0.39265090522399204</v>
      </c>
      <c r="CB79" s="1">
        <f t="shared" ca="1" si="98"/>
        <v>372</v>
      </c>
      <c r="CC79" s="1">
        <f t="shared" ca="1" si="99"/>
        <v>10</v>
      </c>
      <c r="CD79" s="1">
        <f t="shared" ca="1" si="100"/>
        <v>0.16368136043799081</v>
      </c>
      <c r="CE79" s="1">
        <f t="shared" ca="1" si="101"/>
        <v>0.55826146817483879</v>
      </c>
      <c r="CF79" s="1">
        <f t="shared" ca="1" si="101"/>
        <v>0.5748846787360895</v>
      </c>
      <c r="CH79" s="7">
        <f t="shared" ca="1" si="102"/>
        <v>0.95745267391023792</v>
      </c>
      <c r="CI79" s="7">
        <f t="shared" ca="1" si="103"/>
        <v>0.7017595439103268</v>
      </c>
      <c r="CJ79" s="7">
        <f t="shared" ca="1" si="104"/>
        <v>1441</v>
      </c>
      <c r="CK79" s="7">
        <f t="shared" ca="1" si="105"/>
        <v>4.9268324792998038E-3</v>
      </c>
      <c r="CL79" s="7">
        <f t="shared" ca="1" si="106"/>
        <v>1</v>
      </c>
    </row>
    <row r="80" spans="2:90" x14ac:dyDescent="0.25">
      <c r="B80">
        <f t="shared" ca="1" si="54"/>
        <v>448</v>
      </c>
      <c r="C80">
        <f t="shared" ca="1" si="55"/>
        <v>15</v>
      </c>
      <c r="D80">
        <f t="shared" ca="1" si="56"/>
        <v>0.2054970371411147</v>
      </c>
      <c r="F80" s="1">
        <f t="shared" ca="1" si="57"/>
        <v>17</v>
      </c>
      <c r="G80" s="1">
        <f t="shared" ca="1" si="58"/>
        <v>27</v>
      </c>
      <c r="H80" s="1">
        <f t="shared" ca="1" si="59"/>
        <v>15</v>
      </c>
      <c r="I80" s="1"/>
      <c r="J80" s="1">
        <f t="shared" ca="1" si="60"/>
        <v>4</v>
      </c>
      <c r="K80" s="1">
        <f t="shared" ca="1" si="61"/>
        <v>2.542357290522717</v>
      </c>
      <c r="L80" s="1">
        <f t="shared" ca="1" si="62"/>
        <v>2</v>
      </c>
      <c r="M80" s="1"/>
      <c r="N80" s="1">
        <f t="shared" ca="1" si="63"/>
        <v>326</v>
      </c>
      <c r="O80" s="1">
        <f t="shared" ca="1" si="64"/>
        <v>25</v>
      </c>
      <c r="P80" s="1"/>
      <c r="Q80" s="1">
        <f t="shared" ca="1" si="65"/>
        <v>1.758060927498827</v>
      </c>
      <c r="R80" s="1">
        <f t="shared" ca="1" si="66"/>
        <v>467</v>
      </c>
      <c r="S80" s="1"/>
      <c r="T80" s="1">
        <f t="shared" ca="1" si="67"/>
        <v>2.7208472637033132E-2</v>
      </c>
      <c r="U80" s="1">
        <f t="shared" ca="1" si="68"/>
        <v>332</v>
      </c>
      <c r="V80" s="1">
        <f t="shared" ca="1" si="69"/>
        <v>28</v>
      </c>
      <c r="W80" s="1"/>
      <c r="X80" s="1">
        <f t="shared" ca="1" si="70"/>
        <v>7.4120014392010871</v>
      </c>
      <c r="Y80" s="1">
        <f t="shared" ca="1" si="71"/>
        <v>0.40008349954896444</v>
      </c>
      <c r="Z80" s="1">
        <f t="shared" ca="1" si="72"/>
        <v>1965</v>
      </c>
      <c r="AB80" s="1">
        <f t="shared" ca="1" si="73"/>
        <v>0.34427624140022195</v>
      </c>
      <c r="AC80" s="1">
        <f t="shared" ca="1" si="74"/>
        <v>745</v>
      </c>
      <c r="AD80" s="1">
        <f t="shared" ca="1" si="75"/>
        <v>9.3842349707844528E-3</v>
      </c>
      <c r="AE80" s="1"/>
      <c r="AF80" s="1">
        <f t="shared" ca="1" si="76"/>
        <v>0.52481566443431926</v>
      </c>
      <c r="AG80" s="1">
        <f t="shared" ca="1" si="77"/>
        <v>513</v>
      </c>
      <c r="AH80" s="1">
        <f t="shared" ca="1" si="78"/>
        <v>9.495735805660631E-4</v>
      </c>
      <c r="AJ80" s="1">
        <f t="shared" ca="1" si="79"/>
        <v>0.44641043939932323</v>
      </c>
      <c r="AK80" s="1">
        <f t="shared" ca="1" si="80"/>
        <v>7.9462515073234676E-3</v>
      </c>
      <c r="AL80" s="1"/>
      <c r="AM80" s="1">
        <f t="shared" ca="1" si="81"/>
        <v>7.9139893808875511E-2</v>
      </c>
      <c r="AN80" s="1">
        <f t="shared" ca="1" si="82"/>
        <v>17</v>
      </c>
      <c r="AO80" s="1">
        <f t="shared" ca="1" si="83"/>
        <v>17</v>
      </c>
      <c r="AQ80" s="1">
        <f t="shared" ca="1" si="84"/>
        <v>34</v>
      </c>
      <c r="AR80" s="1">
        <f t="shared" ca="1" si="85"/>
        <v>1</v>
      </c>
      <c r="AS80" s="1">
        <f t="shared" ca="1" si="86"/>
        <v>35</v>
      </c>
      <c r="AU80" s="1">
        <f t="shared" ca="1" si="87"/>
        <v>372</v>
      </c>
      <c r="AV80" s="1">
        <f t="shared" ca="1" si="88"/>
        <v>9</v>
      </c>
      <c r="AW80" s="1">
        <f t="shared" ca="1" si="89"/>
        <v>4.9859564820424612E-2</v>
      </c>
      <c r="AY80" s="1">
        <f t="shared" ca="1" si="90"/>
        <v>1.5032577805729486</v>
      </c>
      <c r="AZ80" s="1">
        <f t="shared" ca="1" si="91"/>
        <v>81</v>
      </c>
      <c r="BA80" s="1">
        <f t="shared" ca="1" si="92"/>
        <v>2.696164871997577E-3</v>
      </c>
      <c r="BV80" s="1">
        <f t="shared" ca="1" si="93"/>
        <v>0.11548753133087584</v>
      </c>
      <c r="BW80" s="1">
        <f t="shared" ca="1" si="94"/>
        <v>965</v>
      </c>
      <c r="BX80" s="1">
        <f t="shared" ca="1" si="95"/>
        <v>1.3681244888254717E-3</v>
      </c>
      <c r="BY80" s="1">
        <f t="shared" ca="1" si="96"/>
        <v>1.3993163784774047E-2</v>
      </c>
      <c r="BZ80" s="1">
        <f t="shared" ca="1" si="97"/>
        <v>0.72336360718274118</v>
      </c>
      <c r="CB80" s="1">
        <f t="shared" ca="1" si="98"/>
        <v>93</v>
      </c>
      <c r="CC80" s="1">
        <f t="shared" ca="1" si="99"/>
        <v>14</v>
      </c>
      <c r="CD80" s="1">
        <f t="shared" ca="1" si="100"/>
        <v>0.29765155525643366</v>
      </c>
      <c r="CE80" s="1">
        <f t="shared" ca="1" si="101"/>
        <v>0.98497868716361059</v>
      </c>
      <c r="CF80" s="1">
        <f t="shared" ca="1" si="101"/>
        <v>0.67418359236919867</v>
      </c>
      <c r="CH80" s="7">
        <f t="shared" ca="1" si="102"/>
        <v>0.66797917783573668</v>
      </c>
      <c r="CI80" s="7">
        <f t="shared" ca="1" si="103"/>
        <v>0.95932020413725771</v>
      </c>
      <c r="CJ80" s="7">
        <f t="shared" ca="1" si="104"/>
        <v>1608</v>
      </c>
      <c r="CK80" s="7">
        <f t="shared" ca="1" si="105"/>
        <v>7.9903786219278974E-3</v>
      </c>
      <c r="CL80" s="7">
        <f t="shared" ca="1" si="106"/>
        <v>0</v>
      </c>
    </row>
    <row r="81" spans="2:90" x14ac:dyDescent="0.25">
      <c r="B81">
        <f t="shared" ca="1" si="54"/>
        <v>677</v>
      </c>
      <c r="C81">
        <f t="shared" ca="1" si="55"/>
        <v>29</v>
      </c>
      <c r="D81">
        <f t="shared" ca="1" si="56"/>
        <v>0.16557475219429627</v>
      </c>
      <c r="F81" s="1">
        <f t="shared" ca="1" si="57"/>
        <v>52</v>
      </c>
      <c r="G81" s="1">
        <f t="shared" ca="1" si="58"/>
        <v>23</v>
      </c>
      <c r="H81" s="1">
        <f t="shared" ca="1" si="59"/>
        <v>4</v>
      </c>
      <c r="I81" s="1"/>
      <c r="J81" s="1">
        <f t="shared" ca="1" si="60"/>
        <v>4</v>
      </c>
      <c r="K81" s="1">
        <f t="shared" ca="1" si="61"/>
        <v>2.2499492805072903</v>
      </c>
      <c r="L81" s="1">
        <f t="shared" ca="1" si="62"/>
        <v>34</v>
      </c>
      <c r="M81" s="1"/>
      <c r="N81" s="1">
        <f t="shared" ca="1" si="63"/>
        <v>182</v>
      </c>
      <c r="O81" s="1">
        <f t="shared" ca="1" si="64"/>
        <v>12</v>
      </c>
      <c r="P81" s="1"/>
      <c r="Q81" s="1">
        <f t="shared" ca="1" si="65"/>
        <v>2.5951312796956381</v>
      </c>
      <c r="R81" s="1">
        <f t="shared" ca="1" si="66"/>
        <v>848</v>
      </c>
      <c r="S81" s="1"/>
      <c r="T81" s="1">
        <f t="shared" ca="1" si="67"/>
        <v>0.19202914243381394</v>
      </c>
      <c r="U81" s="1">
        <f t="shared" ca="1" si="68"/>
        <v>151</v>
      </c>
      <c r="V81" s="1">
        <f t="shared" ca="1" si="69"/>
        <v>14</v>
      </c>
      <c r="W81" s="1"/>
      <c r="X81" s="1">
        <f t="shared" ca="1" si="70"/>
        <v>4.3161358798104024</v>
      </c>
      <c r="Y81" s="1">
        <f t="shared" ca="1" si="71"/>
        <v>0.93443393634042393</v>
      </c>
      <c r="Z81" s="1">
        <f t="shared" ca="1" si="72"/>
        <v>1189</v>
      </c>
      <c r="AB81" s="1">
        <f t="shared" ca="1" si="73"/>
        <v>0.58230714346731083</v>
      </c>
      <c r="AC81" s="1">
        <f t="shared" ca="1" si="74"/>
        <v>881</v>
      </c>
      <c r="AD81" s="1">
        <f t="shared" ca="1" si="75"/>
        <v>9.0930992786782926E-3</v>
      </c>
      <c r="AE81" s="1"/>
      <c r="AF81" s="1">
        <f t="shared" ca="1" si="76"/>
        <v>0.57399267718854807</v>
      </c>
      <c r="AG81" s="1">
        <f t="shared" ca="1" si="77"/>
        <v>624</v>
      </c>
      <c r="AH81" s="1">
        <f t="shared" ca="1" si="78"/>
        <v>2.0647371512862783E-3</v>
      </c>
      <c r="AJ81" s="1">
        <f t="shared" ca="1" si="79"/>
        <v>0.84860906533271785</v>
      </c>
      <c r="AK81" s="1">
        <f t="shared" ca="1" si="80"/>
        <v>5.1691082907509896E-3</v>
      </c>
      <c r="AL81" s="1"/>
      <c r="AM81" s="1">
        <f t="shared" ca="1" si="81"/>
        <v>0.16109030559490803</v>
      </c>
      <c r="AN81" s="1">
        <f t="shared" ca="1" si="82"/>
        <v>49</v>
      </c>
      <c r="AO81" s="1">
        <f t="shared" ca="1" si="83"/>
        <v>4</v>
      </c>
      <c r="AQ81" s="1">
        <f t="shared" ca="1" si="84"/>
        <v>57</v>
      </c>
      <c r="AR81" s="1">
        <f t="shared" ca="1" si="85"/>
        <v>5</v>
      </c>
      <c r="AS81" s="1">
        <f t="shared" ca="1" si="86"/>
        <v>29</v>
      </c>
      <c r="AU81" s="1">
        <f t="shared" ca="1" si="87"/>
        <v>365</v>
      </c>
      <c r="AV81" s="1">
        <f t="shared" ca="1" si="88"/>
        <v>10</v>
      </c>
      <c r="AW81" s="1">
        <f t="shared" ca="1" si="89"/>
        <v>0.18853214175949556</v>
      </c>
      <c r="AY81" s="1">
        <f t="shared" ca="1" si="90"/>
        <v>1.6652596598985214</v>
      </c>
      <c r="AZ81" s="1">
        <f t="shared" ca="1" si="91"/>
        <v>101</v>
      </c>
      <c r="BA81" s="1">
        <f t="shared" ca="1" si="92"/>
        <v>2.16873519811324E-3</v>
      </c>
      <c r="BV81" s="1">
        <f t="shared" ca="1" si="93"/>
        <v>0.43385120411121558</v>
      </c>
      <c r="BW81" s="1">
        <f t="shared" ca="1" si="94"/>
        <v>964</v>
      </c>
      <c r="BX81" s="1">
        <f t="shared" ca="1" si="95"/>
        <v>8.2371204622350824E-3</v>
      </c>
      <c r="BY81" s="1">
        <f t="shared" ca="1" si="96"/>
        <v>2.9751718843655392E-2</v>
      </c>
      <c r="BZ81" s="1">
        <f t="shared" ca="1" si="97"/>
        <v>0.18323607009210041</v>
      </c>
      <c r="CB81" s="1">
        <f t="shared" ca="1" si="98"/>
        <v>378</v>
      </c>
      <c r="CC81" s="1">
        <f t="shared" ca="1" si="99"/>
        <v>6</v>
      </c>
      <c r="CD81" s="1">
        <f t="shared" ca="1" si="100"/>
        <v>0.16669703123766269</v>
      </c>
      <c r="CE81" s="1">
        <f t="shared" ca="1" si="101"/>
        <v>0.79651880506903927</v>
      </c>
      <c r="CF81" s="1">
        <f t="shared" ca="1" si="101"/>
        <v>0.84188439281297622</v>
      </c>
      <c r="CH81" s="7">
        <f t="shared" ca="1" si="102"/>
        <v>0.90551132167957715</v>
      </c>
      <c r="CI81" s="7">
        <f t="shared" ca="1" si="103"/>
        <v>0.15941149205747776</v>
      </c>
      <c r="CJ81" s="7">
        <f t="shared" ca="1" si="104"/>
        <v>755</v>
      </c>
      <c r="CK81" s="7">
        <f t="shared" ca="1" si="105"/>
        <v>4.8321804029971861E-3</v>
      </c>
      <c r="CL81" s="7">
        <f t="shared" ca="1" si="106"/>
        <v>1</v>
      </c>
    </row>
    <row r="82" spans="2:90" x14ac:dyDescent="0.25">
      <c r="B82">
        <f t="shared" ca="1" si="54"/>
        <v>650</v>
      </c>
      <c r="C82">
        <f t="shared" ca="1" si="55"/>
        <v>16</v>
      </c>
      <c r="D82">
        <f t="shared" ca="1" si="56"/>
        <v>0.18869775222817389</v>
      </c>
      <c r="F82" s="1">
        <f t="shared" ca="1" si="57"/>
        <v>37</v>
      </c>
      <c r="G82" s="1">
        <f t="shared" ca="1" si="58"/>
        <v>19</v>
      </c>
      <c r="H82" s="1">
        <f t="shared" ca="1" si="59"/>
        <v>9</v>
      </c>
      <c r="I82" s="1"/>
      <c r="J82" s="1">
        <f t="shared" ca="1" si="60"/>
        <v>36</v>
      </c>
      <c r="K82" s="1">
        <f t="shared" ca="1" si="61"/>
        <v>2.5893797575775621</v>
      </c>
      <c r="L82" s="1">
        <f t="shared" ca="1" si="62"/>
        <v>11</v>
      </c>
      <c r="M82" s="1"/>
      <c r="N82" s="1">
        <f t="shared" ca="1" si="63"/>
        <v>464</v>
      </c>
      <c r="O82" s="1">
        <f t="shared" ca="1" si="64"/>
        <v>23</v>
      </c>
      <c r="P82" s="1"/>
      <c r="Q82" s="1">
        <f t="shared" ca="1" si="65"/>
        <v>1.9622152147344101</v>
      </c>
      <c r="R82" s="1">
        <f t="shared" ca="1" si="66"/>
        <v>717</v>
      </c>
      <c r="S82" s="1"/>
      <c r="T82" s="1">
        <f t="shared" ca="1" si="67"/>
        <v>0.1090514002287962</v>
      </c>
      <c r="U82" s="1">
        <f t="shared" ca="1" si="68"/>
        <v>123</v>
      </c>
      <c r="V82" s="1">
        <f t="shared" ca="1" si="69"/>
        <v>32</v>
      </c>
      <c r="W82" s="1"/>
      <c r="X82" s="1">
        <f t="shared" ca="1" si="70"/>
        <v>9.3566794736319796</v>
      </c>
      <c r="Y82" s="1">
        <f t="shared" ca="1" si="71"/>
        <v>6.9934547015308338E-2</v>
      </c>
      <c r="Z82" s="1">
        <f t="shared" ca="1" si="72"/>
        <v>1418</v>
      </c>
      <c r="AB82" s="1">
        <f t="shared" ca="1" si="73"/>
        <v>0.35403795876851052</v>
      </c>
      <c r="AC82" s="1">
        <f t="shared" ca="1" si="74"/>
        <v>210</v>
      </c>
      <c r="AD82" s="1">
        <f t="shared" ca="1" si="75"/>
        <v>1.5450128255741764E-3</v>
      </c>
      <c r="AE82" s="1"/>
      <c r="AF82" s="1">
        <f t="shared" ca="1" si="76"/>
        <v>0.83501255873880986</v>
      </c>
      <c r="AG82" s="1">
        <f t="shared" ca="1" si="77"/>
        <v>476</v>
      </c>
      <c r="AH82" s="1">
        <f t="shared" ca="1" si="78"/>
        <v>1.7213685421001729E-3</v>
      </c>
      <c r="AJ82" s="1">
        <f t="shared" ca="1" si="79"/>
        <v>0.61426023539691865</v>
      </c>
      <c r="AK82" s="1">
        <f t="shared" ca="1" si="80"/>
        <v>4.8488038999854261E-3</v>
      </c>
      <c r="AL82" s="1"/>
      <c r="AM82" s="1">
        <f t="shared" ca="1" si="81"/>
        <v>0.16077407944632074</v>
      </c>
      <c r="AN82" s="1">
        <f t="shared" ca="1" si="82"/>
        <v>41</v>
      </c>
      <c r="AO82" s="1">
        <f t="shared" ca="1" si="83"/>
        <v>18</v>
      </c>
      <c r="AQ82" s="1">
        <f t="shared" ca="1" si="84"/>
        <v>22</v>
      </c>
      <c r="AR82" s="1">
        <f t="shared" ca="1" si="85"/>
        <v>0</v>
      </c>
      <c r="AS82" s="1">
        <f t="shared" ca="1" si="86"/>
        <v>80</v>
      </c>
      <c r="AU82" s="1">
        <f t="shared" ca="1" si="87"/>
        <v>83</v>
      </c>
      <c r="AV82" s="1">
        <f t="shared" ca="1" si="88"/>
        <v>10</v>
      </c>
      <c r="AW82" s="1">
        <f t="shared" ca="1" si="89"/>
        <v>7.7267760233655516E-2</v>
      </c>
      <c r="AY82" s="1">
        <f t="shared" ca="1" si="90"/>
        <v>1.9515074862942949</v>
      </c>
      <c r="AZ82" s="1">
        <f t="shared" ca="1" si="91"/>
        <v>269</v>
      </c>
      <c r="BA82" s="1">
        <f t="shared" ca="1" si="92"/>
        <v>6.5561294177857218E-3</v>
      </c>
      <c r="BV82" s="1">
        <f t="shared" ca="1" si="93"/>
        <v>0.97199412168516064</v>
      </c>
      <c r="BW82" s="1">
        <f t="shared" ca="1" si="94"/>
        <v>633</v>
      </c>
      <c r="BX82" s="1">
        <f t="shared" ca="1" si="95"/>
        <v>9.9835938599848687E-3</v>
      </c>
      <c r="BY82" s="1">
        <f t="shared" ca="1" si="96"/>
        <v>1.8347758043717174E-2</v>
      </c>
      <c r="BZ82" s="1">
        <f t="shared" ca="1" si="97"/>
        <v>0.61569916514230549</v>
      </c>
      <c r="CB82" s="1">
        <f t="shared" ca="1" si="98"/>
        <v>485</v>
      </c>
      <c r="CC82" s="1">
        <f t="shared" ca="1" si="99"/>
        <v>14</v>
      </c>
      <c r="CD82" s="1">
        <f t="shared" ca="1" si="100"/>
        <v>0.15737319575348435</v>
      </c>
      <c r="CE82" s="1">
        <f t="shared" ca="1" si="101"/>
        <v>0.53294601305204115</v>
      </c>
      <c r="CF82" s="1">
        <f t="shared" ca="1" si="101"/>
        <v>0.78251544275216367</v>
      </c>
      <c r="CH82" s="7">
        <f t="shared" ca="1" si="102"/>
        <v>0.48746135777019445</v>
      </c>
      <c r="CI82" s="7">
        <f t="shared" ca="1" si="103"/>
        <v>0.14880862411246137</v>
      </c>
      <c r="CJ82" s="7">
        <f t="shared" ca="1" si="104"/>
        <v>554</v>
      </c>
      <c r="CK82" s="7">
        <f t="shared" ca="1" si="105"/>
        <v>4.5960868411665523E-3</v>
      </c>
      <c r="CL82" s="7">
        <f t="shared" ca="1" si="106"/>
        <v>1</v>
      </c>
    </row>
    <row r="83" spans="2:90" x14ac:dyDescent="0.25">
      <c r="B83">
        <f t="shared" ca="1" si="54"/>
        <v>195</v>
      </c>
      <c r="C83">
        <f t="shared" ca="1" si="55"/>
        <v>12</v>
      </c>
      <c r="D83">
        <f t="shared" ca="1" si="56"/>
        <v>0.1267183299468653</v>
      </c>
      <c r="F83" s="1">
        <f t="shared" ca="1" si="57"/>
        <v>42</v>
      </c>
      <c r="G83" s="1">
        <f t="shared" ca="1" si="58"/>
        <v>25</v>
      </c>
      <c r="H83" s="1">
        <f t="shared" ca="1" si="59"/>
        <v>7</v>
      </c>
      <c r="I83" s="1"/>
      <c r="J83" s="1">
        <f t="shared" ca="1" si="60"/>
        <v>35</v>
      </c>
      <c r="K83" s="1">
        <f t="shared" ca="1" si="61"/>
        <v>1.5758369076597607</v>
      </c>
      <c r="L83" s="1">
        <f t="shared" ca="1" si="62"/>
        <v>26</v>
      </c>
      <c r="M83" s="1"/>
      <c r="N83" s="1">
        <f t="shared" ca="1" si="63"/>
        <v>408</v>
      </c>
      <c r="O83" s="1">
        <f t="shared" ca="1" si="64"/>
        <v>36</v>
      </c>
      <c r="P83" s="1"/>
      <c r="Q83" s="1">
        <f t="shared" ca="1" si="65"/>
        <v>4.659885666922813</v>
      </c>
      <c r="R83" s="1">
        <f t="shared" ca="1" si="66"/>
        <v>679</v>
      </c>
      <c r="S83" s="1"/>
      <c r="T83" s="1">
        <f t="shared" ca="1" si="67"/>
        <v>0.17648302897875917</v>
      </c>
      <c r="U83" s="1">
        <f t="shared" ca="1" si="68"/>
        <v>305</v>
      </c>
      <c r="V83" s="1">
        <f t="shared" ca="1" si="69"/>
        <v>17</v>
      </c>
      <c r="W83" s="1"/>
      <c r="X83" s="1">
        <f t="shared" ca="1" si="70"/>
        <v>0.45905103005252812</v>
      </c>
      <c r="Y83" s="1">
        <f t="shared" ca="1" si="71"/>
        <v>0.64516008020658588</v>
      </c>
      <c r="Z83" s="1">
        <f t="shared" ca="1" si="72"/>
        <v>765</v>
      </c>
      <c r="AB83" s="1">
        <f t="shared" ca="1" si="73"/>
        <v>0.33193865342426504</v>
      </c>
      <c r="AC83" s="1">
        <f t="shared" ca="1" si="74"/>
        <v>969</v>
      </c>
      <c r="AD83" s="1">
        <f t="shared" ca="1" si="75"/>
        <v>1.5194298425654056E-3</v>
      </c>
      <c r="AE83" s="1"/>
      <c r="AF83" s="1">
        <f t="shared" ca="1" si="76"/>
        <v>0.29420095342981495</v>
      </c>
      <c r="AG83" s="1">
        <f t="shared" ca="1" si="77"/>
        <v>959</v>
      </c>
      <c r="AH83" s="1">
        <f t="shared" ca="1" si="78"/>
        <v>7.4304644297103145E-3</v>
      </c>
      <c r="AJ83" s="1">
        <f t="shared" ca="1" si="79"/>
        <v>0.66658604136271304</v>
      </c>
      <c r="AK83" s="1">
        <f t="shared" ca="1" si="80"/>
        <v>7.1749120964516525E-3</v>
      </c>
      <c r="AL83" s="1"/>
      <c r="AM83" s="1">
        <f t="shared" ca="1" si="81"/>
        <v>0.13832912313196247</v>
      </c>
      <c r="AN83" s="1">
        <f t="shared" ca="1" si="82"/>
        <v>48</v>
      </c>
      <c r="AO83" s="1">
        <f t="shared" ca="1" si="83"/>
        <v>-1</v>
      </c>
      <c r="AQ83" s="1">
        <f t="shared" ca="1" si="84"/>
        <v>81</v>
      </c>
      <c r="AR83" s="1">
        <f t="shared" ca="1" si="85"/>
        <v>9</v>
      </c>
      <c r="AS83" s="1">
        <f t="shared" ca="1" si="86"/>
        <v>50</v>
      </c>
      <c r="AU83" s="1">
        <f t="shared" ca="1" si="87"/>
        <v>230</v>
      </c>
      <c r="AV83" s="1">
        <f t="shared" ca="1" si="88"/>
        <v>7</v>
      </c>
      <c r="AW83" s="1">
        <f t="shared" ca="1" si="89"/>
        <v>4.1983469314912585E-2</v>
      </c>
      <c r="AY83" s="1">
        <f t="shared" ca="1" si="90"/>
        <v>1.6941061628847973</v>
      </c>
      <c r="AZ83" s="1">
        <f t="shared" ca="1" si="91"/>
        <v>111</v>
      </c>
      <c r="BA83" s="1">
        <f t="shared" ca="1" si="92"/>
        <v>4.3251054722163026E-3</v>
      </c>
      <c r="BV83" s="1">
        <f t="shared" ca="1" si="93"/>
        <v>0.75431344495998154</v>
      </c>
      <c r="BW83" s="1">
        <f t="shared" ca="1" si="94"/>
        <v>761</v>
      </c>
      <c r="BX83" s="1">
        <f t="shared" ca="1" si="95"/>
        <v>4.3130314812485637E-3</v>
      </c>
      <c r="BY83" s="1">
        <f t="shared" ca="1" si="96"/>
        <v>2.4407314477923211E-2</v>
      </c>
      <c r="BZ83" s="1">
        <f t="shared" ca="1" si="97"/>
        <v>0.19731304915885539</v>
      </c>
      <c r="CB83" s="1">
        <f t="shared" ca="1" si="98"/>
        <v>457</v>
      </c>
      <c r="CC83" s="1">
        <f t="shared" ca="1" si="99"/>
        <v>6</v>
      </c>
      <c r="CD83" s="1">
        <f t="shared" ca="1" si="100"/>
        <v>0.19098564056941286</v>
      </c>
      <c r="CE83" s="1">
        <f t="shared" ca="1" si="101"/>
        <v>0.58236506104102226</v>
      </c>
      <c r="CF83" s="1">
        <f t="shared" ca="1" si="101"/>
        <v>0.50378669396802467</v>
      </c>
      <c r="CH83" s="7">
        <f t="shared" ca="1" si="102"/>
        <v>0.8046666198876008</v>
      </c>
      <c r="CI83" s="7">
        <f t="shared" ca="1" si="103"/>
        <v>0.52837048584115442</v>
      </c>
      <c r="CJ83" s="7">
        <f t="shared" ca="1" si="104"/>
        <v>1305</v>
      </c>
      <c r="CK83" s="7">
        <f t="shared" ca="1" si="105"/>
        <v>6.1948540690215095E-3</v>
      </c>
      <c r="CL83" s="7">
        <f t="shared" ca="1" si="106"/>
        <v>0</v>
      </c>
    </row>
    <row r="84" spans="2:90" x14ac:dyDescent="0.25">
      <c r="B84">
        <f t="shared" ca="1" si="54"/>
        <v>918</v>
      </c>
      <c r="C84">
        <f t="shared" ca="1" si="55"/>
        <v>20</v>
      </c>
      <c r="D84">
        <f t="shared" ca="1" si="56"/>
        <v>0.12093924824591415</v>
      </c>
      <c r="F84" s="1">
        <f t="shared" ca="1" si="57"/>
        <v>7</v>
      </c>
      <c r="G84" s="1">
        <f t="shared" ca="1" si="58"/>
        <v>26</v>
      </c>
      <c r="H84" s="1">
        <f t="shared" ca="1" si="59"/>
        <v>2</v>
      </c>
      <c r="I84" s="1"/>
      <c r="J84" s="1">
        <f t="shared" ca="1" si="60"/>
        <v>37</v>
      </c>
      <c r="K84" s="1">
        <f t="shared" ca="1" si="61"/>
        <v>2.881901166177637</v>
      </c>
      <c r="L84" s="1">
        <f t="shared" ca="1" si="62"/>
        <v>15</v>
      </c>
      <c r="M84" s="1"/>
      <c r="N84" s="1">
        <f t="shared" ca="1" si="63"/>
        <v>311</v>
      </c>
      <c r="O84" s="1">
        <f t="shared" ca="1" si="64"/>
        <v>18</v>
      </c>
      <c r="P84" s="1"/>
      <c r="Q84" s="1">
        <f t="shared" ca="1" si="65"/>
        <v>2.2941088500032167</v>
      </c>
      <c r="R84" s="1">
        <f t="shared" ca="1" si="66"/>
        <v>765</v>
      </c>
      <c r="S84" s="1"/>
      <c r="T84" s="1">
        <f t="shared" ca="1" si="67"/>
        <v>2.2485494362770392E-2</v>
      </c>
      <c r="U84" s="1">
        <f t="shared" ca="1" si="68"/>
        <v>355</v>
      </c>
      <c r="V84" s="1">
        <f t="shared" ca="1" si="69"/>
        <v>49</v>
      </c>
      <c r="W84" s="1"/>
      <c r="X84" s="1">
        <f t="shared" ca="1" si="70"/>
        <v>8.1848718369086058</v>
      </c>
      <c r="Y84" s="1">
        <f t="shared" ca="1" si="71"/>
        <v>0.57260814363427415</v>
      </c>
      <c r="Z84" s="1">
        <f t="shared" ca="1" si="72"/>
        <v>895</v>
      </c>
      <c r="AB84" s="1">
        <f t="shared" ca="1" si="73"/>
        <v>1.978979399825587E-2</v>
      </c>
      <c r="AC84" s="1">
        <f t="shared" ca="1" si="74"/>
        <v>498</v>
      </c>
      <c r="AD84" s="1">
        <f t="shared" ca="1" si="75"/>
        <v>3.4449729375268961E-3</v>
      </c>
      <c r="AE84" s="1"/>
      <c r="AF84" s="1">
        <f t="shared" ca="1" si="76"/>
        <v>0.29231497704440279</v>
      </c>
      <c r="AG84" s="1">
        <f t="shared" ca="1" si="77"/>
        <v>918</v>
      </c>
      <c r="AH84" s="1">
        <f t="shared" ca="1" si="78"/>
        <v>7.0065529677634476E-3</v>
      </c>
      <c r="AJ84" s="1">
        <f t="shared" ca="1" si="79"/>
        <v>0.20422759478808272</v>
      </c>
      <c r="AK84" s="1">
        <f t="shared" ca="1" si="80"/>
        <v>1.9138599915649575E-3</v>
      </c>
      <c r="AL84" s="1"/>
      <c r="AM84" s="1">
        <f t="shared" ca="1" si="81"/>
        <v>6.1661818114545165E-2</v>
      </c>
      <c r="AN84" s="1">
        <f t="shared" ca="1" si="82"/>
        <v>70</v>
      </c>
      <c r="AO84" s="1">
        <f t="shared" ca="1" si="83"/>
        <v>13</v>
      </c>
      <c r="AQ84" s="1">
        <f t="shared" ca="1" si="84"/>
        <v>142</v>
      </c>
      <c r="AR84" s="1">
        <f t="shared" ca="1" si="85"/>
        <v>7</v>
      </c>
      <c r="AS84" s="1">
        <f t="shared" ca="1" si="86"/>
        <v>16</v>
      </c>
      <c r="AU84" s="1">
        <f t="shared" ca="1" si="87"/>
        <v>272</v>
      </c>
      <c r="AV84" s="1">
        <f t="shared" ca="1" si="88"/>
        <v>5</v>
      </c>
      <c r="AW84" s="1">
        <f t="shared" ca="1" si="89"/>
        <v>0.16425263690584363</v>
      </c>
      <c r="AY84" s="1">
        <f t="shared" ca="1" si="90"/>
        <v>1.658458369547418</v>
      </c>
      <c r="AZ84" s="1">
        <f t="shared" ca="1" si="91"/>
        <v>485</v>
      </c>
      <c r="BA84" s="1">
        <f t="shared" ca="1" si="92"/>
        <v>8.9261788575836394E-3</v>
      </c>
      <c r="BV84" s="1">
        <f t="shared" ca="1" si="93"/>
        <v>0.18078272131357984</v>
      </c>
      <c r="BW84" s="1">
        <f t="shared" ca="1" si="94"/>
        <v>666</v>
      </c>
      <c r="BX84" s="1">
        <f t="shared" ca="1" si="95"/>
        <v>9.1549720648715655E-3</v>
      </c>
      <c r="BY84" s="1">
        <f t="shared" ca="1" si="96"/>
        <v>5.0220978638463622E-4</v>
      </c>
      <c r="BZ84" s="1">
        <f t="shared" ca="1" si="97"/>
        <v>0.5728766604226555</v>
      </c>
      <c r="CB84" s="1">
        <f t="shared" ca="1" si="98"/>
        <v>447</v>
      </c>
      <c r="CC84" s="1">
        <f t="shared" ca="1" si="99"/>
        <v>6</v>
      </c>
      <c r="CD84" s="1">
        <f t="shared" ca="1" si="100"/>
        <v>0.28601214693547389</v>
      </c>
      <c r="CE84" s="1">
        <f t="shared" ca="1" si="101"/>
        <v>0.5642086668636791</v>
      </c>
      <c r="CF84" s="1">
        <f t="shared" ca="1" si="101"/>
        <v>0.87896633534796509</v>
      </c>
      <c r="CH84" s="7">
        <f t="shared" ca="1" si="102"/>
        <v>0.40218964539243324</v>
      </c>
      <c r="CI84" s="7">
        <f t="shared" ca="1" si="103"/>
        <v>0.43421959192022486</v>
      </c>
      <c r="CJ84" s="7">
        <f t="shared" ca="1" si="104"/>
        <v>1375</v>
      </c>
      <c r="CK84" s="7">
        <f t="shared" ca="1" si="105"/>
        <v>7.7642986625554742E-3</v>
      </c>
      <c r="CL84" s="7">
        <f t="shared" ca="1" si="106"/>
        <v>0</v>
      </c>
    </row>
    <row r="85" spans="2:90" x14ac:dyDescent="0.25">
      <c r="B85">
        <f t="shared" ca="1" si="54"/>
        <v>468</v>
      </c>
      <c r="C85">
        <f t="shared" ca="1" si="55"/>
        <v>2</v>
      </c>
      <c r="D85">
        <f t="shared" ca="1" si="56"/>
        <v>5.1181960891678799E-2</v>
      </c>
      <c r="F85" s="1">
        <f t="shared" ca="1" si="57"/>
        <v>17</v>
      </c>
      <c r="G85" s="1">
        <f t="shared" ca="1" si="58"/>
        <v>7</v>
      </c>
      <c r="H85" s="1">
        <f t="shared" ca="1" si="59"/>
        <v>11</v>
      </c>
      <c r="I85" s="1"/>
      <c r="J85" s="1">
        <f t="shared" ca="1" si="60"/>
        <v>16</v>
      </c>
      <c r="K85" s="1">
        <f t="shared" ca="1" si="61"/>
        <v>2.5462166813122749</v>
      </c>
      <c r="L85" s="1">
        <f t="shared" ca="1" si="62"/>
        <v>29</v>
      </c>
      <c r="M85" s="1"/>
      <c r="N85" s="1">
        <f t="shared" ca="1" si="63"/>
        <v>984</v>
      </c>
      <c r="O85" s="1">
        <f t="shared" ca="1" si="64"/>
        <v>24</v>
      </c>
      <c r="P85" s="1"/>
      <c r="Q85" s="1">
        <f t="shared" ca="1" si="65"/>
        <v>1.6664869846833368</v>
      </c>
      <c r="R85" s="1">
        <f t="shared" ca="1" si="66"/>
        <v>714</v>
      </c>
      <c r="S85" s="1"/>
      <c r="T85" s="1">
        <f t="shared" ca="1" si="67"/>
        <v>0.17661043868409379</v>
      </c>
      <c r="U85" s="1">
        <f t="shared" ca="1" si="68"/>
        <v>411</v>
      </c>
      <c r="V85" s="1">
        <f t="shared" ca="1" si="69"/>
        <v>43</v>
      </c>
      <c r="W85" s="1"/>
      <c r="X85" s="1">
        <f t="shared" ca="1" si="70"/>
        <v>5.3812965164968052</v>
      </c>
      <c r="Y85" s="1">
        <f t="shared" ca="1" si="71"/>
        <v>0.11008108205021321</v>
      </c>
      <c r="Z85" s="1">
        <f t="shared" ca="1" si="72"/>
        <v>1902</v>
      </c>
      <c r="AB85" s="1">
        <f t="shared" ca="1" si="73"/>
        <v>0.25367676327099797</v>
      </c>
      <c r="AC85" s="1">
        <f t="shared" ca="1" si="74"/>
        <v>290</v>
      </c>
      <c r="AD85" s="1">
        <f t="shared" ca="1" si="75"/>
        <v>2.6060549406097251E-3</v>
      </c>
      <c r="AE85" s="1"/>
      <c r="AF85" s="1">
        <f t="shared" ca="1" si="76"/>
        <v>0.31599619817880936</v>
      </c>
      <c r="AG85" s="1">
        <f t="shared" ca="1" si="77"/>
        <v>830</v>
      </c>
      <c r="AH85" s="1">
        <f t="shared" ca="1" si="78"/>
        <v>5.6094209522057443E-3</v>
      </c>
      <c r="AJ85" s="1">
        <f t="shared" ca="1" si="79"/>
        <v>0.82551489366476782</v>
      </c>
      <c r="AK85" s="1">
        <f t="shared" ca="1" si="80"/>
        <v>4.6438076643463087E-3</v>
      </c>
      <c r="AL85" s="1"/>
      <c r="AM85" s="1">
        <f t="shared" ca="1" si="81"/>
        <v>0.17614573271657291</v>
      </c>
      <c r="AN85" s="1">
        <f t="shared" ca="1" si="82"/>
        <v>66</v>
      </c>
      <c r="AO85" s="1">
        <f t="shared" ca="1" si="83"/>
        <v>14</v>
      </c>
      <c r="AQ85" s="1">
        <f t="shared" ca="1" si="84"/>
        <v>114</v>
      </c>
      <c r="AR85" s="1">
        <f t="shared" ca="1" si="85"/>
        <v>2</v>
      </c>
      <c r="AS85" s="1">
        <f t="shared" ca="1" si="86"/>
        <v>72</v>
      </c>
      <c r="AU85" s="1">
        <f t="shared" ca="1" si="87"/>
        <v>108</v>
      </c>
      <c r="AV85" s="1">
        <f t="shared" ca="1" si="88"/>
        <v>10</v>
      </c>
      <c r="AW85" s="1">
        <f t="shared" ca="1" si="89"/>
        <v>0.18000379435487313</v>
      </c>
      <c r="AY85" s="1">
        <f t="shared" ca="1" si="90"/>
        <v>1.6004127369826695</v>
      </c>
      <c r="AZ85" s="1">
        <f t="shared" ca="1" si="91"/>
        <v>366</v>
      </c>
      <c r="BA85" s="1">
        <f t="shared" ca="1" si="92"/>
        <v>6.9738967661245712E-3</v>
      </c>
      <c r="BV85" s="1">
        <f t="shared" ca="1" si="93"/>
        <v>0.72075238149691856</v>
      </c>
      <c r="BW85" s="1">
        <f t="shared" ca="1" si="94"/>
        <v>388</v>
      </c>
      <c r="BX85" s="1">
        <f t="shared" ca="1" si="95"/>
        <v>6.1077293076813683E-3</v>
      </c>
      <c r="BY85" s="1">
        <f t="shared" ca="1" si="96"/>
        <v>9.2059574801331909E-2</v>
      </c>
      <c r="BZ85" s="1">
        <f t="shared" ca="1" si="97"/>
        <v>0.70090294241799289</v>
      </c>
      <c r="CB85" s="1">
        <f t="shared" ca="1" si="98"/>
        <v>147</v>
      </c>
      <c r="CC85" s="1">
        <f t="shared" ca="1" si="99"/>
        <v>3</v>
      </c>
      <c r="CD85" s="1">
        <f t="shared" ca="1" si="100"/>
        <v>0.11753446622723561</v>
      </c>
      <c r="CE85" s="1">
        <f t="shared" ca="1" si="101"/>
        <v>0.52916028888262834</v>
      </c>
      <c r="CF85" s="1">
        <f t="shared" ca="1" si="101"/>
        <v>0.78962963194301738</v>
      </c>
      <c r="CH85" s="7">
        <f t="shared" ca="1" si="102"/>
        <v>0.90653598708324235</v>
      </c>
      <c r="CI85" s="7">
        <f t="shared" ca="1" si="103"/>
        <v>0.86774077599179011</v>
      </c>
      <c r="CJ85" s="7">
        <f t="shared" ca="1" si="104"/>
        <v>1792</v>
      </c>
      <c r="CK85" s="7">
        <f t="shared" ca="1" si="105"/>
        <v>6.2173472151805945E-3</v>
      </c>
      <c r="CL85" s="7">
        <f t="shared" ca="1" si="106"/>
        <v>1</v>
      </c>
    </row>
    <row r="86" spans="2:90" x14ac:dyDescent="0.25">
      <c r="B86">
        <f t="shared" ca="1" si="54"/>
        <v>167</v>
      </c>
      <c r="C86">
        <f t="shared" ca="1" si="55"/>
        <v>33</v>
      </c>
      <c r="D86">
        <f t="shared" ca="1" si="56"/>
        <v>8.0558860818425615E-2</v>
      </c>
      <c r="F86" s="1">
        <f t="shared" ca="1" si="57"/>
        <v>37</v>
      </c>
      <c r="G86" s="1">
        <f t="shared" ca="1" si="58"/>
        <v>3</v>
      </c>
      <c r="H86" s="1">
        <f t="shared" ca="1" si="59"/>
        <v>12</v>
      </c>
      <c r="I86" s="1"/>
      <c r="J86" s="1">
        <f t="shared" ca="1" si="60"/>
        <v>24</v>
      </c>
      <c r="K86" s="1">
        <f t="shared" ca="1" si="61"/>
        <v>1.786715038804958</v>
      </c>
      <c r="L86" s="1">
        <f t="shared" ca="1" si="62"/>
        <v>24</v>
      </c>
      <c r="M86" s="1"/>
      <c r="N86" s="1">
        <f t="shared" ca="1" si="63"/>
        <v>935</v>
      </c>
      <c r="O86" s="1">
        <f t="shared" ca="1" si="64"/>
        <v>21</v>
      </c>
      <c r="P86" s="1"/>
      <c r="Q86" s="1">
        <f t="shared" ca="1" si="65"/>
        <v>0.81799093737099737</v>
      </c>
      <c r="R86" s="1">
        <f t="shared" ca="1" si="66"/>
        <v>317</v>
      </c>
      <c r="S86" s="1"/>
      <c r="T86" s="1">
        <f t="shared" ca="1" si="67"/>
        <v>4.9083907514815193E-2</v>
      </c>
      <c r="U86" s="1">
        <f t="shared" ca="1" si="68"/>
        <v>434</v>
      </c>
      <c r="V86" s="1">
        <f t="shared" ca="1" si="69"/>
        <v>26</v>
      </c>
      <c r="W86" s="1"/>
      <c r="X86" s="1">
        <f t="shared" ca="1" si="70"/>
        <v>4.4522693148954788</v>
      </c>
      <c r="Y86" s="1">
        <f t="shared" ca="1" si="71"/>
        <v>0.66246340129615344</v>
      </c>
      <c r="Z86" s="1">
        <f t="shared" ca="1" si="72"/>
        <v>728</v>
      </c>
      <c r="AB86" s="1">
        <f t="shared" ca="1" si="73"/>
        <v>0.60489594009531611</v>
      </c>
      <c r="AC86" s="1">
        <f t="shared" ca="1" si="74"/>
        <v>328</v>
      </c>
      <c r="AD86" s="1">
        <f t="shared" ca="1" si="75"/>
        <v>9.255906521702011E-3</v>
      </c>
      <c r="AE86" s="1"/>
      <c r="AF86" s="1">
        <f t="shared" ca="1" si="76"/>
        <v>0.53983004945643431</v>
      </c>
      <c r="AG86" s="1">
        <f t="shared" ca="1" si="77"/>
        <v>662</v>
      </c>
      <c r="AH86" s="1">
        <f t="shared" ca="1" si="78"/>
        <v>7.8724817393243315E-3</v>
      </c>
      <c r="AJ86" s="1">
        <f t="shared" ca="1" si="79"/>
        <v>0.54691324253575935</v>
      </c>
      <c r="AK86" s="1">
        <f t="shared" ca="1" si="80"/>
        <v>9.687668999466631E-3</v>
      </c>
      <c r="AL86" s="1"/>
      <c r="AM86" s="1">
        <f t="shared" ca="1" si="81"/>
        <v>6.3131822545214447E-2</v>
      </c>
      <c r="AN86" s="1">
        <f t="shared" ca="1" si="82"/>
        <v>50</v>
      </c>
      <c r="AO86" s="1">
        <f t="shared" ca="1" si="83"/>
        <v>2</v>
      </c>
      <c r="AQ86" s="1">
        <f t="shared" ca="1" si="84"/>
        <v>70</v>
      </c>
      <c r="AR86" s="1">
        <f t="shared" ca="1" si="85"/>
        <v>5</v>
      </c>
      <c r="AS86" s="1">
        <f t="shared" ca="1" si="86"/>
        <v>23</v>
      </c>
      <c r="AU86" s="1">
        <f t="shared" ca="1" si="87"/>
        <v>105</v>
      </c>
      <c r="AV86" s="1">
        <f t="shared" ca="1" si="88"/>
        <v>5</v>
      </c>
      <c r="AW86" s="1">
        <f t="shared" ca="1" si="89"/>
        <v>0.19805896211125185</v>
      </c>
      <c r="AY86" s="1">
        <f t="shared" ca="1" si="90"/>
        <v>1.7659545485361945</v>
      </c>
      <c r="AZ86" s="1">
        <f t="shared" ca="1" si="91"/>
        <v>446</v>
      </c>
      <c r="BA86" s="1">
        <f t="shared" ca="1" si="92"/>
        <v>6.0968136466327304E-3</v>
      </c>
      <c r="BV86" s="1">
        <f t="shared" ca="1" si="93"/>
        <v>0.2130698518593018</v>
      </c>
      <c r="BW86" s="1">
        <f t="shared" ca="1" si="94"/>
        <v>292</v>
      </c>
      <c r="BX86" s="1">
        <f t="shared" ca="1" si="95"/>
        <v>1.3565974519103218E-3</v>
      </c>
      <c r="BY86" s="1">
        <f t="shared" ca="1" si="96"/>
        <v>4.8769260268350281E-2</v>
      </c>
      <c r="BZ86" s="1">
        <f t="shared" ca="1" si="97"/>
        <v>0.47992972054466521</v>
      </c>
      <c r="CB86" s="1">
        <f t="shared" ca="1" si="98"/>
        <v>292</v>
      </c>
      <c r="CC86" s="1">
        <f t="shared" ca="1" si="99"/>
        <v>8</v>
      </c>
      <c r="CD86" s="1">
        <f t="shared" ca="1" si="100"/>
        <v>0.27667416699908892</v>
      </c>
      <c r="CE86" s="1">
        <f t="shared" ca="1" si="101"/>
        <v>0.57001051274889658</v>
      </c>
      <c r="CF86" s="1">
        <f t="shared" ca="1" si="101"/>
        <v>0.80504384111682947</v>
      </c>
      <c r="CH86" s="7">
        <f t="shared" ca="1" si="102"/>
        <v>0.79147401215059165</v>
      </c>
      <c r="CI86" s="7">
        <f t="shared" ca="1" si="103"/>
        <v>0.49537603007739084</v>
      </c>
      <c r="CJ86" s="7">
        <f t="shared" ca="1" si="104"/>
        <v>114</v>
      </c>
      <c r="CK86" s="7">
        <f t="shared" ca="1" si="105"/>
        <v>8.4583990620702015E-3</v>
      </c>
      <c r="CL86" s="7">
        <f t="shared" ca="1" si="106"/>
        <v>0</v>
      </c>
    </row>
    <row r="87" spans="2:90" x14ac:dyDescent="0.25">
      <c r="B87">
        <f t="shared" ca="1" si="54"/>
        <v>471</v>
      </c>
      <c r="C87">
        <f t="shared" ca="1" si="55"/>
        <v>28</v>
      </c>
      <c r="D87">
        <f t="shared" ca="1" si="56"/>
        <v>9.7912894277747867E-2</v>
      </c>
      <c r="F87" s="1">
        <f t="shared" ca="1" si="57"/>
        <v>3</v>
      </c>
      <c r="G87" s="1">
        <f t="shared" ca="1" si="58"/>
        <v>27</v>
      </c>
      <c r="H87" s="1">
        <f t="shared" ca="1" si="59"/>
        <v>9</v>
      </c>
      <c r="I87" s="1"/>
      <c r="J87" s="1">
        <f t="shared" ca="1" si="60"/>
        <v>28</v>
      </c>
      <c r="K87" s="1">
        <f t="shared" ca="1" si="61"/>
        <v>2.7004115297071656</v>
      </c>
      <c r="L87" s="1">
        <f t="shared" ca="1" si="62"/>
        <v>19</v>
      </c>
      <c r="M87" s="1"/>
      <c r="N87" s="1">
        <f t="shared" ca="1" si="63"/>
        <v>909</v>
      </c>
      <c r="O87" s="1">
        <f t="shared" ca="1" si="64"/>
        <v>11</v>
      </c>
      <c r="P87" s="1"/>
      <c r="Q87" s="1">
        <f t="shared" ca="1" si="65"/>
        <v>4.2549893598555943</v>
      </c>
      <c r="R87" s="1">
        <f t="shared" ca="1" si="66"/>
        <v>516</v>
      </c>
      <c r="S87" s="1"/>
      <c r="T87" s="1">
        <f t="shared" ca="1" si="67"/>
        <v>0.17737339448116968</v>
      </c>
      <c r="U87" s="1">
        <f t="shared" ca="1" si="68"/>
        <v>132</v>
      </c>
      <c r="V87" s="1">
        <f t="shared" ca="1" si="69"/>
        <v>24</v>
      </c>
      <c r="W87" s="1"/>
      <c r="X87" s="1">
        <f t="shared" ca="1" si="70"/>
        <v>9.2632113749683906</v>
      </c>
      <c r="Y87" s="1">
        <f t="shared" ca="1" si="71"/>
        <v>0.22083702654854748</v>
      </c>
      <c r="Z87" s="1">
        <f t="shared" ca="1" si="72"/>
        <v>1195</v>
      </c>
      <c r="AB87" s="1">
        <f t="shared" ca="1" si="73"/>
        <v>0.53114253432054448</v>
      </c>
      <c r="AC87" s="1">
        <f t="shared" ca="1" si="74"/>
        <v>969</v>
      </c>
      <c r="AD87" s="1">
        <f t="shared" ca="1" si="75"/>
        <v>8.1299365934496774E-3</v>
      </c>
      <c r="AE87" s="1"/>
      <c r="AF87" s="1">
        <f t="shared" ca="1" si="76"/>
        <v>0.37300445273902016</v>
      </c>
      <c r="AG87" s="1">
        <f t="shared" ca="1" si="77"/>
        <v>535</v>
      </c>
      <c r="AH87" s="1">
        <f t="shared" ca="1" si="78"/>
        <v>2.6182720612594338E-3</v>
      </c>
      <c r="AJ87" s="1">
        <f t="shared" ca="1" si="79"/>
        <v>0.42955356222498686</v>
      </c>
      <c r="AK87" s="1">
        <f t="shared" ca="1" si="80"/>
        <v>9.8035696687350776E-3</v>
      </c>
      <c r="AL87" s="1"/>
      <c r="AM87" s="1">
        <f t="shared" ca="1" si="81"/>
        <v>0.10555980789713933</v>
      </c>
      <c r="AN87" s="1">
        <f t="shared" ca="1" si="82"/>
        <v>28</v>
      </c>
      <c r="AO87" s="1">
        <f t="shared" ca="1" si="83"/>
        <v>4</v>
      </c>
      <c r="AQ87" s="1">
        <f t="shared" ca="1" si="84"/>
        <v>92</v>
      </c>
      <c r="AR87" s="1">
        <f t="shared" ca="1" si="85"/>
        <v>9</v>
      </c>
      <c r="AS87" s="1">
        <f t="shared" ca="1" si="86"/>
        <v>37</v>
      </c>
      <c r="AU87" s="1">
        <f t="shared" ca="1" si="87"/>
        <v>121</v>
      </c>
      <c r="AV87" s="1">
        <f t="shared" ca="1" si="88"/>
        <v>4</v>
      </c>
      <c r="AW87" s="1">
        <f t="shared" ca="1" si="89"/>
        <v>6.1556036638366812E-2</v>
      </c>
      <c r="AY87" s="1">
        <f t="shared" ca="1" si="90"/>
        <v>1.7657372531240827</v>
      </c>
      <c r="AZ87" s="1">
        <f t="shared" ca="1" si="91"/>
        <v>351</v>
      </c>
      <c r="BA87" s="1">
        <f t="shared" ca="1" si="92"/>
        <v>1.6769419259495767E-3</v>
      </c>
      <c r="BV87" s="1">
        <f t="shared" ca="1" si="93"/>
        <v>0.90840318622282423</v>
      </c>
      <c r="BW87" s="1">
        <f t="shared" ca="1" si="94"/>
        <v>677</v>
      </c>
      <c r="BX87" s="1">
        <f t="shared" ca="1" si="95"/>
        <v>2.0316453385673082E-3</v>
      </c>
      <c r="BY87" s="1">
        <f t="shared" ca="1" si="96"/>
        <v>1.9910937974914486E-2</v>
      </c>
      <c r="BZ87" s="1">
        <f t="shared" ca="1" si="97"/>
        <v>0.29340726204554157</v>
      </c>
      <c r="CB87" s="1">
        <f t="shared" ca="1" si="98"/>
        <v>427</v>
      </c>
      <c r="CC87" s="1">
        <f t="shared" ca="1" si="99"/>
        <v>13</v>
      </c>
      <c r="CD87" s="1">
        <f t="shared" ca="1" si="100"/>
        <v>6.2675993605753724E-2</v>
      </c>
      <c r="CE87" s="1">
        <f t="shared" ca="1" si="101"/>
        <v>0.88940822956315513</v>
      </c>
      <c r="CF87" s="1">
        <f t="shared" ca="1" si="101"/>
        <v>0.87653739299847422</v>
      </c>
      <c r="CH87" s="7">
        <f t="shared" ca="1" si="102"/>
        <v>0.99258919555498692</v>
      </c>
      <c r="CI87" s="7">
        <f t="shared" ca="1" si="103"/>
        <v>0.39782966101328648</v>
      </c>
      <c r="CJ87" s="7">
        <f t="shared" ca="1" si="104"/>
        <v>581</v>
      </c>
      <c r="CK87" s="7">
        <f t="shared" ca="1" si="105"/>
        <v>9.1529329493148794E-4</v>
      </c>
      <c r="CL87" s="7">
        <f t="shared" ca="1" si="106"/>
        <v>0</v>
      </c>
    </row>
    <row r="88" spans="2:90" x14ac:dyDescent="0.25">
      <c r="B88">
        <f t="shared" ca="1" si="54"/>
        <v>988</v>
      </c>
      <c r="C88">
        <f t="shared" ca="1" si="55"/>
        <v>14</v>
      </c>
      <c r="D88">
        <f t="shared" ca="1" si="56"/>
        <v>0.29996195991210745</v>
      </c>
      <c r="F88" s="1">
        <f t="shared" ca="1" si="57"/>
        <v>47</v>
      </c>
      <c r="G88" s="1">
        <f t="shared" ca="1" si="58"/>
        <v>12</v>
      </c>
      <c r="H88" s="1">
        <f t="shared" ca="1" si="59"/>
        <v>13</v>
      </c>
      <c r="I88" s="1"/>
      <c r="J88" s="1">
        <f t="shared" ca="1" si="60"/>
        <v>13</v>
      </c>
      <c r="K88" s="1">
        <f t="shared" ca="1" si="61"/>
        <v>2.9988053829883436</v>
      </c>
      <c r="L88" s="1">
        <f t="shared" ca="1" si="62"/>
        <v>24</v>
      </c>
      <c r="M88" s="1"/>
      <c r="N88" s="1">
        <f t="shared" ca="1" si="63"/>
        <v>501</v>
      </c>
      <c r="O88" s="1">
        <f t="shared" ca="1" si="64"/>
        <v>19</v>
      </c>
      <c r="P88" s="1"/>
      <c r="Q88" s="1">
        <f t="shared" ca="1" si="65"/>
        <v>0.32318987119206288</v>
      </c>
      <c r="R88" s="1">
        <f t="shared" ca="1" si="66"/>
        <v>894</v>
      </c>
      <c r="S88" s="1"/>
      <c r="T88" s="1">
        <f t="shared" ca="1" si="67"/>
        <v>2.6570996868329491E-2</v>
      </c>
      <c r="U88" s="1">
        <f t="shared" ca="1" si="68"/>
        <v>107</v>
      </c>
      <c r="V88" s="1">
        <f t="shared" ca="1" si="69"/>
        <v>23</v>
      </c>
      <c r="W88" s="1"/>
      <c r="X88" s="1">
        <f t="shared" ca="1" si="70"/>
        <v>9.1863234229346347</v>
      </c>
      <c r="Y88" s="1">
        <f t="shared" ca="1" si="71"/>
        <v>0.93921897712301616</v>
      </c>
      <c r="Z88" s="1">
        <f t="shared" ca="1" si="72"/>
        <v>450</v>
      </c>
      <c r="AB88" s="1">
        <f t="shared" ca="1" si="73"/>
        <v>0.59884090211663932</v>
      </c>
      <c r="AC88" s="1">
        <f t="shared" ca="1" si="74"/>
        <v>956</v>
      </c>
      <c r="AD88" s="1">
        <f t="shared" ca="1" si="75"/>
        <v>4.3239014322020066E-3</v>
      </c>
      <c r="AE88" s="1"/>
      <c r="AF88" s="1">
        <f t="shared" ca="1" si="76"/>
        <v>0.13233742881186716</v>
      </c>
      <c r="AG88" s="1">
        <f t="shared" ca="1" si="77"/>
        <v>693</v>
      </c>
      <c r="AH88" s="1">
        <f t="shared" ca="1" si="78"/>
        <v>4.5652570170870406E-3</v>
      </c>
      <c r="AJ88" s="1">
        <f t="shared" ca="1" si="79"/>
        <v>0.6850016294281005</v>
      </c>
      <c r="AK88" s="1">
        <f t="shared" ca="1" si="80"/>
        <v>6.6001281111865611E-3</v>
      </c>
      <c r="AL88" s="1"/>
      <c r="AM88" s="1">
        <f t="shared" ca="1" si="81"/>
        <v>0.1966301237369194</v>
      </c>
      <c r="AN88" s="1">
        <f t="shared" ca="1" si="82"/>
        <v>61</v>
      </c>
      <c r="AO88" s="1">
        <f t="shared" ca="1" si="83"/>
        <v>14</v>
      </c>
      <c r="AQ88" s="1">
        <f t="shared" ca="1" si="84"/>
        <v>186</v>
      </c>
      <c r="AR88" s="1">
        <f t="shared" ca="1" si="85"/>
        <v>2</v>
      </c>
      <c r="AS88" s="1">
        <f t="shared" ca="1" si="86"/>
        <v>91</v>
      </c>
      <c r="AU88" s="1">
        <f t="shared" ca="1" si="87"/>
        <v>275</v>
      </c>
      <c r="AV88" s="1">
        <f t="shared" ca="1" si="88"/>
        <v>6</v>
      </c>
      <c r="AW88" s="1">
        <f t="shared" ca="1" si="89"/>
        <v>0.1809817288656215</v>
      </c>
      <c r="AY88" s="1">
        <f t="shared" ca="1" si="90"/>
        <v>1.1007794460307754</v>
      </c>
      <c r="AZ88" s="1">
        <f t="shared" ca="1" si="91"/>
        <v>102</v>
      </c>
      <c r="BA88" s="1">
        <f t="shared" ca="1" si="92"/>
        <v>7.4989507666877184E-3</v>
      </c>
      <c r="BV88" s="1">
        <f t="shared" ca="1" si="93"/>
        <v>0.66997563122236314</v>
      </c>
      <c r="BW88" s="1">
        <f t="shared" ca="1" si="94"/>
        <v>209</v>
      </c>
      <c r="BX88" s="1">
        <f t="shared" ca="1" si="95"/>
        <v>6.8609084737724757E-4</v>
      </c>
      <c r="BY88" s="1">
        <f t="shared" ca="1" si="96"/>
        <v>4.553748967584937E-2</v>
      </c>
      <c r="BZ88" s="1">
        <f t="shared" ca="1" si="97"/>
        <v>0.97617931184525097</v>
      </c>
      <c r="CB88" s="1">
        <f t="shared" ca="1" si="98"/>
        <v>324</v>
      </c>
      <c r="CC88" s="1">
        <f t="shared" ca="1" si="99"/>
        <v>11</v>
      </c>
      <c r="CD88" s="1">
        <f t="shared" ca="1" si="100"/>
        <v>8.0787379860296493E-2</v>
      </c>
      <c r="CE88" s="1">
        <f t="shared" ca="1" si="101"/>
        <v>0.63671045042148711</v>
      </c>
      <c r="CF88" s="1">
        <f t="shared" ca="1" si="101"/>
        <v>0.61506649580551875</v>
      </c>
      <c r="CH88" s="7">
        <f t="shared" ca="1" si="102"/>
        <v>0.14619021502679327</v>
      </c>
      <c r="CI88" s="7">
        <f t="shared" ca="1" si="103"/>
        <v>6.6364756174441319E-2</v>
      </c>
      <c r="CJ88" s="7">
        <f t="shared" ca="1" si="104"/>
        <v>227</v>
      </c>
      <c r="CK88" s="7">
        <f t="shared" ca="1" si="105"/>
        <v>4.4416325949508968E-3</v>
      </c>
      <c r="CL88" s="7">
        <f t="shared" ca="1" si="106"/>
        <v>1</v>
      </c>
    </row>
    <row r="89" spans="2:90" x14ac:dyDescent="0.25">
      <c r="B89">
        <f t="shared" ca="1" si="54"/>
        <v>155</v>
      </c>
      <c r="C89">
        <f t="shared" ca="1" si="55"/>
        <v>6</v>
      </c>
      <c r="D89">
        <f t="shared" ca="1" si="56"/>
        <v>0.23651064164605351</v>
      </c>
      <c r="F89" s="1">
        <f t="shared" ca="1" si="57"/>
        <v>9</v>
      </c>
      <c r="G89" s="1">
        <f t="shared" ca="1" si="58"/>
        <v>14</v>
      </c>
      <c r="H89" s="1">
        <f t="shared" ca="1" si="59"/>
        <v>6</v>
      </c>
      <c r="I89" s="1"/>
      <c r="J89" s="1">
        <f t="shared" ca="1" si="60"/>
        <v>9</v>
      </c>
      <c r="K89" s="1">
        <f t="shared" ca="1" si="61"/>
        <v>1.245338786600851</v>
      </c>
      <c r="L89" s="1">
        <f t="shared" ca="1" si="62"/>
        <v>5</v>
      </c>
      <c r="M89" s="1"/>
      <c r="N89" s="1">
        <f t="shared" ca="1" si="63"/>
        <v>234</v>
      </c>
      <c r="O89" s="1">
        <f t="shared" ca="1" si="64"/>
        <v>15</v>
      </c>
      <c r="P89" s="1"/>
      <c r="Q89" s="1">
        <f t="shared" ca="1" si="65"/>
        <v>2.1491507375625676</v>
      </c>
      <c r="R89" s="1">
        <f t="shared" ca="1" si="66"/>
        <v>906</v>
      </c>
      <c r="S89" s="1"/>
      <c r="T89" s="1">
        <f t="shared" ca="1" si="67"/>
        <v>2.763153413894924E-2</v>
      </c>
      <c r="U89" s="1">
        <f t="shared" ca="1" si="68"/>
        <v>423</v>
      </c>
      <c r="V89" s="1">
        <f t="shared" ca="1" si="69"/>
        <v>21</v>
      </c>
      <c r="W89" s="1"/>
      <c r="X89" s="1">
        <f t="shared" ca="1" si="70"/>
        <v>8.2570385962852964</v>
      </c>
      <c r="Y89" s="1">
        <f t="shared" ca="1" si="71"/>
        <v>0.73641334767589117</v>
      </c>
      <c r="Z89" s="1">
        <f t="shared" ca="1" si="72"/>
        <v>1063</v>
      </c>
      <c r="AB89" s="1">
        <f t="shared" ca="1" si="73"/>
        <v>0.43707523189919723</v>
      </c>
      <c r="AC89" s="1">
        <f t="shared" ca="1" si="74"/>
        <v>396</v>
      </c>
      <c r="AD89" s="1">
        <f t="shared" ca="1" si="75"/>
        <v>9.6131887534384383E-3</v>
      </c>
      <c r="AE89" s="1"/>
      <c r="AF89" s="1">
        <f t="shared" ca="1" si="76"/>
        <v>0.50389482735682711</v>
      </c>
      <c r="AG89" s="1">
        <f t="shared" ca="1" si="77"/>
        <v>739</v>
      </c>
      <c r="AH89" s="1">
        <f t="shared" ca="1" si="78"/>
        <v>9.4491787533766761E-3</v>
      </c>
      <c r="AJ89" s="1">
        <f t="shared" ca="1" si="79"/>
        <v>0.32664859434785765</v>
      </c>
      <c r="AK89" s="1">
        <f t="shared" ca="1" si="80"/>
        <v>3.1270958750511928E-3</v>
      </c>
      <c r="AL89" s="1"/>
      <c r="AM89" s="1">
        <f t="shared" ca="1" si="81"/>
        <v>0.18044105909706748</v>
      </c>
      <c r="AN89" s="1">
        <f t="shared" ca="1" si="82"/>
        <v>56</v>
      </c>
      <c r="AO89" s="1">
        <f t="shared" ca="1" si="83"/>
        <v>11</v>
      </c>
      <c r="AQ89" s="1">
        <f t="shared" ca="1" si="84"/>
        <v>67</v>
      </c>
      <c r="AR89" s="1">
        <f t="shared" ca="1" si="85"/>
        <v>7</v>
      </c>
      <c r="AS89" s="1">
        <f t="shared" ca="1" si="86"/>
        <v>66</v>
      </c>
      <c r="AU89" s="1">
        <f t="shared" ca="1" si="87"/>
        <v>90</v>
      </c>
      <c r="AV89" s="1">
        <f t="shared" ca="1" si="88"/>
        <v>5</v>
      </c>
      <c r="AW89" s="1">
        <f t="shared" ca="1" si="89"/>
        <v>3.8954982385739106E-2</v>
      </c>
      <c r="AY89" s="1">
        <f t="shared" ca="1" si="90"/>
        <v>1.7941294342449665</v>
      </c>
      <c r="AZ89" s="1">
        <f t="shared" ca="1" si="91"/>
        <v>309</v>
      </c>
      <c r="BA89" s="1">
        <f t="shared" ca="1" si="92"/>
        <v>6.9620535746329724E-3</v>
      </c>
      <c r="BV89" s="1">
        <f t="shared" ca="1" si="93"/>
        <v>0.27417130873723439</v>
      </c>
      <c r="BW89" s="1">
        <f t="shared" ca="1" si="94"/>
        <v>795</v>
      </c>
      <c r="BX89" s="1">
        <f t="shared" ca="1" si="95"/>
        <v>2.716518342832098E-3</v>
      </c>
      <c r="BY89" s="1">
        <f t="shared" ca="1" si="96"/>
        <v>2.6518523795861539E-2</v>
      </c>
      <c r="BZ89" s="1">
        <f t="shared" ca="1" si="97"/>
        <v>0.17597113973948164</v>
      </c>
      <c r="CB89" s="1">
        <f t="shared" ca="1" si="98"/>
        <v>318</v>
      </c>
      <c r="CC89" s="1">
        <f t="shared" ca="1" si="99"/>
        <v>6</v>
      </c>
      <c r="CD89" s="1">
        <f t="shared" ca="1" si="100"/>
        <v>0.21870045367385285</v>
      </c>
      <c r="CE89" s="1">
        <f t="shared" ca="1" si="101"/>
        <v>0.73784661440634092</v>
      </c>
      <c r="CF89" s="1">
        <f t="shared" ca="1" si="101"/>
        <v>0.53524236333708752</v>
      </c>
      <c r="CH89" s="7">
        <f t="shared" ca="1" si="102"/>
        <v>0.14248672365918699</v>
      </c>
      <c r="CI89" s="7">
        <f t="shared" ca="1" si="103"/>
        <v>0.88333851117015783</v>
      </c>
      <c r="CJ89" s="7">
        <f t="shared" ca="1" si="104"/>
        <v>160</v>
      </c>
      <c r="CK89" s="7">
        <f t="shared" ca="1" si="105"/>
        <v>4.8263087926603753E-3</v>
      </c>
      <c r="CL89" s="7">
        <f t="shared" ca="1" si="106"/>
        <v>0</v>
      </c>
    </row>
    <row r="90" spans="2:90" x14ac:dyDescent="0.25">
      <c r="B90">
        <f t="shared" ca="1" si="54"/>
        <v>311</v>
      </c>
      <c r="C90">
        <f t="shared" ca="1" si="55"/>
        <v>33</v>
      </c>
      <c r="D90">
        <f t="shared" ca="1" si="56"/>
        <v>0.12776020480922992</v>
      </c>
      <c r="F90" s="1">
        <f t="shared" ca="1" si="57"/>
        <v>9</v>
      </c>
      <c r="G90" s="1">
        <f t="shared" ca="1" si="58"/>
        <v>2</v>
      </c>
      <c r="H90" s="1">
        <f t="shared" ca="1" si="59"/>
        <v>8</v>
      </c>
      <c r="I90" s="1"/>
      <c r="J90" s="1">
        <f t="shared" ca="1" si="60"/>
        <v>30</v>
      </c>
      <c r="K90" s="1">
        <f t="shared" ca="1" si="61"/>
        <v>1.46269999757576</v>
      </c>
      <c r="L90" s="1">
        <f t="shared" ca="1" si="62"/>
        <v>19</v>
      </c>
      <c r="M90" s="1"/>
      <c r="N90" s="1">
        <f t="shared" ca="1" si="63"/>
        <v>228</v>
      </c>
      <c r="O90" s="1">
        <f t="shared" ca="1" si="64"/>
        <v>43</v>
      </c>
      <c r="P90" s="1"/>
      <c r="Q90" s="1">
        <f t="shared" ca="1" si="65"/>
        <v>1.2540457858291183</v>
      </c>
      <c r="R90" s="1">
        <f t="shared" ca="1" si="66"/>
        <v>645</v>
      </c>
      <c r="S90" s="1"/>
      <c r="T90" s="1">
        <f t="shared" ca="1" si="67"/>
        <v>0.10349365926807776</v>
      </c>
      <c r="U90" s="1">
        <f t="shared" ca="1" si="68"/>
        <v>435</v>
      </c>
      <c r="V90" s="1">
        <f t="shared" ca="1" si="69"/>
        <v>49</v>
      </c>
      <c r="W90" s="1"/>
      <c r="X90" s="1">
        <f t="shared" ca="1" si="70"/>
        <v>3.7415874292306199</v>
      </c>
      <c r="Y90" s="1">
        <f t="shared" ca="1" si="71"/>
        <v>0.54089512824698804</v>
      </c>
      <c r="Z90" s="1">
        <f t="shared" ca="1" si="72"/>
        <v>1576</v>
      </c>
      <c r="AB90" s="1">
        <f t="shared" ca="1" si="73"/>
        <v>0.86272869282536069</v>
      </c>
      <c r="AC90" s="1">
        <f t="shared" ca="1" si="74"/>
        <v>975</v>
      </c>
      <c r="AD90" s="1">
        <f t="shared" ca="1" si="75"/>
        <v>1.8819325362077414E-3</v>
      </c>
      <c r="AE90" s="1"/>
      <c r="AF90" s="1">
        <f t="shared" ca="1" si="76"/>
        <v>0.63309773784669854</v>
      </c>
      <c r="AG90" s="1">
        <f t="shared" ca="1" si="77"/>
        <v>774</v>
      </c>
      <c r="AH90" s="1">
        <f t="shared" ca="1" si="78"/>
        <v>1.7624207113817005E-4</v>
      </c>
      <c r="AJ90" s="1">
        <f t="shared" ca="1" si="79"/>
        <v>0.23938008670609801</v>
      </c>
      <c r="AK90" s="1">
        <f t="shared" ca="1" si="80"/>
        <v>9.9880857042795642E-3</v>
      </c>
      <c r="AL90" s="1"/>
      <c r="AM90" s="1">
        <f t="shared" ca="1" si="81"/>
        <v>5.4128522853271306E-2</v>
      </c>
      <c r="AN90" s="1">
        <f t="shared" ca="1" si="82"/>
        <v>43</v>
      </c>
      <c r="AO90" s="1">
        <f t="shared" ca="1" si="83"/>
        <v>6</v>
      </c>
      <c r="AQ90" s="1">
        <f t="shared" ca="1" si="84"/>
        <v>101</v>
      </c>
      <c r="AR90" s="1">
        <f t="shared" ca="1" si="85"/>
        <v>2</v>
      </c>
      <c r="AS90" s="1">
        <f t="shared" ca="1" si="86"/>
        <v>58</v>
      </c>
      <c r="AU90" s="1">
        <f t="shared" ca="1" si="87"/>
        <v>109</v>
      </c>
      <c r="AV90" s="1">
        <f t="shared" ca="1" si="88"/>
        <v>7</v>
      </c>
      <c r="AW90" s="1">
        <f t="shared" ca="1" si="89"/>
        <v>1.9643809304114773E-2</v>
      </c>
      <c r="AY90" s="1">
        <f t="shared" ca="1" si="90"/>
        <v>1.3721908481849234</v>
      </c>
      <c r="AZ90" s="1">
        <f t="shared" ca="1" si="91"/>
        <v>77</v>
      </c>
      <c r="BA90" s="1">
        <f t="shared" ca="1" si="92"/>
        <v>9.3038235266422933E-3</v>
      </c>
      <c r="BV90" s="1">
        <f t="shared" ca="1" si="93"/>
        <v>0.9017205637944713</v>
      </c>
      <c r="BW90" s="1">
        <f t="shared" ca="1" si="94"/>
        <v>925</v>
      </c>
      <c r="BX90" s="1">
        <f t="shared" ca="1" si="95"/>
        <v>9.3573061919752128E-3</v>
      </c>
      <c r="BY90" s="1">
        <f t="shared" ca="1" si="96"/>
        <v>6.6775569173888411E-2</v>
      </c>
      <c r="BZ90" s="1">
        <f t="shared" ca="1" si="97"/>
        <v>0.19463513327245008</v>
      </c>
      <c r="CB90" s="1">
        <f t="shared" ca="1" si="98"/>
        <v>118</v>
      </c>
      <c r="CC90" s="1">
        <f t="shared" ca="1" si="99"/>
        <v>11</v>
      </c>
      <c r="CD90" s="1">
        <f t="shared" ca="1" si="100"/>
        <v>8.7335469424170323E-2</v>
      </c>
      <c r="CE90" s="1">
        <f t="shared" ca="1" si="101"/>
        <v>0.87535464767920335</v>
      </c>
      <c r="CF90" s="1">
        <f t="shared" ca="1" si="101"/>
        <v>0.74778557784670019</v>
      </c>
      <c r="CH90" s="7">
        <f t="shared" ca="1" si="102"/>
        <v>0.925857261601848</v>
      </c>
      <c r="CI90" s="7">
        <f t="shared" ca="1" si="103"/>
        <v>0.62943086199658593</v>
      </c>
      <c r="CJ90" s="7">
        <f t="shared" ca="1" si="104"/>
        <v>1932</v>
      </c>
      <c r="CK90" s="7">
        <f t="shared" ca="1" si="105"/>
        <v>3.7338261341191194E-3</v>
      </c>
      <c r="CL90" s="7">
        <f t="shared" ca="1" si="106"/>
        <v>1</v>
      </c>
    </row>
    <row r="91" spans="2:90" x14ac:dyDescent="0.25">
      <c r="B91">
        <f t="shared" ca="1" si="54"/>
        <v>230</v>
      </c>
      <c r="C91">
        <f t="shared" ca="1" si="55"/>
        <v>21</v>
      </c>
      <c r="D91">
        <f t="shared" ca="1" si="56"/>
        <v>0.12908840962339779</v>
      </c>
      <c r="F91" s="1">
        <f t="shared" ca="1" si="57"/>
        <v>34</v>
      </c>
      <c r="G91" s="1">
        <f t="shared" ca="1" si="58"/>
        <v>15</v>
      </c>
      <c r="H91" s="1">
        <f t="shared" ca="1" si="59"/>
        <v>14</v>
      </c>
      <c r="I91" s="1"/>
      <c r="J91" s="1">
        <f t="shared" ca="1" si="60"/>
        <v>1</v>
      </c>
      <c r="K91" s="1">
        <f t="shared" ca="1" si="61"/>
        <v>2.0973420421695037</v>
      </c>
      <c r="L91" s="1">
        <f t="shared" ca="1" si="62"/>
        <v>6</v>
      </c>
      <c r="M91" s="1"/>
      <c r="N91" s="1">
        <f t="shared" ca="1" si="63"/>
        <v>656</v>
      </c>
      <c r="O91" s="1">
        <f t="shared" ca="1" si="64"/>
        <v>32</v>
      </c>
      <c r="P91" s="1"/>
      <c r="Q91" s="1">
        <f t="shared" ca="1" si="65"/>
        <v>2.2305006101261813</v>
      </c>
      <c r="R91" s="1">
        <f t="shared" ca="1" si="66"/>
        <v>938</v>
      </c>
      <c r="S91" s="1"/>
      <c r="T91" s="1">
        <f t="shared" ca="1" si="67"/>
        <v>1.7101672356277589E-2</v>
      </c>
      <c r="U91" s="1">
        <f t="shared" ca="1" si="68"/>
        <v>233</v>
      </c>
      <c r="V91" s="1">
        <f t="shared" ca="1" si="69"/>
        <v>9</v>
      </c>
      <c r="W91" s="1"/>
      <c r="X91" s="1">
        <f t="shared" ca="1" si="70"/>
        <v>5.8770283233330831</v>
      </c>
      <c r="Y91" s="1">
        <f t="shared" ca="1" si="71"/>
        <v>0.85952380055026101</v>
      </c>
      <c r="Z91" s="1">
        <f t="shared" ca="1" si="72"/>
        <v>750</v>
      </c>
      <c r="AB91" s="1">
        <f t="shared" ca="1" si="73"/>
        <v>0.12167633295529862</v>
      </c>
      <c r="AC91" s="1">
        <f t="shared" ca="1" si="74"/>
        <v>846</v>
      </c>
      <c r="AD91" s="1">
        <f t="shared" ca="1" si="75"/>
        <v>8.0107850592205342E-3</v>
      </c>
      <c r="AE91" s="1"/>
      <c r="AF91" s="1">
        <f t="shared" ca="1" si="76"/>
        <v>0.29295698520853752</v>
      </c>
      <c r="AG91" s="1">
        <f t="shared" ca="1" si="77"/>
        <v>886</v>
      </c>
      <c r="AH91" s="1">
        <f t="shared" ca="1" si="78"/>
        <v>5.4198585054618543E-3</v>
      </c>
      <c r="AJ91" s="1">
        <f t="shared" ca="1" si="79"/>
        <v>0.42994042936875421</v>
      </c>
      <c r="AK91" s="1">
        <f t="shared" ca="1" si="80"/>
        <v>5.1990668039125889E-3</v>
      </c>
      <c r="AL91" s="1"/>
      <c r="AM91" s="1">
        <f t="shared" ca="1" si="81"/>
        <v>8.1788770931778679E-2</v>
      </c>
      <c r="AN91" s="1">
        <f t="shared" ca="1" si="82"/>
        <v>47</v>
      </c>
      <c r="AO91" s="1">
        <f t="shared" ca="1" si="83"/>
        <v>18</v>
      </c>
      <c r="AQ91" s="1">
        <f t="shared" ca="1" si="84"/>
        <v>23</v>
      </c>
      <c r="AR91" s="1">
        <f t="shared" ca="1" si="85"/>
        <v>0</v>
      </c>
      <c r="AS91" s="1">
        <f t="shared" ca="1" si="86"/>
        <v>15</v>
      </c>
      <c r="AU91" s="1">
        <f t="shared" ca="1" si="87"/>
        <v>150</v>
      </c>
      <c r="AV91" s="1">
        <f t="shared" ca="1" si="88"/>
        <v>10</v>
      </c>
      <c r="AW91" s="1">
        <f t="shared" ca="1" si="89"/>
        <v>9.1245350346831303E-2</v>
      </c>
      <c r="AY91" s="1">
        <f t="shared" ca="1" si="90"/>
        <v>1.2930692751137725</v>
      </c>
      <c r="AZ91" s="1">
        <f t="shared" ca="1" si="91"/>
        <v>180</v>
      </c>
      <c r="BA91" s="1">
        <f t="shared" ca="1" si="92"/>
        <v>9.7080740940892196E-3</v>
      </c>
      <c r="BV91" s="1">
        <f t="shared" ca="1" si="93"/>
        <v>0.42694141671297059</v>
      </c>
      <c r="BW91" s="1">
        <f t="shared" ca="1" si="94"/>
        <v>286</v>
      </c>
      <c r="BX91" s="1">
        <f t="shared" ca="1" si="95"/>
        <v>1.6376949490409002E-3</v>
      </c>
      <c r="BY91" s="1">
        <f t="shared" ca="1" si="96"/>
        <v>4.7272467777427545E-2</v>
      </c>
      <c r="BZ91" s="1">
        <f t="shared" ca="1" si="97"/>
        <v>0.64692185520203049</v>
      </c>
      <c r="CB91" s="1">
        <f t="shared" ca="1" si="98"/>
        <v>293</v>
      </c>
      <c r="CC91" s="1">
        <f t="shared" ca="1" si="99"/>
        <v>3</v>
      </c>
      <c r="CD91" s="1">
        <f t="shared" ca="1" si="100"/>
        <v>0.21129980838930471</v>
      </c>
      <c r="CE91" s="1">
        <f t="shared" ca="1" si="101"/>
        <v>0.98610077303780885</v>
      </c>
      <c r="CF91" s="1">
        <f t="shared" ca="1" si="101"/>
        <v>0.65730902060748808</v>
      </c>
      <c r="CH91" s="7">
        <f t="shared" ca="1" si="102"/>
        <v>0.11393921643570644</v>
      </c>
      <c r="CI91" s="7">
        <f t="shared" ca="1" si="103"/>
        <v>0.24570285072329881</v>
      </c>
      <c r="CJ91" s="7">
        <f t="shared" ca="1" si="104"/>
        <v>1209</v>
      </c>
      <c r="CK91" s="7">
        <f t="shared" ca="1" si="105"/>
        <v>4.9340321209067929E-3</v>
      </c>
      <c r="CL91" s="7">
        <f t="shared" ca="1" si="106"/>
        <v>1</v>
      </c>
    </row>
    <row r="92" spans="2:90" x14ac:dyDescent="0.25">
      <c r="B92">
        <f t="shared" ca="1" si="54"/>
        <v>400</v>
      </c>
      <c r="C92">
        <f t="shared" ca="1" si="55"/>
        <v>35</v>
      </c>
      <c r="D92">
        <f t="shared" ca="1" si="56"/>
        <v>4.2839865698024109E-2</v>
      </c>
      <c r="F92" s="1">
        <f t="shared" ca="1" si="57"/>
        <v>36</v>
      </c>
      <c r="G92" s="1">
        <f t="shared" ca="1" si="58"/>
        <v>12</v>
      </c>
      <c r="H92" s="1">
        <f t="shared" ca="1" si="59"/>
        <v>5</v>
      </c>
      <c r="I92" s="1"/>
      <c r="J92" s="1">
        <f t="shared" ca="1" si="60"/>
        <v>30</v>
      </c>
      <c r="K92" s="1">
        <f t="shared" ca="1" si="61"/>
        <v>1.561836500475424</v>
      </c>
      <c r="L92" s="1">
        <f t="shared" ca="1" si="62"/>
        <v>24</v>
      </c>
      <c r="M92" s="1"/>
      <c r="N92" s="1">
        <f t="shared" ca="1" si="63"/>
        <v>474</v>
      </c>
      <c r="O92" s="1">
        <f t="shared" ca="1" si="64"/>
        <v>36</v>
      </c>
      <c r="P92" s="1"/>
      <c r="Q92" s="1">
        <f t="shared" ca="1" si="65"/>
        <v>0.1469095773997677</v>
      </c>
      <c r="R92" s="1">
        <f t="shared" ca="1" si="66"/>
        <v>1109</v>
      </c>
      <c r="S92" s="1"/>
      <c r="T92" s="1">
        <f t="shared" ca="1" si="67"/>
        <v>4.9690532586860688E-2</v>
      </c>
      <c r="U92" s="1">
        <f t="shared" ca="1" si="68"/>
        <v>264</v>
      </c>
      <c r="V92" s="1">
        <f t="shared" ca="1" si="69"/>
        <v>14</v>
      </c>
      <c r="W92" s="1"/>
      <c r="X92" s="1">
        <f t="shared" ca="1" si="70"/>
        <v>9.7607205226705229</v>
      </c>
      <c r="Y92" s="1">
        <f t="shared" ca="1" si="71"/>
        <v>0.6655245114703604</v>
      </c>
      <c r="Z92" s="1">
        <f t="shared" ca="1" si="72"/>
        <v>399</v>
      </c>
      <c r="AB92" s="1">
        <f t="shared" ca="1" si="73"/>
        <v>0.67283276033972161</v>
      </c>
      <c r="AC92" s="1">
        <f t="shared" ca="1" si="74"/>
        <v>841</v>
      </c>
      <c r="AD92" s="1">
        <f t="shared" ca="1" si="75"/>
        <v>1.6859022373848654E-3</v>
      </c>
      <c r="AE92" s="1"/>
      <c r="AF92" s="1">
        <f t="shared" ca="1" si="76"/>
        <v>0.24234608267236643</v>
      </c>
      <c r="AG92" s="1">
        <f t="shared" ca="1" si="77"/>
        <v>907</v>
      </c>
      <c r="AH92" s="1">
        <f t="shared" ca="1" si="78"/>
        <v>4.0869214198076377E-3</v>
      </c>
      <c r="AJ92" s="1">
        <f t="shared" ca="1" si="79"/>
        <v>0.43672062378842269</v>
      </c>
      <c r="AK92" s="1">
        <f t="shared" ca="1" si="80"/>
        <v>4.8867170742321869E-3</v>
      </c>
      <c r="AL92" s="1"/>
      <c r="AM92" s="1">
        <f t="shared" ca="1" si="81"/>
        <v>0.19606334105532786</v>
      </c>
      <c r="AN92" s="1">
        <f t="shared" ca="1" si="82"/>
        <v>20</v>
      </c>
      <c r="AO92" s="1">
        <f t="shared" ca="1" si="83"/>
        <v>20</v>
      </c>
      <c r="AQ92" s="1">
        <f t="shared" ca="1" si="84"/>
        <v>52</v>
      </c>
      <c r="AR92" s="1">
        <f t="shared" ca="1" si="85"/>
        <v>2</v>
      </c>
      <c r="AS92" s="1">
        <f t="shared" ca="1" si="86"/>
        <v>73</v>
      </c>
      <c r="AU92" s="1">
        <f t="shared" ca="1" si="87"/>
        <v>94</v>
      </c>
      <c r="AV92" s="1">
        <f t="shared" ca="1" si="88"/>
        <v>2</v>
      </c>
      <c r="AW92" s="1">
        <f t="shared" ca="1" si="89"/>
        <v>4.0495443263752193E-2</v>
      </c>
      <c r="AY92" s="1">
        <f t="shared" ca="1" si="90"/>
        <v>1.473106891022804</v>
      </c>
      <c r="AZ92" s="1">
        <f t="shared" ca="1" si="91"/>
        <v>321</v>
      </c>
      <c r="BA92" s="1">
        <f t="shared" ca="1" si="92"/>
        <v>6.4714719461178042E-3</v>
      </c>
      <c r="BV92" s="1">
        <f t="shared" ca="1" si="93"/>
        <v>0.90196420729007531</v>
      </c>
      <c r="BW92" s="1">
        <f t="shared" ca="1" si="94"/>
        <v>932</v>
      </c>
      <c r="BX92" s="1">
        <f t="shared" ca="1" si="95"/>
        <v>3.9692924153391616E-3</v>
      </c>
      <c r="BY92" s="1">
        <f t="shared" ca="1" si="96"/>
        <v>8.3421477170477931E-2</v>
      </c>
      <c r="BZ92" s="1">
        <f t="shared" ca="1" si="97"/>
        <v>0.5094580665957531</v>
      </c>
      <c r="CB92" s="1">
        <f t="shared" ca="1" si="98"/>
        <v>187</v>
      </c>
      <c r="CC92" s="1">
        <f t="shared" ca="1" si="99"/>
        <v>10</v>
      </c>
      <c r="CD92" s="1">
        <f t="shared" ca="1" si="100"/>
        <v>0.10167352901226209</v>
      </c>
      <c r="CE92" s="1">
        <f t="shared" ca="1" si="101"/>
        <v>0.96110530269405814</v>
      </c>
      <c r="CF92" s="1">
        <f t="shared" ca="1" si="101"/>
        <v>0.91940572907585127</v>
      </c>
      <c r="CH92" s="7">
        <f t="shared" ca="1" si="102"/>
        <v>0.84788902399111543</v>
      </c>
      <c r="CI92" s="7">
        <f t="shared" ca="1" si="103"/>
        <v>0.70135623176678463</v>
      </c>
      <c r="CJ92" s="7">
        <f t="shared" ca="1" si="104"/>
        <v>1260</v>
      </c>
      <c r="CK92" s="7">
        <f t="shared" ca="1" si="105"/>
        <v>2.3341545745061756E-4</v>
      </c>
      <c r="CL92" s="7">
        <f t="shared" ca="1" si="106"/>
        <v>1</v>
      </c>
    </row>
    <row r="93" spans="2:90" x14ac:dyDescent="0.25">
      <c r="B93">
        <f t="shared" ca="1" si="54"/>
        <v>912</v>
      </c>
      <c r="C93">
        <f t="shared" ca="1" si="55"/>
        <v>21</v>
      </c>
      <c r="D93">
        <f t="shared" ca="1" si="56"/>
        <v>6.8535013270104181E-2</v>
      </c>
      <c r="F93" s="1">
        <f t="shared" ca="1" si="57"/>
        <v>43</v>
      </c>
      <c r="G93" s="1">
        <f t="shared" ca="1" si="58"/>
        <v>25</v>
      </c>
      <c r="H93" s="1">
        <f t="shared" ca="1" si="59"/>
        <v>14</v>
      </c>
      <c r="I93" s="1"/>
      <c r="J93" s="1">
        <f t="shared" ca="1" si="60"/>
        <v>19</v>
      </c>
      <c r="K93" s="1">
        <f t="shared" ca="1" si="61"/>
        <v>1.486655662340348</v>
      </c>
      <c r="L93" s="1">
        <f t="shared" ca="1" si="62"/>
        <v>9</v>
      </c>
      <c r="M93" s="1"/>
      <c r="N93" s="1">
        <f t="shared" ca="1" si="63"/>
        <v>659</v>
      </c>
      <c r="O93" s="1">
        <f t="shared" ca="1" si="64"/>
        <v>30</v>
      </c>
      <c r="P93" s="1"/>
      <c r="Q93" s="1">
        <f t="shared" ca="1" si="65"/>
        <v>3.025117551861439</v>
      </c>
      <c r="R93" s="1">
        <f t="shared" ca="1" si="66"/>
        <v>947</v>
      </c>
      <c r="S93" s="1"/>
      <c r="T93" s="1">
        <f t="shared" ca="1" si="67"/>
        <v>5.7877466302125112E-2</v>
      </c>
      <c r="U93" s="1">
        <f t="shared" ca="1" si="68"/>
        <v>270</v>
      </c>
      <c r="V93" s="1">
        <f t="shared" ca="1" si="69"/>
        <v>4</v>
      </c>
      <c r="W93" s="1"/>
      <c r="X93" s="1">
        <f t="shared" ca="1" si="70"/>
        <v>6.4762794623793933</v>
      </c>
      <c r="Y93" s="1">
        <f t="shared" ca="1" si="71"/>
        <v>0.72834873075648399</v>
      </c>
      <c r="Z93" s="1">
        <f t="shared" ca="1" si="72"/>
        <v>1768</v>
      </c>
      <c r="AB93" s="1">
        <f t="shared" ca="1" si="73"/>
        <v>0.93961666796534138</v>
      </c>
      <c r="AC93" s="1">
        <f t="shared" ca="1" si="74"/>
        <v>387</v>
      </c>
      <c r="AD93" s="1">
        <f t="shared" ca="1" si="75"/>
        <v>8.2580580534267842E-3</v>
      </c>
      <c r="AE93" s="1"/>
      <c r="AF93" s="1">
        <f t="shared" ca="1" si="76"/>
        <v>0.62246483890403115</v>
      </c>
      <c r="AG93" s="1">
        <f t="shared" ca="1" si="77"/>
        <v>717</v>
      </c>
      <c r="AH93" s="1">
        <f t="shared" ca="1" si="78"/>
        <v>2.0683585972121159E-4</v>
      </c>
      <c r="AJ93" s="1">
        <f t="shared" ca="1" si="79"/>
        <v>0.86862383118032327</v>
      </c>
      <c r="AK93" s="1">
        <f t="shared" ca="1" si="80"/>
        <v>6.1095000677985978E-3</v>
      </c>
      <c r="AL93" s="1"/>
      <c r="AM93" s="1">
        <f t="shared" ca="1" si="81"/>
        <v>7.7915317192269157E-2</v>
      </c>
      <c r="AN93" s="1">
        <f t="shared" ca="1" si="82"/>
        <v>70</v>
      </c>
      <c r="AO93" s="1">
        <f t="shared" ca="1" si="83"/>
        <v>8</v>
      </c>
      <c r="AQ93" s="1">
        <f t="shared" ca="1" si="84"/>
        <v>92</v>
      </c>
      <c r="AR93" s="1">
        <f t="shared" ca="1" si="85"/>
        <v>10</v>
      </c>
      <c r="AS93" s="1">
        <f t="shared" ca="1" si="86"/>
        <v>39</v>
      </c>
      <c r="AU93" s="1">
        <f t="shared" ca="1" si="87"/>
        <v>58</v>
      </c>
      <c r="AV93" s="1">
        <f t="shared" ca="1" si="88"/>
        <v>4</v>
      </c>
      <c r="AW93" s="1">
        <f t="shared" ca="1" si="89"/>
        <v>0.16946195191776908</v>
      </c>
      <c r="AY93" s="1">
        <f t="shared" ca="1" si="90"/>
        <v>1.5275577371312137</v>
      </c>
      <c r="AZ93" s="1">
        <f t="shared" ca="1" si="91"/>
        <v>228</v>
      </c>
      <c r="BA93" s="1">
        <f t="shared" ca="1" si="92"/>
        <v>2.5477542865476859E-3</v>
      </c>
      <c r="BV93" s="1">
        <f t="shared" ca="1" si="93"/>
        <v>5.5481371476826358E-2</v>
      </c>
      <c r="BW93" s="1">
        <f t="shared" ca="1" si="94"/>
        <v>547</v>
      </c>
      <c r="BX93" s="1">
        <f t="shared" ca="1" si="95"/>
        <v>9.3034983949828662E-3</v>
      </c>
      <c r="BY93" s="1">
        <f t="shared" ca="1" si="96"/>
        <v>3.4559139460685626E-3</v>
      </c>
      <c r="BZ93" s="1">
        <f t="shared" ca="1" si="97"/>
        <v>0.56237420833494811</v>
      </c>
      <c r="CB93" s="1">
        <f t="shared" ca="1" si="98"/>
        <v>81</v>
      </c>
      <c r="CC93" s="1">
        <f t="shared" ca="1" si="99"/>
        <v>13</v>
      </c>
      <c r="CD93" s="1">
        <f t="shared" ca="1" si="100"/>
        <v>0.13539245691592935</v>
      </c>
      <c r="CE93" s="1">
        <f t="shared" ca="1" si="101"/>
        <v>0.874323273987478</v>
      </c>
      <c r="CF93" s="1">
        <f t="shared" ca="1" si="101"/>
        <v>0.94783632450242639</v>
      </c>
      <c r="CH93" s="7">
        <f t="shared" ca="1" si="102"/>
        <v>0.67196385553365445</v>
      </c>
      <c r="CI93" s="7">
        <f t="shared" ca="1" si="103"/>
        <v>0.65753805831491374</v>
      </c>
      <c r="CJ93" s="7">
        <f t="shared" ca="1" si="104"/>
        <v>1095</v>
      </c>
      <c r="CK93" s="7">
        <f t="shared" ca="1" si="105"/>
        <v>8.7066618649686359E-3</v>
      </c>
      <c r="CL93" s="7">
        <f t="shared" ca="1" si="106"/>
        <v>0</v>
      </c>
    </row>
    <row r="94" spans="2:90" x14ac:dyDescent="0.25">
      <c r="B94">
        <f t="shared" ca="1" si="54"/>
        <v>761</v>
      </c>
      <c r="C94">
        <f t="shared" ca="1" si="55"/>
        <v>15</v>
      </c>
      <c r="D94">
        <f t="shared" ca="1" si="56"/>
        <v>8.0707437905980117E-2</v>
      </c>
      <c r="F94" s="1">
        <f t="shared" ca="1" si="57"/>
        <v>5</v>
      </c>
      <c r="G94" s="1">
        <f t="shared" ca="1" si="58"/>
        <v>13</v>
      </c>
      <c r="H94" s="1">
        <f t="shared" ca="1" si="59"/>
        <v>15</v>
      </c>
      <c r="I94" s="1"/>
      <c r="J94" s="1">
        <f t="shared" ca="1" si="60"/>
        <v>6</v>
      </c>
      <c r="K94" s="1">
        <f t="shared" ca="1" si="61"/>
        <v>1.4112522621162149</v>
      </c>
      <c r="L94" s="1">
        <f t="shared" ca="1" si="62"/>
        <v>29</v>
      </c>
      <c r="M94" s="1"/>
      <c r="N94" s="1">
        <f t="shared" ca="1" si="63"/>
        <v>671</v>
      </c>
      <c r="O94" s="1">
        <f t="shared" ca="1" si="64"/>
        <v>51</v>
      </c>
      <c r="P94" s="1"/>
      <c r="Q94" s="1">
        <f t="shared" ca="1" si="65"/>
        <v>0.85852967409962655</v>
      </c>
      <c r="R94" s="1">
        <f t="shared" ca="1" si="66"/>
        <v>652</v>
      </c>
      <c r="S94" s="1"/>
      <c r="T94" s="1">
        <f t="shared" ca="1" si="67"/>
        <v>0.1397889173741621</v>
      </c>
      <c r="U94" s="1">
        <f t="shared" ca="1" si="68"/>
        <v>74</v>
      </c>
      <c r="V94" s="1">
        <f t="shared" ca="1" si="69"/>
        <v>52</v>
      </c>
      <c r="W94" s="1"/>
      <c r="X94" s="1">
        <f t="shared" ca="1" si="70"/>
        <v>5.4076970147230767</v>
      </c>
      <c r="Y94" s="1">
        <f t="shared" ca="1" si="71"/>
        <v>0.35780948985572514</v>
      </c>
      <c r="Z94" s="1">
        <f t="shared" ca="1" si="72"/>
        <v>1290</v>
      </c>
      <c r="AB94" s="1">
        <f t="shared" ca="1" si="73"/>
        <v>0.51139004855537573</v>
      </c>
      <c r="AC94" s="1">
        <f t="shared" ca="1" si="74"/>
        <v>330</v>
      </c>
      <c r="AD94" s="1">
        <f t="shared" ca="1" si="75"/>
        <v>7.8252474451064487E-3</v>
      </c>
      <c r="AE94" s="1"/>
      <c r="AF94" s="1">
        <f t="shared" ca="1" si="76"/>
        <v>0.84006966691169893</v>
      </c>
      <c r="AG94" s="1">
        <f t="shared" ca="1" si="77"/>
        <v>582</v>
      </c>
      <c r="AH94" s="1">
        <f t="shared" ca="1" si="78"/>
        <v>8.7021699556891017E-3</v>
      </c>
      <c r="AJ94" s="1">
        <f t="shared" ca="1" si="79"/>
        <v>0.15368523058213079</v>
      </c>
      <c r="AK94" s="1">
        <f t="shared" ca="1" si="80"/>
        <v>1.5653431118608789E-3</v>
      </c>
      <c r="AL94" s="1"/>
      <c r="AM94" s="1">
        <f t="shared" ca="1" si="81"/>
        <v>0.17532071596520579</v>
      </c>
      <c r="AN94" s="1">
        <f t="shared" ca="1" si="82"/>
        <v>17</v>
      </c>
      <c r="AO94" s="1">
        <f t="shared" ca="1" si="83"/>
        <v>15</v>
      </c>
      <c r="AQ94" s="1">
        <f t="shared" ca="1" si="84"/>
        <v>113</v>
      </c>
      <c r="AR94" s="1">
        <f t="shared" ca="1" si="85"/>
        <v>7</v>
      </c>
      <c r="AS94" s="1">
        <f t="shared" ca="1" si="86"/>
        <v>79</v>
      </c>
      <c r="AU94" s="1">
        <f t="shared" ca="1" si="87"/>
        <v>165</v>
      </c>
      <c r="AV94" s="1">
        <f t="shared" ca="1" si="88"/>
        <v>2</v>
      </c>
      <c r="AW94" s="1">
        <f t="shared" ca="1" si="89"/>
        <v>5.1636829788653263E-2</v>
      </c>
      <c r="AY94" s="1">
        <f t="shared" ca="1" si="90"/>
        <v>1.7052848920522603</v>
      </c>
      <c r="AZ94" s="1">
        <f t="shared" ca="1" si="91"/>
        <v>65</v>
      </c>
      <c r="BA94" s="1">
        <f t="shared" ca="1" si="92"/>
        <v>8.8562301564512492E-3</v>
      </c>
      <c r="BV94" s="1">
        <f t="shared" ca="1" si="93"/>
        <v>0.11600700008635166</v>
      </c>
      <c r="BW94" s="1">
        <f t="shared" ca="1" si="94"/>
        <v>565</v>
      </c>
      <c r="BX94" s="1">
        <f t="shared" ca="1" si="95"/>
        <v>7.6784072430673023E-3</v>
      </c>
      <c r="BY94" s="1">
        <f t="shared" ca="1" si="96"/>
        <v>9.8633154983076461E-3</v>
      </c>
      <c r="BZ94" s="1">
        <f t="shared" ca="1" si="97"/>
        <v>0.64582354273482578</v>
      </c>
      <c r="CB94" s="1">
        <f t="shared" ca="1" si="98"/>
        <v>135</v>
      </c>
      <c r="CC94" s="1">
        <f t="shared" ca="1" si="99"/>
        <v>11</v>
      </c>
      <c r="CD94" s="1">
        <f t="shared" ca="1" si="100"/>
        <v>0.17547436412318632</v>
      </c>
      <c r="CE94" s="1">
        <f t="shared" ca="1" si="101"/>
        <v>0.72909782320987548</v>
      </c>
      <c r="CF94" s="1">
        <f t="shared" ca="1" si="101"/>
        <v>0.57504686169481434</v>
      </c>
      <c r="CH94" s="7">
        <f t="shared" ca="1" si="102"/>
        <v>0.87601712202220217</v>
      </c>
      <c r="CI94" s="7">
        <f t="shared" ca="1" si="103"/>
        <v>0.59443026412977529</v>
      </c>
      <c r="CJ94" s="7">
        <f t="shared" ca="1" si="104"/>
        <v>1111</v>
      </c>
      <c r="CK94" s="7">
        <f t="shared" ca="1" si="105"/>
        <v>2.661132623036651E-3</v>
      </c>
      <c r="CL94" s="7">
        <f t="shared" ca="1" si="106"/>
        <v>0</v>
      </c>
    </row>
    <row r="95" spans="2:90" x14ac:dyDescent="0.25">
      <c r="B95">
        <f t="shared" ca="1" si="54"/>
        <v>908</v>
      </c>
      <c r="C95">
        <f t="shared" ca="1" si="55"/>
        <v>12</v>
      </c>
      <c r="D95">
        <f t="shared" ca="1" si="56"/>
        <v>0.13609508482013774</v>
      </c>
      <c r="F95" s="1">
        <f t="shared" ca="1" si="57"/>
        <v>52</v>
      </c>
      <c r="G95" s="1">
        <f t="shared" ca="1" si="58"/>
        <v>2</v>
      </c>
      <c r="H95" s="1">
        <f t="shared" ca="1" si="59"/>
        <v>8</v>
      </c>
      <c r="I95" s="1"/>
      <c r="J95" s="1">
        <f t="shared" ca="1" si="60"/>
        <v>13</v>
      </c>
      <c r="K95" s="1">
        <f t="shared" ca="1" si="61"/>
        <v>1.8664812064510332</v>
      </c>
      <c r="L95" s="1">
        <f t="shared" ca="1" si="62"/>
        <v>20</v>
      </c>
      <c r="M95" s="1"/>
      <c r="N95" s="1">
        <f t="shared" ca="1" si="63"/>
        <v>909</v>
      </c>
      <c r="O95" s="1">
        <f t="shared" ca="1" si="64"/>
        <v>11</v>
      </c>
      <c r="P95" s="1"/>
      <c r="Q95" s="1">
        <f t="shared" ca="1" si="65"/>
        <v>1.6631298968359995</v>
      </c>
      <c r="R95" s="1">
        <f t="shared" ca="1" si="66"/>
        <v>426</v>
      </c>
      <c r="S95" s="1"/>
      <c r="T95" s="1">
        <f t="shared" ca="1" si="67"/>
        <v>0.10054326336135624</v>
      </c>
      <c r="U95" s="1">
        <f t="shared" ca="1" si="68"/>
        <v>306</v>
      </c>
      <c r="V95" s="1">
        <f t="shared" ca="1" si="69"/>
        <v>15</v>
      </c>
      <c r="W95" s="1"/>
      <c r="X95" s="1">
        <f t="shared" ca="1" si="70"/>
        <v>7.9423034090104885</v>
      </c>
      <c r="Y95" s="1">
        <f t="shared" ca="1" si="71"/>
        <v>0.69178448409751436</v>
      </c>
      <c r="Z95" s="1">
        <f t="shared" ca="1" si="72"/>
        <v>1344</v>
      </c>
      <c r="AB95" s="1">
        <f t="shared" ca="1" si="73"/>
        <v>6.0981818275112794E-2</v>
      </c>
      <c r="AC95" s="1">
        <f t="shared" ca="1" si="74"/>
        <v>428</v>
      </c>
      <c r="AD95" s="1">
        <f t="shared" ca="1" si="75"/>
        <v>2.4915262905947696E-3</v>
      </c>
      <c r="AE95" s="1"/>
      <c r="AF95" s="1">
        <f t="shared" ca="1" si="76"/>
        <v>0.20244861118775115</v>
      </c>
      <c r="AG95" s="1">
        <f t="shared" ca="1" si="77"/>
        <v>457</v>
      </c>
      <c r="AH95" s="1">
        <f t="shared" ca="1" si="78"/>
        <v>8.8966040271345245E-3</v>
      </c>
      <c r="AJ95" s="1">
        <f t="shared" ca="1" si="79"/>
        <v>0.9726695380601823</v>
      </c>
      <c r="AK95" s="1">
        <f t="shared" ca="1" si="80"/>
        <v>7.2201127149259222E-3</v>
      </c>
      <c r="AL95" s="1"/>
      <c r="AM95" s="1">
        <f t="shared" ca="1" si="81"/>
        <v>3.5961859375008939E-2</v>
      </c>
      <c r="AN95" s="1">
        <f t="shared" ca="1" si="82"/>
        <v>78</v>
      </c>
      <c r="AO95" s="1">
        <f t="shared" ca="1" si="83"/>
        <v>12</v>
      </c>
      <c r="AQ95" s="1">
        <f t="shared" ca="1" si="84"/>
        <v>172</v>
      </c>
      <c r="AR95" s="1">
        <f t="shared" ca="1" si="85"/>
        <v>0</v>
      </c>
      <c r="AS95" s="1">
        <f t="shared" ca="1" si="86"/>
        <v>71</v>
      </c>
      <c r="AU95" s="1">
        <f t="shared" ca="1" si="87"/>
        <v>323</v>
      </c>
      <c r="AV95" s="1">
        <f t="shared" ca="1" si="88"/>
        <v>5</v>
      </c>
      <c r="AW95" s="1">
        <f t="shared" ca="1" si="89"/>
        <v>4.4388479288356986E-2</v>
      </c>
      <c r="AY95" s="1">
        <f t="shared" ca="1" si="90"/>
        <v>1.8827295442601024</v>
      </c>
      <c r="AZ95" s="1">
        <f t="shared" ca="1" si="91"/>
        <v>87</v>
      </c>
      <c r="BA95" s="1">
        <f t="shared" ca="1" si="92"/>
        <v>8.5658623842460556E-3</v>
      </c>
      <c r="BV95" s="1">
        <f t="shared" ca="1" si="93"/>
        <v>0.11418522440307487</v>
      </c>
      <c r="BW95" s="1">
        <f t="shared" ca="1" si="94"/>
        <v>767</v>
      </c>
      <c r="BX95" s="1">
        <f t="shared" ca="1" si="95"/>
        <v>4.22597396391394E-3</v>
      </c>
      <c r="BY95" s="1">
        <f t="shared" ca="1" si="96"/>
        <v>3.8749691446144562E-2</v>
      </c>
      <c r="BZ95" s="1">
        <f t="shared" ca="1" si="97"/>
        <v>0.81873855770055837</v>
      </c>
      <c r="CB95" s="1">
        <f t="shared" ca="1" si="98"/>
        <v>467</v>
      </c>
      <c r="CC95" s="1">
        <f t="shared" ca="1" si="99"/>
        <v>5</v>
      </c>
      <c r="CD95" s="1">
        <f t="shared" ca="1" si="100"/>
        <v>0.29919691724924308</v>
      </c>
      <c r="CE95" s="1">
        <f t="shared" ca="1" si="101"/>
        <v>0.7547041046201064</v>
      </c>
      <c r="CF95" s="1">
        <f t="shared" ca="1" si="101"/>
        <v>0.60646906296423808</v>
      </c>
      <c r="CH95" s="7">
        <f t="shared" ca="1" si="102"/>
        <v>0.42719971243642019</v>
      </c>
      <c r="CI95" s="7">
        <f t="shared" ca="1" si="103"/>
        <v>0.22705388572197951</v>
      </c>
      <c r="CJ95" s="7">
        <f t="shared" ca="1" si="104"/>
        <v>1622</v>
      </c>
      <c r="CK95" s="7">
        <f t="shared" ca="1" si="105"/>
        <v>3.7217232774201504E-3</v>
      </c>
      <c r="CL95" s="7">
        <f t="shared" ca="1" si="106"/>
        <v>1</v>
      </c>
    </row>
    <row r="96" spans="2:90" x14ac:dyDescent="0.25">
      <c r="B96">
        <f t="shared" ca="1" si="54"/>
        <v>715</v>
      </c>
      <c r="C96">
        <f t="shared" ca="1" si="55"/>
        <v>21</v>
      </c>
      <c r="D96">
        <f t="shared" ca="1" si="56"/>
        <v>0.27183005016363604</v>
      </c>
      <c r="F96" s="1">
        <f t="shared" ca="1" si="57"/>
        <v>44</v>
      </c>
      <c r="G96" s="1">
        <f t="shared" ca="1" si="58"/>
        <v>5</v>
      </c>
      <c r="H96" s="1">
        <f t="shared" ca="1" si="59"/>
        <v>3</v>
      </c>
      <c r="I96" s="1"/>
      <c r="J96" s="1">
        <f t="shared" ca="1" si="60"/>
        <v>1</v>
      </c>
      <c r="K96" s="1">
        <f t="shared" ca="1" si="61"/>
        <v>2.9086848818415714</v>
      </c>
      <c r="L96" s="1">
        <f t="shared" ca="1" si="62"/>
        <v>10</v>
      </c>
      <c r="M96" s="1"/>
      <c r="N96" s="1">
        <f t="shared" ca="1" si="63"/>
        <v>119</v>
      </c>
      <c r="O96" s="1">
        <f t="shared" ca="1" si="64"/>
        <v>14</v>
      </c>
      <c r="P96" s="1"/>
      <c r="Q96" s="1">
        <f t="shared" ca="1" si="65"/>
        <v>3.2176088085260588</v>
      </c>
      <c r="R96" s="1">
        <f t="shared" ca="1" si="66"/>
        <v>1198</v>
      </c>
      <c r="S96" s="1"/>
      <c r="T96" s="1">
        <f t="shared" ca="1" si="67"/>
        <v>8.0068488502162874E-2</v>
      </c>
      <c r="U96" s="1">
        <f t="shared" ca="1" si="68"/>
        <v>157</v>
      </c>
      <c r="V96" s="1">
        <f t="shared" ca="1" si="69"/>
        <v>7</v>
      </c>
      <c r="W96" s="1"/>
      <c r="X96" s="1">
        <f t="shared" ca="1" si="70"/>
        <v>1.7548837113142843</v>
      </c>
      <c r="Y96" s="1">
        <f t="shared" ca="1" si="71"/>
        <v>0.42614032561455267</v>
      </c>
      <c r="Z96" s="1">
        <f t="shared" ca="1" si="72"/>
        <v>1968</v>
      </c>
      <c r="AB96" s="1">
        <f t="shared" ca="1" si="73"/>
        <v>0.81331270862303495</v>
      </c>
      <c r="AC96" s="1">
        <f t="shared" ca="1" si="74"/>
        <v>397</v>
      </c>
      <c r="AD96" s="1">
        <f t="shared" ca="1" si="75"/>
        <v>5.3742497235845033E-3</v>
      </c>
      <c r="AE96" s="1"/>
      <c r="AF96" s="1">
        <f t="shared" ca="1" si="76"/>
        <v>0.3678118476247243</v>
      </c>
      <c r="AG96" s="1">
        <f t="shared" ca="1" si="77"/>
        <v>633</v>
      </c>
      <c r="AH96" s="1">
        <f t="shared" ca="1" si="78"/>
        <v>6.7250082939923975E-3</v>
      </c>
      <c r="AJ96" s="1">
        <f t="shared" ca="1" si="79"/>
        <v>0.72421551849048416</v>
      </c>
      <c r="AK96" s="1">
        <f t="shared" ca="1" si="80"/>
        <v>5.8764855922027234E-3</v>
      </c>
      <c r="AL96" s="1"/>
      <c r="AM96" s="1">
        <f t="shared" ca="1" si="81"/>
        <v>0.17140846938989063</v>
      </c>
      <c r="AN96" s="1">
        <f t="shared" ca="1" si="82"/>
        <v>16</v>
      </c>
      <c r="AO96" s="1">
        <f t="shared" ca="1" si="83"/>
        <v>10</v>
      </c>
      <c r="AQ96" s="1">
        <f t="shared" ca="1" si="84"/>
        <v>49</v>
      </c>
      <c r="AR96" s="1">
        <f t="shared" ca="1" si="85"/>
        <v>10</v>
      </c>
      <c r="AS96" s="1">
        <f t="shared" ca="1" si="86"/>
        <v>97</v>
      </c>
      <c r="AU96" s="1">
        <f t="shared" ca="1" si="87"/>
        <v>312</v>
      </c>
      <c r="AV96" s="1">
        <f t="shared" ca="1" si="88"/>
        <v>2</v>
      </c>
      <c r="AW96" s="1">
        <f t="shared" ca="1" si="89"/>
        <v>4.5854934853556885E-2</v>
      </c>
      <c r="AY96" s="1">
        <f t="shared" ca="1" si="90"/>
        <v>1.4956358925543738</v>
      </c>
      <c r="AZ96" s="1">
        <f t="shared" ca="1" si="91"/>
        <v>325</v>
      </c>
      <c r="BA96" s="1">
        <f t="shared" ca="1" si="92"/>
        <v>5.1562506187515468E-3</v>
      </c>
      <c r="BV96" s="1">
        <f t="shared" ca="1" si="93"/>
        <v>0.17577642265715918</v>
      </c>
      <c r="BW96" s="1">
        <f t="shared" ca="1" si="94"/>
        <v>877</v>
      </c>
      <c r="BX96" s="1">
        <f t="shared" ca="1" si="95"/>
        <v>7.9922677104449693E-3</v>
      </c>
      <c r="BY96" s="1">
        <f t="shared" ca="1" si="96"/>
        <v>4.4733141061816688E-2</v>
      </c>
      <c r="BZ96" s="1">
        <f t="shared" ca="1" si="97"/>
        <v>0.82272083989032763</v>
      </c>
      <c r="CB96" s="1">
        <f t="shared" ca="1" si="98"/>
        <v>308</v>
      </c>
      <c r="CC96" s="1">
        <f t="shared" ca="1" si="99"/>
        <v>4</v>
      </c>
      <c r="CD96" s="1">
        <f t="shared" ca="1" si="100"/>
        <v>0.18980176615222147</v>
      </c>
      <c r="CE96" s="1">
        <f t="shared" ca="1" si="101"/>
        <v>0.76081232342427985</v>
      </c>
      <c r="CF96" s="1">
        <f t="shared" ca="1" si="101"/>
        <v>0.62293551406199255</v>
      </c>
      <c r="CH96" s="7">
        <f t="shared" ca="1" si="102"/>
        <v>0.18621616576421363</v>
      </c>
      <c r="CI96" s="7">
        <f t="shared" ca="1" si="103"/>
        <v>0.84719412605267053</v>
      </c>
      <c r="CJ96" s="7">
        <f t="shared" ca="1" si="104"/>
        <v>1043</v>
      </c>
      <c r="CK96" s="7">
        <f t="shared" ca="1" si="105"/>
        <v>3.2263162169755637E-4</v>
      </c>
      <c r="CL96" s="7">
        <f t="shared" ca="1" si="106"/>
        <v>0</v>
      </c>
    </row>
    <row r="97" spans="2:90" x14ac:dyDescent="0.25">
      <c r="B97">
        <f t="shared" ca="1" si="54"/>
        <v>605</v>
      </c>
      <c r="C97">
        <f t="shared" ca="1" si="55"/>
        <v>14</v>
      </c>
      <c r="D97">
        <f t="shared" ca="1" si="56"/>
        <v>0.1538367434894215</v>
      </c>
      <c r="F97" s="1">
        <f t="shared" ca="1" si="57"/>
        <v>13</v>
      </c>
      <c r="G97" s="1">
        <f t="shared" ca="1" si="58"/>
        <v>13</v>
      </c>
      <c r="H97" s="1">
        <f t="shared" ca="1" si="59"/>
        <v>8</v>
      </c>
      <c r="I97" s="1"/>
      <c r="J97" s="1">
        <f t="shared" ca="1" si="60"/>
        <v>19</v>
      </c>
      <c r="K97" s="1">
        <f t="shared" ca="1" si="61"/>
        <v>2.7036103207045352</v>
      </c>
      <c r="L97" s="1">
        <f t="shared" ca="1" si="62"/>
        <v>16</v>
      </c>
      <c r="M97" s="1"/>
      <c r="N97" s="1">
        <f t="shared" ca="1" si="63"/>
        <v>299</v>
      </c>
      <c r="O97" s="1">
        <f t="shared" ca="1" si="64"/>
        <v>36</v>
      </c>
      <c r="P97" s="1"/>
      <c r="Q97" s="1">
        <f t="shared" ca="1" si="65"/>
        <v>3.4607443167291754</v>
      </c>
      <c r="R97" s="1">
        <f t="shared" ca="1" si="66"/>
        <v>686</v>
      </c>
      <c r="S97" s="1"/>
      <c r="T97" s="1">
        <f t="shared" ca="1" si="67"/>
        <v>7.449861188302509E-2</v>
      </c>
      <c r="U97" s="1">
        <f t="shared" ca="1" si="68"/>
        <v>94</v>
      </c>
      <c r="V97" s="1">
        <f t="shared" ca="1" si="69"/>
        <v>15</v>
      </c>
      <c r="W97" s="1"/>
      <c r="X97" s="1">
        <f t="shared" ca="1" si="70"/>
        <v>7.9695260202090052</v>
      </c>
      <c r="Y97" s="1">
        <f t="shared" ca="1" si="71"/>
        <v>0.4636666576047424</v>
      </c>
      <c r="Z97" s="1">
        <f t="shared" ca="1" si="72"/>
        <v>1962</v>
      </c>
      <c r="AB97" s="1">
        <f t="shared" ca="1" si="73"/>
        <v>0.15699258004847524</v>
      </c>
      <c r="AC97" s="1">
        <f t="shared" ca="1" si="74"/>
        <v>732</v>
      </c>
      <c r="AD97" s="1">
        <f t="shared" ca="1" si="75"/>
        <v>6.7695235063819541E-3</v>
      </c>
      <c r="AE97" s="1"/>
      <c r="AF97" s="1">
        <f t="shared" ca="1" si="76"/>
        <v>0.24072336436944913</v>
      </c>
      <c r="AG97" s="1">
        <f t="shared" ca="1" si="77"/>
        <v>924</v>
      </c>
      <c r="AH97" s="1">
        <f t="shared" ca="1" si="78"/>
        <v>4.1477092808923002E-3</v>
      </c>
      <c r="AJ97" s="1">
        <f t="shared" ca="1" si="79"/>
        <v>0.6141411305146266</v>
      </c>
      <c r="AK97" s="1">
        <f t="shared" ca="1" si="80"/>
        <v>1.7566420487048445E-4</v>
      </c>
      <c r="AL97" s="1"/>
      <c r="AM97" s="1">
        <f t="shared" ca="1" si="81"/>
        <v>3.4419398149117632E-2</v>
      </c>
      <c r="AN97" s="1">
        <f t="shared" ca="1" si="82"/>
        <v>27</v>
      </c>
      <c r="AO97" s="1">
        <f t="shared" ca="1" si="83"/>
        <v>4</v>
      </c>
      <c r="AQ97" s="1">
        <f t="shared" ca="1" si="84"/>
        <v>31</v>
      </c>
      <c r="AR97" s="1">
        <f t="shared" ca="1" si="85"/>
        <v>2</v>
      </c>
      <c r="AS97" s="1">
        <f t="shared" ca="1" si="86"/>
        <v>32</v>
      </c>
      <c r="AU97" s="1">
        <f t="shared" ca="1" si="87"/>
        <v>277</v>
      </c>
      <c r="AV97" s="1">
        <f t="shared" ca="1" si="88"/>
        <v>8</v>
      </c>
      <c r="AW97" s="1">
        <f t="shared" ca="1" si="89"/>
        <v>4.0201799237506476E-2</v>
      </c>
      <c r="AY97" s="1">
        <f t="shared" ca="1" si="90"/>
        <v>1.7186563064591396</v>
      </c>
      <c r="AZ97" s="1">
        <f t="shared" ca="1" si="91"/>
        <v>100</v>
      </c>
      <c r="BA97" s="1">
        <f t="shared" ca="1" si="92"/>
        <v>6.113495439614044E-3</v>
      </c>
      <c r="BV97" s="1">
        <f t="shared" ca="1" si="93"/>
        <v>0.37659865231211231</v>
      </c>
      <c r="BW97" s="1">
        <f t="shared" ca="1" si="94"/>
        <v>603</v>
      </c>
      <c r="BX97" s="1">
        <f t="shared" ca="1" si="95"/>
        <v>1.6113843212253339E-3</v>
      </c>
      <c r="BY97" s="1">
        <f t="shared" ca="1" si="96"/>
        <v>3.7300325175330301E-2</v>
      </c>
      <c r="BZ97" s="1">
        <f t="shared" ca="1" si="97"/>
        <v>0.7765244196496669</v>
      </c>
      <c r="CB97" s="1">
        <f t="shared" ca="1" si="98"/>
        <v>403</v>
      </c>
      <c r="CC97" s="1">
        <f t="shared" ca="1" si="99"/>
        <v>9</v>
      </c>
      <c r="CD97" s="1">
        <f t="shared" ca="1" si="100"/>
        <v>0.20223691443022834</v>
      </c>
      <c r="CE97" s="1">
        <f t="shared" ca="1" si="101"/>
        <v>0.86227108116846496</v>
      </c>
      <c r="CF97" s="1">
        <f t="shared" ca="1" si="101"/>
        <v>0.51250376423401278</v>
      </c>
      <c r="CH97" s="7">
        <f t="shared" ca="1" si="102"/>
        <v>0.75027704063327738</v>
      </c>
      <c r="CI97" s="7">
        <f t="shared" ca="1" si="103"/>
        <v>0.20903732169595557</v>
      </c>
      <c r="CJ97" s="7">
        <f t="shared" ca="1" si="104"/>
        <v>221</v>
      </c>
      <c r="CK97" s="7">
        <f t="shared" ca="1" si="105"/>
        <v>5.4767302832558458E-3</v>
      </c>
      <c r="CL97" s="7">
        <f t="shared" ca="1" si="106"/>
        <v>1</v>
      </c>
    </row>
    <row r="98" spans="2:90" x14ac:dyDescent="0.25">
      <c r="B98">
        <f t="shared" ca="1" si="54"/>
        <v>83</v>
      </c>
      <c r="C98">
        <f t="shared" ca="1" si="55"/>
        <v>20</v>
      </c>
      <c r="D98">
        <f t="shared" ca="1" si="56"/>
        <v>1.3629671501250216E-2</v>
      </c>
      <c r="F98" s="1">
        <f t="shared" ca="1" si="57"/>
        <v>30</v>
      </c>
      <c r="G98" s="1">
        <f t="shared" ca="1" si="58"/>
        <v>27</v>
      </c>
      <c r="H98" s="1">
        <f t="shared" ca="1" si="59"/>
        <v>12</v>
      </c>
      <c r="I98" s="1"/>
      <c r="J98" s="1">
        <f t="shared" ca="1" si="60"/>
        <v>28</v>
      </c>
      <c r="K98" s="1">
        <f t="shared" ca="1" si="61"/>
        <v>2.2774701431909117</v>
      </c>
      <c r="L98" s="1">
        <f t="shared" ca="1" si="62"/>
        <v>8</v>
      </c>
      <c r="M98" s="1"/>
      <c r="N98" s="1">
        <f t="shared" ca="1" si="63"/>
        <v>909</v>
      </c>
      <c r="O98" s="1">
        <f t="shared" ca="1" si="64"/>
        <v>21</v>
      </c>
      <c r="P98" s="1"/>
      <c r="Q98" s="1">
        <f t="shared" ca="1" si="65"/>
        <v>1.8748528474258106</v>
      </c>
      <c r="R98" s="1">
        <f t="shared" ca="1" si="66"/>
        <v>853</v>
      </c>
      <c r="S98" s="1"/>
      <c r="T98" s="1">
        <f t="shared" ca="1" si="67"/>
        <v>0.19872973680134137</v>
      </c>
      <c r="U98" s="1">
        <f t="shared" ca="1" si="68"/>
        <v>342</v>
      </c>
      <c r="V98" s="1">
        <f t="shared" ca="1" si="69"/>
        <v>2</v>
      </c>
      <c r="W98" s="1"/>
      <c r="X98" s="1">
        <f t="shared" ca="1" si="70"/>
        <v>7.0205918993881777</v>
      </c>
      <c r="Y98" s="1">
        <f t="shared" ca="1" si="71"/>
        <v>0.28000951700187005</v>
      </c>
      <c r="Z98" s="1">
        <f t="shared" ca="1" si="72"/>
        <v>1580</v>
      </c>
      <c r="AB98" s="1">
        <f t="shared" ca="1" si="73"/>
        <v>0.79055472175154562</v>
      </c>
      <c r="AC98" s="1">
        <f t="shared" ca="1" si="74"/>
        <v>509</v>
      </c>
      <c r="AD98" s="1">
        <f t="shared" ca="1" si="75"/>
        <v>6.0110374232149235E-3</v>
      </c>
      <c r="AE98" s="1"/>
      <c r="AF98" s="1">
        <f t="shared" ca="1" si="76"/>
        <v>0.12506471473228481</v>
      </c>
      <c r="AG98" s="1">
        <f t="shared" ca="1" si="77"/>
        <v>710</v>
      </c>
      <c r="AH98" s="1">
        <f t="shared" ca="1" si="78"/>
        <v>1.2152501472600164E-3</v>
      </c>
      <c r="AJ98" s="1">
        <f t="shared" ca="1" si="79"/>
        <v>0.86422676428519074</v>
      </c>
      <c r="AK98" s="1">
        <f t="shared" ca="1" si="80"/>
        <v>4.7851397722561067E-4</v>
      </c>
      <c r="AL98" s="1"/>
      <c r="AM98" s="1">
        <f t="shared" ca="1" si="81"/>
        <v>8.8491473007470511E-2</v>
      </c>
      <c r="AN98" s="1">
        <f t="shared" ca="1" si="82"/>
        <v>49</v>
      </c>
      <c r="AO98" s="1">
        <f t="shared" ca="1" si="83"/>
        <v>18</v>
      </c>
      <c r="AQ98" s="1">
        <f t="shared" ca="1" si="84"/>
        <v>180</v>
      </c>
      <c r="AR98" s="1">
        <f t="shared" ca="1" si="85"/>
        <v>8</v>
      </c>
      <c r="AS98" s="1">
        <f t="shared" ca="1" si="86"/>
        <v>99</v>
      </c>
      <c r="AU98" s="1">
        <f t="shared" ca="1" si="87"/>
        <v>104</v>
      </c>
      <c r="AV98" s="1">
        <f t="shared" ca="1" si="88"/>
        <v>9</v>
      </c>
      <c r="AW98" s="1">
        <f t="shared" ca="1" si="89"/>
        <v>6.9923809240874546E-2</v>
      </c>
      <c r="AY98" s="1">
        <f t="shared" ca="1" si="90"/>
        <v>1.9679408990012179</v>
      </c>
      <c r="AZ98" s="1">
        <f t="shared" ca="1" si="91"/>
        <v>440</v>
      </c>
      <c r="BA98" s="1">
        <f t="shared" ca="1" si="92"/>
        <v>3.7629118277265543E-3</v>
      </c>
      <c r="BV98" s="1">
        <f t="shared" ca="1" si="93"/>
        <v>2.1042877021451335E-2</v>
      </c>
      <c r="BW98" s="1">
        <f t="shared" ca="1" si="94"/>
        <v>945</v>
      </c>
      <c r="BX98" s="1">
        <f t="shared" ca="1" si="95"/>
        <v>9.6877513862079229E-3</v>
      </c>
      <c r="BY98" s="1">
        <f t="shared" ca="1" si="96"/>
        <v>6.6648544737558421E-2</v>
      </c>
      <c r="BZ98" s="1">
        <f t="shared" ca="1" si="97"/>
        <v>0.63820453069762884</v>
      </c>
      <c r="CB98" s="1">
        <f t="shared" ca="1" si="98"/>
        <v>260</v>
      </c>
      <c r="CC98" s="1">
        <f t="shared" ca="1" si="99"/>
        <v>12</v>
      </c>
      <c r="CD98" s="1">
        <f t="shared" ca="1" si="100"/>
        <v>0.15199946193124886</v>
      </c>
      <c r="CE98" s="1">
        <f t="shared" ca="1" si="101"/>
        <v>0.98231873270845282</v>
      </c>
      <c r="CF98" s="1">
        <f t="shared" ca="1" si="101"/>
        <v>0.81349671662737566</v>
      </c>
      <c r="CH98" s="7">
        <f t="shared" ca="1" si="102"/>
        <v>0.48501091494130821</v>
      </c>
      <c r="CI98" s="7">
        <f t="shared" ca="1" si="103"/>
        <v>3.1813794839231163E-2</v>
      </c>
      <c r="CJ98" s="7">
        <f t="shared" ca="1" si="104"/>
        <v>1857</v>
      </c>
      <c r="CK98" s="7">
        <f t="shared" ca="1" si="105"/>
        <v>9.0039600573563645E-3</v>
      </c>
      <c r="CL98" s="7">
        <f t="shared" ca="1" si="106"/>
        <v>1</v>
      </c>
    </row>
    <row r="99" spans="2:90" x14ac:dyDescent="0.25">
      <c r="B99">
        <f t="shared" ca="1" si="54"/>
        <v>361</v>
      </c>
      <c r="C99">
        <f t="shared" ca="1" si="55"/>
        <v>11</v>
      </c>
      <c r="D99">
        <f t="shared" ca="1" si="56"/>
        <v>3.4319842250432199E-2</v>
      </c>
      <c r="F99" s="1">
        <f t="shared" ca="1" si="57"/>
        <v>14</v>
      </c>
      <c r="G99" s="1">
        <f t="shared" ca="1" si="58"/>
        <v>23</v>
      </c>
      <c r="H99" s="1">
        <f t="shared" ca="1" si="59"/>
        <v>1</v>
      </c>
      <c r="I99" s="1"/>
      <c r="J99" s="1">
        <f t="shared" ca="1" si="60"/>
        <v>28</v>
      </c>
      <c r="K99" s="1">
        <f t="shared" ca="1" si="61"/>
        <v>1.3984058871277802</v>
      </c>
      <c r="L99" s="1">
        <f t="shared" ca="1" si="62"/>
        <v>25</v>
      </c>
      <c r="M99" s="1"/>
      <c r="N99" s="1">
        <f t="shared" ca="1" si="63"/>
        <v>274</v>
      </c>
      <c r="O99" s="1">
        <f t="shared" ca="1" si="64"/>
        <v>21</v>
      </c>
      <c r="P99" s="1"/>
      <c r="Q99" s="1">
        <f t="shared" ca="1" si="65"/>
        <v>0.715153615020369</v>
      </c>
      <c r="R99" s="1">
        <f t="shared" ca="1" si="66"/>
        <v>1043</v>
      </c>
      <c r="S99" s="1"/>
      <c r="T99" s="1">
        <f t="shared" ca="1" si="67"/>
        <v>8.59729959570079E-2</v>
      </c>
      <c r="U99" s="1">
        <f t="shared" ca="1" si="68"/>
        <v>421</v>
      </c>
      <c r="V99" s="1">
        <f t="shared" ca="1" si="69"/>
        <v>43</v>
      </c>
      <c r="W99" s="1"/>
      <c r="X99" s="1">
        <f t="shared" ca="1" si="70"/>
        <v>1.734411910911305</v>
      </c>
      <c r="Y99" s="1">
        <f t="shared" ca="1" si="71"/>
        <v>0.1941608643854234</v>
      </c>
      <c r="Z99" s="1">
        <f t="shared" ca="1" si="72"/>
        <v>1526</v>
      </c>
      <c r="AB99" s="1">
        <f t="shared" ca="1" si="73"/>
        <v>0.40009436097867168</v>
      </c>
      <c r="AC99" s="1">
        <f t="shared" ca="1" si="74"/>
        <v>556</v>
      </c>
      <c r="AD99" s="1">
        <f t="shared" ca="1" si="75"/>
        <v>7.5658812309074546E-3</v>
      </c>
      <c r="AE99" s="1"/>
      <c r="AF99" s="1">
        <f t="shared" ca="1" si="76"/>
        <v>0.19637633237007179</v>
      </c>
      <c r="AG99" s="1">
        <f t="shared" ca="1" si="77"/>
        <v>477</v>
      </c>
      <c r="AH99" s="1">
        <f t="shared" ca="1" si="78"/>
        <v>1.3291046144585121E-3</v>
      </c>
      <c r="AJ99" s="1">
        <f t="shared" ca="1" si="79"/>
        <v>0.39942416748824539</v>
      </c>
      <c r="AK99" s="1">
        <f t="shared" ca="1" si="80"/>
        <v>6.5078692992962279E-3</v>
      </c>
      <c r="AL99" s="1"/>
      <c r="AM99" s="1">
        <f t="shared" ca="1" si="81"/>
        <v>0.15446142401045879</v>
      </c>
      <c r="AN99" s="1">
        <f t="shared" ca="1" si="82"/>
        <v>42</v>
      </c>
      <c r="AO99" s="1">
        <f t="shared" ca="1" si="83"/>
        <v>16</v>
      </c>
      <c r="AQ99" s="1">
        <f t="shared" ca="1" si="84"/>
        <v>81</v>
      </c>
      <c r="AR99" s="1">
        <f t="shared" ca="1" si="85"/>
        <v>4</v>
      </c>
      <c r="AS99" s="1">
        <f t="shared" ca="1" si="86"/>
        <v>79</v>
      </c>
      <c r="AU99" s="1">
        <f t="shared" ca="1" si="87"/>
        <v>367</v>
      </c>
      <c r="AV99" s="1">
        <f t="shared" ca="1" si="88"/>
        <v>6</v>
      </c>
      <c r="AW99" s="1">
        <f t="shared" ca="1" si="89"/>
        <v>5.4048679076947881E-2</v>
      </c>
      <c r="AY99" s="1">
        <f t="shared" ca="1" si="90"/>
        <v>1.98978194351495</v>
      </c>
      <c r="AZ99" s="1">
        <f t="shared" ca="1" si="91"/>
        <v>454</v>
      </c>
      <c r="BA99" s="1">
        <f t="shared" ca="1" si="92"/>
        <v>6.4570695917372557E-3</v>
      </c>
      <c r="BV99" s="1">
        <f t="shared" ca="1" si="93"/>
        <v>0.42306624341498988</v>
      </c>
      <c r="BW99" s="1">
        <f t="shared" ca="1" si="94"/>
        <v>492</v>
      </c>
      <c r="BX99" s="1">
        <f t="shared" ca="1" si="95"/>
        <v>8.5466013543241143E-3</v>
      </c>
      <c r="BY99" s="1">
        <f t="shared" ca="1" si="96"/>
        <v>8.465451703620136E-2</v>
      </c>
      <c r="BZ99" s="1">
        <f t="shared" ca="1" si="97"/>
        <v>0.42103425175287834</v>
      </c>
      <c r="CB99" s="1">
        <f t="shared" ca="1" si="98"/>
        <v>342</v>
      </c>
      <c r="CC99" s="1">
        <f t="shared" ca="1" si="99"/>
        <v>15</v>
      </c>
      <c r="CD99" s="1">
        <f t="shared" ca="1" si="100"/>
        <v>0.18110836837229033</v>
      </c>
      <c r="CE99" s="1">
        <f t="shared" ca="1" si="101"/>
        <v>0.6061557863696897</v>
      </c>
      <c r="CF99" s="1">
        <f t="shared" ca="1" si="101"/>
        <v>0.67523543007610698</v>
      </c>
      <c r="CH99" s="7">
        <f t="shared" ca="1" si="102"/>
        <v>0.45843566632133564</v>
      </c>
      <c r="CI99" s="7">
        <f t="shared" ca="1" si="103"/>
        <v>0.78533957354111139</v>
      </c>
      <c r="CJ99" s="7">
        <f t="shared" ca="1" si="104"/>
        <v>513</v>
      </c>
      <c r="CK99" s="7">
        <f t="shared" ca="1" si="105"/>
        <v>6.6698206835242267E-4</v>
      </c>
      <c r="CL99" s="7">
        <f t="shared" ca="1" si="106"/>
        <v>1</v>
      </c>
    </row>
    <row r="100" spans="2:90" x14ac:dyDescent="0.25">
      <c r="B100">
        <f t="shared" ca="1" si="54"/>
        <v>738</v>
      </c>
      <c r="C100">
        <f t="shared" ca="1" si="55"/>
        <v>6</v>
      </c>
      <c r="D100">
        <f t="shared" ca="1" si="56"/>
        <v>6.168259017682886E-2</v>
      </c>
      <c r="F100" s="1">
        <f t="shared" ca="1" si="57"/>
        <v>44</v>
      </c>
      <c r="G100" s="1">
        <f t="shared" ca="1" si="58"/>
        <v>30</v>
      </c>
      <c r="H100" s="1">
        <f t="shared" ca="1" si="59"/>
        <v>9</v>
      </c>
      <c r="I100" s="1"/>
      <c r="J100" s="1">
        <f t="shared" ca="1" si="60"/>
        <v>37</v>
      </c>
      <c r="K100" s="1">
        <f t="shared" ca="1" si="61"/>
        <v>1.6550536359892007</v>
      </c>
      <c r="L100" s="1">
        <f t="shared" ca="1" si="62"/>
        <v>12</v>
      </c>
      <c r="M100" s="1"/>
      <c r="N100" s="1">
        <f t="shared" ca="1" si="63"/>
        <v>212</v>
      </c>
      <c r="O100" s="1">
        <f t="shared" ca="1" si="64"/>
        <v>41</v>
      </c>
      <c r="P100" s="1"/>
      <c r="Q100" s="1">
        <f t="shared" ca="1" si="65"/>
        <v>3.306270776340932</v>
      </c>
      <c r="R100" s="1">
        <f t="shared" ca="1" si="66"/>
        <v>690</v>
      </c>
      <c r="S100" s="1"/>
      <c r="T100" s="1">
        <f t="shared" ca="1" si="67"/>
        <v>7.1783873204308735E-2</v>
      </c>
      <c r="U100" s="1">
        <f t="shared" ca="1" si="68"/>
        <v>136</v>
      </c>
      <c r="V100" s="1">
        <f t="shared" ca="1" si="69"/>
        <v>47</v>
      </c>
      <c r="W100" s="1"/>
      <c r="X100" s="1">
        <f t="shared" ca="1" si="70"/>
        <v>5.7046100097221482</v>
      </c>
      <c r="Y100" s="1">
        <f t="shared" ca="1" si="71"/>
        <v>0.41044536212813382</v>
      </c>
      <c r="Z100" s="1">
        <f t="shared" ca="1" si="72"/>
        <v>1725</v>
      </c>
      <c r="AB100" s="1">
        <f t="shared" ca="1" si="73"/>
        <v>0.7433067261010321</v>
      </c>
      <c r="AC100" s="1">
        <f t="shared" ca="1" si="74"/>
        <v>358</v>
      </c>
      <c r="AD100" s="1">
        <f t="shared" ca="1" si="75"/>
        <v>1.9667850485849026E-3</v>
      </c>
      <c r="AE100" s="1"/>
      <c r="AF100" s="1">
        <f t="shared" ca="1" si="76"/>
        <v>0.84071242151497361</v>
      </c>
      <c r="AG100" s="1">
        <f t="shared" ca="1" si="77"/>
        <v>237</v>
      </c>
      <c r="AH100" s="1">
        <f t="shared" ca="1" si="78"/>
        <v>4.9352316084994357E-3</v>
      </c>
      <c r="AJ100" s="1">
        <f t="shared" ca="1" si="79"/>
        <v>0.50264948503642648</v>
      </c>
      <c r="AK100" s="1">
        <f t="shared" ca="1" si="80"/>
        <v>9.012411507323962E-3</v>
      </c>
      <c r="AL100" s="1"/>
      <c r="AM100" s="1">
        <f t="shared" ca="1" si="81"/>
        <v>0.15896943930375032</v>
      </c>
      <c r="AN100" s="1">
        <f t="shared" ca="1" si="82"/>
        <v>62</v>
      </c>
      <c r="AO100" s="1">
        <f t="shared" ca="1" si="83"/>
        <v>20</v>
      </c>
      <c r="AQ100" s="1">
        <f t="shared" ca="1" si="84"/>
        <v>151</v>
      </c>
      <c r="AR100" s="1">
        <f t="shared" ca="1" si="85"/>
        <v>3</v>
      </c>
      <c r="AS100" s="1">
        <f t="shared" ca="1" si="86"/>
        <v>16</v>
      </c>
      <c r="AU100" s="1">
        <f t="shared" ca="1" si="87"/>
        <v>74</v>
      </c>
      <c r="AV100" s="1">
        <f t="shared" ca="1" si="88"/>
        <v>9</v>
      </c>
      <c r="AW100" s="1">
        <f t="shared" ca="1" si="89"/>
        <v>0.14592306545491396</v>
      </c>
      <c r="AY100" s="1">
        <f t="shared" ca="1" si="90"/>
        <v>1.4336086451566215</v>
      </c>
      <c r="AZ100" s="1">
        <f t="shared" ca="1" si="91"/>
        <v>195</v>
      </c>
      <c r="BA100" s="1">
        <f t="shared" ca="1" si="92"/>
        <v>3.9064306100944671E-4</v>
      </c>
      <c r="BV100" s="1">
        <f t="shared" ca="1" si="93"/>
        <v>1.810736785907778E-2</v>
      </c>
      <c r="BW100" s="1">
        <f t="shared" ca="1" si="94"/>
        <v>760</v>
      </c>
      <c r="BX100" s="1">
        <f t="shared" ca="1" si="95"/>
        <v>3.2629713743036392E-3</v>
      </c>
      <c r="BY100" s="1">
        <f t="shared" ca="1" si="96"/>
        <v>4.8484713143296741E-2</v>
      </c>
      <c r="BZ100" s="1">
        <f t="shared" ca="1" si="97"/>
        <v>0.50071470566589205</v>
      </c>
      <c r="CB100" s="1">
        <f t="shared" ca="1" si="98"/>
        <v>131</v>
      </c>
      <c r="CC100" s="1">
        <f t="shared" ca="1" si="99"/>
        <v>3</v>
      </c>
      <c r="CD100" s="1">
        <f t="shared" ca="1" si="100"/>
        <v>0.19597860794876085</v>
      </c>
      <c r="CE100" s="1">
        <f t="shared" ref="CE100:CF131" ca="1" si="107">RAND()*(1-0.5)+0.5</f>
        <v>0.84657131074294734</v>
      </c>
      <c r="CF100" s="1">
        <f t="shared" ca="1" si="107"/>
        <v>0.71654402131611872</v>
      </c>
      <c r="CH100" s="7">
        <f t="shared" ca="1" si="102"/>
        <v>0.61018302843455163</v>
      </c>
      <c r="CI100" s="7">
        <f t="shared" ca="1" si="103"/>
        <v>4.0392231017472954E-2</v>
      </c>
      <c r="CJ100" s="7">
        <f t="shared" ca="1" si="104"/>
        <v>890</v>
      </c>
      <c r="CK100" s="7">
        <f t="shared" ca="1" si="105"/>
        <v>7.811844666486858E-3</v>
      </c>
      <c r="CL100" s="7">
        <f t="shared" ca="1" si="106"/>
        <v>1</v>
      </c>
    </row>
    <row r="101" spans="2:90" x14ac:dyDescent="0.25">
      <c r="B101">
        <f t="shared" ca="1" si="54"/>
        <v>636</v>
      </c>
      <c r="C101">
        <f t="shared" ca="1" si="55"/>
        <v>50</v>
      </c>
      <c r="D101">
        <f t="shared" ca="1" si="56"/>
        <v>0.17036348326246467</v>
      </c>
      <c r="F101" s="1">
        <f t="shared" ca="1" si="57"/>
        <v>24</v>
      </c>
      <c r="G101" s="1">
        <f t="shared" ca="1" si="58"/>
        <v>9</v>
      </c>
      <c r="H101" s="1">
        <f t="shared" ca="1" si="59"/>
        <v>1</v>
      </c>
      <c r="I101" s="1"/>
      <c r="J101" s="1">
        <f t="shared" ca="1" si="60"/>
        <v>10</v>
      </c>
      <c r="K101" s="1">
        <f t="shared" ca="1" si="61"/>
        <v>2.789420655030125</v>
      </c>
      <c r="L101" s="1">
        <f t="shared" ca="1" si="62"/>
        <v>13</v>
      </c>
      <c r="M101" s="1"/>
      <c r="N101" s="1">
        <f t="shared" ca="1" si="63"/>
        <v>520</v>
      </c>
      <c r="O101" s="1">
        <f t="shared" ca="1" si="64"/>
        <v>36</v>
      </c>
      <c r="P101" s="1"/>
      <c r="Q101" s="1">
        <f t="shared" ca="1" si="65"/>
        <v>3.5398578992936978</v>
      </c>
      <c r="R101" s="1">
        <f t="shared" ca="1" si="66"/>
        <v>656</v>
      </c>
      <c r="S101" s="1"/>
      <c r="T101" s="1">
        <f t="shared" ca="1" si="67"/>
        <v>1.4082867270827294E-2</v>
      </c>
      <c r="U101" s="1">
        <f t="shared" ca="1" si="68"/>
        <v>204</v>
      </c>
      <c r="V101" s="1">
        <f t="shared" ca="1" si="69"/>
        <v>37</v>
      </c>
      <c r="W101" s="1"/>
      <c r="X101" s="1">
        <f t="shared" ca="1" si="70"/>
        <v>8.7092666107209293</v>
      </c>
      <c r="Y101" s="1">
        <f t="shared" ca="1" si="71"/>
        <v>0.51237237407817737</v>
      </c>
      <c r="Z101" s="1">
        <f t="shared" ca="1" si="72"/>
        <v>1930</v>
      </c>
      <c r="AB101" s="1">
        <f t="shared" ca="1" si="73"/>
        <v>0.75069873439524959</v>
      </c>
      <c r="AC101" s="1">
        <f t="shared" ca="1" si="74"/>
        <v>166</v>
      </c>
      <c r="AD101" s="1">
        <f t="shared" ca="1" si="75"/>
        <v>9.409322002909927E-3</v>
      </c>
      <c r="AE101" s="1"/>
      <c r="AF101" s="1">
        <f t="shared" ca="1" si="76"/>
        <v>0.55080858600602911</v>
      </c>
      <c r="AG101" s="1">
        <f t="shared" ca="1" si="77"/>
        <v>347</v>
      </c>
      <c r="AH101" s="1">
        <f t="shared" ca="1" si="78"/>
        <v>1.3449552844028699E-3</v>
      </c>
      <c r="AJ101" s="1">
        <f t="shared" ca="1" si="79"/>
        <v>0.96623831516500913</v>
      </c>
      <c r="AK101" s="1">
        <f t="shared" ca="1" si="80"/>
        <v>5.0687125641144517E-3</v>
      </c>
      <c r="AL101" s="1"/>
      <c r="AM101" s="1">
        <f t="shared" ca="1" si="81"/>
        <v>0.17463157081744171</v>
      </c>
      <c r="AN101" s="1">
        <f t="shared" ca="1" si="82"/>
        <v>50</v>
      </c>
      <c r="AO101" s="1">
        <f t="shared" ca="1" si="83"/>
        <v>9</v>
      </c>
      <c r="AQ101" s="1">
        <f t="shared" ca="1" si="84"/>
        <v>186</v>
      </c>
      <c r="AR101" s="1">
        <f t="shared" ca="1" si="85"/>
        <v>9</v>
      </c>
      <c r="AS101" s="1">
        <f t="shared" ca="1" si="86"/>
        <v>34</v>
      </c>
      <c r="AU101" s="1">
        <f t="shared" ca="1" si="87"/>
        <v>124</v>
      </c>
      <c r="AV101" s="1">
        <f t="shared" ca="1" si="88"/>
        <v>10</v>
      </c>
      <c r="AW101" s="1">
        <f t="shared" ca="1" si="89"/>
        <v>0.16017066600744936</v>
      </c>
      <c r="AY101" s="1">
        <f t="shared" ca="1" si="90"/>
        <v>1.9898840427745981</v>
      </c>
      <c r="AZ101" s="1">
        <f t="shared" ca="1" si="91"/>
        <v>72</v>
      </c>
      <c r="BA101" s="1">
        <f t="shared" ca="1" si="92"/>
        <v>1.2629515066807141E-3</v>
      </c>
      <c r="BV101" s="1">
        <f t="shared" ca="1" si="93"/>
        <v>0.6420646676357461</v>
      </c>
      <c r="BW101" s="1">
        <f t="shared" ca="1" si="94"/>
        <v>993</v>
      </c>
      <c r="BX101" s="1">
        <f t="shared" ca="1" si="95"/>
        <v>2.0178851874018752E-4</v>
      </c>
      <c r="BY101" s="1">
        <f t="shared" ca="1" si="96"/>
        <v>4.9916455096526327E-2</v>
      </c>
      <c r="BZ101" s="1">
        <f t="shared" ca="1" si="97"/>
        <v>0.59990638040073496</v>
      </c>
      <c r="CB101" s="1">
        <f t="shared" ca="1" si="98"/>
        <v>146</v>
      </c>
      <c r="CC101" s="1">
        <f t="shared" ca="1" si="99"/>
        <v>12</v>
      </c>
      <c r="CD101" s="1">
        <f t="shared" ca="1" si="100"/>
        <v>0.19211100230100148</v>
      </c>
      <c r="CE101" s="1">
        <f t="shared" ca="1" si="107"/>
        <v>0.62867268506602714</v>
      </c>
      <c r="CF101" s="1">
        <f t="shared" ca="1" si="107"/>
        <v>0.77049342944120525</v>
      </c>
      <c r="CH101" s="7">
        <f t="shared" ca="1" si="102"/>
        <v>0.66898685239905342</v>
      </c>
      <c r="CI101" s="7">
        <f t="shared" ca="1" si="103"/>
        <v>5.8821367031180335E-2</v>
      </c>
      <c r="CJ101" s="7">
        <f t="shared" ca="1" si="104"/>
        <v>1259</v>
      </c>
      <c r="CK101" s="7">
        <f t="shared" ca="1" si="105"/>
        <v>1.0007235066085873E-3</v>
      </c>
      <c r="CL101" s="7">
        <f t="shared" ca="1" si="106"/>
        <v>0</v>
      </c>
    </row>
    <row r="102" spans="2:90" x14ac:dyDescent="0.25">
      <c r="B102">
        <f t="shared" ca="1" si="54"/>
        <v>153</v>
      </c>
      <c r="C102">
        <f t="shared" ca="1" si="55"/>
        <v>34</v>
      </c>
      <c r="D102">
        <f t="shared" ca="1" si="56"/>
        <v>0.15883225822239422</v>
      </c>
      <c r="F102" s="1">
        <f t="shared" ca="1" si="57"/>
        <v>49</v>
      </c>
      <c r="G102" s="1">
        <f t="shared" ca="1" si="58"/>
        <v>13</v>
      </c>
      <c r="H102" s="1">
        <f t="shared" ca="1" si="59"/>
        <v>2</v>
      </c>
      <c r="I102" s="1"/>
      <c r="J102" s="1">
        <f t="shared" ca="1" si="60"/>
        <v>4</v>
      </c>
      <c r="K102" s="1">
        <f t="shared" ca="1" si="61"/>
        <v>2.2634235204363979</v>
      </c>
      <c r="L102" s="1">
        <f t="shared" ca="1" si="62"/>
        <v>14</v>
      </c>
      <c r="M102" s="1"/>
      <c r="N102" s="1">
        <f t="shared" ca="1" si="63"/>
        <v>724</v>
      </c>
      <c r="O102" s="1">
        <f t="shared" ca="1" si="64"/>
        <v>42</v>
      </c>
      <c r="P102" s="1"/>
      <c r="Q102" s="1">
        <f t="shared" ca="1" si="65"/>
        <v>3.3363272236105312</v>
      </c>
      <c r="R102" s="1">
        <f t="shared" ca="1" si="66"/>
        <v>691</v>
      </c>
      <c r="S102" s="1"/>
      <c r="T102" s="1">
        <f t="shared" ca="1" si="67"/>
        <v>0.1247741901732005</v>
      </c>
      <c r="U102" s="1">
        <f t="shared" ca="1" si="68"/>
        <v>309</v>
      </c>
      <c r="V102" s="1">
        <f t="shared" ca="1" si="69"/>
        <v>23</v>
      </c>
      <c r="W102" s="1"/>
      <c r="X102" s="1">
        <f t="shared" ca="1" si="70"/>
        <v>8.1756664109104502</v>
      </c>
      <c r="Y102" s="1">
        <f t="shared" ca="1" si="71"/>
        <v>0.20766268691859979</v>
      </c>
      <c r="Z102" s="1">
        <f t="shared" ca="1" si="72"/>
        <v>1906</v>
      </c>
      <c r="AB102" s="1">
        <f t="shared" ca="1" si="73"/>
        <v>0.98228668023424059</v>
      </c>
      <c r="AC102" s="1">
        <f t="shared" ca="1" si="74"/>
        <v>678</v>
      </c>
      <c r="AD102" s="1">
        <f t="shared" ca="1" si="75"/>
        <v>5.0523110506935412E-4</v>
      </c>
      <c r="AE102" s="1"/>
      <c r="AF102" s="1">
        <f t="shared" ca="1" si="76"/>
        <v>0.1845878047315459</v>
      </c>
      <c r="AG102" s="1">
        <f t="shared" ca="1" si="77"/>
        <v>470</v>
      </c>
      <c r="AH102" s="1">
        <f t="shared" ca="1" si="78"/>
        <v>9.1185912725912678E-3</v>
      </c>
      <c r="AJ102" s="1">
        <f t="shared" ca="1" si="79"/>
        <v>2.0469666705580369E-3</v>
      </c>
      <c r="AK102" s="1">
        <f t="shared" ca="1" si="80"/>
        <v>8.3636486407131991E-3</v>
      </c>
      <c r="AL102" s="1"/>
      <c r="AM102" s="1">
        <f t="shared" ca="1" si="81"/>
        <v>8.3006233924143344E-2</v>
      </c>
      <c r="AN102" s="1">
        <f t="shared" ca="1" si="82"/>
        <v>25</v>
      </c>
      <c r="AO102" s="1">
        <f t="shared" ca="1" si="83"/>
        <v>12</v>
      </c>
      <c r="AQ102" s="1">
        <f t="shared" ca="1" si="84"/>
        <v>70</v>
      </c>
      <c r="AR102" s="1">
        <f t="shared" ca="1" si="85"/>
        <v>9</v>
      </c>
      <c r="AS102" s="1">
        <f t="shared" ca="1" si="86"/>
        <v>16</v>
      </c>
      <c r="AU102" s="1">
        <f t="shared" ca="1" si="87"/>
        <v>368</v>
      </c>
      <c r="AV102" s="1">
        <f t="shared" ca="1" si="88"/>
        <v>2</v>
      </c>
      <c r="AW102" s="1">
        <f t="shared" ca="1" si="89"/>
        <v>0.15998523281668478</v>
      </c>
      <c r="AY102" s="1">
        <f t="shared" ca="1" si="90"/>
        <v>1.8417708580793182</v>
      </c>
      <c r="AZ102" s="1">
        <f t="shared" ca="1" si="91"/>
        <v>157</v>
      </c>
      <c r="BA102" s="1">
        <f t="shared" ca="1" si="92"/>
        <v>1.890231494326434E-3</v>
      </c>
      <c r="BV102" s="1">
        <f t="shared" ca="1" si="93"/>
        <v>0.46646267811820752</v>
      </c>
      <c r="BW102" s="1">
        <f t="shared" ca="1" si="94"/>
        <v>198</v>
      </c>
      <c r="BX102" s="1">
        <f t="shared" ca="1" si="95"/>
        <v>5.4575886730275826E-3</v>
      </c>
      <c r="BY102" s="1">
        <f t="shared" ca="1" si="96"/>
        <v>4.7239345016858982E-2</v>
      </c>
      <c r="BZ102" s="1">
        <f t="shared" ca="1" si="97"/>
        <v>0.46858256236064411</v>
      </c>
      <c r="CB102" s="1">
        <f t="shared" ca="1" si="98"/>
        <v>429</v>
      </c>
      <c r="CC102" s="1">
        <f t="shared" ca="1" si="99"/>
        <v>12</v>
      </c>
      <c r="CD102" s="1">
        <f t="shared" ca="1" si="100"/>
        <v>0.20941561631638406</v>
      </c>
      <c r="CE102" s="1">
        <f t="shared" ca="1" si="107"/>
        <v>0.51536959181922715</v>
      </c>
      <c r="CF102" s="1">
        <f t="shared" ca="1" si="107"/>
        <v>0.50968292702872464</v>
      </c>
      <c r="CH102" s="7">
        <f t="shared" ca="1" si="102"/>
        <v>5.6755195321937443E-2</v>
      </c>
      <c r="CI102" s="7">
        <f t="shared" ca="1" si="103"/>
        <v>0.41753551281307849</v>
      </c>
      <c r="CJ102" s="7">
        <f t="shared" ca="1" si="104"/>
        <v>367</v>
      </c>
      <c r="CK102" s="7">
        <f t="shared" ca="1" si="105"/>
        <v>2.945625602006004E-3</v>
      </c>
      <c r="CL102" s="7">
        <f t="shared" ca="1" si="106"/>
        <v>1</v>
      </c>
    </row>
    <row r="103" spans="2:90" x14ac:dyDescent="0.25">
      <c r="B103">
        <f t="shared" ca="1" si="54"/>
        <v>823</v>
      </c>
      <c r="C103">
        <f t="shared" ca="1" si="55"/>
        <v>29</v>
      </c>
      <c r="D103">
        <f t="shared" ca="1" si="56"/>
        <v>0.11139437820516133</v>
      </c>
      <c r="F103" s="1">
        <f t="shared" ca="1" si="57"/>
        <v>27</v>
      </c>
      <c r="G103" s="1">
        <f t="shared" ca="1" si="58"/>
        <v>6</v>
      </c>
      <c r="H103" s="1">
        <f t="shared" ca="1" si="59"/>
        <v>15</v>
      </c>
      <c r="I103" s="1"/>
      <c r="J103" s="1">
        <f t="shared" ca="1" si="60"/>
        <v>11</v>
      </c>
      <c r="K103" s="1">
        <f t="shared" ca="1" si="61"/>
        <v>2.2529030814845057</v>
      </c>
      <c r="L103" s="1">
        <f t="shared" ca="1" si="62"/>
        <v>13</v>
      </c>
      <c r="M103" s="1"/>
      <c r="N103" s="1">
        <f t="shared" ca="1" si="63"/>
        <v>892</v>
      </c>
      <c r="O103" s="1">
        <f t="shared" ca="1" si="64"/>
        <v>22</v>
      </c>
      <c r="P103" s="1"/>
      <c r="Q103" s="1">
        <f t="shared" ca="1" si="65"/>
        <v>2.1119932608436449</v>
      </c>
      <c r="R103" s="1">
        <f t="shared" ca="1" si="66"/>
        <v>757</v>
      </c>
      <c r="S103" s="1"/>
      <c r="T103" s="1">
        <f t="shared" ca="1" si="67"/>
        <v>7.6533227748145249E-2</v>
      </c>
      <c r="U103" s="1">
        <f t="shared" ca="1" si="68"/>
        <v>311</v>
      </c>
      <c r="V103" s="1">
        <f t="shared" ca="1" si="69"/>
        <v>3</v>
      </c>
      <c r="W103" s="1"/>
      <c r="X103" s="1">
        <f t="shared" ca="1" si="70"/>
        <v>3.0848194087885896</v>
      </c>
      <c r="Y103" s="1">
        <f t="shared" ca="1" si="71"/>
        <v>5.376840661573902E-2</v>
      </c>
      <c r="Z103" s="1">
        <f t="shared" ca="1" si="72"/>
        <v>1602</v>
      </c>
      <c r="AB103" s="1">
        <f t="shared" ca="1" si="73"/>
        <v>0.79114875125552353</v>
      </c>
      <c r="AC103" s="1">
        <f t="shared" ca="1" si="74"/>
        <v>477</v>
      </c>
      <c r="AD103" s="1">
        <f t="shared" ca="1" si="75"/>
        <v>8.1214900237331911E-3</v>
      </c>
      <c r="AE103" s="1"/>
      <c r="AF103" s="1">
        <f t="shared" ca="1" si="76"/>
        <v>0.23674520858448017</v>
      </c>
      <c r="AG103" s="1">
        <f t="shared" ca="1" si="77"/>
        <v>956</v>
      </c>
      <c r="AH103" s="1">
        <f t="shared" ca="1" si="78"/>
        <v>3.8589896925731015E-3</v>
      </c>
      <c r="AJ103" s="1">
        <f t="shared" ca="1" si="79"/>
        <v>4.0540541449914924E-2</v>
      </c>
      <c r="AK103" s="1">
        <f t="shared" ca="1" si="80"/>
        <v>2.6875712474910109E-3</v>
      </c>
      <c r="AL103" s="1"/>
      <c r="AM103" s="1">
        <f t="shared" ca="1" si="81"/>
        <v>5.7082365768297297E-2</v>
      </c>
      <c r="AN103" s="1">
        <f t="shared" ca="1" si="82"/>
        <v>10</v>
      </c>
      <c r="AO103" s="1">
        <f t="shared" ca="1" si="83"/>
        <v>-1</v>
      </c>
      <c r="AQ103" s="1">
        <f t="shared" ca="1" si="84"/>
        <v>74</v>
      </c>
      <c r="AR103" s="1">
        <f t="shared" ca="1" si="85"/>
        <v>4</v>
      </c>
      <c r="AS103" s="1">
        <f t="shared" ca="1" si="86"/>
        <v>15</v>
      </c>
      <c r="AU103" s="1">
        <f t="shared" ca="1" si="87"/>
        <v>251</v>
      </c>
      <c r="AV103" s="1">
        <f t="shared" ca="1" si="88"/>
        <v>9</v>
      </c>
      <c r="AW103" s="1">
        <f t="shared" ca="1" si="89"/>
        <v>0.11624256783254742</v>
      </c>
      <c r="AY103" s="1">
        <f t="shared" ca="1" si="90"/>
        <v>1.7879105464618439</v>
      </c>
      <c r="AZ103" s="1">
        <f t="shared" ca="1" si="91"/>
        <v>138</v>
      </c>
      <c r="BA103" s="1">
        <f t="shared" ca="1" si="92"/>
        <v>3.6533075579830553E-3</v>
      </c>
      <c r="BV103" s="1">
        <f t="shared" ca="1" si="93"/>
        <v>0.74685021423470532</v>
      </c>
      <c r="BW103" s="1">
        <f t="shared" ca="1" si="94"/>
        <v>625</v>
      </c>
      <c r="BX103" s="1">
        <f t="shared" ca="1" si="95"/>
        <v>6.9789038229464062E-3</v>
      </c>
      <c r="BY103" s="1">
        <f t="shared" ca="1" si="96"/>
        <v>5.3309315422328626E-2</v>
      </c>
      <c r="BZ103" s="1">
        <f t="shared" ca="1" si="97"/>
        <v>0.43808333027672652</v>
      </c>
      <c r="CB103" s="1">
        <f t="shared" ca="1" si="98"/>
        <v>80</v>
      </c>
      <c r="CC103" s="1">
        <f t="shared" ca="1" si="99"/>
        <v>12</v>
      </c>
      <c r="CD103" s="1">
        <f t="shared" ca="1" si="100"/>
        <v>0.26034764107475789</v>
      </c>
      <c r="CE103" s="1">
        <f t="shared" ca="1" si="107"/>
        <v>0.85796904208640701</v>
      </c>
      <c r="CF103" s="1">
        <f t="shared" ca="1" si="107"/>
        <v>0.9346890554394256</v>
      </c>
      <c r="CH103" s="7">
        <f t="shared" ca="1" si="102"/>
        <v>0.63169618995491716</v>
      </c>
      <c r="CI103" s="7">
        <f t="shared" ca="1" si="103"/>
        <v>0.22988958613429314</v>
      </c>
      <c r="CJ103" s="7">
        <f t="shared" ca="1" si="104"/>
        <v>346</v>
      </c>
      <c r="CK103" s="7">
        <f t="shared" ca="1" si="105"/>
        <v>9.678934988584232E-3</v>
      </c>
      <c r="CL103" s="7">
        <f t="shared" ca="1" si="106"/>
        <v>0</v>
      </c>
    </row>
    <row r="104" spans="2:90" x14ac:dyDescent="0.25">
      <c r="B104">
        <f t="shared" ca="1" si="54"/>
        <v>257</v>
      </c>
      <c r="C104">
        <f t="shared" ca="1" si="55"/>
        <v>16</v>
      </c>
      <c r="D104">
        <f t="shared" ca="1" si="56"/>
        <v>0.19938620798085813</v>
      </c>
      <c r="F104" s="1">
        <f t="shared" ca="1" si="57"/>
        <v>28</v>
      </c>
      <c r="G104" s="1">
        <f t="shared" ca="1" si="58"/>
        <v>8</v>
      </c>
      <c r="H104" s="1">
        <f t="shared" ca="1" si="59"/>
        <v>8</v>
      </c>
      <c r="I104" s="1"/>
      <c r="J104" s="1">
        <f t="shared" ca="1" si="60"/>
        <v>36</v>
      </c>
      <c r="K104" s="1">
        <f t="shared" ca="1" si="61"/>
        <v>1.1655617226589521</v>
      </c>
      <c r="L104" s="1">
        <f t="shared" ca="1" si="62"/>
        <v>16</v>
      </c>
      <c r="M104" s="1"/>
      <c r="N104" s="1">
        <f t="shared" ca="1" si="63"/>
        <v>402</v>
      </c>
      <c r="O104" s="1">
        <f t="shared" ca="1" si="64"/>
        <v>27</v>
      </c>
      <c r="P104" s="1"/>
      <c r="Q104" s="1">
        <f t="shared" ca="1" si="65"/>
        <v>2.448865963780595</v>
      </c>
      <c r="R104" s="1">
        <f t="shared" ca="1" si="66"/>
        <v>1187</v>
      </c>
      <c r="S104" s="1"/>
      <c r="T104" s="1">
        <f t="shared" ca="1" si="67"/>
        <v>5.8141891792039754E-2</v>
      </c>
      <c r="U104" s="1">
        <f t="shared" ca="1" si="68"/>
        <v>318</v>
      </c>
      <c r="V104" s="1">
        <f t="shared" ca="1" si="69"/>
        <v>26</v>
      </c>
      <c r="W104" s="1"/>
      <c r="X104" s="1">
        <f t="shared" ca="1" si="70"/>
        <v>7.6446341310908874</v>
      </c>
      <c r="Y104" s="1">
        <f t="shared" ca="1" si="71"/>
        <v>0.79313109645598368</v>
      </c>
      <c r="Z104" s="1">
        <f t="shared" ca="1" si="72"/>
        <v>1280</v>
      </c>
      <c r="AB104" s="1">
        <f t="shared" ca="1" si="73"/>
        <v>0.84489735305522962</v>
      </c>
      <c r="AC104" s="1">
        <f t="shared" ca="1" si="74"/>
        <v>408</v>
      </c>
      <c r="AD104" s="1">
        <f t="shared" ca="1" si="75"/>
        <v>9.1779449432927065E-3</v>
      </c>
      <c r="AE104" s="1"/>
      <c r="AF104" s="1">
        <f t="shared" ca="1" si="76"/>
        <v>0.15679265575143264</v>
      </c>
      <c r="AG104" s="1">
        <f t="shared" ca="1" si="77"/>
        <v>912</v>
      </c>
      <c r="AH104" s="1">
        <f t="shared" ca="1" si="78"/>
        <v>5.7606784112827171E-3</v>
      </c>
      <c r="AJ104" s="1">
        <f t="shared" ca="1" si="79"/>
        <v>0.78044164586005482</v>
      </c>
      <c r="AK104" s="1">
        <f t="shared" ca="1" si="80"/>
        <v>3.6553073820578884E-3</v>
      </c>
      <c r="AL104" s="1"/>
      <c r="AM104" s="1">
        <f t="shared" ca="1" si="81"/>
        <v>0.15201568759023745</v>
      </c>
      <c r="AN104" s="1">
        <f t="shared" ca="1" si="82"/>
        <v>60</v>
      </c>
      <c r="AO104" s="1">
        <f t="shared" ca="1" si="83"/>
        <v>4</v>
      </c>
      <c r="AQ104" s="1">
        <f t="shared" ca="1" si="84"/>
        <v>199</v>
      </c>
      <c r="AR104" s="1">
        <f t="shared" ca="1" si="85"/>
        <v>0</v>
      </c>
      <c r="AS104" s="1">
        <f t="shared" ca="1" si="86"/>
        <v>10</v>
      </c>
      <c r="AU104" s="1">
        <f t="shared" ca="1" si="87"/>
        <v>143</v>
      </c>
      <c r="AV104" s="1">
        <f t="shared" ca="1" si="88"/>
        <v>4</v>
      </c>
      <c r="AW104" s="1">
        <f t="shared" ca="1" si="89"/>
        <v>0.10647809165867873</v>
      </c>
      <c r="AY104" s="1">
        <f t="shared" ca="1" si="90"/>
        <v>1.1278501450894578</v>
      </c>
      <c r="AZ104" s="1">
        <f t="shared" ca="1" si="91"/>
        <v>369</v>
      </c>
      <c r="BA104" s="1">
        <f t="shared" ca="1" si="92"/>
        <v>4.803907634224008E-3</v>
      </c>
      <c r="BV104" s="1">
        <f t="shared" ca="1" si="93"/>
        <v>0.30217439057025824</v>
      </c>
      <c r="BW104" s="1">
        <f t="shared" ca="1" si="94"/>
        <v>957</v>
      </c>
      <c r="BX104" s="1">
        <f t="shared" ca="1" si="95"/>
        <v>4.1365191633944038E-4</v>
      </c>
      <c r="BY104" s="1">
        <f t="shared" ca="1" si="96"/>
        <v>3.4776413250963635E-3</v>
      </c>
      <c r="BZ104" s="1">
        <f t="shared" ca="1" si="97"/>
        <v>0.70984364543552625</v>
      </c>
      <c r="CB104" s="1">
        <f t="shared" ca="1" si="98"/>
        <v>75</v>
      </c>
      <c r="CC104" s="1">
        <f t="shared" ca="1" si="99"/>
        <v>13</v>
      </c>
      <c r="CD104" s="1">
        <f t="shared" ca="1" si="100"/>
        <v>0.10825513625896131</v>
      </c>
      <c r="CE104" s="1">
        <f t="shared" ca="1" si="107"/>
        <v>0.60439568805213195</v>
      </c>
      <c r="CF104" s="1">
        <f t="shared" ca="1" si="107"/>
        <v>0.59680609062166812</v>
      </c>
      <c r="CH104" s="7">
        <f t="shared" ca="1" si="102"/>
        <v>0.79154713445391212</v>
      </c>
      <c r="CI104" s="7">
        <f t="shared" ca="1" si="103"/>
        <v>0.53149933224173951</v>
      </c>
      <c r="CJ104" s="7">
        <f t="shared" ca="1" si="104"/>
        <v>1889</v>
      </c>
      <c r="CK104" s="7">
        <f t="shared" ca="1" si="105"/>
        <v>2.6794904693741625E-3</v>
      </c>
      <c r="CL104" s="7">
        <f t="shared" ca="1" si="106"/>
        <v>1</v>
      </c>
    </row>
    <row r="105" spans="2:90" x14ac:dyDescent="0.25">
      <c r="B105">
        <f t="shared" ca="1" si="54"/>
        <v>141</v>
      </c>
      <c r="C105">
        <f t="shared" ca="1" si="55"/>
        <v>21</v>
      </c>
      <c r="D105">
        <f t="shared" ca="1" si="56"/>
        <v>0.1666483070476954</v>
      </c>
      <c r="F105" s="1">
        <f t="shared" ca="1" si="57"/>
        <v>30</v>
      </c>
      <c r="G105" s="1">
        <f t="shared" ca="1" si="58"/>
        <v>13</v>
      </c>
      <c r="H105" s="1">
        <f t="shared" ca="1" si="59"/>
        <v>2</v>
      </c>
      <c r="I105" s="1"/>
      <c r="J105" s="1">
        <f t="shared" ca="1" si="60"/>
        <v>6</v>
      </c>
      <c r="K105" s="1">
        <f t="shared" ca="1" si="61"/>
        <v>1.4800055888416566</v>
      </c>
      <c r="L105" s="1">
        <f t="shared" ca="1" si="62"/>
        <v>4</v>
      </c>
      <c r="M105" s="1"/>
      <c r="N105" s="1">
        <f t="shared" ca="1" si="63"/>
        <v>100</v>
      </c>
      <c r="O105" s="1">
        <f t="shared" ca="1" si="64"/>
        <v>36</v>
      </c>
      <c r="P105" s="1"/>
      <c r="Q105" s="1">
        <f t="shared" ca="1" si="65"/>
        <v>3.792836156272283</v>
      </c>
      <c r="R105" s="1">
        <f t="shared" ca="1" si="66"/>
        <v>1125</v>
      </c>
      <c r="S105" s="1"/>
      <c r="T105" s="1">
        <f t="shared" ca="1" si="67"/>
        <v>2.270321430785887E-2</v>
      </c>
      <c r="U105" s="1">
        <f t="shared" ca="1" si="68"/>
        <v>290</v>
      </c>
      <c r="V105" s="1">
        <f t="shared" ca="1" si="69"/>
        <v>13</v>
      </c>
      <c r="W105" s="1"/>
      <c r="X105" s="1">
        <f t="shared" ca="1" si="70"/>
        <v>2.5372042685384311</v>
      </c>
      <c r="Y105" s="1">
        <f t="shared" ca="1" si="71"/>
        <v>0.63198590886005535</v>
      </c>
      <c r="Z105" s="1">
        <f t="shared" ca="1" si="72"/>
        <v>1947</v>
      </c>
      <c r="AB105" s="1">
        <f t="shared" ca="1" si="73"/>
        <v>0.52940158824900785</v>
      </c>
      <c r="AC105" s="1">
        <f t="shared" ca="1" si="74"/>
        <v>588</v>
      </c>
      <c r="AD105" s="1">
        <f t="shared" ca="1" si="75"/>
        <v>6.4783588081707873E-3</v>
      </c>
      <c r="AE105" s="1"/>
      <c r="AF105" s="1">
        <f t="shared" ca="1" si="76"/>
        <v>0.8603258463736746</v>
      </c>
      <c r="AG105" s="1">
        <f t="shared" ca="1" si="77"/>
        <v>719</v>
      </c>
      <c r="AH105" s="1">
        <f t="shared" ca="1" si="78"/>
        <v>9.1237829022539352E-3</v>
      </c>
      <c r="AJ105" s="1">
        <f t="shared" ca="1" si="79"/>
        <v>0.81747658209378993</v>
      </c>
      <c r="AK105" s="1">
        <f t="shared" ca="1" si="80"/>
        <v>1.7687890089888956E-3</v>
      </c>
      <c r="AL105" s="1"/>
      <c r="AM105" s="1">
        <f t="shared" ca="1" si="81"/>
        <v>0.19591584725255715</v>
      </c>
      <c r="AN105" s="1">
        <f t="shared" ca="1" si="82"/>
        <v>74</v>
      </c>
      <c r="AO105" s="1">
        <f t="shared" ca="1" si="83"/>
        <v>1</v>
      </c>
      <c r="AQ105" s="1">
        <f t="shared" ca="1" si="84"/>
        <v>184</v>
      </c>
      <c r="AR105" s="1">
        <f t="shared" ca="1" si="85"/>
        <v>4</v>
      </c>
      <c r="AS105" s="1">
        <f t="shared" ca="1" si="86"/>
        <v>27</v>
      </c>
      <c r="AU105" s="1">
        <f t="shared" ca="1" si="87"/>
        <v>98</v>
      </c>
      <c r="AV105" s="1">
        <f t="shared" ca="1" si="88"/>
        <v>9</v>
      </c>
      <c r="AW105" s="1">
        <f t="shared" ca="1" si="89"/>
        <v>0.12988837977562773</v>
      </c>
      <c r="AY105" s="1">
        <f t="shared" ca="1" si="90"/>
        <v>1.2409250097629416</v>
      </c>
      <c r="AZ105" s="1">
        <f t="shared" ca="1" si="91"/>
        <v>472</v>
      </c>
      <c r="BA105" s="1">
        <f t="shared" ca="1" si="92"/>
        <v>4.4496983525563385E-3</v>
      </c>
      <c r="BV105" s="1">
        <f t="shared" ca="1" si="93"/>
        <v>0.63345977966831957</v>
      </c>
      <c r="BW105" s="1">
        <f t="shared" ca="1" si="94"/>
        <v>506</v>
      </c>
      <c r="BX105" s="1">
        <f t="shared" ca="1" si="95"/>
        <v>5.535931110460298E-4</v>
      </c>
      <c r="BY105" s="1">
        <f t="shared" ca="1" si="96"/>
        <v>6.0227381433652014E-3</v>
      </c>
      <c r="BZ105" s="1">
        <f t="shared" ca="1" si="97"/>
        <v>0.35892116872667801</v>
      </c>
      <c r="CB105" s="1">
        <f t="shared" ca="1" si="98"/>
        <v>432</v>
      </c>
      <c r="CC105" s="1">
        <f t="shared" ca="1" si="99"/>
        <v>12</v>
      </c>
      <c r="CD105" s="1">
        <f t="shared" ca="1" si="100"/>
        <v>0.24489721710135673</v>
      </c>
      <c r="CE105" s="1">
        <f t="shared" ca="1" si="107"/>
        <v>0.96682387998336283</v>
      </c>
      <c r="CF105" s="1">
        <f t="shared" ca="1" si="107"/>
        <v>0.74625233594004359</v>
      </c>
      <c r="CH105" s="7">
        <f t="shared" ca="1" si="102"/>
        <v>0.65883318802986535</v>
      </c>
      <c r="CI105" s="7">
        <f t="shared" ca="1" si="103"/>
        <v>0.46053184737244973</v>
      </c>
      <c r="CJ105" s="7">
        <f t="shared" ca="1" si="104"/>
        <v>1259</v>
      </c>
      <c r="CK105" s="7">
        <f t="shared" ca="1" si="105"/>
        <v>9.0048143419295297E-3</v>
      </c>
      <c r="CL105" s="7">
        <f t="shared" ca="1" si="106"/>
        <v>1</v>
      </c>
    </row>
    <row r="106" spans="2:90" x14ac:dyDescent="0.25">
      <c r="B106">
        <f t="shared" ca="1" si="54"/>
        <v>221</v>
      </c>
      <c r="C106">
        <f t="shared" ca="1" si="55"/>
        <v>36</v>
      </c>
      <c r="D106">
        <f t="shared" ca="1" si="56"/>
        <v>1.0729853796351508E-2</v>
      </c>
      <c r="F106" s="1">
        <f t="shared" ca="1" si="57"/>
        <v>26</v>
      </c>
      <c r="G106" s="1">
        <f t="shared" ca="1" si="58"/>
        <v>18</v>
      </c>
      <c r="H106" s="1">
        <f t="shared" ca="1" si="59"/>
        <v>13</v>
      </c>
      <c r="I106" s="1"/>
      <c r="J106" s="1">
        <f t="shared" ca="1" si="60"/>
        <v>30</v>
      </c>
      <c r="K106" s="1">
        <f t="shared" ca="1" si="61"/>
        <v>2.3582429278501227</v>
      </c>
      <c r="L106" s="1">
        <f t="shared" ca="1" si="62"/>
        <v>33</v>
      </c>
      <c r="M106" s="1"/>
      <c r="N106" s="1">
        <f t="shared" ca="1" si="63"/>
        <v>349</v>
      </c>
      <c r="O106" s="1">
        <f t="shared" ca="1" si="64"/>
        <v>7</v>
      </c>
      <c r="P106" s="1"/>
      <c r="Q106" s="1">
        <f t="shared" ca="1" si="65"/>
        <v>2.056518837075795</v>
      </c>
      <c r="R106" s="1">
        <f t="shared" ca="1" si="66"/>
        <v>1198</v>
      </c>
      <c r="S106" s="1"/>
      <c r="T106" s="1">
        <f t="shared" ca="1" si="67"/>
        <v>0.15792556369088923</v>
      </c>
      <c r="U106" s="1">
        <f t="shared" ca="1" si="68"/>
        <v>278</v>
      </c>
      <c r="V106" s="1">
        <f t="shared" ca="1" si="69"/>
        <v>23</v>
      </c>
      <c r="W106" s="1"/>
      <c r="X106" s="1">
        <f t="shared" ca="1" si="70"/>
        <v>2.3288149489281436</v>
      </c>
      <c r="Y106" s="1">
        <f t="shared" ca="1" si="71"/>
        <v>0.43473015136871979</v>
      </c>
      <c r="Z106" s="1">
        <f t="shared" ca="1" si="72"/>
        <v>317</v>
      </c>
      <c r="AB106" s="1">
        <f t="shared" ca="1" si="73"/>
        <v>0.71073239086509088</v>
      </c>
      <c r="AC106" s="1">
        <f t="shared" ca="1" si="74"/>
        <v>437</v>
      </c>
      <c r="AD106" s="1">
        <f t="shared" ca="1" si="75"/>
        <v>9.0899383892874622E-4</v>
      </c>
      <c r="AE106" s="1"/>
      <c r="AF106" s="1">
        <f t="shared" ca="1" si="76"/>
        <v>0.14575344007464253</v>
      </c>
      <c r="AG106" s="1">
        <f t="shared" ca="1" si="77"/>
        <v>264</v>
      </c>
      <c r="AH106" s="1">
        <f t="shared" ca="1" si="78"/>
        <v>8.466922718133851E-3</v>
      </c>
      <c r="AJ106" s="1">
        <f t="shared" ca="1" si="79"/>
        <v>0.42276730019509146</v>
      </c>
      <c r="AK106" s="1">
        <f t="shared" ca="1" si="80"/>
        <v>5.6827965555441195E-4</v>
      </c>
      <c r="AL106" s="1"/>
      <c r="AM106" s="1">
        <f t="shared" ca="1" si="81"/>
        <v>0.19371489164751488</v>
      </c>
      <c r="AN106" s="1">
        <f t="shared" ca="1" si="82"/>
        <v>59</v>
      </c>
      <c r="AO106" s="1">
        <f t="shared" ca="1" si="83"/>
        <v>3</v>
      </c>
      <c r="AQ106" s="1">
        <f t="shared" ca="1" si="84"/>
        <v>193</v>
      </c>
      <c r="AR106" s="1">
        <f t="shared" ca="1" si="85"/>
        <v>2</v>
      </c>
      <c r="AS106" s="1">
        <f t="shared" ca="1" si="86"/>
        <v>80</v>
      </c>
      <c r="AU106" s="1">
        <f t="shared" ca="1" si="87"/>
        <v>245</v>
      </c>
      <c r="AV106" s="1">
        <f t="shared" ca="1" si="88"/>
        <v>9</v>
      </c>
      <c r="AW106" s="1">
        <f t="shared" ca="1" si="89"/>
        <v>0.14346696813636267</v>
      </c>
      <c r="AY106" s="1">
        <f t="shared" ca="1" si="90"/>
        <v>1.1371899663695995</v>
      </c>
      <c r="AZ106" s="1">
        <f t="shared" ca="1" si="91"/>
        <v>267</v>
      </c>
      <c r="BA106" s="1">
        <f t="shared" ca="1" si="92"/>
        <v>3.803202874959465E-3</v>
      </c>
      <c r="BV106" s="1">
        <f t="shared" ca="1" si="93"/>
        <v>0.88953215512239014</v>
      </c>
      <c r="BW106" s="1">
        <f t="shared" ca="1" si="94"/>
        <v>316</v>
      </c>
      <c r="BX106" s="1">
        <f t="shared" ca="1" si="95"/>
        <v>4.851069331970298E-3</v>
      </c>
      <c r="BY106" s="1">
        <f t="shared" ca="1" si="96"/>
        <v>5.8474566607352632E-2</v>
      </c>
      <c r="BZ106" s="1">
        <f t="shared" ca="1" si="97"/>
        <v>4.3670943745315771E-2</v>
      </c>
      <c r="CB106" s="1">
        <f t="shared" ca="1" si="98"/>
        <v>92</v>
      </c>
      <c r="CC106" s="1">
        <f t="shared" ca="1" si="99"/>
        <v>11</v>
      </c>
      <c r="CD106" s="1">
        <f t="shared" ca="1" si="100"/>
        <v>1.5465562384786594E-2</v>
      </c>
      <c r="CE106" s="1">
        <f t="shared" ca="1" si="107"/>
        <v>0.78962116882899047</v>
      </c>
      <c r="CF106" s="1">
        <f t="shared" ca="1" si="107"/>
        <v>0.92643010009365612</v>
      </c>
      <c r="CH106" s="7">
        <f t="shared" ca="1" si="102"/>
        <v>0.99560378863338439</v>
      </c>
      <c r="CI106" s="7">
        <f t="shared" ca="1" si="103"/>
        <v>0.32443595018512528</v>
      </c>
      <c r="CJ106" s="7">
        <f t="shared" ca="1" si="104"/>
        <v>657</v>
      </c>
      <c r="CK106" s="7">
        <f t="shared" ca="1" si="105"/>
        <v>8.9408195635632005E-3</v>
      </c>
      <c r="CL106" s="7">
        <f t="shared" ca="1" si="106"/>
        <v>0</v>
      </c>
    </row>
    <row r="107" spans="2:90" x14ac:dyDescent="0.25">
      <c r="B107">
        <f t="shared" ca="1" si="54"/>
        <v>264</v>
      </c>
      <c r="C107">
        <f t="shared" ca="1" si="55"/>
        <v>27</v>
      </c>
      <c r="D107">
        <f t="shared" ca="1" si="56"/>
        <v>5.2809025960636261E-2</v>
      </c>
      <c r="F107" s="1">
        <f t="shared" ca="1" si="57"/>
        <v>9</v>
      </c>
      <c r="G107" s="1">
        <f t="shared" ca="1" si="58"/>
        <v>18</v>
      </c>
      <c r="H107" s="1">
        <f t="shared" ca="1" si="59"/>
        <v>9</v>
      </c>
      <c r="I107" s="1"/>
      <c r="J107" s="1">
        <f t="shared" ca="1" si="60"/>
        <v>35</v>
      </c>
      <c r="K107" s="1">
        <f t="shared" ca="1" si="61"/>
        <v>1.1809214578462259</v>
      </c>
      <c r="L107" s="1">
        <f t="shared" ca="1" si="62"/>
        <v>30</v>
      </c>
      <c r="M107" s="1"/>
      <c r="N107" s="1">
        <f t="shared" ca="1" si="63"/>
        <v>910</v>
      </c>
      <c r="O107" s="1">
        <f t="shared" ca="1" si="64"/>
        <v>40</v>
      </c>
      <c r="P107" s="1"/>
      <c r="Q107" s="1">
        <f t="shared" ca="1" si="65"/>
        <v>0.98728642255736088</v>
      </c>
      <c r="R107" s="1">
        <f t="shared" ca="1" si="66"/>
        <v>671</v>
      </c>
      <c r="S107" s="1"/>
      <c r="T107" s="1">
        <f t="shared" ca="1" si="67"/>
        <v>4.1974906800158591E-2</v>
      </c>
      <c r="U107" s="1">
        <f t="shared" ca="1" si="68"/>
        <v>218</v>
      </c>
      <c r="V107" s="1">
        <f t="shared" ca="1" si="69"/>
        <v>43</v>
      </c>
      <c r="W107" s="1"/>
      <c r="X107" s="1">
        <f t="shared" ca="1" si="70"/>
        <v>0.41678923034572674</v>
      </c>
      <c r="Y107" s="1">
        <f t="shared" ca="1" si="71"/>
        <v>0.45406007965074396</v>
      </c>
      <c r="Z107" s="1">
        <f t="shared" ca="1" si="72"/>
        <v>1978</v>
      </c>
      <c r="AB107" s="1">
        <f t="shared" ca="1" si="73"/>
        <v>0.29489461387855281</v>
      </c>
      <c r="AC107" s="1">
        <f t="shared" ca="1" si="74"/>
        <v>269</v>
      </c>
      <c r="AD107" s="1">
        <f t="shared" ca="1" si="75"/>
        <v>6.5478932420262549E-3</v>
      </c>
      <c r="AE107" s="1"/>
      <c r="AF107" s="1">
        <f t="shared" ca="1" si="76"/>
        <v>0.59331702076059178</v>
      </c>
      <c r="AG107" s="1">
        <f t="shared" ca="1" si="77"/>
        <v>720</v>
      </c>
      <c r="AH107" s="1">
        <f t="shared" ca="1" si="78"/>
        <v>9.6148647234507445E-3</v>
      </c>
      <c r="AJ107" s="1">
        <f t="shared" ca="1" si="79"/>
        <v>0.9448349586217466</v>
      </c>
      <c r="AK107" s="1">
        <f t="shared" ca="1" si="80"/>
        <v>2.2151211302435404E-3</v>
      </c>
      <c r="AL107" s="1"/>
      <c r="AM107" s="1">
        <f t="shared" ca="1" si="81"/>
        <v>2.0246846450722781E-2</v>
      </c>
      <c r="AN107" s="1">
        <f t="shared" ca="1" si="82"/>
        <v>71</v>
      </c>
      <c r="AO107" s="1">
        <f t="shared" ca="1" si="83"/>
        <v>17</v>
      </c>
      <c r="AQ107" s="1">
        <f t="shared" ca="1" si="84"/>
        <v>195</v>
      </c>
      <c r="AR107" s="1">
        <f t="shared" ca="1" si="85"/>
        <v>5</v>
      </c>
      <c r="AS107" s="1">
        <f t="shared" ca="1" si="86"/>
        <v>72</v>
      </c>
      <c r="AU107" s="1">
        <f t="shared" ca="1" si="87"/>
        <v>145</v>
      </c>
      <c r="AV107" s="1">
        <f t="shared" ca="1" si="88"/>
        <v>7</v>
      </c>
      <c r="AW107" s="1">
        <f t="shared" ca="1" si="89"/>
        <v>0.14042719897743222</v>
      </c>
      <c r="AY107" s="1">
        <f t="shared" ca="1" si="90"/>
        <v>1.3830639449670781</v>
      </c>
      <c r="AZ107" s="1">
        <f t="shared" ca="1" si="91"/>
        <v>491</v>
      </c>
      <c r="BA107" s="1">
        <f t="shared" ca="1" si="92"/>
        <v>8.7008732256587812E-3</v>
      </c>
      <c r="BV107" s="1">
        <f t="shared" ca="1" si="93"/>
        <v>0.75855600187059147</v>
      </c>
      <c r="BW107" s="1">
        <f t="shared" ca="1" si="94"/>
        <v>755</v>
      </c>
      <c r="BX107" s="1">
        <f t="shared" ca="1" si="95"/>
        <v>9.1747484079693718E-3</v>
      </c>
      <c r="BY107" s="1">
        <f t="shared" ca="1" si="96"/>
        <v>5.7972412072745706E-2</v>
      </c>
      <c r="BZ107" s="1">
        <f t="shared" ca="1" si="97"/>
        <v>2.5678883883303749E-2</v>
      </c>
      <c r="CB107" s="1">
        <f t="shared" ca="1" si="98"/>
        <v>350</v>
      </c>
      <c r="CC107" s="1">
        <f t="shared" ca="1" si="99"/>
        <v>9</v>
      </c>
      <c r="CD107" s="1">
        <f t="shared" ca="1" si="100"/>
        <v>0.1912498511778683</v>
      </c>
      <c r="CE107" s="1">
        <f t="shared" ca="1" si="107"/>
        <v>0.57680814860714402</v>
      </c>
      <c r="CF107" s="1">
        <f t="shared" ca="1" si="107"/>
        <v>0.88759376548198898</v>
      </c>
      <c r="CH107" s="7">
        <f t="shared" ca="1" si="102"/>
        <v>0.82807419340872623</v>
      </c>
      <c r="CI107" s="7">
        <f t="shared" ca="1" si="103"/>
        <v>0.68416425094529199</v>
      </c>
      <c r="CJ107" s="7">
        <f t="shared" ca="1" si="104"/>
        <v>1569</v>
      </c>
      <c r="CK107" s="7">
        <f t="shared" ca="1" si="105"/>
        <v>9.4387741027057957E-3</v>
      </c>
      <c r="CL107" s="7">
        <f t="shared" ca="1" si="106"/>
        <v>1</v>
      </c>
    </row>
    <row r="108" spans="2:90" x14ac:dyDescent="0.25">
      <c r="B108">
        <f t="shared" ca="1" si="54"/>
        <v>158</v>
      </c>
      <c r="C108">
        <f t="shared" ca="1" si="55"/>
        <v>3</v>
      </c>
      <c r="D108">
        <f t="shared" ca="1" si="56"/>
        <v>5.3771556761264765E-2</v>
      </c>
      <c r="F108" s="1">
        <f t="shared" ca="1" si="57"/>
        <v>42</v>
      </c>
      <c r="G108" s="1">
        <f t="shared" ca="1" si="58"/>
        <v>21</v>
      </c>
      <c r="H108" s="1">
        <f t="shared" ca="1" si="59"/>
        <v>10</v>
      </c>
      <c r="I108" s="1"/>
      <c r="J108" s="1">
        <f t="shared" ca="1" si="60"/>
        <v>28</v>
      </c>
      <c r="K108" s="1">
        <f t="shared" ca="1" si="61"/>
        <v>2.505394099620549</v>
      </c>
      <c r="L108" s="1">
        <f t="shared" ca="1" si="62"/>
        <v>22</v>
      </c>
      <c r="M108" s="1"/>
      <c r="N108" s="1">
        <f t="shared" ca="1" si="63"/>
        <v>958</v>
      </c>
      <c r="O108" s="1">
        <f t="shared" ca="1" si="64"/>
        <v>22</v>
      </c>
      <c r="P108" s="1"/>
      <c r="Q108" s="1">
        <f t="shared" ca="1" si="65"/>
        <v>3.6075978977468028</v>
      </c>
      <c r="R108" s="1">
        <f t="shared" ca="1" si="66"/>
        <v>502</v>
      </c>
      <c r="S108" s="1"/>
      <c r="T108" s="1">
        <f t="shared" ca="1" si="67"/>
        <v>5.6926668665718064E-2</v>
      </c>
      <c r="U108" s="1">
        <f t="shared" ca="1" si="68"/>
        <v>170</v>
      </c>
      <c r="V108" s="1">
        <f t="shared" ca="1" si="69"/>
        <v>42</v>
      </c>
      <c r="W108" s="1"/>
      <c r="X108" s="1">
        <f t="shared" ca="1" si="70"/>
        <v>3.7737629682581897</v>
      </c>
      <c r="Y108" s="1">
        <f t="shared" ca="1" si="71"/>
        <v>0.83407040240823294</v>
      </c>
      <c r="Z108" s="1">
        <f t="shared" ca="1" si="72"/>
        <v>1652</v>
      </c>
      <c r="AB108" s="1">
        <f t="shared" ca="1" si="73"/>
        <v>0.25622942889595901</v>
      </c>
      <c r="AC108" s="1">
        <f t="shared" ca="1" si="74"/>
        <v>871</v>
      </c>
      <c r="AD108" s="1">
        <f t="shared" ca="1" si="75"/>
        <v>8.93186761233653E-3</v>
      </c>
      <c r="AE108" s="1"/>
      <c r="AF108" s="1">
        <f t="shared" ca="1" si="76"/>
        <v>0.4510678788360829</v>
      </c>
      <c r="AG108" s="1">
        <f t="shared" ca="1" si="77"/>
        <v>879</v>
      </c>
      <c r="AH108" s="1">
        <f t="shared" ca="1" si="78"/>
        <v>8.6182832266448375E-3</v>
      </c>
      <c r="AJ108" s="1">
        <f t="shared" ca="1" si="79"/>
        <v>0.55601393429423807</v>
      </c>
      <c r="AK108" s="1">
        <f t="shared" ca="1" si="80"/>
        <v>6.7423992306410926E-3</v>
      </c>
      <c r="AL108" s="1"/>
      <c r="AM108" s="1">
        <f t="shared" ca="1" si="81"/>
        <v>3.3949242459458559E-2</v>
      </c>
      <c r="AN108" s="1">
        <f t="shared" ca="1" si="82"/>
        <v>61</v>
      </c>
      <c r="AO108" s="1">
        <f t="shared" ca="1" si="83"/>
        <v>9</v>
      </c>
      <c r="AQ108" s="1">
        <f t="shared" ca="1" si="84"/>
        <v>19</v>
      </c>
      <c r="AR108" s="1">
        <f t="shared" ca="1" si="85"/>
        <v>6</v>
      </c>
      <c r="AS108" s="1">
        <f t="shared" ca="1" si="86"/>
        <v>65</v>
      </c>
      <c r="AU108" s="1">
        <f t="shared" ca="1" si="87"/>
        <v>248</v>
      </c>
      <c r="AV108" s="1">
        <f t="shared" ca="1" si="88"/>
        <v>5</v>
      </c>
      <c r="AW108" s="1">
        <f t="shared" ca="1" si="89"/>
        <v>4.1690845175725466E-2</v>
      </c>
      <c r="AY108" s="1">
        <f t="shared" ca="1" si="90"/>
        <v>1.9333977262300581</v>
      </c>
      <c r="AZ108" s="1">
        <f t="shared" ca="1" si="91"/>
        <v>220</v>
      </c>
      <c r="BA108" s="1">
        <f t="shared" ca="1" si="92"/>
        <v>5.8925151460134868E-4</v>
      </c>
      <c r="BV108" s="1">
        <f t="shared" ca="1" si="93"/>
        <v>0.6096454407395453</v>
      </c>
      <c r="BW108" s="1">
        <f t="shared" ca="1" si="94"/>
        <v>437</v>
      </c>
      <c r="BX108" s="1">
        <f t="shared" ca="1" si="95"/>
        <v>3.2002919172611894E-5</v>
      </c>
      <c r="BY108" s="1">
        <f t="shared" ca="1" si="96"/>
        <v>9.673123416491182E-2</v>
      </c>
      <c r="BZ108" s="1">
        <f t="shared" ca="1" si="97"/>
        <v>7.7979461546546225E-2</v>
      </c>
      <c r="CB108" s="1">
        <f t="shared" ca="1" si="98"/>
        <v>103</v>
      </c>
      <c r="CC108" s="1">
        <f t="shared" ca="1" si="99"/>
        <v>4</v>
      </c>
      <c r="CD108" s="1">
        <f t="shared" ca="1" si="100"/>
        <v>0.11386588811658034</v>
      </c>
      <c r="CE108" s="1">
        <f t="shared" ca="1" si="107"/>
        <v>0.57038044397009502</v>
      </c>
      <c r="CF108" s="1">
        <f t="shared" ca="1" si="107"/>
        <v>0.52890823716946933</v>
      </c>
      <c r="CH108" s="7">
        <f t="shared" ca="1" si="102"/>
        <v>7.3236118907526737E-2</v>
      </c>
      <c r="CI108" s="7">
        <f t="shared" ca="1" si="103"/>
        <v>0.1150616836230884</v>
      </c>
      <c r="CJ108" s="7">
        <f t="shared" ca="1" si="104"/>
        <v>1788</v>
      </c>
      <c r="CK108" s="7">
        <f t="shared" ca="1" si="105"/>
        <v>7.0008310349630697E-3</v>
      </c>
      <c r="CL108" s="7">
        <f t="shared" ca="1" si="106"/>
        <v>1</v>
      </c>
    </row>
    <row r="109" spans="2:90" x14ac:dyDescent="0.25">
      <c r="B109">
        <f t="shared" ca="1" si="54"/>
        <v>890</v>
      </c>
      <c r="C109">
        <f t="shared" ca="1" si="55"/>
        <v>49</v>
      </c>
      <c r="D109">
        <f t="shared" ca="1" si="56"/>
        <v>0.23409268940920608</v>
      </c>
      <c r="F109" s="1">
        <f t="shared" ca="1" si="57"/>
        <v>21</v>
      </c>
      <c r="G109" s="1">
        <f t="shared" ca="1" si="58"/>
        <v>3</v>
      </c>
      <c r="H109" s="1">
        <f t="shared" ca="1" si="59"/>
        <v>8</v>
      </c>
      <c r="I109" s="1"/>
      <c r="J109" s="1">
        <f t="shared" ca="1" si="60"/>
        <v>16</v>
      </c>
      <c r="K109" s="1">
        <f t="shared" ca="1" si="61"/>
        <v>1.6700401437762329</v>
      </c>
      <c r="L109" s="1">
        <f t="shared" ca="1" si="62"/>
        <v>14</v>
      </c>
      <c r="M109" s="1"/>
      <c r="N109" s="1">
        <f t="shared" ca="1" si="63"/>
        <v>873</v>
      </c>
      <c r="O109" s="1">
        <f t="shared" ca="1" si="64"/>
        <v>10</v>
      </c>
      <c r="P109" s="1"/>
      <c r="Q109" s="1">
        <f t="shared" ca="1" si="65"/>
        <v>0.68444258671085167</v>
      </c>
      <c r="R109" s="1">
        <f t="shared" ca="1" si="66"/>
        <v>665</v>
      </c>
      <c r="S109" s="1"/>
      <c r="T109" s="1">
        <f t="shared" ca="1" si="67"/>
        <v>0.1164497550604191</v>
      </c>
      <c r="U109" s="1">
        <f t="shared" ca="1" si="68"/>
        <v>139</v>
      </c>
      <c r="V109" s="1">
        <f t="shared" ca="1" si="69"/>
        <v>24</v>
      </c>
      <c r="W109" s="1"/>
      <c r="X109" s="1">
        <f t="shared" ca="1" si="70"/>
        <v>6.7766715483283164</v>
      </c>
      <c r="Y109" s="1">
        <f t="shared" ca="1" si="71"/>
        <v>0.98694772979038814</v>
      </c>
      <c r="Z109" s="1">
        <f t="shared" ca="1" si="72"/>
        <v>247</v>
      </c>
      <c r="AB109" s="1">
        <f t="shared" ca="1" si="73"/>
        <v>0.22768449640658778</v>
      </c>
      <c r="AC109" s="1">
        <f t="shared" ca="1" si="74"/>
        <v>397</v>
      </c>
      <c r="AD109" s="1">
        <f t="shared" ca="1" si="75"/>
        <v>1.4046443551255089E-3</v>
      </c>
      <c r="AE109" s="1"/>
      <c r="AF109" s="1">
        <f t="shared" ca="1" si="76"/>
        <v>0.25039171064969079</v>
      </c>
      <c r="AG109" s="1">
        <f t="shared" ca="1" si="77"/>
        <v>892</v>
      </c>
      <c r="AH109" s="1">
        <f t="shared" ca="1" si="78"/>
        <v>7.4934938544913938E-3</v>
      </c>
      <c r="AJ109" s="1">
        <f t="shared" ca="1" si="79"/>
        <v>0.12576833127841858</v>
      </c>
      <c r="AK109" s="1">
        <f t="shared" ca="1" si="80"/>
        <v>9.6199203307399794E-3</v>
      </c>
      <c r="AL109" s="1"/>
      <c r="AM109" s="1">
        <f t="shared" ca="1" si="81"/>
        <v>0.12084452233464693</v>
      </c>
      <c r="AN109" s="1">
        <f t="shared" ca="1" si="82"/>
        <v>65</v>
      </c>
      <c r="AO109" s="1">
        <f t="shared" ca="1" si="83"/>
        <v>16</v>
      </c>
      <c r="AQ109" s="1">
        <f t="shared" ca="1" si="84"/>
        <v>78</v>
      </c>
      <c r="AR109" s="1">
        <f t="shared" ca="1" si="85"/>
        <v>1</v>
      </c>
      <c r="AS109" s="1">
        <f t="shared" ca="1" si="86"/>
        <v>45</v>
      </c>
      <c r="AU109" s="1">
        <f t="shared" ca="1" si="87"/>
        <v>54</v>
      </c>
      <c r="AV109" s="1">
        <f t="shared" ca="1" si="88"/>
        <v>4</v>
      </c>
      <c r="AW109" s="1">
        <f t="shared" ca="1" si="89"/>
        <v>2.8949011636030988E-2</v>
      </c>
      <c r="AY109" s="1">
        <f t="shared" ca="1" si="90"/>
        <v>1.4168299407946283</v>
      </c>
      <c r="AZ109" s="1">
        <f t="shared" ca="1" si="91"/>
        <v>303</v>
      </c>
      <c r="BA109" s="1">
        <f t="shared" ca="1" si="92"/>
        <v>9.9109846038977368E-3</v>
      </c>
      <c r="BV109" s="1">
        <f t="shared" ca="1" si="93"/>
        <v>0.59121477651671772</v>
      </c>
      <c r="BW109" s="1">
        <f t="shared" ca="1" si="94"/>
        <v>345</v>
      </c>
      <c r="BX109" s="1">
        <f t="shared" ca="1" si="95"/>
        <v>2.9648872009012926E-4</v>
      </c>
      <c r="BY109" s="1">
        <f t="shared" ca="1" si="96"/>
        <v>7.4101340801760715E-2</v>
      </c>
      <c r="BZ109" s="1">
        <f t="shared" ca="1" si="97"/>
        <v>4.6375481719682865E-2</v>
      </c>
      <c r="CB109" s="1">
        <f t="shared" ca="1" si="98"/>
        <v>469</v>
      </c>
      <c r="CC109" s="1">
        <f t="shared" ca="1" si="99"/>
        <v>9</v>
      </c>
      <c r="CD109" s="1">
        <f t="shared" ca="1" si="100"/>
        <v>0.27198217586711332</v>
      </c>
      <c r="CE109" s="1">
        <f t="shared" ca="1" si="107"/>
        <v>0.62353802808394931</v>
      </c>
      <c r="CF109" s="1">
        <f t="shared" ca="1" si="107"/>
        <v>0.66402639671424568</v>
      </c>
      <c r="CH109" s="7">
        <f t="shared" ca="1" si="102"/>
        <v>1.9953719633625841E-2</v>
      </c>
      <c r="CI109" s="7">
        <f t="shared" ca="1" si="103"/>
        <v>0.33368852803705557</v>
      </c>
      <c r="CJ109" s="7">
        <f t="shared" ca="1" si="104"/>
        <v>815</v>
      </c>
      <c r="CK109" s="7">
        <f t="shared" ca="1" si="105"/>
        <v>7.9433427712829064E-3</v>
      </c>
      <c r="CL109" s="7">
        <f t="shared" ca="1" si="106"/>
        <v>1</v>
      </c>
    </row>
    <row r="110" spans="2:90" x14ac:dyDescent="0.25">
      <c r="B110">
        <f t="shared" ca="1" si="54"/>
        <v>988</v>
      </c>
      <c r="C110">
        <f t="shared" ca="1" si="55"/>
        <v>37</v>
      </c>
      <c r="D110">
        <f t="shared" ca="1" si="56"/>
        <v>0.16220923585136179</v>
      </c>
      <c r="F110" s="1">
        <f t="shared" ca="1" si="57"/>
        <v>4</v>
      </c>
      <c r="G110" s="1">
        <f t="shared" ca="1" si="58"/>
        <v>22</v>
      </c>
      <c r="H110" s="1">
        <f t="shared" ca="1" si="59"/>
        <v>1</v>
      </c>
      <c r="I110" s="1"/>
      <c r="J110" s="1">
        <f t="shared" ca="1" si="60"/>
        <v>21</v>
      </c>
      <c r="K110" s="1">
        <f t="shared" ca="1" si="61"/>
        <v>2.7365879233945569</v>
      </c>
      <c r="L110" s="1">
        <f t="shared" ca="1" si="62"/>
        <v>26</v>
      </c>
      <c r="M110" s="1"/>
      <c r="N110" s="1">
        <f t="shared" ca="1" si="63"/>
        <v>490</v>
      </c>
      <c r="O110" s="1">
        <f t="shared" ca="1" si="64"/>
        <v>11</v>
      </c>
      <c r="P110" s="1"/>
      <c r="Q110" s="1">
        <f t="shared" ca="1" si="65"/>
        <v>2.8301857703311337</v>
      </c>
      <c r="R110" s="1">
        <f t="shared" ca="1" si="66"/>
        <v>915</v>
      </c>
      <c r="S110" s="1"/>
      <c r="T110" s="1">
        <f t="shared" ca="1" si="67"/>
        <v>6.4034003932656444E-2</v>
      </c>
      <c r="U110" s="1">
        <f t="shared" ca="1" si="68"/>
        <v>182</v>
      </c>
      <c r="V110" s="1">
        <f t="shared" ca="1" si="69"/>
        <v>28</v>
      </c>
      <c r="W110" s="1"/>
      <c r="X110" s="1">
        <f t="shared" ca="1" si="70"/>
        <v>8.3972442172666675</v>
      </c>
      <c r="Y110" s="1">
        <f t="shared" ca="1" si="71"/>
        <v>0.46067700919084514</v>
      </c>
      <c r="Z110" s="1">
        <f t="shared" ca="1" si="72"/>
        <v>598</v>
      </c>
      <c r="AB110" s="1">
        <f t="shared" ca="1" si="73"/>
        <v>0.42485934628492383</v>
      </c>
      <c r="AC110" s="1">
        <f t="shared" ca="1" si="74"/>
        <v>904</v>
      </c>
      <c r="AD110" s="1">
        <f t="shared" ca="1" si="75"/>
        <v>9.5231791094950837E-4</v>
      </c>
      <c r="AE110" s="1"/>
      <c r="AF110" s="1">
        <f t="shared" ca="1" si="76"/>
        <v>0.62830179264194586</v>
      </c>
      <c r="AG110" s="1">
        <f t="shared" ca="1" si="77"/>
        <v>418</v>
      </c>
      <c r="AH110" s="1">
        <f t="shared" ca="1" si="78"/>
        <v>4.4929615122868364E-3</v>
      </c>
      <c r="AJ110" s="1">
        <f t="shared" ca="1" si="79"/>
        <v>0.71610229392054392</v>
      </c>
      <c r="AK110" s="1">
        <f t="shared" ca="1" si="80"/>
        <v>4.1750601212857865E-3</v>
      </c>
      <c r="AL110" s="1"/>
      <c r="AM110" s="1">
        <f t="shared" ca="1" si="81"/>
        <v>0.10788001955027157</v>
      </c>
      <c r="AN110" s="1">
        <f t="shared" ca="1" si="82"/>
        <v>31</v>
      </c>
      <c r="AO110" s="1">
        <f t="shared" ca="1" si="83"/>
        <v>-1</v>
      </c>
      <c r="AQ110" s="1">
        <f t="shared" ca="1" si="84"/>
        <v>30</v>
      </c>
      <c r="AR110" s="1">
        <f t="shared" ca="1" si="85"/>
        <v>4</v>
      </c>
      <c r="AS110" s="1">
        <f t="shared" ca="1" si="86"/>
        <v>37</v>
      </c>
      <c r="AU110" s="1">
        <f t="shared" ca="1" si="87"/>
        <v>275</v>
      </c>
      <c r="AV110" s="1">
        <f t="shared" ca="1" si="88"/>
        <v>5</v>
      </c>
      <c r="AW110" s="1">
        <f t="shared" ca="1" si="89"/>
        <v>0.19161909429811652</v>
      </c>
      <c r="AY110" s="1">
        <f t="shared" ca="1" si="90"/>
        <v>1.9351424374182904</v>
      </c>
      <c r="AZ110" s="1">
        <f t="shared" ca="1" si="91"/>
        <v>345</v>
      </c>
      <c r="BA110" s="1">
        <f t="shared" ca="1" si="92"/>
        <v>1.8812346072069393E-3</v>
      </c>
      <c r="BV110" s="1">
        <f t="shared" ca="1" si="93"/>
        <v>0.44706229444046841</v>
      </c>
      <c r="BW110" s="1">
        <f t="shared" ca="1" si="94"/>
        <v>554</v>
      </c>
      <c r="BX110" s="1">
        <f t="shared" ca="1" si="95"/>
        <v>6.6666893043973536E-3</v>
      </c>
      <c r="BY110" s="1">
        <f t="shared" ca="1" si="96"/>
        <v>8.6736965304660185E-2</v>
      </c>
      <c r="BZ110" s="1">
        <f t="shared" ca="1" si="97"/>
        <v>0.60514414252953275</v>
      </c>
      <c r="CB110" s="1">
        <f t="shared" ca="1" si="98"/>
        <v>375</v>
      </c>
      <c r="CC110" s="1">
        <f t="shared" ca="1" si="99"/>
        <v>11</v>
      </c>
      <c r="CD110" s="1">
        <f t="shared" ca="1" si="100"/>
        <v>0.2904984970336022</v>
      </c>
      <c r="CE110" s="1">
        <f t="shared" ca="1" si="107"/>
        <v>0.64150060073573123</v>
      </c>
      <c r="CF110" s="1">
        <f t="shared" ca="1" si="107"/>
        <v>0.72280458259225577</v>
      </c>
      <c r="CH110" s="7">
        <f t="shared" ca="1" si="102"/>
        <v>4.7330574557953947E-2</v>
      </c>
      <c r="CI110" s="7">
        <f t="shared" ca="1" si="103"/>
        <v>0.38262754617648193</v>
      </c>
      <c r="CJ110" s="7">
        <f t="shared" ca="1" si="104"/>
        <v>129</v>
      </c>
      <c r="CK110" s="7">
        <f t="shared" ca="1" si="105"/>
        <v>5.4726054033774844E-3</v>
      </c>
      <c r="CL110" s="7">
        <f t="shared" ca="1" si="106"/>
        <v>1</v>
      </c>
    </row>
    <row r="111" spans="2:90" x14ac:dyDescent="0.25">
      <c r="B111">
        <f t="shared" ca="1" si="54"/>
        <v>817</v>
      </c>
      <c r="C111">
        <f t="shared" ca="1" si="55"/>
        <v>35</v>
      </c>
      <c r="D111">
        <f t="shared" ca="1" si="56"/>
        <v>0.14608976478377997</v>
      </c>
      <c r="F111" s="1">
        <f t="shared" ca="1" si="57"/>
        <v>45</v>
      </c>
      <c r="G111" s="1">
        <f t="shared" ca="1" si="58"/>
        <v>28</v>
      </c>
      <c r="H111" s="1">
        <f t="shared" ca="1" si="59"/>
        <v>6</v>
      </c>
      <c r="I111" s="1"/>
      <c r="J111" s="1">
        <f t="shared" ca="1" si="60"/>
        <v>27</v>
      </c>
      <c r="K111" s="1">
        <f t="shared" ca="1" si="61"/>
        <v>1.008555117556011</v>
      </c>
      <c r="L111" s="1">
        <f t="shared" ca="1" si="62"/>
        <v>31</v>
      </c>
      <c r="M111" s="1"/>
      <c r="N111" s="1">
        <f t="shared" ca="1" si="63"/>
        <v>501</v>
      </c>
      <c r="O111" s="1">
        <f t="shared" ca="1" si="64"/>
        <v>33</v>
      </c>
      <c r="P111" s="1"/>
      <c r="Q111" s="1">
        <f t="shared" ca="1" si="65"/>
        <v>4.1396923042738578</v>
      </c>
      <c r="R111" s="1">
        <f t="shared" ca="1" si="66"/>
        <v>395</v>
      </c>
      <c r="S111" s="1"/>
      <c r="T111" s="1">
        <f t="shared" ca="1" si="67"/>
        <v>0.16464309712621808</v>
      </c>
      <c r="U111" s="1">
        <f t="shared" ca="1" si="68"/>
        <v>361</v>
      </c>
      <c r="V111" s="1">
        <f t="shared" ca="1" si="69"/>
        <v>14</v>
      </c>
      <c r="W111" s="1"/>
      <c r="X111" s="1">
        <f t="shared" ca="1" si="70"/>
        <v>4.8335679472871211</v>
      </c>
      <c r="Y111" s="1">
        <f t="shared" ca="1" si="71"/>
        <v>0.25886307175073009</v>
      </c>
      <c r="Z111" s="1">
        <f t="shared" ca="1" si="72"/>
        <v>956</v>
      </c>
      <c r="AB111" s="1">
        <f t="shared" ca="1" si="73"/>
        <v>0.45992722139710462</v>
      </c>
      <c r="AC111" s="1">
        <f t="shared" ca="1" si="74"/>
        <v>545</v>
      </c>
      <c r="AD111" s="1">
        <f t="shared" ca="1" si="75"/>
        <v>4.5186394216933596E-3</v>
      </c>
      <c r="AE111" s="1"/>
      <c r="AF111" s="1">
        <f t="shared" ca="1" si="76"/>
        <v>0.77133032198034224</v>
      </c>
      <c r="AG111" s="1">
        <f t="shared" ca="1" si="77"/>
        <v>214</v>
      </c>
      <c r="AH111" s="1">
        <f t="shared" ca="1" si="78"/>
        <v>1.2408660059319897E-3</v>
      </c>
      <c r="AJ111" s="1">
        <f t="shared" ca="1" si="79"/>
        <v>0.59835141965420502</v>
      </c>
      <c r="AK111" s="1">
        <f t="shared" ca="1" si="80"/>
        <v>2.7648485361608964E-3</v>
      </c>
      <c r="AL111" s="1"/>
      <c r="AM111" s="1">
        <f t="shared" ca="1" si="81"/>
        <v>0.12313762281569519</v>
      </c>
      <c r="AN111" s="1">
        <f t="shared" ca="1" si="82"/>
        <v>54</v>
      </c>
      <c r="AO111" s="1">
        <f t="shared" ca="1" si="83"/>
        <v>8</v>
      </c>
      <c r="AQ111" s="1">
        <f t="shared" ca="1" si="84"/>
        <v>16</v>
      </c>
      <c r="AR111" s="1">
        <f t="shared" ca="1" si="85"/>
        <v>7</v>
      </c>
      <c r="AS111" s="1">
        <f t="shared" ca="1" si="86"/>
        <v>61</v>
      </c>
      <c r="AU111" s="1">
        <f t="shared" ca="1" si="87"/>
        <v>322</v>
      </c>
      <c r="AV111" s="1">
        <f t="shared" ca="1" si="88"/>
        <v>6</v>
      </c>
      <c r="AW111" s="1">
        <f t="shared" ca="1" si="89"/>
        <v>0.16741623278854353</v>
      </c>
      <c r="AY111" s="1">
        <f t="shared" ca="1" si="90"/>
        <v>1.4212155378852755</v>
      </c>
      <c r="AZ111" s="1">
        <f t="shared" ca="1" si="91"/>
        <v>125</v>
      </c>
      <c r="BA111" s="1">
        <f t="shared" ca="1" si="92"/>
        <v>6.1181346068233441E-3</v>
      </c>
      <c r="BV111" s="1">
        <f t="shared" ca="1" si="93"/>
        <v>0.45191040288001089</v>
      </c>
      <c r="BW111" s="1">
        <f t="shared" ca="1" si="94"/>
        <v>836</v>
      </c>
      <c r="BX111" s="1">
        <f t="shared" ca="1" si="95"/>
        <v>5.2668827786538147E-3</v>
      </c>
      <c r="BY111" s="1">
        <f t="shared" ca="1" si="96"/>
        <v>1.2576466457886884E-2</v>
      </c>
      <c r="BZ111" s="1">
        <f t="shared" ca="1" si="97"/>
        <v>0.87541222289829235</v>
      </c>
      <c r="CB111" s="1">
        <f t="shared" ca="1" si="98"/>
        <v>466</v>
      </c>
      <c r="CC111" s="1">
        <f t="shared" ca="1" si="99"/>
        <v>6</v>
      </c>
      <c r="CD111" s="1">
        <f t="shared" ca="1" si="100"/>
        <v>0.28997214328025855</v>
      </c>
      <c r="CE111" s="1">
        <f t="shared" ca="1" si="107"/>
        <v>0.92720057494904695</v>
      </c>
      <c r="CF111" s="1">
        <f t="shared" ca="1" si="107"/>
        <v>0.96420410944935364</v>
      </c>
      <c r="CH111" s="7">
        <f t="shared" ca="1" si="102"/>
        <v>0.58803966759726967</v>
      </c>
      <c r="CI111" s="7">
        <f t="shared" ca="1" si="103"/>
        <v>0.69095304975748595</v>
      </c>
      <c r="CJ111" s="7">
        <f t="shared" ca="1" si="104"/>
        <v>889</v>
      </c>
      <c r="CK111" s="7">
        <f t="shared" ca="1" si="105"/>
        <v>5.4681885665286015E-3</v>
      </c>
      <c r="CL111" s="7">
        <f t="shared" ca="1" si="106"/>
        <v>0</v>
      </c>
    </row>
    <row r="112" spans="2:90" x14ac:dyDescent="0.25">
      <c r="B112">
        <f t="shared" ca="1" si="54"/>
        <v>273</v>
      </c>
      <c r="C112">
        <f t="shared" ca="1" si="55"/>
        <v>34</v>
      </c>
      <c r="D112">
        <f t="shared" ca="1" si="56"/>
        <v>0.15713084700196298</v>
      </c>
      <c r="F112" s="1">
        <f t="shared" ca="1" si="57"/>
        <v>26</v>
      </c>
      <c r="G112" s="1">
        <f t="shared" ca="1" si="58"/>
        <v>10</v>
      </c>
      <c r="H112" s="1">
        <f t="shared" ca="1" si="59"/>
        <v>12</v>
      </c>
      <c r="I112" s="1"/>
      <c r="J112" s="1">
        <f t="shared" ca="1" si="60"/>
        <v>13</v>
      </c>
      <c r="K112" s="1">
        <f t="shared" ca="1" si="61"/>
        <v>2.2512446398129389</v>
      </c>
      <c r="L112" s="1">
        <f t="shared" ca="1" si="62"/>
        <v>10</v>
      </c>
      <c r="M112" s="1"/>
      <c r="N112" s="1">
        <f t="shared" ca="1" si="63"/>
        <v>634</v>
      </c>
      <c r="O112" s="1">
        <f t="shared" ca="1" si="64"/>
        <v>33</v>
      </c>
      <c r="P112" s="1"/>
      <c r="Q112" s="1">
        <f t="shared" ca="1" si="65"/>
        <v>1.778409947143933</v>
      </c>
      <c r="R112" s="1">
        <f t="shared" ca="1" si="66"/>
        <v>1073</v>
      </c>
      <c r="S112" s="1"/>
      <c r="T112" s="1">
        <f t="shared" ca="1" si="67"/>
        <v>6.3608124880124364E-2</v>
      </c>
      <c r="U112" s="1">
        <f t="shared" ca="1" si="68"/>
        <v>345</v>
      </c>
      <c r="V112" s="1">
        <f t="shared" ca="1" si="69"/>
        <v>51</v>
      </c>
      <c r="W112" s="1"/>
      <c r="X112" s="1">
        <f t="shared" ca="1" si="70"/>
        <v>0.49831573658835221</v>
      </c>
      <c r="Y112" s="1">
        <f t="shared" ca="1" si="71"/>
        <v>0.79724849343823401</v>
      </c>
      <c r="Z112" s="1">
        <f t="shared" ca="1" si="72"/>
        <v>499</v>
      </c>
      <c r="AB112" s="1">
        <f t="shared" ca="1" si="73"/>
        <v>0.85573626585744755</v>
      </c>
      <c r="AC112" s="1">
        <f t="shared" ca="1" si="74"/>
        <v>304</v>
      </c>
      <c r="AD112" s="1">
        <f t="shared" ca="1" si="75"/>
        <v>4.8278307488920592E-4</v>
      </c>
      <c r="AE112" s="1"/>
      <c r="AF112" s="1">
        <f t="shared" ca="1" si="76"/>
        <v>0.82487317493998458</v>
      </c>
      <c r="AG112" s="1">
        <f t="shared" ca="1" si="77"/>
        <v>184</v>
      </c>
      <c r="AH112" s="1">
        <f t="shared" ca="1" si="78"/>
        <v>7.0572319705323218E-3</v>
      </c>
      <c r="AJ112" s="1">
        <f t="shared" ca="1" si="79"/>
        <v>0.69177839788812434</v>
      </c>
      <c r="AK112" s="1">
        <f t="shared" ca="1" si="80"/>
        <v>6.8529817501470592E-3</v>
      </c>
      <c r="AL112" s="1"/>
      <c r="AM112" s="1">
        <f t="shared" ca="1" si="81"/>
        <v>0.12192273351854012</v>
      </c>
      <c r="AN112" s="1">
        <f t="shared" ca="1" si="82"/>
        <v>66</v>
      </c>
      <c r="AO112" s="1">
        <f t="shared" ca="1" si="83"/>
        <v>4</v>
      </c>
      <c r="AQ112" s="1">
        <f t="shared" ca="1" si="84"/>
        <v>113</v>
      </c>
      <c r="AR112" s="1">
        <f t="shared" ca="1" si="85"/>
        <v>10</v>
      </c>
      <c r="AS112" s="1">
        <f t="shared" ca="1" si="86"/>
        <v>55</v>
      </c>
      <c r="AU112" s="1">
        <f t="shared" ca="1" si="87"/>
        <v>263</v>
      </c>
      <c r="AV112" s="1">
        <f t="shared" ca="1" si="88"/>
        <v>3</v>
      </c>
      <c r="AW112" s="1">
        <f t="shared" ca="1" si="89"/>
        <v>9.1578297016003368E-2</v>
      </c>
      <c r="AY112" s="1">
        <f t="shared" ca="1" si="90"/>
        <v>1.9164257462739562</v>
      </c>
      <c r="AZ112" s="1">
        <f t="shared" ca="1" si="91"/>
        <v>384</v>
      </c>
      <c r="BA112" s="1">
        <f t="shared" ca="1" si="92"/>
        <v>9.6260842366016654E-3</v>
      </c>
      <c r="BV112" s="1">
        <f t="shared" ca="1" si="93"/>
        <v>0.95118222991980617</v>
      </c>
      <c r="BW112" s="1">
        <f t="shared" ca="1" si="94"/>
        <v>463</v>
      </c>
      <c r="BX112" s="1">
        <f t="shared" ca="1" si="95"/>
        <v>2.2991347108901159E-3</v>
      </c>
      <c r="BY112" s="1">
        <f t="shared" ca="1" si="96"/>
        <v>1.9548989057736173E-2</v>
      </c>
      <c r="BZ112" s="1">
        <f t="shared" ca="1" si="97"/>
        <v>0.86046173218961042</v>
      </c>
      <c r="CB112" s="1">
        <f t="shared" ca="1" si="98"/>
        <v>57</v>
      </c>
      <c r="CC112" s="1">
        <f t="shared" ca="1" si="99"/>
        <v>11</v>
      </c>
      <c r="CD112" s="1">
        <f t="shared" ca="1" si="100"/>
        <v>2.8120456323361666E-2</v>
      </c>
      <c r="CE112" s="1">
        <f t="shared" ca="1" si="107"/>
        <v>0.81870192783608708</v>
      </c>
      <c r="CF112" s="1">
        <f t="shared" ca="1" si="107"/>
        <v>0.52565772813484801</v>
      </c>
      <c r="CH112" s="7">
        <f t="shared" ca="1" si="102"/>
        <v>4.373770460273356E-2</v>
      </c>
      <c r="CI112" s="7">
        <f t="shared" ca="1" si="103"/>
        <v>0.43540335882272363</v>
      </c>
      <c r="CJ112" s="7">
        <f t="shared" ca="1" si="104"/>
        <v>135</v>
      </c>
      <c r="CK112" s="7">
        <f t="shared" ca="1" si="105"/>
        <v>1.6885906110829779E-3</v>
      </c>
      <c r="CL112" s="7">
        <f t="shared" ca="1" si="106"/>
        <v>0</v>
      </c>
    </row>
    <row r="113" spans="2:90" x14ac:dyDescent="0.25">
      <c r="B113">
        <f t="shared" ca="1" si="54"/>
        <v>326</v>
      </c>
      <c r="C113">
        <f t="shared" ca="1" si="55"/>
        <v>21</v>
      </c>
      <c r="D113">
        <f t="shared" ca="1" si="56"/>
        <v>6.8218629954940241E-2</v>
      </c>
      <c r="F113" s="1">
        <f t="shared" ca="1" si="57"/>
        <v>29</v>
      </c>
      <c r="G113" s="1">
        <f t="shared" ca="1" si="58"/>
        <v>6</v>
      </c>
      <c r="H113" s="1">
        <f t="shared" ca="1" si="59"/>
        <v>12</v>
      </c>
      <c r="I113" s="1"/>
      <c r="J113" s="1">
        <f t="shared" ca="1" si="60"/>
        <v>16</v>
      </c>
      <c r="K113" s="1">
        <f t="shared" ca="1" si="61"/>
        <v>2.2861176490349981</v>
      </c>
      <c r="L113" s="1">
        <f t="shared" ca="1" si="62"/>
        <v>30</v>
      </c>
      <c r="M113" s="1"/>
      <c r="N113" s="1">
        <f t="shared" ca="1" si="63"/>
        <v>347</v>
      </c>
      <c r="O113" s="1">
        <f t="shared" ca="1" si="64"/>
        <v>32</v>
      </c>
      <c r="P113" s="1"/>
      <c r="Q113" s="1">
        <f t="shared" ca="1" si="65"/>
        <v>2.3968697202840317</v>
      </c>
      <c r="R113" s="1">
        <f t="shared" ca="1" si="66"/>
        <v>325</v>
      </c>
      <c r="S113" s="1"/>
      <c r="T113" s="1">
        <f t="shared" ca="1" si="67"/>
        <v>0.19041405368996595</v>
      </c>
      <c r="U113" s="1">
        <f t="shared" ca="1" si="68"/>
        <v>201</v>
      </c>
      <c r="V113" s="1">
        <f t="shared" ca="1" si="69"/>
        <v>51</v>
      </c>
      <c r="W113" s="1"/>
      <c r="X113" s="1">
        <f t="shared" ca="1" si="70"/>
        <v>2.3001507073255838</v>
      </c>
      <c r="Y113" s="1">
        <f t="shared" ca="1" si="71"/>
        <v>0.4011130140000031</v>
      </c>
      <c r="Z113" s="1">
        <f t="shared" ca="1" si="72"/>
        <v>688</v>
      </c>
      <c r="AB113" s="1">
        <f t="shared" ca="1" si="73"/>
        <v>7.6575982791275504E-2</v>
      </c>
      <c r="AC113" s="1">
        <f t="shared" ca="1" si="74"/>
        <v>974</v>
      </c>
      <c r="AD113" s="1">
        <f t="shared" ca="1" si="75"/>
        <v>4.4438668519712149E-4</v>
      </c>
      <c r="AE113" s="1"/>
      <c r="AF113" s="1">
        <f t="shared" ca="1" si="76"/>
        <v>0.32696865660737395</v>
      </c>
      <c r="AG113" s="1">
        <f t="shared" ca="1" si="77"/>
        <v>620</v>
      </c>
      <c r="AH113" s="1">
        <f t="shared" ca="1" si="78"/>
        <v>1.6407005148587773E-3</v>
      </c>
      <c r="AJ113" s="1">
        <f t="shared" ca="1" si="79"/>
        <v>0.58472715585255286</v>
      </c>
      <c r="AK113" s="1">
        <f t="shared" ca="1" si="80"/>
        <v>2.5922504887453375E-3</v>
      </c>
      <c r="AL113" s="1"/>
      <c r="AM113" s="1">
        <f t="shared" ca="1" si="81"/>
        <v>0.11793700524891924</v>
      </c>
      <c r="AN113" s="1">
        <f t="shared" ca="1" si="82"/>
        <v>70</v>
      </c>
      <c r="AO113" s="1">
        <f t="shared" ca="1" si="83"/>
        <v>20</v>
      </c>
      <c r="AQ113" s="1">
        <f t="shared" ca="1" si="84"/>
        <v>24</v>
      </c>
      <c r="AR113" s="1">
        <f t="shared" ca="1" si="85"/>
        <v>3</v>
      </c>
      <c r="AS113" s="1">
        <f t="shared" ca="1" si="86"/>
        <v>1</v>
      </c>
      <c r="AU113" s="1">
        <f t="shared" ca="1" si="87"/>
        <v>114</v>
      </c>
      <c r="AV113" s="1">
        <f t="shared" ca="1" si="88"/>
        <v>6</v>
      </c>
      <c r="AW113" s="1">
        <f t="shared" ca="1" si="89"/>
        <v>7.4567389391812663E-2</v>
      </c>
      <c r="AY113" s="1">
        <f t="shared" ca="1" si="90"/>
        <v>1.7535394076028885</v>
      </c>
      <c r="AZ113" s="1">
        <f t="shared" ca="1" si="91"/>
        <v>266</v>
      </c>
      <c r="BA113" s="1">
        <f t="shared" ca="1" si="92"/>
        <v>7.3460713906144494E-4</v>
      </c>
      <c r="BV113" s="1">
        <f t="shared" ca="1" si="93"/>
        <v>0.60943824152987081</v>
      </c>
      <c r="BW113" s="1">
        <f t="shared" ca="1" si="94"/>
        <v>504</v>
      </c>
      <c r="BX113" s="1">
        <f t="shared" ca="1" si="95"/>
        <v>3.5540235901445126E-3</v>
      </c>
      <c r="BY113" s="1">
        <f t="shared" ca="1" si="96"/>
        <v>2.7903364541873601E-2</v>
      </c>
      <c r="BZ113" s="1">
        <f t="shared" ca="1" si="97"/>
        <v>0.72182232152421666</v>
      </c>
      <c r="CB113" s="1">
        <f t="shared" ca="1" si="98"/>
        <v>293</v>
      </c>
      <c r="CC113" s="1">
        <f t="shared" ca="1" si="99"/>
        <v>4</v>
      </c>
      <c r="CD113" s="1">
        <f t="shared" ca="1" si="100"/>
        <v>0.21756404268989643</v>
      </c>
      <c r="CE113" s="1">
        <f t="shared" ca="1" si="107"/>
        <v>0.59982818909301794</v>
      </c>
      <c r="CF113" s="1">
        <f t="shared" ca="1" si="107"/>
        <v>0.81320387392647209</v>
      </c>
      <c r="CH113" s="7">
        <f t="shared" ca="1" si="102"/>
        <v>0.10887068125629033</v>
      </c>
      <c r="CI113" s="7">
        <f t="shared" ca="1" si="103"/>
        <v>0.56279573375857828</v>
      </c>
      <c r="CJ113" s="7">
        <f t="shared" ca="1" si="104"/>
        <v>1106</v>
      </c>
      <c r="CK113" s="7">
        <f t="shared" ca="1" si="105"/>
        <v>4.3474853570067733E-4</v>
      </c>
      <c r="CL113" s="7">
        <f t="shared" ca="1" si="106"/>
        <v>0</v>
      </c>
    </row>
    <row r="114" spans="2:90" x14ac:dyDescent="0.25">
      <c r="B114">
        <f t="shared" ca="1" si="54"/>
        <v>745</v>
      </c>
      <c r="C114">
        <f t="shared" ca="1" si="55"/>
        <v>27</v>
      </c>
      <c r="D114">
        <f t="shared" ca="1" si="56"/>
        <v>0.20767053506175337</v>
      </c>
      <c r="F114" s="1">
        <f t="shared" ca="1" si="57"/>
        <v>30</v>
      </c>
      <c r="G114" s="1">
        <f t="shared" ca="1" si="58"/>
        <v>23</v>
      </c>
      <c r="H114" s="1">
        <f t="shared" ca="1" si="59"/>
        <v>13</v>
      </c>
      <c r="I114" s="1"/>
      <c r="J114" s="1">
        <f t="shared" ca="1" si="60"/>
        <v>4</v>
      </c>
      <c r="K114" s="1">
        <f t="shared" ca="1" si="61"/>
        <v>1.2469127287361297</v>
      </c>
      <c r="L114" s="1">
        <f t="shared" ca="1" si="62"/>
        <v>3</v>
      </c>
      <c r="M114" s="1"/>
      <c r="N114" s="1">
        <f t="shared" ca="1" si="63"/>
        <v>164</v>
      </c>
      <c r="O114" s="1">
        <f t="shared" ca="1" si="64"/>
        <v>8</v>
      </c>
      <c r="P114" s="1"/>
      <c r="Q114" s="1">
        <f t="shared" ca="1" si="65"/>
        <v>3.1966725290795863</v>
      </c>
      <c r="R114" s="1">
        <f t="shared" ca="1" si="66"/>
        <v>971</v>
      </c>
      <c r="S114" s="1"/>
      <c r="T114" s="1">
        <f t="shared" ca="1" si="67"/>
        <v>9.159159527840921E-2</v>
      </c>
      <c r="U114" s="1">
        <f t="shared" ca="1" si="68"/>
        <v>81</v>
      </c>
      <c r="V114" s="1">
        <f t="shared" ca="1" si="69"/>
        <v>25</v>
      </c>
      <c r="W114" s="1"/>
      <c r="X114" s="1">
        <f t="shared" ca="1" si="70"/>
        <v>5.3895649768240208</v>
      </c>
      <c r="Y114" s="1">
        <f t="shared" ca="1" si="71"/>
        <v>0.12368729529850876</v>
      </c>
      <c r="Z114" s="1">
        <f t="shared" ca="1" si="72"/>
        <v>112</v>
      </c>
      <c r="AB114" s="1">
        <f t="shared" ca="1" si="73"/>
        <v>0.86244914303216402</v>
      </c>
      <c r="AC114" s="1">
        <f t="shared" ca="1" si="74"/>
        <v>182</v>
      </c>
      <c r="AD114" s="1">
        <f t="shared" ca="1" si="75"/>
        <v>5.5692668766414294E-3</v>
      </c>
      <c r="AE114" s="1"/>
      <c r="AF114" s="1">
        <f t="shared" ca="1" si="76"/>
        <v>0.82613101128344379</v>
      </c>
      <c r="AG114" s="1">
        <f t="shared" ca="1" si="77"/>
        <v>633</v>
      </c>
      <c r="AH114" s="1">
        <f t="shared" ca="1" si="78"/>
        <v>4.5412569232955498E-3</v>
      </c>
      <c r="AJ114" s="1">
        <f t="shared" ca="1" si="79"/>
        <v>0.95897882426719028</v>
      </c>
      <c r="AK114" s="1">
        <f t="shared" ca="1" si="80"/>
        <v>8.0585574987226908E-3</v>
      </c>
      <c r="AL114" s="1"/>
      <c r="AM114" s="1">
        <f t="shared" ca="1" si="81"/>
        <v>2.5652232903908764E-2</v>
      </c>
      <c r="AN114" s="1">
        <f t="shared" ca="1" si="82"/>
        <v>30</v>
      </c>
      <c r="AO114" s="1">
        <f t="shared" ca="1" si="83"/>
        <v>5</v>
      </c>
      <c r="AQ114" s="1">
        <f t="shared" ca="1" si="84"/>
        <v>93</v>
      </c>
      <c r="AR114" s="1">
        <f t="shared" ca="1" si="85"/>
        <v>0</v>
      </c>
      <c r="AS114" s="1">
        <f t="shared" ca="1" si="86"/>
        <v>86</v>
      </c>
      <c r="AU114" s="1">
        <f t="shared" ca="1" si="87"/>
        <v>369</v>
      </c>
      <c r="AV114" s="1">
        <f t="shared" ca="1" si="88"/>
        <v>8</v>
      </c>
      <c r="AW114" s="1">
        <f t="shared" ca="1" si="89"/>
        <v>6.8026008024576978E-2</v>
      </c>
      <c r="AY114" s="1">
        <f t="shared" ca="1" si="90"/>
        <v>1.9860347731078303</v>
      </c>
      <c r="AZ114" s="1">
        <f t="shared" ca="1" si="91"/>
        <v>147</v>
      </c>
      <c r="BA114" s="1">
        <f t="shared" ca="1" si="92"/>
        <v>1.2259736242699769E-3</v>
      </c>
      <c r="BV114" s="1">
        <f t="shared" ca="1" si="93"/>
        <v>0.75960314068768897</v>
      </c>
      <c r="BW114" s="1">
        <f t="shared" ca="1" si="94"/>
        <v>664</v>
      </c>
      <c r="BX114" s="1">
        <f t="shared" ca="1" si="95"/>
        <v>6.4739445512090191E-3</v>
      </c>
      <c r="BY114" s="1">
        <f t="shared" ca="1" si="96"/>
        <v>8.7002934202849838E-2</v>
      </c>
      <c r="BZ114" s="1">
        <f t="shared" ca="1" si="97"/>
        <v>0.5454215464575356</v>
      </c>
      <c r="CB114" s="1">
        <f t="shared" ca="1" si="98"/>
        <v>370</v>
      </c>
      <c r="CC114" s="1">
        <f t="shared" ca="1" si="99"/>
        <v>6</v>
      </c>
      <c r="CD114" s="1">
        <f t="shared" ca="1" si="100"/>
        <v>0.18148352034171994</v>
      </c>
      <c r="CE114" s="1">
        <f t="shared" ca="1" si="107"/>
        <v>0.88557748345913057</v>
      </c>
      <c r="CF114" s="1">
        <f t="shared" ca="1" si="107"/>
        <v>0.55949465210675364</v>
      </c>
      <c r="CH114" s="7">
        <f t="shared" ca="1" si="102"/>
        <v>0.27269799405289719</v>
      </c>
      <c r="CI114" s="7">
        <f t="shared" ca="1" si="103"/>
        <v>0.32479281913139108</v>
      </c>
      <c r="CJ114" s="7">
        <f t="shared" ca="1" si="104"/>
        <v>892</v>
      </c>
      <c r="CK114" s="7">
        <f t="shared" ca="1" si="105"/>
        <v>2.9843587129141989E-3</v>
      </c>
      <c r="CL114" s="7">
        <f t="shared" ca="1" si="106"/>
        <v>0</v>
      </c>
    </row>
    <row r="115" spans="2:90" x14ac:dyDescent="0.25">
      <c r="B115">
        <f t="shared" ca="1" si="54"/>
        <v>347</v>
      </c>
      <c r="C115">
        <f t="shared" ca="1" si="55"/>
        <v>43</v>
      </c>
      <c r="D115">
        <f t="shared" ca="1" si="56"/>
        <v>0.23920654222048693</v>
      </c>
      <c r="F115" s="1">
        <f t="shared" ca="1" si="57"/>
        <v>6</v>
      </c>
      <c r="G115" s="1">
        <f t="shared" ca="1" si="58"/>
        <v>23</v>
      </c>
      <c r="H115" s="1">
        <f t="shared" ca="1" si="59"/>
        <v>13</v>
      </c>
      <c r="I115" s="1"/>
      <c r="J115" s="1">
        <f t="shared" ca="1" si="60"/>
        <v>27</v>
      </c>
      <c r="K115" s="1">
        <f t="shared" ca="1" si="61"/>
        <v>1.0402166861389766</v>
      </c>
      <c r="L115" s="1">
        <f t="shared" ca="1" si="62"/>
        <v>2</v>
      </c>
      <c r="M115" s="1"/>
      <c r="N115" s="1">
        <f t="shared" ca="1" si="63"/>
        <v>847</v>
      </c>
      <c r="O115" s="1">
        <f t="shared" ca="1" si="64"/>
        <v>35</v>
      </c>
      <c r="P115" s="1"/>
      <c r="Q115" s="1">
        <f t="shared" ca="1" si="65"/>
        <v>4.6713941057053683</v>
      </c>
      <c r="R115" s="1">
        <f t="shared" ca="1" si="66"/>
        <v>549</v>
      </c>
      <c r="S115" s="1"/>
      <c r="T115" s="1">
        <f t="shared" ca="1" si="67"/>
        <v>1.8019373328817621E-2</v>
      </c>
      <c r="U115" s="1">
        <f t="shared" ca="1" si="68"/>
        <v>204</v>
      </c>
      <c r="V115" s="1">
        <f t="shared" ca="1" si="69"/>
        <v>5</v>
      </c>
      <c r="W115" s="1"/>
      <c r="X115" s="1">
        <f t="shared" ca="1" si="70"/>
        <v>0.75003761373099287</v>
      </c>
      <c r="Y115" s="1">
        <f t="shared" ca="1" si="71"/>
        <v>0.13513903942411265</v>
      </c>
      <c r="Z115" s="1">
        <f t="shared" ca="1" si="72"/>
        <v>746</v>
      </c>
      <c r="AB115" s="1">
        <f t="shared" ca="1" si="73"/>
        <v>0.45121439950863496</v>
      </c>
      <c r="AC115" s="1">
        <f t="shared" ca="1" si="74"/>
        <v>625</v>
      </c>
      <c r="AD115" s="1">
        <f t="shared" ca="1" si="75"/>
        <v>2.0793912100958893E-3</v>
      </c>
      <c r="AE115" s="1"/>
      <c r="AF115" s="1">
        <f t="shared" ca="1" si="76"/>
        <v>0.56598355296127489</v>
      </c>
      <c r="AG115" s="1">
        <f t="shared" ca="1" si="77"/>
        <v>450</v>
      </c>
      <c r="AH115" s="1">
        <f t="shared" ca="1" si="78"/>
        <v>4.8039586436123428E-3</v>
      </c>
      <c r="AJ115" s="1">
        <f t="shared" ca="1" si="79"/>
        <v>0.2753666904089167</v>
      </c>
      <c r="AK115" s="1">
        <f t="shared" ca="1" si="80"/>
        <v>5.6982395418612856E-4</v>
      </c>
      <c r="AL115" s="1"/>
      <c r="AM115" s="1">
        <f t="shared" ca="1" si="81"/>
        <v>0.11376249680901404</v>
      </c>
      <c r="AN115" s="1">
        <f t="shared" ca="1" si="82"/>
        <v>56</v>
      </c>
      <c r="AO115" s="1">
        <f t="shared" ca="1" si="83"/>
        <v>11</v>
      </c>
      <c r="AQ115" s="1">
        <f t="shared" ca="1" si="84"/>
        <v>152</v>
      </c>
      <c r="AR115" s="1">
        <f t="shared" ca="1" si="85"/>
        <v>6</v>
      </c>
      <c r="AS115" s="1">
        <f t="shared" ca="1" si="86"/>
        <v>26</v>
      </c>
      <c r="AU115" s="1">
        <f t="shared" ca="1" si="87"/>
        <v>96</v>
      </c>
      <c r="AV115" s="1">
        <f t="shared" ca="1" si="88"/>
        <v>2</v>
      </c>
      <c r="AW115" s="1">
        <f t="shared" ca="1" si="89"/>
        <v>0.12869714266399629</v>
      </c>
      <c r="AY115" s="1">
        <f t="shared" ca="1" si="90"/>
        <v>1.154660416990162</v>
      </c>
      <c r="AZ115" s="1">
        <f t="shared" ca="1" si="91"/>
        <v>492</v>
      </c>
      <c r="BA115" s="1">
        <f t="shared" ca="1" si="92"/>
        <v>7.9169883778910013E-3</v>
      </c>
      <c r="BV115" s="1">
        <f t="shared" ca="1" si="93"/>
        <v>0.88927263125411926</v>
      </c>
      <c r="BW115" s="1">
        <f t="shared" ca="1" si="94"/>
        <v>572</v>
      </c>
      <c r="BX115" s="1">
        <f t="shared" ca="1" si="95"/>
        <v>6.9387620980676532E-3</v>
      </c>
      <c r="BY115" s="1">
        <f t="shared" ca="1" si="96"/>
        <v>4.4546729396885844E-2</v>
      </c>
      <c r="BZ115" s="1">
        <f t="shared" ca="1" si="97"/>
        <v>0.57349601162739627</v>
      </c>
      <c r="CB115" s="1">
        <f t="shared" ca="1" si="98"/>
        <v>68</v>
      </c>
      <c r="CC115" s="1">
        <f t="shared" ca="1" si="99"/>
        <v>12</v>
      </c>
      <c r="CD115" s="1">
        <f t="shared" ca="1" si="100"/>
        <v>7.3477182338684568E-2</v>
      </c>
      <c r="CE115" s="1">
        <f t="shared" ca="1" si="107"/>
        <v>0.98635983804347993</v>
      </c>
      <c r="CF115" s="1">
        <f t="shared" ca="1" si="107"/>
        <v>0.6249008692391449</v>
      </c>
      <c r="CH115" s="7">
        <f t="shared" ca="1" si="102"/>
        <v>0.82629858911323095</v>
      </c>
      <c r="CI115" s="7">
        <f t="shared" ca="1" si="103"/>
        <v>0.71719283868407113</v>
      </c>
      <c r="CJ115" s="7">
        <f t="shared" ca="1" si="104"/>
        <v>212</v>
      </c>
      <c r="CK115" s="7">
        <f t="shared" ca="1" si="105"/>
        <v>4.8351731098065388E-3</v>
      </c>
      <c r="CL115" s="7">
        <f t="shared" ca="1" si="106"/>
        <v>1</v>
      </c>
    </row>
    <row r="116" spans="2:90" x14ac:dyDescent="0.25">
      <c r="B116">
        <f t="shared" ca="1" si="54"/>
        <v>716</v>
      </c>
      <c r="C116">
        <f t="shared" ca="1" si="55"/>
        <v>24</v>
      </c>
      <c r="D116">
        <f t="shared" ca="1" si="56"/>
        <v>4.8920278926296995E-2</v>
      </c>
      <c r="F116" s="1">
        <f t="shared" ca="1" si="57"/>
        <v>4</v>
      </c>
      <c r="G116" s="1">
        <f t="shared" ca="1" si="58"/>
        <v>9</v>
      </c>
      <c r="H116" s="1">
        <f t="shared" ca="1" si="59"/>
        <v>13</v>
      </c>
      <c r="I116" s="1"/>
      <c r="J116" s="1">
        <f t="shared" ca="1" si="60"/>
        <v>39</v>
      </c>
      <c r="K116" s="1">
        <f t="shared" ca="1" si="61"/>
        <v>1.7578007343653514</v>
      </c>
      <c r="L116" s="1">
        <f t="shared" ca="1" si="62"/>
        <v>6</v>
      </c>
      <c r="M116" s="1"/>
      <c r="N116" s="1">
        <f t="shared" ca="1" si="63"/>
        <v>128</v>
      </c>
      <c r="O116" s="1">
        <f t="shared" ca="1" si="64"/>
        <v>11</v>
      </c>
      <c r="P116" s="1"/>
      <c r="Q116" s="1">
        <f t="shared" ca="1" si="65"/>
        <v>1.8586885407662077</v>
      </c>
      <c r="R116" s="1">
        <f t="shared" ca="1" si="66"/>
        <v>1115</v>
      </c>
      <c r="S116" s="1"/>
      <c r="T116" s="1">
        <f t="shared" ca="1" si="67"/>
        <v>3.9335847419374612E-2</v>
      </c>
      <c r="U116" s="1">
        <f t="shared" ca="1" si="68"/>
        <v>344</v>
      </c>
      <c r="V116" s="1">
        <f t="shared" ca="1" si="69"/>
        <v>30</v>
      </c>
      <c r="W116" s="1"/>
      <c r="X116" s="1">
        <f t="shared" ca="1" si="70"/>
        <v>6.9771338642035747</v>
      </c>
      <c r="Y116" s="1">
        <f t="shared" ca="1" si="71"/>
        <v>0.34271736996006663</v>
      </c>
      <c r="Z116" s="1">
        <f t="shared" ca="1" si="72"/>
        <v>1021</v>
      </c>
      <c r="AB116" s="1">
        <f t="shared" ca="1" si="73"/>
        <v>0.63760993261759136</v>
      </c>
      <c r="AC116" s="1">
        <f t="shared" ca="1" si="74"/>
        <v>146</v>
      </c>
      <c r="AD116" s="1">
        <f t="shared" ca="1" si="75"/>
        <v>7.8840381744911606E-3</v>
      </c>
      <c r="AE116" s="1"/>
      <c r="AF116" s="1">
        <f t="shared" ca="1" si="76"/>
        <v>0.16215474960030846</v>
      </c>
      <c r="AG116" s="1">
        <f t="shared" ca="1" si="77"/>
        <v>453</v>
      </c>
      <c r="AH116" s="1">
        <f t="shared" ca="1" si="78"/>
        <v>9.1220137369116515E-3</v>
      </c>
      <c r="AJ116" s="1">
        <f t="shared" ca="1" si="79"/>
        <v>0.46503736344008839</v>
      </c>
      <c r="AK116" s="1">
        <f t="shared" ca="1" si="80"/>
        <v>7.1607254436664861E-3</v>
      </c>
      <c r="AL116" s="1"/>
      <c r="AM116" s="1">
        <f t="shared" ca="1" si="81"/>
        <v>6.322160970967379E-2</v>
      </c>
      <c r="AN116" s="1">
        <f t="shared" ca="1" si="82"/>
        <v>33</v>
      </c>
      <c r="AO116" s="1">
        <f t="shared" ca="1" si="83"/>
        <v>5</v>
      </c>
      <c r="AQ116" s="1">
        <f t="shared" ca="1" si="84"/>
        <v>24</v>
      </c>
      <c r="AR116" s="1">
        <f t="shared" ca="1" si="85"/>
        <v>6</v>
      </c>
      <c r="AS116" s="1">
        <f t="shared" ca="1" si="86"/>
        <v>70</v>
      </c>
      <c r="AU116" s="1">
        <f t="shared" ca="1" si="87"/>
        <v>233</v>
      </c>
      <c r="AV116" s="1">
        <f t="shared" ca="1" si="88"/>
        <v>10</v>
      </c>
      <c r="AW116" s="1">
        <f t="shared" ca="1" si="89"/>
        <v>0.11743587679615447</v>
      </c>
      <c r="AY116" s="1">
        <f t="shared" ca="1" si="90"/>
        <v>1.746945267846056</v>
      </c>
      <c r="AZ116" s="1">
        <f t="shared" ca="1" si="91"/>
        <v>62</v>
      </c>
      <c r="BA116" s="1">
        <f t="shared" ca="1" si="92"/>
        <v>1.878784462058061E-3</v>
      </c>
      <c r="BV116" s="1">
        <f t="shared" ca="1" si="93"/>
        <v>0.34763182914302576</v>
      </c>
      <c r="BW116" s="1">
        <f t="shared" ca="1" si="94"/>
        <v>823</v>
      </c>
      <c r="BX116" s="1">
        <f t="shared" ca="1" si="95"/>
        <v>5.6345243924341463E-4</v>
      </c>
      <c r="BY116" s="1">
        <f t="shared" ca="1" si="96"/>
        <v>7.1879475102861273E-2</v>
      </c>
      <c r="BZ116" s="1">
        <f t="shared" ca="1" si="97"/>
        <v>0.27203522856291107</v>
      </c>
      <c r="CB116" s="1">
        <f t="shared" ca="1" si="98"/>
        <v>313</v>
      </c>
      <c r="CC116" s="1">
        <f t="shared" ca="1" si="99"/>
        <v>7</v>
      </c>
      <c r="CD116" s="1">
        <f t="shared" ca="1" si="100"/>
        <v>0.27799960892853609</v>
      </c>
      <c r="CE116" s="1">
        <f t="shared" ca="1" si="107"/>
        <v>0.72490189315486298</v>
      </c>
      <c r="CF116" s="1">
        <f t="shared" ca="1" si="107"/>
        <v>0.62156121400927189</v>
      </c>
      <c r="CH116" s="7">
        <f t="shared" ca="1" si="102"/>
        <v>0.86308233212097696</v>
      </c>
      <c r="CI116" s="7">
        <f t="shared" ca="1" si="103"/>
        <v>0.97800123367601499</v>
      </c>
      <c r="CJ116" s="7">
        <f t="shared" ca="1" si="104"/>
        <v>846</v>
      </c>
      <c r="CK116" s="7">
        <f t="shared" ca="1" si="105"/>
        <v>2.8777578151560766E-3</v>
      </c>
      <c r="CL116" s="7">
        <f t="shared" ca="1" si="106"/>
        <v>1</v>
      </c>
    </row>
    <row r="117" spans="2:90" x14ac:dyDescent="0.25">
      <c r="B117">
        <f t="shared" ca="1" si="54"/>
        <v>979</v>
      </c>
      <c r="C117">
        <f t="shared" ca="1" si="55"/>
        <v>5</v>
      </c>
      <c r="D117">
        <f t="shared" ca="1" si="56"/>
        <v>3.3693654894275858E-2</v>
      </c>
      <c r="F117" s="1">
        <f t="shared" ca="1" si="57"/>
        <v>18</v>
      </c>
      <c r="G117" s="1">
        <f t="shared" ca="1" si="58"/>
        <v>19</v>
      </c>
      <c r="H117" s="1">
        <f t="shared" ca="1" si="59"/>
        <v>10</v>
      </c>
      <c r="I117" s="1"/>
      <c r="J117" s="1">
        <f t="shared" ca="1" si="60"/>
        <v>12</v>
      </c>
      <c r="K117" s="1">
        <f t="shared" ca="1" si="61"/>
        <v>1.6121535448086686</v>
      </c>
      <c r="L117" s="1">
        <f t="shared" ca="1" si="62"/>
        <v>24</v>
      </c>
      <c r="M117" s="1"/>
      <c r="N117" s="1">
        <f t="shared" ca="1" si="63"/>
        <v>286</v>
      </c>
      <c r="O117" s="1">
        <f t="shared" ca="1" si="64"/>
        <v>25</v>
      </c>
      <c r="P117" s="1"/>
      <c r="Q117" s="1">
        <f t="shared" ca="1" si="65"/>
        <v>4.6022048595393361</v>
      </c>
      <c r="R117" s="1">
        <f t="shared" ca="1" si="66"/>
        <v>487</v>
      </c>
      <c r="S117" s="1"/>
      <c r="T117" s="1">
        <f t="shared" ca="1" si="67"/>
        <v>0.15237507717610566</v>
      </c>
      <c r="U117" s="1">
        <f t="shared" ca="1" si="68"/>
        <v>196</v>
      </c>
      <c r="V117" s="1">
        <f t="shared" ca="1" si="69"/>
        <v>12</v>
      </c>
      <c r="W117" s="1"/>
      <c r="X117" s="1">
        <f t="shared" ca="1" si="70"/>
        <v>6.016803653699939</v>
      </c>
      <c r="Y117" s="1">
        <f t="shared" ca="1" si="71"/>
        <v>0.37030203660325617</v>
      </c>
      <c r="Z117" s="1">
        <f t="shared" ca="1" si="72"/>
        <v>289</v>
      </c>
      <c r="AB117" s="1">
        <f t="shared" ca="1" si="73"/>
        <v>7.6801546368603507E-2</v>
      </c>
      <c r="AC117" s="1">
        <f t="shared" ca="1" si="74"/>
        <v>775</v>
      </c>
      <c r="AD117" s="1">
        <f t="shared" ca="1" si="75"/>
        <v>4.0363907060057569E-4</v>
      </c>
      <c r="AE117" s="1"/>
      <c r="AF117" s="1">
        <f t="shared" ca="1" si="76"/>
        <v>0.87783168589170801</v>
      </c>
      <c r="AG117" s="1">
        <f t="shared" ca="1" si="77"/>
        <v>329</v>
      </c>
      <c r="AH117" s="1">
        <f t="shared" ca="1" si="78"/>
        <v>2.6701585386844375E-3</v>
      </c>
      <c r="AJ117" s="1">
        <f t="shared" ca="1" si="79"/>
        <v>0.39375301720137024</v>
      </c>
      <c r="AK117" s="1">
        <f t="shared" ca="1" si="80"/>
        <v>7.5957142350556285E-3</v>
      </c>
      <c r="AL117" s="1"/>
      <c r="AM117" s="1">
        <f t="shared" ca="1" si="81"/>
        <v>0.15513228336899457</v>
      </c>
      <c r="AN117" s="1">
        <f t="shared" ca="1" si="82"/>
        <v>37</v>
      </c>
      <c r="AO117" s="1">
        <f t="shared" ca="1" si="83"/>
        <v>6</v>
      </c>
      <c r="AQ117" s="1">
        <f t="shared" ca="1" si="84"/>
        <v>138</v>
      </c>
      <c r="AR117" s="1">
        <f t="shared" ca="1" si="85"/>
        <v>1</v>
      </c>
      <c r="AS117" s="1">
        <f t="shared" ca="1" si="86"/>
        <v>17</v>
      </c>
      <c r="AU117" s="1">
        <f t="shared" ca="1" si="87"/>
        <v>73</v>
      </c>
      <c r="AV117" s="1">
        <f t="shared" ca="1" si="88"/>
        <v>8</v>
      </c>
      <c r="AW117" s="1">
        <f t="shared" ca="1" si="89"/>
        <v>3.6538762781304718E-2</v>
      </c>
      <c r="AY117" s="1">
        <f t="shared" ca="1" si="90"/>
        <v>1.375416020671397</v>
      </c>
      <c r="AZ117" s="1">
        <f t="shared" ca="1" si="91"/>
        <v>327</v>
      </c>
      <c r="BA117" s="1">
        <f t="shared" ca="1" si="92"/>
        <v>7.641619155151139E-3</v>
      </c>
      <c r="BV117" s="1">
        <f t="shared" ca="1" si="93"/>
        <v>0.61618359381596532</v>
      </c>
      <c r="BW117" s="1">
        <f t="shared" ca="1" si="94"/>
        <v>594</v>
      </c>
      <c r="BX117" s="1">
        <f t="shared" ca="1" si="95"/>
        <v>6.4204388363749403E-3</v>
      </c>
      <c r="BY117" s="1">
        <f t="shared" ca="1" si="96"/>
        <v>5.0106538877712579E-3</v>
      </c>
      <c r="BZ117" s="1">
        <f t="shared" ca="1" si="97"/>
        <v>0.2217481734697212</v>
      </c>
      <c r="CB117" s="1">
        <f t="shared" ca="1" si="98"/>
        <v>309</v>
      </c>
      <c r="CC117" s="1">
        <f t="shared" ca="1" si="99"/>
        <v>7</v>
      </c>
      <c r="CD117" s="1">
        <f t="shared" ca="1" si="100"/>
        <v>6.3954690654190627E-2</v>
      </c>
      <c r="CE117" s="1">
        <f t="shared" ca="1" si="107"/>
        <v>0.58354773567127882</v>
      </c>
      <c r="CF117" s="1">
        <f t="shared" ca="1" si="107"/>
        <v>0.6280977429316319</v>
      </c>
      <c r="CH117" s="7">
        <f t="shared" ca="1" si="102"/>
        <v>0.87586808648218017</v>
      </c>
      <c r="CI117" s="7">
        <f t="shared" ca="1" si="103"/>
        <v>0.65020242633067438</v>
      </c>
      <c r="CJ117" s="7">
        <f t="shared" ca="1" si="104"/>
        <v>1545</v>
      </c>
      <c r="CK117" s="7">
        <f t="shared" ca="1" si="105"/>
        <v>3.3456399195634641E-3</v>
      </c>
      <c r="CL117" s="7">
        <f t="shared" ca="1" si="106"/>
        <v>1</v>
      </c>
    </row>
    <row r="118" spans="2:90" x14ac:dyDescent="0.25">
      <c r="B118">
        <f t="shared" ca="1" si="54"/>
        <v>180</v>
      </c>
      <c r="C118">
        <f t="shared" ca="1" si="55"/>
        <v>51</v>
      </c>
      <c r="D118">
        <f t="shared" ca="1" si="56"/>
        <v>0.17117996575949271</v>
      </c>
      <c r="F118" s="1">
        <f t="shared" ca="1" si="57"/>
        <v>21</v>
      </c>
      <c r="G118" s="1">
        <f t="shared" ca="1" si="58"/>
        <v>18</v>
      </c>
      <c r="H118" s="1">
        <f t="shared" ca="1" si="59"/>
        <v>7</v>
      </c>
      <c r="I118" s="1"/>
      <c r="J118" s="1">
        <f t="shared" ca="1" si="60"/>
        <v>19</v>
      </c>
      <c r="K118" s="1">
        <f t="shared" ca="1" si="61"/>
        <v>2.934120653233053</v>
      </c>
      <c r="L118" s="1">
        <f t="shared" ca="1" si="62"/>
        <v>25</v>
      </c>
      <c r="M118" s="1"/>
      <c r="N118" s="1">
        <f t="shared" ca="1" si="63"/>
        <v>621</v>
      </c>
      <c r="O118" s="1">
        <f t="shared" ca="1" si="64"/>
        <v>12</v>
      </c>
      <c r="P118" s="1"/>
      <c r="Q118" s="1">
        <f t="shared" ca="1" si="65"/>
        <v>1.1794430449114932</v>
      </c>
      <c r="R118" s="1">
        <f t="shared" ca="1" si="66"/>
        <v>282</v>
      </c>
      <c r="S118" s="1"/>
      <c r="T118" s="1">
        <f t="shared" ca="1" si="67"/>
        <v>0.11586567236297568</v>
      </c>
      <c r="U118" s="1">
        <f t="shared" ca="1" si="68"/>
        <v>125</v>
      </c>
      <c r="V118" s="1">
        <f t="shared" ca="1" si="69"/>
        <v>18</v>
      </c>
      <c r="W118" s="1"/>
      <c r="X118" s="1">
        <f t="shared" ca="1" si="70"/>
        <v>2.2252614255528376</v>
      </c>
      <c r="Y118" s="1">
        <f t="shared" ca="1" si="71"/>
        <v>0.66104725899374395</v>
      </c>
      <c r="Z118" s="1">
        <f t="shared" ca="1" si="72"/>
        <v>1761</v>
      </c>
      <c r="AB118" s="1">
        <f t="shared" ca="1" si="73"/>
        <v>0.81311159217295081</v>
      </c>
      <c r="AC118" s="1">
        <f t="shared" ca="1" si="74"/>
        <v>446</v>
      </c>
      <c r="AD118" s="1">
        <f t="shared" ca="1" si="75"/>
        <v>6.0233229002115988E-4</v>
      </c>
      <c r="AE118" s="1"/>
      <c r="AF118" s="1">
        <f t="shared" ca="1" si="76"/>
        <v>0.39980078291507937</v>
      </c>
      <c r="AG118" s="1">
        <f t="shared" ca="1" si="77"/>
        <v>354</v>
      </c>
      <c r="AH118" s="1">
        <f t="shared" ca="1" si="78"/>
        <v>4.4199652231742634E-3</v>
      </c>
      <c r="AJ118" s="1">
        <f t="shared" ca="1" si="79"/>
        <v>0.56446933349841</v>
      </c>
      <c r="AK118" s="1">
        <f t="shared" ca="1" si="80"/>
        <v>7.1088468452689376E-3</v>
      </c>
      <c r="AL118" s="1"/>
      <c r="AM118" s="1">
        <f t="shared" ca="1" si="81"/>
        <v>0.16121118526133643</v>
      </c>
      <c r="AN118" s="1">
        <f t="shared" ca="1" si="82"/>
        <v>45</v>
      </c>
      <c r="AO118" s="1">
        <f t="shared" ca="1" si="83"/>
        <v>9</v>
      </c>
      <c r="AQ118" s="1">
        <f t="shared" ca="1" si="84"/>
        <v>69</v>
      </c>
      <c r="AR118" s="1">
        <f t="shared" ca="1" si="85"/>
        <v>4</v>
      </c>
      <c r="AS118" s="1">
        <f t="shared" ca="1" si="86"/>
        <v>96</v>
      </c>
      <c r="AU118" s="1">
        <f t="shared" ca="1" si="87"/>
        <v>79</v>
      </c>
      <c r="AV118" s="1">
        <f t="shared" ca="1" si="88"/>
        <v>8</v>
      </c>
      <c r="AW118" s="1">
        <f t="shared" ca="1" si="89"/>
        <v>0.1371350894563472</v>
      </c>
      <c r="AY118" s="1">
        <f t="shared" ca="1" si="90"/>
        <v>1.9400539726945993</v>
      </c>
      <c r="AZ118" s="1">
        <f t="shared" ca="1" si="91"/>
        <v>360</v>
      </c>
      <c r="BA118" s="1">
        <f t="shared" ca="1" si="92"/>
        <v>2.6081715663154189E-3</v>
      </c>
      <c r="BV118" s="1">
        <f t="shared" ca="1" si="93"/>
        <v>7.2882946722165757E-3</v>
      </c>
      <c r="BW118" s="1">
        <f t="shared" ca="1" si="94"/>
        <v>119</v>
      </c>
      <c r="BX118" s="1">
        <f t="shared" ca="1" si="95"/>
        <v>2.8042266694192981E-3</v>
      </c>
      <c r="BY118" s="1">
        <f t="shared" ca="1" si="96"/>
        <v>2.1772258205198344E-2</v>
      </c>
      <c r="BZ118" s="1">
        <f t="shared" ca="1" si="97"/>
        <v>0.30689980476383216</v>
      </c>
      <c r="CB118" s="1">
        <f t="shared" ca="1" si="98"/>
        <v>205</v>
      </c>
      <c r="CC118" s="1">
        <f t="shared" ca="1" si="99"/>
        <v>3</v>
      </c>
      <c r="CD118" s="1">
        <f t="shared" ca="1" si="100"/>
        <v>5.6075546190750773E-2</v>
      </c>
      <c r="CE118" s="1">
        <f t="shared" ca="1" si="107"/>
        <v>0.91791662859747636</v>
      </c>
      <c r="CF118" s="1">
        <f t="shared" ca="1" si="107"/>
        <v>0.64182651115189149</v>
      </c>
      <c r="CH118" s="7">
        <f t="shared" ca="1" si="102"/>
        <v>0.32636540627072264</v>
      </c>
      <c r="CI118" s="7">
        <f t="shared" ca="1" si="103"/>
        <v>0.47500819959334045</v>
      </c>
      <c r="CJ118" s="7">
        <f t="shared" ca="1" si="104"/>
        <v>1900</v>
      </c>
      <c r="CK118" s="7">
        <f t="shared" ca="1" si="105"/>
        <v>8.0420504885584457E-3</v>
      </c>
      <c r="CL118" s="7">
        <f t="shared" ca="1" si="106"/>
        <v>0</v>
      </c>
    </row>
    <row r="119" spans="2:90" x14ac:dyDescent="0.25">
      <c r="B119">
        <f t="shared" ca="1" si="54"/>
        <v>187</v>
      </c>
      <c r="C119">
        <f t="shared" ca="1" si="55"/>
        <v>45</v>
      </c>
      <c r="D119">
        <f t="shared" ca="1" si="56"/>
        <v>0.16423878048873711</v>
      </c>
      <c r="F119" s="1">
        <f t="shared" ca="1" si="57"/>
        <v>44</v>
      </c>
      <c r="G119" s="1">
        <f t="shared" ca="1" si="58"/>
        <v>5</v>
      </c>
      <c r="H119" s="1">
        <f t="shared" ca="1" si="59"/>
        <v>15</v>
      </c>
      <c r="I119" s="1"/>
      <c r="J119" s="1">
        <f t="shared" ca="1" si="60"/>
        <v>34</v>
      </c>
      <c r="K119" s="1">
        <f t="shared" ca="1" si="61"/>
        <v>2.1868474600822005</v>
      </c>
      <c r="L119" s="1">
        <f t="shared" ca="1" si="62"/>
        <v>16</v>
      </c>
      <c r="M119" s="1"/>
      <c r="N119" s="1">
        <f t="shared" ca="1" si="63"/>
        <v>797</v>
      </c>
      <c r="O119" s="1">
        <f t="shared" ca="1" si="64"/>
        <v>51</v>
      </c>
      <c r="P119" s="1"/>
      <c r="Q119" s="1">
        <f t="shared" ca="1" si="65"/>
        <v>1.790025781117377</v>
      </c>
      <c r="R119" s="1">
        <f t="shared" ca="1" si="66"/>
        <v>423</v>
      </c>
      <c r="S119" s="1"/>
      <c r="T119" s="1">
        <f t="shared" ca="1" si="67"/>
        <v>7.7558067626820756E-2</v>
      </c>
      <c r="U119" s="1">
        <f t="shared" ca="1" si="68"/>
        <v>353</v>
      </c>
      <c r="V119" s="1">
        <f t="shared" ca="1" si="69"/>
        <v>26</v>
      </c>
      <c r="W119" s="1"/>
      <c r="X119" s="1">
        <f t="shared" ca="1" si="70"/>
        <v>6.620761786207062</v>
      </c>
      <c r="Y119" s="1">
        <f t="shared" ca="1" si="71"/>
        <v>0.33650567164479311</v>
      </c>
      <c r="Z119" s="1">
        <f t="shared" ca="1" si="72"/>
        <v>923</v>
      </c>
      <c r="AB119" s="1">
        <f t="shared" ca="1" si="73"/>
        <v>0.55379028707703437</v>
      </c>
      <c r="AC119" s="1">
        <f t="shared" ca="1" si="74"/>
        <v>389</v>
      </c>
      <c r="AD119" s="1">
        <f t="shared" ca="1" si="75"/>
        <v>3.589289966094786E-3</v>
      </c>
      <c r="AE119" s="1"/>
      <c r="AF119" s="1">
        <f t="shared" ca="1" si="76"/>
        <v>0.79714918870491036</v>
      </c>
      <c r="AG119" s="1">
        <f t="shared" ca="1" si="77"/>
        <v>649</v>
      </c>
      <c r="AH119" s="1">
        <f t="shared" ca="1" si="78"/>
        <v>3.1289263365118086E-3</v>
      </c>
      <c r="AJ119" s="1">
        <f t="shared" ca="1" si="79"/>
        <v>0.41568739719098613</v>
      </c>
      <c r="AK119" s="1">
        <f t="shared" ca="1" si="80"/>
        <v>9.1475062093373805E-3</v>
      </c>
      <c r="AL119" s="1"/>
      <c r="AM119" s="1">
        <f t="shared" ca="1" si="81"/>
        <v>0.19179800810738468</v>
      </c>
      <c r="AN119" s="1">
        <f t="shared" ca="1" si="82"/>
        <v>44</v>
      </c>
      <c r="AO119" s="1">
        <f t="shared" ca="1" si="83"/>
        <v>1</v>
      </c>
      <c r="AQ119" s="1">
        <f t="shared" ca="1" si="84"/>
        <v>40</v>
      </c>
      <c r="AR119" s="1">
        <f t="shared" ca="1" si="85"/>
        <v>1</v>
      </c>
      <c r="AS119" s="1">
        <f t="shared" ca="1" si="86"/>
        <v>63</v>
      </c>
      <c r="AU119" s="1">
        <f t="shared" ca="1" si="87"/>
        <v>248</v>
      </c>
      <c r="AV119" s="1">
        <f t="shared" ca="1" si="88"/>
        <v>5</v>
      </c>
      <c r="AW119" s="1">
        <f t="shared" ca="1" si="89"/>
        <v>0.15748112757112229</v>
      </c>
      <c r="AY119" s="1">
        <f t="shared" ca="1" si="90"/>
        <v>1.1744211446774295</v>
      </c>
      <c r="AZ119" s="1">
        <f t="shared" ca="1" si="91"/>
        <v>365</v>
      </c>
      <c r="BA119" s="1">
        <f t="shared" ca="1" si="92"/>
        <v>8.8283463027136258E-3</v>
      </c>
      <c r="BV119" s="1">
        <f t="shared" ca="1" si="93"/>
        <v>0.92910448814336888</v>
      </c>
      <c r="BW119" s="1">
        <f t="shared" ca="1" si="94"/>
        <v>783</v>
      </c>
      <c r="BX119" s="1">
        <f t="shared" ca="1" si="95"/>
        <v>9.5868314248271618E-3</v>
      </c>
      <c r="BY119" s="1">
        <f t="shared" ca="1" si="96"/>
        <v>8.1451516879290697E-2</v>
      </c>
      <c r="BZ119" s="1">
        <f t="shared" ca="1" si="97"/>
        <v>0.79247772875028633</v>
      </c>
      <c r="CB119" s="1">
        <f t="shared" ca="1" si="98"/>
        <v>59</v>
      </c>
      <c r="CC119" s="1">
        <f t="shared" ca="1" si="99"/>
        <v>7</v>
      </c>
      <c r="CD119" s="1">
        <f t="shared" ca="1" si="100"/>
        <v>0.26771526829601522</v>
      </c>
      <c r="CE119" s="1">
        <f t="shared" ca="1" si="107"/>
        <v>0.66922405133120311</v>
      </c>
      <c r="CF119" s="1">
        <f t="shared" ca="1" si="107"/>
        <v>0.68231311291894559</v>
      </c>
      <c r="CH119" s="7">
        <f t="shared" ca="1" si="102"/>
        <v>0.15051651470341809</v>
      </c>
      <c r="CI119" s="7">
        <f t="shared" ca="1" si="103"/>
        <v>0.76699712213131765</v>
      </c>
      <c r="CJ119" s="7">
        <f t="shared" ca="1" si="104"/>
        <v>652</v>
      </c>
      <c r="CK119" s="7">
        <f t="shared" ca="1" si="105"/>
        <v>1.736302098137346E-3</v>
      </c>
      <c r="CL119" s="7">
        <f t="shared" ca="1" si="106"/>
        <v>1</v>
      </c>
    </row>
    <row r="120" spans="2:90" x14ac:dyDescent="0.25">
      <c r="B120">
        <f t="shared" ca="1" si="54"/>
        <v>975</v>
      </c>
      <c r="C120">
        <f t="shared" ca="1" si="55"/>
        <v>39</v>
      </c>
      <c r="D120">
        <f t="shared" ca="1" si="56"/>
        <v>0.12682757261113639</v>
      </c>
      <c r="F120" s="1">
        <f t="shared" ca="1" si="57"/>
        <v>5</v>
      </c>
      <c r="G120" s="1">
        <f t="shared" ca="1" si="58"/>
        <v>6</v>
      </c>
      <c r="H120" s="1">
        <f t="shared" ca="1" si="59"/>
        <v>10</v>
      </c>
      <c r="I120" s="1"/>
      <c r="J120" s="1">
        <f t="shared" ca="1" si="60"/>
        <v>31</v>
      </c>
      <c r="K120" s="1">
        <f t="shared" ca="1" si="61"/>
        <v>1.9347191351077113</v>
      </c>
      <c r="L120" s="1">
        <f t="shared" ca="1" si="62"/>
        <v>29</v>
      </c>
      <c r="M120" s="1"/>
      <c r="N120" s="1">
        <f t="shared" ca="1" si="63"/>
        <v>335</v>
      </c>
      <c r="O120" s="1">
        <f t="shared" ca="1" si="64"/>
        <v>31</v>
      </c>
      <c r="P120" s="1"/>
      <c r="Q120" s="1">
        <f t="shared" ca="1" si="65"/>
        <v>3.2935344591223923</v>
      </c>
      <c r="R120" s="1">
        <f t="shared" ca="1" si="66"/>
        <v>287</v>
      </c>
      <c r="S120" s="1"/>
      <c r="T120" s="1">
        <f t="shared" ca="1" si="67"/>
        <v>0.17950578494641625</v>
      </c>
      <c r="U120" s="1">
        <f t="shared" ca="1" si="68"/>
        <v>151</v>
      </c>
      <c r="V120" s="1">
        <f t="shared" ca="1" si="69"/>
        <v>18</v>
      </c>
      <c r="W120" s="1"/>
      <c r="X120" s="1">
        <f t="shared" ca="1" si="70"/>
        <v>8.0031131266054025</v>
      </c>
      <c r="Y120" s="1">
        <f t="shared" ca="1" si="71"/>
        <v>0.98821788542106936</v>
      </c>
      <c r="Z120" s="1">
        <f t="shared" ca="1" si="72"/>
        <v>1099</v>
      </c>
      <c r="AB120" s="1">
        <f t="shared" ca="1" si="73"/>
        <v>0.67726365045796222</v>
      </c>
      <c r="AC120" s="1">
        <f t="shared" ca="1" si="74"/>
        <v>130</v>
      </c>
      <c r="AD120" s="1">
        <f t="shared" ca="1" si="75"/>
        <v>8.2981517135738696E-4</v>
      </c>
      <c r="AE120" s="1"/>
      <c r="AF120" s="1">
        <f t="shared" ca="1" si="76"/>
        <v>0.63812790772851302</v>
      </c>
      <c r="AG120" s="1">
        <f t="shared" ca="1" si="77"/>
        <v>970</v>
      </c>
      <c r="AH120" s="1">
        <f t="shared" ca="1" si="78"/>
        <v>3.8147587136048286E-3</v>
      </c>
      <c r="AJ120" s="1">
        <f t="shared" ca="1" si="79"/>
        <v>0.45911288883097867</v>
      </c>
      <c r="AK120" s="1">
        <f t="shared" ca="1" si="80"/>
        <v>3.6559289824458908E-3</v>
      </c>
      <c r="AL120" s="1"/>
      <c r="AM120" s="1">
        <f t="shared" ca="1" si="81"/>
        <v>0.12387776723108572</v>
      </c>
      <c r="AN120" s="1">
        <f t="shared" ca="1" si="82"/>
        <v>50</v>
      </c>
      <c r="AO120" s="1">
        <f t="shared" ca="1" si="83"/>
        <v>16</v>
      </c>
      <c r="AQ120" s="1">
        <f t="shared" ca="1" si="84"/>
        <v>39</v>
      </c>
      <c r="AR120" s="1">
        <f t="shared" ca="1" si="85"/>
        <v>4</v>
      </c>
      <c r="AS120" s="1">
        <f t="shared" ca="1" si="86"/>
        <v>31</v>
      </c>
      <c r="AU120" s="1">
        <f t="shared" ca="1" si="87"/>
        <v>326</v>
      </c>
      <c r="AV120" s="1">
        <f t="shared" ca="1" si="88"/>
        <v>2</v>
      </c>
      <c r="AW120" s="1">
        <f t="shared" ca="1" si="89"/>
        <v>0.19348601425556347</v>
      </c>
      <c r="AY120" s="1">
        <f t="shared" ca="1" si="90"/>
        <v>1.2962158697276085</v>
      </c>
      <c r="AZ120" s="1">
        <f t="shared" ca="1" si="91"/>
        <v>320</v>
      </c>
      <c r="BA120" s="1">
        <f t="shared" ca="1" si="92"/>
        <v>5.5807512894140363E-3</v>
      </c>
      <c r="BV120" s="1">
        <f t="shared" ca="1" si="93"/>
        <v>0.79078895209792965</v>
      </c>
      <c r="BW120" s="1">
        <f t="shared" ca="1" si="94"/>
        <v>837</v>
      </c>
      <c r="BX120" s="1">
        <f t="shared" ca="1" si="95"/>
        <v>2.2026427072050305E-3</v>
      </c>
      <c r="BY120" s="1">
        <f t="shared" ca="1" si="96"/>
        <v>1.2152732732965122E-3</v>
      </c>
      <c r="BZ120" s="1">
        <f t="shared" ca="1" si="97"/>
        <v>0.56564126357158828</v>
      </c>
      <c r="CB120" s="1">
        <f t="shared" ca="1" si="98"/>
        <v>263</v>
      </c>
      <c r="CC120" s="1">
        <f t="shared" ca="1" si="99"/>
        <v>14</v>
      </c>
      <c r="CD120" s="1">
        <f t="shared" ca="1" si="100"/>
        <v>0.14062642705048808</v>
      </c>
      <c r="CE120" s="1">
        <f t="shared" ca="1" si="107"/>
        <v>0.52741761910460283</v>
      </c>
      <c r="CF120" s="1">
        <f t="shared" ca="1" si="107"/>
        <v>0.57722360340187384</v>
      </c>
      <c r="CH120" s="7">
        <f t="shared" ca="1" si="102"/>
        <v>0.41105899723684242</v>
      </c>
      <c r="CI120" s="7">
        <f t="shared" ca="1" si="103"/>
        <v>0.75318238520345249</v>
      </c>
      <c r="CJ120" s="7">
        <f t="shared" ca="1" si="104"/>
        <v>670</v>
      </c>
      <c r="CK120" s="7">
        <f t="shared" ca="1" si="105"/>
        <v>8.7642847480052018E-3</v>
      </c>
      <c r="CL120" s="7">
        <f t="shared" ca="1" si="106"/>
        <v>0</v>
      </c>
    </row>
    <row r="121" spans="2:90" x14ac:dyDescent="0.25">
      <c r="B121">
        <f t="shared" ca="1" si="54"/>
        <v>712</v>
      </c>
      <c r="C121">
        <f t="shared" ca="1" si="55"/>
        <v>33</v>
      </c>
      <c r="D121">
        <f t="shared" ca="1" si="56"/>
        <v>9.8038743597694475E-2</v>
      </c>
      <c r="F121" s="1">
        <f t="shared" ca="1" si="57"/>
        <v>12</v>
      </c>
      <c r="G121" s="1">
        <f t="shared" ca="1" si="58"/>
        <v>2</v>
      </c>
      <c r="H121" s="1">
        <f t="shared" ca="1" si="59"/>
        <v>9</v>
      </c>
      <c r="I121" s="1"/>
      <c r="J121" s="1">
        <f t="shared" ca="1" si="60"/>
        <v>10</v>
      </c>
      <c r="K121" s="1">
        <f t="shared" ca="1" si="61"/>
        <v>1.4105635431271826</v>
      </c>
      <c r="L121" s="1">
        <f t="shared" ca="1" si="62"/>
        <v>10</v>
      </c>
      <c r="M121" s="1"/>
      <c r="N121" s="1">
        <f t="shared" ca="1" si="63"/>
        <v>502</v>
      </c>
      <c r="O121" s="1">
        <f t="shared" ca="1" si="64"/>
        <v>4</v>
      </c>
      <c r="P121" s="1"/>
      <c r="Q121" s="1">
        <f t="shared" ca="1" si="65"/>
        <v>4.5177047041013507</v>
      </c>
      <c r="R121" s="1">
        <f t="shared" ca="1" si="66"/>
        <v>453</v>
      </c>
      <c r="S121" s="1"/>
      <c r="T121" s="1">
        <f t="shared" ca="1" si="67"/>
        <v>0.10195828600187684</v>
      </c>
      <c r="U121" s="1">
        <f t="shared" ca="1" si="68"/>
        <v>64</v>
      </c>
      <c r="V121" s="1">
        <f t="shared" ca="1" si="69"/>
        <v>42</v>
      </c>
      <c r="W121" s="1"/>
      <c r="X121" s="1">
        <f t="shared" ca="1" si="70"/>
        <v>3.941790827702047</v>
      </c>
      <c r="Y121" s="1">
        <f t="shared" ca="1" si="71"/>
        <v>0.53539378023943529</v>
      </c>
      <c r="Z121" s="1">
        <f t="shared" ca="1" si="72"/>
        <v>1162</v>
      </c>
      <c r="AB121" s="1">
        <f t="shared" ca="1" si="73"/>
        <v>0.67058028899850863</v>
      </c>
      <c r="AC121" s="1">
        <f t="shared" ca="1" si="74"/>
        <v>745</v>
      </c>
      <c r="AD121" s="1">
        <f t="shared" ca="1" si="75"/>
        <v>2.7554862052630823E-3</v>
      </c>
      <c r="AE121" s="1"/>
      <c r="AF121" s="1">
        <f t="shared" ca="1" si="76"/>
        <v>0.32305231544356544</v>
      </c>
      <c r="AG121" s="1">
        <f t="shared" ca="1" si="77"/>
        <v>163</v>
      </c>
      <c r="AH121" s="1">
        <f t="shared" ca="1" si="78"/>
        <v>6.2916755254144021E-3</v>
      </c>
      <c r="AJ121" s="1">
        <f t="shared" ca="1" si="79"/>
        <v>0.8512565240023191</v>
      </c>
      <c r="AK121" s="1">
        <f t="shared" ca="1" si="80"/>
        <v>7.1707264165518439E-3</v>
      </c>
      <c r="AL121" s="1"/>
      <c r="AM121" s="1">
        <f t="shared" ca="1" si="81"/>
        <v>1.8400792228635738E-2</v>
      </c>
      <c r="AN121" s="1">
        <f t="shared" ca="1" si="82"/>
        <v>52</v>
      </c>
      <c r="AO121" s="1">
        <f t="shared" ca="1" si="83"/>
        <v>0</v>
      </c>
      <c r="AQ121" s="1">
        <f t="shared" ca="1" si="84"/>
        <v>196</v>
      </c>
      <c r="AR121" s="1">
        <f t="shared" ca="1" si="85"/>
        <v>3</v>
      </c>
      <c r="AS121" s="1">
        <f t="shared" ca="1" si="86"/>
        <v>63</v>
      </c>
      <c r="AU121" s="1">
        <f t="shared" ca="1" si="87"/>
        <v>70</v>
      </c>
      <c r="AV121" s="1">
        <f t="shared" ca="1" si="88"/>
        <v>6</v>
      </c>
      <c r="AW121" s="1">
        <f t="shared" ca="1" si="89"/>
        <v>0.11551882361308327</v>
      </c>
      <c r="AY121" s="1">
        <f t="shared" ca="1" si="90"/>
        <v>1.6044181135174636</v>
      </c>
      <c r="AZ121" s="1">
        <f t="shared" ca="1" si="91"/>
        <v>235</v>
      </c>
      <c r="BA121" s="1">
        <f t="shared" ca="1" si="92"/>
        <v>1.6618355646697469E-3</v>
      </c>
      <c r="BV121" s="1">
        <f t="shared" ca="1" si="93"/>
        <v>0.5583875215875681</v>
      </c>
      <c r="BW121" s="1">
        <f t="shared" ca="1" si="94"/>
        <v>904</v>
      </c>
      <c r="BX121" s="1">
        <f t="shared" ca="1" si="95"/>
        <v>8.0174599577589097E-3</v>
      </c>
      <c r="BY121" s="1">
        <f t="shared" ca="1" si="96"/>
        <v>8.2515619730059428E-2</v>
      </c>
      <c r="BZ121" s="1">
        <f t="shared" ca="1" si="97"/>
        <v>0.92739119936987213</v>
      </c>
      <c r="CB121" s="1">
        <f t="shared" ca="1" si="98"/>
        <v>64</v>
      </c>
      <c r="CC121" s="1">
        <f t="shared" ca="1" si="99"/>
        <v>3</v>
      </c>
      <c r="CD121" s="1">
        <f t="shared" ca="1" si="100"/>
        <v>6.1379848076336431E-2</v>
      </c>
      <c r="CE121" s="1">
        <f t="shared" ca="1" si="107"/>
        <v>0.74479197432854738</v>
      </c>
      <c r="CF121" s="1">
        <f t="shared" ca="1" si="107"/>
        <v>0.73684453606303513</v>
      </c>
      <c r="CH121" s="7">
        <f t="shared" ca="1" si="102"/>
        <v>0.57053921832327747</v>
      </c>
      <c r="CI121" s="7">
        <f t="shared" ca="1" si="103"/>
        <v>0.41726575291254875</v>
      </c>
      <c r="CJ121" s="7">
        <f t="shared" ca="1" si="104"/>
        <v>1668</v>
      </c>
      <c r="CK121" s="7">
        <f t="shared" ca="1" si="105"/>
        <v>2.6714582347478776E-3</v>
      </c>
      <c r="CL121" s="7">
        <f t="shared" ca="1" si="106"/>
        <v>0</v>
      </c>
    </row>
    <row r="122" spans="2:90" x14ac:dyDescent="0.25">
      <c r="B122">
        <f t="shared" ca="1" si="54"/>
        <v>233</v>
      </c>
      <c r="C122">
        <f t="shared" ca="1" si="55"/>
        <v>43</v>
      </c>
      <c r="D122">
        <f t="shared" ca="1" si="56"/>
        <v>9.9037105771303632E-2</v>
      </c>
      <c r="F122" s="1">
        <f t="shared" ca="1" si="57"/>
        <v>28</v>
      </c>
      <c r="G122" s="1">
        <f t="shared" ca="1" si="58"/>
        <v>20</v>
      </c>
      <c r="H122" s="1">
        <f t="shared" ca="1" si="59"/>
        <v>9</v>
      </c>
      <c r="I122" s="1"/>
      <c r="J122" s="1">
        <f t="shared" ca="1" si="60"/>
        <v>12</v>
      </c>
      <c r="K122" s="1">
        <f t="shared" ca="1" si="61"/>
        <v>2.2087206332386717</v>
      </c>
      <c r="L122" s="1">
        <f t="shared" ca="1" si="62"/>
        <v>23</v>
      </c>
      <c r="M122" s="1"/>
      <c r="N122" s="1">
        <f t="shared" ca="1" si="63"/>
        <v>823</v>
      </c>
      <c r="O122" s="1">
        <f t="shared" ca="1" si="64"/>
        <v>35</v>
      </c>
      <c r="P122" s="1"/>
      <c r="Q122" s="1">
        <f t="shared" ca="1" si="65"/>
        <v>4.8865977867444785</v>
      </c>
      <c r="R122" s="1">
        <f t="shared" ca="1" si="66"/>
        <v>248</v>
      </c>
      <c r="S122" s="1"/>
      <c r="T122" s="1">
        <f t="shared" ca="1" si="67"/>
        <v>0.1905016306445261</v>
      </c>
      <c r="U122" s="1">
        <f t="shared" ca="1" si="68"/>
        <v>204</v>
      </c>
      <c r="V122" s="1">
        <f t="shared" ca="1" si="69"/>
        <v>7</v>
      </c>
      <c r="W122" s="1"/>
      <c r="X122" s="1">
        <f t="shared" ca="1" si="70"/>
        <v>8.2364321490560055</v>
      </c>
      <c r="Y122" s="1">
        <f t="shared" ca="1" si="71"/>
        <v>0.91547907094165271</v>
      </c>
      <c r="Z122" s="1">
        <f t="shared" ca="1" si="72"/>
        <v>1783</v>
      </c>
      <c r="AB122" s="1">
        <f t="shared" ca="1" si="73"/>
        <v>3.5075697959584949E-2</v>
      </c>
      <c r="AC122" s="1">
        <f t="shared" ca="1" si="74"/>
        <v>918</v>
      </c>
      <c r="AD122" s="1">
        <f t="shared" ca="1" si="75"/>
        <v>7.6764189840771539E-3</v>
      </c>
      <c r="AE122" s="1"/>
      <c r="AF122" s="1">
        <f t="shared" ca="1" si="76"/>
        <v>0.73084494837591285</v>
      </c>
      <c r="AG122" s="1">
        <f t="shared" ca="1" si="77"/>
        <v>311</v>
      </c>
      <c r="AH122" s="1">
        <f t="shared" ca="1" si="78"/>
        <v>1.6398859020617964E-3</v>
      </c>
      <c r="AJ122" s="1">
        <f t="shared" ca="1" si="79"/>
        <v>0.69410043833414348</v>
      </c>
      <c r="AK122" s="1">
        <f t="shared" ca="1" si="80"/>
        <v>8.8274207489485307E-3</v>
      </c>
      <c r="AL122" s="1"/>
      <c r="AM122" s="1">
        <f t="shared" ca="1" si="81"/>
        <v>0.18635615720215037</v>
      </c>
      <c r="AN122" s="1">
        <f t="shared" ca="1" si="82"/>
        <v>60</v>
      </c>
      <c r="AO122" s="1">
        <f t="shared" ca="1" si="83"/>
        <v>20</v>
      </c>
      <c r="AQ122" s="1">
        <f t="shared" ca="1" si="84"/>
        <v>125</v>
      </c>
      <c r="AR122" s="1">
        <f t="shared" ca="1" si="85"/>
        <v>5</v>
      </c>
      <c r="AS122" s="1">
        <f t="shared" ca="1" si="86"/>
        <v>29</v>
      </c>
      <c r="AU122" s="1">
        <f t="shared" ca="1" si="87"/>
        <v>65</v>
      </c>
      <c r="AV122" s="1">
        <f t="shared" ca="1" si="88"/>
        <v>3</v>
      </c>
      <c r="AW122" s="1">
        <f t="shared" ca="1" si="89"/>
        <v>1.6165784764998525E-2</v>
      </c>
      <c r="AY122" s="1">
        <f t="shared" ca="1" si="90"/>
        <v>1.8188727421684967</v>
      </c>
      <c r="AZ122" s="1">
        <f t="shared" ca="1" si="91"/>
        <v>147</v>
      </c>
      <c r="BA122" s="1">
        <f t="shared" ca="1" si="92"/>
        <v>2.7946083209844843E-3</v>
      </c>
      <c r="BV122" s="1">
        <f t="shared" ca="1" si="93"/>
        <v>0.93773627079383348</v>
      </c>
      <c r="BW122" s="1">
        <f t="shared" ca="1" si="94"/>
        <v>968</v>
      </c>
      <c r="BX122" s="1">
        <f t="shared" ca="1" si="95"/>
        <v>1.6009356219060101E-3</v>
      </c>
      <c r="BY122" s="1">
        <f t="shared" ca="1" si="96"/>
        <v>8.8453357963538662E-2</v>
      </c>
      <c r="BZ122" s="1">
        <f t="shared" ca="1" si="97"/>
        <v>0.77979639103064757</v>
      </c>
      <c r="CB122" s="1">
        <f t="shared" ca="1" si="98"/>
        <v>222</v>
      </c>
      <c r="CC122" s="1">
        <f t="shared" ca="1" si="99"/>
        <v>11</v>
      </c>
      <c r="CD122" s="1">
        <f t="shared" ca="1" si="100"/>
        <v>0.13131289296826892</v>
      </c>
      <c r="CE122" s="1">
        <f t="shared" ca="1" si="107"/>
        <v>0.52415584512782165</v>
      </c>
      <c r="CF122" s="1">
        <f t="shared" ca="1" si="107"/>
        <v>0.89037821497908287</v>
      </c>
      <c r="CH122" s="7">
        <f t="shared" ca="1" si="102"/>
        <v>0.66573273817294787</v>
      </c>
      <c r="CI122" s="7">
        <f t="shared" ca="1" si="103"/>
        <v>0.87837029150375412</v>
      </c>
      <c r="CJ122" s="7">
        <f t="shared" ca="1" si="104"/>
        <v>1586</v>
      </c>
      <c r="CK122" s="7">
        <f t="shared" ca="1" si="105"/>
        <v>3.4403660911262257E-3</v>
      </c>
      <c r="CL122" s="7">
        <f t="shared" ca="1" si="106"/>
        <v>1</v>
      </c>
    </row>
    <row r="123" spans="2:90" x14ac:dyDescent="0.25">
      <c r="B123">
        <f t="shared" ca="1" si="54"/>
        <v>392</v>
      </c>
      <c r="C123">
        <f t="shared" ca="1" si="55"/>
        <v>18</v>
      </c>
      <c r="D123">
        <f t="shared" ca="1" si="56"/>
        <v>6.7838989194448765E-2</v>
      </c>
      <c r="F123" s="1">
        <f t="shared" ca="1" si="57"/>
        <v>42</v>
      </c>
      <c r="G123" s="1">
        <f t="shared" ca="1" si="58"/>
        <v>19</v>
      </c>
      <c r="H123" s="1">
        <f t="shared" ca="1" si="59"/>
        <v>12</v>
      </c>
      <c r="I123" s="1"/>
      <c r="J123" s="1">
        <f t="shared" ca="1" si="60"/>
        <v>10</v>
      </c>
      <c r="K123" s="1">
        <f t="shared" ca="1" si="61"/>
        <v>2.312738221156363</v>
      </c>
      <c r="L123" s="1">
        <f t="shared" ca="1" si="62"/>
        <v>6</v>
      </c>
      <c r="M123" s="1"/>
      <c r="N123" s="1">
        <f t="shared" ca="1" si="63"/>
        <v>280</v>
      </c>
      <c r="O123" s="1">
        <f t="shared" ca="1" si="64"/>
        <v>14</v>
      </c>
      <c r="P123" s="1"/>
      <c r="Q123" s="1">
        <f t="shared" ca="1" si="65"/>
        <v>2.7445501797310854</v>
      </c>
      <c r="R123" s="1">
        <f t="shared" ca="1" si="66"/>
        <v>717</v>
      </c>
      <c r="S123" s="1"/>
      <c r="T123" s="1">
        <f t="shared" ca="1" si="67"/>
        <v>0.15454997388591235</v>
      </c>
      <c r="U123" s="1">
        <f t="shared" ca="1" si="68"/>
        <v>135</v>
      </c>
      <c r="V123" s="1">
        <f t="shared" ca="1" si="69"/>
        <v>7</v>
      </c>
      <c r="W123" s="1"/>
      <c r="X123" s="1">
        <f t="shared" ca="1" si="70"/>
        <v>4.5954856804236792</v>
      </c>
      <c r="Y123" s="1">
        <f t="shared" ca="1" si="71"/>
        <v>0.57092137966256962</v>
      </c>
      <c r="Z123" s="1">
        <f t="shared" ca="1" si="72"/>
        <v>885</v>
      </c>
      <c r="AB123" s="1">
        <f t="shared" ca="1" si="73"/>
        <v>0.80789075197807225</v>
      </c>
      <c r="AC123" s="1">
        <f t="shared" ca="1" si="74"/>
        <v>484</v>
      </c>
      <c r="AD123" s="1">
        <f t="shared" ca="1" si="75"/>
        <v>5.3667578613895463E-3</v>
      </c>
      <c r="AE123" s="1"/>
      <c r="AF123" s="1">
        <f t="shared" ca="1" si="76"/>
        <v>0.37596036535592992</v>
      </c>
      <c r="AG123" s="1">
        <f t="shared" ca="1" si="77"/>
        <v>475</v>
      </c>
      <c r="AH123" s="1">
        <f t="shared" ca="1" si="78"/>
        <v>6.7863108646414191E-4</v>
      </c>
      <c r="AJ123" s="1">
        <f t="shared" ca="1" si="79"/>
        <v>2.397579363841118E-2</v>
      </c>
      <c r="AK123" s="1">
        <f t="shared" ca="1" si="80"/>
        <v>7.0762293743345285E-3</v>
      </c>
      <c r="AL123" s="1"/>
      <c r="AM123" s="1">
        <f t="shared" ca="1" si="81"/>
        <v>0.17352717995258896</v>
      </c>
      <c r="AN123" s="1">
        <f t="shared" ca="1" si="82"/>
        <v>15</v>
      </c>
      <c r="AO123" s="1">
        <f t="shared" ca="1" si="83"/>
        <v>4</v>
      </c>
      <c r="AQ123" s="1">
        <f t="shared" ca="1" si="84"/>
        <v>64</v>
      </c>
      <c r="AR123" s="1">
        <f t="shared" ca="1" si="85"/>
        <v>10</v>
      </c>
      <c r="AS123" s="1">
        <f t="shared" ca="1" si="86"/>
        <v>17</v>
      </c>
      <c r="AU123" s="1">
        <f t="shared" ca="1" si="87"/>
        <v>281</v>
      </c>
      <c r="AV123" s="1">
        <f t="shared" ca="1" si="88"/>
        <v>7</v>
      </c>
      <c r="AW123" s="1">
        <f t="shared" ca="1" si="89"/>
        <v>8.8388660033530048E-2</v>
      </c>
      <c r="AY123" s="1">
        <f t="shared" ca="1" si="90"/>
        <v>1.1241095449646654</v>
      </c>
      <c r="AZ123" s="1">
        <f t="shared" ca="1" si="91"/>
        <v>402</v>
      </c>
      <c r="BA123" s="1">
        <f t="shared" ca="1" si="92"/>
        <v>5.0443825053928123E-4</v>
      </c>
      <c r="BV123" s="1">
        <f t="shared" ca="1" si="93"/>
        <v>0.45427218572920419</v>
      </c>
      <c r="BW123" s="1">
        <f t="shared" ca="1" si="94"/>
        <v>379</v>
      </c>
      <c r="BX123" s="1">
        <f t="shared" ca="1" si="95"/>
        <v>4.1648982076046871E-3</v>
      </c>
      <c r="BY123" s="1">
        <f t="shared" ca="1" si="96"/>
        <v>1.0186866920007813E-3</v>
      </c>
      <c r="BZ123" s="1">
        <f t="shared" ca="1" si="97"/>
        <v>0.4273901331575729</v>
      </c>
      <c r="CB123" s="1">
        <f t="shared" ca="1" si="98"/>
        <v>300</v>
      </c>
      <c r="CC123" s="1">
        <f t="shared" ca="1" si="99"/>
        <v>9</v>
      </c>
      <c r="CD123" s="1">
        <f t="shared" ca="1" si="100"/>
        <v>1.2040988410897138E-2</v>
      </c>
      <c r="CE123" s="1">
        <f t="shared" ca="1" si="107"/>
        <v>0.52327469161879681</v>
      </c>
      <c r="CF123" s="1">
        <f t="shared" ca="1" si="107"/>
        <v>0.91054195667919435</v>
      </c>
      <c r="CH123" s="7">
        <f t="shared" ca="1" si="102"/>
        <v>8.9467061549874799E-2</v>
      </c>
      <c r="CI123" s="7">
        <f t="shared" ca="1" si="103"/>
        <v>0.16156034758227042</v>
      </c>
      <c r="CJ123" s="7">
        <f t="shared" ca="1" si="104"/>
        <v>176</v>
      </c>
      <c r="CK123" s="7">
        <f t="shared" ca="1" si="105"/>
        <v>6.0161527264491485E-3</v>
      </c>
      <c r="CL123" s="7">
        <f t="shared" ca="1" si="106"/>
        <v>0</v>
      </c>
    </row>
    <row r="124" spans="2:90" x14ac:dyDescent="0.25">
      <c r="B124">
        <f t="shared" ca="1" si="54"/>
        <v>351</v>
      </c>
      <c r="C124">
        <f t="shared" ca="1" si="55"/>
        <v>46</v>
      </c>
      <c r="D124">
        <f t="shared" ca="1" si="56"/>
        <v>0.21145844301129421</v>
      </c>
      <c r="F124" s="1">
        <f t="shared" ca="1" si="57"/>
        <v>44</v>
      </c>
      <c r="G124" s="1">
        <f t="shared" ca="1" si="58"/>
        <v>22</v>
      </c>
      <c r="H124" s="1">
        <f t="shared" ca="1" si="59"/>
        <v>13</v>
      </c>
      <c r="I124" s="1"/>
      <c r="J124" s="1">
        <f t="shared" ca="1" si="60"/>
        <v>14</v>
      </c>
      <c r="K124" s="1">
        <f t="shared" ca="1" si="61"/>
        <v>2.7626828490321973</v>
      </c>
      <c r="L124" s="1">
        <f t="shared" ca="1" si="62"/>
        <v>35</v>
      </c>
      <c r="M124" s="1"/>
      <c r="N124" s="1">
        <f t="shared" ca="1" si="63"/>
        <v>911</v>
      </c>
      <c r="O124" s="1">
        <f t="shared" ca="1" si="64"/>
        <v>2</v>
      </c>
      <c r="P124" s="1"/>
      <c r="Q124" s="1">
        <f t="shared" ca="1" si="65"/>
        <v>3.7403338435185711</v>
      </c>
      <c r="R124" s="1">
        <f t="shared" ca="1" si="66"/>
        <v>524</v>
      </c>
      <c r="S124" s="1"/>
      <c r="T124" s="1">
        <f t="shared" ca="1" si="67"/>
        <v>6.3556701334411395E-2</v>
      </c>
      <c r="U124" s="1">
        <f t="shared" ca="1" si="68"/>
        <v>372</v>
      </c>
      <c r="V124" s="1">
        <f t="shared" ca="1" si="69"/>
        <v>23</v>
      </c>
      <c r="W124" s="1"/>
      <c r="X124" s="1">
        <f t="shared" ca="1" si="70"/>
        <v>5.9632302479551589</v>
      </c>
      <c r="Y124" s="1">
        <f t="shared" ca="1" si="71"/>
        <v>0.76798145024476527</v>
      </c>
      <c r="Z124" s="1">
        <f t="shared" ca="1" si="72"/>
        <v>243</v>
      </c>
      <c r="AB124" s="1">
        <f t="shared" ca="1" si="73"/>
        <v>0.94465315624613388</v>
      </c>
      <c r="AC124" s="1">
        <f t="shared" ca="1" si="74"/>
        <v>260</v>
      </c>
      <c r="AD124" s="1">
        <f t="shared" ca="1" si="75"/>
        <v>2.4590061569255968E-3</v>
      </c>
      <c r="AE124" s="1"/>
      <c r="AF124" s="1">
        <f t="shared" ca="1" si="76"/>
        <v>0.87635789953393972</v>
      </c>
      <c r="AG124" s="1">
        <f t="shared" ca="1" si="77"/>
        <v>244</v>
      </c>
      <c r="AH124" s="1">
        <f t="shared" ca="1" si="78"/>
        <v>7.2107441233158287E-3</v>
      </c>
      <c r="AJ124" s="1">
        <f t="shared" ca="1" si="79"/>
        <v>0.38382094544300349</v>
      </c>
      <c r="AK124" s="1">
        <f t="shared" ca="1" si="80"/>
        <v>5.7994513946773608E-3</v>
      </c>
      <c r="AL124" s="1"/>
      <c r="AM124" s="1">
        <f t="shared" ca="1" si="81"/>
        <v>1.6440888679816506E-2</v>
      </c>
      <c r="AN124" s="1">
        <f t="shared" ca="1" si="82"/>
        <v>28</v>
      </c>
      <c r="AO124" s="1">
        <f t="shared" ca="1" si="83"/>
        <v>17</v>
      </c>
      <c r="AQ124" s="1">
        <f t="shared" ca="1" si="84"/>
        <v>66</v>
      </c>
      <c r="AR124" s="1">
        <f t="shared" ca="1" si="85"/>
        <v>6</v>
      </c>
      <c r="AS124" s="1">
        <f t="shared" ca="1" si="86"/>
        <v>79</v>
      </c>
      <c r="AU124" s="1">
        <f t="shared" ca="1" si="87"/>
        <v>247</v>
      </c>
      <c r="AV124" s="1">
        <f t="shared" ca="1" si="88"/>
        <v>10</v>
      </c>
      <c r="AW124" s="1">
        <f t="shared" ca="1" si="89"/>
        <v>6.6934279422599635E-2</v>
      </c>
      <c r="AY124" s="1">
        <f t="shared" ca="1" si="90"/>
        <v>1.1942035669416207</v>
      </c>
      <c r="AZ124" s="1">
        <f t="shared" ca="1" si="91"/>
        <v>420</v>
      </c>
      <c r="BA124" s="1">
        <f t="shared" ca="1" si="92"/>
        <v>5.103779085514035E-4</v>
      </c>
      <c r="BV124" s="1">
        <f t="shared" ca="1" si="93"/>
        <v>0.5012871067088317</v>
      </c>
      <c r="BW124" s="1">
        <f t="shared" ca="1" si="94"/>
        <v>347</v>
      </c>
      <c r="BX124" s="1">
        <f t="shared" ca="1" si="95"/>
        <v>6.7454672058654174E-3</v>
      </c>
      <c r="BY124" s="1">
        <f t="shared" ca="1" si="96"/>
        <v>6.1049163276881521E-2</v>
      </c>
      <c r="BZ124" s="1">
        <f t="shared" ca="1" si="97"/>
        <v>0.43696457686408441</v>
      </c>
      <c r="CB124" s="1">
        <f t="shared" ca="1" si="98"/>
        <v>204</v>
      </c>
      <c r="CC124" s="1">
        <f t="shared" ca="1" si="99"/>
        <v>10</v>
      </c>
      <c r="CD124" s="1">
        <f t="shared" ca="1" si="100"/>
        <v>0.1422490989354277</v>
      </c>
      <c r="CE124" s="1">
        <f t="shared" ca="1" si="107"/>
        <v>0.57798062846121556</v>
      </c>
      <c r="CF124" s="1">
        <f t="shared" ca="1" si="107"/>
        <v>0.71456858857775063</v>
      </c>
      <c r="CH124" s="7">
        <f t="shared" ca="1" si="102"/>
        <v>0.36561199909527692</v>
      </c>
      <c r="CI124" s="7">
        <f t="shared" ca="1" si="103"/>
        <v>0.76336390717418734</v>
      </c>
      <c r="CJ124" s="7">
        <f t="shared" ca="1" si="104"/>
        <v>1454</v>
      </c>
      <c r="CK124" s="7">
        <f t="shared" ca="1" si="105"/>
        <v>8.500288144901438E-3</v>
      </c>
      <c r="CL124" s="7">
        <f t="shared" ca="1" si="106"/>
        <v>1</v>
      </c>
    </row>
    <row r="125" spans="2:90" x14ac:dyDescent="0.25">
      <c r="B125">
        <f t="shared" ca="1" si="54"/>
        <v>748</v>
      </c>
      <c r="C125">
        <f t="shared" ca="1" si="55"/>
        <v>52</v>
      </c>
      <c r="D125">
        <f t="shared" ca="1" si="56"/>
        <v>9.7573096718184441E-2</v>
      </c>
      <c r="F125" s="1">
        <f t="shared" ca="1" si="57"/>
        <v>47</v>
      </c>
      <c r="G125" s="1">
        <f t="shared" ca="1" si="58"/>
        <v>25</v>
      </c>
      <c r="H125" s="1">
        <f t="shared" ca="1" si="59"/>
        <v>6</v>
      </c>
      <c r="I125" s="1"/>
      <c r="J125" s="1">
        <f t="shared" ca="1" si="60"/>
        <v>3</v>
      </c>
      <c r="K125" s="1">
        <f t="shared" ca="1" si="61"/>
        <v>1.6765227945466128</v>
      </c>
      <c r="L125" s="1">
        <f t="shared" ca="1" si="62"/>
        <v>28</v>
      </c>
      <c r="M125" s="1"/>
      <c r="N125" s="1">
        <f t="shared" ca="1" si="63"/>
        <v>505</v>
      </c>
      <c r="O125" s="1">
        <f t="shared" ca="1" si="64"/>
        <v>22</v>
      </c>
      <c r="P125" s="1"/>
      <c r="Q125" s="1">
        <f t="shared" ca="1" si="65"/>
        <v>1.9088712097493052</v>
      </c>
      <c r="R125" s="1">
        <f t="shared" ca="1" si="66"/>
        <v>936</v>
      </c>
      <c r="S125" s="1"/>
      <c r="T125" s="1">
        <f t="shared" ca="1" si="67"/>
        <v>0.15089662552254468</v>
      </c>
      <c r="U125" s="1">
        <f t="shared" ca="1" si="68"/>
        <v>198</v>
      </c>
      <c r="V125" s="1">
        <f t="shared" ca="1" si="69"/>
        <v>13</v>
      </c>
      <c r="W125" s="1"/>
      <c r="X125" s="1">
        <f t="shared" ca="1" si="70"/>
        <v>6.7632532122798263</v>
      </c>
      <c r="Y125" s="1">
        <f t="shared" ca="1" si="71"/>
        <v>0.37884087229770497</v>
      </c>
      <c r="Z125" s="1">
        <f t="shared" ca="1" si="72"/>
        <v>425</v>
      </c>
      <c r="AB125" s="1">
        <f t="shared" ca="1" si="73"/>
        <v>0.2534282036053106</v>
      </c>
      <c r="AC125" s="1">
        <f t="shared" ca="1" si="74"/>
        <v>194</v>
      </c>
      <c r="AD125" s="1">
        <f t="shared" ca="1" si="75"/>
        <v>6.8640072884727215E-3</v>
      </c>
      <c r="AE125" s="1"/>
      <c r="AF125" s="1">
        <f t="shared" ca="1" si="76"/>
        <v>0.29608516166081633</v>
      </c>
      <c r="AG125" s="1">
        <f t="shared" ca="1" si="77"/>
        <v>858</v>
      </c>
      <c r="AH125" s="1">
        <f t="shared" ca="1" si="78"/>
        <v>1.410686304687082E-3</v>
      </c>
      <c r="AJ125" s="1">
        <f t="shared" ca="1" si="79"/>
        <v>3.4809955484135235E-3</v>
      </c>
      <c r="AK125" s="1">
        <f t="shared" ca="1" si="80"/>
        <v>1.5941530136155645E-3</v>
      </c>
      <c r="AL125" s="1"/>
      <c r="AM125" s="1">
        <f t="shared" ca="1" si="81"/>
        <v>0.18688850513084848</v>
      </c>
      <c r="AN125" s="1">
        <f t="shared" ca="1" si="82"/>
        <v>10</v>
      </c>
      <c r="AO125" s="1">
        <f t="shared" ca="1" si="83"/>
        <v>19</v>
      </c>
      <c r="AQ125" s="1">
        <f t="shared" ca="1" si="84"/>
        <v>14</v>
      </c>
      <c r="AR125" s="1">
        <f t="shared" ca="1" si="85"/>
        <v>0</v>
      </c>
      <c r="AS125" s="1">
        <f t="shared" ca="1" si="86"/>
        <v>81</v>
      </c>
      <c r="AU125" s="1">
        <f t="shared" ca="1" si="87"/>
        <v>399</v>
      </c>
      <c r="AV125" s="1">
        <f t="shared" ca="1" si="88"/>
        <v>10</v>
      </c>
      <c r="AW125" s="1">
        <f t="shared" ca="1" si="89"/>
        <v>0.11281675661668092</v>
      </c>
      <c r="AY125" s="1">
        <f t="shared" ca="1" si="90"/>
        <v>1.7399229593107042</v>
      </c>
      <c r="AZ125" s="1">
        <f t="shared" ca="1" si="91"/>
        <v>316</v>
      </c>
      <c r="BA125" s="1">
        <f t="shared" ca="1" si="92"/>
        <v>6.5203587257168915E-3</v>
      </c>
      <c r="BV125" s="1">
        <f t="shared" ca="1" si="93"/>
        <v>0.65368528829124617</v>
      </c>
      <c r="BW125" s="1">
        <f t="shared" ca="1" si="94"/>
        <v>978</v>
      </c>
      <c r="BX125" s="1">
        <f t="shared" ca="1" si="95"/>
        <v>6.4207707235968618E-5</v>
      </c>
      <c r="BY125" s="1">
        <f t="shared" ca="1" si="96"/>
        <v>2.7697221265434509E-2</v>
      </c>
      <c r="BZ125" s="1">
        <f t="shared" ca="1" si="97"/>
        <v>0.22548095289575687</v>
      </c>
      <c r="CB125" s="1">
        <f t="shared" ca="1" si="98"/>
        <v>325</v>
      </c>
      <c r="CC125" s="1">
        <f t="shared" ca="1" si="99"/>
        <v>5</v>
      </c>
      <c r="CD125" s="1">
        <f t="shared" ca="1" si="100"/>
        <v>2.3517305581644013E-2</v>
      </c>
      <c r="CE125" s="1">
        <f t="shared" ca="1" si="107"/>
        <v>0.67588713469306216</v>
      </c>
      <c r="CF125" s="1">
        <f t="shared" ca="1" si="107"/>
        <v>0.69476087315189305</v>
      </c>
      <c r="CH125" s="7">
        <f t="shared" ca="1" si="102"/>
        <v>0.87642265359174587</v>
      </c>
      <c r="CI125" s="7">
        <f t="shared" ca="1" si="103"/>
        <v>0.95427661903897831</v>
      </c>
      <c r="CJ125" s="7">
        <f t="shared" ca="1" si="104"/>
        <v>1590</v>
      </c>
      <c r="CK125" s="7">
        <f t="shared" ca="1" si="105"/>
        <v>2.9977511195327395E-3</v>
      </c>
      <c r="CL125" s="7">
        <f t="shared" ca="1" si="106"/>
        <v>0</v>
      </c>
    </row>
    <row r="126" spans="2:90" x14ac:dyDescent="0.25">
      <c r="B126">
        <f t="shared" ca="1" si="54"/>
        <v>408</v>
      </c>
      <c r="C126">
        <f t="shared" ca="1" si="55"/>
        <v>34</v>
      </c>
      <c r="D126">
        <f t="shared" ca="1" si="56"/>
        <v>8.1261915058580547E-2</v>
      </c>
      <c r="F126" s="1">
        <f t="shared" ca="1" si="57"/>
        <v>37</v>
      </c>
      <c r="G126" s="1">
        <f t="shared" ca="1" si="58"/>
        <v>15</v>
      </c>
      <c r="H126" s="1">
        <f t="shared" ca="1" si="59"/>
        <v>2</v>
      </c>
      <c r="I126" s="1"/>
      <c r="J126" s="1">
        <f t="shared" ca="1" si="60"/>
        <v>39</v>
      </c>
      <c r="K126" s="1">
        <f t="shared" ca="1" si="61"/>
        <v>2.0585137449967266</v>
      </c>
      <c r="L126" s="1">
        <f t="shared" ca="1" si="62"/>
        <v>20</v>
      </c>
      <c r="M126" s="1"/>
      <c r="N126" s="1">
        <f t="shared" ca="1" si="63"/>
        <v>837</v>
      </c>
      <c r="O126" s="1">
        <f t="shared" ca="1" si="64"/>
        <v>50</v>
      </c>
      <c r="P126" s="1"/>
      <c r="Q126" s="1">
        <f t="shared" ca="1" si="65"/>
        <v>1.3461723782681048</v>
      </c>
      <c r="R126" s="1">
        <f t="shared" ca="1" si="66"/>
        <v>300</v>
      </c>
      <c r="S126" s="1"/>
      <c r="T126" s="1">
        <f t="shared" ca="1" si="67"/>
        <v>0.19191602679600595</v>
      </c>
      <c r="U126" s="1">
        <f t="shared" ca="1" si="68"/>
        <v>123</v>
      </c>
      <c r="V126" s="1">
        <f t="shared" ca="1" si="69"/>
        <v>36</v>
      </c>
      <c r="W126" s="1"/>
      <c r="X126" s="1">
        <f t="shared" ca="1" si="70"/>
        <v>9.578825295431372</v>
      </c>
      <c r="Y126" s="1">
        <f t="shared" ca="1" si="71"/>
        <v>0.92984537153853508</v>
      </c>
      <c r="Z126" s="1">
        <f t="shared" ca="1" si="72"/>
        <v>455</v>
      </c>
      <c r="AB126" s="1">
        <f t="shared" ca="1" si="73"/>
        <v>0.77041215207532632</v>
      </c>
      <c r="AC126" s="1">
        <f t="shared" ca="1" si="74"/>
        <v>725</v>
      </c>
      <c r="AD126" s="1">
        <f t="shared" ca="1" si="75"/>
        <v>5.6978549580640869E-4</v>
      </c>
      <c r="AE126" s="1"/>
      <c r="AF126" s="1">
        <f t="shared" ca="1" si="76"/>
        <v>0.54864612876075891</v>
      </c>
      <c r="AG126" s="1">
        <f t="shared" ca="1" si="77"/>
        <v>205</v>
      </c>
      <c r="AH126" s="1">
        <f t="shared" ca="1" si="78"/>
        <v>3.1392125723356114E-3</v>
      </c>
      <c r="AJ126" s="1">
        <f t="shared" ca="1" si="79"/>
        <v>0.98320097647334503</v>
      </c>
      <c r="AK126" s="1">
        <f t="shared" ca="1" si="80"/>
        <v>8.8739220713908266E-3</v>
      </c>
      <c r="AL126" s="1"/>
      <c r="AM126" s="1">
        <f t="shared" ca="1" si="81"/>
        <v>8.3807063900878789E-2</v>
      </c>
      <c r="AN126" s="1">
        <f t="shared" ca="1" si="82"/>
        <v>12</v>
      </c>
      <c r="AO126" s="1">
        <f t="shared" ca="1" si="83"/>
        <v>4</v>
      </c>
      <c r="AQ126" s="1">
        <f t="shared" ca="1" si="84"/>
        <v>179</v>
      </c>
      <c r="AR126" s="1">
        <f t="shared" ca="1" si="85"/>
        <v>6</v>
      </c>
      <c r="AS126" s="1">
        <f t="shared" ca="1" si="86"/>
        <v>66</v>
      </c>
      <c r="AU126" s="1">
        <f t="shared" ca="1" si="87"/>
        <v>353</v>
      </c>
      <c r="AV126" s="1">
        <f t="shared" ca="1" si="88"/>
        <v>7</v>
      </c>
      <c r="AW126" s="1">
        <f t="shared" ca="1" si="89"/>
        <v>2.6576842168365554E-2</v>
      </c>
      <c r="AY126" s="1">
        <f t="shared" ca="1" si="90"/>
        <v>1.8409106864693383</v>
      </c>
      <c r="AZ126" s="1">
        <f t="shared" ca="1" si="91"/>
        <v>280</v>
      </c>
      <c r="BA126" s="1">
        <f t="shared" ca="1" si="92"/>
        <v>5.1251408958652919E-3</v>
      </c>
      <c r="BV126" s="1">
        <f t="shared" ca="1" si="93"/>
        <v>0.65314095610500178</v>
      </c>
      <c r="BW126" s="1">
        <f t="shared" ca="1" si="94"/>
        <v>438</v>
      </c>
      <c r="BX126" s="1">
        <f t="shared" ca="1" si="95"/>
        <v>4.4881349215919186E-3</v>
      </c>
      <c r="BY126" s="1">
        <f t="shared" ca="1" si="96"/>
        <v>1.3312418676557115E-2</v>
      </c>
      <c r="BZ126" s="1">
        <f t="shared" ca="1" si="97"/>
        <v>0.69363177471224957</v>
      </c>
      <c r="CB126" s="1">
        <f t="shared" ca="1" si="98"/>
        <v>153</v>
      </c>
      <c r="CC126" s="1">
        <f t="shared" ca="1" si="99"/>
        <v>12</v>
      </c>
      <c r="CD126" s="1">
        <f t="shared" ca="1" si="100"/>
        <v>0.16368575808563907</v>
      </c>
      <c r="CE126" s="1">
        <f t="shared" ca="1" si="107"/>
        <v>0.90953622632997333</v>
      </c>
      <c r="CF126" s="1">
        <f t="shared" ca="1" si="107"/>
        <v>0.624124947606429</v>
      </c>
      <c r="CH126" s="7">
        <f t="shared" ca="1" si="102"/>
        <v>0.15511757383956448</v>
      </c>
      <c r="CI126" s="7">
        <f t="shared" ca="1" si="103"/>
        <v>0.20603645201625803</v>
      </c>
      <c r="CJ126" s="7">
        <f t="shared" ca="1" si="104"/>
        <v>1073</v>
      </c>
      <c r="CK126" s="7">
        <f t="shared" ca="1" si="105"/>
        <v>9.7767010172583654E-3</v>
      </c>
      <c r="CL126" s="7">
        <f t="shared" ca="1" si="106"/>
        <v>1</v>
      </c>
    </row>
    <row r="127" spans="2:90" x14ac:dyDescent="0.25">
      <c r="B127">
        <f t="shared" ca="1" si="54"/>
        <v>909</v>
      </c>
      <c r="C127">
        <f t="shared" ca="1" si="55"/>
        <v>16</v>
      </c>
      <c r="D127">
        <f t="shared" ca="1" si="56"/>
        <v>2.0064829048138264E-2</v>
      </c>
      <c r="F127" s="1">
        <f t="shared" ca="1" si="57"/>
        <v>14</v>
      </c>
      <c r="G127" s="1">
        <f t="shared" ca="1" si="58"/>
        <v>29</v>
      </c>
      <c r="H127" s="1">
        <f t="shared" ca="1" si="59"/>
        <v>2</v>
      </c>
      <c r="I127" s="1"/>
      <c r="J127" s="1">
        <f t="shared" ca="1" si="60"/>
        <v>24</v>
      </c>
      <c r="K127" s="1">
        <f t="shared" ca="1" si="61"/>
        <v>2.4219780022753783</v>
      </c>
      <c r="L127" s="1">
        <f t="shared" ca="1" si="62"/>
        <v>19</v>
      </c>
      <c r="M127" s="1"/>
      <c r="N127" s="1">
        <f t="shared" ca="1" si="63"/>
        <v>358</v>
      </c>
      <c r="O127" s="1">
        <f t="shared" ca="1" si="64"/>
        <v>52</v>
      </c>
      <c r="P127" s="1"/>
      <c r="Q127" s="1">
        <f t="shared" ca="1" si="65"/>
        <v>3.6148435230742195</v>
      </c>
      <c r="R127" s="1">
        <f t="shared" ca="1" si="66"/>
        <v>767</v>
      </c>
      <c r="S127" s="1"/>
      <c r="T127" s="1">
        <f t="shared" ca="1" si="67"/>
        <v>0.1525204434384887</v>
      </c>
      <c r="U127" s="1">
        <f t="shared" ca="1" si="68"/>
        <v>129</v>
      </c>
      <c r="V127" s="1">
        <f t="shared" ca="1" si="69"/>
        <v>17</v>
      </c>
      <c r="W127" s="1"/>
      <c r="X127" s="1">
        <f t="shared" ca="1" si="70"/>
        <v>0.98572269765098508</v>
      </c>
      <c r="Y127" s="1">
        <f t="shared" ca="1" si="71"/>
        <v>0.38105353357745814</v>
      </c>
      <c r="Z127" s="1">
        <f t="shared" ca="1" si="72"/>
        <v>337</v>
      </c>
      <c r="AB127" s="1">
        <f t="shared" ca="1" si="73"/>
        <v>0.12252853332103736</v>
      </c>
      <c r="AC127" s="1">
        <f t="shared" ca="1" si="74"/>
        <v>202</v>
      </c>
      <c r="AD127" s="1">
        <f t="shared" ca="1" si="75"/>
        <v>5.9439038386982206E-3</v>
      </c>
      <c r="AE127" s="1"/>
      <c r="AF127" s="1">
        <f t="shared" ca="1" si="76"/>
        <v>0.72756316336471938</v>
      </c>
      <c r="AG127" s="1">
        <f t="shared" ca="1" si="77"/>
        <v>310</v>
      </c>
      <c r="AH127" s="1">
        <f t="shared" ca="1" si="78"/>
        <v>4.7950401900190539E-3</v>
      </c>
      <c r="AJ127" s="1">
        <f t="shared" ca="1" si="79"/>
        <v>0.47147041515034582</v>
      </c>
      <c r="AK127" s="1">
        <f t="shared" ca="1" si="80"/>
        <v>9.3510826444732666E-3</v>
      </c>
      <c r="AL127" s="1"/>
      <c r="AM127" s="1">
        <f t="shared" ca="1" si="81"/>
        <v>0.15731345818352546</v>
      </c>
      <c r="AN127" s="1">
        <f t="shared" ca="1" si="82"/>
        <v>68</v>
      </c>
      <c r="AO127" s="1">
        <f t="shared" ca="1" si="83"/>
        <v>10</v>
      </c>
      <c r="AQ127" s="1">
        <f t="shared" ca="1" si="84"/>
        <v>178</v>
      </c>
      <c r="AR127" s="1">
        <f t="shared" ca="1" si="85"/>
        <v>10</v>
      </c>
      <c r="AS127" s="1">
        <f t="shared" ca="1" si="86"/>
        <v>91</v>
      </c>
      <c r="AU127" s="1">
        <f t="shared" ca="1" si="87"/>
        <v>254</v>
      </c>
      <c r="AV127" s="1">
        <f t="shared" ca="1" si="88"/>
        <v>2</v>
      </c>
      <c r="AW127" s="1">
        <f t="shared" ca="1" si="89"/>
        <v>0.13943552379744331</v>
      </c>
      <c r="AY127" s="1">
        <f t="shared" ca="1" si="90"/>
        <v>1.1675683586405574</v>
      </c>
      <c r="AZ127" s="1">
        <f t="shared" ca="1" si="91"/>
        <v>189</v>
      </c>
      <c r="BA127" s="1">
        <f t="shared" ca="1" si="92"/>
        <v>6.2502956089333277E-3</v>
      </c>
      <c r="BV127" s="1">
        <f t="shared" ca="1" si="93"/>
        <v>0.88009071575744258</v>
      </c>
      <c r="BW127" s="1">
        <f t="shared" ca="1" si="94"/>
        <v>226</v>
      </c>
      <c r="BX127" s="1">
        <f t="shared" ca="1" si="95"/>
        <v>9.9709907468226913E-3</v>
      </c>
      <c r="BY127" s="1">
        <f t="shared" ca="1" si="96"/>
        <v>6.9419844101997932E-2</v>
      </c>
      <c r="BZ127" s="1">
        <f t="shared" ca="1" si="97"/>
        <v>0.20485971170281914</v>
      </c>
      <c r="CB127" s="1">
        <f t="shared" ca="1" si="98"/>
        <v>144</v>
      </c>
      <c r="CC127" s="1">
        <f t="shared" ca="1" si="99"/>
        <v>11</v>
      </c>
      <c r="CD127" s="1">
        <f t="shared" ca="1" si="100"/>
        <v>0.24714234830566931</v>
      </c>
      <c r="CE127" s="1">
        <f t="shared" ca="1" si="107"/>
        <v>0.61051838635553779</v>
      </c>
      <c r="CF127" s="1">
        <f t="shared" ca="1" si="107"/>
        <v>0.94691131452163679</v>
      </c>
      <c r="CH127" s="7">
        <f t="shared" ca="1" si="102"/>
        <v>0.60743742903147047</v>
      </c>
      <c r="CI127" s="7">
        <f t="shared" ca="1" si="103"/>
        <v>0.34779045391397662</v>
      </c>
      <c r="CJ127" s="7">
        <f t="shared" ca="1" si="104"/>
        <v>551</v>
      </c>
      <c r="CK127" s="7">
        <f t="shared" ca="1" si="105"/>
        <v>2.426124225427085E-3</v>
      </c>
      <c r="CL127" s="7">
        <f t="shared" ca="1" si="106"/>
        <v>0</v>
      </c>
    </row>
    <row r="128" spans="2:90" x14ac:dyDescent="0.25">
      <c r="B128">
        <f t="shared" ca="1" si="54"/>
        <v>349</v>
      </c>
      <c r="C128">
        <f t="shared" ca="1" si="55"/>
        <v>49</v>
      </c>
      <c r="D128">
        <f t="shared" ca="1" si="56"/>
        <v>0.28707523672652252</v>
      </c>
      <c r="F128" s="1">
        <f t="shared" ca="1" si="57"/>
        <v>52</v>
      </c>
      <c r="G128" s="1">
        <f t="shared" ca="1" si="58"/>
        <v>9</v>
      </c>
      <c r="H128" s="1">
        <f t="shared" ca="1" si="59"/>
        <v>2</v>
      </c>
      <c r="I128" s="1"/>
      <c r="J128" s="1">
        <f t="shared" ca="1" si="60"/>
        <v>39</v>
      </c>
      <c r="K128" s="1">
        <f t="shared" ca="1" si="61"/>
        <v>1.0453467434971233</v>
      </c>
      <c r="L128" s="1">
        <f t="shared" ca="1" si="62"/>
        <v>22</v>
      </c>
      <c r="M128" s="1"/>
      <c r="N128" s="1">
        <f t="shared" ca="1" si="63"/>
        <v>175</v>
      </c>
      <c r="O128" s="1">
        <f t="shared" ca="1" si="64"/>
        <v>51</v>
      </c>
      <c r="P128" s="1"/>
      <c r="Q128" s="1">
        <f t="shared" ca="1" si="65"/>
        <v>1.5455524276850006</v>
      </c>
      <c r="R128" s="1">
        <f t="shared" ca="1" si="66"/>
        <v>984</v>
      </c>
      <c r="S128" s="1"/>
      <c r="T128" s="1">
        <f t="shared" ca="1" si="67"/>
        <v>9.8205493418999507E-2</v>
      </c>
      <c r="U128" s="1">
        <f t="shared" ca="1" si="68"/>
        <v>164</v>
      </c>
      <c r="V128" s="1">
        <f t="shared" ca="1" si="69"/>
        <v>48</v>
      </c>
      <c r="W128" s="1"/>
      <c r="X128" s="1">
        <f t="shared" ca="1" si="70"/>
        <v>0.18372900805798933</v>
      </c>
      <c r="Y128" s="1">
        <f t="shared" ca="1" si="71"/>
        <v>9.4448308391778188E-2</v>
      </c>
      <c r="Z128" s="1">
        <f t="shared" ca="1" si="72"/>
        <v>215</v>
      </c>
      <c r="AB128" s="1">
        <f t="shared" ca="1" si="73"/>
        <v>0.57817124926848773</v>
      </c>
      <c r="AC128" s="1">
        <f t="shared" ca="1" si="74"/>
        <v>302</v>
      </c>
      <c r="AD128" s="1">
        <f t="shared" ca="1" si="75"/>
        <v>8.6932609881793261E-3</v>
      </c>
      <c r="AE128" s="1"/>
      <c r="AF128" s="1">
        <f t="shared" ca="1" si="76"/>
        <v>0.86934221462123829</v>
      </c>
      <c r="AG128" s="1">
        <f t="shared" ca="1" si="77"/>
        <v>566</v>
      </c>
      <c r="AH128" s="1">
        <f t="shared" ca="1" si="78"/>
        <v>7.3198435199659214E-3</v>
      </c>
      <c r="AJ128" s="1">
        <f t="shared" ca="1" si="79"/>
        <v>0.16102196791013668</v>
      </c>
      <c r="AK128" s="1">
        <f t="shared" ca="1" si="80"/>
        <v>6.106711433711585E-4</v>
      </c>
      <c r="AL128" s="1"/>
      <c r="AM128" s="1">
        <f t="shared" ca="1" si="81"/>
        <v>5.4533846717471447E-2</v>
      </c>
      <c r="AN128" s="1">
        <f t="shared" ca="1" si="82"/>
        <v>39</v>
      </c>
      <c r="AO128" s="1">
        <f t="shared" ca="1" si="83"/>
        <v>5</v>
      </c>
      <c r="AQ128" s="1">
        <f t="shared" ca="1" si="84"/>
        <v>13</v>
      </c>
      <c r="AR128" s="1">
        <f t="shared" ca="1" si="85"/>
        <v>1</v>
      </c>
      <c r="AS128" s="1">
        <f t="shared" ca="1" si="86"/>
        <v>20</v>
      </c>
      <c r="AU128" s="1">
        <f t="shared" ca="1" si="87"/>
        <v>309</v>
      </c>
      <c r="AV128" s="1">
        <f t="shared" ca="1" si="88"/>
        <v>2</v>
      </c>
      <c r="AW128" s="1">
        <f t="shared" ca="1" si="89"/>
        <v>0.15845379191915518</v>
      </c>
      <c r="AY128" s="1">
        <f t="shared" ca="1" si="90"/>
        <v>1.6048501223258844</v>
      </c>
      <c r="AZ128" s="1">
        <f t="shared" ca="1" si="91"/>
        <v>177</v>
      </c>
      <c r="BA128" s="1">
        <f t="shared" ca="1" si="92"/>
        <v>4.9167455523395727E-3</v>
      </c>
      <c r="BV128" s="1">
        <f t="shared" ca="1" si="93"/>
        <v>0.66147596805585984</v>
      </c>
      <c r="BW128" s="1">
        <f t="shared" ca="1" si="94"/>
        <v>348</v>
      </c>
      <c r="BX128" s="1">
        <f t="shared" ca="1" si="95"/>
        <v>4.1101180333380331E-3</v>
      </c>
      <c r="BY128" s="1">
        <f t="shared" ca="1" si="96"/>
        <v>4.9318421538757104E-3</v>
      </c>
      <c r="BZ128" s="1">
        <f t="shared" ca="1" si="97"/>
        <v>0.11110647958987541</v>
      </c>
      <c r="CB128" s="1">
        <f t="shared" ca="1" si="98"/>
        <v>256</v>
      </c>
      <c r="CC128" s="1">
        <f t="shared" ca="1" si="99"/>
        <v>7</v>
      </c>
      <c r="CD128" s="1">
        <f t="shared" ca="1" si="100"/>
        <v>0.19349661266346457</v>
      </c>
      <c r="CE128" s="1">
        <f t="shared" ca="1" si="107"/>
        <v>0.70540162818352248</v>
      </c>
      <c r="CF128" s="1">
        <f t="shared" ca="1" si="107"/>
        <v>0.95757349071314635</v>
      </c>
      <c r="CH128" s="7">
        <f t="shared" ca="1" si="102"/>
        <v>0.14144650029955352</v>
      </c>
      <c r="CI128" s="7">
        <f t="shared" ca="1" si="103"/>
        <v>0.11322585725158632</v>
      </c>
      <c r="CJ128" s="7">
        <f t="shared" ca="1" si="104"/>
        <v>917</v>
      </c>
      <c r="CK128" s="7">
        <f t="shared" ca="1" si="105"/>
        <v>9.9081931637230222E-3</v>
      </c>
      <c r="CL128" s="7">
        <f t="shared" ca="1" si="106"/>
        <v>0</v>
      </c>
    </row>
    <row r="129" spans="2:90" x14ac:dyDescent="0.25">
      <c r="B129">
        <f t="shared" ca="1" si="54"/>
        <v>477</v>
      </c>
      <c r="C129">
        <f t="shared" ca="1" si="55"/>
        <v>12</v>
      </c>
      <c r="D129">
        <f t="shared" ca="1" si="56"/>
        <v>7.449712578679224E-2</v>
      </c>
      <c r="F129" s="1">
        <f t="shared" ca="1" si="57"/>
        <v>23</v>
      </c>
      <c r="G129" s="1">
        <f t="shared" ca="1" si="58"/>
        <v>2</v>
      </c>
      <c r="H129" s="1">
        <f t="shared" ca="1" si="59"/>
        <v>3</v>
      </c>
      <c r="I129" s="1"/>
      <c r="J129" s="1">
        <f t="shared" ca="1" si="60"/>
        <v>20</v>
      </c>
      <c r="K129" s="1">
        <f t="shared" ca="1" si="61"/>
        <v>2.1705022991266416</v>
      </c>
      <c r="L129" s="1">
        <f t="shared" ca="1" si="62"/>
        <v>28</v>
      </c>
      <c r="M129" s="1"/>
      <c r="N129" s="1">
        <f t="shared" ca="1" si="63"/>
        <v>462</v>
      </c>
      <c r="O129" s="1">
        <f t="shared" ca="1" si="64"/>
        <v>51</v>
      </c>
      <c r="P129" s="1"/>
      <c r="Q129" s="1">
        <f t="shared" ca="1" si="65"/>
        <v>2.5561308019106455</v>
      </c>
      <c r="R129" s="1">
        <f t="shared" ca="1" si="66"/>
        <v>667</v>
      </c>
      <c r="S129" s="1"/>
      <c r="T129" s="1">
        <f t="shared" ca="1" si="67"/>
        <v>8.4723004310475858E-2</v>
      </c>
      <c r="U129" s="1">
        <f t="shared" ca="1" si="68"/>
        <v>353</v>
      </c>
      <c r="V129" s="1">
        <f t="shared" ca="1" si="69"/>
        <v>39</v>
      </c>
      <c r="W129" s="1"/>
      <c r="X129" s="1">
        <f t="shared" ca="1" si="70"/>
        <v>3.7300477918188366</v>
      </c>
      <c r="Y129" s="1">
        <f t="shared" ca="1" si="71"/>
        <v>0.35887215292523594</v>
      </c>
      <c r="Z129" s="1">
        <f t="shared" ca="1" si="72"/>
        <v>160</v>
      </c>
      <c r="AB129" s="1">
        <f t="shared" ca="1" si="73"/>
        <v>0.92612124944214103</v>
      </c>
      <c r="AC129" s="1">
        <f t="shared" ca="1" si="74"/>
        <v>558</v>
      </c>
      <c r="AD129" s="1">
        <f t="shared" ca="1" si="75"/>
        <v>9.5668184928896765E-3</v>
      </c>
      <c r="AE129" s="1"/>
      <c r="AF129" s="1">
        <f t="shared" ca="1" si="76"/>
        <v>0.29311156134738903</v>
      </c>
      <c r="AG129" s="1">
        <f t="shared" ca="1" si="77"/>
        <v>412</v>
      </c>
      <c r="AH129" s="1">
        <f t="shared" ca="1" si="78"/>
        <v>3.7914183401176731E-3</v>
      </c>
      <c r="AJ129" s="1">
        <f t="shared" ca="1" si="79"/>
        <v>0.25518158640966526</v>
      </c>
      <c r="AK129" s="1">
        <f t="shared" ca="1" si="80"/>
        <v>1.4986810828801029E-3</v>
      </c>
      <c r="AL129" s="1"/>
      <c r="AM129" s="1">
        <f t="shared" ca="1" si="81"/>
        <v>0.19517187503277167</v>
      </c>
      <c r="AN129" s="1">
        <f t="shared" ca="1" si="82"/>
        <v>29</v>
      </c>
      <c r="AO129" s="1">
        <f t="shared" ca="1" si="83"/>
        <v>19</v>
      </c>
      <c r="AQ129" s="1">
        <f t="shared" ca="1" si="84"/>
        <v>162</v>
      </c>
      <c r="AR129" s="1">
        <f t="shared" ca="1" si="85"/>
        <v>1</v>
      </c>
      <c r="AS129" s="1">
        <f t="shared" ca="1" si="86"/>
        <v>93</v>
      </c>
      <c r="AU129" s="1">
        <f t="shared" ca="1" si="87"/>
        <v>142</v>
      </c>
      <c r="AV129" s="1">
        <f t="shared" ca="1" si="88"/>
        <v>8</v>
      </c>
      <c r="AW129" s="1">
        <f t="shared" ca="1" si="89"/>
        <v>9.5917001699721879E-2</v>
      </c>
      <c r="AY129" s="1">
        <f t="shared" ca="1" si="90"/>
        <v>1.8807885565242048</v>
      </c>
      <c r="AZ129" s="1">
        <f t="shared" ca="1" si="91"/>
        <v>284</v>
      </c>
      <c r="BA129" s="1">
        <f t="shared" ca="1" si="92"/>
        <v>4.0904896218146268E-3</v>
      </c>
      <c r="BV129" s="1">
        <f t="shared" ca="1" si="93"/>
        <v>0.40043025134503374</v>
      </c>
      <c r="BW129" s="1">
        <f t="shared" ca="1" si="94"/>
        <v>689</v>
      </c>
      <c r="BX129" s="1">
        <f t="shared" ca="1" si="95"/>
        <v>4.7627001113702107E-3</v>
      </c>
      <c r="BY129" s="1">
        <f t="shared" ca="1" si="96"/>
        <v>1.8278653955588829E-2</v>
      </c>
      <c r="BZ129" s="1">
        <f t="shared" ca="1" si="97"/>
        <v>0.15529330399402375</v>
      </c>
      <c r="CB129" s="1">
        <f t="shared" ca="1" si="98"/>
        <v>271</v>
      </c>
      <c r="CC129" s="1">
        <f t="shared" ca="1" si="99"/>
        <v>6</v>
      </c>
      <c r="CD129" s="1">
        <f t="shared" ca="1" si="100"/>
        <v>7.9919589850623918E-2</v>
      </c>
      <c r="CE129" s="1">
        <f t="shared" ca="1" si="107"/>
        <v>0.84141742179740442</v>
      </c>
      <c r="CF129" s="1">
        <f t="shared" ca="1" si="107"/>
        <v>0.66710422340864806</v>
      </c>
      <c r="CH129" s="7">
        <f t="shared" ca="1" si="102"/>
        <v>0.37609528032895695</v>
      </c>
      <c r="CI129" s="7">
        <f t="shared" ca="1" si="103"/>
        <v>0.66009874822490533</v>
      </c>
      <c r="CJ129" s="7">
        <f t="shared" ca="1" si="104"/>
        <v>349</v>
      </c>
      <c r="CK129" s="7">
        <f t="shared" ca="1" si="105"/>
        <v>3.5109618986529927E-3</v>
      </c>
      <c r="CL129" s="7">
        <f t="shared" ca="1" si="106"/>
        <v>0</v>
      </c>
    </row>
    <row r="130" spans="2:90" x14ac:dyDescent="0.25">
      <c r="B130">
        <f t="shared" ca="1" si="54"/>
        <v>604</v>
      </c>
      <c r="C130">
        <f t="shared" ca="1" si="55"/>
        <v>15</v>
      </c>
      <c r="D130">
        <f t="shared" ca="1" si="56"/>
        <v>0.13895481138434909</v>
      </c>
      <c r="F130" s="1">
        <f t="shared" ca="1" si="57"/>
        <v>25</v>
      </c>
      <c r="G130" s="1">
        <f t="shared" ca="1" si="58"/>
        <v>23</v>
      </c>
      <c r="H130" s="1">
        <f t="shared" ca="1" si="59"/>
        <v>13</v>
      </c>
      <c r="I130" s="1"/>
      <c r="J130" s="1">
        <f t="shared" ca="1" si="60"/>
        <v>36</v>
      </c>
      <c r="K130" s="1">
        <f t="shared" ca="1" si="61"/>
        <v>1.110856326281694</v>
      </c>
      <c r="L130" s="1">
        <f t="shared" ca="1" si="62"/>
        <v>14</v>
      </c>
      <c r="M130" s="1"/>
      <c r="N130" s="1">
        <f t="shared" ca="1" si="63"/>
        <v>195</v>
      </c>
      <c r="O130" s="1">
        <f t="shared" ca="1" si="64"/>
        <v>2</v>
      </c>
      <c r="P130" s="1"/>
      <c r="Q130" s="1">
        <f t="shared" ca="1" si="65"/>
        <v>0.99368465246042159</v>
      </c>
      <c r="R130" s="1">
        <f t="shared" ca="1" si="66"/>
        <v>552</v>
      </c>
      <c r="S130" s="1"/>
      <c r="T130" s="1">
        <f t="shared" ca="1" si="67"/>
        <v>0.17794146057254498</v>
      </c>
      <c r="U130" s="1">
        <f t="shared" ca="1" si="68"/>
        <v>144</v>
      </c>
      <c r="V130" s="1">
        <f t="shared" ca="1" si="69"/>
        <v>32</v>
      </c>
      <c r="W130" s="1"/>
      <c r="X130" s="1">
        <f t="shared" ca="1" si="70"/>
        <v>4.558916384740292</v>
      </c>
      <c r="Y130" s="1">
        <f t="shared" ca="1" si="71"/>
        <v>0.78767021493918299</v>
      </c>
      <c r="Z130" s="1">
        <f t="shared" ca="1" si="72"/>
        <v>358</v>
      </c>
      <c r="AB130" s="1">
        <f t="shared" ca="1" si="73"/>
        <v>6.6039939150298294E-2</v>
      </c>
      <c r="AC130" s="1">
        <f t="shared" ca="1" si="74"/>
        <v>894</v>
      </c>
      <c r="AD130" s="1">
        <f t="shared" ca="1" si="75"/>
        <v>9.9019009243232446E-3</v>
      </c>
      <c r="AE130" s="1"/>
      <c r="AF130" s="1">
        <f t="shared" ca="1" si="76"/>
        <v>0.59818039015078417</v>
      </c>
      <c r="AG130" s="1">
        <f t="shared" ca="1" si="77"/>
        <v>935</v>
      </c>
      <c r="AH130" s="1">
        <f t="shared" ca="1" si="78"/>
        <v>9.4712202565375558E-3</v>
      </c>
      <c r="AJ130" s="1">
        <f t="shared" ca="1" si="79"/>
        <v>0.85011427901228231</v>
      </c>
      <c r="AK130" s="1">
        <f t="shared" ca="1" si="80"/>
        <v>7.0668358123377533E-5</v>
      </c>
      <c r="AL130" s="1"/>
      <c r="AM130" s="1">
        <f t="shared" ca="1" si="81"/>
        <v>0.17545792675875016</v>
      </c>
      <c r="AN130" s="1">
        <f t="shared" ca="1" si="82"/>
        <v>59</v>
      </c>
      <c r="AO130" s="1">
        <f t="shared" ca="1" si="83"/>
        <v>20</v>
      </c>
      <c r="AQ130" s="1">
        <f t="shared" ca="1" si="84"/>
        <v>105</v>
      </c>
      <c r="AR130" s="1">
        <f t="shared" ca="1" si="85"/>
        <v>2</v>
      </c>
      <c r="AS130" s="1">
        <f t="shared" ca="1" si="86"/>
        <v>86</v>
      </c>
      <c r="AU130" s="1">
        <f t="shared" ca="1" si="87"/>
        <v>216</v>
      </c>
      <c r="AV130" s="1">
        <f t="shared" ca="1" si="88"/>
        <v>6</v>
      </c>
      <c r="AW130" s="1">
        <f t="shared" ca="1" si="89"/>
        <v>6.8538440401004486E-2</v>
      </c>
      <c r="AY130" s="1">
        <f t="shared" ca="1" si="90"/>
        <v>1.2568896056351162</v>
      </c>
      <c r="AZ130" s="1">
        <f t="shared" ca="1" si="91"/>
        <v>137</v>
      </c>
      <c r="BA130" s="1">
        <f t="shared" ca="1" si="92"/>
        <v>4.696037634880342E-3</v>
      </c>
      <c r="BV130" s="1">
        <f t="shared" ca="1" si="93"/>
        <v>0.88963939138447612</v>
      </c>
      <c r="BW130" s="1">
        <f t="shared" ca="1" si="94"/>
        <v>726</v>
      </c>
      <c r="BX130" s="1">
        <f t="shared" ca="1" si="95"/>
        <v>2.907612979875972E-3</v>
      </c>
      <c r="BY130" s="1">
        <f t="shared" ca="1" si="96"/>
        <v>7.7617265193281479E-2</v>
      </c>
      <c r="BZ130" s="1">
        <f t="shared" ca="1" si="97"/>
        <v>0.86458863326059743</v>
      </c>
      <c r="CB130" s="1">
        <f t="shared" ca="1" si="98"/>
        <v>212</v>
      </c>
      <c r="CC130" s="1">
        <f t="shared" ca="1" si="99"/>
        <v>7</v>
      </c>
      <c r="CD130" s="1">
        <f t="shared" ca="1" si="100"/>
        <v>7.3817342429824448E-2</v>
      </c>
      <c r="CE130" s="1">
        <f t="shared" ca="1" si="107"/>
        <v>0.76554901281855758</v>
      </c>
      <c r="CF130" s="1">
        <f t="shared" ca="1" si="107"/>
        <v>0.6547541259725822</v>
      </c>
      <c r="CH130" s="7">
        <f t="shared" ca="1" si="102"/>
        <v>0.53440271717300591</v>
      </c>
      <c r="CI130" s="7">
        <f t="shared" ca="1" si="103"/>
        <v>0.48036432935993501</v>
      </c>
      <c r="CJ130" s="7">
        <f t="shared" ca="1" si="104"/>
        <v>1481</v>
      </c>
      <c r="CK130" s="7">
        <f t="shared" ca="1" si="105"/>
        <v>8.3887856461563413E-3</v>
      </c>
      <c r="CL130" s="7">
        <f t="shared" ca="1" si="106"/>
        <v>1</v>
      </c>
    </row>
    <row r="131" spans="2:90" x14ac:dyDescent="0.25">
      <c r="B131">
        <f t="shared" ca="1" si="54"/>
        <v>836</v>
      </c>
      <c r="C131">
        <f t="shared" ca="1" si="55"/>
        <v>44</v>
      </c>
      <c r="D131">
        <f t="shared" ca="1" si="56"/>
        <v>0.17902118375986564</v>
      </c>
      <c r="F131" s="1">
        <f t="shared" ca="1" si="57"/>
        <v>30</v>
      </c>
      <c r="G131" s="1">
        <f t="shared" ca="1" si="58"/>
        <v>18</v>
      </c>
      <c r="H131" s="1">
        <f t="shared" ca="1" si="59"/>
        <v>9</v>
      </c>
      <c r="I131" s="1"/>
      <c r="J131" s="1">
        <f t="shared" ca="1" si="60"/>
        <v>14</v>
      </c>
      <c r="K131" s="1">
        <f t="shared" ca="1" si="61"/>
        <v>1.4741968992510976</v>
      </c>
      <c r="L131" s="1">
        <f t="shared" ca="1" si="62"/>
        <v>27</v>
      </c>
      <c r="M131" s="1"/>
      <c r="N131" s="1">
        <f t="shared" ca="1" si="63"/>
        <v>332</v>
      </c>
      <c r="O131" s="1">
        <f t="shared" ca="1" si="64"/>
        <v>45</v>
      </c>
      <c r="P131" s="1"/>
      <c r="Q131" s="1">
        <f t="shared" ca="1" si="65"/>
        <v>4.5159138265789061</v>
      </c>
      <c r="R131" s="1">
        <f t="shared" ca="1" si="66"/>
        <v>923</v>
      </c>
      <c r="S131" s="1"/>
      <c r="T131" s="1">
        <f t="shared" ca="1" si="67"/>
        <v>0.12929082811622086</v>
      </c>
      <c r="U131" s="1">
        <f t="shared" ca="1" si="68"/>
        <v>261</v>
      </c>
      <c r="V131" s="1">
        <f t="shared" ca="1" si="69"/>
        <v>5</v>
      </c>
      <c r="W131" s="1"/>
      <c r="X131" s="1">
        <f t="shared" ca="1" si="70"/>
        <v>6.9672811782260009</v>
      </c>
      <c r="Y131" s="1">
        <f t="shared" ca="1" si="71"/>
        <v>0.10841937049714148</v>
      </c>
      <c r="Z131" s="1">
        <f t="shared" ca="1" si="72"/>
        <v>1476</v>
      </c>
      <c r="AB131" s="1">
        <f t="shared" ca="1" si="73"/>
        <v>0.47468419885317942</v>
      </c>
      <c r="AC131" s="1">
        <f t="shared" ca="1" si="74"/>
        <v>489</v>
      </c>
      <c r="AD131" s="1">
        <f t="shared" ca="1" si="75"/>
        <v>5.9434176791178387E-3</v>
      </c>
      <c r="AE131" s="1"/>
      <c r="AF131" s="1">
        <f t="shared" ca="1" si="76"/>
        <v>0.45032466838638618</v>
      </c>
      <c r="AG131" s="1">
        <f t="shared" ca="1" si="77"/>
        <v>674</v>
      </c>
      <c r="AH131" s="1">
        <f t="shared" ca="1" si="78"/>
        <v>6.0261984921557345E-3</v>
      </c>
      <c r="AJ131" s="1">
        <f t="shared" ca="1" si="79"/>
        <v>0.30215206882828782</v>
      </c>
      <c r="AK131" s="1">
        <f t="shared" ca="1" si="80"/>
        <v>9.9566603323442311E-3</v>
      </c>
      <c r="AL131" s="1"/>
      <c r="AM131" s="1">
        <f t="shared" ca="1" si="81"/>
        <v>8.7408448262987701E-2</v>
      </c>
      <c r="AN131" s="1">
        <f t="shared" ca="1" si="82"/>
        <v>21</v>
      </c>
      <c r="AO131" s="1">
        <f t="shared" ca="1" si="83"/>
        <v>17</v>
      </c>
      <c r="AQ131" s="1">
        <f t="shared" ca="1" si="84"/>
        <v>91</v>
      </c>
      <c r="AR131" s="1">
        <f t="shared" ca="1" si="85"/>
        <v>4</v>
      </c>
      <c r="AS131" s="1">
        <f t="shared" ca="1" si="86"/>
        <v>32</v>
      </c>
      <c r="AU131" s="1">
        <f t="shared" ca="1" si="87"/>
        <v>334</v>
      </c>
      <c r="AV131" s="1">
        <f t="shared" ca="1" si="88"/>
        <v>5</v>
      </c>
      <c r="AW131" s="1">
        <f t="shared" ca="1" si="89"/>
        <v>0.1629154472631979</v>
      </c>
      <c r="AY131" s="1">
        <f t="shared" ca="1" si="90"/>
        <v>1.6460427055077229</v>
      </c>
      <c r="AZ131" s="1">
        <f t="shared" ca="1" si="91"/>
        <v>294</v>
      </c>
      <c r="BA131" s="1">
        <f t="shared" ca="1" si="92"/>
        <v>9.902079494325788E-3</v>
      </c>
      <c r="BV131" s="1">
        <f t="shared" ca="1" si="93"/>
        <v>0.3437768600214316</v>
      </c>
      <c r="BW131" s="1">
        <f t="shared" ca="1" si="94"/>
        <v>759</v>
      </c>
      <c r="BX131" s="1">
        <f t="shared" ca="1" si="95"/>
        <v>8.1412304634218974E-3</v>
      </c>
      <c r="BY131" s="1">
        <f t="shared" ca="1" si="96"/>
        <v>9.6405424592390238E-2</v>
      </c>
      <c r="BZ131" s="1">
        <f t="shared" ca="1" si="97"/>
        <v>0.90006521816220453</v>
      </c>
      <c r="CB131" s="1">
        <f t="shared" ca="1" si="98"/>
        <v>392</v>
      </c>
      <c r="CC131" s="1">
        <f t="shared" ca="1" si="99"/>
        <v>3</v>
      </c>
      <c r="CD131" s="1">
        <f t="shared" ca="1" si="100"/>
        <v>4.7787342536727215E-2</v>
      </c>
      <c r="CE131" s="1">
        <f t="shared" ca="1" si="107"/>
        <v>0.96292698991953052</v>
      </c>
      <c r="CF131" s="1">
        <f t="shared" ca="1" si="107"/>
        <v>0.56266745565394793</v>
      </c>
      <c r="CH131" s="7">
        <f t="shared" ca="1" si="102"/>
        <v>0.84371319928263278</v>
      </c>
      <c r="CI131" s="7">
        <f t="shared" ca="1" si="103"/>
        <v>0.46415696504184339</v>
      </c>
      <c r="CJ131" s="7">
        <f t="shared" ca="1" si="104"/>
        <v>1580</v>
      </c>
      <c r="CK131" s="7">
        <f t="shared" ca="1" si="105"/>
        <v>1.0793029969782366E-3</v>
      </c>
      <c r="CL131" s="7">
        <f t="shared" ca="1" si="106"/>
        <v>1</v>
      </c>
    </row>
    <row r="132" spans="2:90" x14ac:dyDescent="0.25">
      <c r="B132">
        <f t="shared" ref="B132:B195" ca="1" si="108">RANDBETWEEN(15,1000)</f>
        <v>659</v>
      </c>
      <c r="C132">
        <f t="shared" ref="C132:C195" ca="1" si="109">RANDBETWEEN(2,52)</f>
        <v>3</v>
      </c>
      <c r="D132">
        <f t="shared" ref="D132:D195" ca="1" si="110">RAND()*(0.3-0.01)+0.01</f>
        <v>5.3399973764498364E-2</v>
      </c>
      <c r="F132" s="1">
        <f t="shared" ref="F132:F195" ca="1" si="111">RANDBETWEEN(2,52)</f>
        <v>51</v>
      </c>
      <c r="G132" s="1">
        <f t="shared" ref="G132:G195" ca="1" si="112">RANDBETWEEN(2,30)</f>
        <v>13</v>
      </c>
      <c r="H132" s="1">
        <f t="shared" ref="H132:H195" ca="1" si="113">RANDBETWEEN(1,15)</f>
        <v>14</v>
      </c>
      <c r="I132" s="1"/>
      <c r="J132" s="1">
        <f t="shared" ref="J132:J195" ca="1" si="114">RANDBETWEEN(1,39)</f>
        <v>39</v>
      </c>
      <c r="K132" s="1">
        <f t="shared" ref="K132:K195" ca="1" si="115">RAND()*(3-1)+1</f>
        <v>2.0816580473639599</v>
      </c>
      <c r="L132" s="1">
        <f t="shared" ref="L132:L195" ca="1" si="116">RANDBETWEEN(2,35)</f>
        <v>9</v>
      </c>
      <c r="M132" s="1"/>
      <c r="N132" s="1">
        <f t="shared" ref="N132:N195" ca="1" si="117">RANDBETWEEN(15,1000)</f>
        <v>976</v>
      </c>
      <c r="O132" s="1">
        <f t="shared" ref="O132:O195" ca="1" si="118">RANDBETWEEN(2,52)</f>
        <v>12</v>
      </c>
      <c r="P132" s="1"/>
      <c r="Q132" s="1">
        <f t="shared" ref="Q132:Q195" ca="1" si="119">RAND()*(5-0.01)+0.01</f>
        <v>2.0711960322865148</v>
      </c>
      <c r="R132" s="1">
        <f t="shared" ref="R132:R195" ca="1" si="120">RANDBETWEEN(200,1200)</f>
        <v>354</v>
      </c>
      <c r="S132" s="1"/>
      <c r="T132" s="1">
        <f t="shared" ref="T132:T195" ca="1" si="121">RAND()*(0.2-0.01)+0.01</f>
        <v>0.17403361213539956</v>
      </c>
      <c r="U132" s="1">
        <f t="shared" ref="U132:U195" ca="1" si="122">RANDBETWEEN(50,450)</f>
        <v>317</v>
      </c>
      <c r="V132" s="1">
        <f t="shared" ref="V132:V195" ca="1" si="123">RANDBETWEEN(2,52)</f>
        <v>51</v>
      </c>
      <c r="W132" s="1"/>
      <c r="X132" s="1">
        <f t="shared" ref="X132:X195" ca="1" si="124">RAND()*(10-0.01)+0.01</f>
        <v>1.2151973231640025</v>
      </c>
      <c r="Y132" s="1">
        <f t="shared" ref="Y132:Y195" ca="1" si="125">RAND()*(1-0.0001)+0.0001</f>
        <v>0.25715646203294185</v>
      </c>
      <c r="Z132" s="1">
        <f t="shared" ref="Z132:Z195" ca="1" si="126">RANDBETWEEN(100,2000)</f>
        <v>1221</v>
      </c>
      <c r="AB132" s="1">
        <f t="shared" ref="AB132:AB195" ca="1" si="127">RAND()*(1-0.0001)+0.0001</f>
        <v>0.24397397950005578</v>
      </c>
      <c r="AC132" s="1">
        <f t="shared" ref="AC132:AC195" ca="1" si="128">RANDBETWEEN(100,1000)</f>
        <v>937</v>
      </c>
      <c r="AD132" s="1">
        <f t="shared" ref="AD132:AD195" ca="1" si="129">RAND()*(0.01-0.00001)+0.00001</f>
        <v>4.1577036861086355E-4</v>
      </c>
      <c r="AE132" s="1"/>
      <c r="AF132" s="1">
        <f t="shared" ref="AF132:AF195" ca="1" si="130">RAND()*(0.9-0.1)+0.1</f>
        <v>0.74844021327762567</v>
      </c>
      <c r="AG132" s="1">
        <f t="shared" ref="AG132:AG195" ca="1" si="131">RANDBETWEEN(100,1000)</f>
        <v>327</v>
      </c>
      <c r="AH132" s="1">
        <f t="shared" ref="AH132:AH195" ca="1" si="132">RAND()*(0.01-0.00001)+0.00001</f>
        <v>6.5772993754018572E-3</v>
      </c>
      <c r="AJ132" s="1">
        <f t="shared" ref="AJ132:AJ195" ca="1" si="133">RAND()*(1-0)+0</f>
        <v>0.56634430111692013</v>
      </c>
      <c r="AK132" s="1">
        <f t="shared" ref="AK132:AK195" ca="1" si="134">RAND()*(0.01-0.00001)+0.00001</f>
        <v>6.6640367986011972E-3</v>
      </c>
      <c r="AL132" s="1"/>
      <c r="AM132" s="1">
        <f t="shared" ref="AM132:AM195" ca="1" si="135">RAND()*(0.2-0.005)+0.005</f>
        <v>0.13758247317326225</v>
      </c>
      <c r="AN132" s="1">
        <f t="shared" ref="AN132:AN195" ca="1" si="136">RANDBETWEEN(10,80)</f>
        <v>64</v>
      </c>
      <c r="AO132" s="1">
        <f t="shared" ref="AO132:AO195" ca="1" si="137">RANDBETWEEN(-1,20)</f>
        <v>8</v>
      </c>
      <c r="AQ132" s="1">
        <f t="shared" ref="AQ132:AQ195" ca="1" si="138">RANDBETWEEN(10,200)</f>
        <v>166</v>
      </c>
      <c r="AR132" s="1">
        <f t="shared" ref="AR132:AR195" ca="1" si="139">RANDBETWEEN(0,10)</f>
        <v>9</v>
      </c>
      <c r="AS132" s="1">
        <f t="shared" ref="AS132:AS195" ca="1" si="140">RANDBETWEEN(1,100)</f>
        <v>53</v>
      </c>
      <c r="AU132" s="1">
        <f t="shared" ref="AU132:AU195" ca="1" si="141">RANDBETWEEN(50,400)</f>
        <v>125</v>
      </c>
      <c r="AV132" s="1">
        <f t="shared" ref="AV132:AV195" ca="1" si="142">RANDBETWEEN(2,10)</f>
        <v>4</v>
      </c>
      <c r="AW132" s="1">
        <f t="shared" ref="AW132:AW195" ca="1" si="143">RAND()*(0.2-0.01)+0.01</f>
        <v>0.17088722470869713</v>
      </c>
      <c r="AY132" s="1">
        <f t="shared" ref="AY132:AY195" ca="1" si="144">RAND()*(2-1.1)+1.1</f>
        <v>1.3879739304919418</v>
      </c>
      <c r="AZ132" s="1">
        <f t="shared" ref="AZ132:AZ195" ca="1" si="145">RANDBETWEEN(50,500)</f>
        <v>487</v>
      </c>
      <c r="BA132" s="1">
        <f t="shared" ref="BA132:BA195" ca="1" si="146">RAND()*(0.01-0.00001)+0.00001</f>
        <v>3.0067104836085289E-4</v>
      </c>
      <c r="BV132" s="1">
        <f t="shared" ref="BV132:BV195" ca="1" si="147">RAND()*(1-0.0001)+0.0001</f>
        <v>0.92658190340837532</v>
      </c>
      <c r="BW132" s="1">
        <f t="shared" ref="BW132:BW195" ca="1" si="148">RANDBETWEEN(100,1000)</f>
        <v>471</v>
      </c>
      <c r="BX132" s="1">
        <f t="shared" ref="BX132:BX195" ca="1" si="149">RAND()*(0.01-0.00001)+0.00001</f>
        <v>8.5358938769262965E-3</v>
      </c>
      <c r="BY132" s="1">
        <f t="shared" ref="BY132:BY195" ca="1" si="150">RAND()*(0.1-0.0001)+0.0001</f>
        <v>9.7282295220740746E-3</v>
      </c>
      <c r="BZ132" s="1">
        <f t="shared" ref="BZ132:BZ195" ca="1" si="151">RAND()*(1-0)+0</f>
        <v>0.22586717001821399</v>
      </c>
      <c r="CB132" s="1">
        <f t="shared" ref="CB132:CB195" ca="1" si="152">RANDBETWEEN(50,500)</f>
        <v>81</v>
      </c>
      <c r="CC132" s="1">
        <f t="shared" ref="CC132:CC195" ca="1" si="153">RANDBETWEEN(3,15)</f>
        <v>6</v>
      </c>
      <c r="CD132" s="1">
        <f t="shared" ref="CD132:CD195" ca="1" si="154">RAND()*(0.3-0.01)+0.01</f>
        <v>8.4753465184797372E-2</v>
      </c>
      <c r="CE132" s="1">
        <f t="shared" ref="CE132:CF163" ca="1" si="155">RAND()*(1-0.5)+0.5</f>
        <v>0.95891101053692873</v>
      </c>
      <c r="CF132" s="1">
        <f t="shared" ca="1" si="155"/>
        <v>0.75156355538133823</v>
      </c>
      <c r="CH132" s="7">
        <f t="shared" ref="CH132:CH195" ca="1" si="156">RAND()*(1-0.0001)+0.0001</f>
        <v>0.242994454362988</v>
      </c>
      <c r="CI132" s="7">
        <f t="shared" ref="CI132:CI195" ca="1" si="157">RAND()*(0.99-0.01)+0.01</f>
        <v>0.44786999399810845</v>
      </c>
      <c r="CJ132" s="7">
        <f t="shared" ref="CJ132:CJ195" ca="1" si="158">RANDBETWEEN(100,2000)</f>
        <v>924</v>
      </c>
      <c r="CK132" s="7">
        <f t="shared" ref="CK132:CK195" ca="1" si="159">RAND()*(0.01-0.000001)+0.000001</f>
        <v>3.8971081295554105E-3</v>
      </c>
      <c r="CL132" s="7">
        <f t="shared" ref="CL132:CL195" ca="1" si="160">RANDBETWEEN(0,1)</f>
        <v>1</v>
      </c>
    </row>
    <row r="133" spans="2:90" x14ac:dyDescent="0.25">
      <c r="B133">
        <f t="shared" ca="1" si="108"/>
        <v>401</v>
      </c>
      <c r="C133">
        <f t="shared" ca="1" si="109"/>
        <v>50</v>
      </c>
      <c r="D133">
        <f t="shared" ca="1" si="110"/>
        <v>0.16044437643761206</v>
      </c>
      <c r="F133" s="1">
        <f t="shared" ca="1" si="111"/>
        <v>18</v>
      </c>
      <c r="G133" s="1">
        <f t="shared" ca="1" si="112"/>
        <v>7</v>
      </c>
      <c r="H133" s="1">
        <f t="shared" ca="1" si="113"/>
        <v>9</v>
      </c>
      <c r="I133" s="1"/>
      <c r="J133" s="1">
        <f t="shared" ca="1" si="114"/>
        <v>20</v>
      </c>
      <c r="K133" s="1">
        <f t="shared" ca="1" si="115"/>
        <v>1.536842327110767</v>
      </c>
      <c r="L133" s="1">
        <f t="shared" ca="1" si="116"/>
        <v>13</v>
      </c>
      <c r="M133" s="1"/>
      <c r="N133" s="1">
        <f t="shared" ca="1" si="117"/>
        <v>764</v>
      </c>
      <c r="O133" s="1">
        <f t="shared" ca="1" si="118"/>
        <v>48</v>
      </c>
      <c r="P133" s="1"/>
      <c r="Q133" s="1">
        <f t="shared" ca="1" si="119"/>
        <v>2.3554335437645841</v>
      </c>
      <c r="R133" s="1">
        <f t="shared" ca="1" si="120"/>
        <v>374</v>
      </c>
      <c r="S133" s="1"/>
      <c r="T133" s="1">
        <f t="shared" ca="1" si="121"/>
        <v>7.4696313774815379E-2</v>
      </c>
      <c r="U133" s="1">
        <f t="shared" ca="1" si="122"/>
        <v>358</v>
      </c>
      <c r="V133" s="1">
        <f t="shared" ca="1" si="123"/>
        <v>20</v>
      </c>
      <c r="W133" s="1"/>
      <c r="X133" s="1">
        <f t="shared" ca="1" si="124"/>
        <v>2.6639952669472486E-2</v>
      </c>
      <c r="Y133" s="1">
        <f t="shared" ca="1" si="125"/>
        <v>0.19255527144276136</v>
      </c>
      <c r="Z133" s="1">
        <f t="shared" ca="1" si="126"/>
        <v>1422</v>
      </c>
      <c r="AB133" s="1">
        <f t="shared" ca="1" si="127"/>
        <v>0.48914159606019608</v>
      </c>
      <c r="AC133" s="1">
        <f t="shared" ca="1" si="128"/>
        <v>229</v>
      </c>
      <c r="AD133" s="1">
        <f t="shared" ca="1" si="129"/>
        <v>4.6283605203848279E-3</v>
      </c>
      <c r="AE133" s="1"/>
      <c r="AF133" s="1">
        <f t="shared" ca="1" si="130"/>
        <v>0.20947637887481507</v>
      </c>
      <c r="AG133" s="1">
        <f t="shared" ca="1" si="131"/>
        <v>769</v>
      </c>
      <c r="AH133" s="1">
        <f t="shared" ca="1" si="132"/>
        <v>7.783730933646817E-3</v>
      </c>
      <c r="AJ133" s="1">
        <f t="shared" ca="1" si="133"/>
        <v>0.62193888884063731</v>
      </c>
      <c r="AK133" s="1">
        <f t="shared" ca="1" si="134"/>
        <v>5.8550534877696103E-4</v>
      </c>
      <c r="AL133" s="1"/>
      <c r="AM133" s="1">
        <f t="shared" ca="1" si="135"/>
        <v>8.5370018812393283E-2</v>
      </c>
      <c r="AN133" s="1">
        <f t="shared" ca="1" si="136"/>
        <v>78</v>
      </c>
      <c r="AO133" s="1">
        <f t="shared" ca="1" si="137"/>
        <v>1</v>
      </c>
      <c r="AQ133" s="1">
        <f t="shared" ca="1" si="138"/>
        <v>118</v>
      </c>
      <c r="AR133" s="1">
        <f t="shared" ca="1" si="139"/>
        <v>1</v>
      </c>
      <c r="AS133" s="1">
        <f t="shared" ca="1" si="140"/>
        <v>20</v>
      </c>
      <c r="AU133" s="1">
        <f t="shared" ca="1" si="141"/>
        <v>113</v>
      </c>
      <c r="AV133" s="1">
        <f t="shared" ca="1" si="142"/>
        <v>5</v>
      </c>
      <c r="AW133" s="1">
        <f t="shared" ca="1" si="143"/>
        <v>0.177875676801069</v>
      </c>
      <c r="AY133" s="1">
        <f t="shared" ca="1" si="144"/>
        <v>1.2894423137304711</v>
      </c>
      <c r="AZ133" s="1">
        <f t="shared" ca="1" si="145"/>
        <v>126</v>
      </c>
      <c r="BA133" s="1">
        <f t="shared" ca="1" si="146"/>
        <v>6.8313843469318368E-3</v>
      </c>
      <c r="BV133" s="1">
        <f t="shared" ca="1" si="147"/>
        <v>0.62237658662231721</v>
      </c>
      <c r="BW133" s="1">
        <f t="shared" ca="1" si="148"/>
        <v>915</v>
      </c>
      <c r="BX133" s="1">
        <f t="shared" ca="1" si="149"/>
        <v>4.2264953072905266E-3</v>
      </c>
      <c r="BY133" s="1">
        <f t="shared" ca="1" si="150"/>
        <v>4.0786263263052042E-2</v>
      </c>
      <c r="BZ133" s="1">
        <f t="shared" ca="1" si="151"/>
        <v>0.20824549363113687</v>
      </c>
      <c r="CB133" s="1">
        <f t="shared" ca="1" si="152"/>
        <v>198</v>
      </c>
      <c r="CC133" s="1">
        <f t="shared" ca="1" si="153"/>
        <v>13</v>
      </c>
      <c r="CD133" s="1">
        <f t="shared" ca="1" si="154"/>
        <v>3.6975167361324231E-2</v>
      </c>
      <c r="CE133" s="1">
        <f t="shared" ca="1" si="155"/>
        <v>0.53541776419373566</v>
      </c>
      <c r="CF133" s="1">
        <f t="shared" ca="1" si="155"/>
        <v>0.72857579295337849</v>
      </c>
      <c r="CH133" s="7">
        <f t="shared" ca="1" si="156"/>
        <v>0.98047701056421077</v>
      </c>
      <c r="CI133" s="7">
        <f t="shared" ca="1" si="157"/>
        <v>0.3826281623532366</v>
      </c>
      <c r="CJ133" s="7">
        <f t="shared" ca="1" si="158"/>
        <v>1148</v>
      </c>
      <c r="CK133" s="7">
        <f t="shared" ca="1" si="159"/>
        <v>3.2978971123158045E-4</v>
      </c>
      <c r="CL133" s="7">
        <f t="shared" ca="1" si="160"/>
        <v>0</v>
      </c>
    </row>
    <row r="134" spans="2:90" x14ac:dyDescent="0.25">
      <c r="B134">
        <f t="shared" ca="1" si="108"/>
        <v>243</v>
      </c>
      <c r="C134">
        <f t="shared" ca="1" si="109"/>
        <v>46</v>
      </c>
      <c r="D134">
        <f t="shared" ca="1" si="110"/>
        <v>0.25248095927625736</v>
      </c>
      <c r="F134" s="1">
        <f t="shared" ca="1" si="111"/>
        <v>17</v>
      </c>
      <c r="G134" s="1">
        <f t="shared" ca="1" si="112"/>
        <v>19</v>
      </c>
      <c r="H134" s="1">
        <f t="shared" ca="1" si="113"/>
        <v>12</v>
      </c>
      <c r="I134" s="1"/>
      <c r="J134" s="1">
        <f t="shared" ca="1" si="114"/>
        <v>1</v>
      </c>
      <c r="K134" s="1">
        <f t="shared" ca="1" si="115"/>
        <v>2.3531844142189042</v>
      </c>
      <c r="L134" s="1">
        <f t="shared" ca="1" si="116"/>
        <v>32</v>
      </c>
      <c r="M134" s="1"/>
      <c r="N134" s="1">
        <f t="shared" ca="1" si="117"/>
        <v>634</v>
      </c>
      <c r="O134" s="1">
        <f t="shared" ca="1" si="118"/>
        <v>13</v>
      </c>
      <c r="P134" s="1"/>
      <c r="Q134" s="1">
        <f t="shared" ca="1" si="119"/>
        <v>2.2688150408838332</v>
      </c>
      <c r="R134" s="1">
        <f t="shared" ca="1" si="120"/>
        <v>1075</v>
      </c>
      <c r="S134" s="1"/>
      <c r="T134" s="1">
        <f t="shared" ca="1" si="121"/>
        <v>0.10695745531967085</v>
      </c>
      <c r="U134" s="1">
        <f t="shared" ca="1" si="122"/>
        <v>263</v>
      </c>
      <c r="V134" s="1">
        <f t="shared" ca="1" si="123"/>
        <v>13</v>
      </c>
      <c r="W134" s="1"/>
      <c r="X134" s="1">
        <f t="shared" ca="1" si="124"/>
        <v>1.6125500489643385</v>
      </c>
      <c r="Y134" s="1">
        <f t="shared" ca="1" si="125"/>
        <v>0.32805061446240846</v>
      </c>
      <c r="Z134" s="1">
        <f t="shared" ca="1" si="126"/>
        <v>1736</v>
      </c>
      <c r="AB134" s="1">
        <f t="shared" ca="1" si="127"/>
        <v>0.20899405614268213</v>
      </c>
      <c r="AC134" s="1">
        <f t="shared" ca="1" si="128"/>
        <v>277</v>
      </c>
      <c r="AD134" s="1">
        <f t="shared" ca="1" si="129"/>
        <v>1.1550735342821623E-3</v>
      </c>
      <c r="AE134" s="1"/>
      <c r="AF134" s="1">
        <f t="shared" ca="1" si="130"/>
        <v>0.70211466925991484</v>
      </c>
      <c r="AG134" s="1">
        <f t="shared" ca="1" si="131"/>
        <v>969</v>
      </c>
      <c r="AH134" s="1">
        <f t="shared" ca="1" si="132"/>
        <v>6.3983178946011663E-3</v>
      </c>
      <c r="AJ134" s="1">
        <f t="shared" ca="1" si="133"/>
        <v>0.30095542408803522</v>
      </c>
      <c r="AK134" s="1">
        <f t="shared" ca="1" si="134"/>
        <v>8.5233016762405415E-3</v>
      </c>
      <c r="AL134" s="1"/>
      <c r="AM134" s="1">
        <f t="shared" ca="1" si="135"/>
        <v>8.4989826202572866E-2</v>
      </c>
      <c r="AN134" s="1">
        <f t="shared" ca="1" si="136"/>
        <v>36</v>
      </c>
      <c r="AO134" s="1">
        <f t="shared" ca="1" si="137"/>
        <v>18</v>
      </c>
      <c r="AQ134" s="1">
        <f t="shared" ca="1" si="138"/>
        <v>93</v>
      </c>
      <c r="AR134" s="1">
        <f t="shared" ca="1" si="139"/>
        <v>0</v>
      </c>
      <c r="AS134" s="1">
        <f t="shared" ca="1" si="140"/>
        <v>93</v>
      </c>
      <c r="AU134" s="1">
        <f t="shared" ca="1" si="141"/>
        <v>92</v>
      </c>
      <c r="AV134" s="1">
        <f t="shared" ca="1" si="142"/>
        <v>8</v>
      </c>
      <c r="AW134" s="1">
        <f t="shared" ca="1" si="143"/>
        <v>0.1333126295780569</v>
      </c>
      <c r="AY134" s="1">
        <f t="shared" ca="1" si="144"/>
        <v>1.6750474229618977</v>
      </c>
      <c r="AZ134" s="1">
        <f t="shared" ca="1" si="145"/>
        <v>426</v>
      </c>
      <c r="BA134" s="1">
        <f t="shared" ca="1" si="146"/>
        <v>6.4667451138488742E-3</v>
      </c>
      <c r="BV134" s="1">
        <f t="shared" ca="1" si="147"/>
        <v>0.78019890938905956</v>
      </c>
      <c r="BW134" s="1">
        <f t="shared" ca="1" si="148"/>
        <v>621</v>
      </c>
      <c r="BX134" s="1">
        <f t="shared" ca="1" si="149"/>
        <v>1.8276690653969323E-3</v>
      </c>
      <c r="BY134" s="1">
        <f t="shared" ca="1" si="150"/>
        <v>8.8735999360918777E-2</v>
      </c>
      <c r="BZ134" s="1">
        <f t="shared" ca="1" si="151"/>
        <v>0.20022968452850209</v>
      </c>
      <c r="CB134" s="1">
        <f t="shared" ca="1" si="152"/>
        <v>359</v>
      </c>
      <c r="CC134" s="1">
        <f t="shared" ca="1" si="153"/>
        <v>14</v>
      </c>
      <c r="CD134" s="1">
        <f t="shared" ca="1" si="154"/>
        <v>0.27309870218429971</v>
      </c>
      <c r="CE134" s="1">
        <f t="shared" ca="1" si="155"/>
        <v>0.89384595676298995</v>
      </c>
      <c r="CF134" s="1">
        <f t="shared" ca="1" si="155"/>
        <v>0.88825415735255464</v>
      </c>
      <c r="CH134" s="7">
        <f t="shared" ca="1" si="156"/>
        <v>0.10520230817902408</v>
      </c>
      <c r="CI134" s="7">
        <f t="shared" ca="1" si="157"/>
        <v>0.83104840403459501</v>
      </c>
      <c r="CJ134" s="7">
        <f t="shared" ca="1" si="158"/>
        <v>1113</v>
      </c>
      <c r="CK134" s="7">
        <f t="shared" ca="1" si="159"/>
        <v>2.5729596835623049E-3</v>
      </c>
      <c r="CL134" s="7">
        <f t="shared" ca="1" si="160"/>
        <v>0</v>
      </c>
    </row>
    <row r="135" spans="2:90" x14ac:dyDescent="0.25">
      <c r="B135">
        <f t="shared" ca="1" si="108"/>
        <v>625</v>
      </c>
      <c r="C135">
        <f t="shared" ca="1" si="109"/>
        <v>19</v>
      </c>
      <c r="D135">
        <f t="shared" ca="1" si="110"/>
        <v>9.721400414014264E-2</v>
      </c>
      <c r="F135" s="1">
        <f t="shared" ca="1" si="111"/>
        <v>8</v>
      </c>
      <c r="G135" s="1">
        <f t="shared" ca="1" si="112"/>
        <v>13</v>
      </c>
      <c r="H135" s="1">
        <f t="shared" ca="1" si="113"/>
        <v>1</v>
      </c>
      <c r="I135" s="1"/>
      <c r="J135" s="1">
        <f t="shared" ca="1" si="114"/>
        <v>33</v>
      </c>
      <c r="K135" s="1">
        <f t="shared" ca="1" si="115"/>
        <v>1.0261569693548704</v>
      </c>
      <c r="L135" s="1">
        <f t="shared" ca="1" si="116"/>
        <v>8</v>
      </c>
      <c r="M135" s="1"/>
      <c r="N135" s="1">
        <f t="shared" ca="1" si="117"/>
        <v>880</v>
      </c>
      <c r="O135" s="1">
        <f t="shared" ca="1" si="118"/>
        <v>34</v>
      </c>
      <c r="P135" s="1"/>
      <c r="Q135" s="1">
        <f t="shared" ca="1" si="119"/>
        <v>4.0882884195609961</v>
      </c>
      <c r="R135" s="1">
        <f t="shared" ca="1" si="120"/>
        <v>1134</v>
      </c>
      <c r="S135" s="1"/>
      <c r="T135" s="1">
        <f t="shared" ca="1" si="121"/>
        <v>2.3109626958253346E-2</v>
      </c>
      <c r="U135" s="1">
        <f t="shared" ca="1" si="122"/>
        <v>57</v>
      </c>
      <c r="V135" s="1">
        <f t="shared" ca="1" si="123"/>
        <v>13</v>
      </c>
      <c r="W135" s="1"/>
      <c r="X135" s="1">
        <f t="shared" ca="1" si="124"/>
        <v>9.4206906410762326</v>
      </c>
      <c r="Y135" s="1">
        <f t="shared" ca="1" si="125"/>
        <v>0.61424046612339378</v>
      </c>
      <c r="Z135" s="1">
        <f t="shared" ca="1" si="126"/>
        <v>1039</v>
      </c>
      <c r="AB135" s="1">
        <f t="shared" ca="1" si="127"/>
        <v>0.15982405972214125</v>
      </c>
      <c r="AC135" s="1">
        <f t="shared" ca="1" si="128"/>
        <v>819</v>
      </c>
      <c r="AD135" s="1">
        <f t="shared" ca="1" si="129"/>
        <v>1.1651669515697551E-3</v>
      </c>
      <c r="AE135" s="1"/>
      <c r="AF135" s="1">
        <f t="shared" ca="1" si="130"/>
        <v>0.2728025301133748</v>
      </c>
      <c r="AG135" s="1">
        <f t="shared" ca="1" si="131"/>
        <v>543</v>
      </c>
      <c r="AH135" s="1">
        <f t="shared" ca="1" si="132"/>
        <v>7.8833801377227921E-3</v>
      </c>
      <c r="AJ135" s="1">
        <f t="shared" ca="1" si="133"/>
        <v>0.90845692373942422</v>
      </c>
      <c r="AK135" s="1">
        <f t="shared" ca="1" si="134"/>
        <v>1.8685818879685173E-3</v>
      </c>
      <c r="AL135" s="1"/>
      <c r="AM135" s="1">
        <f t="shared" ca="1" si="135"/>
        <v>3.9725744922720546E-2</v>
      </c>
      <c r="AN135" s="1">
        <f t="shared" ca="1" si="136"/>
        <v>40</v>
      </c>
      <c r="AO135" s="1">
        <f t="shared" ca="1" si="137"/>
        <v>11</v>
      </c>
      <c r="AQ135" s="1">
        <f t="shared" ca="1" si="138"/>
        <v>133</v>
      </c>
      <c r="AR135" s="1">
        <f t="shared" ca="1" si="139"/>
        <v>9</v>
      </c>
      <c r="AS135" s="1">
        <f t="shared" ca="1" si="140"/>
        <v>13</v>
      </c>
      <c r="AU135" s="1">
        <f t="shared" ca="1" si="141"/>
        <v>198</v>
      </c>
      <c r="AV135" s="1">
        <f t="shared" ca="1" si="142"/>
        <v>9</v>
      </c>
      <c r="AW135" s="1">
        <f t="shared" ca="1" si="143"/>
        <v>0.14269387538749778</v>
      </c>
      <c r="AY135" s="1">
        <f t="shared" ca="1" si="144"/>
        <v>1.3601239735531296</v>
      </c>
      <c r="AZ135" s="1">
        <f t="shared" ca="1" si="145"/>
        <v>452</v>
      </c>
      <c r="BA135" s="1">
        <f t="shared" ca="1" si="146"/>
        <v>8.8478714453858135E-3</v>
      </c>
      <c r="BV135" s="1">
        <f t="shared" ca="1" si="147"/>
        <v>0.13323010472344643</v>
      </c>
      <c r="BW135" s="1">
        <f t="shared" ca="1" si="148"/>
        <v>633</v>
      </c>
      <c r="BX135" s="1">
        <f t="shared" ca="1" si="149"/>
        <v>6.6744342746488843E-3</v>
      </c>
      <c r="BY135" s="1">
        <f t="shared" ca="1" si="150"/>
        <v>2.0923131365232243E-3</v>
      </c>
      <c r="BZ135" s="1">
        <f t="shared" ca="1" si="151"/>
        <v>0.24164463584078777</v>
      </c>
      <c r="CB135" s="1">
        <f t="shared" ca="1" si="152"/>
        <v>268</v>
      </c>
      <c r="CC135" s="1">
        <f t="shared" ca="1" si="153"/>
        <v>13</v>
      </c>
      <c r="CD135" s="1">
        <f t="shared" ca="1" si="154"/>
        <v>0.27717452497544531</v>
      </c>
      <c r="CE135" s="1">
        <f t="shared" ca="1" si="155"/>
        <v>0.89508465361402645</v>
      </c>
      <c r="CF135" s="1">
        <f t="shared" ca="1" si="155"/>
        <v>0.75740181426665099</v>
      </c>
      <c r="CH135" s="7">
        <f t="shared" ca="1" si="156"/>
        <v>0.92326755915672698</v>
      </c>
      <c r="CI135" s="7">
        <f t="shared" ca="1" si="157"/>
        <v>1.860855831836402E-2</v>
      </c>
      <c r="CJ135" s="7">
        <f t="shared" ca="1" si="158"/>
        <v>1398</v>
      </c>
      <c r="CK135" s="7">
        <f t="shared" ca="1" si="159"/>
        <v>4.5873183773401903E-3</v>
      </c>
      <c r="CL135" s="7">
        <f t="shared" ca="1" si="160"/>
        <v>0</v>
      </c>
    </row>
    <row r="136" spans="2:90" x14ac:dyDescent="0.25">
      <c r="B136">
        <f t="shared" ca="1" si="108"/>
        <v>746</v>
      </c>
      <c r="C136">
        <f t="shared" ca="1" si="109"/>
        <v>45</v>
      </c>
      <c r="D136">
        <f t="shared" ca="1" si="110"/>
        <v>0.22223194107496599</v>
      </c>
      <c r="F136" s="1">
        <f t="shared" ca="1" si="111"/>
        <v>6</v>
      </c>
      <c r="G136" s="1">
        <f t="shared" ca="1" si="112"/>
        <v>13</v>
      </c>
      <c r="H136" s="1">
        <f t="shared" ca="1" si="113"/>
        <v>12</v>
      </c>
      <c r="I136" s="1"/>
      <c r="J136" s="1">
        <f t="shared" ca="1" si="114"/>
        <v>6</v>
      </c>
      <c r="K136" s="1">
        <f t="shared" ca="1" si="115"/>
        <v>1.7870217278594092</v>
      </c>
      <c r="L136" s="1">
        <f t="shared" ca="1" si="116"/>
        <v>3</v>
      </c>
      <c r="M136" s="1"/>
      <c r="N136" s="1">
        <f t="shared" ca="1" si="117"/>
        <v>211</v>
      </c>
      <c r="O136" s="1">
        <f t="shared" ca="1" si="118"/>
        <v>24</v>
      </c>
      <c r="P136" s="1"/>
      <c r="Q136" s="1">
        <f t="shared" ca="1" si="119"/>
        <v>1.3951812738380724</v>
      </c>
      <c r="R136" s="1">
        <f t="shared" ca="1" si="120"/>
        <v>1152</v>
      </c>
      <c r="S136" s="1"/>
      <c r="T136" s="1">
        <f t="shared" ca="1" si="121"/>
        <v>9.6495432504074399E-2</v>
      </c>
      <c r="U136" s="1">
        <f t="shared" ca="1" si="122"/>
        <v>404</v>
      </c>
      <c r="V136" s="1">
        <f t="shared" ca="1" si="123"/>
        <v>34</v>
      </c>
      <c r="W136" s="1"/>
      <c r="X136" s="1">
        <f t="shared" ca="1" si="124"/>
        <v>7.0533232536765116</v>
      </c>
      <c r="Y136" s="1">
        <f t="shared" ca="1" si="125"/>
        <v>0.60366389858713088</v>
      </c>
      <c r="Z136" s="1">
        <f t="shared" ca="1" si="126"/>
        <v>1372</v>
      </c>
      <c r="AB136" s="1">
        <f t="shared" ca="1" si="127"/>
        <v>8.2198510264938823E-2</v>
      </c>
      <c r="AC136" s="1">
        <f t="shared" ca="1" si="128"/>
        <v>442</v>
      </c>
      <c r="AD136" s="1">
        <f t="shared" ca="1" si="129"/>
        <v>1.0261732463874448E-3</v>
      </c>
      <c r="AE136" s="1"/>
      <c r="AF136" s="1">
        <f t="shared" ca="1" si="130"/>
        <v>0.43660478636409816</v>
      </c>
      <c r="AG136" s="1">
        <f t="shared" ca="1" si="131"/>
        <v>676</v>
      </c>
      <c r="AH136" s="1">
        <f t="shared" ca="1" si="132"/>
        <v>5.0488750279440407E-3</v>
      </c>
      <c r="AJ136" s="1">
        <f t="shared" ca="1" si="133"/>
        <v>0.82742973105090023</v>
      </c>
      <c r="AK136" s="1">
        <f t="shared" ca="1" si="134"/>
        <v>3.5853230875798706E-4</v>
      </c>
      <c r="AL136" s="1"/>
      <c r="AM136" s="1">
        <f t="shared" ca="1" si="135"/>
        <v>0.11004052212256912</v>
      </c>
      <c r="AN136" s="1">
        <f t="shared" ca="1" si="136"/>
        <v>73</v>
      </c>
      <c r="AO136" s="1">
        <f t="shared" ca="1" si="137"/>
        <v>18</v>
      </c>
      <c r="AQ136" s="1">
        <f t="shared" ca="1" si="138"/>
        <v>150</v>
      </c>
      <c r="AR136" s="1">
        <f t="shared" ca="1" si="139"/>
        <v>6</v>
      </c>
      <c r="AS136" s="1">
        <f t="shared" ca="1" si="140"/>
        <v>23</v>
      </c>
      <c r="AU136" s="1">
        <f t="shared" ca="1" si="141"/>
        <v>394</v>
      </c>
      <c r="AV136" s="1">
        <f t="shared" ca="1" si="142"/>
        <v>4</v>
      </c>
      <c r="AW136" s="1">
        <f t="shared" ca="1" si="143"/>
        <v>3.6328227491451794E-2</v>
      </c>
      <c r="AY136" s="1">
        <f t="shared" ca="1" si="144"/>
        <v>1.4680258495075722</v>
      </c>
      <c r="AZ136" s="1">
        <f t="shared" ca="1" si="145"/>
        <v>260</v>
      </c>
      <c r="BA136" s="1">
        <f t="shared" ca="1" si="146"/>
        <v>4.994316805245716E-3</v>
      </c>
      <c r="BV136" s="1">
        <f t="shared" ca="1" si="147"/>
        <v>0.54337758884381171</v>
      </c>
      <c r="BW136" s="1">
        <f t="shared" ca="1" si="148"/>
        <v>978</v>
      </c>
      <c r="BX136" s="1">
        <f t="shared" ca="1" si="149"/>
        <v>9.4840274258581707E-3</v>
      </c>
      <c r="BY136" s="1">
        <f t="shared" ca="1" si="150"/>
        <v>9.0789084573001416E-2</v>
      </c>
      <c r="BZ136" s="1">
        <f t="shared" ca="1" si="151"/>
        <v>0.28333791172637701</v>
      </c>
      <c r="CB136" s="1">
        <f t="shared" ca="1" si="152"/>
        <v>430</v>
      </c>
      <c r="CC136" s="1">
        <f t="shared" ca="1" si="153"/>
        <v>6</v>
      </c>
      <c r="CD136" s="1">
        <f t="shared" ca="1" si="154"/>
        <v>0.14702611511000457</v>
      </c>
      <c r="CE136" s="1">
        <f t="shared" ca="1" si="155"/>
        <v>0.54902224725707183</v>
      </c>
      <c r="CF136" s="1">
        <f t="shared" ca="1" si="155"/>
        <v>0.83993022732050437</v>
      </c>
      <c r="CH136" s="7">
        <f t="shared" ca="1" si="156"/>
        <v>0.76528938326456664</v>
      </c>
      <c r="CI136" s="7">
        <f t="shared" ca="1" si="157"/>
        <v>0.62175198334875548</v>
      </c>
      <c r="CJ136" s="7">
        <f t="shared" ca="1" si="158"/>
        <v>1357</v>
      </c>
      <c r="CK136" s="7">
        <f t="shared" ca="1" si="159"/>
        <v>4.9339563565420717E-3</v>
      </c>
      <c r="CL136" s="7">
        <f t="shared" ca="1" si="160"/>
        <v>1</v>
      </c>
    </row>
    <row r="137" spans="2:90" x14ac:dyDescent="0.25">
      <c r="B137">
        <f t="shared" ca="1" si="108"/>
        <v>227</v>
      </c>
      <c r="C137">
        <f t="shared" ca="1" si="109"/>
        <v>24</v>
      </c>
      <c r="D137">
        <f t="shared" ca="1" si="110"/>
        <v>0.14010561614721651</v>
      </c>
      <c r="F137" s="1">
        <f t="shared" ca="1" si="111"/>
        <v>19</v>
      </c>
      <c r="G137" s="1">
        <f t="shared" ca="1" si="112"/>
        <v>25</v>
      </c>
      <c r="H137" s="1">
        <f t="shared" ca="1" si="113"/>
        <v>1</v>
      </c>
      <c r="I137" s="1"/>
      <c r="J137" s="1">
        <f t="shared" ca="1" si="114"/>
        <v>11</v>
      </c>
      <c r="K137" s="1">
        <f t="shared" ca="1" si="115"/>
        <v>1.2842335870571073</v>
      </c>
      <c r="L137" s="1">
        <f t="shared" ca="1" si="116"/>
        <v>30</v>
      </c>
      <c r="M137" s="1"/>
      <c r="N137" s="1">
        <f t="shared" ca="1" si="117"/>
        <v>848</v>
      </c>
      <c r="O137" s="1">
        <f t="shared" ca="1" si="118"/>
        <v>42</v>
      </c>
      <c r="P137" s="1"/>
      <c r="Q137" s="1">
        <f t="shared" ca="1" si="119"/>
        <v>3.2776610457208171</v>
      </c>
      <c r="R137" s="1">
        <f t="shared" ca="1" si="120"/>
        <v>992</v>
      </c>
      <c r="S137" s="1"/>
      <c r="T137" s="1">
        <f t="shared" ca="1" si="121"/>
        <v>5.4459166926196963E-2</v>
      </c>
      <c r="U137" s="1">
        <f t="shared" ca="1" si="122"/>
        <v>119</v>
      </c>
      <c r="V137" s="1">
        <f t="shared" ca="1" si="123"/>
        <v>41</v>
      </c>
      <c r="W137" s="1"/>
      <c r="X137" s="1">
        <f t="shared" ca="1" si="124"/>
        <v>8.0840481594255991</v>
      </c>
      <c r="Y137" s="1">
        <f t="shared" ca="1" si="125"/>
        <v>0.31970925512704246</v>
      </c>
      <c r="Z137" s="1">
        <f t="shared" ca="1" si="126"/>
        <v>295</v>
      </c>
      <c r="AB137" s="1">
        <f t="shared" ca="1" si="127"/>
        <v>0.1234660193049322</v>
      </c>
      <c r="AC137" s="1">
        <f t="shared" ca="1" si="128"/>
        <v>841</v>
      </c>
      <c r="AD137" s="1">
        <f t="shared" ca="1" si="129"/>
        <v>9.9205818059558033E-3</v>
      </c>
      <c r="AE137" s="1"/>
      <c r="AF137" s="1">
        <f t="shared" ca="1" si="130"/>
        <v>0.61450559872269372</v>
      </c>
      <c r="AG137" s="1">
        <f t="shared" ca="1" si="131"/>
        <v>781</v>
      </c>
      <c r="AH137" s="1">
        <f t="shared" ca="1" si="132"/>
        <v>7.3822370452958433E-3</v>
      </c>
      <c r="AJ137" s="1">
        <f t="shared" ca="1" si="133"/>
        <v>0.71017046203902012</v>
      </c>
      <c r="AK137" s="1">
        <f t="shared" ca="1" si="134"/>
        <v>9.7513736381447322E-3</v>
      </c>
      <c r="AL137" s="1"/>
      <c r="AM137" s="1">
        <f t="shared" ca="1" si="135"/>
        <v>2.6348582561925817E-2</v>
      </c>
      <c r="AN137" s="1">
        <f t="shared" ca="1" si="136"/>
        <v>33</v>
      </c>
      <c r="AO137" s="1">
        <f t="shared" ca="1" si="137"/>
        <v>4</v>
      </c>
      <c r="AQ137" s="1">
        <f t="shared" ca="1" si="138"/>
        <v>41</v>
      </c>
      <c r="AR137" s="1">
        <f t="shared" ca="1" si="139"/>
        <v>1</v>
      </c>
      <c r="AS137" s="1">
        <f t="shared" ca="1" si="140"/>
        <v>45</v>
      </c>
      <c r="AU137" s="1">
        <f t="shared" ca="1" si="141"/>
        <v>236</v>
      </c>
      <c r="AV137" s="1">
        <f t="shared" ca="1" si="142"/>
        <v>10</v>
      </c>
      <c r="AW137" s="1">
        <f t="shared" ca="1" si="143"/>
        <v>1.8873326015986437E-2</v>
      </c>
      <c r="AY137" s="1">
        <f t="shared" ca="1" si="144"/>
        <v>1.6537373037819258</v>
      </c>
      <c r="AZ137" s="1">
        <f t="shared" ca="1" si="145"/>
        <v>352</v>
      </c>
      <c r="BA137" s="1">
        <f t="shared" ca="1" si="146"/>
        <v>1.6174012830235545E-4</v>
      </c>
      <c r="BV137" s="1">
        <f t="shared" ca="1" si="147"/>
        <v>0.79654096565502375</v>
      </c>
      <c r="BW137" s="1">
        <f t="shared" ca="1" si="148"/>
        <v>680</v>
      </c>
      <c r="BX137" s="1">
        <f t="shared" ca="1" si="149"/>
        <v>7.2147330550121859E-3</v>
      </c>
      <c r="BY137" s="1">
        <f t="shared" ca="1" si="150"/>
        <v>9.2249312202305339E-2</v>
      </c>
      <c r="BZ137" s="1">
        <f t="shared" ca="1" si="151"/>
        <v>0.31847665296290073</v>
      </c>
      <c r="CB137" s="1">
        <f t="shared" ca="1" si="152"/>
        <v>298</v>
      </c>
      <c r="CC137" s="1">
        <f t="shared" ca="1" si="153"/>
        <v>7</v>
      </c>
      <c r="CD137" s="1">
        <f t="shared" ca="1" si="154"/>
        <v>0.19594029090547826</v>
      </c>
      <c r="CE137" s="1">
        <f t="shared" ca="1" si="155"/>
        <v>0.97433537700592809</v>
      </c>
      <c r="CF137" s="1">
        <f t="shared" ca="1" si="155"/>
        <v>0.54084260164067832</v>
      </c>
      <c r="CH137" s="7">
        <f t="shared" ca="1" si="156"/>
        <v>0.55751823305433057</v>
      </c>
      <c r="CI137" s="7">
        <f t="shared" ca="1" si="157"/>
        <v>6.2944049679147823E-2</v>
      </c>
      <c r="CJ137" s="7">
        <f t="shared" ca="1" si="158"/>
        <v>442</v>
      </c>
      <c r="CK137" s="7">
        <f t="shared" ca="1" si="159"/>
        <v>7.572586077679219E-3</v>
      </c>
      <c r="CL137" s="7">
        <f t="shared" ca="1" si="160"/>
        <v>1</v>
      </c>
    </row>
    <row r="138" spans="2:90" x14ac:dyDescent="0.25">
      <c r="B138">
        <f t="shared" ca="1" si="108"/>
        <v>364</v>
      </c>
      <c r="C138">
        <f t="shared" ca="1" si="109"/>
        <v>41</v>
      </c>
      <c r="D138">
        <f t="shared" ca="1" si="110"/>
        <v>0.22125471626494794</v>
      </c>
      <c r="F138" s="1">
        <f t="shared" ca="1" si="111"/>
        <v>22</v>
      </c>
      <c r="G138" s="1">
        <f t="shared" ca="1" si="112"/>
        <v>10</v>
      </c>
      <c r="H138" s="1">
        <f t="shared" ca="1" si="113"/>
        <v>13</v>
      </c>
      <c r="I138" s="1"/>
      <c r="J138" s="1">
        <f t="shared" ca="1" si="114"/>
        <v>23</v>
      </c>
      <c r="K138" s="1">
        <f t="shared" ca="1" si="115"/>
        <v>1.9005664253397301</v>
      </c>
      <c r="L138" s="1">
        <f t="shared" ca="1" si="116"/>
        <v>12</v>
      </c>
      <c r="M138" s="1"/>
      <c r="N138" s="1">
        <f t="shared" ca="1" si="117"/>
        <v>248</v>
      </c>
      <c r="O138" s="1">
        <f t="shared" ca="1" si="118"/>
        <v>19</v>
      </c>
      <c r="P138" s="1"/>
      <c r="Q138" s="1">
        <f t="shared" ca="1" si="119"/>
        <v>1.3573033998371986</v>
      </c>
      <c r="R138" s="1">
        <f t="shared" ca="1" si="120"/>
        <v>445</v>
      </c>
      <c r="S138" s="1"/>
      <c r="T138" s="1">
        <f t="shared" ca="1" si="121"/>
        <v>6.1379235929385163E-2</v>
      </c>
      <c r="U138" s="1">
        <f t="shared" ca="1" si="122"/>
        <v>291</v>
      </c>
      <c r="V138" s="1">
        <f t="shared" ca="1" si="123"/>
        <v>47</v>
      </c>
      <c r="W138" s="1"/>
      <c r="X138" s="1">
        <f t="shared" ca="1" si="124"/>
        <v>9.7270775573145336</v>
      </c>
      <c r="Y138" s="1">
        <f t="shared" ca="1" si="125"/>
        <v>0.1054511408184126</v>
      </c>
      <c r="Z138" s="1">
        <f t="shared" ca="1" si="126"/>
        <v>856</v>
      </c>
      <c r="AB138" s="1">
        <f t="shared" ca="1" si="127"/>
        <v>0.69372062461316675</v>
      </c>
      <c r="AC138" s="1">
        <f t="shared" ca="1" si="128"/>
        <v>303</v>
      </c>
      <c r="AD138" s="1">
        <f t="shared" ca="1" si="129"/>
        <v>3.3750938772791486E-3</v>
      </c>
      <c r="AE138" s="1"/>
      <c r="AF138" s="1">
        <f t="shared" ca="1" si="130"/>
        <v>0.8810018214622789</v>
      </c>
      <c r="AG138" s="1">
        <f t="shared" ca="1" si="131"/>
        <v>262</v>
      </c>
      <c r="AH138" s="1">
        <f t="shared" ca="1" si="132"/>
        <v>4.0605439641536074E-3</v>
      </c>
      <c r="AJ138" s="1">
        <f t="shared" ca="1" si="133"/>
        <v>0.59613737550515455</v>
      </c>
      <c r="AK138" s="1">
        <f t="shared" ca="1" si="134"/>
        <v>6.4202027240642702E-3</v>
      </c>
      <c r="AL138" s="1"/>
      <c r="AM138" s="1">
        <f t="shared" ca="1" si="135"/>
        <v>1.5466957464338061E-2</v>
      </c>
      <c r="AN138" s="1">
        <f t="shared" ca="1" si="136"/>
        <v>32</v>
      </c>
      <c r="AO138" s="1">
        <f t="shared" ca="1" si="137"/>
        <v>19</v>
      </c>
      <c r="AQ138" s="1">
        <f t="shared" ca="1" si="138"/>
        <v>14</v>
      </c>
      <c r="AR138" s="1">
        <f t="shared" ca="1" si="139"/>
        <v>8</v>
      </c>
      <c r="AS138" s="1">
        <f t="shared" ca="1" si="140"/>
        <v>31</v>
      </c>
      <c r="AU138" s="1">
        <f t="shared" ca="1" si="141"/>
        <v>400</v>
      </c>
      <c r="AV138" s="1">
        <f t="shared" ca="1" si="142"/>
        <v>6</v>
      </c>
      <c r="AW138" s="1">
        <f t="shared" ca="1" si="143"/>
        <v>1.4835063028423127E-2</v>
      </c>
      <c r="AY138" s="1">
        <f t="shared" ca="1" si="144"/>
        <v>1.3865935506985463</v>
      </c>
      <c r="AZ138" s="1">
        <f t="shared" ca="1" si="145"/>
        <v>134</v>
      </c>
      <c r="BA138" s="1">
        <f t="shared" ca="1" si="146"/>
        <v>1.5359860880931186E-3</v>
      </c>
      <c r="BV138" s="1">
        <f t="shared" ca="1" si="147"/>
        <v>0.41719734818150944</v>
      </c>
      <c r="BW138" s="1">
        <f t="shared" ca="1" si="148"/>
        <v>897</v>
      </c>
      <c r="BX138" s="1">
        <f t="shared" ca="1" si="149"/>
        <v>8.4344082758953942E-3</v>
      </c>
      <c r="BY138" s="1">
        <f t="shared" ca="1" si="150"/>
        <v>1.0804036841093425E-2</v>
      </c>
      <c r="BZ138" s="1">
        <f t="shared" ca="1" si="151"/>
        <v>0.89401864260222685</v>
      </c>
      <c r="CB138" s="1">
        <f t="shared" ca="1" si="152"/>
        <v>312</v>
      </c>
      <c r="CC138" s="1">
        <f t="shared" ca="1" si="153"/>
        <v>12</v>
      </c>
      <c r="CD138" s="1">
        <f t="shared" ca="1" si="154"/>
        <v>0.29673459605121377</v>
      </c>
      <c r="CE138" s="1">
        <f t="shared" ca="1" si="155"/>
        <v>0.62744829398474899</v>
      </c>
      <c r="CF138" s="1">
        <f t="shared" ca="1" si="155"/>
        <v>0.74741215726355592</v>
      </c>
      <c r="CH138" s="7">
        <f t="shared" ca="1" si="156"/>
        <v>0.46698365829750843</v>
      </c>
      <c r="CI138" s="7">
        <f t="shared" ca="1" si="157"/>
        <v>0.75391320279704122</v>
      </c>
      <c r="CJ138" s="7">
        <f t="shared" ca="1" si="158"/>
        <v>1004</v>
      </c>
      <c r="CK138" s="7">
        <f t="shared" ca="1" si="159"/>
        <v>4.562147567540243E-3</v>
      </c>
      <c r="CL138" s="7">
        <f t="shared" ca="1" si="160"/>
        <v>0</v>
      </c>
    </row>
    <row r="139" spans="2:90" x14ac:dyDescent="0.25">
      <c r="B139">
        <f t="shared" ca="1" si="108"/>
        <v>830</v>
      </c>
      <c r="C139">
        <f t="shared" ca="1" si="109"/>
        <v>2</v>
      </c>
      <c r="D139">
        <f t="shared" ca="1" si="110"/>
        <v>5.5618283265701368E-2</v>
      </c>
      <c r="F139" s="1">
        <f t="shared" ca="1" si="111"/>
        <v>23</v>
      </c>
      <c r="G139" s="1">
        <f t="shared" ca="1" si="112"/>
        <v>22</v>
      </c>
      <c r="H139" s="1">
        <f t="shared" ca="1" si="113"/>
        <v>12</v>
      </c>
      <c r="I139" s="1"/>
      <c r="J139" s="1">
        <f t="shared" ca="1" si="114"/>
        <v>23</v>
      </c>
      <c r="K139" s="1">
        <f t="shared" ca="1" si="115"/>
        <v>1.0550586944877609</v>
      </c>
      <c r="L139" s="1">
        <f t="shared" ca="1" si="116"/>
        <v>19</v>
      </c>
      <c r="M139" s="1"/>
      <c r="N139" s="1">
        <f t="shared" ca="1" si="117"/>
        <v>720</v>
      </c>
      <c r="O139" s="1">
        <f t="shared" ca="1" si="118"/>
        <v>10</v>
      </c>
      <c r="P139" s="1"/>
      <c r="Q139" s="1">
        <f t="shared" ca="1" si="119"/>
        <v>0.40565545784659435</v>
      </c>
      <c r="R139" s="1">
        <f t="shared" ca="1" si="120"/>
        <v>249</v>
      </c>
      <c r="S139" s="1"/>
      <c r="T139" s="1">
        <f t="shared" ca="1" si="121"/>
        <v>5.1788006602956342E-2</v>
      </c>
      <c r="U139" s="1">
        <f t="shared" ca="1" si="122"/>
        <v>335</v>
      </c>
      <c r="V139" s="1">
        <f t="shared" ca="1" si="123"/>
        <v>29</v>
      </c>
      <c r="W139" s="1"/>
      <c r="X139" s="1">
        <f t="shared" ca="1" si="124"/>
        <v>0.1104241546963174</v>
      </c>
      <c r="Y139" s="1">
        <f t="shared" ca="1" si="125"/>
        <v>0.4037219606817487</v>
      </c>
      <c r="Z139" s="1">
        <f t="shared" ca="1" si="126"/>
        <v>1459</v>
      </c>
      <c r="AB139" s="1">
        <f t="shared" ca="1" si="127"/>
        <v>0.22796299794730654</v>
      </c>
      <c r="AC139" s="1">
        <f t="shared" ca="1" si="128"/>
        <v>191</v>
      </c>
      <c r="AD139" s="1">
        <f t="shared" ca="1" si="129"/>
        <v>7.9124543053113103E-3</v>
      </c>
      <c r="AE139" s="1"/>
      <c r="AF139" s="1">
        <f t="shared" ca="1" si="130"/>
        <v>0.41233776864495553</v>
      </c>
      <c r="AG139" s="1">
        <f t="shared" ca="1" si="131"/>
        <v>155</v>
      </c>
      <c r="AH139" s="1">
        <f t="shared" ca="1" si="132"/>
        <v>9.2899812340831653E-3</v>
      </c>
      <c r="AJ139" s="1">
        <f t="shared" ca="1" si="133"/>
        <v>0.39121307994490218</v>
      </c>
      <c r="AK139" s="1">
        <f t="shared" ca="1" si="134"/>
        <v>2.6255308182077746E-3</v>
      </c>
      <c r="AL139" s="1"/>
      <c r="AM139" s="1">
        <f t="shared" ca="1" si="135"/>
        <v>3.2746984493535941E-2</v>
      </c>
      <c r="AN139" s="1">
        <f t="shared" ca="1" si="136"/>
        <v>62</v>
      </c>
      <c r="AO139" s="1">
        <f t="shared" ca="1" si="137"/>
        <v>12</v>
      </c>
      <c r="AQ139" s="1">
        <f t="shared" ca="1" si="138"/>
        <v>68</v>
      </c>
      <c r="AR139" s="1">
        <f t="shared" ca="1" si="139"/>
        <v>3</v>
      </c>
      <c r="AS139" s="1">
        <f t="shared" ca="1" si="140"/>
        <v>74</v>
      </c>
      <c r="AU139" s="1">
        <f t="shared" ca="1" si="141"/>
        <v>193</v>
      </c>
      <c r="AV139" s="1">
        <f t="shared" ca="1" si="142"/>
        <v>9</v>
      </c>
      <c r="AW139" s="1">
        <f t="shared" ca="1" si="143"/>
        <v>0.10989746416055841</v>
      </c>
      <c r="AY139" s="1">
        <f t="shared" ca="1" si="144"/>
        <v>1.3134460511146382</v>
      </c>
      <c r="AZ139" s="1">
        <f t="shared" ca="1" si="145"/>
        <v>344</v>
      </c>
      <c r="BA139" s="1">
        <f t="shared" ca="1" si="146"/>
        <v>4.7432426794132991E-4</v>
      </c>
      <c r="BV139" s="1">
        <f t="shared" ca="1" si="147"/>
        <v>0.62686515592709247</v>
      </c>
      <c r="BW139" s="1">
        <f t="shared" ca="1" si="148"/>
        <v>184</v>
      </c>
      <c r="BX139" s="1">
        <f t="shared" ca="1" si="149"/>
        <v>3.1998475143956554E-3</v>
      </c>
      <c r="BY139" s="1">
        <f t="shared" ca="1" si="150"/>
        <v>2.9145536613749381E-2</v>
      </c>
      <c r="BZ139" s="1">
        <f t="shared" ca="1" si="151"/>
        <v>0.19084284379072824</v>
      </c>
      <c r="CB139" s="1">
        <f t="shared" ca="1" si="152"/>
        <v>168</v>
      </c>
      <c r="CC139" s="1">
        <f t="shared" ca="1" si="153"/>
        <v>9</v>
      </c>
      <c r="CD139" s="1">
        <f t="shared" ca="1" si="154"/>
        <v>0.16006091351257984</v>
      </c>
      <c r="CE139" s="1">
        <f t="shared" ca="1" si="155"/>
        <v>0.57593676171532548</v>
      </c>
      <c r="CF139" s="1">
        <f t="shared" ca="1" si="155"/>
        <v>0.9189261926272887</v>
      </c>
      <c r="CH139" s="7">
        <f t="shared" ca="1" si="156"/>
        <v>0.20626078135563844</v>
      </c>
      <c r="CI139" s="7">
        <f t="shared" ca="1" si="157"/>
        <v>0.40135570735175491</v>
      </c>
      <c r="CJ139" s="7">
        <f t="shared" ca="1" si="158"/>
        <v>1151</v>
      </c>
      <c r="CK139" s="7">
        <f t="shared" ca="1" si="159"/>
        <v>7.095026201143358E-3</v>
      </c>
      <c r="CL139" s="7">
        <f t="shared" ca="1" si="160"/>
        <v>0</v>
      </c>
    </row>
    <row r="140" spans="2:90" x14ac:dyDescent="0.25">
      <c r="B140">
        <f t="shared" ca="1" si="108"/>
        <v>387</v>
      </c>
      <c r="C140">
        <f t="shared" ca="1" si="109"/>
        <v>43</v>
      </c>
      <c r="D140">
        <f t="shared" ca="1" si="110"/>
        <v>0.11583064148226271</v>
      </c>
      <c r="F140" s="1">
        <f t="shared" ca="1" si="111"/>
        <v>52</v>
      </c>
      <c r="G140" s="1">
        <f t="shared" ca="1" si="112"/>
        <v>20</v>
      </c>
      <c r="H140" s="1">
        <f t="shared" ca="1" si="113"/>
        <v>7</v>
      </c>
      <c r="I140" s="1"/>
      <c r="J140" s="1">
        <f t="shared" ca="1" si="114"/>
        <v>26</v>
      </c>
      <c r="K140" s="1">
        <f t="shared" ca="1" si="115"/>
        <v>2.4396529486375815</v>
      </c>
      <c r="L140" s="1">
        <f t="shared" ca="1" si="116"/>
        <v>31</v>
      </c>
      <c r="M140" s="1"/>
      <c r="N140" s="1">
        <f t="shared" ca="1" si="117"/>
        <v>749</v>
      </c>
      <c r="O140" s="1">
        <f t="shared" ca="1" si="118"/>
        <v>25</v>
      </c>
      <c r="P140" s="1"/>
      <c r="Q140" s="1">
        <f t="shared" ca="1" si="119"/>
        <v>0.31155438248824224</v>
      </c>
      <c r="R140" s="1">
        <f t="shared" ca="1" si="120"/>
        <v>1190</v>
      </c>
      <c r="S140" s="1"/>
      <c r="T140" s="1">
        <f t="shared" ca="1" si="121"/>
        <v>4.9262839352592611E-2</v>
      </c>
      <c r="U140" s="1">
        <f t="shared" ca="1" si="122"/>
        <v>221</v>
      </c>
      <c r="V140" s="1">
        <f t="shared" ca="1" si="123"/>
        <v>52</v>
      </c>
      <c r="W140" s="1"/>
      <c r="X140" s="1">
        <f t="shared" ca="1" si="124"/>
        <v>0.37233867219869837</v>
      </c>
      <c r="Y140" s="1">
        <f t="shared" ca="1" si="125"/>
        <v>0.55007705630875092</v>
      </c>
      <c r="Z140" s="1">
        <f t="shared" ca="1" si="126"/>
        <v>110</v>
      </c>
      <c r="AB140" s="1">
        <f t="shared" ca="1" si="127"/>
        <v>0.68405216679725689</v>
      </c>
      <c r="AC140" s="1">
        <f t="shared" ca="1" si="128"/>
        <v>625</v>
      </c>
      <c r="AD140" s="1">
        <f t="shared" ca="1" si="129"/>
        <v>1.4468821118429788E-4</v>
      </c>
      <c r="AE140" s="1"/>
      <c r="AF140" s="1">
        <f t="shared" ca="1" si="130"/>
        <v>0.27759099956995514</v>
      </c>
      <c r="AG140" s="1">
        <f t="shared" ca="1" si="131"/>
        <v>781</v>
      </c>
      <c r="AH140" s="1">
        <f t="shared" ca="1" si="132"/>
        <v>2.7367591813744489E-3</v>
      </c>
      <c r="AJ140" s="1">
        <f t="shared" ca="1" si="133"/>
        <v>0.97708599726136747</v>
      </c>
      <c r="AK140" s="1">
        <f t="shared" ca="1" si="134"/>
        <v>2.3840324071885926E-3</v>
      </c>
      <c r="AL140" s="1"/>
      <c r="AM140" s="1">
        <f t="shared" ca="1" si="135"/>
        <v>8.1765397970695528E-3</v>
      </c>
      <c r="AN140" s="1">
        <f t="shared" ca="1" si="136"/>
        <v>40</v>
      </c>
      <c r="AO140" s="1">
        <f t="shared" ca="1" si="137"/>
        <v>2</v>
      </c>
      <c r="AQ140" s="1">
        <f t="shared" ca="1" si="138"/>
        <v>97</v>
      </c>
      <c r="AR140" s="1">
        <f t="shared" ca="1" si="139"/>
        <v>9</v>
      </c>
      <c r="AS140" s="1">
        <f t="shared" ca="1" si="140"/>
        <v>67</v>
      </c>
      <c r="AU140" s="1">
        <f t="shared" ca="1" si="141"/>
        <v>276</v>
      </c>
      <c r="AV140" s="1">
        <f t="shared" ca="1" si="142"/>
        <v>4</v>
      </c>
      <c r="AW140" s="1">
        <f t="shared" ca="1" si="143"/>
        <v>9.3114045511935042E-2</v>
      </c>
      <c r="AY140" s="1">
        <f t="shared" ca="1" si="144"/>
        <v>1.3923091914253618</v>
      </c>
      <c r="AZ140" s="1">
        <f t="shared" ca="1" si="145"/>
        <v>395</v>
      </c>
      <c r="BA140" s="1">
        <f t="shared" ca="1" si="146"/>
        <v>1.8551913769789521E-3</v>
      </c>
      <c r="BV140" s="1">
        <f t="shared" ca="1" si="147"/>
        <v>0.10075633977655388</v>
      </c>
      <c r="BW140" s="1">
        <f t="shared" ca="1" si="148"/>
        <v>436</v>
      </c>
      <c r="BX140" s="1">
        <f t="shared" ca="1" si="149"/>
        <v>4.6288838330403575E-3</v>
      </c>
      <c r="BY140" s="1">
        <f t="shared" ca="1" si="150"/>
        <v>5.302913466571612E-2</v>
      </c>
      <c r="BZ140" s="1">
        <f t="shared" ca="1" si="151"/>
        <v>0.9677933860680582</v>
      </c>
      <c r="CB140" s="1">
        <f t="shared" ca="1" si="152"/>
        <v>98</v>
      </c>
      <c r="CC140" s="1">
        <f t="shared" ca="1" si="153"/>
        <v>4</v>
      </c>
      <c r="CD140" s="1">
        <f t="shared" ca="1" si="154"/>
        <v>0.11225054615329121</v>
      </c>
      <c r="CE140" s="1">
        <f t="shared" ca="1" si="155"/>
        <v>0.95413025302860854</v>
      </c>
      <c r="CF140" s="1">
        <f t="shared" ca="1" si="155"/>
        <v>0.55494997427803572</v>
      </c>
      <c r="CH140" s="7">
        <f t="shared" ca="1" si="156"/>
        <v>0.28564883727895296</v>
      </c>
      <c r="CI140" s="7">
        <f t="shared" ca="1" si="157"/>
        <v>2.4127946173477334E-2</v>
      </c>
      <c r="CJ140" s="7">
        <f t="shared" ca="1" si="158"/>
        <v>976</v>
      </c>
      <c r="CK140" s="7">
        <f t="shared" ca="1" si="159"/>
        <v>8.0061187436816887E-3</v>
      </c>
      <c r="CL140" s="7">
        <f t="shared" ca="1" si="160"/>
        <v>0</v>
      </c>
    </row>
    <row r="141" spans="2:90" x14ac:dyDescent="0.25">
      <c r="B141">
        <f t="shared" ca="1" si="108"/>
        <v>23</v>
      </c>
      <c r="C141">
        <f t="shared" ca="1" si="109"/>
        <v>51</v>
      </c>
      <c r="D141">
        <f t="shared" ca="1" si="110"/>
        <v>0.18510106133621512</v>
      </c>
      <c r="F141" s="1">
        <f t="shared" ca="1" si="111"/>
        <v>6</v>
      </c>
      <c r="G141" s="1">
        <f t="shared" ca="1" si="112"/>
        <v>18</v>
      </c>
      <c r="H141" s="1">
        <f t="shared" ca="1" si="113"/>
        <v>1</v>
      </c>
      <c r="I141" s="1"/>
      <c r="J141" s="1">
        <f t="shared" ca="1" si="114"/>
        <v>16</v>
      </c>
      <c r="K141" s="1">
        <f t="shared" ca="1" si="115"/>
        <v>1.2436734384606756</v>
      </c>
      <c r="L141" s="1">
        <f t="shared" ca="1" si="116"/>
        <v>26</v>
      </c>
      <c r="M141" s="1"/>
      <c r="N141" s="1">
        <f t="shared" ca="1" si="117"/>
        <v>746</v>
      </c>
      <c r="O141" s="1">
        <f t="shared" ca="1" si="118"/>
        <v>25</v>
      </c>
      <c r="P141" s="1"/>
      <c r="Q141" s="1">
        <f t="shared" ca="1" si="119"/>
        <v>0.20266813247053841</v>
      </c>
      <c r="R141" s="1">
        <f t="shared" ca="1" si="120"/>
        <v>491</v>
      </c>
      <c r="S141" s="1"/>
      <c r="T141" s="1">
        <f t="shared" ca="1" si="121"/>
        <v>0.12349815700900359</v>
      </c>
      <c r="U141" s="1">
        <f t="shared" ca="1" si="122"/>
        <v>318</v>
      </c>
      <c r="V141" s="1">
        <f t="shared" ca="1" si="123"/>
        <v>4</v>
      </c>
      <c r="W141" s="1"/>
      <c r="X141" s="1">
        <f t="shared" ca="1" si="124"/>
        <v>6.3954633591383336</v>
      </c>
      <c r="Y141" s="1">
        <f t="shared" ca="1" si="125"/>
        <v>0.29701625894601064</v>
      </c>
      <c r="Z141" s="1">
        <f t="shared" ca="1" si="126"/>
        <v>1336</v>
      </c>
      <c r="AB141" s="1">
        <f t="shared" ca="1" si="127"/>
        <v>3.2906558696078357E-2</v>
      </c>
      <c r="AC141" s="1">
        <f t="shared" ca="1" si="128"/>
        <v>354</v>
      </c>
      <c r="AD141" s="1">
        <f t="shared" ca="1" si="129"/>
        <v>1.0008503597795826E-4</v>
      </c>
      <c r="AE141" s="1"/>
      <c r="AF141" s="1">
        <f t="shared" ca="1" si="130"/>
        <v>0.55388748733891924</v>
      </c>
      <c r="AG141" s="1">
        <f t="shared" ca="1" si="131"/>
        <v>196</v>
      </c>
      <c r="AH141" s="1">
        <f t="shared" ca="1" si="132"/>
        <v>2.4295575322880879E-3</v>
      </c>
      <c r="AJ141" s="1">
        <f t="shared" ca="1" si="133"/>
        <v>0.76261490538783239</v>
      </c>
      <c r="AK141" s="1">
        <f t="shared" ca="1" si="134"/>
        <v>9.8459644060796374E-3</v>
      </c>
      <c r="AL141" s="1"/>
      <c r="AM141" s="1">
        <f t="shared" ca="1" si="135"/>
        <v>8.8271248217449375E-2</v>
      </c>
      <c r="AN141" s="1">
        <f t="shared" ca="1" si="136"/>
        <v>80</v>
      </c>
      <c r="AO141" s="1">
        <f t="shared" ca="1" si="137"/>
        <v>-1</v>
      </c>
      <c r="AQ141" s="1">
        <f t="shared" ca="1" si="138"/>
        <v>70</v>
      </c>
      <c r="AR141" s="1">
        <f t="shared" ca="1" si="139"/>
        <v>1</v>
      </c>
      <c r="AS141" s="1">
        <f t="shared" ca="1" si="140"/>
        <v>3</v>
      </c>
      <c r="AU141" s="1">
        <f t="shared" ca="1" si="141"/>
        <v>309</v>
      </c>
      <c r="AV141" s="1">
        <f t="shared" ca="1" si="142"/>
        <v>4</v>
      </c>
      <c r="AW141" s="1">
        <f t="shared" ca="1" si="143"/>
        <v>0.13646933077924617</v>
      </c>
      <c r="AY141" s="1">
        <f t="shared" ca="1" si="144"/>
        <v>1.4290158999348557</v>
      </c>
      <c r="AZ141" s="1">
        <f t="shared" ca="1" si="145"/>
        <v>209</v>
      </c>
      <c r="BA141" s="1">
        <f t="shared" ca="1" si="146"/>
        <v>9.3208058218238587E-3</v>
      </c>
      <c r="BV141" s="1">
        <f t="shared" ca="1" si="147"/>
        <v>0.25138473921051863</v>
      </c>
      <c r="BW141" s="1">
        <f t="shared" ca="1" si="148"/>
        <v>471</v>
      </c>
      <c r="BX141" s="1">
        <f t="shared" ca="1" si="149"/>
        <v>5.6283855091171248E-3</v>
      </c>
      <c r="BY141" s="1">
        <f t="shared" ca="1" si="150"/>
        <v>5.4786327427328287E-2</v>
      </c>
      <c r="BZ141" s="1">
        <f t="shared" ca="1" si="151"/>
        <v>0.99396335676924474</v>
      </c>
      <c r="CB141" s="1">
        <f t="shared" ca="1" si="152"/>
        <v>475</v>
      </c>
      <c r="CC141" s="1">
        <f t="shared" ca="1" si="153"/>
        <v>3</v>
      </c>
      <c r="CD141" s="1">
        <f t="shared" ca="1" si="154"/>
        <v>0.26443492610690672</v>
      </c>
      <c r="CE141" s="1">
        <f t="shared" ca="1" si="155"/>
        <v>0.88002439772330854</v>
      </c>
      <c r="CF141" s="1">
        <f t="shared" ca="1" si="155"/>
        <v>0.82475241811959799</v>
      </c>
      <c r="CH141" s="7">
        <f t="shared" ca="1" si="156"/>
        <v>0.48948062777296392</v>
      </c>
      <c r="CI141" s="7">
        <f t="shared" ca="1" si="157"/>
        <v>0.61440184255671348</v>
      </c>
      <c r="CJ141" s="7">
        <f t="shared" ca="1" si="158"/>
        <v>1289</v>
      </c>
      <c r="CK141" s="7">
        <f t="shared" ca="1" si="159"/>
        <v>6.0766909705300097E-3</v>
      </c>
      <c r="CL141" s="7">
        <f t="shared" ca="1" si="160"/>
        <v>0</v>
      </c>
    </row>
    <row r="142" spans="2:90" x14ac:dyDescent="0.25">
      <c r="B142">
        <f t="shared" ca="1" si="108"/>
        <v>859</v>
      </c>
      <c r="C142">
        <f t="shared" ca="1" si="109"/>
        <v>14</v>
      </c>
      <c r="D142">
        <f t="shared" ca="1" si="110"/>
        <v>0.17819222305171534</v>
      </c>
      <c r="F142" s="1">
        <f t="shared" ca="1" si="111"/>
        <v>52</v>
      </c>
      <c r="G142" s="1">
        <f t="shared" ca="1" si="112"/>
        <v>10</v>
      </c>
      <c r="H142" s="1">
        <f t="shared" ca="1" si="113"/>
        <v>11</v>
      </c>
      <c r="I142" s="1"/>
      <c r="J142" s="1">
        <f t="shared" ca="1" si="114"/>
        <v>31</v>
      </c>
      <c r="K142" s="1">
        <f t="shared" ca="1" si="115"/>
        <v>2.5674486240009804</v>
      </c>
      <c r="L142" s="1">
        <f t="shared" ca="1" si="116"/>
        <v>3</v>
      </c>
      <c r="M142" s="1"/>
      <c r="N142" s="1">
        <f t="shared" ca="1" si="117"/>
        <v>366</v>
      </c>
      <c r="O142" s="1">
        <f t="shared" ca="1" si="118"/>
        <v>38</v>
      </c>
      <c r="P142" s="1"/>
      <c r="Q142" s="1">
        <f t="shared" ca="1" si="119"/>
        <v>4.2654621865533864</v>
      </c>
      <c r="R142" s="1">
        <f t="shared" ca="1" si="120"/>
        <v>255</v>
      </c>
      <c r="S142" s="1"/>
      <c r="T142" s="1">
        <f t="shared" ca="1" si="121"/>
        <v>0.15452676255263093</v>
      </c>
      <c r="U142" s="1">
        <f t="shared" ca="1" si="122"/>
        <v>427</v>
      </c>
      <c r="V142" s="1">
        <f t="shared" ca="1" si="123"/>
        <v>3</v>
      </c>
      <c r="W142" s="1"/>
      <c r="X142" s="1">
        <f t="shared" ca="1" si="124"/>
        <v>1.9114314902674816</v>
      </c>
      <c r="Y142" s="1">
        <f t="shared" ca="1" si="125"/>
        <v>0.54185540420948008</v>
      </c>
      <c r="Z142" s="1">
        <f t="shared" ca="1" si="126"/>
        <v>1655</v>
      </c>
      <c r="AB142" s="1">
        <f t="shared" ca="1" si="127"/>
        <v>7.4292872293699283E-2</v>
      </c>
      <c r="AC142" s="1">
        <f t="shared" ca="1" si="128"/>
        <v>473</v>
      </c>
      <c r="AD142" s="1">
        <f t="shared" ca="1" si="129"/>
        <v>7.5264874325816928E-3</v>
      </c>
      <c r="AE142" s="1"/>
      <c r="AF142" s="1">
        <f t="shared" ca="1" si="130"/>
        <v>0.74685548435059368</v>
      </c>
      <c r="AG142" s="1">
        <f t="shared" ca="1" si="131"/>
        <v>917</v>
      </c>
      <c r="AH142" s="1">
        <f t="shared" ca="1" si="132"/>
        <v>3.1823778017820549E-3</v>
      </c>
      <c r="AJ142" s="1">
        <f t="shared" ca="1" si="133"/>
        <v>4.6642311945298109E-2</v>
      </c>
      <c r="AK142" s="1">
        <f t="shared" ca="1" si="134"/>
        <v>2.8091898490263446E-3</v>
      </c>
      <c r="AL142" s="1"/>
      <c r="AM142" s="1">
        <f t="shared" ca="1" si="135"/>
        <v>0.16679268594447832</v>
      </c>
      <c r="AN142" s="1">
        <f t="shared" ca="1" si="136"/>
        <v>37</v>
      </c>
      <c r="AO142" s="1">
        <f t="shared" ca="1" si="137"/>
        <v>8</v>
      </c>
      <c r="AQ142" s="1">
        <f t="shared" ca="1" si="138"/>
        <v>121</v>
      </c>
      <c r="AR142" s="1">
        <f t="shared" ca="1" si="139"/>
        <v>9</v>
      </c>
      <c r="AS142" s="1">
        <f t="shared" ca="1" si="140"/>
        <v>2</v>
      </c>
      <c r="AU142" s="1">
        <f t="shared" ca="1" si="141"/>
        <v>398</v>
      </c>
      <c r="AV142" s="1">
        <f t="shared" ca="1" si="142"/>
        <v>10</v>
      </c>
      <c r="AW142" s="1">
        <f t="shared" ca="1" si="143"/>
        <v>0.15693491111467839</v>
      </c>
      <c r="AY142" s="1">
        <f t="shared" ca="1" si="144"/>
        <v>1.6149939645660369</v>
      </c>
      <c r="AZ142" s="1">
        <f t="shared" ca="1" si="145"/>
        <v>408</v>
      </c>
      <c r="BA142" s="1">
        <f t="shared" ca="1" si="146"/>
        <v>2.9474235923958201E-3</v>
      </c>
      <c r="BV142" s="1">
        <f t="shared" ca="1" si="147"/>
        <v>0.62243322560013215</v>
      </c>
      <c r="BW142" s="1">
        <f t="shared" ca="1" si="148"/>
        <v>241</v>
      </c>
      <c r="BX142" s="1">
        <f t="shared" ca="1" si="149"/>
        <v>4.1407261716436012E-3</v>
      </c>
      <c r="BY142" s="1">
        <f t="shared" ca="1" si="150"/>
        <v>6.411246044410146E-2</v>
      </c>
      <c r="BZ142" s="1">
        <f t="shared" ca="1" si="151"/>
        <v>0.82859009911867687</v>
      </c>
      <c r="CB142" s="1">
        <f t="shared" ca="1" si="152"/>
        <v>222</v>
      </c>
      <c r="CC142" s="1">
        <f t="shared" ca="1" si="153"/>
        <v>7</v>
      </c>
      <c r="CD142" s="1">
        <f t="shared" ca="1" si="154"/>
        <v>0.20933603623436975</v>
      </c>
      <c r="CE142" s="1">
        <f t="shared" ca="1" si="155"/>
        <v>0.63545394898367336</v>
      </c>
      <c r="CF142" s="1">
        <f t="shared" ca="1" si="155"/>
        <v>0.75689681280187127</v>
      </c>
      <c r="CH142" s="7">
        <f t="shared" ca="1" si="156"/>
        <v>0.79288308156360632</v>
      </c>
      <c r="CI142" s="7">
        <f t="shared" ca="1" si="157"/>
        <v>0.8518871060464337</v>
      </c>
      <c r="CJ142" s="7">
        <f t="shared" ca="1" si="158"/>
        <v>1147</v>
      </c>
      <c r="CK142" s="7">
        <f t="shared" ca="1" si="159"/>
        <v>1.5862905928007139E-3</v>
      </c>
      <c r="CL142" s="7">
        <f t="shared" ca="1" si="160"/>
        <v>1</v>
      </c>
    </row>
    <row r="143" spans="2:90" x14ac:dyDescent="0.25">
      <c r="B143">
        <f t="shared" ca="1" si="108"/>
        <v>622</v>
      </c>
      <c r="C143">
        <f t="shared" ca="1" si="109"/>
        <v>49</v>
      </c>
      <c r="D143">
        <f t="shared" ca="1" si="110"/>
        <v>3.315291615772812E-2</v>
      </c>
      <c r="F143" s="1">
        <f t="shared" ca="1" si="111"/>
        <v>3</v>
      </c>
      <c r="G143" s="1">
        <f t="shared" ca="1" si="112"/>
        <v>2</v>
      </c>
      <c r="H143" s="1">
        <f t="shared" ca="1" si="113"/>
        <v>3</v>
      </c>
      <c r="I143" s="1"/>
      <c r="J143" s="1">
        <f t="shared" ca="1" si="114"/>
        <v>18</v>
      </c>
      <c r="K143" s="1">
        <f t="shared" ca="1" si="115"/>
        <v>1.4933884730474103</v>
      </c>
      <c r="L143" s="1">
        <f t="shared" ca="1" si="116"/>
        <v>30</v>
      </c>
      <c r="M143" s="1"/>
      <c r="N143" s="1">
        <f t="shared" ca="1" si="117"/>
        <v>714</v>
      </c>
      <c r="O143" s="1">
        <f t="shared" ca="1" si="118"/>
        <v>50</v>
      </c>
      <c r="P143" s="1"/>
      <c r="Q143" s="1">
        <f t="shared" ca="1" si="119"/>
        <v>0.68259876043918655</v>
      </c>
      <c r="R143" s="1">
        <f t="shared" ca="1" si="120"/>
        <v>1015</v>
      </c>
      <c r="S143" s="1"/>
      <c r="T143" s="1">
        <f t="shared" ca="1" si="121"/>
        <v>0.10050394666404874</v>
      </c>
      <c r="U143" s="1">
        <f t="shared" ca="1" si="122"/>
        <v>407</v>
      </c>
      <c r="V143" s="1">
        <f t="shared" ca="1" si="123"/>
        <v>22</v>
      </c>
      <c r="W143" s="1"/>
      <c r="X143" s="1">
        <f t="shared" ca="1" si="124"/>
        <v>4.7740001937277032</v>
      </c>
      <c r="Y143" s="1">
        <f t="shared" ca="1" si="125"/>
        <v>0.8818949337984644</v>
      </c>
      <c r="Z143" s="1">
        <f t="shared" ca="1" si="126"/>
        <v>500</v>
      </c>
      <c r="AB143" s="1">
        <f t="shared" ca="1" si="127"/>
        <v>0.92652149625776714</v>
      </c>
      <c r="AC143" s="1">
        <f t="shared" ca="1" si="128"/>
        <v>933</v>
      </c>
      <c r="AD143" s="1">
        <f t="shared" ca="1" si="129"/>
        <v>5.9118202502472924E-3</v>
      </c>
      <c r="AE143" s="1"/>
      <c r="AF143" s="1">
        <f t="shared" ca="1" si="130"/>
        <v>0.36137656182704259</v>
      </c>
      <c r="AG143" s="1">
        <f t="shared" ca="1" si="131"/>
        <v>788</v>
      </c>
      <c r="AH143" s="1">
        <f t="shared" ca="1" si="132"/>
        <v>7.519246591030735E-3</v>
      </c>
      <c r="AJ143" s="1">
        <f t="shared" ca="1" si="133"/>
        <v>1.3993842965022374E-2</v>
      </c>
      <c r="AK143" s="1">
        <f t="shared" ca="1" si="134"/>
        <v>4.7818126440845351E-4</v>
      </c>
      <c r="AL143" s="1"/>
      <c r="AM143" s="1">
        <f t="shared" ca="1" si="135"/>
        <v>7.7433317457269751E-2</v>
      </c>
      <c r="AN143" s="1">
        <f t="shared" ca="1" si="136"/>
        <v>51</v>
      </c>
      <c r="AO143" s="1">
        <f t="shared" ca="1" si="137"/>
        <v>3</v>
      </c>
      <c r="AQ143" s="1">
        <f t="shared" ca="1" si="138"/>
        <v>172</v>
      </c>
      <c r="AR143" s="1">
        <f t="shared" ca="1" si="139"/>
        <v>10</v>
      </c>
      <c r="AS143" s="1">
        <f t="shared" ca="1" si="140"/>
        <v>43</v>
      </c>
      <c r="AU143" s="1">
        <f t="shared" ca="1" si="141"/>
        <v>147</v>
      </c>
      <c r="AV143" s="1">
        <f t="shared" ca="1" si="142"/>
        <v>7</v>
      </c>
      <c r="AW143" s="1">
        <f t="shared" ca="1" si="143"/>
        <v>8.8717819856817245E-2</v>
      </c>
      <c r="AY143" s="1">
        <f t="shared" ca="1" si="144"/>
        <v>1.6278764040306817</v>
      </c>
      <c r="AZ143" s="1">
        <f t="shared" ca="1" si="145"/>
        <v>458</v>
      </c>
      <c r="BA143" s="1">
        <f t="shared" ca="1" si="146"/>
        <v>7.0112496855718387E-3</v>
      </c>
      <c r="BV143" s="1">
        <f t="shared" ca="1" si="147"/>
        <v>0.41445957506573217</v>
      </c>
      <c r="BW143" s="1">
        <f t="shared" ca="1" si="148"/>
        <v>158</v>
      </c>
      <c r="BX143" s="1">
        <f t="shared" ca="1" si="149"/>
        <v>1.5145829376105092E-3</v>
      </c>
      <c r="BY143" s="1">
        <f t="shared" ca="1" si="150"/>
        <v>3.7591826442027479E-2</v>
      </c>
      <c r="BZ143" s="1">
        <f t="shared" ca="1" si="151"/>
        <v>0.29916876169022621</v>
      </c>
      <c r="CB143" s="1">
        <f t="shared" ca="1" si="152"/>
        <v>274</v>
      </c>
      <c r="CC143" s="1">
        <f t="shared" ca="1" si="153"/>
        <v>3</v>
      </c>
      <c r="CD143" s="1">
        <f t="shared" ca="1" si="154"/>
        <v>0.13891527940627271</v>
      </c>
      <c r="CE143" s="1">
        <f t="shared" ca="1" si="155"/>
        <v>0.82882373507014984</v>
      </c>
      <c r="CF143" s="1">
        <f t="shared" ca="1" si="155"/>
        <v>0.85495606394711676</v>
      </c>
      <c r="CH143" s="7">
        <f t="shared" ca="1" si="156"/>
        <v>0.39932967055907698</v>
      </c>
      <c r="CI143" s="7">
        <f t="shared" ca="1" si="157"/>
        <v>0.85865447372472337</v>
      </c>
      <c r="CJ143" s="7">
        <f t="shared" ca="1" si="158"/>
        <v>1785</v>
      </c>
      <c r="CK143" s="7">
        <f t="shared" ca="1" si="159"/>
        <v>9.9829196886554381E-3</v>
      </c>
      <c r="CL143" s="7">
        <f t="shared" ca="1" si="160"/>
        <v>1</v>
      </c>
    </row>
    <row r="144" spans="2:90" x14ac:dyDescent="0.25">
      <c r="B144">
        <f t="shared" ca="1" si="108"/>
        <v>460</v>
      </c>
      <c r="C144">
        <f t="shared" ca="1" si="109"/>
        <v>19</v>
      </c>
      <c r="D144">
        <f t="shared" ca="1" si="110"/>
        <v>9.4365529106630971E-2</v>
      </c>
      <c r="F144" s="1">
        <f t="shared" ca="1" si="111"/>
        <v>34</v>
      </c>
      <c r="G144" s="1">
        <f t="shared" ca="1" si="112"/>
        <v>18</v>
      </c>
      <c r="H144" s="1">
        <f t="shared" ca="1" si="113"/>
        <v>10</v>
      </c>
      <c r="I144" s="1"/>
      <c r="J144" s="1">
        <f t="shared" ca="1" si="114"/>
        <v>39</v>
      </c>
      <c r="K144" s="1">
        <f t="shared" ca="1" si="115"/>
        <v>2.9536949454663866</v>
      </c>
      <c r="L144" s="1">
        <f t="shared" ca="1" si="116"/>
        <v>9</v>
      </c>
      <c r="M144" s="1"/>
      <c r="N144" s="1">
        <f t="shared" ca="1" si="117"/>
        <v>739</v>
      </c>
      <c r="O144" s="1">
        <f t="shared" ca="1" si="118"/>
        <v>27</v>
      </c>
      <c r="P144" s="1"/>
      <c r="Q144" s="1">
        <f t="shared" ca="1" si="119"/>
        <v>2.5853786109695154</v>
      </c>
      <c r="R144" s="1">
        <f t="shared" ca="1" si="120"/>
        <v>1035</v>
      </c>
      <c r="S144" s="1"/>
      <c r="T144" s="1">
        <f t="shared" ca="1" si="121"/>
        <v>9.536379307657647E-2</v>
      </c>
      <c r="U144" s="1">
        <f t="shared" ca="1" si="122"/>
        <v>213</v>
      </c>
      <c r="V144" s="1">
        <f t="shared" ca="1" si="123"/>
        <v>6</v>
      </c>
      <c r="W144" s="1"/>
      <c r="X144" s="1">
        <f t="shared" ca="1" si="124"/>
        <v>9.3258349066028554</v>
      </c>
      <c r="Y144" s="1">
        <f t="shared" ca="1" si="125"/>
        <v>0.86510514655716353</v>
      </c>
      <c r="Z144" s="1">
        <f t="shared" ca="1" si="126"/>
        <v>1635</v>
      </c>
      <c r="AB144" s="1">
        <f t="shared" ca="1" si="127"/>
        <v>0.10951208758389799</v>
      </c>
      <c r="AC144" s="1">
        <f t="shared" ca="1" si="128"/>
        <v>156</v>
      </c>
      <c r="AD144" s="1">
        <f t="shared" ca="1" si="129"/>
        <v>9.6523786045367068E-3</v>
      </c>
      <c r="AE144" s="1"/>
      <c r="AF144" s="1">
        <f t="shared" ca="1" si="130"/>
        <v>0.26863407791889127</v>
      </c>
      <c r="AG144" s="1">
        <f t="shared" ca="1" si="131"/>
        <v>308</v>
      </c>
      <c r="AH144" s="1">
        <f t="shared" ca="1" si="132"/>
        <v>4.852634025549433E-3</v>
      </c>
      <c r="AJ144" s="1">
        <f t="shared" ca="1" si="133"/>
        <v>0.10511141471325414</v>
      </c>
      <c r="AK144" s="1">
        <f t="shared" ca="1" si="134"/>
        <v>9.3263392612634929E-3</v>
      </c>
      <c r="AL144" s="1"/>
      <c r="AM144" s="1">
        <f t="shared" ca="1" si="135"/>
        <v>9.8021528192459365E-3</v>
      </c>
      <c r="AN144" s="1">
        <f t="shared" ca="1" si="136"/>
        <v>31</v>
      </c>
      <c r="AO144" s="1">
        <f t="shared" ca="1" si="137"/>
        <v>17</v>
      </c>
      <c r="AQ144" s="1">
        <f t="shared" ca="1" si="138"/>
        <v>44</v>
      </c>
      <c r="AR144" s="1">
        <f t="shared" ca="1" si="139"/>
        <v>2</v>
      </c>
      <c r="AS144" s="1">
        <f t="shared" ca="1" si="140"/>
        <v>86</v>
      </c>
      <c r="AU144" s="1">
        <f t="shared" ca="1" si="141"/>
        <v>254</v>
      </c>
      <c r="AV144" s="1">
        <f t="shared" ca="1" si="142"/>
        <v>10</v>
      </c>
      <c r="AW144" s="1">
        <f t="shared" ca="1" si="143"/>
        <v>4.4534050455582577E-2</v>
      </c>
      <c r="AY144" s="1">
        <f t="shared" ca="1" si="144"/>
        <v>1.8273615236183169</v>
      </c>
      <c r="AZ144" s="1">
        <f t="shared" ca="1" si="145"/>
        <v>259</v>
      </c>
      <c r="BA144" s="1">
        <f t="shared" ca="1" si="146"/>
        <v>9.4781518746447774E-3</v>
      </c>
      <c r="BV144" s="1">
        <f t="shared" ca="1" si="147"/>
        <v>0.92157061685115604</v>
      </c>
      <c r="BW144" s="1">
        <f t="shared" ca="1" si="148"/>
        <v>554</v>
      </c>
      <c r="BX144" s="1">
        <f t="shared" ca="1" si="149"/>
        <v>5.2676471169051131E-4</v>
      </c>
      <c r="BY144" s="1">
        <f t="shared" ca="1" si="150"/>
        <v>1.6550825770491665E-2</v>
      </c>
      <c r="BZ144" s="1">
        <f t="shared" ca="1" si="151"/>
        <v>0.46472119997580075</v>
      </c>
      <c r="CB144" s="1">
        <f t="shared" ca="1" si="152"/>
        <v>57</v>
      </c>
      <c r="CC144" s="1">
        <f t="shared" ca="1" si="153"/>
        <v>15</v>
      </c>
      <c r="CD144" s="1">
        <f t="shared" ca="1" si="154"/>
        <v>8.3655211431976434E-2</v>
      </c>
      <c r="CE144" s="1">
        <f t="shared" ca="1" si="155"/>
        <v>0.62218299183885328</v>
      </c>
      <c r="CF144" s="1">
        <f t="shared" ca="1" si="155"/>
        <v>0.6683537983959158</v>
      </c>
      <c r="CH144" s="7">
        <f t="shared" ca="1" si="156"/>
        <v>0.19107661175643578</v>
      </c>
      <c r="CI144" s="7">
        <f t="shared" ca="1" si="157"/>
        <v>0.37728257120294395</v>
      </c>
      <c r="CJ144" s="7">
        <f t="shared" ca="1" si="158"/>
        <v>869</v>
      </c>
      <c r="CK144" s="7">
        <f t="shared" ca="1" si="159"/>
        <v>4.398885903599865E-3</v>
      </c>
      <c r="CL144" s="7">
        <f t="shared" ca="1" si="160"/>
        <v>1</v>
      </c>
    </row>
    <row r="145" spans="2:90" x14ac:dyDescent="0.25">
      <c r="B145">
        <f t="shared" ca="1" si="108"/>
        <v>149</v>
      </c>
      <c r="C145">
        <f t="shared" ca="1" si="109"/>
        <v>13</v>
      </c>
      <c r="D145">
        <f t="shared" ca="1" si="110"/>
        <v>0.12636847791801906</v>
      </c>
      <c r="F145" s="1">
        <f t="shared" ca="1" si="111"/>
        <v>42</v>
      </c>
      <c r="G145" s="1">
        <f t="shared" ca="1" si="112"/>
        <v>13</v>
      </c>
      <c r="H145" s="1">
        <f t="shared" ca="1" si="113"/>
        <v>4</v>
      </c>
      <c r="I145" s="1"/>
      <c r="J145" s="1">
        <f t="shared" ca="1" si="114"/>
        <v>18</v>
      </c>
      <c r="K145" s="1">
        <f t="shared" ca="1" si="115"/>
        <v>1.8223030617573839</v>
      </c>
      <c r="L145" s="1">
        <f t="shared" ca="1" si="116"/>
        <v>29</v>
      </c>
      <c r="M145" s="1"/>
      <c r="N145" s="1">
        <f t="shared" ca="1" si="117"/>
        <v>919</v>
      </c>
      <c r="O145" s="1">
        <f t="shared" ca="1" si="118"/>
        <v>36</v>
      </c>
      <c r="P145" s="1"/>
      <c r="Q145" s="1">
        <f t="shared" ca="1" si="119"/>
        <v>3.1076855791450995</v>
      </c>
      <c r="R145" s="1">
        <f t="shared" ca="1" si="120"/>
        <v>1026</v>
      </c>
      <c r="S145" s="1"/>
      <c r="T145" s="1">
        <f t="shared" ca="1" si="121"/>
        <v>1.8071396291168502E-2</v>
      </c>
      <c r="U145" s="1">
        <f t="shared" ca="1" si="122"/>
        <v>368</v>
      </c>
      <c r="V145" s="1">
        <f t="shared" ca="1" si="123"/>
        <v>4</v>
      </c>
      <c r="W145" s="1"/>
      <c r="X145" s="1">
        <f t="shared" ca="1" si="124"/>
        <v>9.9427867065123792</v>
      </c>
      <c r="Y145" s="1">
        <f t="shared" ca="1" si="125"/>
        <v>0.3055582573207668</v>
      </c>
      <c r="Z145" s="1">
        <f t="shared" ca="1" si="126"/>
        <v>1415</v>
      </c>
      <c r="AB145" s="1">
        <f t="shared" ca="1" si="127"/>
        <v>0.24101777747305117</v>
      </c>
      <c r="AC145" s="1">
        <f t="shared" ca="1" si="128"/>
        <v>110</v>
      </c>
      <c r="AD145" s="1">
        <f t="shared" ca="1" si="129"/>
        <v>5.1748087265672824E-3</v>
      </c>
      <c r="AE145" s="1"/>
      <c r="AF145" s="1">
        <f t="shared" ca="1" si="130"/>
        <v>0.22708271329355628</v>
      </c>
      <c r="AG145" s="1">
        <f t="shared" ca="1" si="131"/>
        <v>1000</v>
      </c>
      <c r="AH145" s="1">
        <f t="shared" ca="1" si="132"/>
        <v>3.0402803059111803E-3</v>
      </c>
      <c r="AJ145" s="1">
        <f t="shared" ca="1" si="133"/>
        <v>0.3062226696972089</v>
      </c>
      <c r="AK145" s="1">
        <f t="shared" ca="1" si="134"/>
        <v>7.263655035246978E-3</v>
      </c>
      <c r="AL145" s="1"/>
      <c r="AM145" s="1">
        <f t="shared" ca="1" si="135"/>
        <v>0.19898479387407289</v>
      </c>
      <c r="AN145" s="1">
        <f t="shared" ca="1" si="136"/>
        <v>13</v>
      </c>
      <c r="AO145" s="1">
        <f t="shared" ca="1" si="137"/>
        <v>1</v>
      </c>
      <c r="AQ145" s="1">
        <f t="shared" ca="1" si="138"/>
        <v>41</v>
      </c>
      <c r="AR145" s="1">
        <f t="shared" ca="1" si="139"/>
        <v>2</v>
      </c>
      <c r="AS145" s="1">
        <f t="shared" ca="1" si="140"/>
        <v>47</v>
      </c>
      <c r="AU145" s="1">
        <f t="shared" ca="1" si="141"/>
        <v>290</v>
      </c>
      <c r="AV145" s="1">
        <f t="shared" ca="1" si="142"/>
        <v>4</v>
      </c>
      <c r="AW145" s="1">
        <f t="shared" ca="1" si="143"/>
        <v>3.6790666107905032E-2</v>
      </c>
      <c r="AY145" s="1">
        <f t="shared" ca="1" si="144"/>
        <v>1.8313718888091806</v>
      </c>
      <c r="AZ145" s="1">
        <f t="shared" ca="1" si="145"/>
        <v>329</v>
      </c>
      <c r="BA145" s="1">
        <f t="shared" ca="1" si="146"/>
        <v>9.1788249997690387E-3</v>
      </c>
      <c r="BV145" s="1">
        <f t="shared" ca="1" si="147"/>
        <v>0.34955923186371918</v>
      </c>
      <c r="BW145" s="1">
        <f t="shared" ca="1" si="148"/>
        <v>704</v>
      </c>
      <c r="BX145" s="1">
        <f t="shared" ca="1" si="149"/>
        <v>5.7227460042653241E-3</v>
      </c>
      <c r="BY145" s="1">
        <f t="shared" ca="1" si="150"/>
        <v>2.7674962254740889E-2</v>
      </c>
      <c r="BZ145" s="1">
        <f t="shared" ca="1" si="151"/>
        <v>9.3757917536753332E-2</v>
      </c>
      <c r="CB145" s="1">
        <f t="shared" ca="1" si="152"/>
        <v>102</v>
      </c>
      <c r="CC145" s="1">
        <f t="shared" ca="1" si="153"/>
        <v>8</v>
      </c>
      <c r="CD145" s="1">
        <f t="shared" ca="1" si="154"/>
        <v>9.0504892255665395E-2</v>
      </c>
      <c r="CE145" s="1">
        <f t="shared" ca="1" si="155"/>
        <v>0.81927116733856975</v>
      </c>
      <c r="CF145" s="1">
        <f t="shared" ca="1" si="155"/>
        <v>0.70373177661910757</v>
      </c>
      <c r="CH145" s="7">
        <f t="shared" ca="1" si="156"/>
        <v>0.49037248054429833</v>
      </c>
      <c r="CI145" s="7">
        <f t="shared" ca="1" si="157"/>
        <v>0.23824030836212107</v>
      </c>
      <c r="CJ145" s="7">
        <f t="shared" ca="1" si="158"/>
        <v>287</v>
      </c>
      <c r="CK145" s="7">
        <f t="shared" ca="1" si="159"/>
        <v>4.6727273371151611E-3</v>
      </c>
      <c r="CL145" s="7">
        <f t="shared" ca="1" si="160"/>
        <v>0</v>
      </c>
    </row>
    <row r="146" spans="2:90" x14ac:dyDescent="0.25">
      <c r="B146">
        <f t="shared" ca="1" si="108"/>
        <v>937</v>
      </c>
      <c r="C146">
        <f t="shared" ca="1" si="109"/>
        <v>8</v>
      </c>
      <c r="D146">
        <f t="shared" ca="1" si="110"/>
        <v>0.15792755482593859</v>
      </c>
      <c r="F146" s="1">
        <f t="shared" ca="1" si="111"/>
        <v>21</v>
      </c>
      <c r="G146" s="1">
        <f t="shared" ca="1" si="112"/>
        <v>25</v>
      </c>
      <c r="H146" s="1">
        <f t="shared" ca="1" si="113"/>
        <v>9</v>
      </c>
      <c r="I146" s="1"/>
      <c r="J146" s="1">
        <f t="shared" ca="1" si="114"/>
        <v>12</v>
      </c>
      <c r="K146" s="1">
        <f t="shared" ca="1" si="115"/>
        <v>2.2603949302807762</v>
      </c>
      <c r="L146" s="1">
        <f t="shared" ca="1" si="116"/>
        <v>13</v>
      </c>
      <c r="M146" s="1"/>
      <c r="N146" s="1">
        <f t="shared" ca="1" si="117"/>
        <v>205</v>
      </c>
      <c r="O146" s="1">
        <f t="shared" ca="1" si="118"/>
        <v>44</v>
      </c>
      <c r="P146" s="1"/>
      <c r="Q146" s="1">
        <f t="shared" ca="1" si="119"/>
        <v>2.8140863795366577</v>
      </c>
      <c r="R146" s="1">
        <f t="shared" ca="1" si="120"/>
        <v>732</v>
      </c>
      <c r="S146" s="1"/>
      <c r="T146" s="1">
        <f t="shared" ca="1" si="121"/>
        <v>4.518444181851846E-2</v>
      </c>
      <c r="U146" s="1">
        <f t="shared" ca="1" si="122"/>
        <v>381</v>
      </c>
      <c r="V146" s="1">
        <f t="shared" ca="1" si="123"/>
        <v>47</v>
      </c>
      <c r="W146" s="1"/>
      <c r="X146" s="1">
        <f t="shared" ca="1" si="124"/>
        <v>4.3651259329932701</v>
      </c>
      <c r="Y146" s="1">
        <f t="shared" ca="1" si="125"/>
        <v>0.27984606283677832</v>
      </c>
      <c r="Z146" s="1">
        <f t="shared" ca="1" si="126"/>
        <v>329</v>
      </c>
      <c r="AB146" s="1">
        <f t="shared" ca="1" si="127"/>
        <v>0.45189857406453898</v>
      </c>
      <c r="AC146" s="1">
        <f t="shared" ca="1" si="128"/>
        <v>871</v>
      </c>
      <c r="AD146" s="1">
        <f t="shared" ca="1" si="129"/>
        <v>9.9861080134129501E-3</v>
      </c>
      <c r="AE146" s="1"/>
      <c r="AF146" s="1">
        <f t="shared" ca="1" si="130"/>
        <v>0.73103423549568836</v>
      </c>
      <c r="AG146" s="1">
        <f t="shared" ca="1" si="131"/>
        <v>629</v>
      </c>
      <c r="AH146" s="1">
        <f t="shared" ca="1" si="132"/>
        <v>5.3414022692694803E-3</v>
      </c>
      <c r="AJ146" s="1">
        <f t="shared" ca="1" si="133"/>
        <v>0.81077677632921918</v>
      </c>
      <c r="AK146" s="1">
        <f t="shared" ca="1" si="134"/>
        <v>8.2650066453204656E-3</v>
      </c>
      <c r="AL146" s="1"/>
      <c r="AM146" s="1">
        <f t="shared" ca="1" si="135"/>
        <v>8.0769567595495639E-2</v>
      </c>
      <c r="AN146" s="1">
        <f t="shared" ca="1" si="136"/>
        <v>15</v>
      </c>
      <c r="AO146" s="1">
        <f t="shared" ca="1" si="137"/>
        <v>14</v>
      </c>
      <c r="AQ146" s="1">
        <f t="shared" ca="1" si="138"/>
        <v>98</v>
      </c>
      <c r="AR146" s="1">
        <f t="shared" ca="1" si="139"/>
        <v>4</v>
      </c>
      <c r="AS146" s="1">
        <f t="shared" ca="1" si="140"/>
        <v>1</v>
      </c>
      <c r="AU146" s="1">
        <f t="shared" ca="1" si="141"/>
        <v>333</v>
      </c>
      <c r="AV146" s="1">
        <f t="shared" ca="1" si="142"/>
        <v>8</v>
      </c>
      <c r="AW146" s="1">
        <f t="shared" ca="1" si="143"/>
        <v>9.8148609127421474E-2</v>
      </c>
      <c r="AY146" s="1">
        <f t="shared" ca="1" si="144"/>
        <v>1.3326480861045424</v>
      </c>
      <c r="AZ146" s="1">
        <f t="shared" ca="1" si="145"/>
        <v>381</v>
      </c>
      <c r="BA146" s="1">
        <f t="shared" ca="1" si="146"/>
        <v>2.9401490022509993E-3</v>
      </c>
      <c r="BV146" s="1">
        <f t="shared" ca="1" si="147"/>
        <v>0.75313273427290417</v>
      </c>
      <c r="BW146" s="1">
        <f t="shared" ca="1" si="148"/>
        <v>221</v>
      </c>
      <c r="BX146" s="1">
        <f t="shared" ca="1" si="149"/>
        <v>8.5630866827044426E-3</v>
      </c>
      <c r="BY146" s="1">
        <f t="shared" ca="1" si="150"/>
        <v>2.772007055463157E-3</v>
      </c>
      <c r="BZ146" s="1">
        <f t="shared" ca="1" si="151"/>
        <v>7.1807687046910651E-2</v>
      </c>
      <c r="CB146" s="1">
        <f t="shared" ca="1" si="152"/>
        <v>374</v>
      </c>
      <c r="CC146" s="1">
        <f t="shared" ca="1" si="153"/>
        <v>9</v>
      </c>
      <c r="CD146" s="1">
        <f t="shared" ca="1" si="154"/>
        <v>0.26794519499800146</v>
      </c>
      <c r="CE146" s="1">
        <f t="shared" ca="1" si="155"/>
        <v>0.83825410887309526</v>
      </c>
      <c r="CF146" s="1">
        <f t="shared" ca="1" si="155"/>
        <v>0.97425655503831377</v>
      </c>
      <c r="CH146" s="7">
        <f t="shared" ca="1" si="156"/>
        <v>0.95406606532010541</v>
      </c>
      <c r="CI146" s="7">
        <f t="shared" ca="1" si="157"/>
        <v>0.60213672256833395</v>
      </c>
      <c r="CJ146" s="7">
        <f t="shared" ca="1" si="158"/>
        <v>1894</v>
      </c>
      <c r="CK146" s="7">
        <f t="shared" ca="1" si="159"/>
        <v>7.1004060807683105E-3</v>
      </c>
      <c r="CL146" s="7">
        <f t="shared" ca="1" si="160"/>
        <v>1</v>
      </c>
    </row>
    <row r="147" spans="2:90" x14ac:dyDescent="0.25">
      <c r="B147">
        <f t="shared" ca="1" si="108"/>
        <v>480</v>
      </c>
      <c r="C147">
        <f t="shared" ca="1" si="109"/>
        <v>35</v>
      </c>
      <c r="D147">
        <f t="shared" ca="1" si="110"/>
        <v>2.9696153938169947E-2</v>
      </c>
      <c r="F147" s="1">
        <f t="shared" ca="1" si="111"/>
        <v>22</v>
      </c>
      <c r="G147" s="1">
        <f t="shared" ca="1" si="112"/>
        <v>18</v>
      </c>
      <c r="H147" s="1">
        <f t="shared" ca="1" si="113"/>
        <v>5</v>
      </c>
      <c r="I147" s="1"/>
      <c r="J147" s="1">
        <f t="shared" ca="1" si="114"/>
        <v>22</v>
      </c>
      <c r="K147" s="1">
        <f t="shared" ca="1" si="115"/>
        <v>1.5137210910067584</v>
      </c>
      <c r="L147" s="1">
        <f t="shared" ca="1" si="116"/>
        <v>8</v>
      </c>
      <c r="M147" s="1"/>
      <c r="N147" s="1">
        <f t="shared" ca="1" si="117"/>
        <v>534</v>
      </c>
      <c r="O147" s="1">
        <f t="shared" ca="1" si="118"/>
        <v>38</v>
      </c>
      <c r="P147" s="1"/>
      <c r="Q147" s="1">
        <f t="shared" ca="1" si="119"/>
        <v>4.4959290106281289</v>
      </c>
      <c r="R147" s="1">
        <f t="shared" ca="1" si="120"/>
        <v>796</v>
      </c>
      <c r="S147" s="1"/>
      <c r="T147" s="1">
        <f t="shared" ca="1" si="121"/>
        <v>0.13361583004583838</v>
      </c>
      <c r="U147" s="1">
        <f t="shared" ca="1" si="122"/>
        <v>305</v>
      </c>
      <c r="V147" s="1">
        <f t="shared" ca="1" si="123"/>
        <v>25</v>
      </c>
      <c r="W147" s="1"/>
      <c r="X147" s="1">
        <f t="shared" ca="1" si="124"/>
        <v>5.90377923361683</v>
      </c>
      <c r="Y147" s="1">
        <f t="shared" ca="1" si="125"/>
        <v>0.40035831214963169</v>
      </c>
      <c r="Z147" s="1">
        <f t="shared" ca="1" si="126"/>
        <v>1840</v>
      </c>
      <c r="AB147" s="1">
        <f t="shared" ca="1" si="127"/>
        <v>0.89934925696076984</v>
      </c>
      <c r="AC147" s="1">
        <f t="shared" ca="1" si="128"/>
        <v>294</v>
      </c>
      <c r="AD147" s="1">
        <f t="shared" ca="1" si="129"/>
        <v>3.9278374437804836E-4</v>
      </c>
      <c r="AE147" s="1"/>
      <c r="AF147" s="1">
        <f t="shared" ca="1" si="130"/>
        <v>0.80661931374274598</v>
      </c>
      <c r="AG147" s="1">
        <f t="shared" ca="1" si="131"/>
        <v>155</v>
      </c>
      <c r="AH147" s="1">
        <f t="shared" ca="1" si="132"/>
        <v>8.1603271502539571E-3</v>
      </c>
      <c r="AJ147" s="1">
        <f t="shared" ca="1" si="133"/>
        <v>3.4013876237326546E-2</v>
      </c>
      <c r="AK147" s="1">
        <f t="shared" ca="1" si="134"/>
        <v>5.1694166460798108E-3</v>
      </c>
      <c r="AL147" s="1"/>
      <c r="AM147" s="1">
        <f t="shared" ca="1" si="135"/>
        <v>0.13115578153667476</v>
      </c>
      <c r="AN147" s="1">
        <f t="shared" ca="1" si="136"/>
        <v>73</v>
      </c>
      <c r="AO147" s="1">
        <f t="shared" ca="1" si="137"/>
        <v>7</v>
      </c>
      <c r="AQ147" s="1">
        <f t="shared" ca="1" si="138"/>
        <v>82</v>
      </c>
      <c r="AR147" s="1">
        <f t="shared" ca="1" si="139"/>
        <v>7</v>
      </c>
      <c r="AS147" s="1">
        <f t="shared" ca="1" si="140"/>
        <v>42</v>
      </c>
      <c r="AU147" s="1">
        <f t="shared" ca="1" si="141"/>
        <v>167</v>
      </c>
      <c r="AV147" s="1">
        <f t="shared" ca="1" si="142"/>
        <v>3</v>
      </c>
      <c r="AW147" s="1">
        <f t="shared" ca="1" si="143"/>
        <v>0.16087265427750727</v>
      </c>
      <c r="AY147" s="1">
        <f t="shared" ca="1" si="144"/>
        <v>1.6955205144330718</v>
      </c>
      <c r="AZ147" s="1">
        <f t="shared" ca="1" si="145"/>
        <v>288</v>
      </c>
      <c r="BA147" s="1">
        <f t="shared" ca="1" si="146"/>
        <v>3.3686914823475005E-3</v>
      </c>
      <c r="BV147" s="1">
        <f t="shared" ca="1" si="147"/>
        <v>0.13302393318922714</v>
      </c>
      <c r="BW147" s="1">
        <f t="shared" ca="1" si="148"/>
        <v>681</v>
      </c>
      <c r="BX147" s="1">
        <f t="shared" ca="1" si="149"/>
        <v>6.5749108451448133E-3</v>
      </c>
      <c r="BY147" s="1">
        <f t="shared" ca="1" si="150"/>
        <v>9.3788115559353277E-2</v>
      </c>
      <c r="BZ147" s="1">
        <f t="shared" ca="1" si="151"/>
        <v>0.86708088735754063</v>
      </c>
      <c r="CB147" s="1">
        <f t="shared" ca="1" si="152"/>
        <v>279</v>
      </c>
      <c r="CC147" s="1">
        <f t="shared" ca="1" si="153"/>
        <v>14</v>
      </c>
      <c r="CD147" s="1">
        <f t="shared" ca="1" si="154"/>
        <v>4.1676082686903183E-2</v>
      </c>
      <c r="CE147" s="1">
        <f t="shared" ca="1" si="155"/>
        <v>0.61855864377720726</v>
      </c>
      <c r="CF147" s="1">
        <f t="shared" ca="1" si="155"/>
        <v>0.54045270455007888</v>
      </c>
      <c r="CH147" s="7">
        <f t="shared" ca="1" si="156"/>
        <v>0.6842225619056056</v>
      </c>
      <c r="CI147" s="7">
        <f t="shared" ca="1" si="157"/>
        <v>0.51642215841908323</v>
      </c>
      <c r="CJ147" s="7">
        <f t="shared" ca="1" si="158"/>
        <v>1652</v>
      </c>
      <c r="CK147" s="7">
        <f t="shared" ca="1" si="159"/>
        <v>4.0718868375220606E-3</v>
      </c>
      <c r="CL147" s="7">
        <f t="shared" ca="1" si="160"/>
        <v>1</v>
      </c>
    </row>
    <row r="148" spans="2:90" x14ac:dyDescent="0.25">
      <c r="B148">
        <f t="shared" ca="1" si="108"/>
        <v>426</v>
      </c>
      <c r="C148">
        <f t="shared" ca="1" si="109"/>
        <v>27</v>
      </c>
      <c r="D148">
        <f t="shared" ca="1" si="110"/>
        <v>0.15366609921967497</v>
      </c>
      <c r="F148" s="1">
        <f t="shared" ca="1" si="111"/>
        <v>17</v>
      </c>
      <c r="G148" s="1">
        <f t="shared" ca="1" si="112"/>
        <v>29</v>
      </c>
      <c r="H148" s="1">
        <f t="shared" ca="1" si="113"/>
        <v>13</v>
      </c>
      <c r="I148" s="1"/>
      <c r="J148" s="1">
        <f t="shared" ca="1" si="114"/>
        <v>13</v>
      </c>
      <c r="K148" s="1">
        <f t="shared" ca="1" si="115"/>
        <v>2.0069883878693897</v>
      </c>
      <c r="L148" s="1">
        <f t="shared" ca="1" si="116"/>
        <v>30</v>
      </c>
      <c r="M148" s="1"/>
      <c r="N148" s="1">
        <f t="shared" ca="1" si="117"/>
        <v>713</v>
      </c>
      <c r="O148" s="1">
        <f t="shared" ca="1" si="118"/>
        <v>43</v>
      </c>
      <c r="P148" s="1"/>
      <c r="Q148" s="1">
        <f t="shared" ca="1" si="119"/>
        <v>2.4218862848641911</v>
      </c>
      <c r="R148" s="1">
        <f t="shared" ca="1" si="120"/>
        <v>877</v>
      </c>
      <c r="S148" s="1"/>
      <c r="T148" s="1">
        <f t="shared" ca="1" si="121"/>
        <v>1.1407668923356167E-2</v>
      </c>
      <c r="U148" s="1">
        <f t="shared" ca="1" si="122"/>
        <v>297</v>
      </c>
      <c r="V148" s="1">
        <f t="shared" ca="1" si="123"/>
        <v>12</v>
      </c>
      <c r="W148" s="1"/>
      <c r="X148" s="1">
        <f t="shared" ca="1" si="124"/>
        <v>5.3415591581200763</v>
      </c>
      <c r="Y148" s="1">
        <f t="shared" ca="1" si="125"/>
        <v>0.68712959375374716</v>
      </c>
      <c r="Z148" s="1">
        <f t="shared" ca="1" si="126"/>
        <v>1320</v>
      </c>
      <c r="AB148" s="1">
        <f t="shared" ca="1" si="127"/>
        <v>0.45692576366434373</v>
      </c>
      <c r="AC148" s="1">
        <f t="shared" ca="1" si="128"/>
        <v>464</v>
      </c>
      <c r="AD148" s="1">
        <f t="shared" ca="1" si="129"/>
        <v>3.7841303139338114E-5</v>
      </c>
      <c r="AE148" s="1"/>
      <c r="AF148" s="1">
        <f t="shared" ca="1" si="130"/>
        <v>0.43313210328033647</v>
      </c>
      <c r="AG148" s="1">
        <f t="shared" ca="1" si="131"/>
        <v>309</v>
      </c>
      <c r="AH148" s="1">
        <f t="shared" ca="1" si="132"/>
        <v>1.0915696653289221E-3</v>
      </c>
      <c r="AJ148" s="1">
        <f t="shared" ca="1" si="133"/>
        <v>1.726378090615599E-3</v>
      </c>
      <c r="AK148" s="1">
        <f t="shared" ca="1" si="134"/>
        <v>6.4793071974618265E-3</v>
      </c>
      <c r="AL148" s="1"/>
      <c r="AM148" s="1">
        <f t="shared" ca="1" si="135"/>
        <v>6.8968856766051856E-2</v>
      </c>
      <c r="AN148" s="1">
        <f t="shared" ca="1" si="136"/>
        <v>22</v>
      </c>
      <c r="AO148" s="1">
        <f t="shared" ca="1" si="137"/>
        <v>13</v>
      </c>
      <c r="AQ148" s="1">
        <f t="shared" ca="1" si="138"/>
        <v>169</v>
      </c>
      <c r="AR148" s="1">
        <f t="shared" ca="1" si="139"/>
        <v>1</v>
      </c>
      <c r="AS148" s="1">
        <f t="shared" ca="1" si="140"/>
        <v>100</v>
      </c>
      <c r="AU148" s="1">
        <f t="shared" ca="1" si="141"/>
        <v>55</v>
      </c>
      <c r="AV148" s="1">
        <f t="shared" ca="1" si="142"/>
        <v>6</v>
      </c>
      <c r="AW148" s="1">
        <f t="shared" ca="1" si="143"/>
        <v>0.14588761075855453</v>
      </c>
      <c r="AY148" s="1">
        <f t="shared" ca="1" si="144"/>
        <v>1.6048802205154895</v>
      </c>
      <c r="AZ148" s="1">
        <f t="shared" ca="1" si="145"/>
        <v>184</v>
      </c>
      <c r="BA148" s="1">
        <f t="shared" ca="1" si="146"/>
        <v>4.6558219730298799E-3</v>
      </c>
      <c r="BV148" s="1">
        <f t="shared" ca="1" si="147"/>
        <v>0.27499294289835785</v>
      </c>
      <c r="BW148" s="1">
        <f t="shared" ca="1" si="148"/>
        <v>855</v>
      </c>
      <c r="BX148" s="1">
        <f t="shared" ca="1" si="149"/>
        <v>4.9345101480043584E-3</v>
      </c>
      <c r="BY148" s="1">
        <f t="shared" ca="1" si="150"/>
        <v>9.5851237013888327E-2</v>
      </c>
      <c r="BZ148" s="1">
        <f t="shared" ca="1" si="151"/>
        <v>0.78848134665085734</v>
      </c>
      <c r="CB148" s="1">
        <f t="shared" ca="1" si="152"/>
        <v>79</v>
      </c>
      <c r="CC148" s="1">
        <f t="shared" ca="1" si="153"/>
        <v>14</v>
      </c>
      <c r="CD148" s="1">
        <f t="shared" ca="1" si="154"/>
        <v>0.22931538422180966</v>
      </c>
      <c r="CE148" s="1">
        <f t="shared" ca="1" si="155"/>
        <v>0.91997565109668578</v>
      </c>
      <c r="CF148" s="1">
        <f t="shared" ca="1" si="155"/>
        <v>0.55728797382946527</v>
      </c>
      <c r="CH148" s="7">
        <f t="shared" ca="1" si="156"/>
        <v>0.96882295145135056</v>
      </c>
      <c r="CI148" s="7">
        <f t="shared" ca="1" si="157"/>
        <v>0.12517335146829159</v>
      </c>
      <c r="CJ148" s="7">
        <f t="shared" ca="1" si="158"/>
        <v>1273</v>
      </c>
      <c r="CK148" s="7">
        <f t="shared" ca="1" si="159"/>
        <v>2.7835999189199895E-3</v>
      </c>
      <c r="CL148" s="7">
        <f t="shared" ca="1" si="160"/>
        <v>1</v>
      </c>
    </row>
    <row r="149" spans="2:90" x14ac:dyDescent="0.25">
      <c r="B149">
        <f t="shared" ca="1" si="108"/>
        <v>586</v>
      </c>
      <c r="C149">
        <f t="shared" ca="1" si="109"/>
        <v>44</v>
      </c>
      <c r="D149">
        <f t="shared" ca="1" si="110"/>
        <v>0.2856315545022764</v>
      </c>
      <c r="F149" s="1">
        <f t="shared" ca="1" si="111"/>
        <v>36</v>
      </c>
      <c r="G149" s="1">
        <f t="shared" ca="1" si="112"/>
        <v>7</v>
      </c>
      <c r="H149" s="1">
        <f t="shared" ca="1" si="113"/>
        <v>7</v>
      </c>
      <c r="I149" s="1"/>
      <c r="J149" s="1">
        <f t="shared" ca="1" si="114"/>
        <v>8</v>
      </c>
      <c r="K149" s="1">
        <f t="shared" ca="1" si="115"/>
        <v>2.236664252679418</v>
      </c>
      <c r="L149" s="1">
        <f t="shared" ca="1" si="116"/>
        <v>27</v>
      </c>
      <c r="M149" s="1"/>
      <c r="N149" s="1">
        <f t="shared" ca="1" si="117"/>
        <v>862</v>
      </c>
      <c r="O149" s="1">
        <f t="shared" ca="1" si="118"/>
        <v>14</v>
      </c>
      <c r="P149" s="1"/>
      <c r="Q149" s="1">
        <f t="shared" ca="1" si="119"/>
        <v>2.933968700340432</v>
      </c>
      <c r="R149" s="1">
        <f t="shared" ca="1" si="120"/>
        <v>547</v>
      </c>
      <c r="S149" s="1"/>
      <c r="T149" s="1">
        <f t="shared" ca="1" si="121"/>
        <v>0.18523390894241762</v>
      </c>
      <c r="U149" s="1">
        <f t="shared" ca="1" si="122"/>
        <v>422</v>
      </c>
      <c r="V149" s="1">
        <f t="shared" ca="1" si="123"/>
        <v>39</v>
      </c>
      <c r="W149" s="1"/>
      <c r="X149" s="1">
        <f t="shared" ca="1" si="124"/>
        <v>5.9710559137688852</v>
      </c>
      <c r="Y149" s="1">
        <f t="shared" ca="1" si="125"/>
        <v>0.34538107056208872</v>
      </c>
      <c r="Z149" s="1">
        <f t="shared" ca="1" si="126"/>
        <v>1092</v>
      </c>
      <c r="AB149" s="1">
        <f t="shared" ca="1" si="127"/>
        <v>0.10791809580279531</v>
      </c>
      <c r="AC149" s="1">
        <f t="shared" ca="1" si="128"/>
        <v>464</v>
      </c>
      <c r="AD149" s="1">
        <f t="shared" ca="1" si="129"/>
        <v>2.0051978586278375E-3</v>
      </c>
      <c r="AE149" s="1"/>
      <c r="AF149" s="1">
        <f t="shared" ca="1" si="130"/>
        <v>0.4180624720890721</v>
      </c>
      <c r="AG149" s="1">
        <f t="shared" ca="1" si="131"/>
        <v>609</v>
      </c>
      <c r="AH149" s="1">
        <f t="shared" ca="1" si="132"/>
        <v>5.0546412453779804E-3</v>
      </c>
      <c r="AJ149" s="1">
        <f t="shared" ca="1" si="133"/>
        <v>0.40124275345307658</v>
      </c>
      <c r="AK149" s="1">
        <f t="shared" ca="1" si="134"/>
        <v>4.0745644356011993E-3</v>
      </c>
      <c r="AL149" s="1"/>
      <c r="AM149" s="1">
        <f t="shared" ca="1" si="135"/>
        <v>6.5389544229183014E-2</v>
      </c>
      <c r="AN149" s="1">
        <f t="shared" ca="1" si="136"/>
        <v>54</v>
      </c>
      <c r="AO149" s="1">
        <f t="shared" ca="1" si="137"/>
        <v>10</v>
      </c>
      <c r="AQ149" s="1">
        <f t="shared" ca="1" si="138"/>
        <v>47</v>
      </c>
      <c r="AR149" s="1">
        <f t="shared" ca="1" si="139"/>
        <v>3</v>
      </c>
      <c r="AS149" s="1">
        <f t="shared" ca="1" si="140"/>
        <v>57</v>
      </c>
      <c r="AU149" s="1">
        <f t="shared" ca="1" si="141"/>
        <v>220</v>
      </c>
      <c r="AV149" s="1">
        <f t="shared" ca="1" si="142"/>
        <v>5</v>
      </c>
      <c r="AW149" s="1">
        <f t="shared" ca="1" si="143"/>
        <v>0.17707437305056861</v>
      </c>
      <c r="AY149" s="1">
        <f t="shared" ca="1" si="144"/>
        <v>1.909488059091992</v>
      </c>
      <c r="AZ149" s="1">
        <f t="shared" ca="1" si="145"/>
        <v>133</v>
      </c>
      <c r="BA149" s="1">
        <f t="shared" ca="1" si="146"/>
        <v>4.1601860973570709E-3</v>
      </c>
      <c r="BV149" s="1">
        <f t="shared" ca="1" si="147"/>
        <v>0.66566613403690944</v>
      </c>
      <c r="BW149" s="1">
        <f t="shared" ca="1" si="148"/>
        <v>170</v>
      </c>
      <c r="BX149" s="1">
        <f t="shared" ca="1" si="149"/>
        <v>1.2331205873929612E-3</v>
      </c>
      <c r="BY149" s="1">
        <f t="shared" ca="1" si="150"/>
        <v>8.4063570072907046E-2</v>
      </c>
      <c r="BZ149" s="1">
        <f t="shared" ca="1" si="151"/>
        <v>0.90518909949618909</v>
      </c>
      <c r="CB149" s="1">
        <f t="shared" ca="1" si="152"/>
        <v>194</v>
      </c>
      <c r="CC149" s="1">
        <f t="shared" ca="1" si="153"/>
        <v>11</v>
      </c>
      <c r="CD149" s="1">
        <f t="shared" ca="1" si="154"/>
        <v>0.17170961521968683</v>
      </c>
      <c r="CE149" s="1">
        <f t="shared" ca="1" si="155"/>
        <v>0.65853215173505197</v>
      </c>
      <c r="CF149" s="1">
        <f t="shared" ca="1" si="155"/>
        <v>0.97602917046669313</v>
      </c>
      <c r="CH149" s="7">
        <f t="shared" ca="1" si="156"/>
        <v>0.35347437961505634</v>
      </c>
      <c r="CI149" s="7">
        <f t="shared" ca="1" si="157"/>
        <v>0.8239370452389464</v>
      </c>
      <c r="CJ149" s="7">
        <f t="shared" ca="1" si="158"/>
        <v>1402</v>
      </c>
      <c r="CK149" s="7">
        <f t="shared" ca="1" si="159"/>
        <v>4.1163947633644183E-3</v>
      </c>
      <c r="CL149" s="7">
        <f t="shared" ca="1" si="160"/>
        <v>1</v>
      </c>
    </row>
    <row r="150" spans="2:90" x14ac:dyDescent="0.25">
      <c r="B150">
        <f t="shared" ca="1" si="108"/>
        <v>387</v>
      </c>
      <c r="C150">
        <f t="shared" ca="1" si="109"/>
        <v>13</v>
      </c>
      <c r="D150">
        <f t="shared" ca="1" si="110"/>
        <v>0.23136741038798631</v>
      </c>
      <c r="F150" s="1">
        <f t="shared" ca="1" si="111"/>
        <v>19</v>
      </c>
      <c r="G150" s="1">
        <f t="shared" ca="1" si="112"/>
        <v>13</v>
      </c>
      <c r="H150" s="1">
        <f t="shared" ca="1" si="113"/>
        <v>14</v>
      </c>
      <c r="I150" s="1"/>
      <c r="J150" s="1">
        <f t="shared" ca="1" si="114"/>
        <v>27</v>
      </c>
      <c r="K150" s="1">
        <f t="shared" ca="1" si="115"/>
        <v>2.4296960433630663</v>
      </c>
      <c r="L150" s="1">
        <f t="shared" ca="1" si="116"/>
        <v>22</v>
      </c>
      <c r="M150" s="1"/>
      <c r="N150" s="1">
        <f t="shared" ca="1" si="117"/>
        <v>194</v>
      </c>
      <c r="O150" s="1">
        <f t="shared" ca="1" si="118"/>
        <v>16</v>
      </c>
      <c r="P150" s="1"/>
      <c r="Q150" s="1">
        <f t="shared" ca="1" si="119"/>
        <v>0.78558643544430196</v>
      </c>
      <c r="R150" s="1">
        <f t="shared" ca="1" si="120"/>
        <v>699</v>
      </c>
      <c r="S150" s="1"/>
      <c r="T150" s="1">
        <f t="shared" ca="1" si="121"/>
        <v>9.7053362868749327E-2</v>
      </c>
      <c r="U150" s="1">
        <f t="shared" ca="1" si="122"/>
        <v>146</v>
      </c>
      <c r="V150" s="1">
        <f t="shared" ca="1" si="123"/>
        <v>32</v>
      </c>
      <c r="W150" s="1"/>
      <c r="X150" s="1">
        <f t="shared" ca="1" si="124"/>
        <v>7.0716774922975949</v>
      </c>
      <c r="Y150" s="1">
        <f t="shared" ca="1" si="125"/>
        <v>0.74757892233931578</v>
      </c>
      <c r="Z150" s="1">
        <f t="shared" ca="1" si="126"/>
        <v>642</v>
      </c>
      <c r="AB150" s="1">
        <f t="shared" ca="1" si="127"/>
        <v>0.82566826313788189</v>
      </c>
      <c r="AC150" s="1">
        <f t="shared" ca="1" si="128"/>
        <v>168</v>
      </c>
      <c r="AD150" s="1">
        <f t="shared" ca="1" si="129"/>
        <v>3.2250984610057818E-3</v>
      </c>
      <c r="AE150" s="1"/>
      <c r="AF150" s="1">
        <f t="shared" ca="1" si="130"/>
        <v>0.46930651298804293</v>
      </c>
      <c r="AG150" s="1">
        <f t="shared" ca="1" si="131"/>
        <v>547</v>
      </c>
      <c r="AH150" s="1">
        <f t="shared" ca="1" si="132"/>
        <v>5.3448531371889721E-3</v>
      </c>
      <c r="AJ150" s="1">
        <f t="shared" ca="1" si="133"/>
        <v>0.28089075801229946</v>
      </c>
      <c r="AK150" s="1">
        <f t="shared" ca="1" si="134"/>
        <v>3.647712105988599E-3</v>
      </c>
      <c r="AL150" s="1"/>
      <c r="AM150" s="1">
        <f t="shared" ca="1" si="135"/>
        <v>0.11150893736999425</v>
      </c>
      <c r="AN150" s="1">
        <f t="shared" ca="1" si="136"/>
        <v>46</v>
      </c>
      <c r="AO150" s="1">
        <f t="shared" ca="1" si="137"/>
        <v>0</v>
      </c>
      <c r="AQ150" s="1">
        <f t="shared" ca="1" si="138"/>
        <v>15</v>
      </c>
      <c r="AR150" s="1">
        <f t="shared" ca="1" si="139"/>
        <v>0</v>
      </c>
      <c r="AS150" s="1">
        <f t="shared" ca="1" si="140"/>
        <v>79</v>
      </c>
      <c r="AU150" s="1">
        <f t="shared" ca="1" si="141"/>
        <v>276</v>
      </c>
      <c r="AV150" s="1">
        <f t="shared" ca="1" si="142"/>
        <v>10</v>
      </c>
      <c r="AW150" s="1">
        <f t="shared" ca="1" si="143"/>
        <v>0.11767783644741199</v>
      </c>
      <c r="AY150" s="1">
        <f t="shared" ca="1" si="144"/>
        <v>1.4601467078953876</v>
      </c>
      <c r="AZ150" s="1">
        <f t="shared" ca="1" si="145"/>
        <v>272</v>
      </c>
      <c r="BA150" s="1">
        <f t="shared" ca="1" si="146"/>
        <v>8.6787521476531012E-3</v>
      </c>
      <c r="BV150" s="1">
        <f t="shared" ca="1" si="147"/>
        <v>0.49719737275644788</v>
      </c>
      <c r="BW150" s="1">
        <f t="shared" ca="1" si="148"/>
        <v>488</v>
      </c>
      <c r="BX150" s="1">
        <f t="shared" ca="1" si="149"/>
        <v>3.8494807247294793E-3</v>
      </c>
      <c r="BY150" s="1">
        <f t="shared" ca="1" si="150"/>
        <v>2.4495492957784117E-2</v>
      </c>
      <c r="BZ150" s="1">
        <f t="shared" ca="1" si="151"/>
        <v>0.75115195334100948</v>
      </c>
      <c r="CB150" s="1">
        <f t="shared" ca="1" si="152"/>
        <v>85</v>
      </c>
      <c r="CC150" s="1">
        <f t="shared" ca="1" si="153"/>
        <v>4</v>
      </c>
      <c r="CD150" s="1">
        <f t="shared" ca="1" si="154"/>
        <v>0.14408295744832503</v>
      </c>
      <c r="CE150" s="1">
        <f t="shared" ca="1" si="155"/>
        <v>0.51940902582995341</v>
      </c>
      <c r="CF150" s="1">
        <f t="shared" ca="1" si="155"/>
        <v>0.66375517180390631</v>
      </c>
      <c r="CH150" s="7">
        <f t="shared" ca="1" si="156"/>
        <v>0.10401450022735864</v>
      </c>
      <c r="CI150" s="7">
        <f t="shared" ca="1" si="157"/>
        <v>0.87568659470523802</v>
      </c>
      <c r="CJ150" s="7">
        <f t="shared" ca="1" si="158"/>
        <v>1795</v>
      </c>
      <c r="CK150" s="7">
        <f t="shared" ca="1" si="159"/>
        <v>2.8049403062149411E-3</v>
      </c>
      <c r="CL150" s="7">
        <f t="shared" ca="1" si="160"/>
        <v>0</v>
      </c>
    </row>
    <row r="151" spans="2:90" x14ac:dyDescent="0.25">
      <c r="B151">
        <f t="shared" ca="1" si="108"/>
        <v>293</v>
      </c>
      <c r="C151">
        <f t="shared" ca="1" si="109"/>
        <v>42</v>
      </c>
      <c r="D151">
        <f t="shared" ca="1" si="110"/>
        <v>0.17967935040700483</v>
      </c>
      <c r="F151" s="1">
        <f t="shared" ca="1" si="111"/>
        <v>9</v>
      </c>
      <c r="G151" s="1">
        <f t="shared" ca="1" si="112"/>
        <v>18</v>
      </c>
      <c r="H151" s="1">
        <f t="shared" ca="1" si="113"/>
        <v>8</v>
      </c>
      <c r="I151" s="1"/>
      <c r="J151" s="1">
        <f t="shared" ca="1" si="114"/>
        <v>11</v>
      </c>
      <c r="K151" s="1">
        <f t="shared" ca="1" si="115"/>
        <v>1.4929478502320466</v>
      </c>
      <c r="L151" s="1">
        <f t="shared" ca="1" si="116"/>
        <v>29</v>
      </c>
      <c r="M151" s="1"/>
      <c r="N151" s="1">
        <f t="shared" ca="1" si="117"/>
        <v>884</v>
      </c>
      <c r="O151" s="1">
        <f t="shared" ca="1" si="118"/>
        <v>11</v>
      </c>
      <c r="P151" s="1"/>
      <c r="Q151" s="1">
        <f t="shared" ca="1" si="119"/>
        <v>3.1349531796331918</v>
      </c>
      <c r="R151" s="1">
        <f t="shared" ca="1" si="120"/>
        <v>556</v>
      </c>
      <c r="S151" s="1"/>
      <c r="T151" s="1">
        <f t="shared" ca="1" si="121"/>
        <v>0.17641820282228937</v>
      </c>
      <c r="U151" s="1">
        <f t="shared" ca="1" si="122"/>
        <v>254</v>
      </c>
      <c r="V151" s="1">
        <f t="shared" ca="1" si="123"/>
        <v>30</v>
      </c>
      <c r="W151" s="1"/>
      <c r="X151" s="1">
        <f t="shared" ca="1" si="124"/>
        <v>0.80734046152808603</v>
      </c>
      <c r="Y151" s="1">
        <f t="shared" ca="1" si="125"/>
        <v>0.87505838702926209</v>
      </c>
      <c r="Z151" s="1">
        <f t="shared" ca="1" si="126"/>
        <v>925</v>
      </c>
      <c r="AB151" s="1">
        <f t="shared" ca="1" si="127"/>
        <v>0.33270078898770855</v>
      </c>
      <c r="AC151" s="1">
        <f t="shared" ca="1" si="128"/>
        <v>486</v>
      </c>
      <c r="AD151" s="1">
        <f t="shared" ca="1" si="129"/>
        <v>5.8160829579410522E-3</v>
      </c>
      <c r="AE151" s="1"/>
      <c r="AF151" s="1">
        <f t="shared" ca="1" si="130"/>
        <v>0.3909304185203486</v>
      </c>
      <c r="AG151" s="1">
        <f t="shared" ca="1" si="131"/>
        <v>836</v>
      </c>
      <c r="AH151" s="1">
        <f t="shared" ca="1" si="132"/>
        <v>8.4513204026833138E-3</v>
      </c>
      <c r="AJ151" s="1">
        <f t="shared" ca="1" si="133"/>
        <v>2.3993331102792115E-2</v>
      </c>
      <c r="AK151" s="1">
        <f t="shared" ca="1" si="134"/>
        <v>5.0355008635178423E-3</v>
      </c>
      <c r="AL151" s="1"/>
      <c r="AM151" s="1">
        <f t="shared" ca="1" si="135"/>
        <v>0.18607469603944793</v>
      </c>
      <c r="AN151" s="1">
        <f t="shared" ca="1" si="136"/>
        <v>18</v>
      </c>
      <c r="AO151" s="1">
        <f t="shared" ca="1" si="137"/>
        <v>7</v>
      </c>
      <c r="AQ151" s="1">
        <f t="shared" ca="1" si="138"/>
        <v>135</v>
      </c>
      <c r="AR151" s="1">
        <f t="shared" ca="1" si="139"/>
        <v>6</v>
      </c>
      <c r="AS151" s="1">
        <f t="shared" ca="1" si="140"/>
        <v>80</v>
      </c>
      <c r="AU151" s="1">
        <f t="shared" ca="1" si="141"/>
        <v>346</v>
      </c>
      <c r="AV151" s="1">
        <f t="shared" ca="1" si="142"/>
        <v>5</v>
      </c>
      <c r="AW151" s="1">
        <f t="shared" ca="1" si="143"/>
        <v>9.0535233295510026E-2</v>
      </c>
      <c r="AY151" s="1">
        <f t="shared" ca="1" si="144"/>
        <v>1.6145976829481414</v>
      </c>
      <c r="AZ151" s="1">
        <f t="shared" ca="1" si="145"/>
        <v>161</v>
      </c>
      <c r="BA151" s="1">
        <f t="shared" ca="1" si="146"/>
        <v>3.5688986196141395E-3</v>
      </c>
      <c r="BV151" s="1">
        <f t="shared" ca="1" si="147"/>
        <v>0.34850492559016194</v>
      </c>
      <c r="BW151" s="1">
        <f t="shared" ca="1" si="148"/>
        <v>349</v>
      </c>
      <c r="BX151" s="1">
        <f t="shared" ca="1" si="149"/>
        <v>5.3233486897924613E-3</v>
      </c>
      <c r="BY151" s="1">
        <f t="shared" ca="1" si="150"/>
        <v>8.2899102068677233E-2</v>
      </c>
      <c r="BZ151" s="1">
        <f t="shared" ca="1" si="151"/>
        <v>0.40655230340186654</v>
      </c>
      <c r="CB151" s="1">
        <f t="shared" ca="1" si="152"/>
        <v>401</v>
      </c>
      <c r="CC151" s="1">
        <f t="shared" ca="1" si="153"/>
        <v>11</v>
      </c>
      <c r="CD151" s="1">
        <f t="shared" ca="1" si="154"/>
        <v>1.5623112031152814E-2</v>
      </c>
      <c r="CE151" s="1">
        <f t="shared" ca="1" si="155"/>
        <v>0.80756240795913137</v>
      </c>
      <c r="CF151" s="1">
        <f t="shared" ca="1" si="155"/>
        <v>0.93776567150383083</v>
      </c>
      <c r="CH151" s="7">
        <f t="shared" ca="1" si="156"/>
        <v>8.897859884560827E-2</v>
      </c>
      <c r="CI151" s="7">
        <f t="shared" ca="1" si="157"/>
        <v>0.7686398642720409</v>
      </c>
      <c r="CJ151" s="7">
        <f t="shared" ca="1" si="158"/>
        <v>1098</v>
      </c>
      <c r="CK151" s="7">
        <f t="shared" ca="1" si="159"/>
        <v>9.0480775583239356E-3</v>
      </c>
      <c r="CL151" s="7">
        <f t="shared" ca="1" si="160"/>
        <v>1</v>
      </c>
    </row>
    <row r="152" spans="2:90" x14ac:dyDescent="0.25">
      <c r="B152">
        <f t="shared" ca="1" si="108"/>
        <v>478</v>
      </c>
      <c r="C152">
        <f t="shared" ca="1" si="109"/>
        <v>2</v>
      </c>
      <c r="D152">
        <f t="shared" ca="1" si="110"/>
        <v>0.22877061021752673</v>
      </c>
      <c r="F152" s="1">
        <f t="shared" ca="1" si="111"/>
        <v>51</v>
      </c>
      <c r="G152" s="1">
        <f t="shared" ca="1" si="112"/>
        <v>20</v>
      </c>
      <c r="H152" s="1">
        <f t="shared" ca="1" si="113"/>
        <v>5</v>
      </c>
      <c r="I152" s="1"/>
      <c r="J152" s="1">
        <f t="shared" ca="1" si="114"/>
        <v>18</v>
      </c>
      <c r="K152" s="1">
        <f t="shared" ca="1" si="115"/>
        <v>1.30647195297997</v>
      </c>
      <c r="L152" s="1">
        <f t="shared" ca="1" si="116"/>
        <v>4</v>
      </c>
      <c r="M152" s="1"/>
      <c r="N152" s="1">
        <f t="shared" ca="1" si="117"/>
        <v>393</v>
      </c>
      <c r="O152" s="1">
        <f t="shared" ca="1" si="118"/>
        <v>9</v>
      </c>
      <c r="P152" s="1"/>
      <c r="Q152" s="1">
        <f t="shared" ca="1" si="119"/>
        <v>1.6889370961658627</v>
      </c>
      <c r="R152" s="1">
        <f t="shared" ca="1" si="120"/>
        <v>1011</v>
      </c>
      <c r="S152" s="1"/>
      <c r="T152" s="1">
        <f t="shared" ca="1" si="121"/>
        <v>6.2174619475184087E-2</v>
      </c>
      <c r="U152" s="1">
        <f t="shared" ca="1" si="122"/>
        <v>285</v>
      </c>
      <c r="V152" s="1">
        <f t="shared" ca="1" si="123"/>
        <v>18</v>
      </c>
      <c r="W152" s="1"/>
      <c r="X152" s="1">
        <f t="shared" ca="1" si="124"/>
        <v>8.8782785201499159</v>
      </c>
      <c r="Y152" s="1">
        <f t="shared" ca="1" si="125"/>
        <v>0.63590536867182257</v>
      </c>
      <c r="Z152" s="1">
        <f t="shared" ca="1" si="126"/>
        <v>1358</v>
      </c>
      <c r="AB152" s="1">
        <f t="shared" ca="1" si="127"/>
        <v>0.33490532881582596</v>
      </c>
      <c r="AC152" s="1">
        <f t="shared" ca="1" si="128"/>
        <v>504</v>
      </c>
      <c r="AD152" s="1">
        <f t="shared" ca="1" si="129"/>
        <v>7.5179261965551631E-3</v>
      </c>
      <c r="AE152" s="1"/>
      <c r="AF152" s="1">
        <f t="shared" ca="1" si="130"/>
        <v>0.18736097669779347</v>
      </c>
      <c r="AG152" s="1">
        <f t="shared" ca="1" si="131"/>
        <v>633</v>
      </c>
      <c r="AH152" s="1">
        <f t="shared" ca="1" si="132"/>
        <v>8.6449580303138082E-3</v>
      </c>
      <c r="AJ152" s="1">
        <f t="shared" ca="1" si="133"/>
        <v>0.17918477860900739</v>
      </c>
      <c r="AK152" s="1">
        <f t="shared" ca="1" si="134"/>
        <v>4.800340791581665E-3</v>
      </c>
      <c r="AL152" s="1"/>
      <c r="AM152" s="1">
        <f t="shared" ca="1" si="135"/>
        <v>9.85030918334108E-2</v>
      </c>
      <c r="AN152" s="1">
        <f t="shared" ca="1" si="136"/>
        <v>80</v>
      </c>
      <c r="AO152" s="1">
        <f t="shared" ca="1" si="137"/>
        <v>13</v>
      </c>
      <c r="AQ152" s="1">
        <f t="shared" ca="1" si="138"/>
        <v>56</v>
      </c>
      <c r="AR152" s="1">
        <f t="shared" ca="1" si="139"/>
        <v>4</v>
      </c>
      <c r="AS152" s="1">
        <f t="shared" ca="1" si="140"/>
        <v>26</v>
      </c>
      <c r="AU152" s="1">
        <f t="shared" ca="1" si="141"/>
        <v>327</v>
      </c>
      <c r="AV152" s="1">
        <f t="shared" ca="1" si="142"/>
        <v>5</v>
      </c>
      <c r="AW152" s="1">
        <f t="shared" ca="1" si="143"/>
        <v>0.11730510189817983</v>
      </c>
      <c r="AY152" s="1">
        <f t="shared" ca="1" si="144"/>
        <v>1.8619016907270567</v>
      </c>
      <c r="AZ152" s="1">
        <f t="shared" ca="1" si="145"/>
        <v>123</v>
      </c>
      <c r="BA152" s="1">
        <f t="shared" ca="1" si="146"/>
        <v>8.034188419911673E-4</v>
      </c>
      <c r="BV152" s="1">
        <f t="shared" ca="1" si="147"/>
        <v>0.41721416345187989</v>
      </c>
      <c r="BW152" s="1">
        <f t="shared" ca="1" si="148"/>
        <v>632</v>
      </c>
      <c r="BX152" s="1">
        <f t="shared" ca="1" si="149"/>
        <v>4.7774238126035177E-3</v>
      </c>
      <c r="BY152" s="1">
        <f t="shared" ca="1" si="150"/>
        <v>2.266098702076192E-2</v>
      </c>
      <c r="BZ152" s="1">
        <f t="shared" ca="1" si="151"/>
        <v>0.41700618172450143</v>
      </c>
      <c r="CB152" s="1">
        <f t="shared" ca="1" si="152"/>
        <v>291</v>
      </c>
      <c r="CC152" s="1">
        <f t="shared" ca="1" si="153"/>
        <v>13</v>
      </c>
      <c r="CD152" s="1">
        <f t="shared" ca="1" si="154"/>
        <v>0.15459038833605046</v>
      </c>
      <c r="CE152" s="1">
        <f t="shared" ca="1" si="155"/>
        <v>0.91698814559634956</v>
      </c>
      <c r="CF152" s="1">
        <f t="shared" ca="1" si="155"/>
        <v>0.83767992413111536</v>
      </c>
      <c r="CH152" s="7">
        <f t="shared" ca="1" si="156"/>
        <v>0.28883703109409803</v>
      </c>
      <c r="CI152" s="7">
        <f t="shared" ca="1" si="157"/>
        <v>0.1164372194232673</v>
      </c>
      <c r="CJ152" s="7">
        <f t="shared" ca="1" si="158"/>
        <v>1761</v>
      </c>
      <c r="CK152" s="7">
        <f t="shared" ca="1" si="159"/>
        <v>9.4412358705858058E-3</v>
      </c>
      <c r="CL152" s="7">
        <f t="shared" ca="1" si="160"/>
        <v>1</v>
      </c>
    </row>
    <row r="153" spans="2:90" x14ac:dyDescent="0.25">
      <c r="B153">
        <f t="shared" ca="1" si="108"/>
        <v>224</v>
      </c>
      <c r="C153">
        <f t="shared" ca="1" si="109"/>
        <v>27</v>
      </c>
      <c r="D153">
        <f t="shared" ca="1" si="110"/>
        <v>0.28899832993265129</v>
      </c>
      <c r="F153" s="1">
        <f t="shared" ca="1" si="111"/>
        <v>9</v>
      </c>
      <c r="G153" s="1">
        <f t="shared" ca="1" si="112"/>
        <v>16</v>
      </c>
      <c r="H153" s="1">
        <f t="shared" ca="1" si="113"/>
        <v>2</v>
      </c>
      <c r="I153" s="1"/>
      <c r="J153" s="1">
        <f t="shared" ca="1" si="114"/>
        <v>26</v>
      </c>
      <c r="K153" s="1">
        <f t="shared" ca="1" si="115"/>
        <v>1.9991495781952733</v>
      </c>
      <c r="L153" s="1">
        <f t="shared" ca="1" si="116"/>
        <v>9</v>
      </c>
      <c r="M153" s="1"/>
      <c r="N153" s="1">
        <f t="shared" ca="1" si="117"/>
        <v>828</v>
      </c>
      <c r="O153" s="1">
        <f t="shared" ca="1" si="118"/>
        <v>31</v>
      </c>
      <c r="P153" s="1"/>
      <c r="Q153" s="1">
        <f t="shared" ca="1" si="119"/>
        <v>3.8312522291120024</v>
      </c>
      <c r="R153" s="1">
        <f t="shared" ca="1" si="120"/>
        <v>766</v>
      </c>
      <c r="S153" s="1"/>
      <c r="T153" s="1">
        <f t="shared" ca="1" si="121"/>
        <v>0.16432944200607855</v>
      </c>
      <c r="U153" s="1">
        <f t="shared" ca="1" si="122"/>
        <v>151</v>
      </c>
      <c r="V153" s="1">
        <f t="shared" ca="1" si="123"/>
        <v>8</v>
      </c>
      <c r="W153" s="1"/>
      <c r="X153" s="1">
        <f t="shared" ca="1" si="124"/>
        <v>5.6133859677251854</v>
      </c>
      <c r="Y153" s="1">
        <f t="shared" ca="1" si="125"/>
        <v>0.73773786628841331</v>
      </c>
      <c r="Z153" s="1">
        <f t="shared" ca="1" si="126"/>
        <v>586</v>
      </c>
      <c r="AB153" s="1">
        <f t="shared" ca="1" si="127"/>
        <v>0.60168984577935825</v>
      </c>
      <c r="AC153" s="1">
        <f t="shared" ca="1" si="128"/>
        <v>662</v>
      </c>
      <c r="AD153" s="1">
        <f t="shared" ca="1" si="129"/>
        <v>2.5744481574210463E-3</v>
      </c>
      <c r="AE153" s="1"/>
      <c r="AF153" s="1">
        <f t="shared" ca="1" si="130"/>
        <v>0.64313443736702192</v>
      </c>
      <c r="AG153" s="1">
        <f t="shared" ca="1" si="131"/>
        <v>164</v>
      </c>
      <c r="AH153" s="1">
        <f t="shared" ca="1" si="132"/>
        <v>8.5192353206858373E-3</v>
      </c>
      <c r="AJ153" s="1">
        <f t="shared" ca="1" si="133"/>
        <v>0.79708637568189211</v>
      </c>
      <c r="AK153" s="1">
        <f t="shared" ca="1" si="134"/>
        <v>9.205841807008614E-4</v>
      </c>
      <c r="AL153" s="1"/>
      <c r="AM153" s="1">
        <f t="shared" ca="1" si="135"/>
        <v>3.3304249976299702E-2</v>
      </c>
      <c r="AN153" s="1">
        <f t="shared" ca="1" si="136"/>
        <v>79</v>
      </c>
      <c r="AO153" s="1">
        <f t="shared" ca="1" si="137"/>
        <v>16</v>
      </c>
      <c r="AQ153" s="1">
        <f t="shared" ca="1" si="138"/>
        <v>144</v>
      </c>
      <c r="AR153" s="1">
        <f t="shared" ca="1" si="139"/>
        <v>0</v>
      </c>
      <c r="AS153" s="1">
        <f t="shared" ca="1" si="140"/>
        <v>18</v>
      </c>
      <c r="AU153" s="1">
        <f t="shared" ca="1" si="141"/>
        <v>78</v>
      </c>
      <c r="AV153" s="1">
        <f t="shared" ca="1" si="142"/>
        <v>10</v>
      </c>
      <c r="AW153" s="1">
        <f t="shared" ca="1" si="143"/>
        <v>0.16742635644002296</v>
      </c>
      <c r="AY153" s="1">
        <f t="shared" ca="1" si="144"/>
        <v>1.9374446623603938</v>
      </c>
      <c r="AZ153" s="1">
        <f t="shared" ca="1" si="145"/>
        <v>259</v>
      </c>
      <c r="BA153" s="1">
        <f t="shared" ca="1" si="146"/>
        <v>2.9779781925477738E-3</v>
      </c>
      <c r="BV153" s="1">
        <f t="shared" ca="1" si="147"/>
        <v>0.93849922233772864</v>
      </c>
      <c r="BW153" s="1">
        <f t="shared" ca="1" si="148"/>
        <v>268</v>
      </c>
      <c r="BX153" s="1">
        <f t="shared" ca="1" si="149"/>
        <v>4.0481459213493392E-3</v>
      </c>
      <c r="BY153" s="1">
        <f t="shared" ca="1" si="150"/>
        <v>3.7572625220548515E-2</v>
      </c>
      <c r="BZ153" s="1">
        <f t="shared" ca="1" si="151"/>
        <v>0.73466834538157755</v>
      </c>
      <c r="CB153" s="1">
        <f t="shared" ca="1" si="152"/>
        <v>220</v>
      </c>
      <c r="CC153" s="1">
        <f t="shared" ca="1" si="153"/>
        <v>10</v>
      </c>
      <c r="CD153" s="1">
        <f t="shared" ca="1" si="154"/>
        <v>0.28613175963686277</v>
      </c>
      <c r="CE153" s="1">
        <f t="shared" ca="1" si="155"/>
        <v>0.7147978765353693</v>
      </c>
      <c r="CF153" s="1">
        <f t="shared" ca="1" si="155"/>
        <v>0.56828782958512436</v>
      </c>
      <c r="CH153" s="7">
        <f t="shared" ca="1" si="156"/>
        <v>0.10243167233439632</v>
      </c>
      <c r="CI153" s="7">
        <f t="shared" ca="1" si="157"/>
        <v>0.82277469850765217</v>
      </c>
      <c r="CJ153" s="7">
        <f t="shared" ca="1" si="158"/>
        <v>187</v>
      </c>
      <c r="CK153" s="7">
        <f t="shared" ca="1" si="159"/>
        <v>9.8984664015201729E-3</v>
      </c>
      <c r="CL153" s="7">
        <f t="shared" ca="1" si="160"/>
        <v>0</v>
      </c>
    </row>
    <row r="154" spans="2:90" x14ac:dyDescent="0.25">
      <c r="B154">
        <f t="shared" ca="1" si="108"/>
        <v>976</v>
      </c>
      <c r="C154">
        <f t="shared" ca="1" si="109"/>
        <v>32</v>
      </c>
      <c r="D154">
        <f t="shared" ca="1" si="110"/>
        <v>0.11604467711976361</v>
      </c>
      <c r="F154" s="1">
        <f t="shared" ca="1" si="111"/>
        <v>51</v>
      </c>
      <c r="G154" s="1">
        <f t="shared" ca="1" si="112"/>
        <v>8</v>
      </c>
      <c r="H154" s="1">
        <f t="shared" ca="1" si="113"/>
        <v>8</v>
      </c>
      <c r="I154" s="1"/>
      <c r="J154" s="1">
        <f t="shared" ca="1" si="114"/>
        <v>25</v>
      </c>
      <c r="K154" s="1">
        <f t="shared" ca="1" si="115"/>
        <v>2.3196445617942283</v>
      </c>
      <c r="L154" s="1">
        <f t="shared" ca="1" si="116"/>
        <v>5</v>
      </c>
      <c r="M154" s="1"/>
      <c r="N154" s="1">
        <f t="shared" ca="1" si="117"/>
        <v>559</v>
      </c>
      <c r="O154" s="1">
        <f t="shared" ca="1" si="118"/>
        <v>30</v>
      </c>
      <c r="P154" s="1"/>
      <c r="Q154" s="1">
        <f t="shared" ca="1" si="119"/>
        <v>4.317878676262052</v>
      </c>
      <c r="R154" s="1">
        <f t="shared" ca="1" si="120"/>
        <v>1033</v>
      </c>
      <c r="S154" s="1"/>
      <c r="T154" s="1">
        <f t="shared" ca="1" si="121"/>
        <v>8.293194167269094E-2</v>
      </c>
      <c r="U154" s="1">
        <f t="shared" ca="1" si="122"/>
        <v>222</v>
      </c>
      <c r="V154" s="1">
        <f t="shared" ca="1" si="123"/>
        <v>4</v>
      </c>
      <c r="W154" s="1"/>
      <c r="X154" s="1">
        <f t="shared" ca="1" si="124"/>
        <v>2.650102785255414</v>
      </c>
      <c r="Y154" s="1">
        <f t="shared" ca="1" si="125"/>
        <v>0.26940415969992737</v>
      </c>
      <c r="Z154" s="1">
        <f t="shared" ca="1" si="126"/>
        <v>692</v>
      </c>
      <c r="AB154" s="1">
        <f t="shared" ca="1" si="127"/>
        <v>5.6473769983803905E-3</v>
      </c>
      <c r="AC154" s="1">
        <f t="shared" ca="1" si="128"/>
        <v>695</v>
      </c>
      <c r="AD154" s="1">
        <f t="shared" ca="1" si="129"/>
        <v>2.3487878970572464E-3</v>
      </c>
      <c r="AE154" s="1"/>
      <c r="AF154" s="1">
        <f t="shared" ca="1" si="130"/>
        <v>0.88446947142434884</v>
      </c>
      <c r="AG154" s="1">
        <f t="shared" ca="1" si="131"/>
        <v>495</v>
      </c>
      <c r="AH154" s="1">
        <f t="shared" ca="1" si="132"/>
        <v>5.3287600219910124E-3</v>
      </c>
      <c r="AJ154" s="1">
        <f t="shared" ca="1" si="133"/>
        <v>0.44450078545550353</v>
      </c>
      <c r="AK154" s="1">
        <f t="shared" ca="1" si="134"/>
        <v>8.8173954359723333E-3</v>
      </c>
      <c r="AL154" s="1"/>
      <c r="AM154" s="1">
        <f t="shared" ca="1" si="135"/>
        <v>0.12850010586992719</v>
      </c>
      <c r="AN154" s="1">
        <f t="shared" ca="1" si="136"/>
        <v>49</v>
      </c>
      <c r="AO154" s="1">
        <f t="shared" ca="1" si="137"/>
        <v>0</v>
      </c>
      <c r="AQ154" s="1">
        <f t="shared" ca="1" si="138"/>
        <v>137</v>
      </c>
      <c r="AR154" s="1">
        <f t="shared" ca="1" si="139"/>
        <v>4</v>
      </c>
      <c r="AS154" s="1">
        <f t="shared" ca="1" si="140"/>
        <v>17</v>
      </c>
      <c r="AU154" s="1">
        <f t="shared" ca="1" si="141"/>
        <v>361</v>
      </c>
      <c r="AV154" s="1">
        <f t="shared" ca="1" si="142"/>
        <v>8</v>
      </c>
      <c r="AW154" s="1">
        <f t="shared" ca="1" si="143"/>
        <v>0.13187580135864974</v>
      </c>
      <c r="AY154" s="1">
        <f t="shared" ca="1" si="144"/>
        <v>1.8677287840584174</v>
      </c>
      <c r="AZ154" s="1">
        <f t="shared" ca="1" si="145"/>
        <v>487</v>
      </c>
      <c r="BA154" s="1">
        <f t="shared" ca="1" si="146"/>
        <v>8.031844908227722E-3</v>
      </c>
      <c r="BV154" s="1">
        <f t="shared" ca="1" si="147"/>
        <v>0.13247901903075085</v>
      </c>
      <c r="BW154" s="1">
        <f t="shared" ca="1" si="148"/>
        <v>810</v>
      </c>
      <c r="BX154" s="1">
        <f t="shared" ca="1" si="149"/>
        <v>7.9738065041787855E-3</v>
      </c>
      <c r="BY154" s="1">
        <f t="shared" ca="1" si="150"/>
        <v>2.6760398630374285E-2</v>
      </c>
      <c r="BZ154" s="1">
        <f t="shared" ca="1" si="151"/>
        <v>0.3280307512028926</v>
      </c>
      <c r="CB154" s="1">
        <f t="shared" ca="1" si="152"/>
        <v>156</v>
      </c>
      <c r="CC154" s="1">
        <f t="shared" ca="1" si="153"/>
        <v>12</v>
      </c>
      <c r="CD154" s="1">
        <f t="shared" ca="1" si="154"/>
        <v>0.14590593696757115</v>
      </c>
      <c r="CE154" s="1">
        <f t="shared" ca="1" si="155"/>
        <v>0.65607486756519218</v>
      </c>
      <c r="CF154" s="1">
        <f t="shared" ca="1" si="155"/>
        <v>0.71522906079779758</v>
      </c>
      <c r="CH154" s="7">
        <f t="shared" ca="1" si="156"/>
        <v>0.9679621039138917</v>
      </c>
      <c r="CI154" s="7">
        <f t="shared" ca="1" si="157"/>
        <v>0.8280747296699984</v>
      </c>
      <c r="CJ154" s="7">
        <f t="shared" ca="1" si="158"/>
        <v>716</v>
      </c>
      <c r="CK154" s="7">
        <f t="shared" ca="1" si="159"/>
        <v>8.0136403005760144E-3</v>
      </c>
      <c r="CL154" s="7">
        <f t="shared" ca="1" si="160"/>
        <v>0</v>
      </c>
    </row>
    <row r="155" spans="2:90" x14ac:dyDescent="0.25">
      <c r="B155">
        <f t="shared" ca="1" si="108"/>
        <v>839</v>
      </c>
      <c r="C155">
        <f t="shared" ca="1" si="109"/>
        <v>46</v>
      </c>
      <c r="D155">
        <f t="shared" ca="1" si="110"/>
        <v>0.28879380076537259</v>
      </c>
      <c r="F155" s="1">
        <f t="shared" ca="1" si="111"/>
        <v>12</v>
      </c>
      <c r="G155" s="1">
        <f t="shared" ca="1" si="112"/>
        <v>27</v>
      </c>
      <c r="H155" s="1">
        <f t="shared" ca="1" si="113"/>
        <v>9</v>
      </c>
      <c r="I155" s="1"/>
      <c r="J155" s="1">
        <f t="shared" ca="1" si="114"/>
        <v>33</v>
      </c>
      <c r="K155" s="1">
        <f t="shared" ca="1" si="115"/>
        <v>2.556243377679249</v>
      </c>
      <c r="L155" s="1">
        <f t="shared" ca="1" si="116"/>
        <v>16</v>
      </c>
      <c r="M155" s="1"/>
      <c r="N155" s="1">
        <f t="shared" ca="1" si="117"/>
        <v>598</v>
      </c>
      <c r="O155" s="1">
        <f t="shared" ca="1" si="118"/>
        <v>25</v>
      </c>
      <c r="P155" s="1"/>
      <c r="Q155" s="1">
        <f t="shared" ca="1" si="119"/>
        <v>4.9359710039548448</v>
      </c>
      <c r="R155" s="1">
        <f t="shared" ca="1" si="120"/>
        <v>961</v>
      </c>
      <c r="S155" s="1"/>
      <c r="T155" s="1">
        <f t="shared" ca="1" si="121"/>
        <v>0.18346378262452551</v>
      </c>
      <c r="U155" s="1">
        <f t="shared" ca="1" si="122"/>
        <v>444</v>
      </c>
      <c r="V155" s="1">
        <f t="shared" ca="1" si="123"/>
        <v>18</v>
      </c>
      <c r="W155" s="1"/>
      <c r="X155" s="1">
        <f t="shared" ca="1" si="124"/>
        <v>9.6974597504034676</v>
      </c>
      <c r="Y155" s="1">
        <f t="shared" ca="1" si="125"/>
        <v>0.77322987518643704</v>
      </c>
      <c r="Z155" s="1">
        <f t="shared" ca="1" si="126"/>
        <v>470</v>
      </c>
      <c r="AB155" s="1">
        <f t="shared" ca="1" si="127"/>
        <v>0.25314238182058235</v>
      </c>
      <c r="AC155" s="1">
        <f t="shared" ca="1" si="128"/>
        <v>147</v>
      </c>
      <c r="AD155" s="1">
        <f t="shared" ca="1" si="129"/>
        <v>4.1228877229347949E-3</v>
      </c>
      <c r="AE155" s="1"/>
      <c r="AF155" s="1">
        <f t="shared" ca="1" si="130"/>
        <v>0.54720988383051483</v>
      </c>
      <c r="AG155" s="1">
        <f t="shared" ca="1" si="131"/>
        <v>856</v>
      </c>
      <c r="AH155" s="1">
        <f t="shared" ca="1" si="132"/>
        <v>2.1876788020602938E-3</v>
      </c>
      <c r="AJ155" s="1">
        <f t="shared" ca="1" si="133"/>
        <v>0.67023235741822729</v>
      </c>
      <c r="AK155" s="1">
        <f t="shared" ca="1" si="134"/>
        <v>1.028148750145439E-4</v>
      </c>
      <c r="AL155" s="1"/>
      <c r="AM155" s="1">
        <f t="shared" ca="1" si="135"/>
        <v>4.0976775710260725E-2</v>
      </c>
      <c r="AN155" s="1">
        <f t="shared" ca="1" si="136"/>
        <v>42</v>
      </c>
      <c r="AO155" s="1">
        <f t="shared" ca="1" si="137"/>
        <v>17</v>
      </c>
      <c r="AQ155" s="1">
        <f t="shared" ca="1" si="138"/>
        <v>98</v>
      </c>
      <c r="AR155" s="1">
        <f t="shared" ca="1" si="139"/>
        <v>6</v>
      </c>
      <c r="AS155" s="1">
        <f t="shared" ca="1" si="140"/>
        <v>100</v>
      </c>
      <c r="AU155" s="1">
        <f t="shared" ca="1" si="141"/>
        <v>95</v>
      </c>
      <c r="AV155" s="1">
        <f t="shared" ca="1" si="142"/>
        <v>6</v>
      </c>
      <c r="AW155" s="1">
        <f t="shared" ca="1" si="143"/>
        <v>0.19247960954077092</v>
      </c>
      <c r="AY155" s="1">
        <f t="shared" ca="1" si="144"/>
        <v>1.5908016032697847</v>
      </c>
      <c r="AZ155" s="1">
        <f t="shared" ca="1" si="145"/>
        <v>203</v>
      </c>
      <c r="BA155" s="1">
        <f t="shared" ca="1" si="146"/>
        <v>9.3277153994065654E-3</v>
      </c>
      <c r="BV155" s="1">
        <f t="shared" ca="1" si="147"/>
        <v>0.42957930065901367</v>
      </c>
      <c r="BW155" s="1">
        <f t="shared" ca="1" si="148"/>
        <v>639</v>
      </c>
      <c r="BX155" s="1">
        <f t="shared" ca="1" si="149"/>
        <v>1.8899294301567434E-3</v>
      </c>
      <c r="BY155" s="1">
        <f t="shared" ca="1" si="150"/>
        <v>1.314641664973391E-2</v>
      </c>
      <c r="BZ155" s="1">
        <f t="shared" ca="1" si="151"/>
        <v>0.7891728647409455</v>
      </c>
      <c r="CB155" s="1">
        <f t="shared" ca="1" si="152"/>
        <v>88</v>
      </c>
      <c r="CC155" s="1">
        <f t="shared" ca="1" si="153"/>
        <v>9</v>
      </c>
      <c r="CD155" s="1">
        <f t="shared" ca="1" si="154"/>
        <v>0.17135551961537626</v>
      </c>
      <c r="CE155" s="1">
        <f t="shared" ca="1" si="155"/>
        <v>0.61167554365644294</v>
      </c>
      <c r="CF155" s="1">
        <f t="shared" ca="1" si="155"/>
        <v>0.61893507222723487</v>
      </c>
      <c r="CH155" s="7">
        <f t="shared" ca="1" si="156"/>
        <v>0.43174717215950553</v>
      </c>
      <c r="CI155" s="7">
        <f t="shared" ca="1" si="157"/>
        <v>1.5292793396956831E-2</v>
      </c>
      <c r="CJ155" s="7">
        <f t="shared" ca="1" si="158"/>
        <v>1164</v>
      </c>
      <c r="CK155" s="7">
        <f t="shared" ca="1" si="159"/>
        <v>8.8399835810152021E-3</v>
      </c>
      <c r="CL155" s="7">
        <f t="shared" ca="1" si="160"/>
        <v>0</v>
      </c>
    </row>
    <row r="156" spans="2:90" x14ac:dyDescent="0.25">
      <c r="B156">
        <f t="shared" ca="1" si="108"/>
        <v>89</v>
      </c>
      <c r="C156">
        <f t="shared" ca="1" si="109"/>
        <v>7</v>
      </c>
      <c r="D156">
        <f t="shared" ca="1" si="110"/>
        <v>5.9484395619849771E-2</v>
      </c>
      <c r="F156" s="1">
        <f t="shared" ca="1" si="111"/>
        <v>48</v>
      </c>
      <c r="G156" s="1">
        <f t="shared" ca="1" si="112"/>
        <v>8</v>
      </c>
      <c r="H156" s="1">
        <f t="shared" ca="1" si="113"/>
        <v>11</v>
      </c>
      <c r="I156" s="1"/>
      <c r="J156" s="1">
        <f t="shared" ca="1" si="114"/>
        <v>6</v>
      </c>
      <c r="K156" s="1">
        <f t="shared" ca="1" si="115"/>
        <v>1.2457946971542246</v>
      </c>
      <c r="L156" s="1">
        <f t="shared" ca="1" si="116"/>
        <v>11</v>
      </c>
      <c r="M156" s="1"/>
      <c r="N156" s="1">
        <f t="shared" ca="1" si="117"/>
        <v>904</v>
      </c>
      <c r="O156" s="1">
        <f t="shared" ca="1" si="118"/>
        <v>6</v>
      </c>
      <c r="P156" s="1"/>
      <c r="Q156" s="1">
        <f t="shared" ca="1" si="119"/>
        <v>4.4243789081646812</v>
      </c>
      <c r="R156" s="1">
        <f t="shared" ca="1" si="120"/>
        <v>750</v>
      </c>
      <c r="S156" s="1"/>
      <c r="T156" s="1">
        <f t="shared" ca="1" si="121"/>
        <v>0.19055459703849587</v>
      </c>
      <c r="U156" s="1">
        <f t="shared" ca="1" si="122"/>
        <v>170</v>
      </c>
      <c r="V156" s="1">
        <f t="shared" ca="1" si="123"/>
        <v>39</v>
      </c>
      <c r="W156" s="1"/>
      <c r="X156" s="1">
        <f t="shared" ca="1" si="124"/>
        <v>2.7199878944003397</v>
      </c>
      <c r="Y156" s="1">
        <f t="shared" ca="1" si="125"/>
        <v>0.13039758495570447</v>
      </c>
      <c r="Z156" s="1">
        <f t="shared" ca="1" si="126"/>
        <v>1990</v>
      </c>
      <c r="AB156" s="1">
        <f t="shared" ca="1" si="127"/>
        <v>0.64591811114747655</v>
      </c>
      <c r="AC156" s="1">
        <f t="shared" ca="1" si="128"/>
        <v>345</v>
      </c>
      <c r="AD156" s="1">
        <f t="shared" ca="1" si="129"/>
        <v>8.5115270203511076E-3</v>
      </c>
      <c r="AE156" s="1"/>
      <c r="AF156" s="1">
        <f t="shared" ca="1" si="130"/>
        <v>0.4277449539591508</v>
      </c>
      <c r="AG156" s="1">
        <f t="shared" ca="1" si="131"/>
        <v>779</v>
      </c>
      <c r="AH156" s="1">
        <f t="shared" ca="1" si="132"/>
        <v>2.6641356017829233E-4</v>
      </c>
      <c r="AJ156" s="1">
        <f t="shared" ca="1" si="133"/>
        <v>0.94551261415964216</v>
      </c>
      <c r="AK156" s="1">
        <f t="shared" ca="1" si="134"/>
        <v>1.2734804825328093E-3</v>
      </c>
      <c r="AL156" s="1"/>
      <c r="AM156" s="1">
        <f t="shared" ca="1" si="135"/>
        <v>0.11632547521520999</v>
      </c>
      <c r="AN156" s="1">
        <f t="shared" ca="1" si="136"/>
        <v>66</v>
      </c>
      <c r="AO156" s="1">
        <f t="shared" ca="1" si="137"/>
        <v>17</v>
      </c>
      <c r="AQ156" s="1">
        <f t="shared" ca="1" si="138"/>
        <v>117</v>
      </c>
      <c r="AR156" s="1">
        <f t="shared" ca="1" si="139"/>
        <v>0</v>
      </c>
      <c r="AS156" s="1">
        <f t="shared" ca="1" si="140"/>
        <v>34</v>
      </c>
      <c r="AU156" s="1">
        <f t="shared" ca="1" si="141"/>
        <v>61</v>
      </c>
      <c r="AV156" s="1">
        <f t="shared" ca="1" si="142"/>
        <v>2</v>
      </c>
      <c r="AW156" s="1">
        <f t="shared" ca="1" si="143"/>
        <v>5.2117791662946271E-2</v>
      </c>
      <c r="AY156" s="1">
        <f t="shared" ca="1" si="144"/>
        <v>1.8272330255651557</v>
      </c>
      <c r="AZ156" s="1">
        <f t="shared" ca="1" si="145"/>
        <v>425</v>
      </c>
      <c r="BA156" s="1">
        <f t="shared" ca="1" si="146"/>
        <v>2.3684334619518419E-3</v>
      </c>
      <c r="BV156" s="1">
        <f t="shared" ca="1" si="147"/>
        <v>5.2144839436837571E-2</v>
      </c>
      <c r="BW156" s="1">
        <f t="shared" ca="1" si="148"/>
        <v>195</v>
      </c>
      <c r="BX156" s="1">
        <f t="shared" ca="1" si="149"/>
        <v>1.3046004770585465E-3</v>
      </c>
      <c r="BY156" s="1">
        <f t="shared" ca="1" si="150"/>
        <v>2.5092995869242775E-2</v>
      </c>
      <c r="BZ156" s="1">
        <f t="shared" ca="1" si="151"/>
        <v>0.42097298149642115</v>
      </c>
      <c r="CB156" s="1">
        <f t="shared" ca="1" si="152"/>
        <v>204</v>
      </c>
      <c r="CC156" s="1">
        <f t="shared" ca="1" si="153"/>
        <v>3</v>
      </c>
      <c r="CD156" s="1">
        <f t="shared" ca="1" si="154"/>
        <v>0.14991929570910043</v>
      </c>
      <c r="CE156" s="1">
        <f t="shared" ca="1" si="155"/>
        <v>0.59334343299528403</v>
      </c>
      <c r="CF156" s="1">
        <f t="shared" ca="1" si="155"/>
        <v>0.60210745212733374</v>
      </c>
      <c r="CH156" s="7">
        <f t="shared" ca="1" si="156"/>
        <v>7.729629399322549E-2</v>
      </c>
      <c r="CI156" s="7">
        <f t="shared" ca="1" si="157"/>
        <v>0.10723791426021966</v>
      </c>
      <c r="CJ156" s="7">
        <f t="shared" ca="1" si="158"/>
        <v>452</v>
      </c>
      <c r="CK156" s="7">
        <f t="shared" ca="1" si="159"/>
        <v>5.5720441238926903E-3</v>
      </c>
      <c r="CL156" s="7">
        <f t="shared" ca="1" si="160"/>
        <v>0</v>
      </c>
    </row>
    <row r="157" spans="2:90" x14ac:dyDescent="0.25">
      <c r="B157">
        <f t="shared" ca="1" si="108"/>
        <v>930</v>
      </c>
      <c r="C157">
        <f t="shared" ca="1" si="109"/>
        <v>9</v>
      </c>
      <c r="D157">
        <f t="shared" ca="1" si="110"/>
        <v>0.12422606228892111</v>
      </c>
      <c r="F157" s="1">
        <f t="shared" ca="1" si="111"/>
        <v>31</v>
      </c>
      <c r="G157" s="1">
        <f t="shared" ca="1" si="112"/>
        <v>23</v>
      </c>
      <c r="H157" s="1">
        <f t="shared" ca="1" si="113"/>
        <v>7</v>
      </c>
      <c r="I157" s="1"/>
      <c r="J157" s="1">
        <f t="shared" ca="1" si="114"/>
        <v>25</v>
      </c>
      <c r="K157" s="1">
        <f t="shared" ca="1" si="115"/>
        <v>1.8027718916405946</v>
      </c>
      <c r="L157" s="1">
        <f t="shared" ca="1" si="116"/>
        <v>20</v>
      </c>
      <c r="M157" s="1"/>
      <c r="N157" s="1">
        <f t="shared" ca="1" si="117"/>
        <v>242</v>
      </c>
      <c r="O157" s="1">
        <f t="shared" ca="1" si="118"/>
        <v>30</v>
      </c>
      <c r="P157" s="1"/>
      <c r="Q157" s="1">
        <f t="shared" ca="1" si="119"/>
        <v>2.1510001303763668</v>
      </c>
      <c r="R157" s="1">
        <f t="shared" ca="1" si="120"/>
        <v>916</v>
      </c>
      <c r="S157" s="1"/>
      <c r="T157" s="1">
        <f t="shared" ca="1" si="121"/>
        <v>1.342022231945604E-2</v>
      </c>
      <c r="U157" s="1">
        <f t="shared" ca="1" si="122"/>
        <v>401</v>
      </c>
      <c r="V157" s="1">
        <f t="shared" ca="1" si="123"/>
        <v>23</v>
      </c>
      <c r="W157" s="1"/>
      <c r="X157" s="1">
        <f t="shared" ca="1" si="124"/>
        <v>3.7509253582382756</v>
      </c>
      <c r="Y157" s="1">
        <f t="shared" ca="1" si="125"/>
        <v>0.40986627088334154</v>
      </c>
      <c r="Z157" s="1">
        <f t="shared" ca="1" si="126"/>
        <v>1386</v>
      </c>
      <c r="AB157" s="1">
        <f t="shared" ca="1" si="127"/>
        <v>2.3203040982354393E-2</v>
      </c>
      <c r="AC157" s="1">
        <f t="shared" ca="1" si="128"/>
        <v>646</v>
      </c>
      <c r="AD157" s="1">
        <f t="shared" ca="1" si="129"/>
        <v>1.8507168843205381E-3</v>
      </c>
      <c r="AE157" s="1"/>
      <c r="AF157" s="1">
        <f t="shared" ca="1" si="130"/>
        <v>0.13807227132943753</v>
      </c>
      <c r="AG157" s="1">
        <f t="shared" ca="1" si="131"/>
        <v>148</v>
      </c>
      <c r="AH157" s="1">
        <f t="shared" ca="1" si="132"/>
        <v>7.5811453009454639E-3</v>
      </c>
      <c r="AJ157" s="1">
        <f t="shared" ca="1" si="133"/>
        <v>0.96334335906490665</v>
      </c>
      <c r="AK157" s="1">
        <f t="shared" ca="1" si="134"/>
        <v>3.0059253056052243E-3</v>
      </c>
      <c r="AL157" s="1"/>
      <c r="AM157" s="1">
        <f t="shared" ca="1" si="135"/>
        <v>0.12710917465101554</v>
      </c>
      <c r="AN157" s="1">
        <f t="shared" ca="1" si="136"/>
        <v>62</v>
      </c>
      <c r="AO157" s="1">
        <f t="shared" ca="1" si="137"/>
        <v>-1</v>
      </c>
      <c r="AQ157" s="1">
        <f t="shared" ca="1" si="138"/>
        <v>33</v>
      </c>
      <c r="AR157" s="1">
        <f t="shared" ca="1" si="139"/>
        <v>4</v>
      </c>
      <c r="AS157" s="1">
        <f t="shared" ca="1" si="140"/>
        <v>74</v>
      </c>
      <c r="AU157" s="1">
        <f t="shared" ca="1" si="141"/>
        <v>61</v>
      </c>
      <c r="AV157" s="1">
        <f t="shared" ca="1" si="142"/>
        <v>3</v>
      </c>
      <c r="AW157" s="1">
        <f t="shared" ca="1" si="143"/>
        <v>3.2477674008005962E-2</v>
      </c>
      <c r="AY157" s="1">
        <f t="shared" ca="1" si="144"/>
        <v>1.2835888605405978</v>
      </c>
      <c r="AZ157" s="1">
        <f t="shared" ca="1" si="145"/>
        <v>393</v>
      </c>
      <c r="BA157" s="1">
        <f t="shared" ca="1" si="146"/>
        <v>1.0830497724003672E-3</v>
      </c>
      <c r="BV157" s="1">
        <f t="shared" ca="1" si="147"/>
        <v>0.41450555937822392</v>
      </c>
      <c r="BW157" s="1">
        <f t="shared" ca="1" si="148"/>
        <v>506</v>
      </c>
      <c r="BX157" s="1">
        <f t="shared" ca="1" si="149"/>
        <v>5.0527937758429887E-3</v>
      </c>
      <c r="BY157" s="1">
        <f t="shared" ca="1" si="150"/>
        <v>9.6740248956044245E-2</v>
      </c>
      <c r="BZ157" s="1">
        <f t="shared" ca="1" si="151"/>
        <v>0.61244634025647327</v>
      </c>
      <c r="CB157" s="1">
        <f t="shared" ca="1" si="152"/>
        <v>305</v>
      </c>
      <c r="CC157" s="1">
        <f t="shared" ca="1" si="153"/>
        <v>7</v>
      </c>
      <c r="CD157" s="1">
        <f t="shared" ca="1" si="154"/>
        <v>0.14628764170711153</v>
      </c>
      <c r="CE157" s="1">
        <f t="shared" ca="1" si="155"/>
        <v>0.57985025326468409</v>
      </c>
      <c r="CF157" s="1">
        <f t="shared" ca="1" si="155"/>
        <v>0.72042144759705951</v>
      </c>
      <c r="CH157" s="7">
        <f t="shared" ca="1" si="156"/>
        <v>0.78043897845014432</v>
      </c>
      <c r="CI157" s="7">
        <f t="shared" ca="1" si="157"/>
        <v>0.67426873000305676</v>
      </c>
      <c r="CJ157" s="7">
        <f t="shared" ca="1" si="158"/>
        <v>1817</v>
      </c>
      <c r="CK157" s="7">
        <f t="shared" ca="1" si="159"/>
        <v>3.7842369162848755E-3</v>
      </c>
      <c r="CL157" s="7">
        <f t="shared" ca="1" si="160"/>
        <v>0</v>
      </c>
    </row>
    <row r="158" spans="2:90" x14ac:dyDescent="0.25">
      <c r="B158">
        <f t="shared" ca="1" si="108"/>
        <v>668</v>
      </c>
      <c r="C158">
        <f t="shared" ca="1" si="109"/>
        <v>19</v>
      </c>
      <c r="D158">
        <f t="shared" ca="1" si="110"/>
        <v>0.27240510954407982</v>
      </c>
      <c r="F158" s="1">
        <f t="shared" ca="1" si="111"/>
        <v>19</v>
      </c>
      <c r="G158" s="1">
        <f t="shared" ca="1" si="112"/>
        <v>16</v>
      </c>
      <c r="H158" s="1">
        <f t="shared" ca="1" si="113"/>
        <v>13</v>
      </c>
      <c r="I158" s="1"/>
      <c r="J158" s="1">
        <f t="shared" ca="1" si="114"/>
        <v>28</v>
      </c>
      <c r="K158" s="1">
        <f t="shared" ca="1" si="115"/>
        <v>2.1472051472189637</v>
      </c>
      <c r="L158" s="1">
        <f t="shared" ca="1" si="116"/>
        <v>23</v>
      </c>
      <c r="M158" s="1"/>
      <c r="N158" s="1">
        <f t="shared" ca="1" si="117"/>
        <v>184</v>
      </c>
      <c r="O158" s="1">
        <f t="shared" ca="1" si="118"/>
        <v>6</v>
      </c>
      <c r="P158" s="1"/>
      <c r="Q158" s="1">
        <f t="shared" ca="1" si="119"/>
        <v>1.3637559322456885</v>
      </c>
      <c r="R158" s="1">
        <f t="shared" ca="1" si="120"/>
        <v>665</v>
      </c>
      <c r="S158" s="1"/>
      <c r="T158" s="1">
        <f t="shared" ca="1" si="121"/>
        <v>0.10070257276305231</v>
      </c>
      <c r="U158" s="1">
        <f t="shared" ca="1" si="122"/>
        <v>362</v>
      </c>
      <c r="V158" s="1">
        <f t="shared" ca="1" si="123"/>
        <v>20</v>
      </c>
      <c r="W158" s="1"/>
      <c r="X158" s="1">
        <f t="shared" ca="1" si="124"/>
        <v>5.909790356493211</v>
      </c>
      <c r="Y158" s="1">
        <f t="shared" ca="1" si="125"/>
        <v>0.60602466686136391</v>
      </c>
      <c r="Z158" s="1">
        <f t="shared" ca="1" si="126"/>
        <v>571</v>
      </c>
      <c r="AB158" s="1">
        <f t="shared" ca="1" si="127"/>
        <v>0.50487840457124278</v>
      </c>
      <c r="AC158" s="1">
        <f t="shared" ca="1" si="128"/>
        <v>182</v>
      </c>
      <c r="AD158" s="1">
        <f t="shared" ca="1" si="129"/>
        <v>6.0185580612751631E-3</v>
      </c>
      <c r="AE158" s="1"/>
      <c r="AF158" s="1">
        <f t="shared" ca="1" si="130"/>
        <v>0.57476976902034826</v>
      </c>
      <c r="AG158" s="1">
        <f t="shared" ca="1" si="131"/>
        <v>855</v>
      </c>
      <c r="AH158" s="1">
        <f t="shared" ca="1" si="132"/>
        <v>7.7658791357871583E-3</v>
      </c>
      <c r="AJ158" s="1">
        <f t="shared" ca="1" si="133"/>
        <v>0.53612762138385184</v>
      </c>
      <c r="AK158" s="1">
        <f t="shared" ca="1" si="134"/>
        <v>3.0650195318666727E-3</v>
      </c>
      <c r="AL158" s="1"/>
      <c r="AM158" s="1">
        <f t="shared" ca="1" si="135"/>
        <v>7.1603449070910929E-2</v>
      </c>
      <c r="AN158" s="1">
        <f t="shared" ca="1" si="136"/>
        <v>40</v>
      </c>
      <c r="AO158" s="1">
        <f t="shared" ca="1" si="137"/>
        <v>15</v>
      </c>
      <c r="AQ158" s="1">
        <f t="shared" ca="1" si="138"/>
        <v>18</v>
      </c>
      <c r="AR158" s="1">
        <f t="shared" ca="1" si="139"/>
        <v>1</v>
      </c>
      <c r="AS158" s="1">
        <f t="shared" ca="1" si="140"/>
        <v>54</v>
      </c>
      <c r="AU158" s="1">
        <f t="shared" ca="1" si="141"/>
        <v>275</v>
      </c>
      <c r="AV158" s="1">
        <f t="shared" ca="1" si="142"/>
        <v>6</v>
      </c>
      <c r="AW158" s="1">
        <f t="shared" ca="1" si="143"/>
        <v>0.11733138409422356</v>
      </c>
      <c r="AY158" s="1">
        <f t="shared" ca="1" si="144"/>
        <v>1.3487179626199024</v>
      </c>
      <c r="AZ158" s="1">
        <f t="shared" ca="1" si="145"/>
        <v>492</v>
      </c>
      <c r="BA158" s="1">
        <f t="shared" ca="1" si="146"/>
        <v>7.9610375146932817E-3</v>
      </c>
      <c r="BV158" s="1">
        <f t="shared" ca="1" si="147"/>
        <v>0.55130223603698303</v>
      </c>
      <c r="BW158" s="1">
        <f t="shared" ca="1" si="148"/>
        <v>902</v>
      </c>
      <c r="BX158" s="1">
        <f t="shared" ca="1" si="149"/>
        <v>4.9765379167311394E-3</v>
      </c>
      <c r="BY158" s="1">
        <f t="shared" ca="1" si="150"/>
        <v>9.8136017922794069E-2</v>
      </c>
      <c r="BZ158" s="1">
        <f t="shared" ca="1" si="151"/>
        <v>0.20893265744070522</v>
      </c>
      <c r="CB158" s="1">
        <f t="shared" ca="1" si="152"/>
        <v>268</v>
      </c>
      <c r="CC158" s="1">
        <f t="shared" ca="1" si="153"/>
        <v>9</v>
      </c>
      <c r="CD158" s="1">
        <f t="shared" ca="1" si="154"/>
        <v>0.22990095690261791</v>
      </c>
      <c r="CE158" s="1">
        <f t="shared" ca="1" si="155"/>
        <v>0.92109007709340385</v>
      </c>
      <c r="CF158" s="1">
        <f t="shared" ca="1" si="155"/>
        <v>0.83080493675546707</v>
      </c>
      <c r="CH158" s="7">
        <f t="shared" ca="1" si="156"/>
        <v>0.71987463272694185</v>
      </c>
      <c r="CI158" s="7">
        <f t="shared" ca="1" si="157"/>
        <v>0.95914615985655793</v>
      </c>
      <c r="CJ158" s="7">
        <f t="shared" ca="1" si="158"/>
        <v>118</v>
      </c>
      <c r="CK158" s="7">
        <f t="shared" ca="1" si="159"/>
        <v>5.9060216427241474E-3</v>
      </c>
      <c r="CL158" s="7">
        <f t="shared" ca="1" si="160"/>
        <v>0</v>
      </c>
    </row>
    <row r="159" spans="2:90" x14ac:dyDescent="0.25">
      <c r="B159">
        <f t="shared" ca="1" si="108"/>
        <v>993</v>
      </c>
      <c r="C159">
        <f t="shared" ca="1" si="109"/>
        <v>12</v>
      </c>
      <c r="D159">
        <f t="shared" ca="1" si="110"/>
        <v>0.12796919493792061</v>
      </c>
      <c r="F159" s="1">
        <f t="shared" ca="1" si="111"/>
        <v>51</v>
      </c>
      <c r="G159" s="1">
        <f t="shared" ca="1" si="112"/>
        <v>30</v>
      </c>
      <c r="H159" s="1">
        <f t="shared" ca="1" si="113"/>
        <v>5</v>
      </c>
      <c r="I159" s="1"/>
      <c r="J159" s="1">
        <f t="shared" ca="1" si="114"/>
        <v>16</v>
      </c>
      <c r="K159" s="1">
        <f t="shared" ca="1" si="115"/>
        <v>2.7893737474098366</v>
      </c>
      <c r="L159" s="1">
        <f t="shared" ca="1" si="116"/>
        <v>18</v>
      </c>
      <c r="M159" s="1"/>
      <c r="N159" s="1">
        <f t="shared" ca="1" si="117"/>
        <v>207</v>
      </c>
      <c r="O159" s="1">
        <f t="shared" ca="1" si="118"/>
        <v>10</v>
      </c>
      <c r="P159" s="1"/>
      <c r="Q159" s="1">
        <f t="shared" ca="1" si="119"/>
        <v>0.94625984521505768</v>
      </c>
      <c r="R159" s="1">
        <f t="shared" ca="1" si="120"/>
        <v>900</v>
      </c>
      <c r="S159" s="1"/>
      <c r="T159" s="1">
        <f t="shared" ca="1" si="121"/>
        <v>9.2187839995588036E-2</v>
      </c>
      <c r="U159" s="1">
        <f t="shared" ca="1" si="122"/>
        <v>153</v>
      </c>
      <c r="V159" s="1">
        <f t="shared" ca="1" si="123"/>
        <v>11</v>
      </c>
      <c r="W159" s="1"/>
      <c r="X159" s="1">
        <f t="shared" ca="1" si="124"/>
        <v>6.0232783700232329</v>
      </c>
      <c r="Y159" s="1">
        <f t="shared" ca="1" si="125"/>
        <v>0.17094067197696419</v>
      </c>
      <c r="Z159" s="1">
        <f t="shared" ca="1" si="126"/>
        <v>1615</v>
      </c>
      <c r="AB159" s="1">
        <f t="shared" ca="1" si="127"/>
        <v>8.4757013046395671E-2</v>
      </c>
      <c r="AC159" s="1">
        <f t="shared" ca="1" si="128"/>
        <v>167</v>
      </c>
      <c r="AD159" s="1">
        <f t="shared" ca="1" si="129"/>
        <v>5.3561973400770985E-3</v>
      </c>
      <c r="AE159" s="1"/>
      <c r="AF159" s="1">
        <f t="shared" ca="1" si="130"/>
        <v>0.66065280334715681</v>
      </c>
      <c r="AG159" s="1">
        <f t="shared" ca="1" si="131"/>
        <v>328</v>
      </c>
      <c r="AH159" s="1">
        <f t="shared" ca="1" si="132"/>
        <v>4.1216606293729072E-3</v>
      </c>
      <c r="AJ159" s="1">
        <f t="shared" ca="1" si="133"/>
        <v>0.97487150761273011</v>
      </c>
      <c r="AK159" s="1">
        <f t="shared" ca="1" si="134"/>
        <v>7.2302767878250568E-3</v>
      </c>
      <c r="AL159" s="1"/>
      <c r="AM159" s="1">
        <f t="shared" ca="1" si="135"/>
        <v>0.10231453282481429</v>
      </c>
      <c r="AN159" s="1">
        <f t="shared" ca="1" si="136"/>
        <v>37</v>
      </c>
      <c r="AO159" s="1">
        <f t="shared" ca="1" si="137"/>
        <v>6</v>
      </c>
      <c r="AQ159" s="1">
        <f t="shared" ca="1" si="138"/>
        <v>63</v>
      </c>
      <c r="AR159" s="1">
        <f t="shared" ca="1" si="139"/>
        <v>5</v>
      </c>
      <c r="AS159" s="1">
        <f t="shared" ca="1" si="140"/>
        <v>12</v>
      </c>
      <c r="AU159" s="1">
        <f t="shared" ca="1" si="141"/>
        <v>369</v>
      </c>
      <c r="AV159" s="1">
        <f t="shared" ca="1" si="142"/>
        <v>2</v>
      </c>
      <c r="AW159" s="1">
        <f t="shared" ca="1" si="143"/>
        <v>0.14547940079018828</v>
      </c>
      <c r="AY159" s="1">
        <f t="shared" ca="1" si="144"/>
        <v>1.6922347090975847</v>
      </c>
      <c r="AZ159" s="1">
        <f t="shared" ca="1" si="145"/>
        <v>130</v>
      </c>
      <c r="BA159" s="1">
        <f t="shared" ca="1" si="146"/>
        <v>9.607109203704672E-3</v>
      </c>
      <c r="BV159" s="1">
        <f t="shared" ca="1" si="147"/>
        <v>0.11924755951487244</v>
      </c>
      <c r="BW159" s="1">
        <f t="shared" ca="1" si="148"/>
        <v>264</v>
      </c>
      <c r="BX159" s="1">
        <f t="shared" ca="1" si="149"/>
        <v>5.943436461772522E-3</v>
      </c>
      <c r="BY159" s="1">
        <f t="shared" ca="1" si="150"/>
        <v>1.8743664611819741E-2</v>
      </c>
      <c r="BZ159" s="1">
        <f t="shared" ca="1" si="151"/>
        <v>0.25893787402367618</v>
      </c>
      <c r="CB159" s="1">
        <f t="shared" ca="1" si="152"/>
        <v>240</v>
      </c>
      <c r="CC159" s="1">
        <f t="shared" ca="1" si="153"/>
        <v>9</v>
      </c>
      <c r="CD159" s="1">
        <f t="shared" ca="1" si="154"/>
        <v>0.24271693220525004</v>
      </c>
      <c r="CE159" s="1">
        <f t="shared" ca="1" si="155"/>
        <v>0.97862144638402215</v>
      </c>
      <c r="CF159" s="1">
        <f t="shared" ca="1" si="155"/>
        <v>0.56980801467914999</v>
      </c>
      <c r="CH159" s="7">
        <f t="shared" ca="1" si="156"/>
        <v>0.3126575412975483</v>
      </c>
      <c r="CI159" s="7">
        <f t="shared" ca="1" si="157"/>
        <v>0.65693704669008812</v>
      </c>
      <c r="CJ159" s="7">
        <f t="shared" ca="1" si="158"/>
        <v>1260</v>
      </c>
      <c r="CK159" s="7">
        <f t="shared" ca="1" si="159"/>
        <v>9.3704547628187928E-3</v>
      </c>
      <c r="CL159" s="7">
        <f t="shared" ca="1" si="160"/>
        <v>1</v>
      </c>
    </row>
    <row r="160" spans="2:90" x14ac:dyDescent="0.25">
      <c r="B160">
        <f t="shared" ca="1" si="108"/>
        <v>547</v>
      </c>
      <c r="C160">
        <f t="shared" ca="1" si="109"/>
        <v>22</v>
      </c>
      <c r="D160">
        <f t="shared" ca="1" si="110"/>
        <v>0.18918566852643798</v>
      </c>
      <c r="F160" s="1">
        <f t="shared" ca="1" si="111"/>
        <v>44</v>
      </c>
      <c r="G160" s="1">
        <f t="shared" ca="1" si="112"/>
        <v>12</v>
      </c>
      <c r="H160" s="1">
        <f t="shared" ca="1" si="113"/>
        <v>5</v>
      </c>
      <c r="I160" s="1"/>
      <c r="J160" s="1">
        <f t="shared" ca="1" si="114"/>
        <v>10</v>
      </c>
      <c r="K160" s="1">
        <f t="shared" ca="1" si="115"/>
        <v>2.5079574349910239</v>
      </c>
      <c r="L160" s="1">
        <f t="shared" ca="1" si="116"/>
        <v>5</v>
      </c>
      <c r="M160" s="1"/>
      <c r="N160" s="1">
        <f t="shared" ca="1" si="117"/>
        <v>777</v>
      </c>
      <c r="O160" s="1">
        <f t="shared" ca="1" si="118"/>
        <v>50</v>
      </c>
      <c r="P160" s="1"/>
      <c r="Q160" s="1">
        <f t="shared" ca="1" si="119"/>
        <v>3.4068804525949528E-2</v>
      </c>
      <c r="R160" s="1">
        <f t="shared" ca="1" si="120"/>
        <v>241</v>
      </c>
      <c r="S160" s="1"/>
      <c r="T160" s="1">
        <f t="shared" ca="1" si="121"/>
        <v>4.6778549355765711E-2</v>
      </c>
      <c r="U160" s="1">
        <f t="shared" ca="1" si="122"/>
        <v>218</v>
      </c>
      <c r="V160" s="1">
        <f t="shared" ca="1" si="123"/>
        <v>48</v>
      </c>
      <c r="W160" s="1"/>
      <c r="X160" s="1">
        <f t="shared" ca="1" si="124"/>
        <v>9.516583096448441</v>
      </c>
      <c r="Y160" s="1">
        <f t="shared" ca="1" si="125"/>
        <v>0.15792751872147612</v>
      </c>
      <c r="Z160" s="1">
        <f t="shared" ca="1" si="126"/>
        <v>1238</v>
      </c>
      <c r="AB160" s="1">
        <f t="shared" ca="1" si="127"/>
        <v>0.65315346904957572</v>
      </c>
      <c r="AC160" s="1">
        <f t="shared" ca="1" si="128"/>
        <v>373</v>
      </c>
      <c r="AD160" s="1">
        <f t="shared" ca="1" si="129"/>
        <v>6.4554650352775019E-4</v>
      </c>
      <c r="AE160" s="1"/>
      <c r="AF160" s="1">
        <f t="shared" ca="1" si="130"/>
        <v>0.23181095838612933</v>
      </c>
      <c r="AG160" s="1">
        <f t="shared" ca="1" si="131"/>
        <v>157</v>
      </c>
      <c r="AH160" s="1">
        <f t="shared" ca="1" si="132"/>
        <v>8.5245386315073862E-3</v>
      </c>
      <c r="AJ160" s="1">
        <f t="shared" ca="1" si="133"/>
        <v>0.57106404027225521</v>
      </c>
      <c r="AK160" s="1">
        <f t="shared" ca="1" si="134"/>
        <v>8.6001159520023348E-3</v>
      </c>
      <c r="AL160" s="1"/>
      <c r="AM160" s="1">
        <f t="shared" ca="1" si="135"/>
        <v>1.0448745928755832E-2</v>
      </c>
      <c r="AN160" s="1">
        <f t="shared" ca="1" si="136"/>
        <v>80</v>
      </c>
      <c r="AO160" s="1">
        <f t="shared" ca="1" si="137"/>
        <v>9</v>
      </c>
      <c r="AQ160" s="1">
        <f t="shared" ca="1" si="138"/>
        <v>37</v>
      </c>
      <c r="AR160" s="1">
        <f t="shared" ca="1" si="139"/>
        <v>10</v>
      </c>
      <c r="AS160" s="1">
        <f t="shared" ca="1" si="140"/>
        <v>56</v>
      </c>
      <c r="AU160" s="1">
        <f t="shared" ca="1" si="141"/>
        <v>380</v>
      </c>
      <c r="AV160" s="1">
        <f t="shared" ca="1" si="142"/>
        <v>10</v>
      </c>
      <c r="AW160" s="1">
        <f t="shared" ca="1" si="143"/>
        <v>0.11534159440674589</v>
      </c>
      <c r="AY160" s="1">
        <f t="shared" ca="1" si="144"/>
        <v>1.7462979079312921</v>
      </c>
      <c r="AZ160" s="1">
        <f t="shared" ca="1" si="145"/>
        <v>451</v>
      </c>
      <c r="BA160" s="1">
        <f t="shared" ca="1" si="146"/>
        <v>7.56226473912377E-3</v>
      </c>
      <c r="BV160" s="1">
        <f t="shared" ca="1" si="147"/>
        <v>0.22955491978023615</v>
      </c>
      <c r="BW160" s="1">
        <f t="shared" ca="1" si="148"/>
        <v>142</v>
      </c>
      <c r="BX160" s="1">
        <f t="shared" ca="1" si="149"/>
        <v>9.1086342499283296E-4</v>
      </c>
      <c r="BY160" s="1">
        <f t="shared" ca="1" si="150"/>
        <v>1.9420579599189539E-2</v>
      </c>
      <c r="BZ160" s="1">
        <f t="shared" ca="1" si="151"/>
        <v>0.87699551173308798</v>
      </c>
      <c r="CB160" s="1">
        <f t="shared" ca="1" si="152"/>
        <v>80</v>
      </c>
      <c r="CC160" s="1">
        <f t="shared" ca="1" si="153"/>
        <v>15</v>
      </c>
      <c r="CD160" s="1">
        <f t="shared" ca="1" si="154"/>
        <v>0.10237891939464974</v>
      </c>
      <c r="CE160" s="1">
        <f t="shared" ca="1" si="155"/>
        <v>0.58930624587352765</v>
      </c>
      <c r="CF160" s="1">
        <f t="shared" ca="1" si="155"/>
        <v>0.80142683583726626</v>
      </c>
      <c r="CH160" s="7">
        <f t="shared" ca="1" si="156"/>
        <v>0.65036357821465907</v>
      </c>
      <c r="CI160" s="7">
        <f t="shared" ca="1" si="157"/>
        <v>0.75739426045648139</v>
      </c>
      <c r="CJ160" s="7">
        <f t="shared" ca="1" si="158"/>
        <v>1130</v>
      </c>
      <c r="CK160" s="7">
        <f t="shared" ca="1" si="159"/>
        <v>9.3170565160880982E-3</v>
      </c>
      <c r="CL160" s="7">
        <f t="shared" ca="1" si="160"/>
        <v>0</v>
      </c>
    </row>
    <row r="161" spans="2:90" x14ac:dyDescent="0.25">
      <c r="B161">
        <f t="shared" ca="1" si="108"/>
        <v>543</v>
      </c>
      <c r="C161">
        <f t="shared" ca="1" si="109"/>
        <v>47</v>
      </c>
      <c r="D161">
        <f t="shared" ca="1" si="110"/>
        <v>0.16737297179326879</v>
      </c>
      <c r="F161" s="1">
        <f t="shared" ca="1" si="111"/>
        <v>7</v>
      </c>
      <c r="G161" s="1">
        <f t="shared" ca="1" si="112"/>
        <v>11</v>
      </c>
      <c r="H161" s="1">
        <f t="shared" ca="1" si="113"/>
        <v>13</v>
      </c>
      <c r="I161" s="1"/>
      <c r="J161" s="1">
        <f t="shared" ca="1" si="114"/>
        <v>5</v>
      </c>
      <c r="K161" s="1">
        <f t="shared" ca="1" si="115"/>
        <v>1.7910330637011143</v>
      </c>
      <c r="L161" s="1">
        <f t="shared" ca="1" si="116"/>
        <v>29</v>
      </c>
      <c r="M161" s="1"/>
      <c r="N161" s="1">
        <f t="shared" ca="1" si="117"/>
        <v>992</v>
      </c>
      <c r="O161" s="1">
        <f t="shared" ca="1" si="118"/>
        <v>38</v>
      </c>
      <c r="P161" s="1"/>
      <c r="Q161" s="1">
        <f t="shared" ca="1" si="119"/>
        <v>0.88645688361107011</v>
      </c>
      <c r="R161" s="1">
        <f t="shared" ca="1" si="120"/>
        <v>1146</v>
      </c>
      <c r="S161" s="1"/>
      <c r="T161" s="1">
        <f t="shared" ca="1" si="121"/>
        <v>3.8036921525887536E-2</v>
      </c>
      <c r="U161" s="1">
        <f t="shared" ca="1" si="122"/>
        <v>309</v>
      </c>
      <c r="V161" s="1">
        <f t="shared" ca="1" si="123"/>
        <v>46</v>
      </c>
      <c r="W161" s="1"/>
      <c r="X161" s="1">
        <f t="shared" ca="1" si="124"/>
        <v>4.9710121982100111</v>
      </c>
      <c r="Y161" s="1">
        <f t="shared" ca="1" si="125"/>
        <v>0.69625212065946585</v>
      </c>
      <c r="Z161" s="1">
        <f t="shared" ca="1" si="126"/>
        <v>663</v>
      </c>
      <c r="AB161" s="1">
        <f t="shared" ca="1" si="127"/>
        <v>0.87221425086110893</v>
      </c>
      <c r="AC161" s="1">
        <f t="shared" ca="1" si="128"/>
        <v>759</v>
      </c>
      <c r="AD161" s="1">
        <f t="shared" ca="1" si="129"/>
        <v>4.1116361267343462E-3</v>
      </c>
      <c r="AE161" s="1"/>
      <c r="AF161" s="1">
        <f t="shared" ca="1" si="130"/>
        <v>0.20944358977495617</v>
      </c>
      <c r="AG161" s="1">
        <f t="shared" ca="1" si="131"/>
        <v>585</v>
      </c>
      <c r="AH161" s="1">
        <f t="shared" ca="1" si="132"/>
        <v>5.6916006331255093E-3</v>
      </c>
      <c r="AJ161" s="1">
        <f t="shared" ca="1" si="133"/>
        <v>0.68928669218652161</v>
      </c>
      <c r="AK161" s="1">
        <f t="shared" ca="1" si="134"/>
        <v>3.3333083744169212E-3</v>
      </c>
      <c r="AL161" s="1"/>
      <c r="AM161" s="1">
        <f t="shared" ca="1" si="135"/>
        <v>4.0604496772716291E-2</v>
      </c>
      <c r="AN161" s="1">
        <f t="shared" ca="1" si="136"/>
        <v>64</v>
      </c>
      <c r="AO161" s="1">
        <f t="shared" ca="1" si="137"/>
        <v>14</v>
      </c>
      <c r="AQ161" s="1">
        <f t="shared" ca="1" si="138"/>
        <v>65</v>
      </c>
      <c r="AR161" s="1">
        <f t="shared" ca="1" si="139"/>
        <v>10</v>
      </c>
      <c r="AS161" s="1">
        <f t="shared" ca="1" si="140"/>
        <v>100</v>
      </c>
      <c r="AU161" s="1">
        <f t="shared" ca="1" si="141"/>
        <v>370</v>
      </c>
      <c r="AV161" s="1">
        <f t="shared" ca="1" si="142"/>
        <v>10</v>
      </c>
      <c r="AW161" s="1">
        <f t="shared" ca="1" si="143"/>
        <v>3.5223099789840263E-2</v>
      </c>
      <c r="AY161" s="1">
        <f t="shared" ca="1" si="144"/>
        <v>1.1499267862600153</v>
      </c>
      <c r="AZ161" s="1">
        <f t="shared" ca="1" si="145"/>
        <v>233</v>
      </c>
      <c r="BA161" s="1">
        <f t="shared" ca="1" si="146"/>
        <v>6.6200027527142115E-4</v>
      </c>
      <c r="BV161" s="1">
        <f t="shared" ca="1" si="147"/>
        <v>0.15824083079231599</v>
      </c>
      <c r="BW161" s="1">
        <f t="shared" ca="1" si="148"/>
        <v>227</v>
      </c>
      <c r="BX161" s="1">
        <f t="shared" ca="1" si="149"/>
        <v>6.1512394228783298E-3</v>
      </c>
      <c r="BY161" s="1">
        <f t="shared" ca="1" si="150"/>
        <v>8.8310410391034974E-2</v>
      </c>
      <c r="BZ161" s="1">
        <f t="shared" ca="1" si="151"/>
        <v>4.2020363168579933E-2</v>
      </c>
      <c r="CB161" s="1">
        <f t="shared" ca="1" si="152"/>
        <v>235</v>
      </c>
      <c r="CC161" s="1">
        <f t="shared" ca="1" si="153"/>
        <v>15</v>
      </c>
      <c r="CD161" s="1">
        <f t="shared" ca="1" si="154"/>
        <v>0.20594624330497807</v>
      </c>
      <c r="CE161" s="1">
        <f t="shared" ca="1" si="155"/>
        <v>0.70267788819360477</v>
      </c>
      <c r="CF161" s="1">
        <f t="shared" ca="1" si="155"/>
        <v>0.70809356345511898</v>
      </c>
      <c r="CH161" s="7">
        <f t="shared" ca="1" si="156"/>
        <v>0.55214030861191632</v>
      </c>
      <c r="CI161" s="7">
        <f t="shared" ca="1" si="157"/>
        <v>0.63071550596153159</v>
      </c>
      <c r="CJ161" s="7">
        <f t="shared" ca="1" si="158"/>
        <v>1881</v>
      </c>
      <c r="CK161" s="7">
        <f t="shared" ca="1" si="159"/>
        <v>3.5020902770861824E-3</v>
      </c>
      <c r="CL161" s="7">
        <f t="shared" ca="1" si="160"/>
        <v>1</v>
      </c>
    </row>
    <row r="162" spans="2:90" x14ac:dyDescent="0.25">
      <c r="B162">
        <f t="shared" ca="1" si="108"/>
        <v>87</v>
      </c>
      <c r="C162">
        <f t="shared" ca="1" si="109"/>
        <v>45</v>
      </c>
      <c r="D162">
        <f t="shared" ca="1" si="110"/>
        <v>8.266188031227617E-2</v>
      </c>
      <c r="F162" s="1">
        <f t="shared" ca="1" si="111"/>
        <v>3</v>
      </c>
      <c r="G162" s="1">
        <f t="shared" ca="1" si="112"/>
        <v>23</v>
      </c>
      <c r="H162" s="1">
        <f t="shared" ca="1" si="113"/>
        <v>11</v>
      </c>
      <c r="I162" s="1"/>
      <c r="J162" s="1">
        <f t="shared" ca="1" si="114"/>
        <v>18</v>
      </c>
      <c r="K162" s="1">
        <f t="shared" ca="1" si="115"/>
        <v>1.7038392818736743</v>
      </c>
      <c r="L162" s="1">
        <f t="shared" ca="1" si="116"/>
        <v>17</v>
      </c>
      <c r="M162" s="1"/>
      <c r="N162" s="1">
        <f t="shared" ca="1" si="117"/>
        <v>675</v>
      </c>
      <c r="O162" s="1">
        <f t="shared" ca="1" si="118"/>
        <v>13</v>
      </c>
      <c r="P162" s="1"/>
      <c r="Q162" s="1">
        <f t="shared" ca="1" si="119"/>
        <v>4.2722643050710971</v>
      </c>
      <c r="R162" s="1">
        <f t="shared" ca="1" si="120"/>
        <v>501</v>
      </c>
      <c r="S162" s="1"/>
      <c r="T162" s="1">
        <f t="shared" ca="1" si="121"/>
        <v>0.1534955270417605</v>
      </c>
      <c r="U162" s="1">
        <f t="shared" ca="1" si="122"/>
        <v>325</v>
      </c>
      <c r="V162" s="1">
        <f t="shared" ca="1" si="123"/>
        <v>15</v>
      </c>
      <c r="W162" s="1"/>
      <c r="X162" s="1">
        <f t="shared" ca="1" si="124"/>
        <v>9.3153328398796109</v>
      </c>
      <c r="Y162" s="1">
        <f t="shared" ca="1" si="125"/>
        <v>0.82179360623783548</v>
      </c>
      <c r="Z162" s="1">
        <f t="shared" ca="1" si="126"/>
        <v>1523</v>
      </c>
      <c r="AB162" s="1">
        <f t="shared" ca="1" si="127"/>
        <v>0.5360148562606899</v>
      </c>
      <c r="AC162" s="1">
        <f t="shared" ca="1" si="128"/>
        <v>412</v>
      </c>
      <c r="AD162" s="1">
        <f t="shared" ca="1" si="129"/>
        <v>9.849065931768073E-3</v>
      </c>
      <c r="AE162" s="1"/>
      <c r="AF162" s="1">
        <f t="shared" ca="1" si="130"/>
        <v>0.76677375730537134</v>
      </c>
      <c r="AG162" s="1">
        <f t="shared" ca="1" si="131"/>
        <v>774</v>
      </c>
      <c r="AH162" s="1">
        <f t="shared" ca="1" si="132"/>
        <v>3.1409757252992615E-3</v>
      </c>
      <c r="AJ162" s="1">
        <f t="shared" ca="1" si="133"/>
        <v>0.70540697182095968</v>
      </c>
      <c r="AK162" s="1">
        <f t="shared" ca="1" si="134"/>
        <v>7.5028334805854954E-3</v>
      </c>
      <c r="AL162" s="1"/>
      <c r="AM162" s="1">
        <f t="shared" ca="1" si="135"/>
        <v>8.6590103769658172E-2</v>
      </c>
      <c r="AN162" s="1">
        <f t="shared" ca="1" si="136"/>
        <v>80</v>
      </c>
      <c r="AO162" s="1">
        <f t="shared" ca="1" si="137"/>
        <v>9</v>
      </c>
      <c r="AQ162" s="1">
        <f t="shared" ca="1" si="138"/>
        <v>173</v>
      </c>
      <c r="AR162" s="1">
        <f t="shared" ca="1" si="139"/>
        <v>4</v>
      </c>
      <c r="AS162" s="1">
        <f t="shared" ca="1" si="140"/>
        <v>35</v>
      </c>
      <c r="AU162" s="1">
        <f t="shared" ca="1" si="141"/>
        <v>62</v>
      </c>
      <c r="AV162" s="1">
        <f t="shared" ca="1" si="142"/>
        <v>6</v>
      </c>
      <c r="AW162" s="1">
        <f t="shared" ca="1" si="143"/>
        <v>9.294207879387327E-2</v>
      </c>
      <c r="AY162" s="1">
        <f t="shared" ca="1" si="144"/>
        <v>1.6913570915223186</v>
      </c>
      <c r="AZ162" s="1">
        <f t="shared" ca="1" si="145"/>
        <v>62</v>
      </c>
      <c r="BA162" s="1">
        <f t="shared" ca="1" si="146"/>
        <v>9.931588027477168E-3</v>
      </c>
      <c r="BV162" s="1">
        <f t="shared" ca="1" si="147"/>
        <v>0.97356688987197582</v>
      </c>
      <c r="BW162" s="1">
        <f t="shared" ca="1" si="148"/>
        <v>896</v>
      </c>
      <c r="BX162" s="1">
        <f t="shared" ca="1" si="149"/>
        <v>4.400737655491053E-3</v>
      </c>
      <c r="BY162" s="1">
        <f t="shared" ca="1" si="150"/>
        <v>8.9195008134706641E-2</v>
      </c>
      <c r="BZ162" s="1">
        <f t="shared" ca="1" si="151"/>
        <v>0.35517805094888177</v>
      </c>
      <c r="CB162" s="1">
        <f t="shared" ca="1" si="152"/>
        <v>404</v>
      </c>
      <c r="CC162" s="1">
        <f t="shared" ca="1" si="153"/>
        <v>14</v>
      </c>
      <c r="CD162" s="1">
        <f t="shared" ca="1" si="154"/>
        <v>0.28418488794847241</v>
      </c>
      <c r="CE162" s="1">
        <f t="shared" ca="1" si="155"/>
        <v>0.65171639702449424</v>
      </c>
      <c r="CF162" s="1">
        <f t="shared" ca="1" si="155"/>
        <v>0.99350886191078058</v>
      </c>
      <c r="CH162" s="7">
        <f t="shared" ca="1" si="156"/>
        <v>0.27883202155741271</v>
      </c>
      <c r="CI162" s="7">
        <f t="shared" ca="1" si="157"/>
        <v>0.13211722713549967</v>
      </c>
      <c r="CJ162" s="7">
        <f t="shared" ca="1" si="158"/>
        <v>990</v>
      </c>
      <c r="CK162" s="7">
        <f t="shared" ca="1" si="159"/>
        <v>6.2296464990431993E-3</v>
      </c>
      <c r="CL162" s="7">
        <f t="shared" ca="1" si="160"/>
        <v>1</v>
      </c>
    </row>
    <row r="163" spans="2:90" x14ac:dyDescent="0.25">
      <c r="B163">
        <f t="shared" ca="1" si="108"/>
        <v>701</v>
      </c>
      <c r="C163">
        <f t="shared" ca="1" si="109"/>
        <v>2</v>
      </c>
      <c r="D163">
        <f t="shared" ca="1" si="110"/>
        <v>0.26379393639109133</v>
      </c>
      <c r="F163" s="1">
        <f t="shared" ca="1" si="111"/>
        <v>43</v>
      </c>
      <c r="G163" s="1">
        <f t="shared" ca="1" si="112"/>
        <v>22</v>
      </c>
      <c r="H163" s="1">
        <f t="shared" ca="1" si="113"/>
        <v>6</v>
      </c>
      <c r="I163" s="1"/>
      <c r="J163" s="1">
        <f t="shared" ca="1" si="114"/>
        <v>30</v>
      </c>
      <c r="K163" s="1">
        <f t="shared" ca="1" si="115"/>
        <v>2.4902594008508165</v>
      </c>
      <c r="L163" s="1">
        <f t="shared" ca="1" si="116"/>
        <v>21</v>
      </c>
      <c r="M163" s="1"/>
      <c r="N163" s="1">
        <f t="shared" ca="1" si="117"/>
        <v>78</v>
      </c>
      <c r="O163" s="1">
        <f t="shared" ca="1" si="118"/>
        <v>33</v>
      </c>
      <c r="P163" s="1"/>
      <c r="Q163" s="1">
        <f t="shared" ca="1" si="119"/>
        <v>2.9686290368665795</v>
      </c>
      <c r="R163" s="1">
        <f t="shared" ca="1" si="120"/>
        <v>336</v>
      </c>
      <c r="S163" s="1"/>
      <c r="T163" s="1">
        <f t="shared" ca="1" si="121"/>
        <v>2.4149597794317766E-2</v>
      </c>
      <c r="U163" s="1">
        <f t="shared" ca="1" si="122"/>
        <v>188</v>
      </c>
      <c r="V163" s="1">
        <f t="shared" ca="1" si="123"/>
        <v>52</v>
      </c>
      <c r="W163" s="1"/>
      <c r="X163" s="1">
        <f t="shared" ca="1" si="124"/>
        <v>5.3457991978575601</v>
      </c>
      <c r="Y163" s="1">
        <f t="shared" ca="1" si="125"/>
        <v>0.98264792609126439</v>
      </c>
      <c r="Z163" s="1">
        <f t="shared" ca="1" si="126"/>
        <v>411</v>
      </c>
      <c r="AB163" s="1">
        <f t="shared" ca="1" si="127"/>
        <v>0.49051258788161822</v>
      </c>
      <c r="AC163" s="1">
        <f t="shared" ca="1" si="128"/>
        <v>820</v>
      </c>
      <c r="AD163" s="1">
        <f t="shared" ca="1" si="129"/>
        <v>6.4215834310816945E-3</v>
      </c>
      <c r="AE163" s="1"/>
      <c r="AF163" s="1">
        <f t="shared" ca="1" si="130"/>
        <v>0.39464409899958031</v>
      </c>
      <c r="AG163" s="1">
        <f t="shared" ca="1" si="131"/>
        <v>888</v>
      </c>
      <c r="AH163" s="1">
        <f t="shared" ca="1" si="132"/>
        <v>9.5720823692045567E-4</v>
      </c>
      <c r="AJ163" s="1">
        <f t="shared" ca="1" si="133"/>
        <v>0.3808780331090087</v>
      </c>
      <c r="AK163" s="1">
        <f t="shared" ca="1" si="134"/>
        <v>1.2887084318724199E-3</v>
      </c>
      <c r="AL163" s="1"/>
      <c r="AM163" s="1">
        <f t="shared" ca="1" si="135"/>
        <v>1.3409529472078751E-2</v>
      </c>
      <c r="AN163" s="1">
        <f t="shared" ca="1" si="136"/>
        <v>69</v>
      </c>
      <c r="AO163" s="1">
        <f t="shared" ca="1" si="137"/>
        <v>10</v>
      </c>
      <c r="AQ163" s="1">
        <f t="shared" ca="1" si="138"/>
        <v>85</v>
      </c>
      <c r="AR163" s="1">
        <f t="shared" ca="1" si="139"/>
        <v>8</v>
      </c>
      <c r="AS163" s="1">
        <f t="shared" ca="1" si="140"/>
        <v>95</v>
      </c>
      <c r="AU163" s="1">
        <f t="shared" ca="1" si="141"/>
        <v>236</v>
      </c>
      <c r="AV163" s="1">
        <f t="shared" ca="1" si="142"/>
        <v>4</v>
      </c>
      <c r="AW163" s="1">
        <f t="shared" ca="1" si="143"/>
        <v>0.13604827301067238</v>
      </c>
      <c r="AY163" s="1">
        <f t="shared" ca="1" si="144"/>
        <v>1.9626561796353066</v>
      </c>
      <c r="AZ163" s="1">
        <f t="shared" ca="1" si="145"/>
        <v>249</v>
      </c>
      <c r="BA163" s="1">
        <f t="shared" ca="1" si="146"/>
        <v>5.637308314426796E-3</v>
      </c>
      <c r="BV163" s="1">
        <f t="shared" ca="1" si="147"/>
        <v>0.41220786143563792</v>
      </c>
      <c r="BW163" s="1">
        <f t="shared" ca="1" si="148"/>
        <v>908</v>
      </c>
      <c r="BX163" s="1">
        <f t="shared" ca="1" si="149"/>
        <v>1.884017667643197E-4</v>
      </c>
      <c r="BY163" s="1">
        <f t="shared" ca="1" si="150"/>
        <v>8.8736266733632135E-2</v>
      </c>
      <c r="BZ163" s="1">
        <f t="shared" ca="1" si="151"/>
        <v>0.80431813036890609</v>
      </c>
      <c r="CB163" s="1">
        <f t="shared" ca="1" si="152"/>
        <v>388</v>
      </c>
      <c r="CC163" s="1">
        <f t="shared" ca="1" si="153"/>
        <v>7</v>
      </c>
      <c r="CD163" s="1">
        <f t="shared" ca="1" si="154"/>
        <v>0.18804719608916221</v>
      </c>
      <c r="CE163" s="1">
        <f t="shared" ca="1" si="155"/>
        <v>0.67016630035679525</v>
      </c>
      <c r="CF163" s="1">
        <f t="shared" ca="1" si="155"/>
        <v>0.93236455986502154</v>
      </c>
      <c r="CH163" s="7">
        <f t="shared" ca="1" si="156"/>
        <v>0.45846374959776781</v>
      </c>
      <c r="CI163" s="7">
        <f t="shared" ca="1" si="157"/>
        <v>0.86303250788591102</v>
      </c>
      <c r="CJ163" s="7">
        <f t="shared" ca="1" si="158"/>
        <v>1098</v>
      </c>
      <c r="CK163" s="7">
        <f t="shared" ca="1" si="159"/>
        <v>4.1278043069189708E-3</v>
      </c>
      <c r="CL163" s="7">
        <f t="shared" ca="1" si="160"/>
        <v>0</v>
      </c>
    </row>
    <row r="164" spans="2:90" x14ac:dyDescent="0.25">
      <c r="B164">
        <f t="shared" ca="1" si="108"/>
        <v>434</v>
      </c>
      <c r="C164">
        <f t="shared" ca="1" si="109"/>
        <v>5</v>
      </c>
      <c r="D164">
        <f t="shared" ca="1" si="110"/>
        <v>0.18977102027627857</v>
      </c>
      <c r="F164" s="1">
        <f t="shared" ca="1" si="111"/>
        <v>20</v>
      </c>
      <c r="G164" s="1">
        <f t="shared" ca="1" si="112"/>
        <v>29</v>
      </c>
      <c r="H164" s="1">
        <f t="shared" ca="1" si="113"/>
        <v>9</v>
      </c>
      <c r="I164" s="1"/>
      <c r="J164" s="1">
        <f t="shared" ca="1" si="114"/>
        <v>7</v>
      </c>
      <c r="K164" s="1">
        <f t="shared" ca="1" si="115"/>
        <v>2.9798076197065302</v>
      </c>
      <c r="L164" s="1">
        <f t="shared" ca="1" si="116"/>
        <v>22</v>
      </c>
      <c r="M164" s="1"/>
      <c r="N164" s="1">
        <f t="shared" ca="1" si="117"/>
        <v>984</v>
      </c>
      <c r="O164" s="1">
        <f t="shared" ca="1" si="118"/>
        <v>45</v>
      </c>
      <c r="P164" s="1"/>
      <c r="Q164" s="1">
        <f t="shared" ca="1" si="119"/>
        <v>3.5395123189133408</v>
      </c>
      <c r="R164" s="1">
        <f t="shared" ca="1" si="120"/>
        <v>809</v>
      </c>
      <c r="S164" s="1"/>
      <c r="T164" s="1">
        <f t="shared" ca="1" si="121"/>
        <v>9.6313866653361044E-2</v>
      </c>
      <c r="U164" s="1">
        <f t="shared" ca="1" si="122"/>
        <v>149</v>
      </c>
      <c r="V164" s="1">
        <f t="shared" ca="1" si="123"/>
        <v>46</v>
      </c>
      <c r="W164" s="1"/>
      <c r="X164" s="1">
        <f t="shared" ca="1" si="124"/>
        <v>4.867023838028059</v>
      </c>
      <c r="Y164" s="1">
        <f t="shared" ca="1" si="125"/>
        <v>0.69198365295316067</v>
      </c>
      <c r="Z164" s="1">
        <f t="shared" ca="1" si="126"/>
        <v>1399</v>
      </c>
      <c r="AB164" s="1">
        <f t="shared" ca="1" si="127"/>
        <v>0.68774045621062796</v>
      </c>
      <c r="AC164" s="1">
        <f t="shared" ca="1" si="128"/>
        <v>428</v>
      </c>
      <c r="AD164" s="1">
        <f t="shared" ca="1" si="129"/>
        <v>1.5592740139574349E-3</v>
      </c>
      <c r="AE164" s="1"/>
      <c r="AF164" s="1">
        <f t="shared" ca="1" si="130"/>
        <v>0.68893899421480609</v>
      </c>
      <c r="AG164" s="1">
        <f t="shared" ca="1" si="131"/>
        <v>193</v>
      </c>
      <c r="AH164" s="1">
        <f t="shared" ca="1" si="132"/>
        <v>5.0229526375112615E-3</v>
      </c>
      <c r="AJ164" s="1">
        <f t="shared" ca="1" si="133"/>
        <v>0.20862242844661638</v>
      </c>
      <c r="AK164" s="1">
        <f t="shared" ca="1" si="134"/>
        <v>5.8090763948843169E-3</v>
      </c>
      <c r="AL164" s="1"/>
      <c r="AM164" s="1">
        <f t="shared" ca="1" si="135"/>
        <v>0.12877064846882436</v>
      </c>
      <c r="AN164" s="1">
        <f t="shared" ca="1" si="136"/>
        <v>62</v>
      </c>
      <c r="AO164" s="1">
        <f t="shared" ca="1" si="137"/>
        <v>11</v>
      </c>
      <c r="AQ164" s="1">
        <f t="shared" ca="1" si="138"/>
        <v>174</v>
      </c>
      <c r="AR164" s="1">
        <f t="shared" ca="1" si="139"/>
        <v>9</v>
      </c>
      <c r="AS164" s="1">
        <f t="shared" ca="1" si="140"/>
        <v>35</v>
      </c>
      <c r="AU164" s="1">
        <f t="shared" ca="1" si="141"/>
        <v>296</v>
      </c>
      <c r="AV164" s="1">
        <f t="shared" ca="1" si="142"/>
        <v>3</v>
      </c>
      <c r="AW164" s="1">
        <f t="shared" ca="1" si="143"/>
        <v>8.2605317533389996E-2</v>
      </c>
      <c r="AY164" s="1">
        <f t="shared" ca="1" si="144"/>
        <v>1.7219370790053761</v>
      </c>
      <c r="AZ164" s="1">
        <f t="shared" ca="1" si="145"/>
        <v>255</v>
      </c>
      <c r="BA164" s="1">
        <f t="shared" ca="1" si="146"/>
        <v>8.3976685317749562E-3</v>
      </c>
      <c r="BV164" s="1">
        <f t="shared" ca="1" si="147"/>
        <v>0.92938972159256317</v>
      </c>
      <c r="BW164" s="1">
        <f t="shared" ca="1" si="148"/>
        <v>510</v>
      </c>
      <c r="BX164" s="1">
        <f t="shared" ca="1" si="149"/>
        <v>2.816761932307712E-3</v>
      </c>
      <c r="BY164" s="1">
        <f t="shared" ca="1" si="150"/>
        <v>1.6338304116863371E-2</v>
      </c>
      <c r="BZ164" s="1">
        <f t="shared" ca="1" si="151"/>
        <v>0.42725577696775907</v>
      </c>
      <c r="CB164" s="1">
        <f t="shared" ca="1" si="152"/>
        <v>145</v>
      </c>
      <c r="CC164" s="1">
        <f t="shared" ca="1" si="153"/>
        <v>3</v>
      </c>
      <c r="CD164" s="1">
        <f t="shared" ca="1" si="154"/>
        <v>0.24291207962667843</v>
      </c>
      <c r="CE164" s="1">
        <f t="shared" ref="CE164:CF202" ca="1" si="161">RAND()*(1-0.5)+0.5</f>
        <v>0.72947976612748588</v>
      </c>
      <c r="CF164" s="1">
        <f t="shared" ca="1" si="161"/>
        <v>0.56479244502964798</v>
      </c>
      <c r="CH164" s="7">
        <f t="shared" ca="1" si="156"/>
        <v>0.70855364262044906</v>
      </c>
      <c r="CI164" s="7">
        <f t="shared" ca="1" si="157"/>
        <v>2.0578842145103825E-2</v>
      </c>
      <c r="CJ164" s="7">
        <f t="shared" ca="1" si="158"/>
        <v>1515</v>
      </c>
      <c r="CK164" s="7">
        <f t="shared" ca="1" si="159"/>
        <v>3.7426106031198084E-3</v>
      </c>
      <c r="CL164" s="7">
        <f t="shared" ca="1" si="160"/>
        <v>1</v>
      </c>
    </row>
    <row r="165" spans="2:90" x14ac:dyDescent="0.25">
      <c r="B165">
        <f t="shared" ca="1" si="108"/>
        <v>222</v>
      </c>
      <c r="C165">
        <f t="shared" ca="1" si="109"/>
        <v>6</v>
      </c>
      <c r="D165">
        <f t="shared" ca="1" si="110"/>
        <v>0.13705096309563153</v>
      </c>
      <c r="F165" s="1">
        <f t="shared" ca="1" si="111"/>
        <v>10</v>
      </c>
      <c r="G165" s="1">
        <f t="shared" ca="1" si="112"/>
        <v>7</v>
      </c>
      <c r="H165" s="1">
        <f t="shared" ca="1" si="113"/>
        <v>12</v>
      </c>
      <c r="I165" s="1"/>
      <c r="J165" s="1">
        <f t="shared" ca="1" si="114"/>
        <v>24</v>
      </c>
      <c r="K165" s="1">
        <f t="shared" ca="1" si="115"/>
        <v>1.8779460109481629</v>
      </c>
      <c r="L165" s="1">
        <f t="shared" ca="1" si="116"/>
        <v>6</v>
      </c>
      <c r="M165" s="1"/>
      <c r="N165" s="1">
        <f t="shared" ca="1" si="117"/>
        <v>432</v>
      </c>
      <c r="O165" s="1">
        <f t="shared" ca="1" si="118"/>
        <v>40</v>
      </c>
      <c r="P165" s="1"/>
      <c r="Q165" s="1">
        <f t="shared" ca="1" si="119"/>
        <v>0.61970376717021036</v>
      </c>
      <c r="R165" s="1">
        <f t="shared" ca="1" si="120"/>
        <v>222</v>
      </c>
      <c r="S165" s="1"/>
      <c r="T165" s="1">
        <f t="shared" ca="1" si="121"/>
        <v>0.10855702909894253</v>
      </c>
      <c r="U165" s="1">
        <f t="shared" ca="1" si="122"/>
        <v>375</v>
      </c>
      <c r="V165" s="1">
        <f t="shared" ca="1" si="123"/>
        <v>22</v>
      </c>
      <c r="W165" s="1"/>
      <c r="X165" s="1">
        <f t="shared" ca="1" si="124"/>
        <v>6.0637208388087425</v>
      </c>
      <c r="Y165" s="1">
        <f t="shared" ca="1" si="125"/>
        <v>0.73755381659429553</v>
      </c>
      <c r="Z165" s="1">
        <f t="shared" ca="1" si="126"/>
        <v>1292</v>
      </c>
      <c r="AB165" s="1">
        <f t="shared" ca="1" si="127"/>
        <v>0.99770173244264893</v>
      </c>
      <c r="AC165" s="1">
        <f t="shared" ca="1" si="128"/>
        <v>847</v>
      </c>
      <c r="AD165" s="1">
        <f t="shared" ca="1" si="129"/>
        <v>8.8824376181152083E-3</v>
      </c>
      <c r="AE165" s="1"/>
      <c r="AF165" s="1">
        <f t="shared" ca="1" si="130"/>
        <v>0.20922134326533526</v>
      </c>
      <c r="AG165" s="1">
        <f t="shared" ca="1" si="131"/>
        <v>710</v>
      </c>
      <c r="AH165" s="1">
        <f t="shared" ca="1" si="132"/>
        <v>3.068030754999119E-3</v>
      </c>
      <c r="AJ165" s="1">
        <f t="shared" ca="1" si="133"/>
        <v>0.8797794643544814</v>
      </c>
      <c r="AK165" s="1">
        <f t="shared" ca="1" si="134"/>
        <v>4.4506123156507933E-3</v>
      </c>
      <c r="AL165" s="1"/>
      <c r="AM165" s="1">
        <f t="shared" ca="1" si="135"/>
        <v>0.10397481897506353</v>
      </c>
      <c r="AN165" s="1">
        <f t="shared" ca="1" si="136"/>
        <v>31</v>
      </c>
      <c r="AO165" s="1">
        <f t="shared" ca="1" si="137"/>
        <v>7</v>
      </c>
      <c r="AQ165" s="1">
        <f t="shared" ca="1" si="138"/>
        <v>74</v>
      </c>
      <c r="AR165" s="1">
        <f t="shared" ca="1" si="139"/>
        <v>10</v>
      </c>
      <c r="AS165" s="1">
        <f t="shared" ca="1" si="140"/>
        <v>85</v>
      </c>
      <c r="AU165" s="1">
        <f t="shared" ca="1" si="141"/>
        <v>348</v>
      </c>
      <c r="AV165" s="1">
        <f t="shared" ca="1" si="142"/>
        <v>7</v>
      </c>
      <c r="AW165" s="1">
        <f t="shared" ca="1" si="143"/>
        <v>0.19122695565699102</v>
      </c>
      <c r="AY165" s="1">
        <f t="shared" ca="1" si="144"/>
        <v>1.8422771531351123</v>
      </c>
      <c r="AZ165" s="1">
        <f t="shared" ca="1" si="145"/>
        <v>488</v>
      </c>
      <c r="BA165" s="1">
        <f t="shared" ca="1" si="146"/>
        <v>8.4608761019208025E-3</v>
      </c>
      <c r="BV165" s="1">
        <f t="shared" ca="1" si="147"/>
        <v>0.7819425331477573</v>
      </c>
      <c r="BW165" s="1">
        <f t="shared" ca="1" si="148"/>
        <v>339</v>
      </c>
      <c r="BX165" s="1">
        <f t="shared" ca="1" si="149"/>
        <v>1.8926548644442344E-3</v>
      </c>
      <c r="BY165" s="1">
        <f t="shared" ca="1" si="150"/>
        <v>7.623489754849086E-2</v>
      </c>
      <c r="BZ165" s="1">
        <f t="shared" ca="1" si="151"/>
        <v>0.41412279459007362</v>
      </c>
      <c r="CB165" s="1">
        <f t="shared" ca="1" si="152"/>
        <v>370</v>
      </c>
      <c r="CC165" s="1">
        <f t="shared" ca="1" si="153"/>
        <v>9</v>
      </c>
      <c r="CD165" s="1">
        <f t="shared" ca="1" si="154"/>
        <v>3.9105413108545817E-2</v>
      </c>
      <c r="CE165" s="1">
        <f t="shared" ca="1" si="161"/>
        <v>0.90196381750911803</v>
      </c>
      <c r="CF165" s="1">
        <f t="shared" ca="1" si="161"/>
        <v>0.51113686501436417</v>
      </c>
      <c r="CH165" s="7">
        <f t="shared" ca="1" si="156"/>
        <v>0.32289220729648976</v>
      </c>
      <c r="CI165" s="7">
        <f t="shared" ca="1" si="157"/>
        <v>0.21076997564018776</v>
      </c>
      <c r="CJ165" s="7">
        <f t="shared" ca="1" si="158"/>
        <v>849</v>
      </c>
      <c r="CK165" s="7">
        <f t="shared" ca="1" si="159"/>
        <v>7.3488286011420068E-3</v>
      </c>
      <c r="CL165" s="7">
        <f t="shared" ca="1" si="160"/>
        <v>0</v>
      </c>
    </row>
    <row r="166" spans="2:90" x14ac:dyDescent="0.25">
      <c r="B166">
        <f t="shared" ca="1" si="108"/>
        <v>633</v>
      </c>
      <c r="C166">
        <f t="shared" ca="1" si="109"/>
        <v>26</v>
      </c>
      <c r="D166">
        <f t="shared" ca="1" si="110"/>
        <v>0.16338743840610487</v>
      </c>
      <c r="F166" s="1">
        <f t="shared" ca="1" si="111"/>
        <v>8</v>
      </c>
      <c r="G166" s="1">
        <f t="shared" ca="1" si="112"/>
        <v>29</v>
      </c>
      <c r="H166" s="1">
        <f t="shared" ca="1" si="113"/>
        <v>7</v>
      </c>
      <c r="I166" s="1"/>
      <c r="J166" s="1">
        <f t="shared" ca="1" si="114"/>
        <v>15</v>
      </c>
      <c r="K166" s="1">
        <f t="shared" ca="1" si="115"/>
        <v>1.0846051549195301</v>
      </c>
      <c r="L166" s="1">
        <f t="shared" ca="1" si="116"/>
        <v>10</v>
      </c>
      <c r="M166" s="1"/>
      <c r="N166" s="1">
        <f t="shared" ca="1" si="117"/>
        <v>355</v>
      </c>
      <c r="O166" s="1">
        <f t="shared" ca="1" si="118"/>
        <v>51</v>
      </c>
      <c r="P166" s="1"/>
      <c r="Q166" s="1">
        <f t="shared" ca="1" si="119"/>
        <v>3.4539189593077491</v>
      </c>
      <c r="R166" s="1">
        <f t="shared" ca="1" si="120"/>
        <v>929</v>
      </c>
      <c r="S166" s="1"/>
      <c r="T166" s="1">
        <f t="shared" ca="1" si="121"/>
        <v>4.3997158243826356E-2</v>
      </c>
      <c r="U166" s="1">
        <f t="shared" ca="1" si="122"/>
        <v>55</v>
      </c>
      <c r="V166" s="1">
        <f t="shared" ca="1" si="123"/>
        <v>40</v>
      </c>
      <c r="W166" s="1"/>
      <c r="X166" s="1">
        <f t="shared" ca="1" si="124"/>
        <v>8.6038149780065023</v>
      </c>
      <c r="Y166" s="1">
        <f t="shared" ca="1" si="125"/>
        <v>0.22930339824929513</v>
      </c>
      <c r="Z166" s="1">
        <f t="shared" ca="1" si="126"/>
        <v>763</v>
      </c>
      <c r="AB166" s="1">
        <f t="shared" ca="1" si="127"/>
        <v>1.9208199993153211E-2</v>
      </c>
      <c r="AC166" s="1">
        <f t="shared" ca="1" si="128"/>
        <v>598</v>
      </c>
      <c r="AD166" s="1">
        <f t="shared" ca="1" si="129"/>
        <v>4.2177979361781947E-4</v>
      </c>
      <c r="AE166" s="1"/>
      <c r="AF166" s="1">
        <f t="shared" ca="1" si="130"/>
        <v>0.37036351562529235</v>
      </c>
      <c r="AG166" s="1">
        <f t="shared" ca="1" si="131"/>
        <v>203</v>
      </c>
      <c r="AH166" s="1">
        <f t="shared" ca="1" si="132"/>
        <v>7.1751522121984808E-3</v>
      </c>
      <c r="AJ166" s="1">
        <f t="shared" ca="1" si="133"/>
        <v>0.28038608148473265</v>
      </c>
      <c r="AK166" s="1">
        <f t="shared" ca="1" si="134"/>
        <v>2.524634207665482E-4</v>
      </c>
      <c r="AL166" s="1"/>
      <c r="AM166" s="1">
        <f t="shared" ca="1" si="135"/>
        <v>0.19728468956199757</v>
      </c>
      <c r="AN166" s="1">
        <f t="shared" ca="1" si="136"/>
        <v>45</v>
      </c>
      <c r="AO166" s="1">
        <f t="shared" ca="1" si="137"/>
        <v>-1</v>
      </c>
      <c r="AQ166" s="1">
        <f t="shared" ca="1" si="138"/>
        <v>107</v>
      </c>
      <c r="AR166" s="1">
        <f t="shared" ca="1" si="139"/>
        <v>6</v>
      </c>
      <c r="AS166" s="1">
        <f t="shared" ca="1" si="140"/>
        <v>83</v>
      </c>
      <c r="AU166" s="1">
        <f t="shared" ca="1" si="141"/>
        <v>237</v>
      </c>
      <c r="AV166" s="1">
        <f t="shared" ca="1" si="142"/>
        <v>10</v>
      </c>
      <c r="AW166" s="1">
        <f t="shared" ca="1" si="143"/>
        <v>0.16206947852150455</v>
      </c>
      <c r="AY166" s="1">
        <f t="shared" ca="1" si="144"/>
        <v>1.9609480094719971</v>
      </c>
      <c r="AZ166" s="1">
        <f t="shared" ca="1" si="145"/>
        <v>121</v>
      </c>
      <c r="BA166" s="1">
        <f t="shared" ca="1" si="146"/>
        <v>1.6347366250491851E-3</v>
      </c>
      <c r="BV166" s="1">
        <f t="shared" ca="1" si="147"/>
        <v>0.41285343567201016</v>
      </c>
      <c r="BW166" s="1">
        <f t="shared" ca="1" si="148"/>
        <v>975</v>
      </c>
      <c r="BX166" s="1">
        <f t="shared" ca="1" si="149"/>
        <v>9.422621455612892E-3</v>
      </c>
      <c r="BY166" s="1">
        <f t="shared" ca="1" si="150"/>
        <v>8.3025987303667351E-2</v>
      </c>
      <c r="BZ166" s="1">
        <f t="shared" ca="1" si="151"/>
        <v>0.82963494646947167</v>
      </c>
      <c r="CB166" s="1">
        <f t="shared" ca="1" si="152"/>
        <v>60</v>
      </c>
      <c r="CC166" s="1">
        <f t="shared" ca="1" si="153"/>
        <v>13</v>
      </c>
      <c r="CD166" s="1">
        <f t="shared" ca="1" si="154"/>
        <v>0.21144460718650504</v>
      </c>
      <c r="CE166" s="1">
        <f t="shared" ca="1" si="161"/>
        <v>0.59265809357750343</v>
      </c>
      <c r="CF166" s="1">
        <f t="shared" ca="1" si="161"/>
        <v>0.97823452400979871</v>
      </c>
      <c r="CH166" s="7">
        <f t="shared" ca="1" si="156"/>
        <v>0.92159845015617703</v>
      </c>
      <c r="CI166" s="7">
        <f t="shared" ca="1" si="157"/>
        <v>0.37633638040876344</v>
      </c>
      <c r="CJ166" s="7">
        <f t="shared" ca="1" si="158"/>
        <v>1917</v>
      </c>
      <c r="CK166" s="7">
        <f t="shared" ca="1" si="159"/>
        <v>6.1570408189448181E-3</v>
      </c>
      <c r="CL166" s="7">
        <f t="shared" ca="1" si="160"/>
        <v>0</v>
      </c>
    </row>
    <row r="167" spans="2:90" x14ac:dyDescent="0.25">
      <c r="B167">
        <f t="shared" ca="1" si="108"/>
        <v>778</v>
      </c>
      <c r="C167">
        <f t="shared" ca="1" si="109"/>
        <v>12</v>
      </c>
      <c r="D167">
        <f t="shared" ca="1" si="110"/>
        <v>0.17375144715625584</v>
      </c>
      <c r="F167" s="1">
        <f t="shared" ca="1" si="111"/>
        <v>11</v>
      </c>
      <c r="G167" s="1">
        <f t="shared" ca="1" si="112"/>
        <v>25</v>
      </c>
      <c r="H167" s="1">
        <f t="shared" ca="1" si="113"/>
        <v>1</v>
      </c>
      <c r="I167" s="1"/>
      <c r="J167" s="1">
        <f t="shared" ca="1" si="114"/>
        <v>10</v>
      </c>
      <c r="K167" s="1">
        <f t="shared" ca="1" si="115"/>
        <v>1.3292919273277035</v>
      </c>
      <c r="L167" s="1">
        <f t="shared" ca="1" si="116"/>
        <v>15</v>
      </c>
      <c r="M167" s="1"/>
      <c r="N167" s="1">
        <f t="shared" ca="1" si="117"/>
        <v>919</v>
      </c>
      <c r="O167" s="1">
        <f t="shared" ca="1" si="118"/>
        <v>20</v>
      </c>
      <c r="P167" s="1"/>
      <c r="Q167" s="1">
        <f t="shared" ca="1" si="119"/>
        <v>3.8301225174085469</v>
      </c>
      <c r="R167" s="1">
        <f t="shared" ca="1" si="120"/>
        <v>766</v>
      </c>
      <c r="S167" s="1"/>
      <c r="T167" s="1">
        <f t="shared" ca="1" si="121"/>
        <v>0.1684190955539506</v>
      </c>
      <c r="U167" s="1">
        <f t="shared" ca="1" si="122"/>
        <v>218</v>
      </c>
      <c r="V167" s="1">
        <f t="shared" ca="1" si="123"/>
        <v>38</v>
      </c>
      <c r="W167" s="1"/>
      <c r="X167" s="1">
        <f t="shared" ca="1" si="124"/>
        <v>7.0736547877904403</v>
      </c>
      <c r="Y167" s="1">
        <f t="shared" ca="1" si="125"/>
        <v>0.22894147875264062</v>
      </c>
      <c r="Z167" s="1">
        <f t="shared" ca="1" si="126"/>
        <v>1483</v>
      </c>
      <c r="AB167" s="1">
        <f t="shared" ca="1" si="127"/>
        <v>0.98669202663805511</v>
      </c>
      <c r="AC167" s="1">
        <f t="shared" ca="1" si="128"/>
        <v>206</v>
      </c>
      <c r="AD167" s="1">
        <f t="shared" ca="1" si="129"/>
        <v>6.1835193770102227E-3</v>
      </c>
      <c r="AE167" s="1"/>
      <c r="AF167" s="1">
        <f t="shared" ca="1" si="130"/>
        <v>0.7198968171697363</v>
      </c>
      <c r="AG167" s="1">
        <f t="shared" ca="1" si="131"/>
        <v>345</v>
      </c>
      <c r="AH167" s="1">
        <f t="shared" ca="1" si="132"/>
        <v>2.5746623937936484E-3</v>
      </c>
      <c r="AJ167" s="1">
        <f t="shared" ca="1" si="133"/>
        <v>0.24653462824722605</v>
      </c>
      <c r="AK167" s="1">
        <f t="shared" ca="1" si="134"/>
        <v>3.8068755083869531E-3</v>
      </c>
      <c r="AL167" s="1"/>
      <c r="AM167" s="1">
        <f t="shared" ca="1" si="135"/>
        <v>0.17651058895704477</v>
      </c>
      <c r="AN167" s="1">
        <f t="shared" ca="1" si="136"/>
        <v>75</v>
      </c>
      <c r="AO167" s="1">
        <f t="shared" ca="1" si="137"/>
        <v>6</v>
      </c>
      <c r="AQ167" s="1">
        <f t="shared" ca="1" si="138"/>
        <v>116</v>
      </c>
      <c r="AR167" s="1">
        <f t="shared" ca="1" si="139"/>
        <v>5</v>
      </c>
      <c r="AS167" s="1">
        <f t="shared" ca="1" si="140"/>
        <v>46</v>
      </c>
      <c r="AU167" s="1">
        <f t="shared" ca="1" si="141"/>
        <v>284</v>
      </c>
      <c r="AV167" s="1">
        <f t="shared" ca="1" si="142"/>
        <v>7</v>
      </c>
      <c r="AW167" s="1">
        <f t="shared" ca="1" si="143"/>
        <v>4.7061548675153698E-2</v>
      </c>
      <c r="AY167" s="1">
        <f t="shared" ca="1" si="144"/>
        <v>1.1427053048265012</v>
      </c>
      <c r="AZ167" s="1">
        <f t="shared" ca="1" si="145"/>
        <v>497</v>
      </c>
      <c r="BA167" s="1">
        <f t="shared" ca="1" si="146"/>
        <v>5.4420946151101084E-3</v>
      </c>
      <c r="BV167" s="1">
        <f t="shared" ca="1" si="147"/>
        <v>0.70994691809659394</v>
      </c>
      <c r="BW167" s="1">
        <f t="shared" ca="1" si="148"/>
        <v>385</v>
      </c>
      <c r="BX167" s="1">
        <f t="shared" ca="1" si="149"/>
        <v>9.3065698349058899E-3</v>
      </c>
      <c r="BY167" s="1">
        <f t="shared" ca="1" si="150"/>
        <v>6.5281743761317221E-2</v>
      </c>
      <c r="BZ167" s="1">
        <f t="shared" ca="1" si="151"/>
        <v>0.10931409553953464</v>
      </c>
      <c r="CB167" s="1">
        <f t="shared" ca="1" si="152"/>
        <v>377</v>
      </c>
      <c r="CC167" s="1">
        <f t="shared" ca="1" si="153"/>
        <v>11</v>
      </c>
      <c r="CD167" s="1">
        <f t="shared" ca="1" si="154"/>
        <v>2.4343178311330396E-2</v>
      </c>
      <c r="CE167" s="1">
        <f t="shared" ca="1" si="161"/>
        <v>0.63385065986303313</v>
      </c>
      <c r="CF167" s="1">
        <f t="shared" ca="1" si="161"/>
        <v>0.62277849937372509</v>
      </c>
      <c r="CH167" s="7">
        <f t="shared" ca="1" si="156"/>
        <v>0.80974675642855642</v>
      </c>
      <c r="CI167" s="7">
        <f t="shared" ca="1" si="157"/>
        <v>0.73973952359530404</v>
      </c>
      <c r="CJ167" s="7">
        <f t="shared" ca="1" si="158"/>
        <v>1497</v>
      </c>
      <c r="CK167" s="7">
        <f t="shared" ca="1" si="159"/>
        <v>1.3341300900732345E-3</v>
      </c>
      <c r="CL167" s="7">
        <f t="shared" ca="1" si="160"/>
        <v>1</v>
      </c>
    </row>
    <row r="168" spans="2:90" x14ac:dyDescent="0.25">
      <c r="B168">
        <f t="shared" ca="1" si="108"/>
        <v>569</v>
      </c>
      <c r="C168">
        <f t="shared" ca="1" si="109"/>
        <v>44</v>
      </c>
      <c r="D168">
        <f t="shared" ca="1" si="110"/>
        <v>0.29573876515542818</v>
      </c>
      <c r="F168" s="1">
        <f t="shared" ca="1" si="111"/>
        <v>37</v>
      </c>
      <c r="G168" s="1">
        <f t="shared" ca="1" si="112"/>
        <v>28</v>
      </c>
      <c r="H168" s="1">
        <f t="shared" ca="1" si="113"/>
        <v>7</v>
      </c>
      <c r="I168" s="1"/>
      <c r="J168" s="1">
        <f t="shared" ca="1" si="114"/>
        <v>4</v>
      </c>
      <c r="K168" s="1">
        <f t="shared" ca="1" si="115"/>
        <v>2.0521675594072524</v>
      </c>
      <c r="L168" s="1">
        <f t="shared" ca="1" si="116"/>
        <v>5</v>
      </c>
      <c r="M168" s="1"/>
      <c r="N168" s="1">
        <f t="shared" ca="1" si="117"/>
        <v>727</v>
      </c>
      <c r="O168" s="1">
        <f t="shared" ca="1" si="118"/>
        <v>45</v>
      </c>
      <c r="P168" s="1"/>
      <c r="Q168" s="1">
        <f t="shared" ca="1" si="119"/>
        <v>3.2040630513661781</v>
      </c>
      <c r="R168" s="1">
        <f t="shared" ca="1" si="120"/>
        <v>910</v>
      </c>
      <c r="S168" s="1"/>
      <c r="T168" s="1">
        <f t="shared" ca="1" si="121"/>
        <v>0.10424856967865666</v>
      </c>
      <c r="U168" s="1">
        <f t="shared" ca="1" si="122"/>
        <v>306</v>
      </c>
      <c r="V168" s="1">
        <f t="shared" ca="1" si="123"/>
        <v>11</v>
      </c>
      <c r="W168" s="1"/>
      <c r="X168" s="1">
        <f t="shared" ca="1" si="124"/>
        <v>2.8024120167636069</v>
      </c>
      <c r="Y168" s="1">
        <f t="shared" ca="1" si="125"/>
        <v>5.6414961587970595E-2</v>
      </c>
      <c r="Z168" s="1">
        <f t="shared" ca="1" si="126"/>
        <v>1432</v>
      </c>
      <c r="AB168" s="1">
        <f t="shared" ca="1" si="127"/>
        <v>4.0615085783458314E-2</v>
      </c>
      <c r="AC168" s="1">
        <f t="shared" ca="1" si="128"/>
        <v>388</v>
      </c>
      <c r="AD168" s="1">
        <f t="shared" ca="1" si="129"/>
        <v>6.6505723531574907E-3</v>
      </c>
      <c r="AE168" s="1"/>
      <c r="AF168" s="1">
        <f t="shared" ca="1" si="130"/>
        <v>0.41398075309989435</v>
      </c>
      <c r="AG168" s="1">
        <f t="shared" ca="1" si="131"/>
        <v>273</v>
      </c>
      <c r="AH168" s="1">
        <f t="shared" ca="1" si="132"/>
        <v>7.9290218840843835E-3</v>
      </c>
      <c r="AJ168" s="1">
        <f t="shared" ca="1" si="133"/>
        <v>0.84761944691976021</v>
      </c>
      <c r="AK168" s="1">
        <f t="shared" ca="1" si="134"/>
        <v>3.9544484365262547E-4</v>
      </c>
      <c r="AL168" s="1"/>
      <c r="AM168" s="1">
        <f t="shared" ca="1" si="135"/>
        <v>6.0651390174770697E-2</v>
      </c>
      <c r="AN168" s="1">
        <f t="shared" ca="1" si="136"/>
        <v>57</v>
      </c>
      <c r="AO168" s="1">
        <f t="shared" ca="1" si="137"/>
        <v>3</v>
      </c>
      <c r="AQ168" s="1">
        <f t="shared" ca="1" si="138"/>
        <v>120</v>
      </c>
      <c r="AR168" s="1">
        <f t="shared" ca="1" si="139"/>
        <v>6</v>
      </c>
      <c r="AS168" s="1">
        <f t="shared" ca="1" si="140"/>
        <v>60</v>
      </c>
      <c r="AU168" s="1">
        <f t="shared" ca="1" si="141"/>
        <v>395</v>
      </c>
      <c r="AV168" s="1">
        <f t="shared" ca="1" si="142"/>
        <v>10</v>
      </c>
      <c r="AW168" s="1">
        <f t="shared" ca="1" si="143"/>
        <v>0.19002818593572615</v>
      </c>
      <c r="AY168" s="1">
        <f t="shared" ca="1" si="144"/>
        <v>1.5661061486404282</v>
      </c>
      <c r="AZ168" s="1">
        <f t="shared" ca="1" si="145"/>
        <v>403</v>
      </c>
      <c r="BA168" s="1">
        <f t="shared" ca="1" si="146"/>
        <v>1.436633872731662E-3</v>
      </c>
      <c r="BV168" s="1">
        <f t="shared" ca="1" si="147"/>
        <v>0.49436684581927276</v>
      </c>
      <c r="BW168" s="1">
        <f t="shared" ca="1" si="148"/>
        <v>918</v>
      </c>
      <c r="BX168" s="1">
        <f t="shared" ca="1" si="149"/>
        <v>1.8147721403422446E-3</v>
      </c>
      <c r="BY168" s="1">
        <f t="shared" ca="1" si="150"/>
        <v>1.8709571456893774E-2</v>
      </c>
      <c r="BZ168" s="1">
        <f t="shared" ca="1" si="151"/>
        <v>0.7867405035330558</v>
      </c>
      <c r="CB168" s="1">
        <f t="shared" ca="1" si="152"/>
        <v>333</v>
      </c>
      <c r="CC168" s="1">
        <f t="shared" ca="1" si="153"/>
        <v>9</v>
      </c>
      <c r="CD168" s="1">
        <f t="shared" ca="1" si="154"/>
        <v>0.12956174477456547</v>
      </c>
      <c r="CE168" s="1">
        <f t="shared" ca="1" si="161"/>
        <v>0.91932592310411665</v>
      </c>
      <c r="CF168" s="1">
        <f t="shared" ca="1" si="161"/>
        <v>0.50176216616324987</v>
      </c>
      <c r="CH168" s="7">
        <f t="shared" ca="1" si="156"/>
        <v>5.3673643977751831E-2</v>
      </c>
      <c r="CI168" s="7">
        <f t="shared" ca="1" si="157"/>
        <v>0.98349335767699908</v>
      </c>
      <c r="CJ168" s="7">
        <f t="shared" ca="1" si="158"/>
        <v>769</v>
      </c>
      <c r="CK168" s="7">
        <f t="shared" ca="1" si="159"/>
        <v>6.1102032912115616E-3</v>
      </c>
      <c r="CL168" s="7">
        <f t="shared" ca="1" si="160"/>
        <v>1</v>
      </c>
    </row>
    <row r="169" spans="2:90" x14ac:dyDescent="0.25">
      <c r="B169">
        <f t="shared" ca="1" si="108"/>
        <v>607</v>
      </c>
      <c r="C169">
        <f t="shared" ca="1" si="109"/>
        <v>52</v>
      </c>
      <c r="D169">
        <f t="shared" ca="1" si="110"/>
        <v>0.15413213329880718</v>
      </c>
      <c r="F169" s="1">
        <f t="shared" ca="1" si="111"/>
        <v>19</v>
      </c>
      <c r="G169" s="1">
        <f t="shared" ca="1" si="112"/>
        <v>21</v>
      </c>
      <c r="H169" s="1">
        <f t="shared" ca="1" si="113"/>
        <v>4</v>
      </c>
      <c r="I169" s="1"/>
      <c r="J169" s="1">
        <f t="shared" ca="1" si="114"/>
        <v>31</v>
      </c>
      <c r="K169" s="1">
        <f t="shared" ca="1" si="115"/>
        <v>1.0672942523581959</v>
      </c>
      <c r="L169" s="1">
        <f t="shared" ca="1" si="116"/>
        <v>5</v>
      </c>
      <c r="M169" s="1"/>
      <c r="N169" s="1">
        <f t="shared" ca="1" si="117"/>
        <v>681</v>
      </c>
      <c r="O169" s="1">
        <f t="shared" ca="1" si="118"/>
        <v>45</v>
      </c>
      <c r="P169" s="1"/>
      <c r="Q169" s="1">
        <f t="shared" ca="1" si="119"/>
        <v>0.85471131675798029</v>
      </c>
      <c r="R169" s="1">
        <f t="shared" ca="1" si="120"/>
        <v>998</v>
      </c>
      <c r="S169" s="1"/>
      <c r="T169" s="1">
        <f t="shared" ca="1" si="121"/>
        <v>0.11792581394703767</v>
      </c>
      <c r="U169" s="1">
        <f t="shared" ca="1" si="122"/>
        <v>106</v>
      </c>
      <c r="V169" s="1">
        <f t="shared" ca="1" si="123"/>
        <v>13</v>
      </c>
      <c r="W169" s="1"/>
      <c r="X169" s="1">
        <f t="shared" ca="1" si="124"/>
        <v>5.6536844968233204</v>
      </c>
      <c r="Y169" s="1">
        <f t="shared" ca="1" si="125"/>
        <v>0.60652726898958464</v>
      </c>
      <c r="Z169" s="1">
        <f t="shared" ca="1" si="126"/>
        <v>639</v>
      </c>
      <c r="AB169" s="1">
        <f t="shared" ca="1" si="127"/>
        <v>0.19346675426930557</v>
      </c>
      <c r="AC169" s="1">
        <f t="shared" ca="1" si="128"/>
        <v>934</v>
      </c>
      <c r="AD169" s="1">
        <f t="shared" ca="1" si="129"/>
        <v>5.042206054585335E-3</v>
      </c>
      <c r="AE169" s="1"/>
      <c r="AF169" s="1">
        <f t="shared" ca="1" si="130"/>
        <v>0.19052901574517289</v>
      </c>
      <c r="AG169" s="1">
        <f t="shared" ca="1" si="131"/>
        <v>311</v>
      </c>
      <c r="AH169" s="1">
        <f t="shared" ca="1" si="132"/>
        <v>9.3052070245626308E-3</v>
      </c>
      <c r="AJ169" s="1">
        <f t="shared" ca="1" si="133"/>
        <v>0.67327258368303067</v>
      </c>
      <c r="AK169" s="1">
        <f t="shared" ca="1" si="134"/>
        <v>5.2406818503980442E-3</v>
      </c>
      <c r="AL169" s="1"/>
      <c r="AM169" s="1">
        <f t="shared" ca="1" si="135"/>
        <v>0.17510592053945331</v>
      </c>
      <c r="AN169" s="1">
        <f t="shared" ca="1" si="136"/>
        <v>71</v>
      </c>
      <c r="AO169" s="1">
        <f t="shared" ca="1" si="137"/>
        <v>0</v>
      </c>
      <c r="AQ169" s="1">
        <f t="shared" ca="1" si="138"/>
        <v>183</v>
      </c>
      <c r="AR169" s="1">
        <f t="shared" ca="1" si="139"/>
        <v>7</v>
      </c>
      <c r="AS169" s="1">
        <f t="shared" ca="1" si="140"/>
        <v>90</v>
      </c>
      <c r="AU169" s="1">
        <f t="shared" ca="1" si="141"/>
        <v>72</v>
      </c>
      <c r="AV169" s="1">
        <f t="shared" ca="1" si="142"/>
        <v>10</v>
      </c>
      <c r="AW169" s="1">
        <f t="shared" ca="1" si="143"/>
        <v>9.1473823313561978E-2</v>
      </c>
      <c r="AY169" s="1">
        <f t="shared" ca="1" si="144"/>
        <v>1.9259068368885668</v>
      </c>
      <c r="AZ169" s="1">
        <f t="shared" ca="1" si="145"/>
        <v>360</v>
      </c>
      <c r="BA169" s="1">
        <f t="shared" ca="1" si="146"/>
        <v>8.4886426136081775E-3</v>
      </c>
      <c r="BV169" s="1">
        <f t="shared" ca="1" si="147"/>
        <v>7.13130533606796E-3</v>
      </c>
      <c r="BW169" s="1">
        <f t="shared" ca="1" si="148"/>
        <v>571</v>
      </c>
      <c r="BX169" s="1">
        <f t="shared" ca="1" si="149"/>
        <v>3.939663128332928E-3</v>
      </c>
      <c r="BY169" s="1">
        <f t="shared" ca="1" si="150"/>
        <v>1.273534198124434E-2</v>
      </c>
      <c r="BZ169" s="1">
        <f t="shared" ca="1" si="151"/>
        <v>0.59272824178551509</v>
      </c>
      <c r="CB169" s="1">
        <f t="shared" ca="1" si="152"/>
        <v>344</v>
      </c>
      <c r="CC169" s="1">
        <f t="shared" ca="1" si="153"/>
        <v>6</v>
      </c>
      <c r="CD169" s="1">
        <f t="shared" ca="1" si="154"/>
        <v>0.23225191553458877</v>
      </c>
      <c r="CE169" s="1">
        <f t="shared" ca="1" si="161"/>
        <v>0.70195221092352567</v>
      </c>
      <c r="CF169" s="1">
        <f t="shared" ca="1" si="161"/>
        <v>0.53734592748157772</v>
      </c>
      <c r="CH169" s="7">
        <f t="shared" ca="1" si="156"/>
        <v>0.18986364283349982</v>
      </c>
      <c r="CI169" s="7">
        <f t="shared" ca="1" si="157"/>
        <v>0.67205245407159653</v>
      </c>
      <c r="CJ169" s="7">
        <f t="shared" ca="1" si="158"/>
        <v>1834</v>
      </c>
      <c r="CK169" s="7">
        <f t="shared" ca="1" si="159"/>
        <v>5.2416712701975655E-3</v>
      </c>
      <c r="CL169" s="7">
        <f t="shared" ca="1" si="160"/>
        <v>1</v>
      </c>
    </row>
    <row r="170" spans="2:90" x14ac:dyDescent="0.25">
      <c r="B170">
        <f t="shared" ca="1" si="108"/>
        <v>758</v>
      </c>
      <c r="C170">
        <f t="shared" ca="1" si="109"/>
        <v>48</v>
      </c>
      <c r="D170">
        <f t="shared" ca="1" si="110"/>
        <v>0.29271096917097372</v>
      </c>
      <c r="F170" s="1">
        <f t="shared" ca="1" si="111"/>
        <v>4</v>
      </c>
      <c r="G170" s="1">
        <f t="shared" ca="1" si="112"/>
        <v>15</v>
      </c>
      <c r="H170" s="1">
        <f t="shared" ca="1" si="113"/>
        <v>9</v>
      </c>
      <c r="I170" s="1"/>
      <c r="J170" s="1">
        <f t="shared" ca="1" si="114"/>
        <v>35</v>
      </c>
      <c r="K170" s="1">
        <f t="shared" ca="1" si="115"/>
        <v>1.0880290703813624</v>
      </c>
      <c r="L170" s="1">
        <f t="shared" ca="1" si="116"/>
        <v>26</v>
      </c>
      <c r="M170" s="1"/>
      <c r="N170" s="1">
        <f t="shared" ca="1" si="117"/>
        <v>462</v>
      </c>
      <c r="O170" s="1">
        <f t="shared" ca="1" si="118"/>
        <v>27</v>
      </c>
      <c r="P170" s="1"/>
      <c r="Q170" s="1">
        <f t="shared" ca="1" si="119"/>
        <v>2.3878749818578289</v>
      </c>
      <c r="R170" s="1">
        <f t="shared" ca="1" si="120"/>
        <v>748</v>
      </c>
      <c r="S170" s="1"/>
      <c r="T170" s="1">
        <f t="shared" ca="1" si="121"/>
        <v>6.6979899452273534E-2</v>
      </c>
      <c r="U170" s="1">
        <f t="shared" ca="1" si="122"/>
        <v>307</v>
      </c>
      <c r="V170" s="1">
        <f t="shared" ca="1" si="123"/>
        <v>39</v>
      </c>
      <c r="W170" s="1"/>
      <c r="X170" s="1">
        <f t="shared" ca="1" si="124"/>
        <v>1.114126880977671</v>
      </c>
      <c r="Y170" s="1">
        <f t="shared" ca="1" si="125"/>
        <v>0.66835015989871671</v>
      </c>
      <c r="Z170" s="1">
        <f t="shared" ca="1" si="126"/>
        <v>537</v>
      </c>
      <c r="AB170" s="1">
        <f t="shared" ca="1" si="127"/>
        <v>0.93618726792270834</v>
      </c>
      <c r="AC170" s="1">
        <f t="shared" ca="1" si="128"/>
        <v>218</v>
      </c>
      <c r="AD170" s="1">
        <f t="shared" ca="1" si="129"/>
        <v>4.3414315563068415E-3</v>
      </c>
      <c r="AE170" s="1"/>
      <c r="AF170" s="1">
        <f t="shared" ca="1" si="130"/>
        <v>0.54803059215321304</v>
      </c>
      <c r="AG170" s="1">
        <f t="shared" ca="1" si="131"/>
        <v>893</v>
      </c>
      <c r="AH170" s="1">
        <f t="shared" ca="1" si="132"/>
        <v>6.0067226877758241E-3</v>
      </c>
      <c r="AJ170" s="1">
        <f t="shared" ca="1" si="133"/>
        <v>0.71349870311528074</v>
      </c>
      <c r="AK170" s="1">
        <f t="shared" ca="1" si="134"/>
        <v>6.0127064754490252E-3</v>
      </c>
      <c r="AL170" s="1"/>
      <c r="AM170" s="1">
        <f t="shared" ca="1" si="135"/>
        <v>0.15179571972376663</v>
      </c>
      <c r="AN170" s="1">
        <f t="shared" ca="1" si="136"/>
        <v>61</v>
      </c>
      <c r="AO170" s="1">
        <f t="shared" ca="1" si="137"/>
        <v>20</v>
      </c>
      <c r="AQ170" s="1">
        <f t="shared" ca="1" si="138"/>
        <v>16</v>
      </c>
      <c r="AR170" s="1">
        <f t="shared" ca="1" si="139"/>
        <v>3</v>
      </c>
      <c r="AS170" s="1">
        <f t="shared" ca="1" si="140"/>
        <v>2</v>
      </c>
      <c r="AU170" s="1">
        <f t="shared" ca="1" si="141"/>
        <v>249</v>
      </c>
      <c r="AV170" s="1">
        <f t="shared" ca="1" si="142"/>
        <v>5</v>
      </c>
      <c r="AW170" s="1">
        <f t="shared" ca="1" si="143"/>
        <v>5.6241133746708256E-2</v>
      </c>
      <c r="AY170" s="1">
        <f t="shared" ca="1" si="144"/>
        <v>1.8404821472327897</v>
      </c>
      <c r="AZ170" s="1">
        <f t="shared" ca="1" si="145"/>
        <v>468</v>
      </c>
      <c r="BA170" s="1">
        <f t="shared" ca="1" si="146"/>
        <v>9.7256865442727648E-3</v>
      </c>
      <c r="BV170" s="1">
        <f t="shared" ca="1" si="147"/>
        <v>8.9209744283242728E-2</v>
      </c>
      <c r="BW170" s="1">
        <f t="shared" ca="1" si="148"/>
        <v>953</v>
      </c>
      <c r="BX170" s="1">
        <f t="shared" ca="1" si="149"/>
        <v>9.6992684783044729E-3</v>
      </c>
      <c r="BY170" s="1">
        <f t="shared" ca="1" si="150"/>
        <v>1.0197516653925749E-2</v>
      </c>
      <c r="BZ170" s="1">
        <f t="shared" ca="1" si="151"/>
        <v>5.7242994975317707E-2</v>
      </c>
      <c r="CB170" s="1">
        <f t="shared" ca="1" si="152"/>
        <v>310</v>
      </c>
      <c r="CC170" s="1">
        <f t="shared" ca="1" si="153"/>
        <v>5</v>
      </c>
      <c r="CD170" s="1">
        <f t="shared" ca="1" si="154"/>
        <v>0.22713177959516956</v>
      </c>
      <c r="CE170" s="1">
        <f t="shared" ca="1" si="161"/>
        <v>0.76891705461070847</v>
      </c>
      <c r="CF170" s="1">
        <f t="shared" ca="1" si="161"/>
        <v>0.92868120607051141</v>
      </c>
      <c r="CH170" s="7">
        <f t="shared" ca="1" si="156"/>
        <v>0.61525456250292809</v>
      </c>
      <c r="CI170" s="7">
        <f t="shared" ca="1" si="157"/>
        <v>0.66519806062403775</v>
      </c>
      <c r="CJ170" s="7">
        <f t="shared" ca="1" si="158"/>
        <v>214</v>
      </c>
      <c r="CK170" s="7">
        <f t="shared" ca="1" si="159"/>
        <v>8.5920431431314587E-3</v>
      </c>
      <c r="CL170" s="7">
        <f t="shared" ca="1" si="160"/>
        <v>0</v>
      </c>
    </row>
    <row r="171" spans="2:90" x14ac:dyDescent="0.25">
      <c r="B171">
        <f t="shared" ca="1" si="108"/>
        <v>676</v>
      </c>
      <c r="C171">
        <f t="shared" ca="1" si="109"/>
        <v>3</v>
      </c>
      <c r="D171">
        <f t="shared" ca="1" si="110"/>
        <v>0.12394615751674901</v>
      </c>
      <c r="F171" s="1">
        <f t="shared" ca="1" si="111"/>
        <v>49</v>
      </c>
      <c r="G171" s="1">
        <f t="shared" ca="1" si="112"/>
        <v>13</v>
      </c>
      <c r="H171" s="1">
        <f t="shared" ca="1" si="113"/>
        <v>2</v>
      </c>
      <c r="I171" s="1"/>
      <c r="J171" s="1">
        <f t="shared" ca="1" si="114"/>
        <v>23</v>
      </c>
      <c r="K171" s="1">
        <f t="shared" ca="1" si="115"/>
        <v>2.6840158268669758</v>
      </c>
      <c r="L171" s="1">
        <f t="shared" ca="1" si="116"/>
        <v>34</v>
      </c>
      <c r="M171" s="1"/>
      <c r="N171" s="1">
        <f t="shared" ca="1" si="117"/>
        <v>992</v>
      </c>
      <c r="O171" s="1">
        <f t="shared" ca="1" si="118"/>
        <v>6</v>
      </c>
      <c r="P171" s="1"/>
      <c r="Q171" s="1">
        <f t="shared" ca="1" si="119"/>
        <v>2.3706493445964782</v>
      </c>
      <c r="R171" s="1">
        <f t="shared" ca="1" si="120"/>
        <v>1000</v>
      </c>
      <c r="S171" s="1"/>
      <c r="T171" s="1">
        <f t="shared" ca="1" si="121"/>
        <v>4.1533353984243911E-2</v>
      </c>
      <c r="U171" s="1">
        <f t="shared" ca="1" si="122"/>
        <v>193</v>
      </c>
      <c r="V171" s="1">
        <f t="shared" ca="1" si="123"/>
        <v>37</v>
      </c>
      <c r="W171" s="1"/>
      <c r="X171" s="1">
        <f t="shared" ca="1" si="124"/>
        <v>6.9799220697192021</v>
      </c>
      <c r="Y171" s="1">
        <f t="shared" ca="1" si="125"/>
        <v>0.39260320614527877</v>
      </c>
      <c r="Z171" s="1">
        <f t="shared" ca="1" si="126"/>
        <v>1925</v>
      </c>
      <c r="AB171" s="1">
        <f t="shared" ca="1" si="127"/>
        <v>0.90652279336622288</v>
      </c>
      <c r="AC171" s="1">
        <f t="shared" ca="1" si="128"/>
        <v>696</v>
      </c>
      <c r="AD171" s="1">
        <f t="shared" ca="1" si="129"/>
        <v>2.8469135002503489E-4</v>
      </c>
      <c r="AE171" s="1"/>
      <c r="AF171" s="1">
        <f t="shared" ca="1" si="130"/>
        <v>0.68205391436655538</v>
      </c>
      <c r="AG171" s="1">
        <f t="shared" ca="1" si="131"/>
        <v>940</v>
      </c>
      <c r="AH171" s="1">
        <f t="shared" ca="1" si="132"/>
        <v>6.1865648529627563E-3</v>
      </c>
      <c r="AJ171" s="1">
        <f t="shared" ca="1" si="133"/>
        <v>0.32315809054942513</v>
      </c>
      <c r="AK171" s="1">
        <f t="shared" ca="1" si="134"/>
        <v>9.9539248777331009E-3</v>
      </c>
      <c r="AL171" s="1"/>
      <c r="AM171" s="1">
        <f t="shared" ca="1" si="135"/>
        <v>0.15596693633986888</v>
      </c>
      <c r="AN171" s="1">
        <f t="shared" ca="1" si="136"/>
        <v>49</v>
      </c>
      <c r="AO171" s="1">
        <f t="shared" ca="1" si="137"/>
        <v>13</v>
      </c>
      <c r="AQ171" s="1">
        <f t="shared" ca="1" si="138"/>
        <v>52</v>
      </c>
      <c r="AR171" s="1">
        <f t="shared" ca="1" si="139"/>
        <v>0</v>
      </c>
      <c r="AS171" s="1">
        <f t="shared" ca="1" si="140"/>
        <v>30</v>
      </c>
      <c r="AU171" s="1">
        <f t="shared" ca="1" si="141"/>
        <v>201</v>
      </c>
      <c r="AV171" s="1">
        <f t="shared" ca="1" si="142"/>
        <v>5</v>
      </c>
      <c r="AW171" s="1">
        <f t="shared" ca="1" si="143"/>
        <v>1.4762420447798838E-2</v>
      </c>
      <c r="AY171" s="1">
        <f t="shared" ca="1" si="144"/>
        <v>1.5566351403214329</v>
      </c>
      <c r="AZ171" s="1">
        <f t="shared" ca="1" si="145"/>
        <v>495</v>
      </c>
      <c r="BA171" s="1">
        <f t="shared" ca="1" si="146"/>
        <v>9.4630806062938021E-3</v>
      </c>
      <c r="BV171" s="1">
        <f t="shared" ca="1" si="147"/>
        <v>0.7766194284295288</v>
      </c>
      <c r="BW171" s="1">
        <f t="shared" ca="1" si="148"/>
        <v>246</v>
      </c>
      <c r="BX171" s="1">
        <f t="shared" ca="1" si="149"/>
        <v>9.5199861620134125E-3</v>
      </c>
      <c r="BY171" s="1">
        <f t="shared" ca="1" si="150"/>
        <v>6.2125405605233767E-2</v>
      </c>
      <c r="BZ171" s="1">
        <f t="shared" ca="1" si="151"/>
        <v>0.21898008764626598</v>
      </c>
      <c r="CB171" s="1">
        <f t="shared" ca="1" si="152"/>
        <v>120</v>
      </c>
      <c r="CC171" s="1">
        <f t="shared" ca="1" si="153"/>
        <v>13</v>
      </c>
      <c r="CD171" s="1">
        <f t="shared" ca="1" si="154"/>
        <v>0.14191355373587469</v>
      </c>
      <c r="CE171" s="1">
        <f t="shared" ca="1" si="161"/>
        <v>0.5405807291236393</v>
      </c>
      <c r="CF171" s="1">
        <f t="shared" ca="1" si="161"/>
        <v>0.76948242951521562</v>
      </c>
      <c r="CH171" s="7">
        <f t="shared" ca="1" si="156"/>
        <v>2.0595995927581975E-2</v>
      </c>
      <c r="CI171" s="7">
        <f t="shared" ca="1" si="157"/>
        <v>0.14483930759701799</v>
      </c>
      <c r="CJ171" s="7">
        <f t="shared" ca="1" si="158"/>
        <v>1129</v>
      </c>
      <c r="CK171" s="7">
        <f t="shared" ca="1" si="159"/>
        <v>5.633183779892686E-3</v>
      </c>
      <c r="CL171" s="7">
        <f t="shared" ca="1" si="160"/>
        <v>1</v>
      </c>
    </row>
    <row r="172" spans="2:90" x14ac:dyDescent="0.25">
      <c r="B172">
        <f t="shared" ca="1" si="108"/>
        <v>791</v>
      </c>
      <c r="C172">
        <f t="shared" ca="1" si="109"/>
        <v>24</v>
      </c>
      <c r="D172">
        <f t="shared" ca="1" si="110"/>
        <v>7.735645245259494E-2</v>
      </c>
      <c r="F172" s="1">
        <f t="shared" ca="1" si="111"/>
        <v>2</v>
      </c>
      <c r="G172" s="1">
        <f t="shared" ca="1" si="112"/>
        <v>18</v>
      </c>
      <c r="H172" s="1">
        <f t="shared" ca="1" si="113"/>
        <v>3</v>
      </c>
      <c r="I172" s="1"/>
      <c r="J172" s="1">
        <f t="shared" ca="1" si="114"/>
        <v>3</v>
      </c>
      <c r="K172" s="1">
        <f t="shared" ca="1" si="115"/>
        <v>2.6096463843182032</v>
      </c>
      <c r="L172" s="1">
        <f t="shared" ca="1" si="116"/>
        <v>31</v>
      </c>
      <c r="M172" s="1"/>
      <c r="N172" s="1">
        <f t="shared" ca="1" si="117"/>
        <v>128</v>
      </c>
      <c r="O172" s="1">
        <f t="shared" ca="1" si="118"/>
        <v>41</v>
      </c>
      <c r="P172" s="1"/>
      <c r="Q172" s="1">
        <f t="shared" ca="1" si="119"/>
        <v>1.5782532426797666</v>
      </c>
      <c r="R172" s="1">
        <f t="shared" ca="1" si="120"/>
        <v>399</v>
      </c>
      <c r="S172" s="1"/>
      <c r="T172" s="1">
        <f t="shared" ca="1" si="121"/>
        <v>5.2283470214533785E-2</v>
      </c>
      <c r="U172" s="1">
        <f t="shared" ca="1" si="122"/>
        <v>352</v>
      </c>
      <c r="V172" s="1">
        <f t="shared" ca="1" si="123"/>
        <v>37</v>
      </c>
      <c r="W172" s="1"/>
      <c r="X172" s="1">
        <f t="shared" ca="1" si="124"/>
        <v>4.3135940119260665</v>
      </c>
      <c r="Y172" s="1">
        <f t="shared" ca="1" si="125"/>
        <v>0.97001954494556419</v>
      </c>
      <c r="Z172" s="1">
        <f t="shared" ca="1" si="126"/>
        <v>371</v>
      </c>
      <c r="AB172" s="1">
        <f t="shared" ca="1" si="127"/>
        <v>0.82594979052162032</v>
      </c>
      <c r="AC172" s="1">
        <f t="shared" ca="1" si="128"/>
        <v>680</v>
      </c>
      <c r="AD172" s="1">
        <f t="shared" ca="1" si="129"/>
        <v>8.0104648559363237E-3</v>
      </c>
      <c r="AE172" s="1"/>
      <c r="AF172" s="1">
        <f t="shared" ca="1" si="130"/>
        <v>0.16009503573761652</v>
      </c>
      <c r="AG172" s="1">
        <f t="shared" ca="1" si="131"/>
        <v>309</v>
      </c>
      <c r="AH172" s="1">
        <f t="shared" ca="1" si="132"/>
        <v>7.3123670325127375E-3</v>
      </c>
      <c r="AJ172" s="1">
        <f t="shared" ca="1" si="133"/>
        <v>8.3903445391597664E-3</v>
      </c>
      <c r="AK172" s="1">
        <f t="shared" ca="1" si="134"/>
        <v>6.6339234949061088E-4</v>
      </c>
      <c r="AL172" s="1"/>
      <c r="AM172" s="1">
        <f t="shared" ca="1" si="135"/>
        <v>8.6927063338230651E-2</v>
      </c>
      <c r="AN172" s="1">
        <f t="shared" ca="1" si="136"/>
        <v>72</v>
      </c>
      <c r="AO172" s="1">
        <f t="shared" ca="1" si="137"/>
        <v>16</v>
      </c>
      <c r="AQ172" s="1">
        <f t="shared" ca="1" si="138"/>
        <v>136</v>
      </c>
      <c r="AR172" s="1">
        <f t="shared" ca="1" si="139"/>
        <v>1</v>
      </c>
      <c r="AS172" s="1">
        <f t="shared" ca="1" si="140"/>
        <v>49</v>
      </c>
      <c r="AU172" s="1">
        <f t="shared" ca="1" si="141"/>
        <v>72</v>
      </c>
      <c r="AV172" s="1">
        <f t="shared" ca="1" si="142"/>
        <v>8</v>
      </c>
      <c r="AW172" s="1">
        <f t="shared" ca="1" si="143"/>
        <v>0.13435650360293419</v>
      </c>
      <c r="AY172" s="1">
        <f t="shared" ca="1" si="144"/>
        <v>1.3489615175318701</v>
      </c>
      <c r="AZ172" s="1">
        <f t="shared" ca="1" si="145"/>
        <v>327</v>
      </c>
      <c r="BA172" s="1">
        <f t="shared" ca="1" si="146"/>
        <v>4.3673758078725949E-3</v>
      </c>
      <c r="BV172" s="1">
        <f t="shared" ca="1" si="147"/>
        <v>0.38707747093383066</v>
      </c>
      <c r="BW172" s="1">
        <f t="shared" ca="1" si="148"/>
        <v>545</v>
      </c>
      <c r="BX172" s="1">
        <f t="shared" ca="1" si="149"/>
        <v>4.442228001682964E-3</v>
      </c>
      <c r="BY172" s="1">
        <f t="shared" ca="1" si="150"/>
        <v>3.3827283165272663E-2</v>
      </c>
      <c r="BZ172" s="1">
        <f t="shared" ca="1" si="151"/>
        <v>0.56282281683526159</v>
      </c>
      <c r="CB172" s="1">
        <f t="shared" ca="1" si="152"/>
        <v>76</v>
      </c>
      <c r="CC172" s="1">
        <f t="shared" ca="1" si="153"/>
        <v>4</v>
      </c>
      <c r="CD172" s="1">
        <f t="shared" ca="1" si="154"/>
        <v>0.10337983015824879</v>
      </c>
      <c r="CE172" s="1">
        <f t="shared" ca="1" si="161"/>
        <v>0.57500418417564059</v>
      </c>
      <c r="CF172" s="1">
        <f t="shared" ca="1" si="161"/>
        <v>0.77540515088428985</v>
      </c>
      <c r="CH172" s="7">
        <f t="shared" ca="1" si="156"/>
        <v>0.73452146345864622</v>
      </c>
      <c r="CI172" s="7">
        <f t="shared" ca="1" si="157"/>
        <v>0.48843993589005957</v>
      </c>
      <c r="CJ172" s="7">
        <f t="shared" ca="1" si="158"/>
        <v>1382</v>
      </c>
      <c r="CK172" s="7">
        <f t="shared" ca="1" si="159"/>
        <v>9.0135307928514413E-3</v>
      </c>
      <c r="CL172" s="7">
        <f t="shared" ca="1" si="160"/>
        <v>1</v>
      </c>
    </row>
    <row r="173" spans="2:90" x14ac:dyDescent="0.25">
      <c r="B173">
        <f t="shared" ca="1" si="108"/>
        <v>819</v>
      </c>
      <c r="C173">
        <f t="shared" ca="1" si="109"/>
        <v>43</v>
      </c>
      <c r="D173">
        <f t="shared" ca="1" si="110"/>
        <v>2.2270467878745637E-2</v>
      </c>
      <c r="F173" s="1">
        <f t="shared" ca="1" si="111"/>
        <v>21</v>
      </c>
      <c r="G173" s="1">
        <f t="shared" ca="1" si="112"/>
        <v>19</v>
      </c>
      <c r="H173" s="1">
        <f t="shared" ca="1" si="113"/>
        <v>8</v>
      </c>
      <c r="I173" s="1"/>
      <c r="J173" s="1">
        <f t="shared" ca="1" si="114"/>
        <v>29</v>
      </c>
      <c r="K173" s="1">
        <f t="shared" ca="1" si="115"/>
        <v>2.0337051190767159</v>
      </c>
      <c r="L173" s="1">
        <f t="shared" ca="1" si="116"/>
        <v>4</v>
      </c>
      <c r="M173" s="1"/>
      <c r="N173" s="1">
        <f t="shared" ca="1" si="117"/>
        <v>138</v>
      </c>
      <c r="O173" s="1">
        <f t="shared" ca="1" si="118"/>
        <v>47</v>
      </c>
      <c r="P173" s="1"/>
      <c r="Q173" s="1">
        <f t="shared" ca="1" si="119"/>
        <v>0.6290704210907162</v>
      </c>
      <c r="R173" s="1">
        <f t="shared" ca="1" si="120"/>
        <v>729</v>
      </c>
      <c r="S173" s="1"/>
      <c r="T173" s="1">
        <f t="shared" ca="1" si="121"/>
        <v>6.935542265308664E-2</v>
      </c>
      <c r="U173" s="1">
        <f t="shared" ca="1" si="122"/>
        <v>426</v>
      </c>
      <c r="V173" s="1">
        <f t="shared" ca="1" si="123"/>
        <v>2</v>
      </c>
      <c r="W173" s="1"/>
      <c r="X173" s="1">
        <f t="shared" ca="1" si="124"/>
        <v>3.0981549116020806</v>
      </c>
      <c r="Y173" s="1">
        <f t="shared" ca="1" si="125"/>
        <v>0.50330210084119686</v>
      </c>
      <c r="Z173" s="1">
        <f t="shared" ca="1" si="126"/>
        <v>1691</v>
      </c>
      <c r="AB173" s="1">
        <f t="shared" ca="1" si="127"/>
        <v>0.12120610896953878</v>
      </c>
      <c r="AC173" s="1">
        <f t="shared" ca="1" si="128"/>
        <v>612</v>
      </c>
      <c r="AD173" s="1">
        <f t="shared" ca="1" si="129"/>
        <v>3.6873610246363313E-3</v>
      </c>
      <c r="AE173" s="1"/>
      <c r="AF173" s="1">
        <f t="shared" ca="1" si="130"/>
        <v>0.60961603893930039</v>
      </c>
      <c r="AG173" s="1">
        <f t="shared" ca="1" si="131"/>
        <v>423</v>
      </c>
      <c r="AH173" s="1">
        <f t="shared" ca="1" si="132"/>
        <v>9.4394505013746348E-3</v>
      </c>
      <c r="AJ173" s="1">
        <f t="shared" ca="1" si="133"/>
        <v>0.93704399160004204</v>
      </c>
      <c r="AK173" s="1">
        <f t="shared" ca="1" si="134"/>
        <v>6.9540658288512773E-3</v>
      </c>
      <c r="AL173" s="1"/>
      <c r="AM173" s="1">
        <f t="shared" ca="1" si="135"/>
        <v>1.5908172214883887E-2</v>
      </c>
      <c r="AN173" s="1">
        <f t="shared" ca="1" si="136"/>
        <v>10</v>
      </c>
      <c r="AO173" s="1">
        <f t="shared" ca="1" si="137"/>
        <v>2</v>
      </c>
      <c r="AQ173" s="1">
        <f t="shared" ca="1" si="138"/>
        <v>34</v>
      </c>
      <c r="AR173" s="1">
        <f t="shared" ca="1" si="139"/>
        <v>1</v>
      </c>
      <c r="AS173" s="1">
        <f t="shared" ca="1" si="140"/>
        <v>65</v>
      </c>
      <c r="AU173" s="1">
        <f t="shared" ca="1" si="141"/>
        <v>359</v>
      </c>
      <c r="AV173" s="1">
        <f t="shared" ca="1" si="142"/>
        <v>2</v>
      </c>
      <c r="AW173" s="1">
        <f t="shared" ca="1" si="143"/>
        <v>0.19946042093181413</v>
      </c>
      <c r="AY173" s="1">
        <f t="shared" ca="1" si="144"/>
        <v>1.2202702050292615</v>
      </c>
      <c r="AZ173" s="1">
        <f t="shared" ca="1" si="145"/>
        <v>296</v>
      </c>
      <c r="BA173" s="1">
        <f t="shared" ca="1" si="146"/>
        <v>5.5543109769666662E-3</v>
      </c>
      <c r="BV173" s="1">
        <f t="shared" ca="1" si="147"/>
        <v>2.1334234768769673E-2</v>
      </c>
      <c r="BW173" s="1">
        <f t="shared" ca="1" si="148"/>
        <v>917</v>
      </c>
      <c r="BX173" s="1">
        <f t="shared" ca="1" si="149"/>
        <v>1.3310496513080892E-4</v>
      </c>
      <c r="BY173" s="1">
        <f t="shared" ca="1" si="150"/>
        <v>6.7012395021707166E-2</v>
      </c>
      <c r="BZ173" s="1">
        <f t="shared" ca="1" si="151"/>
        <v>7.0734827844147308E-2</v>
      </c>
      <c r="CB173" s="1">
        <f t="shared" ca="1" si="152"/>
        <v>235</v>
      </c>
      <c r="CC173" s="1">
        <f t="shared" ca="1" si="153"/>
        <v>12</v>
      </c>
      <c r="CD173" s="1">
        <f t="shared" ca="1" si="154"/>
        <v>0.11067058958747865</v>
      </c>
      <c r="CE173" s="1">
        <f t="shared" ca="1" si="161"/>
        <v>0.81743991855974263</v>
      </c>
      <c r="CF173" s="1">
        <f t="shared" ca="1" si="161"/>
        <v>0.64476523268545405</v>
      </c>
      <c r="CH173" s="7">
        <f t="shared" ca="1" si="156"/>
        <v>0.83892898616546696</v>
      </c>
      <c r="CI173" s="7">
        <f t="shared" ca="1" si="157"/>
        <v>0.52925461902226734</v>
      </c>
      <c r="CJ173" s="7">
        <f t="shared" ca="1" si="158"/>
        <v>1593</v>
      </c>
      <c r="CK173" s="7">
        <f t="shared" ca="1" si="159"/>
        <v>9.7699408874419892E-3</v>
      </c>
      <c r="CL173" s="7">
        <f t="shared" ca="1" si="160"/>
        <v>1</v>
      </c>
    </row>
    <row r="174" spans="2:90" x14ac:dyDescent="0.25">
      <c r="B174">
        <f t="shared" ca="1" si="108"/>
        <v>679</v>
      </c>
      <c r="C174">
        <f t="shared" ca="1" si="109"/>
        <v>50</v>
      </c>
      <c r="D174">
        <f t="shared" ca="1" si="110"/>
        <v>0.29855708167816153</v>
      </c>
      <c r="F174" s="1">
        <f t="shared" ca="1" si="111"/>
        <v>37</v>
      </c>
      <c r="G174" s="1">
        <f t="shared" ca="1" si="112"/>
        <v>5</v>
      </c>
      <c r="H174" s="1">
        <f t="shared" ca="1" si="113"/>
        <v>13</v>
      </c>
      <c r="I174" s="1"/>
      <c r="J174" s="1">
        <f t="shared" ca="1" si="114"/>
        <v>37</v>
      </c>
      <c r="K174" s="1">
        <f t="shared" ca="1" si="115"/>
        <v>2.2344633527606663</v>
      </c>
      <c r="L174" s="1">
        <f t="shared" ca="1" si="116"/>
        <v>24</v>
      </c>
      <c r="M174" s="1"/>
      <c r="N174" s="1">
        <f t="shared" ca="1" si="117"/>
        <v>963</v>
      </c>
      <c r="O174" s="1">
        <f t="shared" ca="1" si="118"/>
        <v>37</v>
      </c>
      <c r="P174" s="1"/>
      <c r="Q174" s="1">
        <f t="shared" ca="1" si="119"/>
        <v>4.6822350986922379</v>
      </c>
      <c r="R174" s="1">
        <f t="shared" ca="1" si="120"/>
        <v>483</v>
      </c>
      <c r="S174" s="1"/>
      <c r="T174" s="1">
        <f t="shared" ca="1" si="121"/>
        <v>7.1619902492045279E-2</v>
      </c>
      <c r="U174" s="1">
        <f t="shared" ca="1" si="122"/>
        <v>404</v>
      </c>
      <c r="V174" s="1">
        <f t="shared" ca="1" si="123"/>
        <v>21</v>
      </c>
      <c r="W174" s="1"/>
      <c r="X174" s="1">
        <f t="shared" ca="1" si="124"/>
        <v>4.5406336813350112</v>
      </c>
      <c r="Y174" s="1">
        <f t="shared" ca="1" si="125"/>
        <v>0.49386558183838836</v>
      </c>
      <c r="Z174" s="1">
        <f t="shared" ca="1" si="126"/>
        <v>1186</v>
      </c>
      <c r="AB174" s="1">
        <f t="shared" ca="1" si="127"/>
        <v>0.45996891071082435</v>
      </c>
      <c r="AC174" s="1">
        <f t="shared" ca="1" si="128"/>
        <v>991</v>
      </c>
      <c r="AD174" s="1">
        <f t="shared" ca="1" si="129"/>
        <v>5.8544132127255439E-3</v>
      </c>
      <c r="AE174" s="1"/>
      <c r="AF174" s="1">
        <f t="shared" ca="1" si="130"/>
        <v>0.24433123305406809</v>
      </c>
      <c r="AG174" s="1">
        <f t="shared" ca="1" si="131"/>
        <v>604</v>
      </c>
      <c r="AH174" s="1">
        <f t="shared" ca="1" si="132"/>
        <v>6.8403026495089852E-3</v>
      </c>
      <c r="AJ174" s="1">
        <f t="shared" ca="1" si="133"/>
        <v>0.86659234496344872</v>
      </c>
      <c r="AK174" s="1">
        <f t="shared" ca="1" si="134"/>
        <v>1.4189746591223447E-3</v>
      </c>
      <c r="AL174" s="1"/>
      <c r="AM174" s="1">
        <f t="shared" ca="1" si="135"/>
        <v>7.5284956445881818E-2</v>
      </c>
      <c r="AN174" s="1">
        <f t="shared" ca="1" si="136"/>
        <v>42</v>
      </c>
      <c r="AO174" s="1">
        <f t="shared" ca="1" si="137"/>
        <v>12</v>
      </c>
      <c r="AQ174" s="1">
        <f t="shared" ca="1" si="138"/>
        <v>57</v>
      </c>
      <c r="AR174" s="1">
        <f t="shared" ca="1" si="139"/>
        <v>7</v>
      </c>
      <c r="AS174" s="1">
        <f t="shared" ca="1" si="140"/>
        <v>50</v>
      </c>
      <c r="AU174" s="1">
        <f t="shared" ca="1" si="141"/>
        <v>399</v>
      </c>
      <c r="AV174" s="1">
        <f t="shared" ca="1" si="142"/>
        <v>4</v>
      </c>
      <c r="AW174" s="1">
        <f t="shared" ca="1" si="143"/>
        <v>0.18556821390230871</v>
      </c>
      <c r="AY174" s="1">
        <f t="shared" ca="1" si="144"/>
        <v>1.4244881439167802</v>
      </c>
      <c r="AZ174" s="1">
        <f t="shared" ca="1" si="145"/>
        <v>382</v>
      </c>
      <c r="BA174" s="1">
        <f t="shared" ca="1" si="146"/>
        <v>7.111218356134031E-3</v>
      </c>
      <c r="BV174" s="1">
        <f t="shared" ca="1" si="147"/>
        <v>0.24525262436394563</v>
      </c>
      <c r="BW174" s="1">
        <f t="shared" ca="1" si="148"/>
        <v>104</v>
      </c>
      <c r="BX174" s="1">
        <f t="shared" ca="1" si="149"/>
        <v>6.3523993986334907E-3</v>
      </c>
      <c r="BY174" s="1">
        <f t="shared" ca="1" si="150"/>
        <v>2.0192523434122461E-3</v>
      </c>
      <c r="BZ174" s="1">
        <f t="shared" ca="1" si="151"/>
        <v>0.16964906916067402</v>
      </c>
      <c r="CB174" s="1">
        <f t="shared" ca="1" si="152"/>
        <v>284</v>
      </c>
      <c r="CC174" s="1">
        <f t="shared" ca="1" si="153"/>
        <v>6</v>
      </c>
      <c r="CD174" s="1">
        <f t="shared" ca="1" si="154"/>
        <v>7.6190752083585028E-2</v>
      </c>
      <c r="CE174" s="1">
        <f t="shared" ca="1" si="161"/>
        <v>0.72625816219079176</v>
      </c>
      <c r="CF174" s="1">
        <f t="shared" ca="1" si="161"/>
        <v>0.57660288818771965</v>
      </c>
      <c r="CH174" s="7">
        <f t="shared" ca="1" si="156"/>
        <v>6.9094991502286957E-2</v>
      </c>
      <c r="CI174" s="7">
        <f t="shared" ca="1" si="157"/>
        <v>0.84766227446047526</v>
      </c>
      <c r="CJ174" s="7">
        <f t="shared" ca="1" si="158"/>
        <v>261</v>
      </c>
      <c r="CK174" s="7">
        <f t="shared" ca="1" si="159"/>
        <v>6.4551873810273427E-3</v>
      </c>
      <c r="CL174" s="7">
        <f t="shared" ca="1" si="160"/>
        <v>0</v>
      </c>
    </row>
    <row r="175" spans="2:90" x14ac:dyDescent="0.25">
      <c r="B175">
        <f t="shared" ca="1" si="108"/>
        <v>349</v>
      </c>
      <c r="C175">
        <f t="shared" ca="1" si="109"/>
        <v>12</v>
      </c>
      <c r="D175">
        <f t="shared" ca="1" si="110"/>
        <v>0.16209245894443552</v>
      </c>
      <c r="F175" s="1">
        <f t="shared" ca="1" si="111"/>
        <v>7</v>
      </c>
      <c r="G175" s="1">
        <f t="shared" ca="1" si="112"/>
        <v>22</v>
      </c>
      <c r="H175" s="1">
        <f t="shared" ca="1" si="113"/>
        <v>3</v>
      </c>
      <c r="I175" s="1"/>
      <c r="J175" s="1">
        <f t="shared" ca="1" si="114"/>
        <v>28</v>
      </c>
      <c r="K175" s="1">
        <f t="shared" ca="1" si="115"/>
        <v>2.184011659840047</v>
      </c>
      <c r="L175" s="1">
        <f t="shared" ca="1" si="116"/>
        <v>29</v>
      </c>
      <c r="M175" s="1"/>
      <c r="N175" s="1">
        <f t="shared" ca="1" si="117"/>
        <v>430</v>
      </c>
      <c r="O175" s="1">
        <f t="shared" ca="1" si="118"/>
        <v>21</v>
      </c>
      <c r="P175" s="1"/>
      <c r="Q175" s="1">
        <f t="shared" ca="1" si="119"/>
        <v>2.4663597969252438</v>
      </c>
      <c r="R175" s="1">
        <f t="shared" ca="1" si="120"/>
        <v>300</v>
      </c>
      <c r="S175" s="1"/>
      <c r="T175" s="1">
        <f t="shared" ca="1" si="121"/>
        <v>0.13386402336847389</v>
      </c>
      <c r="U175" s="1">
        <f t="shared" ca="1" si="122"/>
        <v>396</v>
      </c>
      <c r="V175" s="1">
        <f t="shared" ca="1" si="123"/>
        <v>29</v>
      </c>
      <c r="W175" s="1"/>
      <c r="X175" s="1">
        <f t="shared" ca="1" si="124"/>
        <v>6.9606884499851178</v>
      </c>
      <c r="Y175" s="1">
        <f t="shared" ca="1" si="125"/>
        <v>0.28680691187122531</v>
      </c>
      <c r="Z175" s="1">
        <f t="shared" ca="1" si="126"/>
        <v>482</v>
      </c>
      <c r="AB175" s="1">
        <f t="shared" ca="1" si="127"/>
        <v>0.84747677795703902</v>
      </c>
      <c r="AC175" s="1">
        <f t="shared" ca="1" si="128"/>
        <v>369</v>
      </c>
      <c r="AD175" s="1">
        <f t="shared" ca="1" si="129"/>
        <v>9.7406694279433496E-3</v>
      </c>
      <c r="AE175" s="1"/>
      <c r="AF175" s="1">
        <f t="shared" ca="1" si="130"/>
        <v>0.81125050203450078</v>
      </c>
      <c r="AG175" s="1">
        <f t="shared" ca="1" si="131"/>
        <v>472</v>
      </c>
      <c r="AH175" s="1">
        <f t="shared" ca="1" si="132"/>
        <v>2.515344615150072E-3</v>
      </c>
      <c r="AJ175" s="1">
        <f t="shared" ca="1" si="133"/>
        <v>7.8932485268462527E-2</v>
      </c>
      <c r="AK175" s="1">
        <f t="shared" ca="1" si="134"/>
        <v>3.8948857190882953E-3</v>
      </c>
      <c r="AL175" s="1"/>
      <c r="AM175" s="1">
        <f t="shared" ca="1" si="135"/>
        <v>0.19240650442705917</v>
      </c>
      <c r="AN175" s="1">
        <f t="shared" ca="1" si="136"/>
        <v>74</v>
      </c>
      <c r="AO175" s="1">
        <f t="shared" ca="1" si="137"/>
        <v>19</v>
      </c>
      <c r="AQ175" s="1">
        <f t="shared" ca="1" si="138"/>
        <v>30</v>
      </c>
      <c r="AR175" s="1">
        <f t="shared" ca="1" si="139"/>
        <v>4</v>
      </c>
      <c r="AS175" s="1">
        <f t="shared" ca="1" si="140"/>
        <v>33</v>
      </c>
      <c r="AU175" s="1">
        <f t="shared" ca="1" si="141"/>
        <v>203</v>
      </c>
      <c r="AV175" s="1">
        <f t="shared" ca="1" si="142"/>
        <v>7</v>
      </c>
      <c r="AW175" s="1">
        <f t="shared" ca="1" si="143"/>
        <v>0.16966837140304897</v>
      </c>
      <c r="AY175" s="1">
        <f t="shared" ca="1" si="144"/>
        <v>1.2748933615402618</v>
      </c>
      <c r="AZ175" s="1">
        <f t="shared" ca="1" si="145"/>
        <v>424</v>
      </c>
      <c r="BA175" s="1">
        <f t="shared" ca="1" si="146"/>
        <v>4.2726845741451313E-3</v>
      </c>
      <c r="BV175" s="1">
        <f t="shared" ca="1" si="147"/>
        <v>1.9740021245241435E-2</v>
      </c>
      <c r="BW175" s="1">
        <f t="shared" ca="1" si="148"/>
        <v>503</v>
      </c>
      <c r="BX175" s="1">
        <f t="shared" ca="1" si="149"/>
        <v>6.8179376171184332E-3</v>
      </c>
      <c r="BY175" s="1">
        <f t="shared" ca="1" si="150"/>
        <v>8.7501594103505335E-3</v>
      </c>
      <c r="BZ175" s="1">
        <f t="shared" ca="1" si="151"/>
        <v>0.58763963665319052</v>
      </c>
      <c r="CB175" s="1">
        <f t="shared" ca="1" si="152"/>
        <v>105</v>
      </c>
      <c r="CC175" s="1">
        <f t="shared" ca="1" si="153"/>
        <v>9</v>
      </c>
      <c r="CD175" s="1">
        <f t="shared" ca="1" si="154"/>
        <v>4.4282689816648076E-2</v>
      </c>
      <c r="CE175" s="1">
        <f t="shared" ca="1" si="161"/>
        <v>0.64147840255839861</v>
      </c>
      <c r="CF175" s="1">
        <f t="shared" ca="1" si="161"/>
        <v>0.7829296507761242</v>
      </c>
      <c r="CH175" s="7">
        <f t="shared" ca="1" si="156"/>
        <v>0.72488103803859805</v>
      </c>
      <c r="CI175" s="7">
        <f t="shared" ca="1" si="157"/>
        <v>0.44688165195510898</v>
      </c>
      <c r="CJ175" s="7">
        <f t="shared" ca="1" si="158"/>
        <v>1571</v>
      </c>
      <c r="CK175" s="7">
        <f t="shared" ca="1" si="159"/>
        <v>3.041408929789395E-3</v>
      </c>
      <c r="CL175" s="7">
        <f t="shared" ca="1" si="160"/>
        <v>0</v>
      </c>
    </row>
    <row r="176" spans="2:90" x14ac:dyDescent="0.25">
      <c r="B176">
        <f t="shared" ca="1" si="108"/>
        <v>134</v>
      </c>
      <c r="C176">
        <f t="shared" ca="1" si="109"/>
        <v>10</v>
      </c>
      <c r="D176">
        <f t="shared" ca="1" si="110"/>
        <v>3.3899978360242618E-2</v>
      </c>
      <c r="F176" s="1">
        <f t="shared" ca="1" si="111"/>
        <v>20</v>
      </c>
      <c r="G176" s="1">
        <f t="shared" ca="1" si="112"/>
        <v>13</v>
      </c>
      <c r="H176" s="1">
        <f t="shared" ca="1" si="113"/>
        <v>6</v>
      </c>
      <c r="I176" s="1"/>
      <c r="J176" s="1">
        <f t="shared" ca="1" si="114"/>
        <v>1</v>
      </c>
      <c r="K176" s="1">
        <f t="shared" ca="1" si="115"/>
        <v>2.212485772730294</v>
      </c>
      <c r="L176" s="1">
        <f t="shared" ca="1" si="116"/>
        <v>20</v>
      </c>
      <c r="M176" s="1"/>
      <c r="N176" s="1">
        <f t="shared" ca="1" si="117"/>
        <v>133</v>
      </c>
      <c r="O176" s="1">
        <f t="shared" ca="1" si="118"/>
        <v>3</v>
      </c>
      <c r="P176" s="1"/>
      <c r="Q176" s="1">
        <f t="shared" ca="1" si="119"/>
        <v>0.2865581854516191</v>
      </c>
      <c r="R176" s="1">
        <f t="shared" ca="1" si="120"/>
        <v>685</v>
      </c>
      <c r="S176" s="1"/>
      <c r="T176" s="1">
        <f t="shared" ca="1" si="121"/>
        <v>0.16440346567143374</v>
      </c>
      <c r="U176" s="1">
        <f t="shared" ca="1" si="122"/>
        <v>183</v>
      </c>
      <c r="V176" s="1">
        <f t="shared" ca="1" si="123"/>
        <v>24</v>
      </c>
      <c r="W176" s="1"/>
      <c r="X176" s="1">
        <f t="shared" ca="1" si="124"/>
        <v>9.932281219063757</v>
      </c>
      <c r="Y176" s="1">
        <f t="shared" ca="1" si="125"/>
        <v>0.12615296447465069</v>
      </c>
      <c r="Z176" s="1">
        <f t="shared" ca="1" si="126"/>
        <v>973</v>
      </c>
      <c r="AB176" s="1">
        <f t="shared" ca="1" si="127"/>
        <v>0.48792486190782874</v>
      </c>
      <c r="AC176" s="1">
        <f t="shared" ca="1" si="128"/>
        <v>773</v>
      </c>
      <c r="AD176" s="1">
        <f t="shared" ca="1" si="129"/>
        <v>3.5108312879004403E-3</v>
      </c>
      <c r="AE176" s="1"/>
      <c r="AF176" s="1">
        <f t="shared" ca="1" si="130"/>
        <v>0.70391089414059815</v>
      </c>
      <c r="AG176" s="1">
        <f t="shared" ca="1" si="131"/>
        <v>127</v>
      </c>
      <c r="AH176" s="1">
        <f t="shared" ca="1" si="132"/>
        <v>3.8758139861226853E-3</v>
      </c>
      <c r="AJ176" s="1">
        <f t="shared" ca="1" si="133"/>
        <v>0.3078175460380741</v>
      </c>
      <c r="AK176" s="1">
        <f t="shared" ca="1" si="134"/>
        <v>1.054076376339371E-5</v>
      </c>
      <c r="AL176" s="1"/>
      <c r="AM176" s="1">
        <f t="shared" ca="1" si="135"/>
        <v>1.1838326528212073E-2</v>
      </c>
      <c r="AN176" s="1">
        <f t="shared" ca="1" si="136"/>
        <v>64</v>
      </c>
      <c r="AO176" s="1">
        <f t="shared" ca="1" si="137"/>
        <v>20</v>
      </c>
      <c r="AQ176" s="1">
        <f t="shared" ca="1" si="138"/>
        <v>169</v>
      </c>
      <c r="AR176" s="1">
        <f t="shared" ca="1" si="139"/>
        <v>7</v>
      </c>
      <c r="AS176" s="1">
        <f t="shared" ca="1" si="140"/>
        <v>66</v>
      </c>
      <c r="AU176" s="1">
        <f t="shared" ca="1" si="141"/>
        <v>56</v>
      </c>
      <c r="AV176" s="1">
        <f t="shared" ca="1" si="142"/>
        <v>6</v>
      </c>
      <c r="AW176" s="1">
        <f t="shared" ca="1" si="143"/>
        <v>8.7501732448533959E-2</v>
      </c>
      <c r="AY176" s="1">
        <f t="shared" ca="1" si="144"/>
        <v>1.2042694997079668</v>
      </c>
      <c r="AZ176" s="1">
        <f t="shared" ca="1" si="145"/>
        <v>357</v>
      </c>
      <c r="BA176" s="1">
        <f t="shared" ca="1" si="146"/>
        <v>1.9647687044472349E-3</v>
      </c>
      <c r="BV176" s="1">
        <f t="shared" ca="1" si="147"/>
        <v>7.1633623673011196E-2</v>
      </c>
      <c r="BW176" s="1">
        <f t="shared" ca="1" si="148"/>
        <v>223</v>
      </c>
      <c r="BX176" s="1">
        <f t="shared" ca="1" si="149"/>
        <v>4.7857143991488138E-3</v>
      </c>
      <c r="BY176" s="1">
        <f t="shared" ca="1" si="150"/>
        <v>5.0824875221837325E-2</v>
      </c>
      <c r="BZ176" s="1">
        <f t="shared" ca="1" si="151"/>
        <v>0.92870569692282845</v>
      </c>
      <c r="CB176" s="1">
        <f t="shared" ca="1" si="152"/>
        <v>372</v>
      </c>
      <c r="CC176" s="1">
        <f t="shared" ca="1" si="153"/>
        <v>9</v>
      </c>
      <c r="CD176" s="1">
        <f t="shared" ca="1" si="154"/>
        <v>0.18782881977808968</v>
      </c>
      <c r="CE176" s="1">
        <f t="shared" ca="1" si="161"/>
        <v>0.74551574861698588</v>
      </c>
      <c r="CF176" s="1">
        <f t="shared" ca="1" si="161"/>
        <v>0.8350369282096175</v>
      </c>
      <c r="CH176" s="7">
        <f t="shared" ca="1" si="156"/>
        <v>4.9694452625581406E-2</v>
      </c>
      <c r="CI176" s="7">
        <f t="shared" ca="1" si="157"/>
        <v>0.79541641664642071</v>
      </c>
      <c r="CJ176" s="7">
        <f t="shared" ca="1" si="158"/>
        <v>178</v>
      </c>
      <c r="CK176" s="7">
        <f t="shared" ca="1" si="159"/>
        <v>6.0404579718052326E-3</v>
      </c>
      <c r="CL176" s="7">
        <f t="shared" ca="1" si="160"/>
        <v>0</v>
      </c>
    </row>
    <row r="177" spans="2:90" x14ac:dyDescent="0.25">
      <c r="B177">
        <f t="shared" ca="1" si="108"/>
        <v>305</v>
      </c>
      <c r="C177">
        <f t="shared" ca="1" si="109"/>
        <v>16</v>
      </c>
      <c r="D177">
        <f t="shared" ca="1" si="110"/>
        <v>9.9593573989453232E-2</v>
      </c>
      <c r="F177" s="1">
        <f t="shared" ca="1" si="111"/>
        <v>22</v>
      </c>
      <c r="G177" s="1">
        <f t="shared" ca="1" si="112"/>
        <v>15</v>
      </c>
      <c r="H177" s="1">
        <f t="shared" ca="1" si="113"/>
        <v>7</v>
      </c>
      <c r="I177" s="1"/>
      <c r="J177" s="1">
        <f t="shared" ca="1" si="114"/>
        <v>25</v>
      </c>
      <c r="K177" s="1">
        <f t="shared" ca="1" si="115"/>
        <v>2.3022860525849098</v>
      </c>
      <c r="L177" s="1">
        <f t="shared" ca="1" si="116"/>
        <v>11</v>
      </c>
      <c r="M177" s="1"/>
      <c r="N177" s="1">
        <f t="shared" ca="1" si="117"/>
        <v>356</v>
      </c>
      <c r="O177" s="1">
        <f t="shared" ca="1" si="118"/>
        <v>35</v>
      </c>
      <c r="P177" s="1"/>
      <c r="Q177" s="1">
        <f t="shared" ca="1" si="119"/>
        <v>0.95864439577497951</v>
      </c>
      <c r="R177" s="1">
        <f t="shared" ca="1" si="120"/>
        <v>1087</v>
      </c>
      <c r="S177" s="1"/>
      <c r="T177" s="1">
        <f t="shared" ca="1" si="121"/>
        <v>6.6543632936300418E-2</v>
      </c>
      <c r="U177" s="1">
        <f t="shared" ca="1" si="122"/>
        <v>151</v>
      </c>
      <c r="V177" s="1">
        <f t="shared" ca="1" si="123"/>
        <v>50</v>
      </c>
      <c r="W177" s="1"/>
      <c r="X177" s="1">
        <f t="shared" ca="1" si="124"/>
        <v>3.6704340813235037</v>
      </c>
      <c r="Y177" s="1">
        <f t="shared" ca="1" si="125"/>
        <v>0.49415432528200953</v>
      </c>
      <c r="Z177" s="1">
        <f t="shared" ca="1" si="126"/>
        <v>1193</v>
      </c>
      <c r="AB177" s="1">
        <f t="shared" ca="1" si="127"/>
        <v>0.38733655911420994</v>
      </c>
      <c r="AC177" s="1">
        <f t="shared" ca="1" si="128"/>
        <v>378</v>
      </c>
      <c r="AD177" s="1">
        <f t="shared" ca="1" si="129"/>
        <v>4.515357193233439E-3</v>
      </c>
      <c r="AE177" s="1"/>
      <c r="AF177" s="1">
        <f t="shared" ca="1" si="130"/>
        <v>0.31953373914481586</v>
      </c>
      <c r="AG177" s="1">
        <f t="shared" ca="1" si="131"/>
        <v>681</v>
      </c>
      <c r="AH177" s="1">
        <f t="shared" ca="1" si="132"/>
        <v>5.7285411483122013E-3</v>
      </c>
      <c r="AJ177" s="1">
        <f t="shared" ca="1" si="133"/>
        <v>0.6072352597953532</v>
      </c>
      <c r="AK177" s="1">
        <f t="shared" ca="1" si="134"/>
        <v>9.8993224758744738E-3</v>
      </c>
      <c r="AL177" s="1"/>
      <c r="AM177" s="1">
        <f t="shared" ca="1" si="135"/>
        <v>7.58828695402083E-2</v>
      </c>
      <c r="AN177" s="1">
        <f t="shared" ca="1" si="136"/>
        <v>75</v>
      </c>
      <c r="AO177" s="1">
        <f t="shared" ca="1" si="137"/>
        <v>20</v>
      </c>
      <c r="AQ177" s="1">
        <f t="shared" ca="1" si="138"/>
        <v>58</v>
      </c>
      <c r="AR177" s="1">
        <f t="shared" ca="1" si="139"/>
        <v>1</v>
      </c>
      <c r="AS177" s="1">
        <f t="shared" ca="1" si="140"/>
        <v>81</v>
      </c>
      <c r="AU177" s="1">
        <f t="shared" ca="1" si="141"/>
        <v>379</v>
      </c>
      <c r="AV177" s="1">
        <f t="shared" ca="1" si="142"/>
        <v>8</v>
      </c>
      <c r="AW177" s="1">
        <f t="shared" ca="1" si="143"/>
        <v>0.11414918992032902</v>
      </c>
      <c r="AY177" s="1">
        <f t="shared" ca="1" si="144"/>
        <v>1.2086446479325816</v>
      </c>
      <c r="AZ177" s="1">
        <f t="shared" ca="1" si="145"/>
        <v>269</v>
      </c>
      <c r="BA177" s="1">
        <f t="shared" ca="1" si="146"/>
        <v>2.7903687204255899E-3</v>
      </c>
      <c r="BV177" s="1">
        <f t="shared" ca="1" si="147"/>
        <v>0.54643770057935104</v>
      </c>
      <c r="BW177" s="1">
        <f t="shared" ca="1" si="148"/>
        <v>740</v>
      </c>
      <c r="BX177" s="1">
        <f t="shared" ca="1" si="149"/>
        <v>7.5592419926789056E-3</v>
      </c>
      <c r="BY177" s="1">
        <f t="shared" ca="1" si="150"/>
        <v>7.3540659256810956E-2</v>
      </c>
      <c r="BZ177" s="1">
        <f t="shared" ca="1" si="151"/>
        <v>0.38768101020092061</v>
      </c>
      <c r="CB177" s="1">
        <f t="shared" ca="1" si="152"/>
        <v>459</v>
      </c>
      <c r="CC177" s="1">
        <f t="shared" ca="1" si="153"/>
        <v>4</v>
      </c>
      <c r="CD177" s="1">
        <f t="shared" ca="1" si="154"/>
        <v>0.28836528837544728</v>
      </c>
      <c r="CE177" s="1">
        <f t="shared" ca="1" si="161"/>
        <v>0.67225672656657154</v>
      </c>
      <c r="CF177" s="1">
        <f t="shared" ca="1" si="161"/>
        <v>0.91801531965028738</v>
      </c>
      <c r="CH177" s="7">
        <f t="shared" ca="1" si="156"/>
        <v>0.49715359683172844</v>
      </c>
      <c r="CI177" s="7">
        <f t="shared" ca="1" si="157"/>
        <v>0.1926601184788804</v>
      </c>
      <c r="CJ177" s="7">
        <f t="shared" ca="1" si="158"/>
        <v>1182</v>
      </c>
      <c r="CK177" s="7">
        <f t="shared" ca="1" si="159"/>
        <v>3.1316102109069116E-4</v>
      </c>
      <c r="CL177" s="7">
        <f t="shared" ca="1" si="160"/>
        <v>0</v>
      </c>
    </row>
    <row r="178" spans="2:90" x14ac:dyDescent="0.25">
      <c r="B178">
        <f t="shared" ca="1" si="108"/>
        <v>550</v>
      </c>
      <c r="C178">
        <f t="shared" ca="1" si="109"/>
        <v>19</v>
      </c>
      <c r="D178">
        <f t="shared" ca="1" si="110"/>
        <v>7.6662313466763776E-2</v>
      </c>
      <c r="F178" s="1">
        <f t="shared" ca="1" si="111"/>
        <v>37</v>
      </c>
      <c r="G178" s="1">
        <f t="shared" ca="1" si="112"/>
        <v>3</v>
      </c>
      <c r="H178" s="1">
        <f t="shared" ca="1" si="113"/>
        <v>7</v>
      </c>
      <c r="I178" s="1"/>
      <c r="J178" s="1">
        <f t="shared" ca="1" si="114"/>
        <v>28</v>
      </c>
      <c r="K178" s="1">
        <f t="shared" ca="1" si="115"/>
        <v>2.7829165461566312</v>
      </c>
      <c r="L178" s="1">
        <f t="shared" ca="1" si="116"/>
        <v>14</v>
      </c>
      <c r="M178" s="1"/>
      <c r="N178" s="1">
        <f t="shared" ca="1" si="117"/>
        <v>59</v>
      </c>
      <c r="O178" s="1">
        <f t="shared" ca="1" si="118"/>
        <v>42</v>
      </c>
      <c r="P178" s="1"/>
      <c r="Q178" s="1">
        <f t="shared" ca="1" si="119"/>
        <v>2.2824148013183283</v>
      </c>
      <c r="R178" s="1">
        <f t="shared" ca="1" si="120"/>
        <v>710</v>
      </c>
      <c r="S178" s="1"/>
      <c r="T178" s="1">
        <f t="shared" ca="1" si="121"/>
        <v>1.385260917272175E-2</v>
      </c>
      <c r="U178" s="1">
        <f t="shared" ca="1" si="122"/>
        <v>318</v>
      </c>
      <c r="V178" s="1">
        <f t="shared" ca="1" si="123"/>
        <v>8</v>
      </c>
      <c r="W178" s="1"/>
      <c r="X178" s="1">
        <f t="shared" ca="1" si="124"/>
        <v>0.67478170282659367</v>
      </c>
      <c r="Y178" s="1">
        <f t="shared" ca="1" si="125"/>
        <v>0.72987874121381446</v>
      </c>
      <c r="Z178" s="1">
        <f t="shared" ca="1" si="126"/>
        <v>172</v>
      </c>
      <c r="AB178" s="1">
        <f t="shared" ca="1" si="127"/>
        <v>0.18581483804674612</v>
      </c>
      <c r="AC178" s="1">
        <f t="shared" ca="1" si="128"/>
        <v>463</v>
      </c>
      <c r="AD178" s="1">
        <f t="shared" ca="1" si="129"/>
        <v>9.9687266855917039E-3</v>
      </c>
      <c r="AE178" s="1"/>
      <c r="AF178" s="1">
        <f t="shared" ca="1" si="130"/>
        <v>0.53054311041959601</v>
      </c>
      <c r="AG178" s="1">
        <f t="shared" ca="1" si="131"/>
        <v>314</v>
      </c>
      <c r="AH178" s="1">
        <f t="shared" ca="1" si="132"/>
        <v>8.7290671579630247E-3</v>
      </c>
      <c r="AJ178" s="1">
        <f t="shared" ca="1" si="133"/>
        <v>0.62963590021352156</v>
      </c>
      <c r="AK178" s="1">
        <f t="shared" ca="1" si="134"/>
        <v>4.1444142632228939E-3</v>
      </c>
      <c r="AL178" s="1"/>
      <c r="AM178" s="1">
        <f t="shared" ca="1" si="135"/>
        <v>0.14590530095320906</v>
      </c>
      <c r="AN178" s="1">
        <f t="shared" ca="1" si="136"/>
        <v>16</v>
      </c>
      <c r="AO178" s="1">
        <f t="shared" ca="1" si="137"/>
        <v>16</v>
      </c>
      <c r="AQ178" s="1">
        <f t="shared" ca="1" si="138"/>
        <v>104</v>
      </c>
      <c r="AR178" s="1">
        <f t="shared" ca="1" si="139"/>
        <v>4</v>
      </c>
      <c r="AS178" s="1">
        <f t="shared" ca="1" si="140"/>
        <v>55</v>
      </c>
      <c r="AU178" s="1">
        <f t="shared" ca="1" si="141"/>
        <v>399</v>
      </c>
      <c r="AV178" s="1">
        <f t="shared" ca="1" si="142"/>
        <v>9</v>
      </c>
      <c r="AW178" s="1">
        <f t="shared" ca="1" si="143"/>
        <v>0.1931355470260232</v>
      </c>
      <c r="AY178" s="1">
        <f t="shared" ca="1" si="144"/>
        <v>1.4812421741333643</v>
      </c>
      <c r="AZ178" s="1">
        <f t="shared" ca="1" si="145"/>
        <v>422</v>
      </c>
      <c r="BA178" s="1">
        <f t="shared" ca="1" si="146"/>
        <v>8.0616269983110386E-3</v>
      </c>
      <c r="BV178" s="1">
        <f t="shared" ca="1" si="147"/>
        <v>0.58438295318758837</v>
      </c>
      <c r="BW178" s="1">
        <f t="shared" ca="1" si="148"/>
        <v>383</v>
      </c>
      <c r="BX178" s="1">
        <f t="shared" ca="1" si="149"/>
        <v>6.3735459285372772E-4</v>
      </c>
      <c r="BY178" s="1">
        <f t="shared" ca="1" si="150"/>
        <v>2.0523560125530992E-2</v>
      </c>
      <c r="BZ178" s="1">
        <f t="shared" ca="1" si="151"/>
        <v>0.31711748936546147</v>
      </c>
      <c r="CB178" s="1">
        <f t="shared" ca="1" si="152"/>
        <v>403</v>
      </c>
      <c r="CC178" s="1">
        <f t="shared" ca="1" si="153"/>
        <v>11</v>
      </c>
      <c r="CD178" s="1">
        <f t="shared" ca="1" si="154"/>
        <v>2.5047794761090692E-2</v>
      </c>
      <c r="CE178" s="1">
        <f t="shared" ca="1" si="161"/>
        <v>0.67142400214433251</v>
      </c>
      <c r="CF178" s="1">
        <f t="shared" ca="1" si="161"/>
        <v>0.77816507777277844</v>
      </c>
      <c r="CH178" s="7">
        <f t="shared" ca="1" si="156"/>
        <v>0.33967176551689393</v>
      </c>
      <c r="CI178" s="7">
        <f t="shared" ca="1" si="157"/>
        <v>0.64975327749807732</v>
      </c>
      <c r="CJ178" s="7">
        <f t="shared" ca="1" si="158"/>
        <v>1636</v>
      </c>
      <c r="CK178" s="7">
        <f t="shared" ca="1" si="159"/>
        <v>4.498975319623834E-3</v>
      </c>
      <c r="CL178" s="7">
        <f t="shared" ca="1" si="160"/>
        <v>1</v>
      </c>
    </row>
    <row r="179" spans="2:90" x14ac:dyDescent="0.25">
      <c r="B179">
        <f t="shared" ca="1" si="108"/>
        <v>396</v>
      </c>
      <c r="C179">
        <f t="shared" ca="1" si="109"/>
        <v>24</v>
      </c>
      <c r="D179">
        <f t="shared" ca="1" si="110"/>
        <v>7.9894209834226737E-2</v>
      </c>
      <c r="F179" s="1">
        <f t="shared" ca="1" si="111"/>
        <v>8</v>
      </c>
      <c r="G179" s="1">
        <f t="shared" ca="1" si="112"/>
        <v>13</v>
      </c>
      <c r="H179" s="1">
        <f t="shared" ca="1" si="113"/>
        <v>13</v>
      </c>
      <c r="I179" s="1"/>
      <c r="J179" s="1">
        <f t="shared" ca="1" si="114"/>
        <v>32</v>
      </c>
      <c r="K179" s="1">
        <f t="shared" ca="1" si="115"/>
        <v>1.0359099902135058</v>
      </c>
      <c r="L179" s="1">
        <f t="shared" ca="1" si="116"/>
        <v>20</v>
      </c>
      <c r="M179" s="1"/>
      <c r="N179" s="1">
        <f t="shared" ca="1" si="117"/>
        <v>618</v>
      </c>
      <c r="O179" s="1">
        <f t="shared" ca="1" si="118"/>
        <v>41</v>
      </c>
      <c r="P179" s="1"/>
      <c r="Q179" s="1">
        <f t="shared" ca="1" si="119"/>
        <v>0.38968458624153079</v>
      </c>
      <c r="R179" s="1">
        <f t="shared" ca="1" si="120"/>
        <v>275</v>
      </c>
      <c r="S179" s="1"/>
      <c r="T179" s="1">
        <f t="shared" ca="1" si="121"/>
        <v>5.9995750932965629E-2</v>
      </c>
      <c r="U179" s="1">
        <f t="shared" ca="1" si="122"/>
        <v>401</v>
      </c>
      <c r="V179" s="1">
        <f t="shared" ca="1" si="123"/>
        <v>16</v>
      </c>
      <c r="W179" s="1"/>
      <c r="X179" s="1">
        <f t="shared" ca="1" si="124"/>
        <v>5.5567113610054415</v>
      </c>
      <c r="Y179" s="1">
        <f t="shared" ca="1" si="125"/>
        <v>5.8571488965365417E-2</v>
      </c>
      <c r="Z179" s="1">
        <f t="shared" ca="1" si="126"/>
        <v>481</v>
      </c>
      <c r="AB179" s="1">
        <f t="shared" ca="1" si="127"/>
        <v>0.27681178649331045</v>
      </c>
      <c r="AC179" s="1">
        <f t="shared" ca="1" si="128"/>
        <v>621</v>
      </c>
      <c r="AD179" s="1">
        <f t="shared" ca="1" si="129"/>
        <v>1.9930322110862818E-3</v>
      </c>
      <c r="AE179" s="1"/>
      <c r="AF179" s="1">
        <f t="shared" ca="1" si="130"/>
        <v>0.57116396139442027</v>
      </c>
      <c r="AG179" s="1">
        <f t="shared" ca="1" si="131"/>
        <v>916</v>
      </c>
      <c r="AH179" s="1">
        <f t="shared" ca="1" si="132"/>
        <v>1.0298019391523565E-3</v>
      </c>
      <c r="AJ179" s="1">
        <f t="shared" ca="1" si="133"/>
        <v>4.2820794404338502E-2</v>
      </c>
      <c r="AK179" s="1">
        <f t="shared" ca="1" si="134"/>
        <v>9.8315378554755199E-3</v>
      </c>
      <c r="AL179" s="1"/>
      <c r="AM179" s="1">
        <f t="shared" ca="1" si="135"/>
        <v>0.18916125247331983</v>
      </c>
      <c r="AN179" s="1">
        <f t="shared" ca="1" si="136"/>
        <v>67</v>
      </c>
      <c r="AO179" s="1">
        <f t="shared" ca="1" si="137"/>
        <v>0</v>
      </c>
      <c r="AQ179" s="1">
        <f t="shared" ca="1" si="138"/>
        <v>128</v>
      </c>
      <c r="AR179" s="1">
        <f t="shared" ca="1" si="139"/>
        <v>0</v>
      </c>
      <c r="AS179" s="1">
        <f t="shared" ca="1" si="140"/>
        <v>7</v>
      </c>
      <c r="AU179" s="1">
        <f t="shared" ca="1" si="141"/>
        <v>337</v>
      </c>
      <c r="AV179" s="1">
        <f t="shared" ca="1" si="142"/>
        <v>4</v>
      </c>
      <c r="AW179" s="1">
        <f t="shared" ca="1" si="143"/>
        <v>0.16624684986853774</v>
      </c>
      <c r="AY179" s="1">
        <f t="shared" ca="1" si="144"/>
        <v>1.6506823730078652</v>
      </c>
      <c r="AZ179" s="1">
        <f t="shared" ca="1" si="145"/>
        <v>337</v>
      </c>
      <c r="BA179" s="1">
        <f t="shared" ca="1" si="146"/>
        <v>8.4045317423169733E-3</v>
      </c>
      <c r="BV179" s="1">
        <f t="shared" ca="1" si="147"/>
        <v>0.24667080535280836</v>
      </c>
      <c r="BW179" s="1">
        <f t="shared" ca="1" si="148"/>
        <v>399</v>
      </c>
      <c r="BX179" s="1">
        <f t="shared" ca="1" si="149"/>
        <v>5.0270930724115471E-3</v>
      </c>
      <c r="BY179" s="1">
        <f t="shared" ca="1" si="150"/>
        <v>8.3825861513756539E-2</v>
      </c>
      <c r="BZ179" s="1">
        <f t="shared" ca="1" si="151"/>
        <v>0.4925290883891752</v>
      </c>
      <c r="CB179" s="1">
        <f t="shared" ca="1" si="152"/>
        <v>173</v>
      </c>
      <c r="CC179" s="1">
        <f t="shared" ca="1" si="153"/>
        <v>6</v>
      </c>
      <c r="CD179" s="1">
        <f t="shared" ca="1" si="154"/>
        <v>6.1423720268833949E-2</v>
      </c>
      <c r="CE179" s="1">
        <f t="shared" ca="1" si="161"/>
        <v>0.94824771071576341</v>
      </c>
      <c r="CF179" s="1">
        <f t="shared" ca="1" si="161"/>
        <v>0.94502883711426744</v>
      </c>
      <c r="CH179" s="7">
        <f t="shared" ca="1" si="156"/>
        <v>0.55102686799761236</v>
      </c>
      <c r="CI179" s="7">
        <f t="shared" ca="1" si="157"/>
        <v>0.29652214453906833</v>
      </c>
      <c r="CJ179" s="7">
        <f t="shared" ca="1" si="158"/>
        <v>451</v>
      </c>
      <c r="CK179" s="7">
        <f t="shared" ca="1" si="159"/>
        <v>8.8078019694587048E-3</v>
      </c>
      <c r="CL179" s="7">
        <f t="shared" ca="1" si="160"/>
        <v>0</v>
      </c>
    </row>
    <row r="180" spans="2:90" x14ac:dyDescent="0.25">
      <c r="B180">
        <f t="shared" ca="1" si="108"/>
        <v>904</v>
      </c>
      <c r="C180">
        <f t="shared" ca="1" si="109"/>
        <v>39</v>
      </c>
      <c r="D180">
        <f t="shared" ca="1" si="110"/>
        <v>5.0118126578672186E-2</v>
      </c>
      <c r="F180" s="1">
        <f t="shared" ca="1" si="111"/>
        <v>50</v>
      </c>
      <c r="G180" s="1">
        <f t="shared" ca="1" si="112"/>
        <v>17</v>
      </c>
      <c r="H180" s="1">
        <f t="shared" ca="1" si="113"/>
        <v>10</v>
      </c>
      <c r="I180" s="1"/>
      <c r="J180" s="1">
        <f t="shared" ca="1" si="114"/>
        <v>15</v>
      </c>
      <c r="K180" s="1">
        <f t="shared" ca="1" si="115"/>
        <v>2.1150268361651712</v>
      </c>
      <c r="L180" s="1">
        <f t="shared" ca="1" si="116"/>
        <v>33</v>
      </c>
      <c r="M180" s="1"/>
      <c r="N180" s="1">
        <f t="shared" ca="1" si="117"/>
        <v>501</v>
      </c>
      <c r="O180" s="1">
        <f t="shared" ca="1" si="118"/>
        <v>11</v>
      </c>
      <c r="P180" s="1"/>
      <c r="Q180" s="1">
        <f t="shared" ca="1" si="119"/>
        <v>1.7626258002001161</v>
      </c>
      <c r="R180" s="1">
        <f t="shared" ca="1" si="120"/>
        <v>507</v>
      </c>
      <c r="S180" s="1"/>
      <c r="T180" s="1">
        <f t="shared" ca="1" si="121"/>
        <v>5.675690749295003E-2</v>
      </c>
      <c r="U180" s="1">
        <f t="shared" ca="1" si="122"/>
        <v>65</v>
      </c>
      <c r="V180" s="1">
        <f t="shared" ca="1" si="123"/>
        <v>24</v>
      </c>
      <c r="W180" s="1"/>
      <c r="X180" s="1">
        <f t="shared" ca="1" si="124"/>
        <v>5.0911999508672396</v>
      </c>
      <c r="Y180" s="1">
        <f t="shared" ca="1" si="125"/>
        <v>0.94712791382111805</v>
      </c>
      <c r="Z180" s="1">
        <f t="shared" ca="1" si="126"/>
        <v>1701</v>
      </c>
      <c r="AB180" s="1">
        <f t="shared" ca="1" si="127"/>
        <v>0.40825263807704437</v>
      </c>
      <c r="AC180" s="1">
        <f t="shared" ca="1" si="128"/>
        <v>371</v>
      </c>
      <c r="AD180" s="1">
        <f t="shared" ca="1" si="129"/>
        <v>6.9100456920443429E-3</v>
      </c>
      <c r="AE180" s="1"/>
      <c r="AF180" s="1">
        <f t="shared" ca="1" si="130"/>
        <v>0.84396747118748328</v>
      </c>
      <c r="AG180" s="1">
        <f t="shared" ca="1" si="131"/>
        <v>748</v>
      </c>
      <c r="AH180" s="1">
        <f t="shared" ca="1" si="132"/>
        <v>6.2820579668492144E-4</v>
      </c>
      <c r="AJ180" s="1">
        <f t="shared" ca="1" si="133"/>
        <v>0.81624043172139971</v>
      </c>
      <c r="AK180" s="1">
        <f t="shared" ca="1" si="134"/>
        <v>8.0882294654950754E-3</v>
      </c>
      <c r="AL180" s="1"/>
      <c r="AM180" s="1">
        <f t="shared" ca="1" si="135"/>
        <v>9.1113440961517397E-2</v>
      </c>
      <c r="AN180" s="1">
        <f t="shared" ca="1" si="136"/>
        <v>49</v>
      </c>
      <c r="AO180" s="1">
        <f t="shared" ca="1" si="137"/>
        <v>1</v>
      </c>
      <c r="AQ180" s="1">
        <f t="shared" ca="1" si="138"/>
        <v>125</v>
      </c>
      <c r="AR180" s="1">
        <f t="shared" ca="1" si="139"/>
        <v>7</v>
      </c>
      <c r="AS180" s="1">
        <f t="shared" ca="1" si="140"/>
        <v>31</v>
      </c>
      <c r="AU180" s="1">
        <f t="shared" ca="1" si="141"/>
        <v>342</v>
      </c>
      <c r="AV180" s="1">
        <f t="shared" ca="1" si="142"/>
        <v>5</v>
      </c>
      <c r="AW180" s="1">
        <f t="shared" ca="1" si="143"/>
        <v>0.10372967334207354</v>
      </c>
      <c r="AY180" s="1">
        <f t="shared" ca="1" si="144"/>
        <v>1.5965043003660504</v>
      </c>
      <c r="AZ180" s="1">
        <f t="shared" ca="1" si="145"/>
        <v>260</v>
      </c>
      <c r="BA180" s="1">
        <f t="shared" ca="1" si="146"/>
        <v>6.6955295553282196E-3</v>
      </c>
      <c r="BV180" s="1">
        <f t="shared" ca="1" si="147"/>
        <v>8.9290755362846502E-2</v>
      </c>
      <c r="BW180" s="1">
        <f t="shared" ca="1" si="148"/>
        <v>352</v>
      </c>
      <c r="BX180" s="1">
        <f t="shared" ca="1" si="149"/>
        <v>8.608378076634308E-5</v>
      </c>
      <c r="BY180" s="1">
        <f t="shared" ca="1" si="150"/>
        <v>5.4393784147966369E-2</v>
      </c>
      <c r="BZ180" s="1">
        <f t="shared" ca="1" si="151"/>
        <v>0.2345486102391704</v>
      </c>
      <c r="CB180" s="1">
        <f t="shared" ca="1" si="152"/>
        <v>438</v>
      </c>
      <c r="CC180" s="1">
        <f t="shared" ca="1" si="153"/>
        <v>13</v>
      </c>
      <c r="CD180" s="1">
        <f t="shared" ca="1" si="154"/>
        <v>9.9562696975609419E-2</v>
      </c>
      <c r="CE180" s="1">
        <f t="shared" ca="1" si="161"/>
        <v>0.62986813615408221</v>
      </c>
      <c r="CF180" s="1">
        <f t="shared" ca="1" si="161"/>
        <v>0.9267883737394883</v>
      </c>
      <c r="CH180" s="7">
        <f t="shared" ca="1" si="156"/>
        <v>0.49028736961916891</v>
      </c>
      <c r="CI180" s="7">
        <f t="shared" ca="1" si="157"/>
        <v>0.9660815297135229</v>
      </c>
      <c r="CJ180" s="7">
        <f t="shared" ca="1" si="158"/>
        <v>462</v>
      </c>
      <c r="CK180" s="7">
        <f t="shared" ca="1" si="159"/>
        <v>4.7883311284213176E-4</v>
      </c>
      <c r="CL180" s="7">
        <f t="shared" ca="1" si="160"/>
        <v>1</v>
      </c>
    </row>
    <row r="181" spans="2:90" x14ac:dyDescent="0.25">
      <c r="B181">
        <f t="shared" ca="1" si="108"/>
        <v>490</v>
      </c>
      <c r="C181">
        <f t="shared" ca="1" si="109"/>
        <v>32</v>
      </c>
      <c r="D181">
        <f t="shared" ca="1" si="110"/>
        <v>0.19210675682348466</v>
      </c>
      <c r="F181" s="1">
        <f t="shared" ca="1" si="111"/>
        <v>27</v>
      </c>
      <c r="G181" s="1">
        <f t="shared" ca="1" si="112"/>
        <v>29</v>
      </c>
      <c r="H181" s="1">
        <f t="shared" ca="1" si="113"/>
        <v>7</v>
      </c>
      <c r="I181" s="1"/>
      <c r="J181" s="1">
        <f t="shared" ca="1" si="114"/>
        <v>28</v>
      </c>
      <c r="K181" s="1">
        <f t="shared" ca="1" si="115"/>
        <v>1.622658025641089</v>
      </c>
      <c r="L181" s="1">
        <f t="shared" ca="1" si="116"/>
        <v>31</v>
      </c>
      <c r="M181" s="1"/>
      <c r="N181" s="1">
        <f t="shared" ca="1" si="117"/>
        <v>207</v>
      </c>
      <c r="O181" s="1">
        <f t="shared" ca="1" si="118"/>
        <v>20</v>
      </c>
      <c r="P181" s="1"/>
      <c r="Q181" s="1">
        <f t="shared" ca="1" si="119"/>
        <v>0.3240482870686221</v>
      </c>
      <c r="R181" s="1">
        <f t="shared" ca="1" si="120"/>
        <v>543</v>
      </c>
      <c r="S181" s="1"/>
      <c r="T181" s="1">
        <f t="shared" ca="1" si="121"/>
        <v>0.10568322340437647</v>
      </c>
      <c r="U181" s="1">
        <f t="shared" ca="1" si="122"/>
        <v>310</v>
      </c>
      <c r="V181" s="1">
        <f t="shared" ca="1" si="123"/>
        <v>10</v>
      </c>
      <c r="W181" s="1"/>
      <c r="X181" s="1">
        <f t="shared" ca="1" si="124"/>
        <v>9.5752492598466965</v>
      </c>
      <c r="Y181" s="1">
        <f t="shared" ca="1" si="125"/>
        <v>0.19857324725438605</v>
      </c>
      <c r="Z181" s="1">
        <f t="shared" ca="1" si="126"/>
        <v>1251</v>
      </c>
      <c r="AB181" s="1">
        <f t="shared" ca="1" si="127"/>
        <v>0.51110104806732914</v>
      </c>
      <c r="AC181" s="1">
        <f t="shared" ca="1" si="128"/>
        <v>327</v>
      </c>
      <c r="AD181" s="1">
        <f t="shared" ca="1" si="129"/>
        <v>1.3001315570942695E-3</v>
      </c>
      <c r="AE181" s="1"/>
      <c r="AF181" s="1">
        <f t="shared" ca="1" si="130"/>
        <v>0.28373635868840569</v>
      </c>
      <c r="AG181" s="1">
        <f t="shared" ca="1" si="131"/>
        <v>938</v>
      </c>
      <c r="AH181" s="1">
        <f t="shared" ca="1" si="132"/>
        <v>4.0742800132185647E-3</v>
      </c>
      <c r="AJ181" s="1">
        <f t="shared" ca="1" si="133"/>
        <v>0.93400731675095916</v>
      </c>
      <c r="AK181" s="1">
        <f t="shared" ca="1" si="134"/>
        <v>2.8107725088031063E-4</v>
      </c>
      <c r="AL181" s="1"/>
      <c r="AM181" s="1">
        <f t="shared" ca="1" si="135"/>
        <v>6.1708109635956791E-2</v>
      </c>
      <c r="AN181" s="1">
        <f t="shared" ca="1" si="136"/>
        <v>49</v>
      </c>
      <c r="AO181" s="1">
        <f t="shared" ca="1" si="137"/>
        <v>0</v>
      </c>
      <c r="AQ181" s="1">
        <f t="shared" ca="1" si="138"/>
        <v>147</v>
      </c>
      <c r="AR181" s="1">
        <f t="shared" ca="1" si="139"/>
        <v>10</v>
      </c>
      <c r="AS181" s="1">
        <f t="shared" ca="1" si="140"/>
        <v>66</v>
      </c>
      <c r="AU181" s="1">
        <f t="shared" ca="1" si="141"/>
        <v>304</v>
      </c>
      <c r="AV181" s="1">
        <f t="shared" ca="1" si="142"/>
        <v>3</v>
      </c>
      <c r="AW181" s="1">
        <f t="shared" ca="1" si="143"/>
        <v>4.3881473117938177E-2</v>
      </c>
      <c r="AY181" s="1">
        <f t="shared" ca="1" si="144"/>
        <v>1.4095801742952325</v>
      </c>
      <c r="AZ181" s="1">
        <f t="shared" ca="1" si="145"/>
        <v>121</v>
      </c>
      <c r="BA181" s="1">
        <f t="shared" ca="1" si="146"/>
        <v>8.1236020184902221E-3</v>
      </c>
      <c r="BV181" s="1">
        <f t="shared" ca="1" si="147"/>
        <v>0.61484398695881026</v>
      </c>
      <c r="BW181" s="1">
        <f t="shared" ca="1" si="148"/>
        <v>596</v>
      </c>
      <c r="BX181" s="1">
        <f t="shared" ca="1" si="149"/>
        <v>2.8652715627524505E-3</v>
      </c>
      <c r="BY181" s="1">
        <f t="shared" ca="1" si="150"/>
        <v>1.3776199814215082E-2</v>
      </c>
      <c r="BZ181" s="1">
        <f t="shared" ca="1" si="151"/>
        <v>3.1837913417832264E-2</v>
      </c>
      <c r="CB181" s="1">
        <f t="shared" ca="1" si="152"/>
        <v>136</v>
      </c>
      <c r="CC181" s="1">
        <f t="shared" ca="1" si="153"/>
        <v>11</v>
      </c>
      <c r="CD181" s="1">
        <f t="shared" ca="1" si="154"/>
        <v>0.24130004775274269</v>
      </c>
      <c r="CE181" s="1">
        <f t="shared" ca="1" si="161"/>
        <v>0.64578282942419962</v>
      </c>
      <c r="CF181" s="1">
        <f t="shared" ca="1" si="161"/>
        <v>0.80151467637354912</v>
      </c>
      <c r="CH181" s="7">
        <f t="shared" ca="1" si="156"/>
        <v>0.69163981677973463</v>
      </c>
      <c r="CI181" s="7">
        <f t="shared" ca="1" si="157"/>
        <v>0.91563358351118884</v>
      </c>
      <c r="CJ181" s="7">
        <f t="shared" ca="1" si="158"/>
        <v>216</v>
      </c>
      <c r="CK181" s="7">
        <f t="shared" ca="1" si="159"/>
        <v>6.1089528806751595E-3</v>
      </c>
      <c r="CL181" s="7">
        <f t="shared" ca="1" si="160"/>
        <v>0</v>
      </c>
    </row>
    <row r="182" spans="2:90" x14ac:dyDescent="0.25">
      <c r="B182">
        <f t="shared" ca="1" si="108"/>
        <v>19</v>
      </c>
      <c r="C182">
        <f t="shared" ca="1" si="109"/>
        <v>16</v>
      </c>
      <c r="D182">
        <f t="shared" ca="1" si="110"/>
        <v>0.12548043212136142</v>
      </c>
      <c r="F182" s="1">
        <f t="shared" ca="1" si="111"/>
        <v>9</v>
      </c>
      <c r="G182" s="1">
        <f t="shared" ca="1" si="112"/>
        <v>8</v>
      </c>
      <c r="H182" s="1">
        <f t="shared" ca="1" si="113"/>
        <v>13</v>
      </c>
      <c r="I182" s="1"/>
      <c r="J182" s="1">
        <f t="shared" ca="1" si="114"/>
        <v>27</v>
      </c>
      <c r="K182" s="1">
        <f t="shared" ca="1" si="115"/>
        <v>1.7997017599200624</v>
      </c>
      <c r="L182" s="1">
        <f t="shared" ca="1" si="116"/>
        <v>22</v>
      </c>
      <c r="M182" s="1"/>
      <c r="N182" s="1">
        <f t="shared" ca="1" si="117"/>
        <v>316</v>
      </c>
      <c r="O182" s="1">
        <f t="shared" ca="1" si="118"/>
        <v>40</v>
      </c>
      <c r="P182" s="1"/>
      <c r="Q182" s="1">
        <f t="shared" ca="1" si="119"/>
        <v>2.287507153353455</v>
      </c>
      <c r="R182" s="1">
        <f t="shared" ca="1" si="120"/>
        <v>1103</v>
      </c>
      <c r="S182" s="1"/>
      <c r="T182" s="1">
        <f t="shared" ca="1" si="121"/>
        <v>9.8986010757843287E-2</v>
      </c>
      <c r="U182" s="1">
        <f t="shared" ca="1" si="122"/>
        <v>222</v>
      </c>
      <c r="V182" s="1">
        <f t="shared" ca="1" si="123"/>
        <v>45</v>
      </c>
      <c r="W182" s="1"/>
      <c r="X182" s="1">
        <f t="shared" ca="1" si="124"/>
        <v>3.1122082820564594</v>
      </c>
      <c r="Y182" s="1">
        <f t="shared" ca="1" si="125"/>
        <v>0.64501866070660197</v>
      </c>
      <c r="Z182" s="1">
        <f t="shared" ca="1" si="126"/>
        <v>469</v>
      </c>
      <c r="AB182" s="1">
        <f t="shared" ca="1" si="127"/>
        <v>0.19374911085191746</v>
      </c>
      <c r="AC182" s="1">
        <f t="shared" ca="1" si="128"/>
        <v>744</v>
      </c>
      <c r="AD182" s="1">
        <f t="shared" ca="1" si="129"/>
        <v>2.6105983944986438E-3</v>
      </c>
      <c r="AE182" s="1"/>
      <c r="AF182" s="1">
        <f t="shared" ca="1" si="130"/>
        <v>0.14201140271422236</v>
      </c>
      <c r="AG182" s="1">
        <f t="shared" ca="1" si="131"/>
        <v>540</v>
      </c>
      <c r="AH182" s="1">
        <f t="shared" ca="1" si="132"/>
        <v>6.2401253687347261E-4</v>
      </c>
      <c r="AJ182" s="1">
        <f t="shared" ca="1" si="133"/>
        <v>0.13380554907791331</v>
      </c>
      <c r="AK182" s="1">
        <f t="shared" ca="1" si="134"/>
        <v>6.7450572562972758E-4</v>
      </c>
      <c r="AL182" s="1"/>
      <c r="AM182" s="1">
        <f t="shared" ca="1" si="135"/>
        <v>0.17149073976056589</v>
      </c>
      <c r="AN182" s="1">
        <f t="shared" ca="1" si="136"/>
        <v>29</v>
      </c>
      <c r="AO182" s="1">
        <f t="shared" ca="1" si="137"/>
        <v>18</v>
      </c>
      <c r="AQ182" s="1">
        <f t="shared" ca="1" si="138"/>
        <v>161</v>
      </c>
      <c r="AR182" s="1">
        <f t="shared" ca="1" si="139"/>
        <v>5</v>
      </c>
      <c r="AS182" s="1">
        <f t="shared" ca="1" si="140"/>
        <v>49</v>
      </c>
      <c r="AU182" s="1">
        <f t="shared" ca="1" si="141"/>
        <v>118</v>
      </c>
      <c r="AV182" s="1">
        <f t="shared" ca="1" si="142"/>
        <v>5</v>
      </c>
      <c r="AW182" s="1">
        <f t="shared" ca="1" si="143"/>
        <v>5.9146463189900543E-2</v>
      </c>
      <c r="AY182" s="1">
        <f t="shared" ca="1" si="144"/>
        <v>1.5774057390655154</v>
      </c>
      <c r="AZ182" s="1">
        <f t="shared" ca="1" si="145"/>
        <v>108</v>
      </c>
      <c r="BA182" s="1">
        <f t="shared" ca="1" si="146"/>
        <v>9.2571588455717703E-3</v>
      </c>
      <c r="BV182" s="1">
        <f t="shared" ca="1" si="147"/>
        <v>0.83049777626027266</v>
      </c>
      <c r="BW182" s="1">
        <f t="shared" ca="1" si="148"/>
        <v>463</v>
      </c>
      <c r="BX182" s="1">
        <f t="shared" ca="1" si="149"/>
        <v>5.424490445405274E-3</v>
      </c>
      <c r="BY182" s="1">
        <f t="shared" ca="1" si="150"/>
        <v>7.0822234705855927E-2</v>
      </c>
      <c r="BZ182" s="1">
        <f t="shared" ca="1" si="151"/>
        <v>1.6396463106387538E-2</v>
      </c>
      <c r="CB182" s="1">
        <f t="shared" ca="1" si="152"/>
        <v>500</v>
      </c>
      <c r="CC182" s="1">
        <f t="shared" ca="1" si="153"/>
        <v>15</v>
      </c>
      <c r="CD182" s="1">
        <f t="shared" ca="1" si="154"/>
        <v>0.22137238486063984</v>
      </c>
      <c r="CE182" s="1">
        <f t="shared" ca="1" si="161"/>
        <v>0.89684266245043953</v>
      </c>
      <c r="CF182" s="1">
        <f t="shared" ca="1" si="161"/>
        <v>0.56934720166630615</v>
      </c>
      <c r="CH182" s="7">
        <f t="shared" ca="1" si="156"/>
        <v>0.14304205553000776</v>
      </c>
      <c r="CI182" s="7">
        <f t="shared" ca="1" si="157"/>
        <v>0.34306276382642859</v>
      </c>
      <c r="CJ182" s="7">
        <f t="shared" ca="1" si="158"/>
        <v>668</v>
      </c>
      <c r="CK182" s="7">
        <f t="shared" ca="1" si="159"/>
        <v>6.7970880123300204E-3</v>
      </c>
      <c r="CL182" s="7">
        <f t="shared" ca="1" si="160"/>
        <v>1</v>
      </c>
    </row>
    <row r="183" spans="2:90" x14ac:dyDescent="0.25">
      <c r="B183">
        <f t="shared" ca="1" si="108"/>
        <v>227</v>
      </c>
      <c r="C183">
        <f t="shared" ca="1" si="109"/>
        <v>29</v>
      </c>
      <c r="D183">
        <f t="shared" ca="1" si="110"/>
        <v>0.13677396798917602</v>
      </c>
      <c r="F183" s="1">
        <f t="shared" ca="1" si="111"/>
        <v>36</v>
      </c>
      <c r="G183" s="1">
        <f t="shared" ca="1" si="112"/>
        <v>20</v>
      </c>
      <c r="H183" s="1">
        <f t="shared" ca="1" si="113"/>
        <v>3</v>
      </c>
      <c r="I183" s="1"/>
      <c r="J183" s="1">
        <f t="shared" ca="1" si="114"/>
        <v>8</v>
      </c>
      <c r="K183" s="1">
        <f t="shared" ca="1" si="115"/>
        <v>1.3168281793611383</v>
      </c>
      <c r="L183" s="1">
        <f t="shared" ca="1" si="116"/>
        <v>3</v>
      </c>
      <c r="M183" s="1"/>
      <c r="N183" s="1">
        <f t="shared" ca="1" si="117"/>
        <v>845</v>
      </c>
      <c r="O183" s="1">
        <f t="shared" ca="1" si="118"/>
        <v>47</v>
      </c>
      <c r="P183" s="1"/>
      <c r="Q183" s="1">
        <f t="shared" ca="1" si="119"/>
        <v>1.0539983148065897</v>
      </c>
      <c r="R183" s="1">
        <f t="shared" ca="1" si="120"/>
        <v>1143</v>
      </c>
      <c r="S183" s="1"/>
      <c r="T183" s="1">
        <f t="shared" ca="1" si="121"/>
        <v>3.5245274920265683E-2</v>
      </c>
      <c r="U183" s="1">
        <f t="shared" ca="1" si="122"/>
        <v>335</v>
      </c>
      <c r="V183" s="1">
        <f t="shared" ca="1" si="123"/>
        <v>34</v>
      </c>
      <c r="W183" s="1"/>
      <c r="X183" s="1">
        <f t="shared" ca="1" si="124"/>
        <v>9.6987875802768908</v>
      </c>
      <c r="Y183" s="1">
        <f t="shared" ca="1" si="125"/>
        <v>0.59300955651087628</v>
      </c>
      <c r="Z183" s="1">
        <f t="shared" ca="1" si="126"/>
        <v>1410</v>
      </c>
      <c r="AB183" s="1">
        <f t="shared" ca="1" si="127"/>
        <v>0.78204232095668769</v>
      </c>
      <c r="AC183" s="1">
        <f t="shared" ca="1" si="128"/>
        <v>659</v>
      </c>
      <c r="AD183" s="1">
        <f t="shared" ca="1" si="129"/>
        <v>2.129226166953874E-4</v>
      </c>
      <c r="AE183" s="1"/>
      <c r="AF183" s="1">
        <f t="shared" ca="1" si="130"/>
        <v>0.13702831294848475</v>
      </c>
      <c r="AG183" s="1">
        <f t="shared" ca="1" si="131"/>
        <v>652</v>
      </c>
      <c r="AH183" s="1">
        <f t="shared" ca="1" si="132"/>
        <v>5.0954540805623278E-3</v>
      </c>
      <c r="AJ183" s="1">
        <f t="shared" ca="1" si="133"/>
        <v>0.70396359416114451</v>
      </c>
      <c r="AK183" s="1">
        <f t="shared" ca="1" si="134"/>
        <v>4.5783307644281989E-3</v>
      </c>
      <c r="AL183" s="1"/>
      <c r="AM183" s="1">
        <f t="shared" ca="1" si="135"/>
        <v>3.8836327777434308E-2</v>
      </c>
      <c r="AN183" s="1">
        <f t="shared" ca="1" si="136"/>
        <v>32</v>
      </c>
      <c r="AO183" s="1">
        <f t="shared" ca="1" si="137"/>
        <v>15</v>
      </c>
      <c r="AQ183" s="1">
        <f t="shared" ca="1" si="138"/>
        <v>49</v>
      </c>
      <c r="AR183" s="1">
        <f t="shared" ca="1" si="139"/>
        <v>5</v>
      </c>
      <c r="AS183" s="1">
        <f t="shared" ca="1" si="140"/>
        <v>55</v>
      </c>
      <c r="AU183" s="1">
        <f t="shared" ca="1" si="141"/>
        <v>251</v>
      </c>
      <c r="AV183" s="1">
        <f t="shared" ca="1" si="142"/>
        <v>7</v>
      </c>
      <c r="AW183" s="1">
        <f t="shared" ca="1" si="143"/>
        <v>4.9209441079144177E-2</v>
      </c>
      <c r="AY183" s="1">
        <f t="shared" ca="1" si="144"/>
        <v>1.78168389333457</v>
      </c>
      <c r="AZ183" s="1">
        <f t="shared" ca="1" si="145"/>
        <v>398</v>
      </c>
      <c r="BA183" s="1">
        <f t="shared" ca="1" si="146"/>
        <v>6.31802567247184E-3</v>
      </c>
      <c r="BV183" s="1">
        <f t="shared" ca="1" si="147"/>
        <v>0.38753803895972661</v>
      </c>
      <c r="BW183" s="1">
        <f t="shared" ca="1" si="148"/>
        <v>725</v>
      </c>
      <c r="BX183" s="1">
        <f t="shared" ca="1" si="149"/>
        <v>1.8465346385501155E-3</v>
      </c>
      <c r="BY183" s="1">
        <f t="shared" ca="1" si="150"/>
        <v>3.2169369922235916E-2</v>
      </c>
      <c r="BZ183" s="1">
        <f t="shared" ca="1" si="151"/>
        <v>0.90924293617550989</v>
      </c>
      <c r="CB183" s="1">
        <f t="shared" ca="1" si="152"/>
        <v>469</v>
      </c>
      <c r="CC183" s="1">
        <f t="shared" ca="1" si="153"/>
        <v>14</v>
      </c>
      <c r="CD183" s="1">
        <f t="shared" ca="1" si="154"/>
        <v>9.4764985782482325E-2</v>
      </c>
      <c r="CE183" s="1">
        <f t="shared" ca="1" si="161"/>
        <v>0.55872904775099674</v>
      </c>
      <c r="CF183" s="1">
        <f t="shared" ca="1" si="161"/>
        <v>0.68542279928677985</v>
      </c>
      <c r="CH183" s="7">
        <f t="shared" ca="1" si="156"/>
        <v>0.16707827388977051</v>
      </c>
      <c r="CI183" s="7">
        <f t="shared" ca="1" si="157"/>
        <v>0.69290152855133258</v>
      </c>
      <c r="CJ183" s="7">
        <f t="shared" ca="1" si="158"/>
        <v>1965</v>
      </c>
      <c r="CK183" s="7">
        <f t="shared" ca="1" si="159"/>
        <v>9.6133935234240624E-3</v>
      </c>
      <c r="CL183" s="7">
        <f t="shared" ca="1" si="160"/>
        <v>0</v>
      </c>
    </row>
    <row r="184" spans="2:90" x14ac:dyDescent="0.25">
      <c r="B184">
        <f t="shared" ca="1" si="108"/>
        <v>995</v>
      </c>
      <c r="C184">
        <f t="shared" ca="1" si="109"/>
        <v>39</v>
      </c>
      <c r="D184">
        <f t="shared" ca="1" si="110"/>
        <v>0.18091393489332161</v>
      </c>
      <c r="F184" s="1">
        <f t="shared" ca="1" si="111"/>
        <v>11</v>
      </c>
      <c r="G184" s="1">
        <f t="shared" ca="1" si="112"/>
        <v>15</v>
      </c>
      <c r="H184" s="1">
        <f t="shared" ca="1" si="113"/>
        <v>8</v>
      </c>
      <c r="I184" s="1"/>
      <c r="J184" s="1">
        <f t="shared" ca="1" si="114"/>
        <v>28</v>
      </c>
      <c r="K184" s="1">
        <f t="shared" ca="1" si="115"/>
        <v>1.2335054559332963</v>
      </c>
      <c r="L184" s="1">
        <f t="shared" ca="1" si="116"/>
        <v>27</v>
      </c>
      <c r="M184" s="1"/>
      <c r="N184" s="1">
        <f t="shared" ca="1" si="117"/>
        <v>246</v>
      </c>
      <c r="O184" s="1">
        <f t="shared" ca="1" si="118"/>
        <v>43</v>
      </c>
      <c r="P184" s="1"/>
      <c r="Q184" s="1">
        <f t="shared" ca="1" si="119"/>
        <v>2.0424533380187535</v>
      </c>
      <c r="R184" s="1">
        <f t="shared" ca="1" si="120"/>
        <v>1112</v>
      </c>
      <c r="S184" s="1"/>
      <c r="T184" s="1">
        <f t="shared" ca="1" si="121"/>
        <v>6.7661444564327919E-2</v>
      </c>
      <c r="U184" s="1">
        <f t="shared" ca="1" si="122"/>
        <v>79</v>
      </c>
      <c r="V184" s="1">
        <f t="shared" ca="1" si="123"/>
        <v>41</v>
      </c>
      <c r="W184" s="1"/>
      <c r="X184" s="1">
        <f t="shared" ca="1" si="124"/>
        <v>8.8558248428372064</v>
      </c>
      <c r="Y184" s="1">
        <f t="shared" ca="1" si="125"/>
        <v>0.49166756687524032</v>
      </c>
      <c r="Z184" s="1">
        <f t="shared" ca="1" si="126"/>
        <v>465</v>
      </c>
      <c r="AB184" s="1">
        <f t="shared" ca="1" si="127"/>
        <v>0.67982520899605214</v>
      </c>
      <c r="AC184" s="1">
        <f t="shared" ca="1" si="128"/>
        <v>441</v>
      </c>
      <c r="AD184" s="1">
        <f t="shared" ca="1" si="129"/>
        <v>2.9137769053668209E-3</v>
      </c>
      <c r="AE184" s="1"/>
      <c r="AF184" s="1">
        <f t="shared" ca="1" si="130"/>
        <v>0.66066071365949131</v>
      </c>
      <c r="AG184" s="1">
        <f t="shared" ca="1" si="131"/>
        <v>812</v>
      </c>
      <c r="AH184" s="1">
        <f t="shared" ca="1" si="132"/>
        <v>7.3176110413188502E-4</v>
      </c>
      <c r="AJ184" s="1">
        <f t="shared" ca="1" si="133"/>
        <v>0.1558101113671776</v>
      </c>
      <c r="AK184" s="1">
        <f t="shared" ca="1" si="134"/>
        <v>9.4632051052991172E-3</v>
      </c>
      <c r="AL184" s="1"/>
      <c r="AM184" s="1">
        <f t="shared" ca="1" si="135"/>
        <v>5.1036819870750302E-2</v>
      </c>
      <c r="AN184" s="1">
        <f t="shared" ca="1" si="136"/>
        <v>68</v>
      </c>
      <c r="AO184" s="1">
        <f t="shared" ca="1" si="137"/>
        <v>10</v>
      </c>
      <c r="AQ184" s="1">
        <f t="shared" ca="1" si="138"/>
        <v>18</v>
      </c>
      <c r="AR184" s="1">
        <f t="shared" ca="1" si="139"/>
        <v>8</v>
      </c>
      <c r="AS184" s="1">
        <f t="shared" ca="1" si="140"/>
        <v>60</v>
      </c>
      <c r="AU184" s="1">
        <f t="shared" ca="1" si="141"/>
        <v>67</v>
      </c>
      <c r="AV184" s="1">
        <f t="shared" ca="1" si="142"/>
        <v>2</v>
      </c>
      <c r="AW184" s="1">
        <f t="shared" ca="1" si="143"/>
        <v>0.10463478038059076</v>
      </c>
      <c r="AY184" s="1">
        <f t="shared" ca="1" si="144"/>
        <v>1.2854684712284461</v>
      </c>
      <c r="AZ184" s="1">
        <f t="shared" ca="1" si="145"/>
        <v>393</v>
      </c>
      <c r="BA184" s="1">
        <f t="shared" ca="1" si="146"/>
        <v>8.5580311911525875E-3</v>
      </c>
      <c r="BV184" s="1">
        <f t="shared" ca="1" si="147"/>
        <v>0.31857076042366705</v>
      </c>
      <c r="BW184" s="1">
        <f t="shared" ca="1" si="148"/>
        <v>456</v>
      </c>
      <c r="BX184" s="1">
        <f t="shared" ca="1" si="149"/>
        <v>2.4677526646311155E-3</v>
      </c>
      <c r="BY184" s="1">
        <f t="shared" ca="1" si="150"/>
        <v>2.16466763710189E-2</v>
      </c>
      <c r="BZ184" s="1">
        <f t="shared" ca="1" si="151"/>
        <v>0.13802135953819084</v>
      </c>
      <c r="CB184" s="1">
        <f t="shared" ca="1" si="152"/>
        <v>397</v>
      </c>
      <c r="CC184" s="1">
        <f t="shared" ca="1" si="153"/>
        <v>6</v>
      </c>
      <c r="CD184" s="1">
        <f t="shared" ca="1" si="154"/>
        <v>6.8374647024968441E-2</v>
      </c>
      <c r="CE184" s="1">
        <f t="shared" ca="1" si="161"/>
        <v>0.636878309204298</v>
      </c>
      <c r="CF184" s="1">
        <f t="shared" ca="1" si="161"/>
        <v>0.57257129274888907</v>
      </c>
      <c r="CH184" s="7">
        <f t="shared" ca="1" si="156"/>
        <v>0.48133432160950274</v>
      </c>
      <c r="CI184" s="7">
        <f t="shared" ca="1" si="157"/>
        <v>2.1764079884784546E-2</v>
      </c>
      <c r="CJ184" s="7">
        <f t="shared" ca="1" si="158"/>
        <v>1162</v>
      </c>
      <c r="CK184" s="7">
        <f t="shared" ca="1" si="159"/>
        <v>3.640292780468026E-3</v>
      </c>
      <c r="CL184" s="7">
        <f t="shared" ca="1" si="160"/>
        <v>0</v>
      </c>
    </row>
    <row r="185" spans="2:90" x14ac:dyDescent="0.25">
      <c r="B185">
        <f t="shared" ca="1" si="108"/>
        <v>829</v>
      </c>
      <c r="C185">
        <f t="shared" ca="1" si="109"/>
        <v>6</v>
      </c>
      <c r="D185">
        <f t="shared" ca="1" si="110"/>
        <v>7.7295641690998632E-2</v>
      </c>
      <c r="F185" s="1">
        <f t="shared" ca="1" si="111"/>
        <v>42</v>
      </c>
      <c r="G185" s="1">
        <f t="shared" ca="1" si="112"/>
        <v>30</v>
      </c>
      <c r="H185" s="1">
        <f t="shared" ca="1" si="113"/>
        <v>12</v>
      </c>
      <c r="I185" s="1"/>
      <c r="J185" s="1">
        <f t="shared" ca="1" si="114"/>
        <v>31</v>
      </c>
      <c r="K185" s="1">
        <f t="shared" ca="1" si="115"/>
        <v>1.1572594810637278</v>
      </c>
      <c r="L185" s="1">
        <f t="shared" ca="1" si="116"/>
        <v>2</v>
      </c>
      <c r="M185" s="1"/>
      <c r="N185" s="1">
        <f t="shared" ca="1" si="117"/>
        <v>186</v>
      </c>
      <c r="O185" s="1">
        <f t="shared" ca="1" si="118"/>
        <v>20</v>
      </c>
      <c r="P185" s="1"/>
      <c r="Q185" s="1">
        <f t="shared" ca="1" si="119"/>
        <v>4.7257091887632034</v>
      </c>
      <c r="R185" s="1">
        <f t="shared" ca="1" si="120"/>
        <v>603</v>
      </c>
      <c r="S185" s="1"/>
      <c r="T185" s="1">
        <f t="shared" ca="1" si="121"/>
        <v>8.0681418722934203E-2</v>
      </c>
      <c r="U185" s="1">
        <f t="shared" ca="1" si="122"/>
        <v>440</v>
      </c>
      <c r="V185" s="1">
        <f t="shared" ca="1" si="123"/>
        <v>38</v>
      </c>
      <c r="W185" s="1"/>
      <c r="X185" s="1">
        <f t="shared" ca="1" si="124"/>
        <v>3.7537349492365659</v>
      </c>
      <c r="Y185" s="1">
        <f t="shared" ca="1" si="125"/>
        <v>2.8988933869381412E-2</v>
      </c>
      <c r="Z185" s="1">
        <f t="shared" ca="1" si="126"/>
        <v>363</v>
      </c>
      <c r="AB185" s="1">
        <f t="shared" ca="1" si="127"/>
        <v>3.0296862893218507E-2</v>
      </c>
      <c r="AC185" s="1">
        <f t="shared" ca="1" si="128"/>
        <v>903</v>
      </c>
      <c r="AD185" s="1">
        <f t="shared" ca="1" si="129"/>
        <v>6.4089664955583204E-3</v>
      </c>
      <c r="AE185" s="1"/>
      <c r="AF185" s="1">
        <f t="shared" ca="1" si="130"/>
        <v>0.3403414876053672</v>
      </c>
      <c r="AG185" s="1">
        <f t="shared" ca="1" si="131"/>
        <v>631</v>
      </c>
      <c r="AH185" s="1">
        <f t="shared" ca="1" si="132"/>
        <v>8.0147557434224123E-3</v>
      </c>
      <c r="AJ185" s="1">
        <f t="shared" ca="1" si="133"/>
        <v>0.83111052991580658</v>
      </c>
      <c r="AK185" s="1">
        <f t="shared" ca="1" si="134"/>
        <v>2.5763320468348118E-3</v>
      </c>
      <c r="AL185" s="1"/>
      <c r="AM185" s="1">
        <f t="shared" ca="1" si="135"/>
        <v>0.10659586708061579</v>
      </c>
      <c r="AN185" s="1">
        <f t="shared" ca="1" si="136"/>
        <v>18</v>
      </c>
      <c r="AO185" s="1">
        <f t="shared" ca="1" si="137"/>
        <v>2</v>
      </c>
      <c r="AQ185" s="1">
        <f t="shared" ca="1" si="138"/>
        <v>40</v>
      </c>
      <c r="AR185" s="1">
        <f t="shared" ca="1" si="139"/>
        <v>10</v>
      </c>
      <c r="AS185" s="1">
        <f t="shared" ca="1" si="140"/>
        <v>80</v>
      </c>
      <c r="AU185" s="1">
        <f t="shared" ca="1" si="141"/>
        <v>104</v>
      </c>
      <c r="AV185" s="1">
        <f t="shared" ca="1" si="142"/>
        <v>10</v>
      </c>
      <c r="AW185" s="1">
        <f t="shared" ca="1" si="143"/>
        <v>0.18439280743594225</v>
      </c>
      <c r="AY185" s="1">
        <f t="shared" ca="1" si="144"/>
        <v>1.7707179993938575</v>
      </c>
      <c r="AZ185" s="1">
        <f t="shared" ca="1" si="145"/>
        <v>177</v>
      </c>
      <c r="BA185" s="1">
        <f t="shared" ca="1" si="146"/>
        <v>3.2605555744851119E-3</v>
      </c>
      <c r="BV185" s="1">
        <f t="shared" ca="1" si="147"/>
        <v>0.78859394418488549</v>
      </c>
      <c r="BW185" s="1">
        <f t="shared" ca="1" si="148"/>
        <v>862</v>
      </c>
      <c r="BX185" s="1">
        <f t="shared" ca="1" si="149"/>
        <v>5.8878020146073927E-3</v>
      </c>
      <c r="BY185" s="1">
        <f t="shared" ca="1" si="150"/>
        <v>6.4150605777172048E-2</v>
      </c>
      <c r="BZ185" s="1">
        <f t="shared" ca="1" si="151"/>
        <v>0.9826681984528336</v>
      </c>
      <c r="CB185" s="1">
        <f t="shared" ca="1" si="152"/>
        <v>286</v>
      </c>
      <c r="CC185" s="1">
        <f t="shared" ca="1" si="153"/>
        <v>14</v>
      </c>
      <c r="CD185" s="1">
        <f t="shared" ca="1" si="154"/>
        <v>0.14849295363371209</v>
      </c>
      <c r="CE185" s="1">
        <f t="shared" ca="1" si="161"/>
        <v>0.68268080105803353</v>
      </c>
      <c r="CF185" s="1">
        <f t="shared" ca="1" si="161"/>
        <v>0.99129615499691226</v>
      </c>
      <c r="CH185" s="7">
        <f t="shared" ca="1" si="156"/>
        <v>0.9162073082724711</v>
      </c>
      <c r="CI185" s="7">
        <f t="shared" ca="1" si="157"/>
        <v>0.27654456263090782</v>
      </c>
      <c r="CJ185" s="7">
        <f t="shared" ca="1" si="158"/>
        <v>1855</v>
      </c>
      <c r="CK185" s="7">
        <f t="shared" ca="1" si="159"/>
        <v>3.0333030670223159E-3</v>
      </c>
      <c r="CL185" s="7">
        <f t="shared" ca="1" si="160"/>
        <v>0</v>
      </c>
    </row>
    <row r="186" spans="2:90" x14ac:dyDescent="0.25">
      <c r="B186">
        <f t="shared" ca="1" si="108"/>
        <v>818</v>
      </c>
      <c r="C186">
        <f t="shared" ca="1" si="109"/>
        <v>52</v>
      </c>
      <c r="D186">
        <f t="shared" ca="1" si="110"/>
        <v>0.15569640248460581</v>
      </c>
      <c r="F186" s="1">
        <f t="shared" ca="1" si="111"/>
        <v>27</v>
      </c>
      <c r="G186" s="1">
        <f t="shared" ca="1" si="112"/>
        <v>29</v>
      </c>
      <c r="H186" s="1">
        <f t="shared" ca="1" si="113"/>
        <v>2</v>
      </c>
      <c r="I186" s="1"/>
      <c r="J186" s="1">
        <f t="shared" ca="1" si="114"/>
        <v>3</v>
      </c>
      <c r="K186" s="1">
        <f t="shared" ca="1" si="115"/>
        <v>1.4811150116668019</v>
      </c>
      <c r="L186" s="1">
        <f t="shared" ca="1" si="116"/>
        <v>34</v>
      </c>
      <c r="M186" s="1"/>
      <c r="N186" s="1">
        <f t="shared" ca="1" si="117"/>
        <v>527</v>
      </c>
      <c r="O186" s="1">
        <f t="shared" ca="1" si="118"/>
        <v>22</v>
      </c>
      <c r="P186" s="1"/>
      <c r="Q186" s="1">
        <f t="shared" ca="1" si="119"/>
        <v>0.69589837888363104</v>
      </c>
      <c r="R186" s="1">
        <f t="shared" ca="1" si="120"/>
        <v>1166</v>
      </c>
      <c r="S186" s="1"/>
      <c r="T186" s="1">
        <f t="shared" ca="1" si="121"/>
        <v>3.4940715103049212E-2</v>
      </c>
      <c r="U186" s="1">
        <f t="shared" ca="1" si="122"/>
        <v>157</v>
      </c>
      <c r="V186" s="1">
        <f t="shared" ca="1" si="123"/>
        <v>50</v>
      </c>
      <c r="W186" s="1"/>
      <c r="X186" s="1">
        <f t="shared" ca="1" si="124"/>
        <v>8.3430318998673396</v>
      </c>
      <c r="Y186" s="1">
        <f t="shared" ca="1" si="125"/>
        <v>0.22770494466451174</v>
      </c>
      <c r="Z186" s="1">
        <f t="shared" ca="1" si="126"/>
        <v>1955</v>
      </c>
      <c r="AB186" s="1">
        <f t="shared" ca="1" si="127"/>
        <v>0.40416203672386891</v>
      </c>
      <c r="AC186" s="1">
        <f t="shared" ca="1" si="128"/>
        <v>287</v>
      </c>
      <c r="AD186" s="1">
        <f t="shared" ca="1" si="129"/>
        <v>3.8680239187543382E-3</v>
      </c>
      <c r="AE186" s="1"/>
      <c r="AF186" s="1">
        <f t="shared" ca="1" si="130"/>
        <v>0.39200649947455235</v>
      </c>
      <c r="AG186" s="1">
        <f t="shared" ca="1" si="131"/>
        <v>921</v>
      </c>
      <c r="AH186" s="1">
        <f t="shared" ca="1" si="132"/>
        <v>4.2098275612562633E-4</v>
      </c>
      <c r="AJ186" s="1">
        <f t="shared" ca="1" si="133"/>
        <v>0.45013559409493453</v>
      </c>
      <c r="AK186" s="1">
        <f t="shared" ca="1" si="134"/>
        <v>9.605862041690838E-3</v>
      </c>
      <c r="AL186" s="1"/>
      <c r="AM186" s="1">
        <f t="shared" ca="1" si="135"/>
        <v>0.16533102483442161</v>
      </c>
      <c r="AN186" s="1">
        <f t="shared" ca="1" si="136"/>
        <v>32</v>
      </c>
      <c r="AO186" s="1">
        <f t="shared" ca="1" si="137"/>
        <v>10</v>
      </c>
      <c r="AQ186" s="1">
        <f t="shared" ca="1" si="138"/>
        <v>89</v>
      </c>
      <c r="AR186" s="1">
        <f t="shared" ca="1" si="139"/>
        <v>9</v>
      </c>
      <c r="AS186" s="1">
        <f t="shared" ca="1" si="140"/>
        <v>86</v>
      </c>
      <c r="AU186" s="1">
        <f t="shared" ca="1" si="141"/>
        <v>92</v>
      </c>
      <c r="AV186" s="1">
        <f t="shared" ca="1" si="142"/>
        <v>2</v>
      </c>
      <c r="AW186" s="1">
        <f t="shared" ca="1" si="143"/>
        <v>0.16748563103311484</v>
      </c>
      <c r="AY186" s="1">
        <f t="shared" ca="1" si="144"/>
        <v>1.5969519852249969</v>
      </c>
      <c r="AZ186" s="1">
        <f t="shared" ca="1" si="145"/>
        <v>199</v>
      </c>
      <c r="BA186" s="1">
        <f t="shared" ca="1" si="146"/>
        <v>8.2534544706312184E-3</v>
      </c>
      <c r="BV186" s="1">
        <f t="shared" ca="1" si="147"/>
        <v>0.93040123941710529</v>
      </c>
      <c r="BW186" s="1">
        <f t="shared" ca="1" si="148"/>
        <v>257</v>
      </c>
      <c r="BX186" s="1">
        <f t="shared" ca="1" si="149"/>
        <v>9.9434310907677253E-4</v>
      </c>
      <c r="BY186" s="1">
        <f t="shared" ca="1" si="150"/>
        <v>7.8241415065391964E-2</v>
      </c>
      <c r="BZ186" s="1">
        <f t="shared" ca="1" si="151"/>
        <v>0.60817151339135411</v>
      </c>
      <c r="CB186" s="1">
        <f t="shared" ca="1" si="152"/>
        <v>459</v>
      </c>
      <c r="CC186" s="1">
        <f t="shared" ca="1" si="153"/>
        <v>15</v>
      </c>
      <c r="CD186" s="1">
        <f t="shared" ca="1" si="154"/>
        <v>0.19706880349440295</v>
      </c>
      <c r="CE186" s="1">
        <f t="shared" ca="1" si="161"/>
        <v>0.85446690152486116</v>
      </c>
      <c r="CF186" s="1">
        <f t="shared" ca="1" si="161"/>
        <v>0.64019113204590083</v>
      </c>
      <c r="CH186" s="7">
        <f t="shared" ca="1" si="156"/>
        <v>0.17095609350031246</v>
      </c>
      <c r="CI186" s="7">
        <f t="shared" ca="1" si="157"/>
        <v>0.73277406151402324</v>
      </c>
      <c r="CJ186" s="7">
        <f t="shared" ca="1" si="158"/>
        <v>1037</v>
      </c>
      <c r="CK186" s="7">
        <f t="shared" ca="1" si="159"/>
        <v>9.4176389632253145E-3</v>
      </c>
      <c r="CL186" s="7">
        <f t="shared" ca="1" si="160"/>
        <v>0</v>
      </c>
    </row>
    <row r="187" spans="2:90" x14ac:dyDescent="0.25">
      <c r="B187">
        <f t="shared" ca="1" si="108"/>
        <v>719</v>
      </c>
      <c r="C187">
        <f t="shared" ca="1" si="109"/>
        <v>27</v>
      </c>
      <c r="D187">
        <f t="shared" ca="1" si="110"/>
        <v>0.20713309785528985</v>
      </c>
      <c r="F187" s="1">
        <f t="shared" ca="1" si="111"/>
        <v>31</v>
      </c>
      <c r="G187" s="1">
        <f t="shared" ca="1" si="112"/>
        <v>14</v>
      </c>
      <c r="H187" s="1">
        <f t="shared" ca="1" si="113"/>
        <v>14</v>
      </c>
      <c r="I187" s="1"/>
      <c r="J187" s="1">
        <f t="shared" ca="1" si="114"/>
        <v>16</v>
      </c>
      <c r="K187" s="1">
        <f t="shared" ca="1" si="115"/>
        <v>1.957713765108031</v>
      </c>
      <c r="L187" s="1">
        <f t="shared" ca="1" si="116"/>
        <v>24</v>
      </c>
      <c r="M187" s="1"/>
      <c r="N187" s="1">
        <f t="shared" ca="1" si="117"/>
        <v>649</v>
      </c>
      <c r="O187" s="1">
        <f t="shared" ca="1" si="118"/>
        <v>24</v>
      </c>
      <c r="P187" s="1"/>
      <c r="Q187" s="1">
        <f t="shared" ca="1" si="119"/>
        <v>3.8698817092125304</v>
      </c>
      <c r="R187" s="1">
        <f t="shared" ca="1" si="120"/>
        <v>286</v>
      </c>
      <c r="S187" s="1"/>
      <c r="T187" s="1">
        <f t="shared" ca="1" si="121"/>
        <v>5.4008095060352104E-2</v>
      </c>
      <c r="U187" s="1">
        <f t="shared" ca="1" si="122"/>
        <v>195</v>
      </c>
      <c r="V187" s="1">
        <f t="shared" ca="1" si="123"/>
        <v>50</v>
      </c>
      <c r="W187" s="1"/>
      <c r="X187" s="1">
        <f t="shared" ca="1" si="124"/>
        <v>2.3969104885320522</v>
      </c>
      <c r="Y187" s="1">
        <f t="shared" ca="1" si="125"/>
        <v>0.75146524876015097</v>
      </c>
      <c r="Z187" s="1">
        <f t="shared" ca="1" si="126"/>
        <v>1048</v>
      </c>
      <c r="AB187" s="1">
        <f t="shared" ca="1" si="127"/>
        <v>0.62760825296528233</v>
      </c>
      <c r="AC187" s="1">
        <f t="shared" ca="1" si="128"/>
        <v>571</v>
      </c>
      <c r="AD187" s="1">
        <f t="shared" ca="1" si="129"/>
        <v>2.5850298116564154E-4</v>
      </c>
      <c r="AE187" s="1"/>
      <c r="AF187" s="1">
        <f t="shared" ca="1" si="130"/>
        <v>0.42428189220283574</v>
      </c>
      <c r="AG187" s="1">
        <f t="shared" ca="1" si="131"/>
        <v>861</v>
      </c>
      <c r="AH187" s="1">
        <f t="shared" ca="1" si="132"/>
        <v>1.6375393864233004E-3</v>
      </c>
      <c r="AJ187" s="1">
        <f t="shared" ca="1" si="133"/>
        <v>0.92674907126747297</v>
      </c>
      <c r="AK187" s="1">
        <f t="shared" ca="1" si="134"/>
        <v>8.9126853986458421E-3</v>
      </c>
      <c r="AL187" s="1"/>
      <c r="AM187" s="1">
        <f t="shared" ca="1" si="135"/>
        <v>0.14555456457469512</v>
      </c>
      <c r="AN187" s="1">
        <f t="shared" ca="1" si="136"/>
        <v>40</v>
      </c>
      <c r="AO187" s="1">
        <f t="shared" ca="1" si="137"/>
        <v>3</v>
      </c>
      <c r="AQ187" s="1">
        <f t="shared" ca="1" si="138"/>
        <v>71</v>
      </c>
      <c r="AR187" s="1">
        <f t="shared" ca="1" si="139"/>
        <v>5</v>
      </c>
      <c r="AS187" s="1">
        <f t="shared" ca="1" si="140"/>
        <v>11</v>
      </c>
      <c r="AU187" s="1">
        <f t="shared" ca="1" si="141"/>
        <v>201</v>
      </c>
      <c r="AV187" s="1">
        <f t="shared" ca="1" si="142"/>
        <v>2</v>
      </c>
      <c r="AW187" s="1">
        <f t="shared" ca="1" si="143"/>
        <v>0.19888859746956486</v>
      </c>
      <c r="AY187" s="1">
        <f t="shared" ca="1" si="144"/>
        <v>1.1551697659269102</v>
      </c>
      <c r="AZ187" s="1">
        <f t="shared" ca="1" si="145"/>
        <v>248</v>
      </c>
      <c r="BA187" s="1">
        <f t="shared" ca="1" si="146"/>
        <v>2.5655812803202288E-3</v>
      </c>
      <c r="BV187" s="1">
        <f t="shared" ca="1" si="147"/>
        <v>0.61467030987133708</v>
      </c>
      <c r="BW187" s="1">
        <f t="shared" ca="1" si="148"/>
        <v>195</v>
      </c>
      <c r="BX187" s="1">
        <f t="shared" ca="1" si="149"/>
        <v>3.4216314458725802E-3</v>
      </c>
      <c r="BY187" s="1">
        <f t="shared" ca="1" si="150"/>
        <v>3.3284536375368476E-2</v>
      </c>
      <c r="BZ187" s="1">
        <f t="shared" ca="1" si="151"/>
        <v>0.79006026917469174</v>
      </c>
      <c r="CB187" s="1">
        <f t="shared" ca="1" si="152"/>
        <v>361</v>
      </c>
      <c r="CC187" s="1">
        <f t="shared" ca="1" si="153"/>
        <v>4</v>
      </c>
      <c r="CD187" s="1">
        <f t="shared" ca="1" si="154"/>
        <v>0.27573220292537814</v>
      </c>
      <c r="CE187" s="1">
        <f t="shared" ca="1" si="161"/>
        <v>0.89394786681763683</v>
      </c>
      <c r="CF187" s="1">
        <f t="shared" ca="1" si="161"/>
        <v>0.87876038668736767</v>
      </c>
      <c r="CH187" s="7">
        <f t="shared" ca="1" si="156"/>
        <v>0.74795481992712309</v>
      </c>
      <c r="CI187" s="7">
        <f t="shared" ca="1" si="157"/>
        <v>3.1505137252342476E-2</v>
      </c>
      <c r="CJ187" s="7">
        <f t="shared" ca="1" si="158"/>
        <v>442</v>
      </c>
      <c r="CK187" s="7">
        <f t="shared" ca="1" si="159"/>
        <v>6.4030908039487064E-3</v>
      </c>
      <c r="CL187" s="7">
        <f t="shared" ca="1" si="160"/>
        <v>0</v>
      </c>
    </row>
    <row r="188" spans="2:90" x14ac:dyDescent="0.25">
      <c r="B188">
        <f t="shared" ca="1" si="108"/>
        <v>483</v>
      </c>
      <c r="C188">
        <f t="shared" ca="1" si="109"/>
        <v>43</v>
      </c>
      <c r="D188">
        <f t="shared" ca="1" si="110"/>
        <v>0.26702195465958761</v>
      </c>
      <c r="F188" s="1">
        <f t="shared" ca="1" si="111"/>
        <v>38</v>
      </c>
      <c r="G188" s="1">
        <f t="shared" ca="1" si="112"/>
        <v>12</v>
      </c>
      <c r="H188" s="1">
        <f t="shared" ca="1" si="113"/>
        <v>8</v>
      </c>
      <c r="I188" s="1"/>
      <c r="J188" s="1">
        <f t="shared" ca="1" si="114"/>
        <v>7</v>
      </c>
      <c r="K188" s="1">
        <f t="shared" ca="1" si="115"/>
        <v>1.3982989593597017</v>
      </c>
      <c r="L188" s="1">
        <f t="shared" ca="1" si="116"/>
        <v>32</v>
      </c>
      <c r="M188" s="1"/>
      <c r="N188" s="1">
        <f t="shared" ca="1" si="117"/>
        <v>430</v>
      </c>
      <c r="O188" s="1">
        <f t="shared" ca="1" si="118"/>
        <v>48</v>
      </c>
      <c r="P188" s="1"/>
      <c r="Q188" s="1">
        <f t="shared" ca="1" si="119"/>
        <v>3.1383365034242101</v>
      </c>
      <c r="R188" s="1">
        <f t="shared" ca="1" si="120"/>
        <v>885</v>
      </c>
      <c r="S188" s="1"/>
      <c r="T188" s="1">
        <f t="shared" ca="1" si="121"/>
        <v>0.13118781197754301</v>
      </c>
      <c r="U188" s="1">
        <f t="shared" ca="1" si="122"/>
        <v>234</v>
      </c>
      <c r="V188" s="1">
        <f t="shared" ca="1" si="123"/>
        <v>13</v>
      </c>
      <c r="W188" s="1"/>
      <c r="X188" s="1">
        <f t="shared" ca="1" si="124"/>
        <v>6.5741228559865101</v>
      </c>
      <c r="Y188" s="1">
        <f t="shared" ca="1" si="125"/>
        <v>0.39476444518330955</v>
      </c>
      <c r="Z188" s="1">
        <f t="shared" ca="1" si="126"/>
        <v>944</v>
      </c>
      <c r="AB188" s="1">
        <f t="shared" ca="1" si="127"/>
        <v>0.42936724681803312</v>
      </c>
      <c r="AC188" s="1">
        <f t="shared" ca="1" si="128"/>
        <v>393</v>
      </c>
      <c r="AD188" s="1">
        <f t="shared" ca="1" si="129"/>
        <v>6.7299761436863878E-3</v>
      </c>
      <c r="AE188" s="1"/>
      <c r="AF188" s="1">
        <f t="shared" ca="1" si="130"/>
        <v>0.60223724908374421</v>
      </c>
      <c r="AG188" s="1">
        <f t="shared" ca="1" si="131"/>
        <v>581</v>
      </c>
      <c r="AH188" s="1">
        <f t="shared" ca="1" si="132"/>
        <v>9.93795787981748E-3</v>
      </c>
      <c r="AJ188" s="1">
        <f t="shared" ca="1" si="133"/>
        <v>0.92585561615223555</v>
      </c>
      <c r="AK188" s="1">
        <f t="shared" ca="1" si="134"/>
        <v>5.2880996561406107E-3</v>
      </c>
      <c r="AL188" s="1"/>
      <c r="AM188" s="1">
        <f t="shared" ca="1" si="135"/>
        <v>0.18657673092028268</v>
      </c>
      <c r="AN188" s="1">
        <f t="shared" ca="1" si="136"/>
        <v>55</v>
      </c>
      <c r="AO188" s="1">
        <f t="shared" ca="1" si="137"/>
        <v>15</v>
      </c>
      <c r="AQ188" s="1">
        <f t="shared" ca="1" si="138"/>
        <v>59</v>
      </c>
      <c r="AR188" s="1">
        <f t="shared" ca="1" si="139"/>
        <v>10</v>
      </c>
      <c r="AS188" s="1">
        <f t="shared" ca="1" si="140"/>
        <v>56</v>
      </c>
      <c r="AU188" s="1">
        <f t="shared" ca="1" si="141"/>
        <v>211</v>
      </c>
      <c r="AV188" s="1">
        <f t="shared" ca="1" si="142"/>
        <v>7</v>
      </c>
      <c r="AW188" s="1">
        <f t="shared" ca="1" si="143"/>
        <v>3.1748666687783041E-2</v>
      </c>
      <c r="AY188" s="1">
        <f t="shared" ca="1" si="144"/>
        <v>1.7374991240951303</v>
      </c>
      <c r="AZ188" s="1">
        <f t="shared" ca="1" si="145"/>
        <v>324</v>
      </c>
      <c r="BA188" s="1">
        <f t="shared" ca="1" si="146"/>
        <v>4.2718773702750358E-3</v>
      </c>
      <c r="BV188" s="1">
        <f t="shared" ca="1" si="147"/>
        <v>0.96778270861243476</v>
      </c>
      <c r="BW188" s="1">
        <f t="shared" ca="1" si="148"/>
        <v>462</v>
      </c>
      <c r="BX188" s="1">
        <f t="shared" ca="1" si="149"/>
        <v>6.3292234738557005E-3</v>
      </c>
      <c r="BY188" s="1">
        <f t="shared" ca="1" si="150"/>
        <v>4.9237259654137458E-2</v>
      </c>
      <c r="BZ188" s="1">
        <f t="shared" ca="1" si="151"/>
        <v>0.4088680054586934</v>
      </c>
      <c r="CB188" s="1">
        <f t="shared" ca="1" si="152"/>
        <v>223</v>
      </c>
      <c r="CC188" s="1">
        <f t="shared" ca="1" si="153"/>
        <v>3</v>
      </c>
      <c r="CD188" s="1">
        <f t="shared" ca="1" si="154"/>
        <v>0.16656855903444787</v>
      </c>
      <c r="CE188" s="1">
        <f t="shared" ca="1" si="161"/>
        <v>0.52161761056742606</v>
      </c>
      <c r="CF188" s="1">
        <f t="shared" ca="1" si="161"/>
        <v>0.91803293265107122</v>
      </c>
      <c r="CH188" s="7">
        <f t="shared" ca="1" si="156"/>
        <v>0.5154465528683283</v>
      </c>
      <c r="CI188" s="7">
        <f t="shared" ca="1" si="157"/>
        <v>0.34030008036122078</v>
      </c>
      <c r="CJ188" s="7">
        <f t="shared" ca="1" si="158"/>
        <v>1856</v>
      </c>
      <c r="CK188" s="7">
        <f t="shared" ca="1" si="159"/>
        <v>2.5145907989844668E-3</v>
      </c>
      <c r="CL188" s="7">
        <f t="shared" ca="1" si="160"/>
        <v>1</v>
      </c>
    </row>
    <row r="189" spans="2:90" x14ac:dyDescent="0.25">
      <c r="B189">
        <f t="shared" ca="1" si="108"/>
        <v>598</v>
      </c>
      <c r="C189">
        <f t="shared" ca="1" si="109"/>
        <v>25</v>
      </c>
      <c r="D189">
        <f t="shared" ca="1" si="110"/>
        <v>0.28623205438989757</v>
      </c>
      <c r="F189" s="1">
        <f t="shared" ca="1" si="111"/>
        <v>43</v>
      </c>
      <c r="G189" s="1">
        <f t="shared" ca="1" si="112"/>
        <v>27</v>
      </c>
      <c r="H189" s="1">
        <f t="shared" ca="1" si="113"/>
        <v>10</v>
      </c>
      <c r="I189" s="1"/>
      <c r="J189" s="1">
        <f t="shared" ca="1" si="114"/>
        <v>21</v>
      </c>
      <c r="K189" s="1">
        <f t="shared" ca="1" si="115"/>
        <v>2.2656760489732801</v>
      </c>
      <c r="L189" s="1">
        <f t="shared" ca="1" si="116"/>
        <v>25</v>
      </c>
      <c r="M189" s="1"/>
      <c r="N189" s="1">
        <f t="shared" ca="1" si="117"/>
        <v>389</v>
      </c>
      <c r="O189" s="1">
        <f t="shared" ca="1" si="118"/>
        <v>33</v>
      </c>
      <c r="P189" s="1"/>
      <c r="Q189" s="1">
        <f t="shared" ca="1" si="119"/>
        <v>2.2008611779089815</v>
      </c>
      <c r="R189" s="1">
        <f t="shared" ca="1" si="120"/>
        <v>706</v>
      </c>
      <c r="S189" s="1"/>
      <c r="T189" s="1">
        <f t="shared" ca="1" si="121"/>
        <v>0.19997317222466179</v>
      </c>
      <c r="U189" s="1">
        <f t="shared" ca="1" si="122"/>
        <v>432</v>
      </c>
      <c r="V189" s="1">
        <f t="shared" ca="1" si="123"/>
        <v>11</v>
      </c>
      <c r="W189" s="1"/>
      <c r="X189" s="1">
        <f t="shared" ca="1" si="124"/>
        <v>5.4463048117943638</v>
      </c>
      <c r="Y189" s="1">
        <f t="shared" ca="1" si="125"/>
        <v>0.18895669591723285</v>
      </c>
      <c r="Z189" s="1">
        <f t="shared" ca="1" si="126"/>
        <v>1604</v>
      </c>
      <c r="AB189" s="1">
        <f t="shared" ca="1" si="127"/>
        <v>0.28804711650305775</v>
      </c>
      <c r="AC189" s="1">
        <f t="shared" ca="1" si="128"/>
        <v>729</v>
      </c>
      <c r="AD189" s="1">
        <f t="shared" ca="1" si="129"/>
        <v>1.5652555195155995E-4</v>
      </c>
      <c r="AE189" s="1"/>
      <c r="AF189" s="1">
        <f t="shared" ca="1" si="130"/>
        <v>0.65316869263763444</v>
      </c>
      <c r="AG189" s="1">
        <f t="shared" ca="1" si="131"/>
        <v>352</v>
      </c>
      <c r="AH189" s="1">
        <f t="shared" ca="1" si="132"/>
        <v>3.3561751654405747E-3</v>
      </c>
      <c r="AJ189" s="1">
        <f t="shared" ca="1" si="133"/>
        <v>0.41327484354881505</v>
      </c>
      <c r="AK189" s="1">
        <f t="shared" ca="1" si="134"/>
        <v>2.6753144822243185E-3</v>
      </c>
      <c r="AL189" s="1"/>
      <c r="AM189" s="1">
        <f t="shared" ca="1" si="135"/>
        <v>3.2867698731900652E-2</v>
      </c>
      <c r="AN189" s="1">
        <f t="shared" ca="1" si="136"/>
        <v>14</v>
      </c>
      <c r="AO189" s="1">
        <f t="shared" ca="1" si="137"/>
        <v>1</v>
      </c>
      <c r="AQ189" s="1">
        <f t="shared" ca="1" si="138"/>
        <v>52</v>
      </c>
      <c r="AR189" s="1">
        <f t="shared" ca="1" si="139"/>
        <v>2</v>
      </c>
      <c r="AS189" s="1">
        <f t="shared" ca="1" si="140"/>
        <v>90</v>
      </c>
      <c r="AU189" s="1">
        <f t="shared" ca="1" si="141"/>
        <v>360</v>
      </c>
      <c r="AV189" s="1">
        <f t="shared" ca="1" si="142"/>
        <v>9</v>
      </c>
      <c r="AW189" s="1">
        <f t="shared" ca="1" si="143"/>
        <v>0.16903777477988333</v>
      </c>
      <c r="AY189" s="1">
        <f t="shared" ca="1" si="144"/>
        <v>1.8982273864015577</v>
      </c>
      <c r="AZ189" s="1">
        <f t="shared" ca="1" si="145"/>
        <v>387</v>
      </c>
      <c r="BA189" s="1">
        <f t="shared" ca="1" si="146"/>
        <v>9.0099675729708589E-3</v>
      </c>
      <c r="BV189" s="1">
        <f t="shared" ca="1" si="147"/>
        <v>0.67081016627970391</v>
      </c>
      <c r="BW189" s="1">
        <f t="shared" ca="1" si="148"/>
        <v>130</v>
      </c>
      <c r="BX189" s="1">
        <f t="shared" ca="1" si="149"/>
        <v>8.451466068181486E-3</v>
      </c>
      <c r="BY189" s="1">
        <f t="shared" ca="1" si="150"/>
        <v>6.5599022412392391E-2</v>
      </c>
      <c r="BZ189" s="1">
        <f t="shared" ca="1" si="151"/>
        <v>0.23949587718073406</v>
      </c>
      <c r="CB189" s="1">
        <f t="shared" ca="1" si="152"/>
        <v>483</v>
      </c>
      <c r="CC189" s="1">
        <f t="shared" ca="1" si="153"/>
        <v>8</v>
      </c>
      <c r="CD189" s="1">
        <f t="shared" ca="1" si="154"/>
        <v>0.28877318008705793</v>
      </c>
      <c r="CE189" s="1">
        <f t="shared" ca="1" si="161"/>
        <v>0.93585931105446707</v>
      </c>
      <c r="CF189" s="1">
        <f t="shared" ca="1" si="161"/>
        <v>0.73386637717121306</v>
      </c>
      <c r="CH189" s="7">
        <f t="shared" ca="1" si="156"/>
        <v>0.43142080191035465</v>
      </c>
      <c r="CI189" s="7">
        <f t="shared" ca="1" si="157"/>
        <v>0.20043966685259643</v>
      </c>
      <c r="CJ189" s="7">
        <f t="shared" ca="1" si="158"/>
        <v>191</v>
      </c>
      <c r="CK189" s="7">
        <f t="shared" ca="1" si="159"/>
        <v>3.0698378173799447E-3</v>
      </c>
      <c r="CL189" s="7">
        <f t="shared" ca="1" si="160"/>
        <v>0</v>
      </c>
    </row>
    <row r="190" spans="2:90" x14ac:dyDescent="0.25">
      <c r="B190">
        <f t="shared" ca="1" si="108"/>
        <v>714</v>
      </c>
      <c r="C190">
        <f t="shared" ca="1" si="109"/>
        <v>10</v>
      </c>
      <c r="D190">
        <f t="shared" ca="1" si="110"/>
        <v>9.8472259555591871E-2</v>
      </c>
      <c r="F190" s="1">
        <f t="shared" ca="1" si="111"/>
        <v>7</v>
      </c>
      <c r="G190" s="1">
        <f t="shared" ca="1" si="112"/>
        <v>9</v>
      </c>
      <c r="H190" s="1">
        <f t="shared" ca="1" si="113"/>
        <v>11</v>
      </c>
      <c r="I190" s="1"/>
      <c r="J190" s="1">
        <f t="shared" ca="1" si="114"/>
        <v>3</v>
      </c>
      <c r="K190" s="1">
        <f t="shared" ca="1" si="115"/>
        <v>1.3145616055216176</v>
      </c>
      <c r="L190" s="1">
        <f t="shared" ca="1" si="116"/>
        <v>10</v>
      </c>
      <c r="M190" s="1"/>
      <c r="N190" s="1">
        <f t="shared" ca="1" si="117"/>
        <v>357</v>
      </c>
      <c r="O190" s="1">
        <f t="shared" ca="1" si="118"/>
        <v>48</v>
      </c>
      <c r="P190" s="1"/>
      <c r="Q190" s="1">
        <f t="shared" ca="1" si="119"/>
        <v>3.915783909413332</v>
      </c>
      <c r="R190" s="1">
        <f t="shared" ca="1" si="120"/>
        <v>235</v>
      </c>
      <c r="S190" s="1"/>
      <c r="T190" s="1">
        <f t="shared" ca="1" si="121"/>
        <v>9.379550049522016E-2</v>
      </c>
      <c r="U190" s="1">
        <f t="shared" ca="1" si="122"/>
        <v>107</v>
      </c>
      <c r="V190" s="1">
        <f t="shared" ca="1" si="123"/>
        <v>41</v>
      </c>
      <c r="W190" s="1"/>
      <c r="X190" s="1">
        <f t="shared" ca="1" si="124"/>
        <v>0.35563373927832731</v>
      </c>
      <c r="Y190" s="1">
        <f t="shared" ca="1" si="125"/>
        <v>0.10485336425868441</v>
      </c>
      <c r="Z190" s="1">
        <f t="shared" ca="1" si="126"/>
        <v>1193</v>
      </c>
      <c r="AB190" s="1">
        <f t="shared" ca="1" si="127"/>
        <v>0.29940392603457711</v>
      </c>
      <c r="AC190" s="1">
        <f t="shared" ca="1" si="128"/>
        <v>590</v>
      </c>
      <c r="AD190" s="1">
        <f t="shared" ca="1" si="129"/>
        <v>2.5549342777229085E-3</v>
      </c>
      <c r="AE190" s="1"/>
      <c r="AF190" s="1">
        <f t="shared" ca="1" si="130"/>
        <v>0.64251469577031728</v>
      </c>
      <c r="AG190" s="1">
        <f t="shared" ca="1" si="131"/>
        <v>630</v>
      </c>
      <c r="AH190" s="1">
        <f t="shared" ca="1" si="132"/>
        <v>3.1615568685041642E-3</v>
      </c>
      <c r="AJ190" s="1">
        <f t="shared" ca="1" si="133"/>
        <v>0.2579970734746424</v>
      </c>
      <c r="AK190" s="1">
        <f t="shared" ca="1" si="134"/>
        <v>5.1276369960467014E-3</v>
      </c>
      <c r="AL190" s="1"/>
      <c r="AM190" s="1">
        <f t="shared" ca="1" si="135"/>
        <v>3.2568683572001156E-2</v>
      </c>
      <c r="AN190" s="1">
        <f t="shared" ca="1" si="136"/>
        <v>60</v>
      </c>
      <c r="AO190" s="1">
        <f t="shared" ca="1" si="137"/>
        <v>13</v>
      </c>
      <c r="AQ190" s="1">
        <f t="shared" ca="1" si="138"/>
        <v>139</v>
      </c>
      <c r="AR190" s="1">
        <f t="shared" ca="1" si="139"/>
        <v>8</v>
      </c>
      <c r="AS190" s="1">
        <f t="shared" ca="1" si="140"/>
        <v>25</v>
      </c>
      <c r="AU190" s="1">
        <f t="shared" ca="1" si="141"/>
        <v>343</v>
      </c>
      <c r="AV190" s="1">
        <f t="shared" ca="1" si="142"/>
        <v>6</v>
      </c>
      <c r="AW190" s="1">
        <f t="shared" ca="1" si="143"/>
        <v>0.13342877969716394</v>
      </c>
      <c r="AY190" s="1">
        <f t="shared" ca="1" si="144"/>
        <v>1.2245198640021902</v>
      </c>
      <c r="AZ190" s="1">
        <f t="shared" ca="1" si="145"/>
        <v>182</v>
      </c>
      <c r="BA190" s="1">
        <f t="shared" ca="1" si="146"/>
        <v>1.752330243386633E-3</v>
      </c>
      <c r="BV190" s="1">
        <f t="shared" ca="1" si="147"/>
        <v>0.70856885890729104</v>
      </c>
      <c r="BW190" s="1">
        <f t="shared" ca="1" si="148"/>
        <v>700</v>
      </c>
      <c r="BX190" s="1">
        <f t="shared" ca="1" si="149"/>
        <v>2.03465138777969E-3</v>
      </c>
      <c r="BY190" s="1">
        <f t="shared" ca="1" si="150"/>
        <v>9.1917434537884923E-2</v>
      </c>
      <c r="BZ190" s="1">
        <f t="shared" ca="1" si="151"/>
        <v>2.5407436404413786E-2</v>
      </c>
      <c r="CB190" s="1">
        <f t="shared" ca="1" si="152"/>
        <v>383</v>
      </c>
      <c r="CC190" s="1">
        <f t="shared" ca="1" si="153"/>
        <v>4</v>
      </c>
      <c r="CD190" s="1">
        <f t="shared" ca="1" si="154"/>
        <v>6.9082499307816278E-2</v>
      </c>
      <c r="CE190" s="1">
        <f t="shared" ca="1" si="161"/>
        <v>0.74675903859724069</v>
      </c>
      <c r="CF190" s="1">
        <f t="shared" ca="1" si="161"/>
        <v>0.64837659820943916</v>
      </c>
      <c r="CH190" s="7">
        <f t="shared" ca="1" si="156"/>
        <v>0.25668836352949403</v>
      </c>
      <c r="CI190" s="7">
        <f t="shared" ca="1" si="157"/>
        <v>0.57267436853988718</v>
      </c>
      <c r="CJ190" s="7">
        <f t="shared" ca="1" si="158"/>
        <v>148</v>
      </c>
      <c r="CK190" s="7">
        <f t="shared" ca="1" si="159"/>
        <v>9.0040347366588671E-4</v>
      </c>
      <c r="CL190" s="7">
        <f t="shared" ca="1" si="160"/>
        <v>0</v>
      </c>
    </row>
    <row r="191" spans="2:90" x14ac:dyDescent="0.25">
      <c r="B191">
        <f t="shared" ca="1" si="108"/>
        <v>364</v>
      </c>
      <c r="C191">
        <f t="shared" ca="1" si="109"/>
        <v>20</v>
      </c>
      <c r="D191">
        <f t="shared" ca="1" si="110"/>
        <v>3.2457832538844003E-2</v>
      </c>
      <c r="F191" s="1">
        <f t="shared" ca="1" si="111"/>
        <v>2</v>
      </c>
      <c r="G191" s="1">
        <f t="shared" ca="1" si="112"/>
        <v>7</v>
      </c>
      <c r="H191" s="1">
        <f t="shared" ca="1" si="113"/>
        <v>6</v>
      </c>
      <c r="I191" s="1"/>
      <c r="J191" s="1">
        <f t="shared" ca="1" si="114"/>
        <v>13</v>
      </c>
      <c r="K191" s="1">
        <f t="shared" ca="1" si="115"/>
        <v>1.6379220333089337</v>
      </c>
      <c r="L191" s="1">
        <f t="shared" ca="1" si="116"/>
        <v>4</v>
      </c>
      <c r="M191" s="1"/>
      <c r="N191" s="1">
        <f t="shared" ca="1" si="117"/>
        <v>226</v>
      </c>
      <c r="O191" s="1">
        <f t="shared" ca="1" si="118"/>
        <v>44</v>
      </c>
      <c r="P191" s="1"/>
      <c r="Q191" s="1">
        <f t="shared" ca="1" si="119"/>
        <v>3.8071644313898787</v>
      </c>
      <c r="R191" s="1">
        <f t="shared" ca="1" si="120"/>
        <v>274</v>
      </c>
      <c r="S191" s="1"/>
      <c r="T191" s="1">
        <f t="shared" ca="1" si="121"/>
        <v>0.17572497298697701</v>
      </c>
      <c r="U191" s="1">
        <f t="shared" ca="1" si="122"/>
        <v>274</v>
      </c>
      <c r="V191" s="1">
        <f t="shared" ca="1" si="123"/>
        <v>43</v>
      </c>
      <c r="W191" s="1"/>
      <c r="X191" s="1">
        <f t="shared" ca="1" si="124"/>
        <v>4.8560771687601685</v>
      </c>
      <c r="Y191" s="1">
        <f t="shared" ca="1" si="125"/>
        <v>0.63174530183355149</v>
      </c>
      <c r="Z191" s="1">
        <f t="shared" ca="1" si="126"/>
        <v>1393</v>
      </c>
      <c r="AB191" s="1">
        <f t="shared" ca="1" si="127"/>
        <v>0.47351486785915825</v>
      </c>
      <c r="AC191" s="1">
        <f t="shared" ca="1" si="128"/>
        <v>616</v>
      </c>
      <c r="AD191" s="1">
        <f t="shared" ca="1" si="129"/>
        <v>2.8032541893138162E-3</v>
      </c>
      <c r="AE191" s="1"/>
      <c r="AF191" s="1">
        <f t="shared" ca="1" si="130"/>
        <v>0.8637897034414026</v>
      </c>
      <c r="AG191" s="1">
        <f t="shared" ca="1" si="131"/>
        <v>899</v>
      </c>
      <c r="AH191" s="1">
        <f t="shared" ca="1" si="132"/>
        <v>5.7089550351195183E-3</v>
      </c>
      <c r="AJ191" s="1">
        <f t="shared" ca="1" si="133"/>
        <v>5.9210330242029485E-2</v>
      </c>
      <c r="AK191" s="1">
        <f t="shared" ca="1" si="134"/>
        <v>4.3058275466631097E-3</v>
      </c>
      <c r="AL191" s="1"/>
      <c r="AM191" s="1">
        <f t="shared" ca="1" si="135"/>
        <v>1.6681365572141869E-2</v>
      </c>
      <c r="AN191" s="1">
        <f t="shared" ca="1" si="136"/>
        <v>41</v>
      </c>
      <c r="AO191" s="1">
        <f t="shared" ca="1" si="137"/>
        <v>8</v>
      </c>
      <c r="AQ191" s="1">
        <f t="shared" ca="1" si="138"/>
        <v>154</v>
      </c>
      <c r="AR191" s="1">
        <f t="shared" ca="1" si="139"/>
        <v>10</v>
      </c>
      <c r="AS191" s="1">
        <f t="shared" ca="1" si="140"/>
        <v>90</v>
      </c>
      <c r="AU191" s="1">
        <f t="shared" ca="1" si="141"/>
        <v>99</v>
      </c>
      <c r="AV191" s="1">
        <f t="shared" ca="1" si="142"/>
        <v>4</v>
      </c>
      <c r="AW191" s="1">
        <f t="shared" ca="1" si="143"/>
        <v>1.8476641091296236E-2</v>
      </c>
      <c r="AY191" s="1">
        <f t="shared" ca="1" si="144"/>
        <v>1.3977426378791418</v>
      </c>
      <c r="AZ191" s="1">
        <f t="shared" ca="1" si="145"/>
        <v>143</v>
      </c>
      <c r="BA191" s="1">
        <f t="shared" ca="1" si="146"/>
        <v>1.5967030064657022E-3</v>
      </c>
      <c r="BV191" s="1">
        <f t="shared" ca="1" si="147"/>
        <v>0.68429395747552324</v>
      </c>
      <c r="BW191" s="1">
        <f t="shared" ca="1" si="148"/>
        <v>470</v>
      </c>
      <c r="BX191" s="1">
        <f t="shared" ca="1" si="149"/>
        <v>4.2933444746850042E-4</v>
      </c>
      <c r="BY191" s="1">
        <f t="shared" ca="1" si="150"/>
        <v>5.8140707672072418E-2</v>
      </c>
      <c r="BZ191" s="1">
        <f t="shared" ca="1" si="151"/>
        <v>0.8521539685793591</v>
      </c>
      <c r="CB191" s="1">
        <f t="shared" ca="1" si="152"/>
        <v>192</v>
      </c>
      <c r="CC191" s="1">
        <f t="shared" ca="1" si="153"/>
        <v>14</v>
      </c>
      <c r="CD191" s="1">
        <f t="shared" ca="1" si="154"/>
        <v>0.15506182084840855</v>
      </c>
      <c r="CE191" s="1">
        <f t="shared" ca="1" si="161"/>
        <v>0.55306046497818029</v>
      </c>
      <c r="CF191" s="1">
        <f t="shared" ca="1" si="161"/>
        <v>0.73121052366472628</v>
      </c>
      <c r="CH191" s="7">
        <f t="shared" ca="1" si="156"/>
        <v>5.9599084799226029E-2</v>
      </c>
      <c r="CI191" s="7">
        <f t="shared" ca="1" si="157"/>
        <v>0.64301648547048507</v>
      </c>
      <c r="CJ191" s="7">
        <f t="shared" ca="1" si="158"/>
        <v>342</v>
      </c>
      <c r="CK191" s="7">
        <f t="shared" ca="1" si="159"/>
        <v>6.6862946077755102E-3</v>
      </c>
      <c r="CL191" s="7">
        <f t="shared" ca="1" si="160"/>
        <v>0</v>
      </c>
    </row>
    <row r="192" spans="2:90" x14ac:dyDescent="0.25">
      <c r="B192">
        <f t="shared" ca="1" si="108"/>
        <v>631</v>
      </c>
      <c r="C192">
        <f t="shared" ca="1" si="109"/>
        <v>19</v>
      </c>
      <c r="D192">
        <f t="shared" ca="1" si="110"/>
        <v>0.21709825040163858</v>
      </c>
      <c r="F192" s="1">
        <f t="shared" ca="1" si="111"/>
        <v>48</v>
      </c>
      <c r="G192" s="1">
        <f t="shared" ca="1" si="112"/>
        <v>5</v>
      </c>
      <c r="H192" s="1">
        <f t="shared" ca="1" si="113"/>
        <v>8</v>
      </c>
      <c r="I192" s="1"/>
      <c r="J192" s="1">
        <f t="shared" ca="1" si="114"/>
        <v>19</v>
      </c>
      <c r="K192" s="1">
        <f t="shared" ca="1" si="115"/>
        <v>1.8750062078955483</v>
      </c>
      <c r="L192" s="1">
        <f t="shared" ca="1" si="116"/>
        <v>33</v>
      </c>
      <c r="M192" s="1"/>
      <c r="N192" s="1">
        <f t="shared" ca="1" si="117"/>
        <v>495</v>
      </c>
      <c r="O192" s="1">
        <f t="shared" ca="1" si="118"/>
        <v>34</v>
      </c>
      <c r="P192" s="1"/>
      <c r="Q192" s="1">
        <f t="shared" ca="1" si="119"/>
        <v>3.7799603124215775</v>
      </c>
      <c r="R192" s="1">
        <f t="shared" ca="1" si="120"/>
        <v>832</v>
      </c>
      <c r="S192" s="1"/>
      <c r="T192" s="1">
        <f t="shared" ca="1" si="121"/>
        <v>0.1316166389374297</v>
      </c>
      <c r="U192" s="1">
        <f t="shared" ca="1" si="122"/>
        <v>298</v>
      </c>
      <c r="V192" s="1">
        <f t="shared" ca="1" si="123"/>
        <v>42</v>
      </c>
      <c r="W192" s="1"/>
      <c r="X192" s="1">
        <f t="shared" ca="1" si="124"/>
        <v>4.7816450286822239</v>
      </c>
      <c r="Y192" s="1">
        <f t="shared" ca="1" si="125"/>
        <v>0.74341841814757081</v>
      </c>
      <c r="Z192" s="1">
        <f t="shared" ca="1" si="126"/>
        <v>1279</v>
      </c>
      <c r="AB192" s="1">
        <f t="shared" ca="1" si="127"/>
        <v>0.82916067641206581</v>
      </c>
      <c r="AC192" s="1">
        <f t="shared" ca="1" si="128"/>
        <v>400</v>
      </c>
      <c r="AD192" s="1">
        <f t="shared" ca="1" si="129"/>
        <v>8.1747898274131398E-3</v>
      </c>
      <c r="AE192" s="1"/>
      <c r="AF192" s="1">
        <f t="shared" ca="1" si="130"/>
        <v>0.61889375826698623</v>
      </c>
      <c r="AG192" s="1">
        <f t="shared" ca="1" si="131"/>
        <v>775</v>
      </c>
      <c r="AH192" s="1">
        <f t="shared" ca="1" si="132"/>
        <v>5.7905278222021989E-3</v>
      </c>
      <c r="AJ192" s="1">
        <f t="shared" ca="1" si="133"/>
        <v>0.51628078467346883</v>
      </c>
      <c r="AK192" s="1">
        <f t="shared" ca="1" si="134"/>
        <v>7.8857185548719608E-3</v>
      </c>
      <c r="AL192" s="1"/>
      <c r="AM192" s="1">
        <f t="shared" ca="1" si="135"/>
        <v>2.2531189837603896E-2</v>
      </c>
      <c r="AN192" s="1">
        <f t="shared" ca="1" si="136"/>
        <v>16</v>
      </c>
      <c r="AO192" s="1">
        <f t="shared" ca="1" si="137"/>
        <v>12</v>
      </c>
      <c r="AQ192" s="1">
        <f t="shared" ca="1" si="138"/>
        <v>72</v>
      </c>
      <c r="AR192" s="1">
        <f t="shared" ca="1" si="139"/>
        <v>3</v>
      </c>
      <c r="AS192" s="1">
        <f t="shared" ca="1" si="140"/>
        <v>59</v>
      </c>
      <c r="AU192" s="1">
        <f t="shared" ca="1" si="141"/>
        <v>181</v>
      </c>
      <c r="AV192" s="1">
        <f t="shared" ca="1" si="142"/>
        <v>5</v>
      </c>
      <c r="AW192" s="1">
        <f t="shared" ca="1" si="143"/>
        <v>0.15833133024361309</v>
      </c>
      <c r="AY192" s="1">
        <f t="shared" ca="1" si="144"/>
        <v>1.3353443482902807</v>
      </c>
      <c r="AZ192" s="1">
        <f t="shared" ca="1" si="145"/>
        <v>118</v>
      </c>
      <c r="BA192" s="1">
        <f t="shared" ca="1" si="146"/>
        <v>8.7204391860095914E-3</v>
      </c>
      <c r="BV192" s="1">
        <f t="shared" ca="1" si="147"/>
        <v>0.94157855071364649</v>
      </c>
      <c r="BW192" s="1">
        <f t="shared" ca="1" si="148"/>
        <v>779</v>
      </c>
      <c r="BX192" s="1">
        <f t="shared" ca="1" si="149"/>
        <v>3.4275584617113864E-3</v>
      </c>
      <c r="BY192" s="1">
        <f t="shared" ca="1" si="150"/>
        <v>9.2398075920371192E-2</v>
      </c>
      <c r="BZ192" s="1">
        <f t="shared" ca="1" si="151"/>
        <v>0.18209483388849168</v>
      </c>
      <c r="CB192" s="1">
        <f t="shared" ca="1" si="152"/>
        <v>355</v>
      </c>
      <c r="CC192" s="1">
        <f t="shared" ca="1" si="153"/>
        <v>3</v>
      </c>
      <c r="CD192" s="1">
        <f t="shared" ca="1" si="154"/>
        <v>8.8868732861017583E-2</v>
      </c>
      <c r="CE192" s="1">
        <f t="shared" ca="1" si="161"/>
        <v>0.79800448974232763</v>
      </c>
      <c r="CF192" s="1">
        <f t="shared" ca="1" si="161"/>
        <v>0.96498947885983144</v>
      </c>
      <c r="CH192" s="7">
        <f t="shared" ca="1" si="156"/>
        <v>0.43118201439800652</v>
      </c>
      <c r="CI192" s="7">
        <f t="shared" ca="1" si="157"/>
        <v>0.72022525530667447</v>
      </c>
      <c r="CJ192" s="7">
        <f t="shared" ca="1" si="158"/>
        <v>226</v>
      </c>
      <c r="CK192" s="7">
        <f t="shared" ca="1" si="159"/>
        <v>9.2452403290164964E-3</v>
      </c>
      <c r="CL192" s="7">
        <f t="shared" ca="1" si="160"/>
        <v>1</v>
      </c>
    </row>
    <row r="193" spans="2:90" x14ac:dyDescent="0.25">
      <c r="B193">
        <f t="shared" ca="1" si="108"/>
        <v>225</v>
      </c>
      <c r="C193">
        <f t="shared" ca="1" si="109"/>
        <v>29</v>
      </c>
      <c r="D193">
        <f t="shared" ca="1" si="110"/>
        <v>0.25875750844513179</v>
      </c>
      <c r="F193" s="1">
        <f t="shared" ca="1" si="111"/>
        <v>40</v>
      </c>
      <c r="G193" s="1">
        <f t="shared" ca="1" si="112"/>
        <v>30</v>
      </c>
      <c r="H193" s="1">
        <f t="shared" ca="1" si="113"/>
        <v>4</v>
      </c>
      <c r="I193" s="1"/>
      <c r="J193" s="1">
        <f t="shared" ca="1" si="114"/>
        <v>11</v>
      </c>
      <c r="K193" s="1">
        <f t="shared" ca="1" si="115"/>
        <v>1.2380243191710008</v>
      </c>
      <c r="L193" s="1">
        <f t="shared" ca="1" si="116"/>
        <v>19</v>
      </c>
      <c r="M193" s="1"/>
      <c r="N193" s="1">
        <f t="shared" ca="1" si="117"/>
        <v>506</v>
      </c>
      <c r="O193" s="1">
        <f t="shared" ca="1" si="118"/>
        <v>27</v>
      </c>
      <c r="P193" s="1"/>
      <c r="Q193" s="1">
        <f t="shared" ca="1" si="119"/>
        <v>3.0569084830053961</v>
      </c>
      <c r="R193" s="1">
        <f t="shared" ca="1" si="120"/>
        <v>987</v>
      </c>
      <c r="S193" s="1"/>
      <c r="T193" s="1">
        <f t="shared" ca="1" si="121"/>
        <v>0.11244344855034</v>
      </c>
      <c r="U193" s="1">
        <f t="shared" ca="1" si="122"/>
        <v>442</v>
      </c>
      <c r="V193" s="1">
        <f t="shared" ca="1" si="123"/>
        <v>3</v>
      </c>
      <c r="W193" s="1"/>
      <c r="X193" s="1">
        <f t="shared" ca="1" si="124"/>
        <v>2.3282821947349168</v>
      </c>
      <c r="Y193" s="1">
        <f t="shared" ca="1" si="125"/>
        <v>0.44157138206354418</v>
      </c>
      <c r="Z193" s="1">
        <f t="shared" ca="1" si="126"/>
        <v>1228</v>
      </c>
      <c r="AB193" s="1">
        <f t="shared" ca="1" si="127"/>
        <v>0.99344672729709327</v>
      </c>
      <c r="AC193" s="1">
        <f t="shared" ca="1" si="128"/>
        <v>623</v>
      </c>
      <c r="AD193" s="1">
        <f t="shared" ca="1" si="129"/>
        <v>6.3112522703006864E-4</v>
      </c>
      <c r="AE193" s="1"/>
      <c r="AF193" s="1">
        <f t="shared" ca="1" si="130"/>
        <v>0.19125960680444712</v>
      </c>
      <c r="AG193" s="1">
        <f t="shared" ca="1" si="131"/>
        <v>767</v>
      </c>
      <c r="AH193" s="1">
        <f t="shared" ca="1" si="132"/>
        <v>4.8126013683167596E-3</v>
      </c>
      <c r="AJ193" s="1">
        <f t="shared" ca="1" si="133"/>
        <v>0.32662016718783005</v>
      </c>
      <c r="AK193" s="1">
        <f t="shared" ca="1" si="134"/>
        <v>3.1092492122691794E-3</v>
      </c>
      <c r="AL193" s="1"/>
      <c r="AM193" s="1">
        <f t="shared" ca="1" si="135"/>
        <v>0.17177551386050011</v>
      </c>
      <c r="AN193" s="1">
        <f t="shared" ca="1" si="136"/>
        <v>11</v>
      </c>
      <c r="AO193" s="1">
        <f t="shared" ca="1" si="137"/>
        <v>9</v>
      </c>
      <c r="AQ193" s="1">
        <f t="shared" ca="1" si="138"/>
        <v>128</v>
      </c>
      <c r="AR193" s="1">
        <f t="shared" ca="1" si="139"/>
        <v>1</v>
      </c>
      <c r="AS193" s="1">
        <f t="shared" ca="1" si="140"/>
        <v>93</v>
      </c>
      <c r="AU193" s="1">
        <f t="shared" ca="1" si="141"/>
        <v>100</v>
      </c>
      <c r="AV193" s="1">
        <f t="shared" ca="1" si="142"/>
        <v>8</v>
      </c>
      <c r="AW193" s="1">
        <f t="shared" ca="1" si="143"/>
        <v>9.2107723308252953E-2</v>
      </c>
      <c r="AY193" s="1">
        <f t="shared" ca="1" si="144"/>
        <v>1.7148071846861459</v>
      </c>
      <c r="AZ193" s="1">
        <f t="shared" ca="1" si="145"/>
        <v>68</v>
      </c>
      <c r="BA193" s="1">
        <f t="shared" ca="1" si="146"/>
        <v>8.0622398636460754E-3</v>
      </c>
      <c r="BV193" s="1">
        <f t="shared" ca="1" si="147"/>
        <v>0.174895789388051</v>
      </c>
      <c r="BW193" s="1">
        <f t="shared" ca="1" si="148"/>
        <v>254</v>
      </c>
      <c r="BX193" s="1">
        <f t="shared" ca="1" si="149"/>
        <v>8.4335685370894708E-3</v>
      </c>
      <c r="BY193" s="1">
        <f t="shared" ca="1" si="150"/>
        <v>7.6319466144947543E-3</v>
      </c>
      <c r="BZ193" s="1">
        <f t="shared" ca="1" si="151"/>
        <v>0.11244804291442123</v>
      </c>
      <c r="CB193" s="1">
        <f t="shared" ca="1" si="152"/>
        <v>251</v>
      </c>
      <c r="CC193" s="1">
        <f t="shared" ca="1" si="153"/>
        <v>3</v>
      </c>
      <c r="CD193" s="1">
        <f t="shared" ca="1" si="154"/>
        <v>0.13339815289816959</v>
      </c>
      <c r="CE193" s="1">
        <f t="shared" ca="1" si="161"/>
        <v>0.9530250870862782</v>
      </c>
      <c r="CF193" s="1">
        <f t="shared" ca="1" si="161"/>
        <v>0.70177541189423054</v>
      </c>
      <c r="CH193" s="7">
        <f t="shared" ca="1" si="156"/>
        <v>0.17237447563114619</v>
      </c>
      <c r="CI193" s="7">
        <f t="shared" ca="1" si="157"/>
        <v>4.2340789655886779E-2</v>
      </c>
      <c r="CJ193" s="7">
        <f t="shared" ca="1" si="158"/>
        <v>1211</v>
      </c>
      <c r="CK193" s="7">
        <f t="shared" ca="1" si="159"/>
        <v>2.8634922474241251E-3</v>
      </c>
      <c r="CL193" s="7">
        <f t="shared" ca="1" si="160"/>
        <v>1</v>
      </c>
    </row>
    <row r="194" spans="2:90" x14ac:dyDescent="0.25">
      <c r="B194">
        <f t="shared" ca="1" si="108"/>
        <v>614</v>
      </c>
      <c r="C194">
        <f t="shared" ca="1" si="109"/>
        <v>35</v>
      </c>
      <c r="D194">
        <f t="shared" ca="1" si="110"/>
        <v>0.26830304970756702</v>
      </c>
      <c r="F194" s="1">
        <f t="shared" ca="1" si="111"/>
        <v>41</v>
      </c>
      <c r="G194" s="1">
        <f t="shared" ca="1" si="112"/>
        <v>17</v>
      </c>
      <c r="H194" s="1">
        <f t="shared" ca="1" si="113"/>
        <v>14</v>
      </c>
      <c r="I194" s="1"/>
      <c r="J194" s="1">
        <f t="shared" ca="1" si="114"/>
        <v>19</v>
      </c>
      <c r="K194" s="1">
        <f t="shared" ca="1" si="115"/>
        <v>1.1002487967633428</v>
      </c>
      <c r="L194" s="1">
        <f t="shared" ca="1" si="116"/>
        <v>26</v>
      </c>
      <c r="M194" s="1"/>
      <c r="N194" s="1">
        <f t="shared" ca="1" si="117"/>
        <v>646</v>
      </c>
      <c r="O194" s="1">
        <f t="shared" ca="1" si="118"/>
        <v>21</v>
      </c>
      <c r="P194" s="1"/>
      <c r="Q194" s="1">
        <f t="shared" ca="1" si="119"/>
        <v>4.9694502268103138</v>
      </c>
      <c r="R194" s="1">
        <f t="shared" ca="1" si="120"/>
        <v>289</v>
      </c>
      <c r="S194" s="1"/>
      <c r="T194" s="1">
        <f t="shared" ca="1" si="121"/>
        <v>3.5404129447781818E-2</v>
      </c>
      <c r="U194" s="1">
        <f t="shared" ca="1" si="122"/>
        <v>123</v>
      </c>
      <c r="V194" s="1">
        <f t="shared" ca="1" si="123"/>
        <v>8</v>
      </c>
      <c r="W194" s="1"/>
      <c r="X194" s="1">
        <f t="shared" ca="1" si="124"/>
        <v>9.6599072533209984E-2</v>
      </c>
      <c r="Y194" s="1">
        <f t="shared" ca="1" si="125"/>
        <v>0.48938582165892602</v>
      </c>
      <c r="Z194" s="1">
        <f t="shared" ca="1" si="126"/>
        <v>1829</v>
      </c>
      <c r="AB194" s="1">
        <f t="shared" ca="1" si="127"/>
        <v>0.27786731476352572</v>
      </c>
      <c r="AC194" s="1">
        <f t="shared" ca="1" si="128"/>
        <v>817</v>
      </c>
      <c r="AD194" s="1">
        <f t="shared" ca="1" si="129"/>
        <v>6.1449596864676581E-3</v>
      </c>
      <c r="AE194" s="1"/>
      <c r="AF194" s="1">
        <f t="shared" ca="1" si="130"/>
        <v>0.68558220434838124</v>
      </c>
      <c r="AG194" s="1">
        <f t="shared" ca="1" si="131"/>
        <v>195</v>
      </c>
      <c r="AH194" s="1">
        <f t="shared" ca="1" si="132"/>
        <v>2.6108043742001613E-3</v>
      </c>
      <c r="AJ194" s="1">
        <f t="shared" ca="1" si="133"/>
        <v>0.62336691647524622</v>
      </c>
      <c r="AK194" s="1">
        <f t="shared" ca="1" si="134"/>
        <v>1.8725783462791676E-3</v>
      </c>
      <c r="AL194" s="1"/>
      <c r="AM194" s="1">
        <f t="shared" ca="1" si="135"/>
        <v>7.3535625837303845E-3</v>
      </c>
      <c r="AN194" s="1">
        <f t="shared" ca="1" si="136"/>
        <v>21</v>
      </c>
      <c r="AO194" s="1">
        <f t="shared" ca="1" si="137"/>
        <v>-1</v>
      </c>
      <c r="AQ194" s="1">
        <f t="shared" ca="1" si="138"/>
        <v>191</v>
      </c>
      <c r="AR194" s="1">
        <f t="shared" ca="1" si="139"/>
        <v>5</v>
      </c>
      <c r="AS194" s="1">
        <f t="shared" ca="1" si="140"/>
        <v>87</v>
      </c>
      <c r="AU194" s="1">
        <f t="shared" ca="1" si="141"/>
        <v>140</v>
      </c>
      <c r="AV194" s="1">
        <f t="shared" ca="1" si="142"/>
        <v>9</v>
      </c>
      <c r="AW194" s="1">
        <f t="shared" ca="1" si="143"/>
        <v>8.6795232943255515E-2</v>
      </c>
      <c r="AY194" s="1">
        <f t="shared" ca="1" si="144"/>
        <v>1.4098189834847938</v>
      </c>
      <c r="AZ194" s="1">
        <f t="shared" ca="1" si="145"/>
        <v>55</v>
      </c>
      <c r="BA194" s="1">
        <f t="shared" ca="1" si="146"/>
        <v>7.716215879772309E-3</v>
      </c>
      <c r="BV194" s="1">
        <f t="shared" ca="1" si="147"/>
        <v>1.5450298253545373E-2</v>
      </c>
      <c r="BW194" s="1">
        <f t="shared" ca="1" si="148"/>
        <v>607</v>
      </c>
      <c r="BX194" s="1">
        <f t="shared" ca="1" si="149"/>
        <v>1.6116546700661462E-4</v>
      </c>
      <c r="BY194" s="1">
        <f t="shared" ca="1" si="150"/>
        <v>8.8144104099652398E-2</v>
      </c>
      <c r="BZ194" s="1">
        <f t="shared" ca="1" si="151"/>
        <v>0.59878839332746159</v>
      </c>
      <c r="CB194" s="1">
        <f t="shared" ca="1" si="152"/>
        <v>329</v>
      </c>
      <c r="CC194" s="1">
        <f t="shared" ca="1" si="153"/>
        <v>6</v>
      </c>
      <c r="CD194" s="1">
        <f t="shared" ca="1" si="154"/>
        <v>0.27024817741767454</v>
      </c>
      <c r="CE194" s="1">
        <f t="shared" ca="1" si="161"/>
        <v>0.66441843489651964</v>
      </c>
      <c r="CF194" s="1">
        <f t="shared" ca="1" si="161"/>
        <v>0.96645873568098151</v>
      </c>
      <c r="CH194" s="7">
        <f t="shared" ca="1" si="156"/>
        <v>0.61658734490495393</v>
      </c>
      <c r="CI194" s="7">
        <f t="shared" ca="1" si="157"/>
        <v>0.80175559372484839</v>
      </c>
      <c r="CJ194" s="7">
        <f t="shared" ca="1" si="158"/>
        <v>551</v>
      </c>
      <c r="CK194" s="7">
        <f t="shared" ca="1" si="159"/>
        <v>5.6196466838256331E-3</v>
      </c>
      <c r="CL194" s="7">
        <f t="shared" ca="1" si="160"/>
        <v>1</v>
      </c>
    </row>
    <row r="195" spans="2:90" x14ac:dyDescent="0.25">
      <c r="B195">
        <f t="shared" ca="1" si="108"/>
        <v>89</v>
      </c>
      <c r="C195">
        <f t="shared" ca="1" si="109"/>
        <v>38</v>
      </c>
      <c r="D195">
        <f t="shared" ca="1" si="110"/>
        <v>3.1536264977150889E-2</v>
      </c>
      <c r="F195" s="1">
        <f t="shared" ca="1" si="111"/>
        <v>40</v>
      </c>
      <c r="G195" s="1">
        <f t="shared" ca="1" si="112"/>
        <v>4</v>
      </c>
      <c r="H195" s="1">
        <f t="shared" ca="1" si="113"/>
        <v>12</v>
      </c>
      <c r="I195" s="1"/>
      <c r="J195" s="1">
        <f t="shared" ca="1" si="114"/>
        <v>27</v>
      </c>
      <c r="K195" s="1">
        <f t="shared" ca="1" si="115"/>
        <v>2.88042909706793</v>
      </c>
      <c r="L195" s="1">
        <f t="shared" ca="1" si="116"/>
        <v>8</v>
      </c>
      <c r="M195" s="1"/>
      <c r="N195" s="1">
        <f t="shared" ca="1" si="117"/>
        <v>204</v>
      </c>
      <c r="O195" s="1">
        <f t="shared" ca="1" si="118"/>
        <v>11</v>
      </c>
      <c r="P195" s="1"/>
      <c r="Q195" s="1">
        <f t="shared" ca="1" si="119"/>
        <v>2.3147480409617271</v>
      </c>
      <c r="R195" s="1">
        <f t="shared" ca="1" si="120"/>
        <v>681</v>
      </c>
      <c r="S195" s="1"/>
      <c r="T195" s="1">
        <f t="shared" ca="1" si="121"/>
        <v>6.1438310190118597E-2</v>
      </c>
      <c r="U195" s="1">
        <f t="shared" ca="1" si="122"/>
        <v>263</v>
      </c>
      <c r="V195" s="1">
        <f t="shared" ca="1" si="123"/>
        <v>38</v>
      </c>
      <c r="W195" s="1"/>
      <c r="X195" s="1">
        <f t="shared" ca="1" si="124"/>
        <v>5.9097988591608974</v>
      </c>
      <c r="Y195" s="1">
        <f t="shared" ca="1" si="125"/>
        <v>0.40600180823578436</v>
      </c>
      <c r="Z195" s="1">
        <f t="shared" ca="1" si="126"/>
        <v>1871</v>
      </c>
      <c r="AB195" s="1">
        <f t="shared" ca="1" si="127"/>
        <v>0.53858727766298498</v>
      </c>
      <c r="AC195" s="1">
        <f t="shared" ca="1" si="128"/>
        <v>611</v>
      </c>
      <c r="AD195" s="1">
        <f t="shared" ca="1" si="129"/>
        <v>9.3850693258399343E-3</v>
      </c>
      <c r="AE195" s="1"/>
      <c r="AF195" s="1">
        <f t="shared" ca="1" si="130"/>
        <v>0.11276723993784472</v>
      </c>
      <c r="AG195" s="1">
        <f t="shared" ca="1" si="131"/>
        <v>248</v>
      </c>
      <c r="AH195" s="1">
        <f t="shared" ca="1" si="132"/>
        <v>4.1131232358834306E-3</v>
      </c>
      <c r="AJ195" s="1">
        <f t="shared" ca="1" si="133"/>
        <v>0.76212857191393202</v>
      </c>
      <c r="AK195" s="1">
        <f t="shared" ca="1" si="134"/>
        <v>3.9115634506871819E-3</v>
      </c>
      <c r="AL195" s="1"/>
      <c r="AM195" s="1">
        <f t="shared" ca="1" si="135"/>
        <v>0.11923274744801372</v>
      </c>
      <c r="AN195" s="1">
        <f t="shared" ca="1" si="136"/>
        <v>51</v>
      </c>
      <c r="AO195" s="1">
        <f t="shared" ca="1" si="137"/>
        <v>6</v>
      </c>
      <c r="AQ195" s="1">
        <f t="shared" ca="1" si="138"/>
        <v>16</v>
      </c>
      <c r="AR195" s="1">
        <f t="shared" ca="1" si="139"/>
        <v>4</v>
      </c>
      <c r="AS195" s="1">
        <f t="shared" ca="1" si="140"/>
        <v>26</v>
      </c>
      <c r="AU195" s="1">
        <f t="shared" ca="1" si="141"/>
        <v>279</v>
      </c>
      <c r="AV195" s="1">
        <f t="shared" ca="1" si="142"/>
        <v>2</v>
      </c>
      <c r="AW195" s="1">
        <f t="shared" ca="1" si="143"/>
        <v>0.19192634949864404</v>
      </c>
      <c r="AY195" s="1">
        <f t="shared" ca="1" si="144"/>
        <v>1.1940926678623409</v>
      </c>
      <c r="AZ195" s="1">
        <f t="shared" ca="1" si="145"/>
        <v>254</v>
      </c>
      <c r="BA195" s="1">
        <f t="shared" ca="1" si="146"/>
        <v>8.8443230779051592E-3</v>
      </c>
      <c r="BV195" s="1">
        <f t="shared" ca="1" si="147"/>
        <v>2.8097131539979312E-2</v>
      </c>
      <c r="BW195" s="1">
        <f t="shared" ca="1" si="148"/>
        <v>378</v>
      </c>
      <c r="BX195" s="1">
        <f t="shared" ca="1" si="149"/>
        <v>5.2349635122373556E-4</v>
      </c>
      <c r="BY195" s="1">
        <f t="shared" ca="1" si="150"/>
        <v>5.6424178060583093E-2</v>
      </c>
      <c r="BZ195" s="1">
        <f t="shared" ca="1" si="151"/>
        <v>0.7387321673470818</v>
      </c>
      <c r="CB195" s="1">
        <f t="shared" ca="1" si="152"/>
        <v>233</v>
      </c>
      <c r="CC195" s="1">
        <f t="shared" ca="1" si="153"/>
        <v>13</v>
      </c>
      <c r="CD195" s="1">
        <f t="shared" ca="1" si="154"/>
        <v>9.5873257467218365E-2</v>
      </c>
      <c r="CE195" s="1">
        <f t="shared" ca="1" si="161"/>
        <v>0.73912076769385071</v>
      </c>
      <c r="CF195" s="1">
        <f t="shared" ca="1" si="161"/>
        <v>0.98348330948174945</v>
      </c>
      <c r="CH195" s="7">
        <f t="shared" ca="1" si="156"/>
        <v>0.29875247191226473</v>
      </c>
      <c r="CI195" s="7">
        <f t="shared" ca="1" si="157"/>
        <v>0.90072752203162176</v>
      </c>
      <c r="CJ195" s="7">
        <f t="shared" ca="1" si="158"/>
        <v>1521</v>
      </c>
      <c r="CK195" s="7">
        <f t="shared" ca="1" si="159"/>
        <v>4.6428103422230067E-3</v>
      </c>
      <c r="CL195" s="7">
        <f t="shared" ca="1" si="160"/>
        <v>1</v>
      </c>
    </row>
    <row r="196" spans="2:90" x14ac:dyDescent="0.25">
      <c r="B196">
        <f t="shared" ref="B196:B202" ca="1" si="162">RANDBETWEEN(15,1000)</f>
        <v>153</v>
      </c>
      <c r="C196">
        <f t="shared" ref="C196:C202" ca="1" si="163">RANDBETWEEN(2,52)</f>
        <v>17</v>
      </c>
      <c r="D196">
        <f t="shared" ref="D196:D202" ca="1" si="164">RAND()*(0.3-0.01)+0.01</f>
        <v>0.2215169284139587</v>
      </c>
      <c r="F196" s="1">
        <f t="shared" ref="F196:F202" ca="1" si="165">RANDBETWEEN(2,52)</f>
        <v>45</v>
      </c>
      <c r="G196" s="1">
        <f t="shared" ref="G196:G202" ca="1" si="166">RANDBETWEEN(2,30)</f>
        <v>3</v>
      </c>
      <c r="H196" s="1">
        <f t="shared" ref="H196:H202" ca="1" si="167">RANDBETWEEN(1,15)</f>
        <v>12</v>
      </c>
      <c r="I196" s="1"/>
      <c r="J196" s="1">
        <f t="shared" ref="J196:J202" ca="1" si="168">RANDBETWEEN(1,39)</f>
        <v>22</v>
      </c>
      <c r="K196" s="1">
        <f t="shared" ref="K196:K202" ca="1" si="169">RAND()*(3-1)+1</f>
        <v>2.2095537122838329</v>
      </c>
      <c r="L196" s="1">
        <f t="shared" ref="L196:L202" ca="1" si="170">RANDBETWEEN(2,35)</f>
        <v>12</v>
      </c>
      <c r="M196" s="1"/>
      <c r="N196" s="1">
        <f t="shared" ref="N196:N202" ca="1" si="171">RANDBETWEEN(15,1000)</f>
        <v>997</v>
      </c>
      <c r="O196" s="1">
        <f t="shared" ref="O196:O202" ca="1" si="172">RANDBETWEEN(2,52)</f>
        <v>43</v>
      </c>
      <c r="P196" s="1"/>
      <c r="Q196" s="1">
        <f t="shared" ref="Q196:Q202" ca="1" si="173">RAND()*(5-0.01)+0.01</f>
        <v>2.1379705739098558</v>
      </c>
      <c r="R196" s="1">
        <f t="shared" ref="R196:R202" ca="1" si="174">RANDBETWEEN(200,1200)</f>
        <v>941</v>
      </c>
      <c r="S196" s="1"/>
      <c r="T196" s="1">
        <f t="shared" ref="T196:T202" ca="1" si="175">RAND()*(0.2-0.01)+0.01</f>
        <v>0.13207197350524524</v>
      </c>
      <c r="U196" s="1">
        <f t="shared" ref="U196:U202" ca="1" si="176">RANDBETWEEN(50,450)</f>
        <v>328</v>
      </c>
      <c r="V196" s="1">
        <f t="shared" ref="V196:V202" ca="1" si="177">RANDBETWEEN(2,52)</f>
        <v>44</v>
      </c>
      <c r="W196" s="1"/>
      <c r="X196" s="1">
        <f t="shared" ref="X196:X202" ca="1" si="178">RAND()*(10-0.01)+0.01</f>
        <v>7.5574774240009868</v>
      </c>
      <c r="Y196" s="1">
        <f t="shared" ref="Y196:Y202" ca="1" si="179">RAND()*(1-0.0001)+0.0001</f>
        <v>0.25947879706854576</v>
      </c>
      <c r="Z196" s="1">
        <f t="shared" ref="Z196:Z202" ca="1" si="180">RANDBETWEEN(100,2000)</f>
        <v>1321</v>
      </c>
      <c r="AB196" s="1">
        <f t="shared" ref="AB196:AB202" ca="1" si="181">RAND()*(1-0.0001)+0.0001</f>
        <v>0.36143610937035892</v>
      </c>
      <c r="AC196" s="1">
        <f t="shared" ref="AC196:AC202" ca="1" si="182">RANDBETWEEN(100,1000)</f>
        <v>235</v>
      </c>
      <c r="AD196" s="1">
        <f t="shared" ref="AD196:AD202" ca="1" si="183">RAND()*(0.01-0.00001)+0.00001</f>
        <v>3.888353371712928E-3</v>
      </c>
      <c r="AE196" s="1"/>
      <c r="AF196" s="1">
        <f t="shared" ref="AF196:AF202" ca="1" si="184">RAND()*(0.9-0.1)+0.1</f>
        <v>0.6463468448485612</v>
      </c>
      <c r="AG196" s="1">
        <f t="shared" ref="AG196:AG202" ca="1" si="185">RANDBETWEEN(100,1000)</f>
        <v>631</v>
      </c>
      <c r="AH196" s="1">
        <f t="shared" ref="AH196:AH202" ca="1" si="186">RAND()*(0.01-0.00001)+0.00001</f>
        <v>6.5825658365539219E-3</v>
      </c>
      <c r="AJ196" s="1">
        <f t="shared" ref="AJ196:AJ202" ca="1" si="187">RAND()*(1-0)+0</f>
        <v>0.70338637810649385</v>
      </c>
      <c r="AK196" s="1">
        <f t="shared" ref="AK196:AK202" ca="1" si="188">RAND()*(0.01-0.00001)+0.00001</f>
        <v>4.898641004720759E-3</v>
      </c>
      <c r="AL196" s="1"/>
      <c r="AM196" s="1">
        <f t="shared" ref="AM196:AM202" ca="1" si="189">RAND()*(0.2-0.005)+0.005</f>
        <v>0.19816640212728148</v>
      </c>
      <c r="AN196" s="1">
        <f t="shared" ref="AN196:AN202" ca="1" si="190">RANDBETWEEN(10,80)</f>
        <v>15</v>
      </c>
      <c r="AO196" s="1">
        <f t="shared" ref="AO196:AO202" ca="1" si="191">RANDBETWEEN(-1,20)</f>
        <v>4</v>
      </c>
      <c r="AQ196" s="1">
        <f t="shared" ref="AQ196:AQ202" ca="1" si="192">RANDBETWEEN(10,200)</f>
        <v>197</v>
      </c>
      <c r="AR196" s="1">
        <f t="shared" ref="AR196:AR202" ca="1" si="193">RANDBETWEEN(0,10)</f>
        <v>0</v>
      </c>
      <c r="AS196" s="1">
        <f t="shared" ref="AS196:AS202" ca="1" si="194">RANDBETWEEN(1,100)</f>
        <v>13</v>
      </c>
      <c r="AU196" s="1">
        <f t="shared" ref="AU196:AU202" ca="1" si="195">RANDBETWEEN(50,400)</f>
        <v>316</v>
      </c>
      <c r="AV196" s="1">
        <f t="shared" ref="AV196:AV202" ca="1" si="196">RANDBETWEEN(2,10)</f>
        <v>4</v>
      </c>
      <c r="AW196" s="1">
        <f t="shared" ref="AW196:AW202" ca="1" si="197">RAND()*(0.2-0.01)+0.01</f>
        <v>0.1995980506395402</v>
      </c>
      <c r="AY196" s="1">
        <f t="shared" ref="AY196:AY202" ca="1" si="198">RAND()*(2-1.1)+1.1</f>
        <v>1.3209547725999924</v>
      </c>
      <c r="AZ196" s="1">
        <f t="shared" ref="AZ196:AZ202" ca="1" si="199">RANDBETWEEN(50,500)</f>
        <v>116</v>
      </c>
      <c r="BA196" s="1">
        <f t="shared" ref="BA196:BA202" ca="1" si="200">RAND()*(0.01-0.00001)+0.00001</f>
        <v>5.5712892554276488E-4</v>
      </c>
      <c r="BV196" s="1">
        <f t="shared" ref="BV196:BV202" ca="1" si="201">RAND()*(1-0.0001)+0.0001</f>
        <v>0.75031072636428942</v>
      </c>
      <c r="BW196" s="1">
        <f t="shared" ref="BW196:BW202" ca="1" si="202">RANDBETWEEN(100,1000)</f>
        <v>263</v>
      </c>
      <c r="BX196" s="1">
        <f t="shared" ref="BX196:BX202" ca="1" si="203">RAND()*(0.01-0.00001)+0.00001</f>
        <v>7.6793642189058563E-3</v>
      </c>
      <c r="BY196" s="1">
        <f t="shared" ref="BY196:BY202" ca="1" si="204">RAND()*(0.1-0.0001)+0.0001</f>
        <v>1.177146005066969E-3</v>
      </c>
      <c r="BZ196" s="1">
        <f t="shared" ref="BZ196:BZ202" ca="1" si="205">RAND()*(1-0)+0</f>
        <v>0.19150252828113712</v>
      </c>
      <c r="CB196" s="1">
        <f t="shared" ref="CB196:CB202" ca="1" si="206">RANDBETWEEN(50,500)</f>
        <v>235</v>
      </c>
      <c r="CC196" s="1">
        <f t="shared" ref="CC196:CC202" ca="1" si="207">RANDBETWEEN(3,15)</f>
        <v>11</v>
      </c>
      <c r="CD196" s="1">
        <f t="shared" ref="CD196:CD202" ca="1" si="208">RAND()*(0.3-0.01)+0.01</f>
        <v>4.7654573214773316E-2</v>
      </c>
      <c r="CE196" s="1">
        <f t="shared" ca="1" si="161"/>
        <v>0.780420681794052</v>
      </c>
      <c r="CF196" s="1">
        <f t="shared" ca="1" si="161"/>
        <v>0.67666933441660548</v>
      </c>
      <c r="CH196" s="7">
        <f t="shared" ref="CH196:CH202" ca="1" si="209">RAND()*(1-0.0001)+0.0001</f>
        <v>0.91239795522392575</v>
      </c>
      <c r="CI196" s="7">
        <f t="shared" ref="CI196:CI202" ca="1" si="210">RAND()*(0.99-0.01)+0.01</f>
        <v>0.94638154597293023</v>
      </c>
      <c r="CJ196" s="7">
        <f t="shared" ref="CJ196:CJ202" ca="1" si="211">RANDBETWEEN(100,2000)</f>
        <v>1348</v>
      </c>
      <c r="CK196" s="7">
        <f t="shared" ref="CK196:CK202" ca="1" si="212">RAND()*(0.01-0.000001)+0.000001</f>
        <v>1.9806104226567627E-3</v>
      </c>
      <c r="CL196" s="7">
        <f t="shared" ref="CL196:CL202" ca="1" si="213">RANDBETWEEN(0,1)</f>
        <v>0</v>
      </c>
    </row>
    <row r="197" spans="2:90" x14ac:dyDescent="0.25">
      <c r="B197">
        <f t="shared" ca="1" si="162"/>
        <v>197</v>
      </c>
      <c r="C197">
        <f t="shared" ca="1" si="163"/>
        <v>48</v>
      </c>
      <c r="D197">
        <f t="shared" ca="1" si="164"/>
        <v>0.17156083212686629</v>
      </c>
      <c r="F197" s="1">
        <f t="shared" ca="1" si="165"/>
        <v>50</v>
      </c>
      <c r="G197" s="1">
        <f t="shared" ca="1" si="166"/>
        <v>18</v>
      </c>
      <c r="H197" s="1">
        <f t="shared" ca="1" si="167"/>
        <v>13</v>
      </c>
      <c r="I197" s="1"/>
      <c r="J197" s="1">
        <f t="shared" ca="1" si="168"/>
        <v>12</v>
      </c>
      <c r="K197" s="1">
        <f t="shared" ca="1" si="169"/>
        <v>2.8458271169690343</v>
      </c>
      <c r="L197" s="1">
        <f t="shared" ca="1" si="170"/>
        <v>4</v>
      </c>
      <c r="M197" s="1"/>
      <c r="N197" s="1">
        <f t="shared" ca="1" si="171"/>
        <v>381</v>
      </c>
      <c r="O197" s="1">
        <f t="shared" ca="1" si="172"/>
        <v>36</v>
      </c>
      <c r="P197" s="1"/>
      <c r="Q197" s="1">
        <f t="shared" ca="1" si="173"/>
        <v>2.0743876424522214</v>
      </c>
      <c r="R197" s="1">
        <f t="shared" ca="1" si="174"/>
        <v>904</v>
      </c>
      <c r="S197" s="1"/>
      <c r="T197" s="1">
        <f t="shared" ca="1" si="175"/>
        <v>0.12382180029330132</v>
      </c>
      <c r="U197" s="1">
        <f t="shared" ca="1" si="176"/>
        <v>68</v>
      </c>
      <c r="V197" s="1">
        <f t="shared" ca="1" si="177"/>
        <v>16</v>
      </c>
      <c r="W197" s="1"/>
      <c r="X197" s="1">
        <f t="shared" ca="1" si="178"/>
        <v>0.26126768788263682</v>
      </c>
      <c r="Y197" s="1">
        <f t="shared" ca="1" si="179"/>
        <v>0.90255557395159824</v>
      </c>
      <c r="Z197" s="1">
        <f t="shared" ca="1" si="180"/>
        <v>325</v>
      </c>
      <c r="AB197" s="1">
        <f t="shared" ca="1" si="181"/>
        <v>0.10344100347056293</v>
      </c>
      <c r="AC197" s="1">
        <f t="shared" ca="1" si="182"/>
        <v>893</v>
      </c>
      <c r="AD197" s="1">
        <f t="shared" ca="1" si="183"/>
        <v>8.2642489769820734E-3</v>
      </c>
      <c r="AE197" s="1"/>
      <c r="AF197" s="1">
        <f t="shared" ca="1" si="184"/>
        <v>0.5363272708280723</v>
      </c>
      <c r="AG197" s="1">
        <f t="shared" ca="1" si="185"/>
        <v>375</v>
      </c>
      <c r="AH197" s="1">
        <f t="shared" ca="1" si="186"/>
        <v>9.7961615534743057E-3</v>
      </c>
      <c r="AJ197" s="1">
        <f t="shared" ca="1" si="187"/>
        <v>0.44013592902323673</v>
      </c>
      <c r="AK197" s="1">
        <f t="shared" ca="1" si="188"/>
        <v>3.3108836405233277E-3</v>
      </c>
      <c r="AL197" s="1"/>
      <c r="AM197" s="1">
        <f t="shared" ca="1" si="189"/>
        <v>8.5355650341142925E-2</v>
      </c>
      <c r="AN197" s="1">
        <f t="shared" ca="1" si="190"/>
        <v>55</v>
      </c>
      <c r="AO197" s="1">
        <f t="shared" ca="1" si="191"/>
        <v>-1</v>
      </c>
      <c r="AQ197" s="1">
        <f t="shared" ca="1" si="192"/>
        <v>196</v>
      </c>
      <c r="AR197" s="1">
        <f t="shared" ca="1" si="193"/>
        <v>2</v>
      </c>
      <c r="AS197" s="1">
        <f t="shared" ca="1" si="194"/>
        <v>48</v>
      </c>
      <c r="AU197" s="1">
        <f t="shared" ca="1" si="195"/>
        <v>357</v>
      </c>
      <c r="AV197" s="1">
        <f t="shared" ca="1" si="196"/>
        <v>10</v>
      </c>
      <c r="AW197" s="1">
        <f t="shared" ca="1" si="197"/>
        <v>0.16848373796319929</v>
      </c>
      <c r="AY197" s="1">
        <f t="shared" ca="1" si="198"/>
        <v>1.5670934422570491</v>
      </c>
      <c r="AZ197" s="1">
        <f t="shared" ca="1" si="199"/>
        <v>314</v>
      </c>
      <c r="BA197" s="1">
        <f t="shared" ca="1" si="200"/>
        <v>1.2928497720982415E-3</v>
      </c>
      <c r="BV197" s="1">
        <f t="shared" ca="1" si="201"/>
        <v>0.53322310417609697</v>
      </c>
      <c r="BW197" s="1">
        <f t="shared" ca="1" si="202"/>
        <v>619</v>
      </c>
      <c r="BX197" s="1">
        <f t="shared" ca="1" si="203"/>
        <v>1.6171499334939126E-3</v>
      </c>
      <c r="BY197" s="1">
        <f t="shared" ca="1" si="204"/>
        <v>9.6808769812287091E-3</v>
      </c>
      <c r="BZ197" s="1">
        <f t="shared" ca="1" si="205"/>
        <v>0.64024691634548969</v>
      </c>
      <c r="CB197" s="1">
        <f t="shared" ca="1" si="206"/>
        <v>208</v>
      </c>
      <c r="CC197" s="1">
        <f t="shared" ca="1" si="207"/>
        <v>5</v>
      </c>
      <c r="CD197" s="1">
        <f t="shared" ca="1" si="208"/>
        <v>0.2066023458095356</v>
      </c>
      <c r="CE197" s="1">
        <f t="shared" ca="1" si="161"/>
        <v>0.69307736968722233</v>
      </c>
      <c r="CF197" s="1">
        <f t="shared" ca="1" si="161"/>
        <v>0.96498181834991414</v>
      </c>
      <c r="CH197" s="7">
        <f t="shared" ca="1" si="209"/>
        <v>0.66802972222737622</v>
      </c>
      <c r="CI197" s="7">
        <f t="shared" ca="1" si="210"/>
        <v>0.24915995970739505</v>
      </c>
      <c r="CJ197" s="7">
        <f t="shared" ca="1" si="211"/>
        <v>273</v>
      </c>
      <c r="CK197" s="7">
        <f t="shared" ca="1" si="212"/>
        <v>6.5251602890414812E-3</v>
      </c>
      <c r="CL197" s="7">
        <f t="shared" ca="1" si="213"/>
        <v>1</v>
      </c>
    </row>
    <row r="198" spans="2:90" x14ac:dyDescent="0.25">
      <c r="B198">
        <f t="shared" ca="1" si="162"/>
        <v>870</v>
      </c>
      <c r="C198">
        <f t="shared" ca="1" si="163"/>
        <v>15</v>
      </c>
      <c r="D198">
        <f t="shared" ca="1" si="164"/>
        <v>0.12973605238555094</v>
      </c>
      <c r="F198" s="1">
        <f t="shared" ca="1" si="165"/>
        <v>4</v>
      </c>
      <c r="G198" s="1">
        <f t="shared" ca="1" si="166"/>
        <v>18</v>
      </c>
      <c r="H198" s="1">
        <f t="shared" ca="1" si="167"/>
        <v>1</v>
      </c>
      <c r="I198" s="1"/>
      <c r="J198" s="1">
        <f t="shared" ca="1" si="168"/>
        <v>12</v>
      </c>
      <c r="K198" s="1">
        <f t="shared" ca="1" si="169"/>
        <v>1.7913628905753787</v>
      </c>
      <c r="L198" s="1">
        <f t="shared" ca="1" si="170"/>
        <v>26</v>
      </c>
      <c r="M198" s="1"/>
      <c r="N198" s="1">
        <f t="shared" ca="1" si="171"/>
        <v>574</v>
      </c>
      <c r="O198" s="1">
        <f t="shared" ca="1" si="172"/>
        <v>48</v>
      </c>
      <c r="P198" s="1"/>
      <c r="Q198" s="1">
        <f t="shared" ca="1" si="173"/>
        <v>2.3237510242546602</v>
      </c>
      <c r="R198" s="1">
        <f t="shared" ca="1" si="174"/>
        <v>631</v>
      </c>
      <c r="S198" s="1"/>
      <c r="T198" s="1">
        <f t="shared" ca="1" si="175"/>
        <v>0.12227343668545516</v>
      </c>
      <c r="U198" s="1">
        <f t="shared" ca="1" si="176"/>
        <v>376</v>
      </c>
      <c r="V198" s="1">
        <f t="shared" ca="1" si="177"/>
        <v>14</v>
      </c>
      <c r="W198" s="1"/>
      <c r="X198" s="1">
        <f t="shared" ca="1" si="178"/>
        <v>7.2307843303124457</v>
      </c>
      <c r="Y198" s="1">
        <f t="shared" ca="1" si="179"/>
        <v>0.71240519086745024</v>
      </c>
      <c r="Z198" s="1">
        <f t="shared" ca="1" si="180"/>
        <v>512</v>
      </c>
      <c r="AB198" s="1">
        <f t="shared" ca="1" si="181"/>
        <v>0.98361162713669636</v>
      </c>
      <c r="AC198" s="1">
        <f t="shared" ca="1" si="182"/>
        <v>905</v>
      </c>
      <c r="AD198" s="1">
        <f t="shared" ca="1" si="183"/>
        <v>9.1852539920914984E-3</v>
      </c>
      <c r="AE198" s="1"/>
      <c r="AF198" s="1">
        <f t="shared" ca="1" si="184"/>
        <v>0.57572850060312819</v>
      </c>
      <c r="AG198" s="1">
        <f t="shared" ca="1" si="185"/>
        <v>722</v>
      </c>
      <c r="AH198" s="1">
        <f t="shared" ca="1" si="186"/>
        <v>5.5840374321429916E-3</v>
      </c>
      <c r="AJ198" s="1">
        <f t="shared" ca="1" si="187"/>
        <v>0.60488500006376933</v>
      </c>
      <c r="AK198" s="1">
        <f t="shared" ca="1" si="188"/>
        <v>9.1839328941546693E-3</v>
      </c>
      <c r="AL198" s="1"/>
      <c r="AM198" s="1">
        <f t="shared" ca="1" si="189"/>
        <v>8.934698922098884E-2</v>
      </c>
      <c r="AN198" s="1">
        <f t="shared" ca="1" si="190"/>
        <v>26</v>
      </c>
      <c r="AO198" s="1">
        <f t="shared" ca="1" si="191"/>
        <v>20</v>
      </c>
      <c r="AQ198" s="1">
        <f t="shared" ca="1" si="192"/>
        <v>40</v>
      </c>
      <c r="AR198" s="1">
        <f t="shared" ca="1" si="193"/>
        <v>0</v>
      </c>
      <c r="AS198" s="1">
        <f t="shared" ca="1" si="194"/>
        <v>53</v>
      </c>
      <c r="AU198" s="1">
        <f t="shared" ca="1" si="195"/>
        <v>199</v>
      </c>
      <c r="AV198" s="1">
        <f t="shared" ca="1" si="196"/>
        <v>3</v>
      </c>
      <c r="AW198" s="1">
        <f t="shared" ca="1" si="197"/>
        <v>0.1654341344634403</v>
      </c>
      <c r="AY198" s="1">
        <f t="shared" ca="1" si="198"/>
        <v>1.1881401332109283</v>
      </c>
      <c r="AZ198" s="1">
        <f t="shared" ca="1" si="199"/>
        <v>428</v>
      </c>
      <c r="BA198" s="1">
        <f t="shared" ca="1" si="200"/>
        <v>1.3084974404054259E-3</v>
      </c>
      <c r="BV198" s="1">
        <f t="shared" ca="1" si="201"/>
        <v>0.39156233086882491</v>
      </c>
      <c r="BW198" s="1">
        <f t="shared" ca="1" si="202"/>
        <v>264</v>
      </c>
      <c r="BX198" s="1">
        <f t="shared" ca="1" si="203"/>
        <v>4.8860386248716636E-3</v>
      </c>
      <c r="BY198" s="1">
        <f t="shared" ca="1" si="204"/>
        <v>6.562371494276957E-2</v>
      </c>
      <c r="BZ198" s="1">
        <f t="shared" ca="1" si="205"/>
        <v>0.40290643401073689</v>
      </c>
      <c r="CB198" s="1">
        <f t="shared" ca="1" si="206"/>
        <v>207</v>
      </c>
      <c r="CC198" s="1">
        <f t="shared" ca="1" si="207"/>
        <v>6</v>
      </c>
      <c r="CD198" s="1">
        <f t="shared" ca="1" si="208"/>
        <v>0.11408908880448418</v>
      </c>
      <c r="CE198" s="1">
        <f t="shared" ca="1" si="161"/>
        <v>0.50431900233570026</v>
      </c>
      <c r="CF198" s="1">
        <f t="shared" ca="1" si="161"/>
        <v>0.62550439597967666</v>
      </c>
      <c r="CH198" s="7">
        <f t="shared" ca="1" si="209"/>
        <v>2.4011793139824679E-3</v>
      </c>
      <c r="CI198" s="7">
        <f t="shared" ca="1" si="210"/>
        <v>0.2169985270955945</v>
      </c>
      <c r="CJ198" s="7">
        <f t="shared" ca="1" si="211"/>
        <v>981</v>
      </c>
      <c r="CK198" s="7">
        <f t="shared" ca="1" si="212"/>
        <v>3.7834023187433563E-3</v>
      </c>
      <c r="CL198" s="7">
        <f t="shared" ca="1" si="213"/>
        <v>1</v>
      </c>
    </row>
    <row r="199" spans="2:90" x14ac:dyDescent="0.25">
      <c r="B199">
        <f t="shared" ca="1" si="162"/>
        <v>913</v>
      </c>
      <c r="C199">
        <f t="shared" ca="1" si="163"/>
        <v>50</v>
      </c>
      <c r="D199">
        <f t="shared" ca="1" si="164"/>
        <v>0.25055771466563836</v>
      </c>
      <c r="F199" s="1">
        <f t="shared" ca="1" si="165"/>
        <v>29</v>
      </c>
      <c r="G199" s="1">
        <f t="shared" ca="1" si="166"/>
        <v>13</v>
      </c>
      <c r="H199" s="1">
        <f t="shared" ca="1" si="167"/>
        <v>15</v>
      </c>
      <c r="I199" s="1"/>
      <c r="J199" s="1">
        <f t="shared" ca="1" si="168"/>
        <v>2</v>
      </c>
      <c r="K199" s="1">
        <f t="shared" ca="1" si="169"/>
        <v>1.4236776492989509</v>
      </c>
      <c r="L199" s="1">
        <f t="shared" ca="1" si="170"/>
        <v>35</v>
      </c>
      <c r="M199" s="1"/>
      <c r="N199" s="1">
        <f t="shared" ca="1" si="171"/>
        <v>206</v>
      </c>
      <c r="O199" s="1">
        <f t="shared" ca="1" si="172"/>
        <v>16</v>
      </c>
      <c r="P199" s="1"/>
      <c r="Q199" s="1">
        <f t="shared" ca="1" si="173"/>
        <v>2.5695214893200777</v>
      </c>
      <c r="R199" s="1">
        <f t="shared" ca="1" si="174"/>
        <v>331</v>
      </c>
      <c r="S199" s="1"/>
      <c r="T199" s="1">
        <f t="shared" ca="1" si="175"/>
        <v>2.0222658693436944E-2</v>
      </c>
      <c r="U199" s="1">
        <f t="shared" ca="1" si="176"/>
        <v>296</v>
      </c>
      <c r="V199" s="1">
        <f t="shared" ca="1" si="177"/>
        <v>21</v>
      </c>
      <c r="W199" s="1"/>
      <c r="X199" s="1">
        <f t="shared" ca="1" si="178"/>
        <v>1.5606507495005006</v>
      </c>
      <c r="Y199" s="1">
        <f t="shared" ca="1" si="179"/>
        <v>0.62798425083945975</v>
      </c>
      <c r="Z199" s="1">
        <f t="shared" ca="1" si="180"/>
        <v>1456</v>
      </c>
      <c r="AB199" s="1">
        <f t="shared" ca="1" si="181"/>
        <v>0.63170711664917378</v>
      </c>
      <c r="AC199" s="1">
        <f t="shared" ca="1" si="182"/>
        <v>760</v>
      </c>
      <c r="AD199" s="1">
        <f t="shared" ca="1" si="183"/>
        <v>6.6555488641344166E-3</v>
      </c>
      <c r="AE199" s="1"/>
      <c r="AF199" s="1">
        <f t="shared" ca="1" si="184"/>
        <v>0.87788421873067046</v>
      </c>
      <c r="AG199" s="1">
        <f t="shared" ca="1" si="185"/>
        <v>727</v>
      </c>
      <c r="AH199" s="1">
        <f t="shared" ca="1" si="186"/>
        <v>9.9751350317259565E-3</v>
      </c>
      <c r="AJ199" s="1">
        <f t="shared" ca="1" si="187"/>
        <v>0.39641941617776966</v>
      </c>
      <c r="AK199" s="1">
        <f t="shared" ca="1" si="188"/>
        <v>5.5060670053674321E-3</v>
      </c>
      <c r="AL199" s="1"/>
      <c r="AM199" s="1">
        <f t="shared" ca="1" si="189"/>
        <v>6.6216905732539286E-2</v>
      </c>
      <c r="AN199" s="1">
        <f t="shared" ca="1" si="190"/>
        <v>37</v>
      </c>
      <c r="AO199" s="1">
        <f t="shared" ca="1" si="191"/>
        <v>10</v>
      </c>
      <c r="AQ199" s="1">
        <f t="shared" ca="1" si="192"/>
        <v>87</v>
      </c>
      <c r="AR199" s="1">
        <f t="shared" ca="1" si="193"/>
        <v>3</v>
      </c>
      <c r="AS199" s="1">
        <f t="shared" ca="1" si="194"/>
        <v>46</v>
      </c>
      <c r="AU199" s="1">
        <f t="shared" ca="1" si="195"/>
        <v>84</v>
      </c>
      <c r="AV199" s="1">
        <f t="shared" ca="1" si="196"/>
        <v>4</v>
      </c>
      <c r="AW199" s="1">
        <f t="shared" ca="1" si="197"/>
        <v>5.729999604506035E-2</v>
      </c>
      <c r="AY199" s="1">
        <f t="shared" ca="1" si="198"/>
        <v>1.300996114558749</v>
      </c>
      <c r="AZ199" s="1">
        <f t="shared" ca="1" si="199"/>
        <v>452</v>
      </c>
      <c r="BA199" s="1">
        <f t="shared" ca="1" si="200"/>
        <v>2.8157639965890016E-3</v>
      </c>
      <c r="BV199" s="1">
        <f t="shared" ca="1" si="201"/>
        <v>0.35965055594120648</v>
      </c>
      <c r="BW199" s="1">
        <f t="shared" ca="1" si="202"/>
        <v>632</v>
      </c>
      <c r="BX199" s="1">
        <f t="shared" ca="1" si="203"/>
        <v>8.8126977467992487E-3</v>
      </c>
      <c r="BY199" s="1">
        <f t="shared" ca="1" si="204"/>
        <v>2.8534036628773442E-2</v>
      </c>
      <c r="BZ199" s="1">
        <f t="shared" ca="1" si="205"/>
        <v>0.74792121775432474</v>
      </c>
      <c r="CB199" s="1">
        <f t="shared" ca="1" si="206"/>
        <v>173</v>
      </c>
      <c r="CC199" s="1">
        <f t="shared" ca="1" si="207"/>
        <v>9</v>
      </c>
      <c r="CD199" s="1">
        <f t="shared" ca="1" si="208"/>
        <v>0.18509297459766044</v>
      </c>
      <c r="CE199" s="1">
        <f t="shared" ca="1" si="161"/>
        <v>0.6237455640396109</v>
      </c>
      <c r="CF199" s="1">
        <f t="shared" ca="1" si="161"/>
        <v>0.71210189426533632</v>
      </c>
      <c r="CH199" s="7">
        <f t="shared" ca="1" si="209"/>
        <v>0.2764855128297789</v>
      </c>
      <c r="CI199" s="7">
        <f t="shared" ca="1" si="210"/>
        <v>0.80201387673989988</v>
      </c>
      <c r="CJ199" s="7">
        <f t="shared" ca="1" si="211"/>
        <v>893</v>
      </c>
      <c r="CK199" s="7">
        <f t="shared" ca="1" si="212"/>
        <v>9.4859658393598879E-3</v>
      </c>
      <c r="CL199" s="7">
        <f t="shared" ca="1" si="213"/>
        <v>0</v>
      </c>
    </row>
    <row r="200" spans="2:90" x14ac:dyDescent="0.25">
      <c r="B200">
        <f t="shared" ca="1" si="162"/>
        <v>978</v>
      </c>
      <c r="C200">
        <f t="shared" ca="1" si="163"/>
        <v>5</v>
      </c>
      <c r="D200">
        <f t="shared" ca="1" si="164"/>
        <v>9.9729903604929518E-2</v>
      </c>
      <c r="F200" s="1">
        <f t="shared" ca="1" si="165"/>
        <v>48</v>
      </c>
      <c r="G200" s="1">
        <f t="shared" ca="1" si="166"/>
        <v>24</v>
      </c>
      <c r="H200" s="1">
        <f t="shared" ca="1" si="167"/>
        <v>8</v>
      </c>
      <c r="I200" s="1"/>
      <c r="J200" s="1">
        <f t="shared" ca="1" si="168"/>
        <v>35</v>
      </c>
      <c r="K200" s="1">
        <f t="shared" ca="1" si="169"/>
        <v>1.7523793106923113</v>
      </c>
      <c r="L200" s="1">
        <f t="shared" ca="1" si="170"/>
        <v>13</v>
      </c>
      <c r="M200" s="1"/>
      <c r="N200" s="1">
        <f t="shared" ca="1" si="171"/>
        <v>407</v>
      </c>
      <c r="O200" s="1">
        <f t="shared" ca="1" si="172"/>
        <v>19</v>
      </c>
      <c r="P200" s="1"/>
      <c r="Q200" s="1">
        <f t="shared" ca="1" si="173"/>
        <v>4.3041799680170705</v>
      </c>
      <c r="R200" s="1">
        <f t="shared" ca="1" si="174"/>
        <v>658</v>
      </c>
      <c r="S200" s="1"/>
      <c r="T200" s="1">
        <f t="shared" ca="1" si="175"/>
        <v>2.465200440013526E-2</v>
      </c>
      <c r="U200" s="1">
        <f t="shared" ca="1" si="176"/>
        <v>286</v>
      </c>
      <c r="V200" s="1">
        <f t="shared" ca="1" si="177"/>
        <v>33</v>
      </c>
      <c r="W200" s="1"/>
      <c r="X200" s="1">
        <f t="shared" ca="1" si="178"/>
        <v>0.39047441353943296</v>
      </c>
      <c r="Y200" s="1">
        <f t="shared" ca="1" si="179"/>
        <v>0.63121873957235786</v>
      </c>
      <c r="Z200" s="1">
        <f t="shared" ca="1" si="180"/>
        <v>1484</v>
      </c>
      <c r="AB200" s="1">
        <f t="shared" ca="1" si="181"/>
        <v>0.74591824917766036</v>
      </c>
      <c r="AC200" s="1">
        <f t="shared" ca="1" si="182"/>
        <v>414</v>
      </c>
      <c r="AD200" s="1">
        <f t="shared" ca="1" si="183"/>
        <v>9.5667146843848583E-3</v>
      </c>
      <c r="AE200" s="1"/>
      <c r="AF200" s="1">
        <f t="shared" ca="1" si="184"/>
        <v>0.75281728441322504</v>
      </c>
      <c r="AG200" s="1">
        <f t="shared" ca="1" si="185"/>
        <v>296</v>
      </c>
      <c r="AH200" s="1">
        <f t="shared" ca="1" si="186"/>
        <v>9.9134750126931032E-3</v>
      </c>
      <c r="AJ200" s="1">
        <f t="shared" ca="1" si="187"/>
        <v>0.97271178222882015</v>
      </c>
      <c r="AK200" s="1">
        <f t="shared" ca="1" si="188"/>
        <v>9.5857773292844992E-3</v>
      </c>
      <c r="AL200" s="1"/>
      <c r="AM200" s="1">
        <f t="shared" ca="1" si="189"/>
        <v>0.18691974051439234</v>
      </c>
      <c r="AN200" s="1">
        <f t="shared" ca="1" si="190"/>
        <v>65</v>
      </c>
      <c r="AO200" s="1">
        <f t="shared" ca="1" si="191"/>
        <v>20</v>
      </c>
      <c r="AQ200" s="1">
        <f t="shared" ca="1" si="192"/>
        <v>105</v>
      </c>
      <c r="AR200" s="1">
        <f t="shared" ca="1" si="193"/>
        <v>5</v>
      </c>
      <c r="AS200" s="1">
        <f t="shared" ca="1" si="194"/>
        <v>46</v>
      </c>
      <c r="AU200" s="1">
        <f t="shared" ca="1" si="195"/>
        <v>80</v>
      </c>
      <c r="AV200" s="1">
        <f t="shared" ca="1" si="196"/>
        <v>5</v>
      </c>
      <c r="AW200" s="1">
        <f t="shared" ca="1" si="197"/>
        <v>3.0460603773962328E-2</v>
      </c>
      <c r="AY200" s="1">
        <f t="shared" ca="1" si="198"/>
        <v>1.7229561765825423</v>
      </c>
      <c r="AZ200" s="1">
        <f t="shared" ca="1" si="199"/>
        <v>167</v>
      </c>
      <c r="BA200" s="1">
        <f t="shared" ca="1" si="200"/>
        <v>6.3174146468356791E-3</v>
      </c>
      <c r="BV200" s="1">
        <f t="shared" ca="1" si="201"/>
        <v>0.72487063940055041</v>
      </c>
      <c r="BW200" s="1">
        <f t="shared" ca="1" si="202"/>
        <v>592</v>
      </c>
      <c r="BX200" s="1">
        <f t="shared" ca="1" si="203"/>
        <v>6.1700665792258828E-4</v>
      </c>
      <c r="BY200" s="1">
        <f t="shared" ca="1" si="204"/>
        <v>3.1510564183788638E-3</v>
      </c>
      <c r="BZ200" s="1">
        <f t="shared" ca="1" si="205"/>
        <v>0.77092694754781821</v>
      </c>
      <c r="CB200" s="1">
        <f t="shared" ca="1" si="206"/>
        <v>341</v>
      </c>
      <c r="CC200" s="1">
        <f t="shared" ca="1" si="207"/>
        <v>8</v>
      </c>
      <c r="CD200" s="1">
        <f t="shared" ca="1" si="208"/>
        <v>0.23931939975549635</v>
      </c>
      <c r="CE200" s="1">
        <f t="shared" ca="1" si="161"/>
        <v>0.97193373947956752</v>
      </c>
      <c r="CF200" s="1">
        <f t="shared" ca="1" si="161"/>
        <v>0.52783710729169286</v>
      </c>
      <c r="CH200" s="7">
        <f t="shared" ca="1" si="209"/>
        <v>0.81806018994736929</v>
      </c>
      <c r="CI200" s="7">
        <f t="shared" ca="1" si="210"/>
        <v>0.50292135310287545</v>
      </c>
      <c r="CJ200" s="7">
        <f t="shared" ca="1" si="211"/>
        <v>1508</v>
      </c>
      <c r="CK200" s="7">
        <f t="shared" ca="1" si="212"/>
        <v>7.0642996276197394E-4</v>
      </c>
      <c r="CL200" s="7">
        <f t="shared" ca="1" si="213"/>
        <v>0</v>
      </c>
    </row>
    <row r="201" spans="2:90" x14ac:dyDescent="0.25">
      <c r="B201">
        <f t="shared" ca="1" si="162"/>
        <v>762</v>
      </c>
      <c r="C201">
        <f t="shared" ca="1" si="163"/>
        <v>11</v>
      </c>
      <c r="D201">
        <f t="shared" ca="1" si="164"/>
        <v>0.2735907292481749</v>
      </c>
      <c r="F201" s="1">
        <f t="shared" ca="1" si="165"/>
        <v>38</v>
      </c>
      <c r="G201" s="1">
        <f t="shared" ca="1" si="166"/>
        <v>21</v>
      </c>
      <c r="H201" s="1">
        <f t="shared" ca="1" si="167"/>
        <v>1</v>
      </c>
      <c r="I201" s="1"/>
      <c r="J201" s="1">
        <f t="shared" ca="1" si="168"/>
        <v>32</v>
      </c>
      <c r="K201" s="1">
        <f t="shared" ca="1" si="169"/>
        <v>2.2966947658214218</v>
      </c>
      <c r="L201" s="1">
        <f t="shared" ca="1" si="170"/>
        <v>13</v>
      </c>
      <c r="M201" s="1"/>
      <c r="N201" s="1">
        <f t="shared" ca="1" si="171"/>
        <v>167</v>
      </c>
      <c r="O201" s="1">
        <f t="shared" ca="1" si="172"/>
        <v>50</v>
      </c>
      <c r="P201" s="1"/>
      <c r="Q201" s="1">
        <f t="shared" ca="1" si="173"/>
        <v>1.9407665558949685</v>
      </c>
      <c r="R201" s="1">
        <f t="shared" ca="1" si="174"/>
        <v>634</v>
      </c>
      <c r="S201" s="1"/>
      <c r="T201" s="1">
        <f t="shared" ca="1" si="175"/>
        <v>0.19637559064266941</v>
      </c>
      <c r="U201" s="1">
        <f t="shared" ca="1" si="176"/>
        <v>218</v>
      </c>
      <c r="V201" s="1">
        <f t="shared" ca="1" si="177"/>
        <v>37</v>
      </c>
      <c r="W201" s="1"/>
      <c r="X201" s="1">
        <f t="shared" ca="1" si="178"/>
        <v>3.6227831762462381</v>
      </c>
      <c r="Y201" s="1">
        <f t="shared" ca="1" si="179"/>
        <v>0.32987889971242246</v>
      </c>
      <c r="Z201" s="1">
        <f t="shared" ca="1" si="180"/>
        <v>1391</v>
      </c>
      <c r="AB201" s="1">
        <f t="shared" ca="1" si="181"/>
        <v>0.64275684073961725</v>
      </c>
      <c r="AC201" s="1">
        <f t="shared" ca="1" si="182"/>
        <v>968</v>
      </c>
      <c r="AD201" s="1">
        <f t="shared" ca="1" si="183"/>
        <v>9.8911318523680868E-3</v>
      </c>
      <c r="AE201" s="1"/>
      <c r="AF201" s="1">
        <f t="shared" ca="1" si="184"/>
        <v>0.84287570208099949</v>
      </c>
      <c r="AG201" s="1">
        <f t="shared" ca="1" si="185"/>
        <v>351</v>
      </c>
      <c r="AH201" s="1">
        <f t="shared" ca="1" si="186"/>
        <v>2.8890340020939786E-3</v>
      </c>
      <c r="AJ201" s="1">
        <f t="shared" ca="1" si="187"/>
        <v>0.2311681690735381</v>
      </c>
      <c r="AK201" s="1">
        <f t="shared" ca="1" si="188"/>
        <v>2.1214261746226501E-3</v>
      </c>
      <c r="AL201" s="1"/>
      <c r="AM201" s="1">
        <f t="shared" ca="1" si="189"/>
        <v>0.13664642059003079</v>
      </c>
      <c r="AN201" s="1">
        <f t="shared" ca="1" si="190"/>
        <v>16</v>
      </c>
      <c r="AO201" s="1">
        <f t="shared" ca="1" si="191"/>
        <v>6</v>
      </c>
      <c r="AQ201" s="1">
        <f t="shared" ca="1" si="192"/>
        <v>149</v>
      </c>
      <c r="AR201" s="1">
        <f t="shared" ca="1" si="193"/>
        <v>0</v>
      </c>
      <c r="AS201" s="1">
        <f t="shared" ca="1" si="194"/>
        <v>91</v>
      </c>
      <c r="AU201" s="1">
        <f t="shared" ca="1" si="195"/>
        <v>273</v>
      </c>
      <c r="AV201" s="1">
        <f t="shared" ca="1" si="196"/>
        <v>9</v>
      </c>
      <c r="AW201" s="1">
        <f t="shared" ca="1" si="197"/>
        <v>4.2523752546486736E-2</v>
      </c>
      <c r="AY201" s="1">
        <f t="shared" ca="1" si="198"/>
        <v>1.5791954412237321</v>
      </c>
      <c r="AZ201" s="1">
        <f t="shared" ca="1" si="199"/>
        <v>367</v>
      </c>
      <c r="BA201" s="1">
        <f t="shared" ca="1" si="200"/>
        <v>2.4788191817158947E-3</v>
      </c>
      <c r="BV201" s="1">
        <f t="shared" ca="1" si="201"/>
        <v>0.65823072881028799</v>
      </c>
      <c r="BW201" s="1">
        <f t="shared" ca="1" si="202"/>
        <v>187</v>
      </c>
      <c r="BX201" s="1">
        <f t="shared" ca="1" si="203"/>
        <v>6.6074944153597269E-3</v>
      </c>
      <c r="BY201" s="1">
        <f t="shared" ca="1" si="204"/>
        <v>5.4317656099168499E-2</v>
      </c>
      <c r="BZ201" s="1">
        <f t="shared" ca="1" si="205"/>
        <v>9.4461826427222229E-2</v>
      </c>
      <c r="CB201" s="1">
        <f t="shared" ca="1" si="206"/>
        <v>150</v>
      </c>
      <c r="CC201" s="1">
        <f t="shared" ca="1" si="207"/>
        <v>4</v>
      </c>
      <c r="CD201" s="1">
        <f t="shared" ca="1" si="208"/>
        <v>2.4410176714438368E-2</v>
      </c>
      <c r="CE201" s="1">
        <f t="shared" ca="1" si="161"/>
        <v>0.68480037351434742</v>
      </c>
      <c r="CF201" s="1">
        <f t="shared" ca="1" si="161"/>
        <v>0.51480502316110521</v>
      </c>
      <c r="CH201" s="7">
        <f t="shared" ca="1" si="209"/>
        <v>6.1150579758343232E-2</v>
      </c>
      <c r="CI201" s="7">
        <f t="shared" ca="1" si="210"/>
        <v>0.92505209100449104</v>
      </c>
      <c r="CJ201" s="7">
        <f t="shared" ca="1" si="211"/>
        <v>749</v>
      </c>
      <c r="CK201" s="7">
        <f t="shared" ca="1" si="212"/>
        <v>4.3395847052618715E-4</v>
      </c>
      <c r="CL201" s="7">
        <f t="shared" ca="1" si="213"/>
        <v>1</v>
      </c>
    </row>
    <row r="202" spans="2:90" x14ac:dyDescent="0.25">
      <c r="B202">
        <f t="shared" ca="1" si="162"/>
        <v>394</v>
      </c>
      <c r="C202">
        <f t="shared" ca="1" si="163"/>
        <v>10</v>
      </c>
      <c r="D202">
        <f t="shared" ca="1" si="164"/>
        <v>0.21485701118518719</v>
      </c>
      <c r="F202" s="1">
        <f t="shared" ca="1" si="165"/>
        <v>48</v>
      </c>
      <c r="G202" s="1">
        <f t="shared" ca="1" si="166"/>
        <v>18</v>
      </c>
      <c r="H202" s="1">
        <f t="shared" ca="1" si="167"/>
        <v>11</v>
      </c>
      <c r="I202" s="1"/>
      <c r="J202" s="1">
        <f t="shared" ca="1" si="168"/>
        <v>11</v>
      </c>
      <c r="K202" s="1">
        <f t="shared" ca="1" si="169"/>
        <v>2.1958244780090181</v>
      </c>
      <c r="L202" s="1">
        <f t="shared" ca="1" si="170"/>
        <v>32</v>
      </c>
      <c r="M202" s="1"/>
      <c r="N202" s="1">
        <f t="shared" ca="1" si="171"/>
        <v>511</v>
      </c>
      <c r="O202" s="1">
        <f t="shared" ca="1" si="172"/>
        <v>45</v>
      </c>
      <c r="P202" s="1"/>
      <c r="Q202" s="1">
        <f t="shared" ca="1" si="173"/>
        <v>0.32832205068609249</v>
      </c>
      <c r="R202" s="1">
        <f t="shared" ca="1" si="174"/>
        <v>1195</v>
      </c>
      <c r="S202" s="1"/>
      <c r="T202" s="1">
        <f t="shared" ca="1" si="175"/>
        <v>5.0068016930863136E-2</v>
      </c>
      <c r="U202" s="1">
        <f t="shared" ca="1" si="176"/>
        <v>337</v>
      </c>
      <c r="V202" s="1">
        <f t="shared" ca="1" si="177"/>
        <v>3</v>
      </c>
      <c r="W202" s="1"/>
      <c r="X202" s="1">
        <f t="shared" ca="1" si="178"/>
        <v>3.244131725108331</v>
      </c>
      <c r="Y202" s="1">
        <f t="shared" ca="1" si="179"/>
        <v>0.41100267925908696</v>
      </c>
      <c r="Z202" s="1">
        <f t="shared" ca="1" si="180"/>
        <v>392</v>
      </c>
      <c r="AB202" s="1">
        <f t="shared" ca="1" si="181"/>
        <v>0.12084691412123746</v>
      </c>
      <c r="AC202" s="1">
        <f t="shared" ca="1" si="182"/>
        <v>886</v>
      </c>
      <c r="AD202" s="1">
        <f t="shared" ca="1" si="183"/>
        <v>1.0212529651114949E-3</v>
      </c>
      <c r="AE202" s="1"/>
      <c r="AF202" s="1">
        <f t="shared" ca="1" si="184"/>
        <v>0.29589844868646997</v>
      </c>
      <c r="AG202" s="1">
        <f t="shared" ca="1" si="185"/>
        <v>408</v>
      </c>
      <c r="AH202" s="1">
        <f t="shared" ca="1" si="186"/>
        <v>4.1235429564311418E-3</v>
      </c>
      <c r="AJ202" s="1">
        <f t="shared" ca="1" si="187"/>
        <v>0.76278802347556807</v>
      </c>
      <c r="AK202" s="1">
        <f t="shared" ca="1" si="188"/>
        <v>9.8604989559136508E-3</v>
      </c>
      <c r="AL202" s="1"/>
      <c r="AM202" s="1">
        <f t="shared" ca="1" si="189"/>
        <v>0.18373526403293292</v>
      </c>
      <c r="AN202" s="1">
        <f t="shared" ca="1" si="190"/>
        <v>59</v>
      </c>
      <c r="AO202" s="1">
        <f t="shared" ca="1" si="191"/>
        <v>6</v>
      </c>
      <c r="AQ202" s="1">
        <f t="shared" ca="1" si="192"/>
        <v>76</v>
      </c>
      <c r="AR202" s="1">
        <f t="shared" ca="1" si="193"/>
        <v>10</v>
      </c>
      <c r="AS202" s="1">
        <f t="shared" ca="1" si="194"/>
        <v>51</v>
      </c>
      <c r="AU202" s="1">
        <f t="shared" ca="1" si="195"/>
        <v>400</v>
      </c>
      <c r="AV202" s="1">
        <f t="shared" ca="1" si="196"/>
        <v>9</v>
      </c>
      <c r="AW202" s="1">
        <f t="shared" ca="1" si="197"/>
        <v>0.19255652176125476</v>
      </c>
      <c r="AY202" s="1">
        <f t="shared" ca="1" si="198"/>
        <v>1.962193314749241</v>
      </c>
      <c r="AZ202" s="1">
        <f t="shared" ca="1" si="199"/>
        <v>126</v>
      </c>
      <c r="BA202" s="1">
        <f t="shared" ca="1" si="200"/>
        <v>5.9185414957577927E-3</v>
      </c>
      <c r="BV202" s="1">
        <f t="shared" ca="1" si="201"/>
        <v>0.77796513826845659</v>
      </c>
      <c r="BW202" s="1">
        <f t="shared" ca="1" si="202"/>
        <v>259</v>
      </c>
      <c r="BX202" s="1">
        <f t="shared" ca="1" si="203"/>
        <v>5.7999148184820432E-3</v>
      </c>
      <c r="BY202" s="1">
        <f t="shared" ca="1" si="204"/>
        <v>7.9544183280592911E-3</v>
      </c>
      <c r="BZ202" s="1">
        <f t="shared" ca="1" si="205"/>
        <v>2.8711605006917496E-2</v>
      </c>
      <c r="CB202" s="1">
        <f t="shared" ca="1" si="206"/>
        <v>385</v>
      </c>
      <c r="CC202" s="1">
        <f t="shared" ca="1" si="207"/>
        <v>15</v>
      </c>
      <c r="CD202" s="1">
        <f t="shared" ca="1" si="208"/>
        <v>0.21663820060568506</v>
      </c>
      <c r="CE202" s="1">
        <f t="shared" ca="1" si="161"/>
        <v>0.62459983123239649</v>
      </c>
      <c r="CF202" s="1">
        <f t="shared" ca="1" si="161"/>
        <v>0.94040503506637085</v>
      </c>
      <c r="CH202" s="7">
        <f t="shared" ca="1" si="209"/>
        <v>0.37121150752021503</v>
      </c>
      <c r="CI202" s="7">
        <f t="shared" ca="1" si="210"/>
        <v>0.84900771038778911</v>
      </c>
      <c r="CJ202" s="7">
        <f t="shared" ca="1" si="211"/>
        <v>793</v>
      </c>
      <c r="CK202" s="7">
        <f t="shared" ca="1" si="212"/>
        <v>2.2264811896965668E-3</v>
      </c>
      <c r="CL202" s="7">
        <f t="shared" ca="1" si="213"/>
        <v>0</v>
      </c>
    </row>
  </sheetData>
  <mergeCells count="22">
    <mergeCell ref="CH1:CL1"/>
    <mergeCell ref="CB1:CF1"/>
    <mergeCell ref="AU1:AW1"/>
    <mergeCell ref="AQ1:AS1"/>
    <mergeCell ref="AM1:AO1"/>
    <mergeCell ref="BV1:BZ1"/>
    <mergeCell ref="BO1:BP1"/>
    <mergeCell ref="BR1:BT1"/>
    <mergeCell ref="T1:V1"/>
    <mergeCell ref="X1:Z1"/>
    <mergeCell ref="B1:D1"/>
    <mergeCell ref="F1:H1"/>
    <mergeCell ref="J1:L1"/>
    <mergeCell ref="N1:O1"/>
    <mergeCell ref="Q1:R1"/>
    <mergeCell ref="BG1:BI1"/>
    <mergeCell ref="BK1:BM1"/>
    <mergeCell ref="AJ1:AK1"/>
    <mergeCell ref="AB1:AD1"/>
    <mergeCell ref="AF1:AH1"/>
    <mergeCell ref="AY1:BA1"/>
    <mergeCell ref="BC1:BE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2026-05-24T07:48:48Z</dcterms:modified>
</cp:coreProperties>
</file>