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F9FAC932-3C3D-469D-BA8F-0213D775D72C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" i="1" l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<sst xmlns="http://schemas.openxmlformats.org/spreadsheetml/2006/main" count="65" uniqueCount="41">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</sst>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7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3" fillId="4" borderId="1" xfId="1" applyAlignment="1">
      <alignment horizontal="center"/>
    </xf>
    <xf numFmtId="0" fontId="3" fillId="4" borderId="2" xfId="1" applyBorder="1" applyAlignment="1">
      <alignment horizontal="center"/>
    </xf>
    <xf numFmtId="0" fontId="3" fillId="4" borderId="4" xfId="1" applyBorder="1" applyAlignment="1">
      <alignment horizontal="center"/>
    </xf>
    <xf numFmtId="0" fontId="3" fillId="4" borderId="3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M202"/>
  <sheetViews>
    <sheetView tabSelected="1" topLeftCell="AO1" zoomScale="70" zoomScaleNormal="70" workbookViewId="0">
      <selection activeCell="BJ14" sqref="BJ14"/>
    </sheetView>
  </sheetViews>
  <sheetFormatPr defaultRowHeight="15" x14ac:dyDescent="0.25"/>
  <sheetData>
    <row r="1" spans="2:65" x14ac:dyDescent="0.25">
      <c r="B1" s="3" t="s">
        <v>3</v>
      </c>
      <c r="C1" s="3"/>
      <c r="D1" s="3"/>
      <c r="F1" s="3" t="s">
        <v>14</v>
      </c>
      <c r="G1" s="3"/>
      <c r="H1" s="3"/>
      <c r="I1" s="1"/>
      <c r="J1" s="3" t="s">
        <v>6</v>
      </c>
      <c r="K1" s="3"/>
      <c r="L1" s="3"/>
      <c r="M1" s="1"/>
      <c r="N1" s="4" t="s">
        <v>10</v>
      </c>
      <c r="O1" s="6"/>
      <c r="P1" s="1"/>
      <c r="Q1" s="4" t="s">
        <v>11</v>
      </c>
      <c r="R1" s="6"/>
      <c r="S1" s="1"/>
      <c r="T1" s="3" t="s">
        <v>15</v>
      </c>
      <c r="U1" s="3"/>
      <c r="V1" s="3"/>
      <c r="W1" s="1"/>
      <c r="X1" s="3" t="s">
        <v>16</v>
      </c>
      <c r="Y1" s="3"/>
      <c r="Z1" s="3"/>
      <c r="AB1" s="3" t="s">
        <v>20</v>
      </c>
      <c r="AC1" s="3"/>
      <c r="AD1" s="3"/>
      <c r="AE1" s="1"/>
      <c r="AF1" s="3" t="s">
        <v>22</v>
      </c>
      <c r="AG1" s="3"/>
      <c r="AH1" s="3"/>
      <c r="AJ1" s="4" t="s">
        <v>24</v>
      </c>
      <c r="AK1" s="6"/>
      <c r="AM1" s="4" t="s">
        <v>26</v>
      </c>
      <c r="AN1" s="5"/>
      <c r="AO1" s="5"/>
      <c r="AQ1" s="4" t="s">
        <v>30</v>
      </c>
      <c r="AR1" s="5"/>
      <c r="AS1" s="5"/>
      <c r="AU1" s="4" t="s">
        <v>31</v>
      </c>
      <c r="AV1" s="5"/>
      <c r="AW1" s="5"/>
      <c r="AY1" s="3" t="s">
        <v>33</v>
      </c>
      <c r="AZ1" s="3"/>
      <c r="BA1" s="3"/>
      <c r="BC1" s="3" t="s">
        <v>35</v>
      </c>
      <c r="BD1" s="3"/>
      <c r="BE1" s="3"/>
      <c r="BG1" s="3" t="s">
        <v>37</v>
      </c>
      <c r="BH1" s="3"/>
      <c r="BI1" s="3"/>
      <c r="BK1" s="3" t="s">
        <v>40</v>
      </c>
      <c r="BL1" s="3"/>
      <c r="BM1" s="3"/>
    </row>
    <row r="2" spans="2:65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</row>
    <row r="3" spans="2:65" x14ac:dyDescent="0.25">
      <c r="B3">
        <f ca="1">RANDBETWEEN(15,1000)</f>
        <v>959</v>
      </c>
      <c r="C3">
        <f ca="1">RANDBETWEEN(2,52)</f>
        <v>18</v>
      </c>
      <c r="D3">
        <f ca="1">RAND()*(0.3-0.01)+0.01</f>
        <v>0.2785074297066597</v>
      </c>
      <c r="F3" s="1">
        <f ca="1">RANDBETWEEN(2,52)</f>
        <v>5</v>
      </c>
      <c r="G3" s="1">
        <f ca="1">RANDBETWEEN(2,30)</f>
        <v>6</v>
      </c>
      <c r="H3" s="1">
        <f ca="1">RANDBETWEEN(1,15)</f>
        <v>8</v>
      </c>
      <c r="I3" s="1"/>
      <c r="J3" s="1">
        <f ca="1">RANDBETWEEN(1,39)</f>
        <v>23</v>
      </c>
      <c r="K3" s="1">
        <f ca="1">RAND()*(3-1)+1</f>
        <v>1.0773821417896643</v>
      </c>
      <c r="L3" s="1">
        <f ca="1">RANDBETWEEN(2,35)</f>
        <v>20</v>
      </c>
      <c r="M3" s="1"/>
      <c r="N3" s="1">
        <f ca="1">RANDBETWEEN(15,1000)</f>
        <v>82</v>
      </c>
      <c r="O3" s="1">
        <f ca="1">RANDBETWEEN(2,52)</f>
        <v>43</v>
      </c>
      <c r="P3" s="1"/>
      <c r="Q3" s="1">
        <f ca="1">RAND()*(5-0.01)+0.01</f>
        <v>2.3409555353682703</v>
      </c>
      <c r="R3" s="1">
        <f ca="1">RANDBETWEEN(200,1200)</f>
        <v>1149</v>
      </c>
      <c r="S3" s="1"/>
      <c r="T3" s="1">
        <f ca="1">RAND()*(0.2-0.01)+0.01</f>
        <v>0.15020849628977456</v>
      </c>
      <c r="U3" s="1">
        <f ca="1">RANDBETWEEN(50,450)</f>
        <v>317</v>
      </c>
      <c r="V3" s="1">
        <f ca="1">RANDBETWEEN(2,52)</f>
        <v>17</v>
      </c>
      <c r="W3" s="1"/>
      <c r="X3" s="1">
        <f ca="1">RAND()*(10-0.01)+0.01</f>
        <v>9.3867267385567903</v>
      </c>
      <c r="Y3" s="1">
        <f ca="1">RAND()*(1-0.0001)+0.0001</f>
        <v>0.55996364675487642</v>
      </c>
      <c r="Z3" s="1">
        <f ca="1">RANDBETWEEN(100,2000)</f>
        <v>1116</v>
      </c>
      <c r="AB3" s="1">
        <f ca="1">RAND()*(1-0.0001)+0.0001</f>
        <v>0.5240049059941172</v>
      </c>
      <c r="AC3" s="1">
        <f ca="1">RANDBETWEEN(100,1000)</f>
        <v>127</v>
      </c>
      <c r="AD3" s="1">
        <f ca="1">RAND()*(0.01-0.00001)+0.00001</f>
        <v>9.0810165478363448E-3</v>
      </c>
      <c r="AE3" s="1"/>
      <c r="AF3" s="1">
        <f ca="1">RAND()*(0.9-0.1)+0.1</f>
        <v>0.87922938342391432</v>
      </c>
      <c r="AG3" s="1">
        <f ca="1">RANDBETWEEN(100,1000)</f>
        <v>548</v>
      </c>
      <c r="AH3" s="1">
        <f ca="1">RAND()*(0.01-0.00001)+0.00001</f>
        <v>6.3419476171661018E-3</v>
      </c>
      <c r="AJ3" s="1">
        <f ca="1">RAND()*(1-0)+0</f>
        <v>0.55353790624996391</v>
      </c>
      <c r="AK3" s="1">
        <f ca="1">RAND()*(0.01-0.00001)+0.00001</f>
        <v>1.256939562842359E-3</v>
      </c>
      <c r="AM3" s="1">
        <f ca="1">RAND()*(0.2-0.005)+0.005</f>
        <v>1.273042669580237E-2</v>
      </c>
      <c r="AN3" s="1">
        <f ca="1">RANDBETWEEN(10,80)</f>
        <v>62</v>
      </c>
      <c r="AO3" s="1">
        <f ca="1">RANDBETWEEN(-1,20)</f>
        <v>20</v>
      </c>
      <c r="AQ3" s="1">
        <f ca="1">RANDBETWEEN(10,200)</f>
        <v>11</v>
      </c>
      <c r="AR3" s="1">
        <f ca="1">RANDBETWEEN(0,10)</f>
        <v>4</v>
      </c>
      <c r="AS3" s="1">
        <f ca="1">RANDBETWEEN(1,100)</f>
        <v>77</v>
      </c>
      <c r="AU3" s="1">
        <f ca="1">RANDBETWEEN(50,400)</f>
        <v>79</v>
      </c>
      <c r="AV3" s="1">
        <f ca="1">RANDBETWEEN(2,10)</f>
        <v>2</v>
      </c>
      <c r="AW3" s="1">
        <f ca="1">RAND()*(0.2-0.01)+0.01</f>
        <v>0.16623396194230364</v>
      </c>
      <c r="AY3" s="1">
        <f ca="1">RAND()*(2-1.1)+1.1</f>
        <v>1.1574595744911085</v>
      </c>
      <c r="AZ3" s="1">
        <f ca="1">RANDBETWEEN(50,500)</f>
        <v>125</v>
      </c>
      <c r="BA3" s="1">
        <f ca="1">RAND()*(0.01-0.00001)+0.00001</f>
        <v>4.389946266161065E-3</v>
      </c>
      <c r="BC3" s="1">
        <f ca="1">RAND()*(1-0.0001)+0.0001</f>
        <v>0.19240815839320655</v>
      </c>
      <c r="BD3" s="1">
        <f ca="1">RAND()*(1-0.0001)+0.0001</f>
        <v>0.20023061555509969</v>
      </c>
      <c r="BE3" s="1">
        <f ca="1">RANDBETWEEN(0,2)</f>
        <v>2</v>
      </c>
      <c r="BG3" s="1">
        <f ca="1">RAND()*(1-0.0001)+0.0001</f>
        <v>0.53034288848454314</v>
      </c>
      <c r="BH3" s="1">
        <f ca="1">RAND()*(1-0)+0</f>
        <v>0.65675393002455451</v>
      </c>
      <c r="BI3" s="1">
        <f ca="1">RANDBETWEEN(100,1000)</f>
        <v>171</v>
      </c>
      <c r="BK3" s="1">
        <f ca="1">RANDBETWEEN(100,600)</f>
        <v>492</v>
      </c>
      <c r="BL3" s="1">
        <f ca="1">RANDBETWEEN(3,10)</f>
        <v>9</v>
      </c>
      <c r="BM3" s="1">
        <f ca="1">RAND()*(0.3-0.01)+0.01</f>
        <v>0.18637061259339566</v>
      </c>
    </row>
    <row r="4" spans="2:65" x14ac:dyDescent="0.25">
      <c r="B4">
        <f t="shared" ref="B4:B67" ca="1" si="0">RANDBETWEEN(15,1000)</f>
        <v>916</v>
      </c>
      <c r="C4">
        <f t="shared" ref="C4:C67" ca="1" si="1">RANDBETWEEN(2,52)</f>
        <v>10</v>
      </c>
      <c r="D4">
        <f t="shared" ref="D4:D67" ca="1" si="2">RAND()*(0.3-0.01)+0.01</f>
        <v>0.24282142351488462</v>
      </c>
      <c r="F4" s="1">
        <f t="shared" ref="F4:F67" ca="1" si="3">RANDBETWEEN(2,52)</f>
        <v>26</v>
      </c>
      <c r="G4" s="1">
        <f t="shared" ref="G4:G67" ca="1" si="4">RANDBETWEEN(2,30)</f>
        <v>29</v>
      </c>
      <c r="H4" s="1">
        <f t="shared" ref="H4:H67" ca="1" si="5">RANDBETWEEN(1,15)</f>
        <v>11</v>
      </c>
      <c r="I4" s="1"/>
      <c r="J4" s="1">
        <f t="shared" ref="J4:J67" ca="1" si="6">RANDBETWEEN(1,39)</f>
        <v>34</v>
      </c>
      <c r="K4" s="1">
        <f t="shared" ref="K4:K67" ca="1" si="7">RAND()*(3-1)+1</f>
        <v>2.0227411212616588</v>
      </c>
      <c r="L4" s="1">
        <f t="shared" ref="L4:L67" ca="1" si="8">RANDBETWEEN(2,35)</f>
        <v>13</v>
      </c>
      <c r="M4" s="1"/>
      <c r="N4" s="1">
        <f t="shared" ref="N4:N67" ca="1" si="9">RANDBETWEEN(15,1000)</f>
        <v>287</v>
      </c>
      <c r="O4" s="1">
        <f t="shared" ref="O4:O67" ca="1" si="10">RANDBETWEEN(2,52)</f>
        <v>13</v>
      </c>
      <c r="P4" s="1"/>
      <c r="Q4" s="1">
        <f t="shared" ref="Q4:Q67" ca="1" si="11">RAND()*(5-0.01)+0.01</f>
        <v>0.92399664496059897</v>
      </c>
      <c r="R4" s="1">
        <f t="shared" ref="R4:R67" ca="1" si="12">RANDBETWEEN(200,1200)</f>
        <v>1094</v>
      </c>
      <c r="S4" s="1"/>
      <c r="T4" s="1">
        <f t="shared" ref="T4:T67" ca="1" si="13">RAND()*(0.2-0.01)+0.01</f>
        <v>0.1564643639770443</v>
      </c>
      <c r="U4" s="1">
        <f t="shared" ref="U4:U67" ca="1" si="14">RANDBETWEEN(50,450)</f>
        <v>328</v>
      </c>
      <c r="V4" s="1">
        <f t="shared" ref="V4:V67" ca="1" si="15">RANDBETWEEN(2,52)</f>
        <v>13</v>
      </c>
      <c r="W4" s="1"/>
      <c r="X4" s="1">
        <f t="shared" ref="X4:X67" ca="1" si="16">RAND()*(10-0.01)+0.01</f>
        <v>1.1784720810412714</v>
      </c>
      <c r="Y4" s="1">
        <f t="shared" ref="Y4:Y67" ca="1" si="17">RAND()*(1-0.0001)+0.0001</f>
        <v>0.20274209578104535</v>
      </c>
      <c r="Z4" s="1">
        <f t="shared" ref="Z4:Z67" ca="1" si="18">RANDBETWEEN(100,2000)</f>
        <v>1076</v>
      </c>
      <c r="AB4" s="1">
        <f t="shared" ref="AB4:AB67" ca="1" si="19">RAND()*(1-0.0001)+0.0001</f>
        <v>0.6118410625854952</v>
      </c>
      <c r="AC4" s="1">
        <f t="shared" ref="AC4:AC67" ca="1" si="20">RANDBETWEEN(100,1000)</f>
        <v>494</v>
      </c>
      <c r="AD4" s="1">
        <f t="shared" ref="AD4:AD67" ca="1" si="21">RAND()*(0.01-0.00001)+0.00001</f>
        <v>6.8829360185394435E-3</v>
      </c>
      <c r="AE4" s="1"/>
      <c r="AF4" s="1">
        <f t="shared" ref="AF4:AF67" ca="1" si="22">RAND()*(0.9-0.1)+0.1</f>
        <v>0.51907530396363266</v>
      </c>
      <c r="AG4" s="1">
        <f t="shared" ref="AG4:AG67" ca="1" si="23">RANDBETWEEN(100,1000)</f>
        <v>635</v>
      </c>
      <c r="AH4" s="1">
        <f t="shared" ref="AH4:AH67" ca="1" si="24">RAND()*(0.01-0.00001)+0.00001</f>
        <v>6.1103964880370107E-3</v>
      </c>
      <c r="AJ4" s="1">
        <f t="shared" ref="AJ4:AJ67" ca="1" si="25">RAND()*(1-0)+0</f>
        <v>0.38267354421091893</v>
      </c>
      <c r="AK4" s="1">
        <f t="shared" ref="AK4:AK67" ca="1" si="26">RAND()*(0.01-0.00001)+0.00001</f>
        <v>1.8459885930857923E-3</v>
      </c>
      <c r="AL4" s="1"/>
      <c r="AM4" s="1">
        <f t="shared" ref="AM4:AM67" ca="1" si="27">RAND()*(0.2-0.005)+0.005</f>
        <v>0.13256749828838918</v>
      </c>
      <c r="AN4" s="1">
        <f t="shared" ref="AN4:AN67" ca="1" si="28">RANDBETWEEN(10,80)</f>
        <v>12</v>
      </c>
      <c r="AO4" s="1">
        <f t="shared" ref="AO4:AO67" ca="1" si="29">RANDBETWEEN(-1,20)</f>
        <v>3</v>
      </c>
      <c r="AQ4" s="1">
        <f t="shared" ref="AQ4:AQ67" ca="1" si="30">RANDBETWEEN(10,200)</f>
        <v>113</v>
      </c>
      <c r="AR4" s="1">
        <f t="shared" ref="AR4:AR67" ca="1" si="31">RANDBETWEEN(0,10)</f>
        <v>2</v>
      </c>
      <c r="AS4" s="1">
        <f t="shared" ref="AS4:AS67" ca="1" si="32">RANDBETWEEN(1,100)</f>
        <v>27</v>
      </c>
      <c r="AU4" s="1">
        <f t="shared" ref="AU4:AU67" ca="1" si="33">RANDBETWEEN(50,400)</f>
        <v>311</v>
      </c>
      <c r="AV4" s="1">
        <f t="shared" ref="AV4:AV67" ca="1" si="34">RANDBETWEEN(2,10)</f>
        <v>3</v>
      </c>
      <c r="AW4" s="1">
        <f t="shared" ref="AW4:AW67" ca="1" si="35">RAND()*(0.2-0.01)+0.01</f>
        <v>7.0876395252571278E-2</v>
      </c>
      <c r="AY4" s="1">
        <f t="shared" ref="AY4:AY67" ca="1" si="36">RAND()*(2-1.1)+1.1</f>
        <v>1.5816433738603086</v>
      </c>
      <c r="AZ4" s="1">
        <f t="shared" ref="AZ4:AZ67" ca="1" si="37">RANDBETWEEN(50,500)</f>
        <v>160</v>
      </c>
      <c r="BA4" s="1">
        <f t="shared" ref="BA4:BA67" ca="1" si="38">RAND()*(0.01-0.00001)+0.00001</f>
        <v>4.2937509449184575E-3</v>
      </c>
    </row>
    <row r="5" spans="2:65" x14ac:dyDescent="0.25">
      <c r="B5">
        <f t="shared" ca="1" si="0"/>
        <v>948</v>
      </c>
      <c r="C5">
        <f t="shared" ca="1" si="1"/>
        <v>11</v>
      </c>
      <c r="D5">
        <f t="shared" ca="1" si="2"/>
        <v>3.548633244039865E-2</v>
      </c>
      <c r="F5" s="1">
        <f t="shared" ca="1" si="3"/>
        <v>36</v>
      </c>
      <c r="G5" s="1">
        <f t="shared" ca="1" si="4"/>
        <v>3</v>
      </c>
      <c r="H5" s="1">
        <f t="shared" ca="1" si="5"/>
        <v>12</v>
      </c>
      <c r="I5" s="1"/>
      <c r="J5" s="1">
        <f t="shared" ca="1" si="6"/>
        <v>5</v>
      </c>
      <c r="K5" s="1">
        <f t="shared" ca="1" si="7"/>
        <v>1.2638984148183756</v>
      </c>
      <c r="L5" s="1">
        <f t="shared" ca="1" si="8"/>
        <v>3</v>
      </c>
      <c r="M5" s="1"/>
      <c r="N5" s="1">
        <f t="shared" ca="1" si="9"/>
        <v>889</v>
      </c>
      <c r="O5" s="1">
        <f t="shared" ca="1" si="10"/>
        <v>42</v>
      </c>
      <c r="P5" s="1"/>
      <c r="Q5" s="1">
        <f t="shared" ca="1" si="11"/>
        <v>4.8039234308700163</v>
      </c>
      <c r="R5" s="1">
        <f t="shared" ca="1" si="12"/>
        <v>1053</v>
      </c>
      <c r="S5" s="1"/>
      <c r="T5" s="1">
        <f t="shared" ca="1" si="13"/>
        <v>0.1546732799306787</v>
      </c>
      <c r="U5" s="1">
        <f t="shared" ca="1" si="14"/>
        <v>124</v>
      </c>
      <c r="V5" s="1">
        <f t="shared" ca="1" si="15"/>
        <v>23</v>
      </c>
      <c r="W5" s="1"/>
      <c r="X5" s="1">
        <f t="shared" ca="1" si="16"/>
        <v>2.6934264541148627</v>
      </c>
      <c r="Y5" s="1">
        <f t="shared" ca="1" si="17"/>
        <v>0.21947458378730536</v>
      </c>
      <c r="Z5" s="1">
        <f t="shared" ca="1" si="18"/>
        <v>320</v>
      </c>
      <c r="AB5" s="1">
        <f t="shared" ca="1" si="19"/>
        <v>0.86539979677169909</v>
      </c>
      <c r="AC5" s="1">
        <f t="shared" ca="1" si="20"/>
        <v>822</v>
      </c>
      <c r="AD5" s="1">
        <f t="shared" ca="1" si="21"/>
        <v>6.2036642838862888E-3</v>
      </c>
      <c r="AE5" s="1"/>
      <c r="AF5" s="1">
        <f t="shared" ca="1" si="22"/>
        <v>0.25736929684298981</v>
      </c>
      <c r="AG5" s="1">
        <f t="shared" ca="1" si="23"/>
        <v>900</v>
      </c>
      <c r="AH5" s="1">
        <f t="shared" ca="1" si="24"/>
        <v>7.6630974709082115E-3</v>
      </c>
      <c r="AJ5" s="1">
        <f t="shared" ca="1" si="25"/>
        <v>0.28281656073574335</v>
      </c>
      <c r="AK5" s="1">
        <f t="shared" ca="1" si="26"/>
        <v>9.4946277010772937E-3</v>
      </c>
      <c r="AL5" s="1"/>
      <c r="AM5" s="1">
        <f t="shared" ca="1" si="27"/>
        <v>0.18559765221183777</v>
      </c>
      <c r="AN5" s="1">
        <f t="shared" ca="1" si="28"/>
        <v>42</v>
      </c>
      <c r="AO5" s="1">
        <f t="shared" ca="1" si="29"/>
        <v>12</v>
      </c>
      <c r="AQ5" s="1">
        <f t="shared" ca="1" si="30"/>
        <v>18</v>
      </c>
      <c r="AR5" s="1">
        <f t="shared" ca="1" si="31"/>
        <v>4</v>
      </c>
      <c r="AS5" s="1">
        <f t="shared" ca="1" si="32"/>
        <v>83</v>
      </c>
      <c r="AU5" s="1">
        <f t="shared" ca="1" si="33"/>
        <v>276</v>
      </c>
      <c r="AV5" s="1">
        <f t="shared" ca="1" si="34"/>
        <v>6</v>
      </c>
      <c r="AW5" s="1">
        <f t="shared" ca="1" si="35"/>
        <v>0.10754940331404227</v>
      </c>
      <c r="AY5" s="1">
        <f t="shared" ca="1" si="36"/>
        <v>1.6656045325700215</v>
      </c>
      <c r="AZ5" s="1">
        <f t="shared" ca="1" si="37"/>
        <v>180</v>
      </c>
      <c r="BA5" s="1">
        <f t="shared" ca="1" si="38"/>
        <v>7.8653113757633543E-3</v>
      </c>
    </row>
    <row r="6" spans="2:65" x14ac:dyDescent="0.25">
      <c r="B6">
        <f t="shared" ca="1" si="0"/>
        <v>381</v>
      </c>
      <c r="C6">
        <f t="shared" ca="1" si="1"/>
        <v>11</v>
      </c>
      <c r="D6">
        <f t="shared" ca="1" si="2"/>
        <v>0.25255192651905545</v>
      </c>
      <c r="F6" s="1">
        <f t="shared" ca="1" si="3"/>
        <v>8</v>
      </c>
      <c r="G6" s="1">
        <f t="shared" ca="1" si="4"/>
        <v>18</v>
      </c>
      <c r="H6" s="1">
        <f t="shared" ca="1" si="5"/>
        <v>12</v>
      </c>
      <c r="I6" s="1"/>
      <c r="J6" s="1">
        <f t="shared" ca="1" si="6"/>
        <v>14</v>
      </c>
      <c r="K6" s="1">
        <f t="shared" ca="1" si="7"/>
        <v>1.859150626078736</v>
      </c>
      <c r="L6" s="1">
        <f t="shared" ca="1" si="8"/>
        <v>20</v>
      </c>
      <c r="M6" s="1"/>
      <c r="N6" s="1">
        <f t="shared" ca="1" si="9"/>
        <v>658</v>
      </c>
      <c r="O6" s="1">
        <f t="shared" ca="1" si="10"/>
        <v>11</v>
      </c>
      <c r="P6" s="1"/>
      <c r="Q6" s="1">
        <f t="shared" ca="1" si="11"/>
        <v>1.9070948090996001</v>
      </c>
      <c r="R6" s="1">
        <f t="shared" ca="1" si="12"/>
        <v>377</v>
      </c>
      <c r="S6" s="1"/>
      <c r="T6" s="1">
        <f t="shared" ca="1" si="13"/>
        <v>0.18046876912770263</v>
      </c>
      <c r="U6" s="1">
        <f t="shared" ca="1" si="14"/>
        <v>431</v>
      </c>
      <c r="V6" s="1">
        <f t="shared" ca="1" si="15"/>
        <v>43</v>
      </c>
      <c r="W6" s="1"/>
      <c r="X6" s="1">
        <f t="shared" ca="1" si="16"/>
        <v>9.7790644981092516</v>
      </c>
      <c r="Y6" s="1">
        <f t="shared" ca="1" si="17"/>
        <v>0.49301202481891787</v>
      </c>
      <c r="Z6" s="1">
        <f t="shared" ca="1" si="18"/>
        <v>1978</v>
      </c>
      <c r="AB6" s="1">
        <f t="shared" ca="1" si="19"/>
        <v>0.98456337455436138</v>
      </c>
      <c r="AC6" s="1">
        <f t="shared" ca="1" si="20"/>
        <v>810</v>
      </c>
      <c r="AD6" s="1">
        <f t="shared" ca="1" si="21"/>
        <v>2.4731258962307932E-3</v>
      </c>
      <c r="AE6" s="1"/>
      <c r="AF6" s="1">
        <f t="shared" ca="1" si="22"/>
        <v>0.23576572071231255</v>
      </c>
      <c r="AG6" s="1">
        <f t="shared" ca="1" si="23"/>
        <v>755</v>
      </c>
      <c r="AH6" s="1">
        <f t="shared" ca="1" si="24"/>
        <v>3.7792952124832244E-3</v>
      </c>
      <c r="AJ6" s="1">
        <f t="shared" ca="1" si="25"/>
        <v>0.46407122021480873</v>
      </c>
      <c r="AK6" s="1">
        <f t="shared" ca="1" si="26"/>
        <v>4.3925594305698852E-3</v>
      </c>
      <c r="AL6" s="1"/>
      <c r="AM6" s="1">
        <f t="shared" ca="1" si="27"/>
        <v>9.7831819555039404E-2</v>
      </c>
      <c r="AN6" s="1">
        <f t="shared" ca="1" si="28"/>
        <v>20</v>
      </c>
      <c r="AO6" s="1">
        <f t="shared" ca="1" si="29"/>
        <v>10</v>
      </c>
      <c r="AQ6" s="1">
        <f t="shared" ca="1" si="30"/>
        <v>181</v>
      </c>
      <c r="AR6" s="1">
        <f t="shared" ca="1" si="31"/>
        <v>6</v>
      </c>
      <c r="AS6" s="1">
        <f t="shared" ca="1" si="32"/>
        <v>75</v>
      </c>
      <c r="AU6" s="1">
        <f t="shared" ca="1" si="33"/>
        <v>242</v>
      </c>
      <c r="AV6" s="1">
        <f t="shared" ca="1" si="34"/>
        <v>9</v>
      </c>
      <c r="AW6" s="1">
        <f t="shared" ca="1" si="35"/>
        <v>0.18923293779979677</v>
      </c>
      <c r="AY6" s="1">
        <f t="shared" ca="1" si="36"/>
        <v>1.9337240558026894</v>
      </c>
      <c r="AZ6" s="1">
        <f t="shared" ca="1" si="37"/>
        <v>155</v>
      </c>
      <c r="BA6" s="1">
        <f t="shared" ca="1" si="38"/>
        <v>6.7327971221263641E-3</v>
      </c>
    </row>
    <row r="7" spans="2:65" x14ac:dyDescent="0.25">
      <c r="B7">
        <f t="shared" ca="1" si="0"/>
        <v>611</v>
      </c>
      <c r="C7">
        <f t="shared" ca="1" si="1"/>
        <v>21</v>
      </c>
      <c r="D7">
        <f t="shared" ca="1" si="2"/>
        <v>0.19440819019063385</v>
      </c>
      <c r="F7" s="1">
        <f t="shared" ca="1" si="3"/>
        <v>14</v>
      </c>
      <c r="G7" s="1">
        <f t="shared" ca="1" si="4"/>
        <v>23</v>
      </c>
      <c r="H7" s="1">
        <f t="shared" ca="1" si="5"/>
        <v>12</v>
      </c>
      <c r="I7" s="1"/>
      <c r="J7" s="1">
        <f t="shared" ca="1" si="6"/>
        <v>31</v>
      </c>
      <c r="K7" s="1">
        <f t="shared" ca="1" si="7"/>
        <v>2.4430583740281708</v>
      </c>
      <c r="L7" s="1">
        <f t="shared" ca="1" si="8"/>
        <v>32</v>
      </c>
      <c r="M7" s="1"/>
      <c r="N7" s="1">
        <f t="shared" ca="1" si="9"/>
        <v>445</v>
      </c>
      <c r="O7" s="1">
        <f t="shared" ca="1" si="10"/>
        <v>37</v>
      </c>
      <c r="P7" s="1"/>
      <c r="Q7" s="1">
        <f t="shared" ca="1" si="11"/>
        <v>4.384851772347889</v>
      </c>
      <c r="R7" s="1">
        <f t="shared" ca="1" si="12"/>
        <v>805</v>
      </c>
      <c r="S7" s="1"/>
      <c r="T7" s="1">
        <f t="shared" ca="1" si="13"/>
        <v>3.9666838401788355E-2</v>
      </c>
      <c r="U7" s="1">
        <f t="shared" ca="1" si="14"/>
        <v>209</v>
      </c>
      <c r="V7" s="1">
        <f t="shared" ca="1" si="15"/>
        <v>31</v>
      </c>
      <c r="W7" s="1"/>
      <c r="X7" s="1">
        <f t="shared" ca="1" si="16"/>
        <v>5.7726317909147609</v>
      </c>
      <c r="Y7" s="1">
        <f t="shared" ca="1" si="17"/>
        <v>0.8860400933503173</v>
      </c>
      <c r="Z7" s="1">
        <f t="shared" ca="1" si="18"/>
        <v>598</v>
      </c>
      <c r="AB7" s="1">
        <f t="shared" ca="1" si="19"/>
        <v>0.21700412441730613</v>
      </c>
      <c r="AC7" s="1">
        <f t="shared" ca="1" si="20"/>
        <v>399</v>
      </c>
      <c r="AD7" s="1">
        <f t="shared" ca="1" si="21"/>
        <v>6.9536499564708159E-3</v>
      </c>
      <c r="AE7" s="1"/>
      <c r="AF7" s="1">
        <f t="shared" ca="1" si="22"/>
        <v>0.27547657145406212</v>
      </c>
      <c r="AG7" s="1">
        <f t="shared" ca="1" si="23"/>
        <v>312</v>
      </c>
      <c r="AH7" s="1">
        <f t="shared" ca="1" si="24"/>
        <v>8.5538977513835799E-3</v>
      </c>
      <c r="AJ7" s="1">
        <f t="shared" ca="1" si="25"/>
        <v>0.80670873971706369</v>
      </c>
      <c r="AK7" s="1">
        <f t="shared" ca="1" si="26"/>
        <v>7.5265061491204006E-3</v>
      </c>
      <c r="AL7" s="1"/>
      <c r="AM7" s="1">
        <f t="shared" ca="1" si="27"/>
        <v>0.13776493577713467</v>
      </c>
      <c r="AN7" s="1">
        <f t="shared" ca="1" si="28"/>
        <v>50</v>
      </c>
      <c r="AO7" s="1">
        <f t="shared" ca="1" si="29"/>
        <v>17</v>
      </c>
      <c r="AQ7" s="1">
        <f t="shared" ca="1" si="30"/>
        <v>59</v>
      </c>
      <c r="AR7" s="1">
        <f t="shared" ca="1" si="31"/>
        <v>1</v>
      </c>
      <c r="AS7" s="1">
        <f t="shared" ca="1" si="32"/>
        <v>35</v>
      </c>
      <c r="AU7" s="1">
        <f t="shared" ca="1" si="33"/>
        <v>54</v>
      </c>
      <c r="AV7" s="1">
        <f t="shared" ca="1" si="34"/>
        <v>2</v>
      </c>
      <c r="AW7" s="1">
        <f t="shared" ca="1" si="35"/>
        <v>7.7397646889959121E-2</v>
      </c>
      <c r="AY7" s="1">
        <f t="shared" ca="1" si="36"/>
        <v>1.4015444655806952</v>
      </c>
      <c r="AZ7" s="1">
        <f t="shared" ca="1" si="37"/>
        <v>466</v>
      </c>
      <c r="BA7" s="1">
        <f t="shared" ca="1" si="38"/>
        <v>7.9464048733525125E-3</v>
      </c>
    </row>
    <row r="8" spans="2:65" x14ac:dyDescent="0.25">
      <c r="B8">
        <f t="shared" ca="1" si="0"/>
        <v>685</v>
      </c>
      <c r="C8">
        <f t="shared" ca="1" si="1"/>
        <v>4</v>
      </c>
      <c r="D8">
        <f t="shared" ca="1" si="2"/>
        <v>0.12691486366215413</v>
      </c>
      <c r="F8" s="1">
        <f t="shared" ca="1" si="3"/>
        <v>22</v>
      </c>
      <c r="G8" s="1">
        <f t="shared" ca="1" si="4"/>
        <v>4</v>
      </c>
      <c r="H8" s="1">
        <f t="shared" ca="1" si="5"/>
        <v>4</v>
      </c>
      <c r="I8" s="1"/>
      <c r="J8" s="1">
        <f t="shared" ca="1" si="6"/>
        <v>25</v>
      </c>
      <c r="K8" s="1">
        <f t="shared" ca="1" si="7"/>
        <v>2.0378487618629015</v>
      </c>
      <c r="L8" s="1">
        <f t="shared" ca="1" si="8"/>
        <v>22</v>
      </c>
      <c r="M8" s="1"/>
      <c r="N8" s="1">
        <f t="shared" ca="1" si="9"/>
        <v>336</v>
      </c>
      <c r="O8" s="1">
        <f t="shared" ca="1" si="10"/>
        <v>18</v>
      </c>
      <c r="P8" s="1"/>
      <c r="Q8" s="1">
        <f t="shared" ca="1" si="11"/>
        <v>1.2147211611383324</v>
      </c>
      <c r="R8" s="1">
        <f t="shared" ca="1" si="12"/>
        <v>942</v>
      </c>
      <c r="S8" s="1"/>
      <c r="T8" s="1">
        <f t="shared" ca="1" si="13"/>
        <v>6.3210240347717078E-2</v>
      </c>
      <c r="U8" s="1">
        <f t="shared" ca="1" si="14"/>
        <v>303</v>
      </c>
      <c r="V8" s="1">
        <f t="shared" ca="1" si="15"/>
        <v>26</v>
      </c>
      <c r="W8" s="1"/>
      <c r="X8" s="1">
        <f t="shared" ca="1" si="16"/>
        <v>2.1409482185791204</v>
      </c>
      <c r="Y8" s="1">
        <f t="shared" ca="1" si="17"/>
        <v>0.30143222815381682</v>
      </c>
      <c r="Z8" s="1">
        <f t="shared" ca="1" si="18"/>
        <v>1078</v>
      </c>
      <c r="AB8" s="1">
        <f t="shared" ca="1" si="19"/>
        <v>0.1601718766109563</v>
      </c>
      <c r="AC8" s="1">
        <f t="shared" ca="1" si="20"/>
        <v>425</v>
      </c>
      <c r="AD8" s="1">
        <f t="shared" ca="1" si="21"/>
        <v>9.0779698311358934E-4</v>
      </c>
      <c r="AE8" s="1"/>
      <c r="AF8" s="1">
        <f t="shared" ca="1" si="22"/>
        <v>0.70884195141188766</v>
      </c>
      <c r="AG8" s="1">
        <f t="shared" ca="1" si="23"/>
        <v>342</v>
      </c>
      <c r="AH8" s="1">
        <f t="shared" ca="1" si="24"/>
        <v>2.993430938042378E-4</v>
      </c>
      <c r="AJ8" s="1">
        <f t="shared" ca="1" si="25"/>
        <v>0.12612971043700028</v>
      </c>
      <c r="AK8" s="1">
        <f t="shared" ca="1" si="26"/>
        <v>3.280333766665546E-3</v>
      </c>
      <c r="AL8" s="1"/>
      <c r="AM8" s="1">
        <f t="shared" ca="1" si="27"/>
        <v>0.16802141282472721</v>
      </c>
      <c r="AN8" s="1">
        <f t="shared" ca="1" si="28"/>
        <v>71</v>
      </c>
      <c r="AO8" s="1">
        <f t="shared" ca="1" si="29"/>
        <v>17</v>
      </c>
      <c r="AQ8" s="1">
        <f t="shared" ca="1" si="30"/>
        <v>67</v>
      </c>
      <c r="AR8" s="1">
        <f t="shared" ca="1" si="31"/>
        <v>7</v>
      </c>
      <c r="AS8" s="1">
        <f t="shared" ca="1" si="32"/>
        <v>36</v>
      </c>
      <c r="AU8" s="1">
        <f t="shared" ca="1" si="33"/>
        <v>395</v>
      </c>
      <c r="AV8" s="1">
        <f t="shared" ca="1" si="34"/>
        <v>3</v>
      </c>
      <c r="AW8" s="1">
        <f t="shared" ca="1" si="35"/>
        <v>0.10126196579051268</v>
      </c>
      <c r="AY8" s="1">
        <f t="shared" ca="1" si="36"/>
        <v>1.2328194208512504</v>
      </c>
      <c r="AZ8" s="1">
        <f t="shared" ca="1" si="37"/>
        <v>417</v>
      </c>
      <c r="BA8" s="1">
        <f t="shared" ca="1" si="38"/>
        <v>9.233491024757531E-3</v>
      </c>
    </row>
    <row r="9" spans="2:65" x14ac:dyDescent="0.25">
      <c r="B9">
        <f t="shared" ca="1" si="0"/>
        <v>117</v>
      </c>
      <c r="C9">
        <f t="shared" ca="1" si="1"/>
        <v>6</v>
      </c>
      <c r="D9">
        <f t="shared" ca="1" si="2"/>
        <v>0.26320566509763144</v>
      </c>
      <c r="F9" s="1">
        <f t="shared" ca="1" si="3"/>
        <v>4</v>
      </c>
      <c r="G9" s="1">
        <f t="shared" ca="1" si="4"/>
        <v>2</v>
      </c>
      <c r="H9" s="1">
        <f t="shared" ca="1" si="5"/>
        <v>8</v>
      </c>
      <c r="I9" s="1"/>
      <c r="J9" s="1">
        <f t="shared" ca="1" si="6"/>
        <v>7</v>
      </c>
      <c r="K9" s="1">
        <f t="shared" ca="1" si="7"/>
        <v>1.6925533412942011</v>
      </c>
      <c r="L9" s="1">
        <f t="shared" ca="1" si="8"/>
        <v>25</v>
      </c>
      <c r="M9" s="1"/>
      <c r="N9" s="1">
        <f t="shared" ca="1" si="9"/>
        <v>910</v>
      </c>
      <c r="O9" s="1">
        <f t="shared" ca="1" si="10"/>
        <v>18</v>
      </c>
      <c r="P9" s="1"/>
      <c r="Q9" s="1">
        <f t="shared" ca="1" si="11"/>
        <v>2.7774140087597816</v>
      </c>
      <c r="R9" s="1">
        <f t="shared" ca="1" si="12"/>
        <v>1186</v>
      </c>
      <c r="S9" s="1"/>
      <c r="T9" s="1">
        <f t="shared" ca="1" si="13"/>
        <v>5.4285782410173102E-2</v>
      </c>
      <c r="U9" s="1">
        <f t="shared" ca="1" si="14"/>
        <v>118</v>
      </c>
      <c r="V9" s="1">
        <f t="shared" ca="1" si="15"/>
        <v>24</v>
      </c>
      <c r="W9" s="1"/>
      <c r="X9" s="1">
        <f t="shared" ca="1" si="16"/>
        <v>6.3177799698790142</v>
      </c>
      <c r="Y9" s="1">
        <f t="shared" ca="1" si="17"/>
        <v>8.8507925775352572E-3</v>
      </c>
      <c r="Z9" s="1">
        <f t="shared" ca="1" si="18"/>
        <v>1983</v>
      </c>
      <c r="AB9" s="1">
        <f t="shared" ca="1" si="19"/>
        <v>0.21358551117283311</v>
      </c>
      <c r="AC9" s="1">
        <f t="shared" ca="1" si="20"/>
        <v>171</v>
      </c>
      <c r="AD9" s="1">
        <f t="shared" ca="1" si="21"/>
        <v>5.822240176206697E-3</v>
      </c>
      <c r="AE9" s="1"/>
      <c r="AF9" s="1">
        <f t="shared" ca="1" si="22"/>
        <v>0.79101169735622379</v>
      </c>
      <c r="AG9" s="1">
        <f t="shared" ca="1" si="23"/>
        <v>679</v>
      </c>
      <c r="AH9" s="1">
        <f t="shared" ca="1" si="24"/>
        <v>4.3708975515483733E-3</v>
      </c>
      <c r="AJ9" s="1">
        <f t="shared" ca="1" si="25"/>
        <v>0.97359109714522063</v>
      </c>
      <c r="AK9" s="1">
        <f t="shared" ca="1" si="26"/>
        <v>8.3821740560051181E-3</v>
      </c>
      <c r="AL9" s="1"/>
      <c r="AM9" s="1">
        <f t="shared" ca="1" si="27"/>
        <v>0.13056053435650961</v>
      </c>
      <c r="AN9" s="1">
        <f t="shared" ca="1" si="28"/>
        <v>34</v>
      </c>
      <c r="AO9" s="1">
        <f t="shared" ca="1" si="29"/>
        <v>18</v>
      </c>
      <c r="AQ9" s="1">
        <f t="shared" ca="1" si="30"/>
        <v>82</v>
      </c>
      <c r="AR9" s="1">
        <f t="shared" ca="1" si="31"/>
        <v>6</v>
      </c>
      <c r="AS9" s="1">
        <f t="shared" ca="1" si="32"/>
        <v>96</v>
      </c>
      <c r="AU9" s="1">
        <f t="shared" ca="1" si="33"/>
        <v>284</v>
      </c>
      <c r="AV9" s="1">
        <f t="shared" ca="1" si="34"/>
        <v>3</v>
      </c>
      <c r="AW9" s="1">
        <f t="shared" ca="1" si="35"/>
        <v>5.4146016637266432E-2</v>
      </c>
      <c r="AY9" s="1">
        <f t="shared" ca="1" si="36"/>
        <v>1.5862184784747577</v>
      </c>
      <c r="AZ9" s="1">
        <f t="shared" ca="1" si="37"/>
        <v>355</v>
      </c>
      <c r="BA9" s="1">
        <f t="shared" ca="1" si="38"/>
        <v>3.7004763704202625E-3</v>
      </c>
    </row>
    <row r="10" spans="2:65" x14ac:dyDescent="0.25">
      <c r="B10">
        <f t="shared" ca="1" si="0"/>
        <v>221</v>
      </c>
      <c r="C10">
        <f t="shared" ca="1" si="1"/>
        <v>38</v>
      </c>
      <c r="D10">
        <f t="shared" ca="1" si="2"/>
        <v>0.16696030153063912</v>
      </c>
      <c r="F10" s="1">
        <f t="shared" ca="1" si="3"/>
        <v>29</v>
      </c>
      <c r="G10" s="1">
        <f t="shared" ca="1" si="4"/>
        <v>24</v>
      </c>
      <c r="H10" s="1">
        <f t="shared" ca="1" si="5"/>
        <v>3</v>
      </c>
      <c r="I10" s="1"/>
      <c r="J10" s="1">
        <f t="shared" ca="1" si="6"/>
        <v>20</v>
      </c>
      <c r="K10" s="1">
        <f t="shared" ca="1" si="7"/>
        <v>1.2270593922451445</v>
      </c>
      <c r="L10" s="1">
        <f t="shared" ca="1" si="8"/>
        <v>21</v>
      </c>
      <c r="M10" s="1"/>
      <c r="N10" s="1">
        <f t="shared" ca="1" si="9"/>
        <v>980</v>
      </c>
      <c r="O10" s="1">
        <f t="shared" ca="1" si="10"/>
        <v>13</v>
      </c>
      <c r="P10" s="1"/>
      <c r="Q10" s="1">
        <f t="shared" ca="1" si="11"/>
        <v>0.84781081544513448</v>
      </c>
      <c r="R10" s="1">
        <f t="shared" ca="1" si="12"/>
        <v>961</v>
      </c>
      <c r="S10" s="1"/>
      <c r="T10" s="1">
        <f t="shared" ca="1" si="13"/>
        <v>8.3662040900895684E-2</v>
      </c>
      <c r="U10" s="1">
        <f t="shared" ca="1" si="14"/>
        <v>116</v>
      </c>
      <c r="V10" s="1">
        <f t="shared" ca="1" si="15"/>
        <v>13</v>
      </c>
      <c r="W10" s="1"/>
      <c r="X10" s="1">
        <f t="shared" ca="1" si="16"/>
        <v>9.7726465283310926</v>
      </c>
      <c r="Y10" s="1">
        <f t="shared" ca="1" si="17"/>
        <v>0.65311536972533002</v>
      </c>
      <c r="Z10" s="1">
        <f t="shared" ca="1" si="18"/>
        <v>236</v>
      </c>
      <c r="AB10" s="1">
        <f t="shared" ca="1" si="19"/>
        <v>0.36858210354266241</v>
      </c>
      <c r="AC10" s="1">
        <f t="shared" ca="1" si="20"/>
        <v>292</v>
      </c>
      <c r="AD10" s="1">
        <f t="shared" ca="1" si="21"/>
        <v>8.2337631227086955E-3</v>
      </c>
      <c r="AE10" s="1"/>
      <c r="AF10" s="1">
        <f t="shared" ca="1" si="22"/>
        <v>0.15885695746585871</v>
      </c>
      <c r="AG10" s="1">
        <f t="shared" ca="1" si="23"/>
        <v>233</v>
      </c>
      <c r="AH10" s="1">
        <f t="shared" ca="1" si="24"/>
        <v>7.7746397662492358E-3</v>
      </c>
      <c r="AJ10" s="1">
        <f t="shared" ca="1" si="25"/>
        <v>0.1906095243368594</v>
      </c>
      <c r="AK10" s="1">
        <f t="shared" ca="1" si="26"/>
        <v>7.9154300356211321E-3</v>
      </c>
      <c r="AL10" s="1"/>
      <c r="AM10" s="1">
        <f t="shared" ca="1" si="27"/>
        <v>5.5317087947848592E-2</v>
      </c>
      <c r="AN10" s="1">
        <f t="shared" ca="1" si="28"/>
        <v>68</v>
      </c>
      <c r="AO10" s="1">
        <f t="shared" ca="1" si="29"/>
        <v>4</v>
      </c>
      <c r="AQ10" s="1">
        <f t="shared" ca="1" si="30"/>
        <v>160</v>
      </c>
      <c r="AR10" s="1">
        <f t="shared" ca="1" si="31"/>
        <v>6</v>
      </c>
      <c r="AS10" s="1">
        <f t="shared" ca="1" si="32"/>
        <v>3</v>
      </c>
      <c r="AU10" s="1">
        <f t="shared" ca="1" si="33"/>
        <v>70</v>
      </c>
      <c r="AV10" s="1">
        <f t="shared" ca="1" si="34"/>
        <v>5</v>
      </c>
      <c r="AW10" s="1">
        <f t="shared" ca="1" si="35"/>
        <v>1.1888031135424939E-2</v>
      </c>
      <c r="AY10" s="1">
        <f t="shared" ca="1" si="36"/>
        <v>1.7818297235556082</v>
      </c>
      <c r="AZ10" s="1">
        <f t="shared" ca="1" si="37"/>
        <v>237</v>
      </c>
      <c r="BA10" s="1">
        <f t="shared" ca="1" si="38"/>
        <v>4.1565819016392246E-3</v>
      </c>
    </row>
    <row r="11" spans="2:65" x14ac:dyDescent="0.25">
      <c r="B11">
        <f t="shared" ca="1" si="0"/>
        <v>697</v>
      </c>
      <c r="C11">
        <f t="shared" ca="1" si="1"/>
        <v>19</v>
      </c>
      <c r="D11">
        <f t="shared" ca="1" si="2"/>
        <v>0.2616071489965881</v>
      </c>
      <c r="F11" s="1">
        <f t="shared" ca="1" si="3"/>
        <v>14</v>
      </c>
      <c r="G11" s="1">
        <f t="shared" ca="1" si="4"/>
        <v>2</v>
      </c>
      <c r="H11" s="1">
        <f t="shared" ca="1" si="5"/>
        <v>10</v>
      </c>
      <c r="I11" s="1"/>
      <c r="J11" s="1">
        <f t="shared" ca="1" si="6"/>
        <v>39</v>
      </c>
      <c r="K11" s="1">
        <f t="shared" ca="1" si="7"/>
        <v>2.7149321806253779</v>
      </c>
      <c r="L11" s="1">
        <f t="shared" ca="1" si="8"/>
        <v>31</v>
      </c>
      <c r="M11" s="1"/>
      <c r="N11" s="1">
        <f t="shared" ca="1" si="9"/>
        <v>251</v>
      </c>
      <c r="O11" s="1">
        <f t="shared" ca="1" si="10"/>
        <v>27</v>
      </c>
      <c r="P11" s="1"/>
      <c r="Q11" s="1">
        <f t="shared" ca="1" si="11"/>
        <v>1.6704203531654467</v>
      </c>
      <c r="R11" s="1">
        <f t="shared" ca="1" si="12"/>
        <v>1107</v>
      </c>
      <c r="S11" s="1"/>
      <c r="T11" s="1">
        <f t="shared" ca="1" si="13"/>
        <v>4.1837197823590952E-2</v>
      </c>
      <c r="U11" s="1">
        <f t="shared" ca="1" si="14"/>
        <v>328</v>
      </c>
      <c r="V11" s="1">
        <f t="shared" ca="1" si="15"/>
        <v>13</v>
      </c>
      <c r="W11" s="1"/>
      <c r="X11" s="1">
        <f t="shared" ca="1" si="16"/>
        <v>9.8522156690338747</v>
      </c>
      <c r="Y11" s="1">
        <f t="shared" ca="1" si="17"/>
        <v>0.48233170648426599</v>
      </c>
      <c r="Z11" s="1">
        <f t="shared" ca="1" si="18"/>
        <v>716</v>
      </c>
      <c r="AB11" s="1">
        <f t="shared" ca="1" si="19"/>
        <v>8.5316605668936035E-2</v>
      </c>
      <c r="AC11" s="1">
        <f t="shared" ca="1" si="20"/>
        <v>329</v>
      </c>
      <c r="AD11" s="1">
        <f t="shared" ca="1" si="21"/>
        <v>6.7559770133833446E-3</v>
      </c>
      <c r="AE11" s="1"/>
      <c r="AF11" s="1">
        <f t="shared" ca="1" si="22"/>
        <v>0.37200456704846396</v>
      </c>
      <c r="AG11" s="1">
        <f t="shared" ca="1" si="23"/>
        <v>908</v>
      </c>
      <c r="AH11" s="1">
        <f t="shared" ca="1" si="24"/>
        <v>6.2649994952332861E-3</v>
      </c>
      <c r="AJ11" s="1">
        <f t="shared" ca="1" si="25"/>
        <v>0.96103983303505158</v>
      </c>
      <c r="AK11" s="1">
        <f t="shared" ca="1" si="26"/>
        <v>4.4543758678610886E-3</v>
      </c>
      <c r="AL11" s="1"/>
      <c r="AM11" s="1">
        <f t="shared" ca="1" si="27"/>
        <v>0.10848979182562904</v>
      </c>
      <c r="AN11" s="1">
        <f t="shared" ca="1" si="28"/>
        <v>71</v>
      </c>
      <c r="AO11" s="1">
        <f t="shared" ca="1" si="29"/>
        <v>13</v>
      </c>
      <c r="AQ11" s="1">
        <f t="shared" ca="1" si="30"/>
        <v>187</v>
      </c>
      <c r="AR11" s="1">
        <f t="shared" ca="1" si="31"/>
        <v>1</v>
      </c>
      <c r="AS11" s="1">
        <f t="shared" ca="1" si="32"/>
        <v>15</v>
      </c>
      <c r="AU11" s="1">
        <f t="shared" ca="1" si="33"/>
        <v>168</v>
      </c>
      <c r="AV11" s="1">
        <f t="shared" ca="1" si="34"/>
        <v>10</v>
      </c>
      <c r="AW11" s="1">
        <f t="shared" ca="1" si="35"/>
        <v>0.19737980100313227</v>
      </c>
      <c r="AY11" s="1">
        <f t="shared" ca="1" si="36"/>
        <v>1.197361669766561</v>
      </c>
      <c r="AZ11" s="1">
        <f t="shared" ca="1" si="37"/>
        <v>391</v>
      </c>
      <c r="BA11" s="1">
        <f t="shared" ca="1" si="38"/>
        <v>5.6828825128423894E-3</v>
      </c>
    </row>
    <row r="12" spans="2:65" x14ac:dyDescent="0.25">
      <c r="B12">
        <f t="shared" ca="1" si="0"/>
        <v>69</v>
      </c>
      <c r="C12">
        <f t="shared" ca="1" si="1"/>
        <v>35</v>
      </c>
      <c r="D12">
        <f t="shared" ca="1" si="2"/>
        <v>2.4967551650069829E-2</v>
      </c>
      <c r="F12" s="1">
        <f t="shared" ca="1" si="3"/>
        <v>48</v>
      </c>
      <c r="G12" s="1">
        <f t="shared" ca="1" si="4"/>
        <v>19</v>
      </c>
      <c r="H12" s="1">
        <f t="shared" ca="1" si="5"/>
        <v>15</v>
      </c>
      <c r="I12" s="1"/>
      <c r="J12" s="1">
        <f t="shared" ca="1" si="6"/>
        <v>26</v>
      </c>
      <c r="K12" s="1">
        <f t="shared" ca="1" si="7"/>
        <v>2.5890810048983002</v>
      </c>
      <c r="L12" s="1">
        <f t="shared" ca="1" si="8"/>
        <v>2</v>
      </c>
      <c r="M12" s="1"/>
      <c r="N12" s="1">
        <f t="shared" ca="1" si="9"/>
        <v>858</v>
      </c>
      <c r="O12" s="1">
        <f t="shared" ca="1" si="10"/>
        <v>47</v>
      </c>
      <c r="P12" s="1"/>
      <c r="Q12" s="1">
        <f t="shared" ca="1" si="11"/>
        <v>1.5067004730482119</v>
      </c>
      <c r="R12" s="1">
        <f t="shared" ca="1" si="12"/>
        <v>415</v>
      </c>
      <c r="S12" s="1"/>
      <c r="T12" s="1">
        <f t="shared" ca="1" si="13"/>
        <v>1.8307832854033028E-2</v>
      </c>
      <c r="U12" s="1">
        <f t="shared" ca="1" si="14"/>
        <v>197</v>
      </c>
      <c r="V12" s="1">
        <f t="shared" ca="1" si="15"/>
        <v>16</v>
      </c>
      <c r="W12" s="1"/>
      <c r="X12" s="1">
        <f t="shared" ca="1" si="16"/>
        <v>7.3251795586781077</v>
      </c>
      <c r="Y12" s="1">
        <f t="shared" ca="1" si="17"/>
        <v>0.39706685584302526</v>
      </c>
      <c r="Z12" s="1">
        <f t="shared" ca="1" si="18"/>
        <v>1176</v>
      </c>
      <c r="AB12" s="1">
        <f t="shared" ca="1" si="19"/>
        <v>0.26980772349118337</v>
      </c>
      <c r="AC12" s="1">
        <f t="shared" ca="1" si="20"/>
        <v>723</v>
      </c>
      <c r="AD12" s="1">
        <f t="shared" ca="1" si="21"/>
        <v>3.5889690158473157E-3</v>
      </c>
      <c r="AE12" s="1"/>
      <c r="AF12" s="1">
        <f t="shared" ca="1" si="22"/>
        <v>0.57641316059547332</v>
      </c>
      <c r="AG12" s="1">
        <f t="shared" ca="1" si="23"/>
        <v>912</v>
      </c>
      <c r="AH12" s="1">
        <f t="shared" ca="1" si="24"/>
        <v>5.6351220656977469E-3</v>
      </c>
      <c r="AJ12" s="1">
        <f t="shared" ca="1" si="25"/>
        <v>4.5055657025424467E-2</v>
      </c>
      <c r="AK12" s="1">
        <f t="shared" ca="1" si="26"/>
        <v>6.1028589942763974E-3</v>
      </c>
      <c r="AL12" s="1"/>
      <c r="AM12" s="1">
        <f t="shared" ca="1" si="27"/>
        <v>0.11718801615098035</v>
      </c>
      <c r="AN12" s="1">
        <f t="shared" ca="1" si="28"/>
        <v>23</v>
      </c>
      <c r="AO12" s="1">
        <f t="shared" ca="1" si="29"/>
        <v>16</v>
      </c>
      <c r="AQ12" s="1">
        <f t="shared" ca="1" si="30"/>
        <v>185</v>
      </c>
      <c r="AR12" s="1">
        <f t="shared" ca="1" si="31"/>
        <v>10</v>
      </c>
      <c r="AS12" s="1">
        <f t="shared" ca="1" si="32"/>
        <v>100</v>
      </c>
      <c r="AU12" s="1">
        <f t="shared" ca="1" si="33"/>
        <v>73</v>
      </c>
      <c r="AV12" s="1">
        <f t="shared" ca="1" si="34"/>
        <v>7</v>
      </c>
      <c r="AW12" s="1">
        <f t="shared" ca="1" si="35"/>
        <v>6.9627121897842092E-2</v>
      </c>
      <c r="AY12" s="1">
        <f t="shared" ca="1" si="36"/>
        <v>1.1930032476449133</v>
      </c>
      <c r="AZ12" s="1">
        <f t="shared" ca="1" si="37"/>
        <v>64</v>
      </c>
      <c r="BA12" s="1">
        <f t="shared" ca="1" si="38"/>
        <v>5.2186489561541656E-3</v>
      </c>
    </row>
    <row r="13" spans="2:65" x14ac:dyDescent="0.25">
      <c r="B13">
        <f t="shared" ca="1" si="0"/>
        <v>122</v>
      </c>
      <c r="C13">
        <f t="shared" ca="1" si="1"/>
        <v>29</v>
      </c>
      <c r="D13">
        <f t="shared" ca="1" si="2"/>
        <v>0.26558682180028137</v>
      </c>
      <c r="F13" s="1">
        <f t="shared" ca="1" si="3"/>
        <v>41</v>
      </c>
      <c r="G13" s="1">
        <f t="shared" ca="1" si="4"/>
        <v>7</v>
      </c>
      <c r="H13" s="1">
        <f t="shared" ca="1" si="5"/>
        <v>9</v>
      </c>
      <c r="I13" s="1"/>
      <c r="J13" s="1">
        <f t="shared" ca="1" si="6"/>
        <v>17</v>
      </c>
      <c r="K13" s="1">
        <f t="shared" ca="1" si="7"/>
        <v>1.9182072516248645</v>
      </c>
      <c r="L13" s="1">
        <f t="shared" ca="1" si="8"/>
        <v>2</v>
      </c>
      <c r="M13" s="1"/>
      <c r="N13" s="1">
        <f t="shared" ca="1" si="9"/>
        <v>985</v>
      </c>
      <c r="O13" s="1">
        <f t="shared" ca="1" si="10"/>
        <v>46</v>
      </c>
      <c r="P13" s="1"/>
      <c r="Q13" s="1">
        <f t="shared" ca="1" si="11"/>
        <v>1.2953423519908731</v>
      </c>
      <c r="R13" s="1">
        <f t="shared" ca="1" si="12"/>
        <v>438</v>
      </c>
      <c r="S13" s="1"/>
      <c r="T13" s="1">
        <f t="shared" ca="1" si="13"/>
        <v>0.14544001653206234</v>
      </c>
      <c r="U13" s="1">
        <f t="shared" ca="1" si="14"/>
        <v>410</v>
      </c>
      <c r="V13" s="1">
        <f t="shared" ca="1" si="15"/>
        <v>19</v>
      </c>
      <c r="W13" s="1"/>
      <c r="X13" s="1">
        <f t="shared" ca="1" si="16"/>
        <v>8.5828273395592589</v>
      </c>
      <c r="Y13" s="1">
        <f t="shared" ca="1" si="17"/>
        <v>0.2416896974709879</v>
      </c>
      <c r="Z13" s="1">
        <f t="shared" ca="1" si="18"/>
        <v>1165</v>
      </c>
      <c r="AB13" s="1">
        <f t="shared" ca="1" si="19"/>
        <v>0.86801466423970164</v>
      </c>
      <c r="AC13" s="1">
        <f t="shared" ca="1" si="20"/>
        <v>298</v>
      </c>
      <c r="AD13" s="1">
        <f t="shared" ca="1" si="21"/>
        <v>1.1008212762284235E-3</v>
      </c>
      <c r="AE13" s="1"/>
      <c r="AF13" s="1">
        <f t="shared" ca="1" si="22"/>
        <v>0.13276829603173257</v>
      </c>
      <c r="AG13" s="1">
        <f t="shared" ca="1" si="23"/>
        <v>636</v>
      </c>
      <c r="AH13" s="1">
        <f t="shared" ca="1" si="24"/>
        <v>8.5843451662506697E-3</v>
      </c>
      <c r="AJ13" s="1">
        <f t="shared" ca="1" si="25"/>
        <v>0.52598107244065628</v>
      </c>
      <c r="AK13" s="1">
        <f t="shared" ca="1" si="26"/>
        <v>6.102948426859791E-3</v>
      </c>
      <c r="AL13" s="1"/>
      <c r="AM13" s="1">
        <f t="shared" ca="1" si="27"/>
        <v>6.4379644335635533E-2</v>
      </c>
      <c r="AN13" s="1">
        <f t="shared" ca="1" si="28"/>
        <v>69</v>
      </c>
      <c r="AO13" s="1">
        <f t="shared" ca="1" si="29"/>
        <v>15</v>
      </c>
      <c r="AQ13" s="1">
        <f t="shared" ca="1" si="30"/>
        <v>175</v>
      </c>
      <c r="AR13" s="1">
        <f t="shared" ca="1" si="31"/>
        <v>7</v>
      </c>
      <c r="AS13" s="1">
        <f t="shared" ca="1" si="32"/>
        <v>32</v>
      </c>
      <c r="AU13" s="1">
        <f t="shared" ca="1" si="33"/>
        <v>159</v>
      </c>
      <c r="AV13" s="1">
        <f t="shared" ca="1" si="34"/>
        <v>3</v>
      </c>
      <c r="AW13" s="1">
        <f t="shared" ca="1" si="35"/>
        <v>7.9853974651197993E-2</v>
      </c>
      <c r="AY13" s="1">
        <f t="shared" ca="1" si="36"/>
        <v>1.8945409560105713</v>
      </c>
      <c r="AZ13" s="1">
        <f t="shared" ca="1" si="37"/>
        <v>91</v>
      </c>
      <c r="BA13" s="1">
        <f t="shared" ca="1" si="38"/>
        <v>9.4635805931337965E-3</v>
      </c>
    </row>
    <row r="14" spans="2:65" x14ac:dyDescent="0.25">
      <c r="B14">
        <f t="shared" ca="1" si="0"/>
        <v>109</v>
      </c>
      <c r="C14">
        <f t="shared" ca="1" si="1"/>
        <v>9</v>
      </c>
      <c r="D14">
        <f t="shared" ca="1" si="2"/>
        <v>0.18143627717086641</v>
      </c>
      <c r="F14" s="1">
        <f t="shared" ca="1" si="3"/>
        <v>32</v>
      </c>
      <c r="G14" s="1">
        <f t="shared" ca="1" si="4"/>
        <v>16</v>
      </c>
      <c r="H14" s="1">
        <f t="shared" ca="1" si="5"/>
        <v>7</v>
      </c>
      <c r="I14" s="1"/>
      <c r="J14" s="1">
        <f t="shared" ca="1" si="6"/>
        <v>30</v>
      </c>
      <c r="K14" s="1">
        <f t="shared" ca="1" si="7"/>
        <v>2.8054987250879728</v>
      </c>
      <c r="L14" s="1">
        <f t="shared" ca="1" si="8"/>
        <v>8</v>
      </c>
      <c r="M14" s="1"/>
      <c r="N14" s="1">
        <f t="shared" ca="1" si="9"/>
        <v>117</v>
      </c>
      <c r="O14" s="1">
        <f t="shared" ca="1" si="10"/>
        <v>7</v>
      </c>
      <c r="P14" s="1"/>
      <c r="Q14" s="1">
        <f t="shared" ca="1" si="11"/>
        <v>3.0627106847830929</v>
      </c>
      <c r="R14" s="1">
        <f t="shared" ca="1" si="12"/>
        <v>893</v>
      </c>
      <c r="S14" s="1"/>
      <c r="T14" s="1">
        <f t="shared" ca="1" si="13"/>
        <v>0.13677367390702003</v>
      </c>
      <c r="U14" s="1">
        <f t="shared" ca="1" si="14"/>
        <v>96</v>
      </c>
      <c r="V14" s="1">
        <f t="shared" ca="1" si="15"/>
        <v>52</v>
      </c>
      <c r="W14" s="1"/>
      <c r="X14" s="1">
        <f t="shared" ca="1" si="16"/>
        <v>9.0321413647709523</v>
      </c>
      <c r="Y14" s="1">
        <f t="shared" ca="1" si="17"/>
        <v>0.96760727805059599</v>
      </c>
      <c r="Z14" s="1">
        <f t="shared" ca="1" si="18"/>
        <v>157</v>
      </c>
      <c r="AB14" s="1">
        <f t="shared" ca="1" si="19"/>
        <v>0.7757126523444261</v>
      </c>
      <c r="AC14" s="1">
        <f t="shared" ca="1" si="20"/>
        <v>565</v>
      </c>
      <c r="AD14" s="1">
        <f t="shared" ca="1" si="21"/>
        <v>4.8808940657113177E-3</v>
      </c>
      <c r="AE14" s="1"/>
      <c r="AF14" s="1">
        <f t="shared" ca="1" si="22"/>
        <v>0.88744038535836367</v>
      </c>
      <c r="AG14" s="1">
        <f t="shared" ca="1" si="23"/>
        <v>854</v>
      </c>
      <c r="AH14" s="1">
        <f t="shared" ca="1" si="24"/>
        <v>8.6965383032536359E-3</v>
      </c>
      <c r="AJ14" s="1">
        <f t="shared" ca="1" si="25"/>
        <v>6.1065214739699503E-2</v>
      </c>
      <c r="AK14" s="1">
        <f t="shared" ca="1" si="26"/>
        <v>5.2698593478018411E-3</v>
      </c>
      <c r="AL14" s="1"/>
      <c r="AM14" s="1">
        <f t="shared" ca="1" si="27"/>
        <v>4.1829158842564086E-2</v>
      </c>
      <c r="AN14" s="1">
        <f t="shared" ca="1" si="28"/>
        <v>56</v>
      </c>
      <c r="AO14" s="1">
        <f t="shared" ca="1" si="29"/>
        <v>6</v>
      </c>
      <c r="AQ14" s="1">
        <f t="shared" ca="1" si="30"/>
        <v>131</v>
      </c>
      <c r="AR14" s="1">
        <f t="shared" ca="1" si="31"/>
        <v>7</v>
      </c>
      <c r="AS14" s="1">
        <f t="shared" ca="1" si="32"/>
        <v>34</v>
      </c>
      <c r="AU14" s="1">
        <f t="shared" ca="1" si="33"/>
        <v>352</v>
      </c>
      <c r="AV14" s="1">
        <f t="shared" ca="1" si="34"/>
        <v>3</v>
      </c>
      <c r="AW14" s="1">
        <f t="shared" ca="1" si="35"/>
        <v>0.19223035495883703</v>
      </c>
      <c r="AY14" s="1">
        <f t="shared" ca="1" si="36"/>
        <v>1.5761531441665835</v>
      </c>
      <c r="AZ14" s="1">
        <f t="shared" ca="1" si="37"/>
        <v>150</v>
      </c>
      <c r="BA14" s="1">
        <f t="shared" ca="1" si="38"/>
        <v>4.839254729761479E-3</v>
      </c>
    </row>
    <row r="15" spans="2:65" x14ac:dyDescent="0.25">
      <c r="B15">
        <f t="shared" ca="1" si="0"/>
        <v>707</v>
      </c>
      <c r="C15">
        <f t="shared" ca="1" si="1"/>
        <v>7</v>
      </c>
      <c r="D15">
        <f t="shared" ca="1" si="2"/>
        <v>0.12646524773931658</v>
      </c>
      <c r="F15" s="1">
        <f t="shared" ca="1" si="3"/>
        <v>3</v>
      </c>
      <c r="G15" s="1">
        <f t="shared" ca="1" si="4"/>
        <v>11</v>
      </c>
      <c r="H15" s="1">
        <f t="shared" ca="1" si="5"/>
        <v>12</v>
      </c>
      <c r="I15" s="1"/>
      <c r="J15" s="1">
        <f t="shared" ca="1" si="6"/>
        <v>35</v>
      </c>
      <c r="K15" s="1">
        <f t="shared" ca="1" si="7"/>
        <v>2.2725647056984228</v>
      </c>
      <c r="L15" s="1">
        <f t="shared" ca="1" si="8"/>
        <v>16</v>
      </c>
      <c r="M15" s="1"/>
      <c r="N15" s="1">
        <f t="shared" ca="1" si="9"/>
        <v>960</v>
      </c>
      <c r="O15" s="1">
        <f t="shared" ca="1" si="10"/>
        <v>24</v>
      </c>
      <c r="P15" s="1"/>
      <c r="Q15" s="1">
        <f t="shared" ca="1" si="11"/>
        <v>1.0013168048308467</v>
      </c>
      <c r="R15" s="1">
        <f t="shared" ca="1" si="12"/>
        <v>1087</v>
      </c>
      <c r="S15" s="1"/>
      <c r="T15" s="1">
        <f t="shared" ca="1" si="13"/>
        <v>2.6698654137793335E-2</v>
      </c>
      <c r="U15" s="1">
        <f t="shared" ca="1" si="14"/>
        <v>352</v>
      </c>
      <c r="V15" s="1">
        <f t="shared" ca="1" si="15"/>
        <v>19</v>
      </c>
      <c r="W15" s="1"/>
      <c r="X15" s="1">
        <f t="shared" ca="1" si="16"/>
        <v>6.7828253378569974</v>
      </c>
      <c r="Y15" s="1">
        <f t="shared" ca="1" si="17"/>
        <v>0.2882188085371985</v>
      </c>
      <c r="Z15" s="1">
        <f t="shared" ca="1" si="18"/>
        <v>1325</v>
      </c>
      <c r="AB15" s="1">
        <f t="shared" ca="1" si="19"/>
        <v>0.11243393921060169</v>
      </c>
      <c r="AC15" s="1">
        <f t="shared" ca="1" si="20"/>
        <v>101</v>
      </c>
      <c r="AD15" s="1">
        <f t="shared" ca="1" si="21"/>
        <v>1.1238213362024553E-3</v>
      </c>
      <c r="AE15" s="1"/>
      <c r="AF15" s="1">
        <f t="shared" ca="1" si="22"/>
        <v>0.16895608968252923</v>
      </c>
      <c r="AG15" s="1">
        <f t="shared" ca="1" si="23"/>
        <v>904</v>
      </c>
      <c r="AH15" s="1">
        <f t="shared" ca="1" si="24"/>
        <v>4.624065154671661E-3</v>
      </c>
      <c r="AJ15" s="1">
        <f t="shared" ca="1" si="25"/>
        <v>0.25562279497812568</v>
      </c>
      <c r="AK15" s="1">
        <f t="shared" ca="1" si="26"/>
        <v>7.2678958359733373E-3</v>
      </c>
      <c r="AL15" s="1"/>
      <c r="AM15" s="1">
        <f t="shared" ca="1" si="27"/>
        <v>0.12084604191246599</v>
      </c>
      <c r="AN15" s="1">
        <f t="shared" ca="1" si="28"/>
        <v>57</v>
      </c>
      <c r="AO15" s="1">
        <f t="shared" ca="1" si="29"/>
        <v>1</v>
      </c>
      <c r="AQ15" s="1">
        <f t="shared" ca="1" si="30"/>
        <v>124</v>
      </c>
      <c r="AR15" s="1">
        <f t="shared" ca="1" si="31"/>
        <v>2</v>
      </c>
      <c r="AS15" s="1">
        <f t="shared" ca="1" si="32"/>
        <v>10</v>
      </c>
      <c r="AU15" s="1">
        <f t="shared" ca="1" si="33"/>
        <v>58</v>
      </c>
      <c r="AV15" s="1">
        <f t="shared" ca="1" si="34"/>
        <v>4</v>
      </c>
      <c r="AW15" s="1">
        <f t="shared" ca="1" si="35"/>
        <v>0.18709680465200162</v>
      </c>
      <c r="AY15" s="1">
        <f t="shared" ca="1" si="36"/>
        <v>1.7677460542005996</v>
      </c>
      <c r="AZ15" s="1">
        <f t="shared" ca="1" si="37"/>
        <v>152</v>
      </c>
      <c r="BA15" s="1">
        <f t="shared" ca="1" si="38"/>
        <v>5.2739486502964674E-3</v>
      </c>
    </row>
    <row r="16" spans="2:65" x14ac:dyDescent="0.25">
      <c r="B16">
        <f t="shared" ca="1" si="0"/>
        <v>371</v>
      </c>
      <c r="C16">
        <f t="shared" ca="1" si="1"/>
        <v>33</v>
      </c>
      <c r="D16">
        <f t="shared" ca="1" si="2"/>
        <v>3.6928834621971399E-2</v>
      </c>
      <c r="F16" s="1">
        <f t="shared" ca="1" si="3"/>
        <v>2</v>
      </c>
      <c r="G16" s="1">
        <f t="shared" ca="1" si="4"/>
        <v>3</v>
      </c>
      <c r="H16" s="1">
        <f t="shared" ca="1" si="5"/>
        <v>9</v>
      </c>
      <c r="I16" s="1"/>
      <c r="J16" s="1">
        <f t="shared" ca="1" si="6"/>
        <v>27</v>
      </c>
      <c r="K16" s="1">
        <f t="shared" ca="1" si="7"/>
        <v>2.7850070146444477</v>
      </c>
      <c r="L16" s="1">
        <f t="shared" ca="1" si="8"/>
        <v>24</v>
      </c>
      <c r="M16" s="1"/>
      <c r="N16" s="1">
        <f t="shared" ca="1" si="9"/>
        <v>291</v>
      </c>
      <c r="O16" s="1">
        <f t="shared" ca="1" si="10"/>
        <v>24</v>
      </c>
      <c r="P16" s="1"/>
      <c r="Q16" s="1">
        <f t="shared" ca="1" si="11"/>
        <v>1.531552110443493</v>
      </c>
      <c r="R16" s="1">
        <f t="shared" ca="1" si="12"/>
        <v>658</v>
      </c>
      <c r="S16" s="1"/>
      <c r="T16" s="1">
        <f t="shared" ca="1" si="13"/>
        <v>8.1713773702999551E-2</v>
      </c>
      <c r="U16" s="1">
        <f t="shared" ca="1" si="14"/>
        <v>349</v>
      </c>
      <c r="V16" s="1">
        <f t="shared" ca="1" si="15"/>
        <v>41</v>
      </c>
      <c r="W16" s="1"/>
      <c r="X16" s="1">
        <f t="shared" ca="1" si="16"/>
        <v>0.24610146094709012</v>
      </c>
      <c r="Y16" s="1">
        <f t="shared" ca="1" si="17"/>
        <v>0.78629887439535251</v>
      </c>
      <c r="Z16" s="1">
        <f t="shared" ca="1" si="18"/>
        <v>1860</v>
      </c>
      <c r="AB16" s="1">
        <f t="shared" ca="1" si="19"/>
        <v>0.54991529593965982</v>
      </c>
      <c r="AC16" s="1">
        <f t="shared" ca="1" si="20"/>
        <v>227</v>
      </c>
      <c r="AD16" s="1">
        <f t="shared" ca="1" si="21"/>
        <v>6.0084678948422619E-3</v>
      </c>
      <c r="AE16" s="1"/>
      <c r="AF16" s="1">
        <f t="shared" ca="1" si="22"/>
        <v>0.69227952257867809</v>
      </c>
      <c r="AG16" s="1">
        <f t="shared" ca="1" si="23"/>
        <v>398</v>
      </c>
      <c r="AH16" s="1">
        <f t="shared" ca="1" si="24"/>
        <v>1.7566226712327393E-3</v>
      </c>
      <c r="AJ16" s="1">
        <f t="shared" ca="1" si="25"/>
        <v>0.9650897860860006</v>
      </c>
      <c r="AK16" s="1">
        <f t="shared" ca="1" si="26"/>
        <v>5.4583133567132798E-3</v>
      </c>
      <c r="AL16" s="1"/>
      <c r="AM16" s="1">
        <f t="shared" ca="1" si="27"/>
        <v>8.4281142131311208E-3</v>
      </c>
      <c r="AN16" s="1">
        <f t="shared" ca="1" si="28"/>
        <v>70</v>
      </c>
      <c r="AO16" s="1">
        <f t="shared" ca="1" si="29"/>
        <v>8</v>
      </c>
      <c r="AQ16" s="1">
        <f t="shared" ca="1" si="30"/>
        <v>25</v>
      </c>
      <c r="AR16" s="1">
        <f t="shared" ca="1" si="31"/>
        <v>5</v>
      </c>
      <c r="AS16" s="1">
        <f t="shared" ca="1" si="32"/>
        <v>30</v>
      </c>
      <c r="AU16" s="1">
        <f t="shared" ca="1" si="33"/>
        <v>212</v>
      </c>
      <c r="AV16" s="1">
        <f t="shared" ca="1" si="34"/>
        <v>3</v>
      </c>
      <c r="AW16" s="1">
        <f t="shared" ca="1" si="35"/>
        <v>2.8072757912784976E-2</v>
      </c>
      <c r="AY16" s="1">
        <f t="shared" ca="1" si="36"/>
        <v>1.2478409625255067</v>
      </c>
      <c r="AZ16" s="1">
        <f t="shared" ca="1" si="37"/>
        <v>184</v>
      </c>
      <c r="BA16" s="1">
        <f t="shared" ca="1" si="38"/>
        <v>9.8179581268426613E-3</v>
      </c>
    </row>
    <row r="17" spans="2:53" x14ac:dyDescent="0.25">
      <c r="B17">
        <f t="shared" ca="1" si="0"/>
        <v>511</v>
      </c>
      <c r="C17">
        <f t="shared" ca="1" si="1"/>
        <v>20</v>
      </c>
      <c r="D17">
        <f t="shared" ca="1" si="2"/>
        <v>0.26326401063397564</v>
      </c>
      <c r="F17" s="1">
        <f t="shared" ca="1" si="3"/>
        <v>30</v>
      </c>
      <c r="G17" s="1">
        <f t="shared" ca="1" si="4"/>
        <v>3</v>
      </c>
      <c r="H17" s="1">
        <f t="shared" ca="1" si="5"/>
        <v>7</v>
      </c>
      <c r="I17" s="1"/>
      <c r="J17" s="1">
        <f t="shared" ca="1" si="6"/>
        <v>4</v>
      </c>
      <c r="K17" s="1">
        <f t="shared" ca="1" si="7"/>
        <v>2.5501772965412597</v>
      </c>
      <c r="L17" s="1">
        <f t="shared" ca="1" si="8"/>
        <v>17</v>
      </c>
      <c r="M17" s="1"/>
      <c r="N17" s="1">
        <f t="shared" ca="1" si="9"/>
        <v>22</v>
      </c>
      <c r="O17" s="1">
        <f t="shared" ca="1" si="10"/>
        <v>41</v>
      </c>
      <c r="P17" s="1"/>
      <c r="Q17" s="1">
        <f t="shared" ca="1" si="11"/>
        <v>1.958826743285627</v>
      </c>
      <c r="R17" s="1">
        <f t="shared" ca="1" si="12"/>
        <v>822</v>
      </c>
      <c r="S17" s="1"/>
      <c r="T17" s="1">
        <f t="shared" ca="1" si="13"/>
        <v>0.15559194408698826</v>
      </c>
      <c r="U17" s="1">
        <f t="shared" ca="1" si="14"/>
        <v>154</v>
      </c>
      <c r="V17" s="1">
        <f t="shared" ca="1" si="15"/>
        <v>3</v>
      </c>
      <c r="W17" s="1"/>
      <c r="X17" s="1">
        <f t="shared" ca="1" si="16"/>
        <v>7.0669353470668224</v>
      </c>
      <c r="Y17" s="1">
        <f t="shared" ca="1" si="17"/>
        <v>0.64240387238825103</v>
      </c>
      <c r="Z17" s="1">
        <f t="shared" ca="1" si="18"/>
        <v>694</v>
      </c>
      <c r="AB17" s="1">
        <f t="shared" ca="1" si="19"/>
        <v>0.27533338735643514</v>
      </c>
      <c r="AC17" s="1">
        <f t="shared" ca="1" si="20"/>
        <v>860</v>
      </c>
      <c r="AD17" s="1">
        <f t="shared" ca="1" si="21"/>
        <v>9.7466646005156424E-4</v>
      </c>
      <c r="AE17" s="1"/>
      <c r="AF17" s="1">
        <f t="shared" ca="1" si="22"/>
        <v>0.88865288894229344</v>
      </c>
      <c r="AG17" s="1">
        <f t="shared" ca="1" si="23"/>
        <v>267</v>
      </c>
      <c r="AH17" s="1">
        <f t="shared" ca="1" si="24"/>
        <v>2.5355188568575494E-3</v>
      </c>
      <c r="AJ17" s="1">
        <f t="shared" ca="1" si="25"/>
        <v>0.9677039606157497</v>
      </c>
      <c r="AK17" s="1">
        <f t="shared" ca="1" si="26"/>
        <v>6.163738939899026E-3</v>
      </c>
      <c r="AL17" s="1"/>
      <c r="AM17" s="1">
        <f t="shared" ca="1" si="27"/>
        <v>4.4844635252479094E-2</v>
      </c>
      <c r="AN17" s="1">
        <f t="shared" ca="1" si="28"/>
        <v>62</v>
      </c>
      <c r="AO17" s="1">
        <f t="shared" ca="1" si="29"/>
        <v>-1</v>
      </c>
      <c r="AQ17" s="1">
        <f t="shared" ca="1" si="30"/>
        <v>149</v>
      </c>
      <c r="AR17" s="1">
        <f t="shared" ca="1" si="31"/>
        <v>2</v>
      </c>
      <c r="AS17" s="1">
        <f t="shared" ca="1" si="32"/>
        <v>50</v>
      </c>
      <c r="AU17" s="1">
        <f t="shared" ca="1" si="33"/>
        <v>157</v>
      </c>
      <c r="AV17" s="1">
        <f t="shared" ca="1" si="34"/>
        <v>6</v>
      </c>
      <c r="AW17" s="1">
        <f t="shared" ca="1" si="35"/>
        <v>0.11317095968115282</v>
      </c>
      <c r="AY17" s="1">
        <f t="shared" ca="1" si="36"/>
        <v>1.1095089389822796</v>
      </c>
      <c r="AZ17" s="1">
        <f t="shared" ca="1" si="37"/>
        <v>451</v>
      </c>
      <c r="BA17" s="1">
        <f t="shared" ca="1" si="38"/>
        <v>9.3232021299000777E-3</v>
      </c>
    </row>
    <row r="18" spans="2:53" x14ac:dyDescent="0.25">
      <c r="B18">
        <f t="shared" ca="1" si="0"/>
        <v>690</v>
      </c>
      <c r="C18">
        <f t="shared" ca="1" si="1"/>
        <v>24</v>
      </c>
      <c r="D18">
        <f t="shared" ca="1" si="2"/>
        <v>0.22426002965751646</v>
      </c>
      <c r="F18" s="1">
        <f t="shared" ca="1" si="3"/>
        <v>7</v>
      </c>
      <c r="G18" s="1">
        <f t="shared" ca="1" si="4"/>
        <v>26</v>
      </c>
      <c r="H18" s="1">
        <f t="shared" ca="1" si="5"/>
        <v>6</v>
      </c>
      <c r="I18" s="1"/>
      <c r="J18" s="1">
        <f t="shared" ca="1" si="6"/>
        <v>32</v>
      </c>
      <c r="K18" s="1">
        <f t="shared" ca="1" si="7"/>
        <v>2.4088059157563335</v>
      </c>
      <c r="L18" s="1">
        <f t="shared" ca="1" si="8"/>
        <v>22</v>
      </c>
      <c r="M18" s="1"/>
      <c r="N18" s="1">
        <f t="shared" ca="1" si="9"/>
        <v>727</v>
      </c>
      <c r="O18" s="1">
        <f t="shared" ca="1" si="10"/>
        <v>15</v>
      </c>
      <c r="P18" s="1"/>
      <c r="Q18" s="1">
        <f t="shared" ca="1" si="11"/>
        <v>3.285235155570192</v>
      </c>
      <c r="R18" s="1">
        <f t="shared" ca="1" si="12"/>
        <v>446</v>
      </c>
      <c r="S18" s="1"/>
      <c r="T18" s="1">
        <f t="shared" ca="1" si="13"/>
        <v>0.15199767219952401</v>
      </c>
      <c r="U18" s="1">
        <f t="shared" ca="1" si="14"/>
        <v>383</v>
      </c>
      <c r="V18" s="1">
        <f t="shared" ca="1" si="15"/>
        <v>20</v>
      </c>
      <c r="W18" s="1"/>
      <c r="X18" s="1">
        <f t="shared" ca="1" si="16"/>
        <v>1.0119141529406543</v>
      </c>
      <c r="Y18" s="1">
        <f t="shared" ca="1" si="17"/>
        <v>0.56395787047039991</v>
      </c>
      <c r="Z18" s="1">
        <f t="shared" ca="1" si="18"/>
        <v>1228</v>
      </c>
      <c r="AB18" s="1">
        <f t="shared" ca="1" si="19"/>
        <v>9.9317559209956857E-2</v>
      </c>
      <c r="AC18" s="1">
        <f t="shared" ca="1" si="20"/>
        <v>157</v>
      </c>
      <c r="AD18" s="1">
        <f t="shared" ca="1" si="21"/>
        <v>3.1549431303810921E-3</v>
      </c>
      <c r="AE18" s="1"/>
      <c r="AF18" s="1">
        <f t="shared" ca="1" si="22"/>
        <v>0.65559259830282457</v>
      </c>
      <c r="AG18" s="1">
        <f t="shared" ca="1" si="23"/>
        <v>364</v>
      </c>
      <c r="AH18" s="1">
        <f t="shared" ca="1" si="24"/>
        <v>8.5643684177666955E-4</v>
      </c>
      <c r="AJ18" s="1">
        <f t="shared" ca="1" si="25"/>
        <v>0.21741206906873156</v>
      </c>
      <c r="AK18" s="1">
        <f t="shared" ca="1" si="26"/>
        <v>5.834497010850633E-3</v>
      </c>
      <c r="AL18" s="1"/>
      <c r="AM18" s="1">
        <f t="shared" ca="1" si="27"/>
        <v>0.16304522520438527</v>
      </c>
      <c r="AN18" s="1">
        <f t="shared" ca="1" si="28"/>
        <v>80</v>
      </c>
      <c r="AO18" s="1">
        <f t="shared" ca="1" si="29"/>
        <v>14</v>
      </c>
      <c r="AQ18" s="1">
        <f t="shared" ca="1" si="30"/>
        <v>89</v>
      </c>
      <c r="AR18" s="1">
        <f t="shared" ca="1" si="31"/>
        <v>2</v>
      </c>
      <c r="AS18" s="1">
        <f t="shared" ca="1" si="32"/>
        <v>65</v>
      </c>
      <c r="AU18" s="1">
        <f t="shared" ca="1" si="33"/>
        <v>145</v>
      </c>
      <c r="AV18" s="1">
        <f t="shared" ca="1" si="34"/>
        <v>5</v>
      </c>
      <c r="AW18" s="1">
        <f t="shared" ca="1" si="35"/>
        <v>5.5842070380336346E-2</v>
      </c>
      <c r="AY18" s="1">
        <f t="shared" ca="1" si="36"/>
        <v>1.1402381091773279</v>
      </c>
      <c r="AZ18" s="1">
        <f t="shared" ca="1" si="37"/>
        <v>433</v>
      </c>
      <c r="BA18" s="1">
        <f t="shared" ca="1" si="38"/>
        <v>3.6480346590156191E-3</v>
      </c>
    </row>
    <row r="19" spans="2:53" x14ac:dyDescent="0.25">
      <c r="B19">
        <f t="shared" ca="1" si="0"/>
        <v>219</v>
      </c>
      <c r="C19">
        <f t="shared" ca="1" si="1"/>
        <v>4</v>
      </c>
      <c r="D19">
        <f t="shared" ca="1" si="2"/>
        <v>0.23845939363455038</v>
      </c>
      <c r="F19" s="1">
        <f t="shared" ca="1" si="3"/>
        <v>20</v>
      </c>
      <c r="G19" s="1">
        <f t="shared" ca="1" si="4"/>
        <v>6</v>
      </c>
      <c r="H19" s="1">
        <f t="shared" ca="1" si="5"/>
        <v>8</v>
      </c>
      <c r="I19" s="1"/>
      <c r="J19" s="1">
        <f t="shared" ca="1" si="6"/>
        <v>18</v>
      </c>
      <c r="K19" s="1">
        <f t="shared" ca="1" si="7"/>
        <v>2.8225045524008339</v>
      </c>
      <c r="L19" s="1">
        <f t="shared" ca="1" si="8"/>
        <v>28</v>
      </c>
      <c r="M19" s="1"/>
      <c r="N19" s="1">
        <f t="shared" ca="1" si="9"/>
        <v>165</v>
      </c>
      <c r="O19" s="1">
        <f t="shared" ca="1" si="10"/>
        <v>32</v>
      </c>
      <c r="P19" s="1"/>
      <c r="Q19" s="1">
        <f t="shared" ca="1" si="11"/>
        <v>4.8883695358620667</v>
      </c>
      <c r="R19" s="1">
        <f t="shared" ca="1" si="12"/>
        <v>732</v>
      </c>
      <c r="S19" s="1"/>
      <c r="T19" s="1">
        <f t="shared" ca="1" si="13"/>
        <v>2.2054036927086788E-2</v>
      </c>
      <c r="U19" s="1">
        <f t="shared" ca="1" si="14"/>
        <v>304</v>
      </c>
      <c r="V19" s="1">
        <f t="shared" ca="1" si="15"/>
        <v>27</v>
      </c>
      <c r="W19" s="1"/>
      <c r="X19" s="1">
        <f t="shared" ca="1" si="16"/>
        <v>5.7014421176258043</v>
      </c>
      <c r="Y19" s="1">
        <f t="shared" ca="1" si="17"/>
        <v>0.83355817376140995</v>
      </c>
      <c r="Z19" s="1">
        <f t="shared" ca="1" si="18"/>
        <v>323</v>
      </c>
      <c r="AB19" s="1">
        <f t="shared" ca="1" si="19"/>
        <v>0.91430768278164976</v>
      </c>
      <c r="AC19" s="1">
        <f t="shared" ca="1" si="20"/>
        <v>460</v>
      </c>
      <c r="AD19" s="1">
        <f t="shared" ca="1" si="21"/>
        <v>7.7966825963281892E-3</v>
      </c>
      <c r="AE19" s="1"/>
      <c r="AF19" s="1">
        <f t="shared" ca="1" si="22"/>
        <v>0.77884712037447656</v>
      </c>
      <c r="AG19" s="1">
        <f t="shared" ca="1" si="23"/>
        <v>262</v>
      </c>
      <c r="AH19" s="1">
        <f t="shared" ca="1" si="24"/>
        <v>5.6286045009640347E-3</v>
      </c>
      <c r="AJ19" s="1">
        <f t="shared" ca="1" si="25"/>
        <v>0.25435618770836588</v>
      </c>
      <c r="AK19" s="1">
        <f t="shared" ca="1" si="26"/>
        <v>4.6762381308797611E-3</v>
      </c>
      <c r="AL19" s="1"/>
      <c r="AM19" s="1">
        <f t="shared" ca="1" si="27"/>
        <v>0.10729254217395598</v>
      </c>
      <c r="AN19" s="1">
        <f t="shared" ca="1" si="28"/>
        <v>45</v>
      </c>
      <c r="AO19" s="1">
        <f t="shared" ca="1" si="29"/>
        <v>19</v>
      </c>
      <c r="AQ19" s="1">
        <f t="shared" ca="1" si="30"/>
        <v>178</v>
      </c>
      <c r="AR19" s="1">
        <f t="shared" ca="1" si="31"/>
        <v>6</v>
      </c>
      <c r="AS19" s="1">
        <f t="shared" ca="1" si="32"/>
        <v>72</v>
      </c>
      <c r="AU19" s="1">
        <f t="shared" ca="1" si="33"/>
        <v>135</v>
      </c>
      <c r="AV19" s="1">
        <f t="shared" ca="1" si="34"/>
        <v>4</v>
      </c>
      <c r="AW19" s="1">
        <f t="shared" ca="1" si="35"/>
        <v>0.15673432904267554</v>
      </c>
      <c r="AY19" s="1">
        <f t="shared" ca="1" si="36"/>
        <v>1.634225120445528</v>
      </c>
      <c r="AZ19" s="1">
        <f t="shared" ca="1" si="37"/>
        <v>214</v>
      </c>
      <c r="BA19" s="1">
        <f t="shared" ca="1" si="38"/>
        <v>8.2927976327766325E-3</v>
      </c>
    </row>
    <row r="20" spans="2:53" x14ac:dyDescent="0.25">
      <c r="B20">
        <f t="shared" ca="1" si="0"/>
        <v>137</v>
      </c>
      <c r="C20">
        <f t="shared" ca="1" si="1"/>
        <v>32</v>
      </c>
      <c r="D20">
        <f t="shared" ca="1" si="2"/>
        <v>0.14767070786731754</v>
      </c>
      <c r="F20" s="1">
        <f t="shared" ca="1" si="3"/>
        <v>30</v>
      </c>
      <c r="G20" s="1">
        <f t="shared" ca="1" si="4"/>
        <v>5</v>
      </c>
      <c r="H20" s="1">
        <f t="shared" ca="1" si="5"/>
        <v>2</v>
      </c>
      <c r="I20" s="1"/>
      <c r="J20" s="1">
        <f t="shared" ca="1" si="6"/>
        <v>31</v>
      </c>
      <c r="K20" s="1">
        <f t="shared" ca="1" si="7"/>
        <v>2.8035945738660555</v>
      </c>
      <c r="L20" s="1">
        <f t="shared" ca="1" si="8"/>
        <v>28</v>
      </c>
      <c r="M20" s="1"/>
      <c r="N20" s="1">
        <f t="shared" ca="1" si="9"/>
        <v>307</v>
      </c>
      <c r="O20" s="1">
        <f t="shared" ca="1" si="10"/>
        <v>52</v>
      </c>
      <c r="P20" s="1"/>
      <c r="Q20" s="1">
        <f t="shared" ca="1" si="11"/>
        <v>1.0773303321787178</v>
      </c>
      <c r="R20" s="1">
        <f t="shared" ca="1" si="12"/>
        <v>1171</v>
      </c>
      <c r="S20" s="1"/>
      <c r="T20" s="1">
        <f t="shared" ca="1" si="13"/>
        <v>0.17005927857845946</v>
      </c>
      <c r="U20" s="1">
        <f t="shared" ca="1" si="14"/>
        <v>283</v>
      </c>
      <c r="V20" s="1">
        <f t="shared" ca="1" si="15"/>
        <v>17</v>
      </c>
      <c r="W20" s="1"/>
      <c r="X20" s="1">
        <f t="shared" ca="1" si="16"/>
        <v>9.1312088405044403</v>
      </c>
      <c r="Y20" s="1">
        <f t="shared" ca="1" si="17"/>
        <v>0.82357272950745075</v>
      </c>
      <c r="Z20" s="1">
        <f t="shared" ca="1" si="18"/>
        <v>1340</v>
      </c>
      <c r="AB20" s="1">
        <f t="shared" ca="1" si="19"/>
        <v>0.7778636156482438</v>
      </c>
      <c r="AC20" s="1">
        <f t="shared" ca="1" si="20"/>
        <v>139</v>
      </c>
      <c r="AD20" s="1">
        <f t="shared" ca="1" si="21"/>
        <v>4.5598197396846561E-3</v>
      </c>
      <c r="AE20" s="1"/>
      <c r="AF20" s="1">
        <f t="shared" ca="1" si="22"/>
        <v>0.73355298624250986</v>
      </c>
      <c r="AG20" s="1">
        <f t="shared" ca="1" si="23"/>
        <v>279</v>
      </c>
      <c r="AH20" s="1">
        <f t="shared" ca="1" si="24"/>
        <v>3.5729143292869434E-4</v>
      </c>
      <c r="AJ20" s="1">
        <f t="shared" ca="1" si="25"/>
        <v>0.84180509038729523</v>
      </c>
      <c r="AK20" s="1">
        <f t="shared" ca="1" si="26"/>
        <v>9.6748604515533795E-4</v>
      </c>
      <c r="AL20" s="1"/>
      <c r="AM20" s="1">
        <f t="shared" ca="1" si="27"/>
        <v>6.5392738122825589E-2</v>
      </c>
      <c r="AN20" s="1">
        <f t="shared" ca="1" si="28"/>
        <v>56</v>
      </c>
      <c r="AO20" s="1">
        <f t="shared" ca="1" si="29"/>
        <v>18</v>
      </c>
      <c r="AQ20" s="1">
        <f t="shared" ca="1" si="30"/>
        <v>140</v>
      </c>
      <c r="AR20" s="1">
        <f t="shared" ca="1" si="31"/>
        <v>9</v>
      </c>
      <c r="AS20" s="1">
        <f t="shared" ca="1" si="32"/>
        <v>38</v>
      </c>
      <c r="AU20" s="1">
        <f t="shared" ca="1" si="33"/>
        <v>186</v>
      </c>
      <c r="AV20" s="1">
        <f t="shared" ca="1" si="34"/>
        <v>3</v>
      </c>
      <c r="AW20" s="1">
        <f t="shared" ca="1" si="35"/>
        <v>0.17553439243854552</v>
      </c>
      <c r="AY20" s="1">
        <f t="shared" ca="1" si="36"/>
        <v>1.6516341442447282</v>
      </c>
      <c r="AZ20" s="1">
        <f t="shared" ca="1" si="37"/>
        <v>368</v>
      </c>
      <c r="BA20" s="1">
        <f t="shared" ca="1" si="38"/>
        <v>4.0701777881689627E-3</v>
      </c>
    </row>
    <row r="21" spans="2:53" x14ac:dyDescent="0.25">
      <c r="B21">
        <f t="shared" ca="1" si="0"/>
        <v>86</v>
      </c>
      <c r="C21">
        <f t="shared" ca="1" si="1"/>
        <v>31</v>
      </c>
      <c r="D21">
        <f t="shared" ca="1" si="2"/>
        <v>4.5519565731129766E-2</v>
      </c>
      <c r="F21" s="1">
        <f t="shared" ca="1" si="3"/>
        <v>5</v>
      </c>
      <c r="G21" s="1">
        <f t="shared" ca="1" si="4"/>
        <v>4</v>
      </c>
      <c r="H21" s="1">
        <f t="shared" ca="1" si="5"/>
        <v>1</v>
      </c>
      <c r="I21" s="1"/>
      <c r="J21" s="1">
        <f t="shared" ca="1" si="6"/>
        <v>14</v>
      </c>
      <c r="K21" s="1">
        <f t="shared" ca="1" si="7"/>
        <v>2.1823446260744488</v>
      </c>
      <c r="L21" s="1">
        <f t="shared" ca="1" si="8"/>
        <v>23</v>
      </c>
      <c r="M21" s="1"/>
      <c r="N21" s="1">
        <f t="shared" ca="1" si="9"/>
        <v>564</v>
      </c>
      <c r="O21" s="1">
        <f t="shared" ca="1" si="10"/>
        <v>18</v>
      </c>
      <c r="P21" s="1"/>
      <c r="Q21" s="1">
        <f t="shared" ca="1" si="11"/>
        <v>4.161409167074738</v>
      </c>
      <c r="R21" s="1">
        <f t="shared" ca="1" si="12"/>
        <v>1182</v>
      </c>
      <c r="S21" s="1"/>
      <c r="T21" s="1">
        <f t="shared" ca="1" si="13"/>
        <v>9.6308929252745923E-2</v>
      </c>
      <c r="U21" s="1">
        <f t="shared" ca="1" si="14"/>
        <v>347</v>
      </c>
      <c r="V21" s="1">
        <f t="shared" ca="1" si="15"/>
        <v>12</v>
      </c>
      <c r="W21" s="1"/>
      <c r="X21" s="1">
        <f t="shared" ca="1" si="16"/>
        <v>8.8609701232649236</v>
      </c>
      <c r="Y21" s="1">
        <f t="shared" ca="1" si="17"/>
        <v>0.16640620800689959</v>
      </c>
      <c r="Z21" s="1">
        <f t="shared" ca="1" si="18"/>
        <v>1002</v>
      </c>
      <c r="AB21" s="1">
        <f t="shared" ca="1" si="19"/>
        <v>0.56303452864077719</v>
      </c>
      <c r="AC21" s="1">
        <f t="shared" ca="1" si="20"/>
        <v>820</v>
      </c>
      <c r="AD21" s="1">
        <f t="shared" ca="1" si="21"/>
        <v>2.6968920233415598E-3</v>
      </c>
      <c r="AE21" s="1"/>
      <c r="AF21" s="1">
        <f t="shared" ca="1" si="22"/>
        <v>0.27863175453663536</v>
      </c>
      <c r="AG21" s="1">
        <f t="shared" ca="1" si="23"/>
        <v>396</v>
      </c>
      <c r="AH21" s="1">
        <f t="shared" ca="1" si="24"/>
        <v>4.2463663602884567E-3</v>
      </c>
      <c r="AJ21" s="1">
        <f t="shared" ca="1" si="25"/>
        <v>0.68746489407362588</v>
      </c>
      <c r="AK21" s="1">
        <f t="shared" ca="1" si="26"/>
        <v>6.2510837303768113E-3</v>
      </c>
      <c r="AL21" s="1"/>
      <c r="AM21" s="1">
        <f t="shared" ca="1" si="27"/>
        <v>0.10841502301839011</v>
      </c>
      <c r="AN21" s="1">
        <f t="shared" ca="1" si="28"/>
        <v>20</v>
      </c>
      <c r="AO21" s="1">
        <f t="shared" ca="1" si="29"/>
        <v>10</v>
      </c>
      <c r="AQ21" s="1">
        <f t="shared" ca="1" si="30"/>
        <v>117</v>
      </c>
      <c r="AR21" s="1">
        <f t="shared" ca="1" si="31"/>
        <v>8</v>
      </c>
      <c r="AS21" s="1">
        <f t="shared" ca="1" si="32"/>
        <v>77</v>
      </c>
      <c r="AU21" s="1">
        <f t="shared" ca="1" si="33"/>
        <v>130</v>
      </c>
      <c r="AV21" s="1">
        <f t="shared" ca="1" si="34"/>
        <v>3</v>
      </c>
      <c r="AW21" s="1">
        <f t="shared" ca="1" si="35"/>
        <v>0.15491077948450041</v>
      </c>
      <c r="AY21" s="1">
        <f t="shared" ca="1" si="36"/>
        <v>1.8946035074686329</v>
      </c>
      <c r="AZ21" s="1">
        <f t="shared" ca="1" si="37"/>
        <v>53</v>
      </c>
      <c r="BA21" s="1">
        <f t="shared" ca="1" si="38"/>
        <v>6.4120361478286073E-3</v>
      </c>
    </row>
    <row r="22" spans="2:53" x14ac:dyDescent="0.25">
      <c r="B22">
        <f t="shared" ca="1" si="0"/>
        <v>534</v>
      </c>
      <c r="C22">
        <f t="shared" ca="1" si="1"/>
        <v>23</v>
      </c>
      <c r="D22">
        <f t="shared" ca="1" si="2"/>
        <v>0.17802780913044364</v>
      </c>
      <c r="F22" s="1">
        <f t="shared" ca="1" si="3"/>
        <v>21</v>
      </c>
      <c r="G22" s="1">
        <f t="shared" ca="1" si="4"/>
        <v>11</v>
      </c>
      <c r="H22" s="1">
        <f t="shared" ca="1" si="5"/>
        <v>3</v>
      </c>
      <c r="I22" s="1"/>
      <c r="J22" s="1">
        <f t="shared" ca="1" si="6"/>
        <v>21</v>
      </c>
      <c r="K22" s="1">
        <f t="shared" ca="1" si="7"/>
        <v>2.2733526136681812</v>
      </c>
      <c r="L22" s="1">
        <f t="shared" ca="1" si="8"/>
        <v>7</v>
      </c>
      <c r="M22" s="1"/>
      <c r="N22" s="1">
        <f t="shared" ca="1" si="9"/>
        <v>189</v>
      </c>
      <c r="O22" s="1">
        <f t="shared" ca="1" si="10"/>
        <v>33</v>
      </c>
      <c r="P22" s="1"/>
      <c r="Q22" s="1">
        <f t="shared" ca="1" si="11"/>
        <v>2.8683694336282235</v>
      </c>
      <c r="R22" s="1">
        <f t="shared" ca="1" si="12"/>
        <v>403</v>
      </c>
      <c r="S22" s="1"/>
      <c r="T22" s="1">
        <f t="shared" ca="1" si="13"/>
        <v>0.10984648734054059</v>
      </c>
      <c r="U22" s="1">
        <f t="shared" ca="1" si="14"/>
        <v>218</v>
      </c>
      <c r="V22" s="1">
        <f t="shared" ca="1" si="15"/>
        <v>44</v>
      </c>
      <c r="W22" s="1"/>
      <c r="X22" s="1">
        <f t="shared" ca="1" si="16"/>
        <v>4.6574083149346954</v>
      </c>
      <c r="Y22" s="1">
        <f t="shared" ca="1" si="17"/>
        <v>0.84489899558322745</v>
      </c>
      <c r="Z22" s="1">
        <f t="shared" ca="1" si="18"/>
        <v>1676</v>
      </c>
      <c r="AB22" s="1">
        <f t="shared" ca="1" si="19"/>
        <v>0.82759472986451699</v>
      </c>
      <c r="AC22" s="1">
        <f t="shared" ca="1" si="20"/>
        <v>764</v>
      </c>
      <c r="AD22" s="1">
        <f t="shared" ca="1" si="21"/>
        <v>5.0149064671896068E-3</v>
      </c>
      <c r="AE22" s="1"/>
      <c r="AF22" s="1">
        <f t="shared" ca="1" si="22"/>
        <v>0.39797668347721138</v>
      </c>
      <c r="AG22" s="1">
        <f t="shared" ca="1" si="23"/>
        <v>676</v>
      </c>
      <c r="AH22" s="1">
        <f t="shared" ca="1" si="24"/>
        <v>4.4716588780951087E-3</v>
      </c>
      <c r="AJ22" s="1">
        <f t="shared" ca="1" si="25"/>
        <v>0.49006821416232704</v>
      </c>
      <c r="AK22" s="1">
        <f t="shared" ca="1" si="26"/>
        <v>1.1666828555958917E-3</v>
      </c>
      <c r="AL22" s="1"/>
      <c r="AM22" s="1">
        <f t="shared" ca="1" si="27"/>
        <v>9.1606017884489632E-2</v>
      </c>
      <c r="AN22" s="1">
        <f t="shared" ca="1" si="28"/>
        <v>50</v>
      </c>
      <c r="AO22" s="1">
        <f t="shared" ca="1" si="29"/>
        <v>17</v>
      </c>
      <c r="AQ22" s="1">
        <f t="shared" ca="1" si="30"/>
        <v>128</v>
      </c>
      <c r="AR22" s="1">
        <f t="shared" ca="1" si="31"/>
        <v>1</v>
      </c>
      <c r="AS22" s="1">
        <f t="shared" ca="1" si="32"/>
        <v>17</v>
      </c>
      <c r="AU22" s="1">
        <f t="shared" ca="1" si="33"/>
        <v>77</v>
      </c>
      <c r="AV22" s="1">
        <f t="shared" ca="1" si="34"/>
        <v>5</v>
      </c>
      <c r="AW22" s="1">
        <f t="shared" ca="1" si="35"/>
        <v>1.1323799663417896E-2</v>
      </c>
      <c r="AY22" s="1">
        <f t="shared" ca="1" si="36"/>
        <v>1.3111663503546684</v>
      </c>
      <c r="AZ22" s="1">
        <f t="shared" ca="1" si="37"/>
        <v>348</v>
      </c>
      <c r="BA22" s="1">
        <f t="shared" ca="1" si="38"/>
        <v>3.4693035941593627E-3</v>
      </c>
    </row>
    <row r="23" spans="2:53" x14ac:dyDescent="0.25">
      <c r="B23">
        <f t="shared" ca="1" si="0"/>
        <v>773</v>
      </c>
      <c r="C23">
        <f t="shared" ca="1" si="1"/>
        <v>9</v>
      </c>
      <c r="D23">
        <f t="shared" ca="1" si="2"/>
        <v>1.1225076563276822E-2</v>
      </c>
      <c r="F23" s="1">
        <f t="shared" ca="1" si="3"/>
        <v>22</v>
      </c>
      <c r="G23" s="1">
        <f t="shared" ca="1" si="4"/>
        <v>14</v>
      </c>
      <c r="H23" s="1">
        <f t="shared" ca="1" si="5"/>
        <v>14</v>
      </c>
      <c r="I23" s="1"/>
      <c r="J23" s="1">
        <f t="shared" ca="1" si="6"/>
        <v>10</v>
      </c>
      <c r="K23" s="1">
        <f t="shared" ca="1" si="7"/>
        <v>1.5362550859304316</v>
      </c>
      <c r="L23" s="1">
        <f t="shared" ca="1" si="8"/>
        <v>9</v>
      </c>
      <c r="M23" s="1"/>
      <c r="N23" s="1">
        <f t="shared" ca="1" si="9"/>
        <v>516</v>
      </c>
      <c r="O23" s="1">
        <f t="shared" ca="1" si="10"/>
        <v>28</v>
      </c>
      <c r="P23" s="1"/>
      <c r="Q23" s="1">
        <f t="shared" ca="1" si="11"/>
        <v>0.72403071807771724</v>
      </c>
      <c r="R23" s="1">
        <f t="shared" ca="1" si="12"/>
        <v>344</v>
      </c>
      <c r="S23" s="1"/>
      <c r="T23" s="1">
        <f t="shared" ca="1" si="13"/>
        <v>0.14128766786392435</v>
      </c>
      <c r="U23" s="1">
        <f t="shared" ca="1" si="14"/>
        <v>124</v>
      </c>
      <c r="V23" s="1">
        <f t="shared" ca="1" si="15"/>
        <v>9</v>
      </c>
      <c r="W23" s="1"/>
      <c r="X23" s="1">
        <f t="shared" ca="1" si="16"/>
        <v>5.910863547813868</v>
      </c>
      <c r="Y23" s="1">
        <f t="shared" ca="1" si="17"/>
        <v>0.43193469900588738</v>
      </c>
      <c r="Z23" s="1">
        <f t="shared" ca="1" si="18"/>
        <v>1705</v>
      </c>
      <c r="AB23" s="1">
        <f t="shared" ca="1" si="19"/>
        <v>0.6669063420272332</v>
      </c>
      <c r="AC23" s="1">
        <f t="shared" ca="1" si="20"/>
        <v>478</v>
      </c>
      <c r="AD23" s="1">
        <f t="shared" ca="1" si="21"/>
        <v>7.9145924885729892E-3</v>
      </c>
      <c r="AE23" s="1"/>
      <c r="AF23" s="1">
        <f t="shared" ca="1" si="22"/>
        <v>0.381089458229523</v>
      </c>
      <c r="AG23" s="1">
        <f t="shared" ca="1" si="23"/>
        <v>371</v>
      </c>
      <c r="AH23" s="1">
        <f t="shared" ca="1" si="24"/>
        <v>4.7637763522894875E-3</v>
      </c>
      <c r="AJ23" s="1">
        <f t="shared" ca="1" si="25"/>
        <v>0.15201960603945308</v>
      </c>
      <c r="AK23" s="1">
        <f t="shared" ca="1" si="26"/>
        <v>7.3446177549859638E-3</v>
      </c>
      <c r="AL23" s="1"/>
      <c r="AM23" s="1">
        <f t="shared" ca="1" si="27"/>
        <v>0.13496508652671299</v>
      </c>
      <c r="AN23" s="1">
        <f t="shared" ca="1" si="28"/>
        <v>20</v>
      </c>
      <c r="AO23" s="1">
        <f t="shared" ca="1" si="29"/>
        <v>8</v>
      </c>
      <c r="AQ23" s="1">
        <f t="shared" ca="1" si="30"/>
        <v>100</v>
      </c>
      <c r="AR23" s="1">
        <f t="shared" ca="1" si="31"/>
        <v>6</v>
      </c>
      <c r="AS23" s="1">
        <f t="shared" ca="1" si="32"/>
        <v>19</v>
      </c>
      <c r="AU23" s="1">
        <f t="shared" ca="1" si="33"/>
        <v>239</v>
      </c>
      <c r="AV23" s="1">
        <f t="shared" ca="1" si="34"/>
        <v>2</v>
      </c>
      <c r="AW23" s="1">
        <f t="shared" ca="1" si="35"/>
        <v>0.12661512295835906</v>
      </c>
      <c r="AY23" s="1">
        <f t="shared" ca="1" si="36"/>
        <v>1.5429938930184197</v>
      </c>
      <c r="AZ23" s="1">
        <f t="shared" ca="1" si="37"/>
        <v>476</v>
      </c>
      <c r="BA23" s="1">
        <f t="shared" ca="1" si="38"/>
        <v>7.8993018697492406E-3</v>
      </c>
    </row>
    <row r="24" spans="2:53" x14ac:dyDescent="0.25">
      <c r="B24">
        <f t="shared" ca="1" si="0"/>
        <v>855</v>
      </c>
      <c r="C24">
        <f t="shared" ca="1" si="1"/>
        <v>40</v>
      </c>
      <c r="D24">
        <f t="shared" ca="1" si="2"/>
        <v>0.23065340743753343</v>
      </c>
      <c r="F24" s="1">
        <f t="shared" ca="1" si="3"/>
        <v>22</v>
      </c>
      <c r="G24" s="1">
        <f t="shared" ca="1" si="4"/>
        <v>4</v>
      </c>
      <c r="H24" s="1">
        <f t="shared" ca="1" si="5"/>
        <v>8</v>
      </c>
      <c r="I24" s="1"/>
      <c r="J24" s="1">
        <f t="shared" ca="1" si="6"/>
        <v>12</v>
      </c>
      <c r="K24" s="1">
        <f t="shared" ca="1" si="7"/>
        <v>1.9271501769831965</v>
      </c>
      <c r="L24" s="1">
        <f t="shared" ca="1" si="8"/>
        <v>16</v>
      </c>
      <c r="M24" s="1"/>
      <c r="N24" s="1">
        <f t="shared" ca="1" si="9"/>
        <v>476</v>
      </c>
      <c r="O24" s="1">
        <f t="shared" ca="1" si="10"/>
        <v>26</v>
      </c>
      <c r="P24" s="1"/>
      <c r="Q24" s="1">
        <f t="shared" ca="1" si="11"/>
        <v>9.8127857549229203E-2</v>
      </c>
      <c r="R24" s="1">
        <f t="shared" ca="1" si="12"/>
        <v>577</v>
      </c>
      <c r="S24" s="1"/>
      <c r="T24" s="1">
        <f t="shared" ca="1" si="13"/>
        <v>4.2695040602334075E-2</v>
      </c>
      <c r="U24" s="1">
        <f t="shared" ca="1" si="14"/>
        <v>61</v>
      </c>
      <c r="V24" s="1">
        <f t="shared" ca="1" si="15"/>
        <v>25</v>
      </c>
      <c r="W24" s="1"/>
      <c r="X24" s="1">
        <f t="shared" ca="1" si="16"/>
        <v>0.30131680965816393</v>
      </c>
      <c r="Y24" s="1">
        <f t="shared" ca="1" si="17"/>
        <v>0.4665856674248226</v>
      </c>
      <c r="Z24" s="1">
        <f t="shared" ca="1" si="18"/>
        <v>326</v>
      </c>
      <c r="AB24" s="1">
        <f t="shared" ca="1" si="19"/>
        <v>0.72284658116060529</v>
      </c>
      <c r="AC24" s="1">
        <f t="shared" ca="1" si="20"/>
        <v>615</v>
      </c>
      <c r="AD24" s="1">
        <f t="shared" ca="1" si="21"/>
        <v>9.311629959691552E-3</v>
      </c>
      <c r="AE24" s="1"/>
      <c r="AF24" s="1">
        <f t="shared" ca="1" si="22"/>
        <v>0.58506567558078149</v>
      </c>
      <c r="AG24" s="1">
        <f t="shared" ca="1" si="23"/>
        <v>720</v>
      </c>
      <c r="AH24" s="1">
        <f t="shared" ca="1" si="24"/>
        <v>5.9624880079776317E-3</v>
      </c>
      <c r="AJ24" s="1">
        <f t="shared" ca="1" si="25"/>
        <v>5.3599849920352494E-2</v>
      </c>
      <c r="AK24" s="1">
        <f t="shared" ca="1" si="26"/>
        <v>6.0877744424306371E-3</v>
      </c>
      <c r="AL24" s="1"/>
      <c r="AM24" s="1">
        <f t="shared" ca="1" si="27"/>
        <v>0.11021642069776179</v>
      </c>
      <c r="AN24" s="1">
        <f t="shared" ca="1" si="28"/>
        <v>34</v>
      </c>
      <c r="AO24" s="1">
        <f t="shared" ca="1" si="29"/>
        <v>2</v>
      </c>
      <c r="AQ24" s="1">
        <f t="shared" ca="1" si="30"/>
        <v>160</v>
      </c>
      <c r="AR24" s="1">
        <f t="shared" ca="1" si="31"/>
        <v>3</v>
      </c>
      <c r="AS24" s="1">
        <f t="shared" ca="1" si="32"/>
        <v>91</v>
      </c>
      <c r="AU24" s="1">
        <f t="shared" ca="1" si="33"/>
        <v>194</v>
      </c>
      <c r="AV24" s="1">
        <f t="shared" ca="1" si="34"/>
        <v>10</v>
      </c>
      <c r="AW24" s="1">
        <f t="shared" ca="1" si="35"/>
        <v>3.518653861017576E-2</v>
      </c>
      <c r="AY24" s="1">
        <f t="shared" ca="1" si="36"/>
        <v>1.4690876574509555</v>
      </c>
      <c r="AZ24" s="1">
        <f t="shared" ca="1" si="37"/>
        <v>75</v>
      </c>
      <c r="BA24" s="1">
        <f t="shared" ca="1" si="38"/>
        <v>3.4340247287996742E-3</v>
      </c>
    </row>
    <row r="25" spans="2:53" x14ac:dyDescent="0.25">
      <c r="B25">
        <f t="shared" ca="1" si="0"/>
        <v>253</v>
      </c>
      <c r="C25">
        <f t="shared" ca="1" si="1"/>
        <v>47</v>
      </c>
      <c r="D25">
        <f t="shared" ca="1" si="2"/>
        <v>9.6955259198070548E-2</v>
      </c>
      <c r="F25" s="1">
        <f t="shared" ca="1" si="3"/>
        <v>27</v>
      </c>
      <c r="G25" s="1">
        <f t="shared" ca="1" si="4"/>
        <v>19</v>
      </c>
      <c r="H25" s="1">
        <f t="shared" ca="1" si="5"/>
        <v>13</v>
      </c>
      <c r="I25" s="1"/>
      <c r="J25" s="1">
        <f t="shared" ca="1" si="6"/>
        <v>8</v>
      </c>
      <c r="K25" s="1">
        <f t="shared" ca="1" si="7"/>
        <v>2.6726026580988624</v>
      </c>
      <c r="L25" s="1">
        <f t="shared" ca="1" si="8"/>
        <v>6</v>
      </c>
      <c r="M25" s="1"/>
      <c r="N25" s="1">
        <f t="shared" ca="1" si="9"/>
        <v>461</v>
      </c>
      <c r="O25" s="1">
        <f t="shared" ca="1" si="10"/>
        <v>46</v>
      </c>
      <c r="P25" s="1"/>
      <c r="Q25" s="1">
        <f t="shared" ca="1" si="11"/>
        <v>2.876394658496086</v>
      </c>
      <c r="R25" s="1">
        <f t="shared" ca="1" si="12"/>
        <v>230</v>
      </c>
      <c r="S25" s="1"/>
      <c r="T25" s="1">
        <f t="shared" ca="1" si="13"/>
        <v>1.9843200674398299E-2</v>
      </c>
      <c r="U25" s="1">
        <f t="shared" ca="1" si="14"/>
        <v>209</v>
      </c>
      <c r="V25" s="1">
        <f t="shared" ca="1" si="15"/>
        <v>14</v>
      </c>
      <c r="W25" s="1"/>
      <c r="X25" s="1">
        <f t="shared" ca="1" si="16"/>
        <v>1.4136737238651162</v>
      </c>
      <c r="Y25" s="1">
        <f t="shared" ca="1" si="17"/>
        <v>0.72558597832196758</v>
      </c>
      <c r="Z25" s="1">
        <f t="shared" ca="1" si="18"/>
        <v>1096</v>
      </c>
      <c r="AB25" s="1">
        <f t="shared" ca="1" si="19"/>
        <v>0.92959840566332852</v>
      </c>
      <c r="AC25" s="1">
        <f t="shared" ca="1" si="20"/>
        <v>138</v>
      </c>
      <c r="AD25" s="1">
        <f t="shared" ca="1" si="21"/>
        <v>1.758866825575023E-3</v>
      </c>
      <c r="AE25" s="1"/>
      <c r="AF25" s="1">
        <f t="shared" ca="1" si="22"/>
        <v>0.7050532037229672</v>
      </c>
      <c r="AG25" s="1">
        <f t="shared" ca="1" si="23"/>
        <v>239</v>
      </c>
      <c r="AH25" s="1">
        <f t="shared" ca="1" si="24"/>
        <v>9.6780249541580342E-3</v>
      </c>
      <c r="AJ25" s="1">
        <f t="shared" ca="1" si="25"/>
        <v>0.30554246196808821</v>
      </c>
      <c r="AK25" s="1">
        <f t="shared" ca="1" si="26"/>
        <v>2.9457125216480226E-3</v>
      </c>
      <c r="AL25" s="1"/>
      <c r="AM25" s="1">
        <f t="shared" ca="1" si="27"/>
        <v>3.4299291658034532E-2</v>
      </c>
      <c r="AN25" s="1">
        <f t="shared" ca="1" si="28"/>
        <v>32</v>
      </c>
      <c r="AO25" s="1">
        <f t="shared" ca="1" si="29"/>
        <v>16</v>
      </c>
      <c r="AQ25" s="1">
        <f t="shared" ca="1" si="30"/>
        <v>115</v>
      </c>
      <c r="AR25" s="1">
        <f t="shared" ca="1" si="31"/>
        <v>0</v>
      </c>
      <c r="AS25" s="1">
        <f t="shared" ca="1" si="32"/>
        <v>46</v>
      </c>
      <c r="AU25" s="1">
        <f t="shared" ca="1" si="33"/>
        <v>184</v>
      </c>
      <c r="AV25" s="1">
        <f t="shared" ca="1" si="34"/>
        <v>8</v>
      </c>
      <c r="AW25" s="1">
        <f t="shared" ca="1" si="35"/>
        <v>1.7645133639487998E-2</v>
      </c>
      <c r="AY25" s="1">
        <f t="shared" ca="1" si="36"/>
        <v>1.7664870091124696</v>
      </c>
      <c r="AZ25" s="1">
        <f t="shared" ca="1" si="37"/>
        <v>282</v>
      </c>
      <c r="BA25" s="1">
        <f t="shared" ca="1" si="38"/>
        <v>5.758169518551078E-4</v>
      </c>
    </row>
    <row r="26" spans="2:53" x14ac:dyDescent="0.25">
      <c r="B26">
        <f t="shared" ca="1" si="0"/>
        <v>705</v>
      </c>
      <c r="C26">
        <f t="shared" ca="1" si="1"/>
        <v>50</v>
      </c>
      <c r="D26">
        <f t="shared" ca="1" si="2"/>
        <v>8.47536332195169E-2</v>
      </c>
      <c r="F26" s="1">
        <f t="shared" ca="1" si="3"/>
        <v>41</v>
      </c>
      <c r="G26" s="1">
        <f t="shared" ca="1" si="4"/>
        <v>14</v>
      </c>
      <c r="H26" s="1">
        <f t="shared" ca="1" si="5"/>
        <v>1</v>
      </c>
      <c r="I26" s="1"/>
      <c r="J26" s="1">
        <f t="shared" ca="1" si="6"/>
        <v>10</v>
      </c>
      <c r="K26" s="1">
        <f t="shared" ca="1" si="7"/>
        <v>2.3499225324354187</v>
      </c>
      <c r="L26" s="1">
        <f t="shared" ca="1" si="8"/>
        <v>9</v>
      </c>
      <c r="M26" s="1"/>
      <c r="N26" s="1">
        <f t="shared" ca="1" si="9"/>
        <v>180</v>
      </c>
      <c r="O26" s="1">
        <f t="shared" ca="1" si="10"/>
        <v>27</v>
      </c>
      <c r="P26" s="1"/>
      <c r="Q26" s="1">
        <f t="shared" ca="1" si="11"/>
        <v>3.3766272239050279</v>
      </c>
      <c r="R26" s="1">
        <f t="shared" ca="1" si="12"/>
        <v>296</v>
      </c>
      <c r="S26" s="1"/>
      <c r="T26" s="1">
        <f t="shared" ca="1" si="13"/>
        <v>0.10256786518859802</v>
      </c>
      <c r="U26" s="1">
        <f t="shared" ca="1" si="14"/>
        <v>342</v>
      </c>
      <c r="V26" s="1">
        <f t="shared" ca="1" si="15"/>
        <v>27</v>
      </c>
      <c r="W26" s="1"/>
      <c r="X26" s="1">
        <f t="shared" ca="1" si="16"/>
        <v>6.0077981411128061</v>
      </c>
      <c r="Y26" s="1">
        <f t="shared" ca="1" si="17"/>
        <v>0.57359301673126128</v>
      </c>
      <c r="Z26" s="1">
        <f t="shared" ca="1" si="18"/>
        <v>1559</v>
      </c>
      <c r="AB26" s="1">
        <f t="shared" ca="1" si="19"/>
        <v>0.28913343591470769</v>
      </c>
      <c r="AC26" s="1">
        <f t="shared" ca="1" si="20"/>
        <v>348</v>
      </c>
      <c r="AD26" s="1">
        <f t="shared" ca="1" si="21"/>
        <v>9.5075551994021693E-3</v>
      </c>
      <c r="AE26" s="1"/>
      <c r="AF26" s="1">
        <f t="shared" ca="1" si="22"/>
        <v>0.32360233447546694</v>
      </c>
      <c r="AG26" s="1">
        <f t="shared" ca="1" si="23"/>
        <v>604</v>
      </c>
      <c r="AH26" s="1">
        <f t="shared" ca="1" si="24"/>
        <v>7.6664133445275605E-3</v>
      </c>
      <c r="AJ26" s="1">
        <f t="shared" ca="1" si="25"/>
        <v>0.59703107874284989</v>
      </c>
      <c r="AK26" s="1">
        <f t="shared" ca="1" si="26"/>
        <v>6.9090505235697612E-3</v>
      </c>
      <c r="AL26" s="1"/>
      <c r="AM26" s="1">
        <f t="shared" ca="1" si="27"/>
        <v>0.14779742821344041</v>
      </c>
      <c r="AN26" s="1">
        <f t="shared" ca="1" si="28"/>
        <v>38</v>
      </c>
      <c r="AO26" s="1">
        <f t="shared" ca="1" si="29"/>
        <v>13</v>
      </c>
      <c r="AQ26" s="1">
        <f t="shared" ca="1" si="30"/>
        <v>116</v>
      </c>
      <c r="AR26" s="1">
        <f t="shared" ca="1" si="31"/>
        <v>5</v>
      </c>
      <c r="AS26" s="1">
        <f t="shared" ca="1" si="32"/>
        <v>38</v>
      </c>
      <c r="AU26" s="1">
        <f t="shared" ca="1" si="33"/>
        <v>309</v>
      </c>
      <c r="AV26" s="1">
        <f t="shared" ca="1" si="34"/>
        <v>6</v>
      </c>
      <c r="AW26" s="1">
        <f t="shared" ca="1" si="35"/>
        <v>0.10294043047346303</v>
      </c>
      <c r="AY26" s="1">
        <f t="shared" ca="1" si="36"/>
        <v>1.8356868312067229</v>
      </c>
      <c r="AZ26" s="1">
        <f t="shared" ca="1" si="37"/>
        <v>257</v>
      </c>
      <c r="BA26" s="1">
        <f t="shared" ca="1" si="38"/>
        <v>3.976327106991312E-4</v>
      </c>
    </row>
    <row r="27" spans="2:53" x14ac:dyDescent="0.25">
      <c r="B27">
        <f t="shared" ca="1" si="0"/>
        <v>850</v>
      </c>
      <c r="C27">
        <f t="shared" ca="1" si="1"/>
        <v>35</v>
      </c>
      <c r="D27">
        <f t="shared" ca="1" si="2"/>
        <v>0.13191942615034807</v>
      </c>
      <c r="F27" s="1">
        <f t="shared" ca="1" si="3"/>
        <v>50</v>
      </c>
      <c r="G27" s="1">
        <f t="shared" ca="1" si="4"/>
        <v>7</v>
      </c>
      <c r="H27" s="1">
        <f t="shared" ca="1" si="5"/>
        <v>11</v>
      </c>
      <c r="I27" s="1"/>
      <c r="J27" s="1">
        <f t="shared" ca="1" si="6"/>
        <v>8</v>
      </c>
      <c r="K27" s="1">
        <f t="shared" ca="1" si="7"/>
        <v>1.3832476570077663</v>
      </c>
      <c r="L27" s="1">
        <f t="shared" ca="1" si="8"/>
        <v>21</v>
      </c>
      <c r="M27" s="1"/>
      <c r="N27" s="1">
        <f t="shared" ca="1" si="9"/>
        <v>730</v>
      </c>
      <c r="O27" s="1">
        <f t="shared" ca="1" si="10"/>
        <v>50</v>
      </c>
      <c r="P27" s="1"/>
      <c r="Q27" s="1">
        <f t="shared" ca="1" si="11"/>
        <v>0.79499999069700478</v>
      </c>
      <c r="R27" s="1">
        <f t="shared" ca="1" si="12"/>
        <v>618</v>
      </c>
      <c r="S27" s="1"/>
      <c r="T27" s="1">
        <f t="shared" ca="1" si="13"/>
        <v>0.13549261394932188</v>
      </c>
      <c r="U27" s="1">
        <f t="shared" ca="1" si="14"/>
        <v>97</v>
      </c>
      <c r="V27" s="1">
        <f t="shared" ca="1" si="15"/>
        <v>45</v>
      </c>
      <c r="W27" s="1"/>
      <c r="X27" s="1">
        <f t="shared" ca="1" si="16"/>
        <v>0.46882062200828101</v>
      </c>
      <c r="Y27" s="1">
        <f t="shared" ca="1" si="17"/>
        <v>0.87906589410076319</v>
      </c>
      <c r="Z27" s="1">
        <f t="shared" ca="1" si="18"/>
        <v>1484</v>
      </c>
      <c r="AB27" s="1">
        <f t="shared" ca="1" si="19"/>
        <v>0.33043083288386454</v>
      </c>
      <c r="AC27" s="1">
        <f t="shared" ca="1" si="20"/>
        <v>738</v>
      </c>
      <c r="AD27" s="1">
        <f t="shared" ca="1" si="21"/>
        <v>5.2619504565376146E-3</v>
      </c>
      <c r="AE27" s="1"/>
      <c r="AF27" s="1">
        <f t="shared" ca="1" si="22"/>
        <v>0.85589771289687699</v>
      </c>
      <c r="AG27" s="1">
        <f t="shared" ca="1" si="23"/>
        <v>746</v>
      </c>
      <c r="AH27" s="1">
        <f t="shared" ca="1" si="24"/>
        <v>4.9594722638484712E-3</v>
      </c>
      <c r="AJ27" s="1">
        <f t="shared" ca="1" si="25"/>
        <v>0.81538632972428815</v>
      </c>
      <c r="AK27" s="1">
        <f t="shared" ca="1" si="26"/>
        <v>5.1314567497145087E-3</v>
      </c>
      <c r="AL27" s="1"/>
      <c r="AM27" s="1">
        <f t="shared" ca="1" si="27"/>
        <v>0.16179254808642884</v>
      </c>
      <c r="AN27" s="1">
        <f t="shared" ca="1" si="28"/>
        <v>26</v>
      </c>
      <c r="AO27" s="1">
        <f t="shared" ca="1" si="29"/>
        <v>2</v>
      </c>
      <c r="AQ27" s="1">
        <f t="shared" ca="1" si="30"/>
        <v>47</v>
      </c>
      <c r="AR27" s="1">
        <f t="shared" ca="1" si="31"/>
        <v>1</v>
      </c>
      <c r="AS27" s="1">
        <f t="shared" ca="1" si="32"/>
        <v>91</v>
      </c>
      <c r="AU27" s="1">
        <f t="shared" ca="1" si="33"/>
        <v>74</v>
      </c>
      <c r="AV27" s="1">
        <f t="shared" ca="1" si="34"/>
        <v>10</v>
      </c>
      <c r="AW27" s="1">
        <f t="shared" ca="1" si="35"/>
        <v>9.9935802739213514E-2</v>
      </c>
      <c r="AY27" s="1">
        <f t="shared" ca="1" si="36"/>
        <v>1.2246827659001096</v>
      </c>
      <c r="AZ27" s="1">
        <f t="shared" ca="1" si="37"/>
        <v>62</v>
      </c>
      <c r="BA27" s="1">
        <f t="shared" ca="1" si="38"/>
        <v>3.6548469800254352E-3</v>
      </c>
    </row>
    <row r="28" spans="2:53" x14ac:dyDescent="0.25">
      <c r="B28">
        <f t="shared" ca="1" si="0"/>
        <v>663</v>
      </c>
      <c r="C28">
        <f t="shared" ca="1" si="1"/>
        <v>45</v>
      </c>
      <c r="D28">
        <f t="shared" ca="1" si="2"/>
        <v>0.19347880483194743</v>
      </c>
      <c r="F28" s="1">
        <f t="shared" ca="1" si="3"/>
        <v>18</v>
      </c>
      <c r="G28" s="1">
        <f t="shared" ca="1" si="4"/>
        <v>27</v>
      </c>
      <c r="H28" s="1">
        <f t="shared" ca="1" si="5"/>
        <v>11</v>
      </c>
      <c r="I28" s="1"/>
      <c r="J28" s="1">
        <f t="shared" ca="1" si="6"/>
        <v>25</v>
      </c>
      <c r="K28" s="1">
        <f t="shared" ca="1" si="7"/>
        <v>2.7077184035656616</v>
      </c>
      <c r="L28" s="1">
        <f t="shared" ca="1" si="8"/>
        <v>22</v>
      </c>
      <c r="M28" s="1"/>
      <c r="N28" s="1">
        <f t="shared" ca="1" si="9"/>
        <v>996</v>
      </c>
      <c r="O28" s="1">
        <f t="shared" ca="1" si="10"/>
        <v>26</v>
      </c>
      <c r="P28" s="1"/>
      <c r="Q28" s="1">
        <f t="shared" ca="1" si="11"/>
        <v>0.31172692597386731</v>
      </c>
      <c r="R28" s="1">
        <f t="shared" ca="1" si="12"/>
        <v>737</v>
      </c>
      <c r="S28" s="1"/>
      <c r="T28" s="1">
        <f t="shared" ca="1" si="13"/>
        <v>0.11144447232966509</v>
      </c>
      <c r="U28" s="1">
        <f t="shared" ca="1" si="14"/>
        <v>226</v>
      </c>
      <c r="V28" s="1">
        <f t="shared" ca="1" si="15"/>
        <v>23</v>
      </c>
      <c r="W28" s="1"/>
      <c r="X28" s="1">
        <f t="shared" ca="1" si="16"/>
        <v>1.6313894364644079</v>
      </c>
      <c r="Y28" s="1">
        <f t="shared" ca="1" si="17"/>
        <v>0.72810090260377691</v>
      </c>
      <c r="Z28" s="1">
        <f t="shared" ca="1" si="18"/>
        <v>249</v>
      </c>
      <c r="AB28" s="1">
        <f t="shared" ca="1" si="19"/>
        <v>0.51836327850927166</v>
      </c>
      <c r="AC28" s="1">
        <f t="shared" ca="1" si="20"/>
        <v>647</v>
      </c>
      <c r="AD28" s="1">
        <f t="shared" ca="1" si="21"/>
        <v>5.9879430458599221E-4</v>
      </c>
      <c r="AE28" s="1"/>
      <c r="AF28" s="1">
        <f t="shared" ca="1" si="22"/>
        <v>0.11382889953298668</v>
      </c>
      <c r="AG28" s="1">
        <f t="shared" ca="1" si="23"/>
        <v>899</v>
      </c>
      <c r="AH28" s="1">
        <f t="shared" ca="1" si="24"/>
        <v>7.035177185734421E-3</v>
      </c>
      <c r="AJ28" s="1">
        <f t="shared" ca="1" si="25"/>
        <v>0.42177229259036553</v>
      </c>
      <c r="AK28" s="1">
        <f t="shared" ca="1" si="26"/>
        <v>1.1951876468899213E-3</v>
      </c>
      <c r="AL28" s="1"/>
      <c r="AM28" s="1">
        <f t="shared" ca="1" si="27"/>
        <v>0.14955043690133371</v>
      </c>
      <c r="AN28" s="1">
        <f t="shared" ca="1" si="28"/>
        <v>23</v>
      </c>
      <c r="AO28" s="1">
        <f t="shared" ca="1" si="29"/>
        <v>8</v>
      </c>
      <c r="AQ28" s="1">
        <f t="shared" ca="1" si="30"/>
        <v>15</v>
      </c>
      <c r="AR28" s="1">
        <f t="shared" ca="1" si="31"/>
        <v>10</v>
      </c>
      <c r="AS28" s="1">
        <f t="shared" ca="1" si="32"/>
        <v>18</v>
      </c>
      <c r="AU28" s="1">
        <f t="shared" ca="1" si="33"/>
        <v>311</v>
      </c>
      <c r="AV28" s="1">
        <f t="shared" ca="1" si="34"/>
        <v>9</v>
      </c>
      <c r="AW28" s="1">
        <f t="shared" ca="1" si="35"/>
        <v>9.6165907040555137E-2</v>
      </c>
      <c r="AY28" s="1">
        <f t="shared" ca="1" si="36"/>
        <v>1.273485615152232</v>
      </c>
      <c r="AZ28" s="1">
        <f t="shared" ca="1" si="37"/>
        <v>191</v>
      </c>
      <c r="BA28" s="1">
        <f t="shared" ca="1" si="38"/>
        <v>3.4547833858717212E-3</v>
      </c>
    </row>
    <row r="29" spans="2:53" x14ac:dyDescent="0.25">
      <c r="B29">
        <f t="shared" ca="1" si="0"/>
        <v>150</v>
      </c>
      <c r="C29">
        <f t="shared" ca="1" si="1"/>
        <v>2</v>
      </c>
      <c r="D29">
        <f t="shared" ca="1" si="2"/>
        <v>0.10341543759912786</v>
      </c>
      <c r="F29" s="1">
        <f t="shared" ca="1" si="3"/>
        <v>23</v>
      </c>
      <c r="G29" s="1">
        <f t="shared" ca="1" si="4"/>
        <v>16</v>
      </c>
      <c r="H29" s="1">
        <f t="shared" ca="1" si="5"/>
        <v>13</v>
      </c>
      <c r="I29" s="1"/>
      <c r="J29" s="1">
        <f t="shared" ca="1" si="6"/>
        <v>38</v>
      </c>
      <c r="K29" s="1">
        <f t="shared" ca="1" si="7"/>
        <v>2.6898257702320638</v>
      </c>
      <c r="L29" s="1">
        <f t="shared" ca="1" si="8"/>
        <v>3</v>
      </c>
      <c r="M29" s="1"/>
      <c r="N29" s="1">
        <f t="shared" ca="1" si="9"/>
        <v>237</v>
      </c>
      <c r="O29" s="1">
        <f t="shared" ca="1" si="10"/>
        <v>46</v>
      </c>
      <c r="P29" s="1"/>
      <c r="Q29" s="1">
        <f t="shared" ca="1" si="11"/>
        <v>2.8337152735560305</v>
      </c>
      <c r="R29" s="1">
        <f t="shared" ca="1" si="12"/>
        <v>1019</v>
      </c>
      <c r="S29" s="1"/>
      <c r="T29" s="1">
        <f t="shared" ca="1" si="13"/>
        <v>0.15865436817613471</v>
      </c>
      <c r="U29" s="1">
        <f t="shared" ca="1" si="14"/>
        <v>231</v>
      </c>
      <c r="V29" s="1">
        <f t="shared" ca="1" si="15"/>
        <v>37</v>
      </c>
      <c r="W29" s="1"/>
      <c r="X29" s="1">
        <f t="shared" ca="1" si="16"/>
        <v>4.2649247881846524</v>
      </c>
      <c r="Y29" s="1">
        <f t="shared" ca="1" si="17"/>
        <v>0.48244952973541422</v>
      </c>
      <c r="Z29" s="1">
        <f t="shared" ca="1" si="18"/>
        <v>826</v>
      </c>
      <c r="AB29" s="1">
        <f t="shared" ca="1" si="19"/>
        <v>0.66669217106785639</v>
      </c>
      <c r="AC29" s="1">
        <f t="shared" ca="1" si="20"/>
        <v>353</v>
      </c>
      <c r="AD29" s="1">
        <f t="shared" ca="1" si="21"/>
        <v>9.5301484159328737E-3</v>
      </c>
      <c r="AE29" s="1"/>
      <c r="AF29" s="1">
        <f t="shared" ca="1" si="22"/>
        <v>0.81488900187268742</v>
      </c>
      <c r="AG29" s="1">
        <f t="shared" ca="1" si="23"/>
        <v>843</v>
      </c>
      <c r="AH29" s="1">
        <f t="shared" ca="1" si="24"/>
        <v>9.7538726205029791E-3</v>
      </c>
      <c r="AJ29" s="1">
        <f t="shared" ca="1" si="25"/>
        <v>9.2611715599832389E-2</v>
      </c>
      <c r="AK29" s="1">
        <f t="shared" ca="1" si="26"/>
        <v>3.0470314628066705E-3</v>
      </c>
      <c r="AL29" s="1"/>
      <c r="AM29" s="1">
        <f t="shared" ca="1" si="27"/>
        <v>0.14820653450151064</v>
      </c>
      <c r="AN29" s="1">
        <f t="shared" ca="1" si="28"/>
        <v>58</v>
      </c>
      <c r="AO29" s="1">
        <f t="shared" ca="1" si="29"/>
        <v>7</v>
      </c>
      <c r="AQ29" s="1">
        <f t="shared" ca="1" si="30"/>
        <v>193</v>
      </c>
      <c r="AR29" s="1">
        <f t="shared" ca="1" si="31"/>
        <v>2</v>
      </c>
      <c r="AS29" s="1">
        <f t="shared" ca="1" si="32"/>
        <v>28</v>
      </c>
      <c r="AU29" s="1">
        <f t="shared" ca="1" si="33"/>
        <v>85</v>
      </c>
      <c r="AV29" s="1">
        <f t="shared" ca="1" si="34"/>
        <v>2</v>
      </c>
      <c r="AW29" s="1">
        <f t="shared" ca="1" si="35"/>
        <v>0.16321271982934171</v>
      </c>
      <c r="AY29" s="1">
        <f t="shared" ca="1" si="36"/>
        <v>1.9564781573193115</v>
      </c>
      <c r="AZ29" s="1">
        <f t="shared" ca="1" si="37"/>
        <v>228</v>
      </c>
      <c r="BA29" s="1">
        <f t="shared" ca="1" si="38"/>
        <v>1.6858791544177814E-3</v>
      </c>
    </row>
    <row r="30" spans="2:53" x14ac:dyDescent="0.25">
      <c r="B30">
        <f t="shared" ca="1" si="0"/>
        <v>894</v>
      </c>
      <c r="C30">
        <f t="shared" ca="1" si="1"/>
        <v>49</v>
      </c>
      <c r="D30">
        <f t="shared" ca="1" si="2"/>
        <v>0.23821146220765249</v>
      </c>
      <c r="F30" s="1">
        <f t="shared" ca="1" si="3"/>
        <v>40</v>
      </c>
      <c r="G30" s="1">
        <f t="shared" ca="1" si="4"/>
        <v>2</v>
      </c>
      <c r="H30" s="1">
        <f t="shared" ca="1" si="5"/>
        <v>15</v>
      </c>
      <c r="I30" s="1"/>
      <c r="J30" s="1">
        <f t="shared" ca="1" si="6"/>
        <v>29</v>
      </c>
      <c r="K30" s="1">
        <f t="shared" ca="1" si="7"/>
        <v>2.728910256904248</v>
      </c>
      <c r="L30" s="1">
        <f t="shared" ca="1" si="8"/>
        <v>6</v>
      </c>
      <c r="M30" s="1"/>
      <c r="N30" s="1">
        <f t="shared" ca="1" si="9"/>
        <v>856</v>
      </c>
      <c r="O30" s="1">
        <f t="shared" ca="1" si="10"/>
        <v>30</v>
      </c>
      <c r="P30" s="1"/>
      <c r="Q30" s="1">
        <f t="shared" ca="1" si="11"/>
        <v>1.9075765337336528</v>
      </c>
      <c r="R30" s="1">
        <f t="shared" ca="1" si="12"/>
        <v>565</v>
      </c>
      <c r="S30" s="1"/>
      <c r="T30" s="1">
        <f t="shared" ca="1" si="13"/>
        <v>6.5631194584151606E-2</v>
      </c>
      <c r="U30" s="1">
        <f t="shared" ca="1" si="14"/>
        <v>135</v>
      </c>
      <c r="V30" s="1">
        <f t="shared" ca="1" si="15"/>
        <v>19</v>
      </c>
      <c r="W30" s="1"/>
      <c r="X30" s="1">
        <f t="shared" ca="1" si="16"/>
        <v>2.4393715996086502</v>
      </c>
      <c r="Y30" s="1">
        <f t="shared" ca="1" si="17"/>
        <v>0.23180456853901157</v>
      </c>
      <c r="Z30" s="1">
        <f t="shared" ca="1" si="18"/>
        <v>152</v>
      </c>
      <c r="AB30" s="1">
        <f t="shared" ca="1" si="19"/>
        <v>0.22428646553571166</v>
      </c>
      <c r="AC30" s="1">
        <f t="shared" ca="1" si="20"/>
        <v>575</v>
      </c>
      <c r="AD30" s="1">
        <f t="shared" ca="1" si="21"/>
        <v>4.5263834109929586E-3</v>
      </c>
      <c r="AE30" s="1"/>
      <c r="AF30" s="1">
        <f t="shared" ca="1" si="22"/>
        <v>0.44056680695280559</v>
      </c>
      <c r="AG30" s="1">
        <f t="shared" ca="1" si="23"/>
        <v>841</v>
      </c>
      <c r="AH30" s="1">
        <f t="shared" ca="1" si="24"/>
        <v>2.5251347540666234E-3</v>
      </c>
      <c r="AJ30" s="1">
        <f t="shared" ca="1" si="25"/>
        <v>0.9246315882826518</v>
      </c>
      <c r="AK30" s="1">
        <f t="shared" ca="1" si="26"/>
        <v>9.9244938762127772E-3</v>
      </c>
      <c r="AL30" s="1"/>
      <c r="AM30" s="1">
        <f t="shared" ca="1" si="27"/>
        <v>4.0329384061403808E-2</v>
      </c>
      <c r="AN30" s="1">
        <f t="shared" ca="1" si="28"/>
        <v>29</v>
      </c>
      <c r="AO30" s="1">
        <f t="shared" ca="1" si="29"/>
        <v>7</v>
      </c>
      <c r="AQ30" s="1">
        <f t="shared" ca="1" si="30"/>
        <v>102</v>
      </c>
      <c r="AR30" s="1">
        <f t="shared" ca="1" si="31"/>
        <v>1</v>
      </c>
      <c r="AS30" s="1">
        <f t="shared" ca="1" si="32"/>
        <v>77</v>
      </c>
      <c r="AU30" s="1">
        <f t="shared" ca="1" si="33"/>
        <v>288</v>
      </c>
      <c r="AV30" s="1">
        <f t="shared" ca="1" si="34"/>
        <v>5</v>
      </c>
      <c r="AW30" s="1">
        <f t="shared" ca="1" si="35"/>
        <v>0.11679571677112492</v>
      </c>
      <c r="AY30" s="1">
        <f t="shared" ca="1" si="36"/>
        <v>1.2684261424523529</v>
      </c>
      <c r="AZ30" s="1">
        <f t="shared" ca="1" si="37"/>
        <v>100</v>
      </c>
      <c r="BA30" s="1">
        <f t="shared" ca="1" si="38"/>
        <v>7.9381625119792996E-3</v>
      </c>
    </row>
    <row r="31" spans="2:53" x14ac:dyDescent="0.25">
      <c r="B31">
        <f t="shared" ca="1" si="0"/>
        <v>908</v>
      </c>
      <c r="C31">
        <f t="shared" ca="1" si="1"/>
        <v>38</v>
      </c>
      <c r="D31">
        <f t="shared" ca="1" si="2"/>
        <v>0.12046798849689212</v>
      </c>
      <c r="F31" s="1">
        <f t="shared" ca="1" si="3"/>
        <v>21</v>
      </c>
      <c r="G31" s="1">
        <f t="shared" ca="1" si="4"/>
        <v>18</v>
      </c>
      <c r="H31" s="1">
        <f t="shared" ca="1" si="5"/>
        <v>3</v>
      </c>
      <c r="I31" s="1"/>
      <c r="J31" s="1">
        <f t="shared" ca="1" si="6"/>
        <v>6</v>
      </c>
      <c r="K31" s="1">
        <f t="shared" ca="1" si="7"/>
        <v>2.5994124720320055</v>
      </c>
      <c r="L31" s="1">
        <f t="shared" ca="1" si="8"/>
        <v>31</v>
      </c>
      <c r="M31" s="1"/>
      <c r="N31" s="1">
        <f t="shared" ca="1" si="9"/>
        <v>454</v>
      </c>
      <c r="O31" s="1">
        <f t="shared" ca="1" si="10"/>
        <v>7</v>
      </c>
      <c r="P31" s="1"/>
      <c r="Q31" s="1">
        <f t="shared" ca="1" si="11"/>
        <v>2.6324685876293192</v>
      </c>
      <c r="R31" s="1">
        <f t="shared" ca="1" si="12"/>
        <v>603</v>
      </c>
      <c r="S31" s="1"/>
      <c r="T31" s="1">
        <f t="shared" ca="1" si="13"/>
        <v>0.18441308999242989</v>
      </c>
      <c r="U31" s="1">
        <f t="shared" ca="1" si="14"/>
        <v>130</v>
      </c>
      <c r="V31" s="1">
        <f t="shared" ca="1" si="15"/>
        <v>19</v>
      </c>
      <c r="W31" s="1"/>
      <c r="X31" s="1">
        <f t="shared" ca="1" si="16"/>
        <v>6.8696200981961173</v>
      </c>
      <c r="Y31" s="1">
        <f t="shared" ca="1" si="17"/>
        <v>0.55410554646375509</v>
      </c>
      <c r="Z31" s="1">
        <f t="shared" ca="1" si="18"/>
        <v>1479</v>
      </c>
      <c r="AB31" s="1">
        <f t="shared" ca="1" si="19"/>
        <v>0.7234793723093812</v>
      </c>
      <c r="AC31" s="1">
        <f t="shared" ca="1" si="20"/>
        <v>641</v>
      </c>
      <c r="AD31" s="1">
        <f t="shared" ca="1" si="21"/>
        <v>6.8678465939541883E-3</v>
      </c>
      <c r="AE31" s="1"/>
      <c r="AF31" s="1">
        <f t="shared" ca="1" si="22"/>
        <v>0.63698780258165677</v>
      </c>
      <c r="AG31" s="1">
        <f t="shared" ca="1" si="23"/>
        <v>791</v>
      </c>
      <c r="AH31" s="1">
        <f t="shared" ca="1" si="24"/>
        <v>7.3484200367081422E-3</v>
      </c>
      <c r="AJ31" s="1">
        <f t="shared" ca="1" si="25"/>
        <v>0.58096065609366065</v>
      </c>
      <c r="AK31" s="1">
        <f t="shared" ca="1" si="26"/>
        <v>9.6664685063538903E-3</v>
      </c>
      <c r="AL31" s="1"/>
      <c r="AM31" s="1">
        <f t="shared" ca="1" si="27"/>
        <v>8.9693689919682823E-2</v>
      </c>
      <c r="AN31" s="1">
        <f t="shared" ca="1" si="28"/>
        <v>39</v>
      </c>
      <c r="AO31" s="1">
        <f t="shared" ca="1" si="29"/>
        <v>1</v>
      </c>
      <c r="AQ31" s="1">
        <f t="shared" ca="1" si="30"/>
        <v>72</v>
      </c>
      <c r="AR31" s="1">
        <f t="shared" ca="1" si="31"/>
        <v>6</v>
      </c>
      <c r="AS31" s="1">
        <f t="shared" ca="1" si="32"/>
        <v>100</v>
      </c>
      <c r="AU31" s="1">
        <f t="shared" ca="1" si="33"/>
        <v>345</v>
      </c>
      <c r="AV31" s="1">
        <f t="shared" ca="1" si="34"/>
        <v>7</v>
      </c>
      <c r="AW31" s="1">
        <f t="shared" ca="1" si="35"/>
        <v>2.2670358478170304E-2</v>
      </c>
      <c r="AY31" s="1">
        <f t="shared" ca="1" si="36"/>
        <v>1.6099579687687746</v>
      </c>
      <c r="AZ31" s="1">
        <f t="shared" ca="1" si="37"/>
        <v>273</v>
      </c>
      <c r="BA31" s="1">
        <f t="shared" ca="1" si="38"/>
        <v>8.400052740706751E-3</v>
      </c>
    </row>
    <row r="32" spans="2:53" x14ac:dyDescent="0.25">
      <c r="B32">
        <f t="shared" ca="1" si="0"/>
        <v>385</v>
      </c>
      <c r="C32">
        <f t="shared" ca="1" si="1"/>
        <v>47</v>
      </c>
      <c r="D32">
        <f t="shared" ca="1" si="2"/>
        <v>0.13991088183203335</v>
      </c>
      <c r="F32" s="1">
        <f t="shared" ca="1" si="3"/>
        <v>6</v>
      </c>
      <c r="G32" s="1">
        <f t="shared" ca="1" si="4"/>
        <v>18</v>
      </c>
      <c r="H32" s="1">
        <f t="shared" ca="1" si="5"/>
        <v>12</v>
      </c>
      <c r="I32" s="1"/>
      <c r="J32" s="1">
        <f t="shared" ca="1" si="6"/>
        <v>10</v>
      </c>
      <c r="K32" s="1">
        <f t="shared" ca="1" si="7"/>
        <v>2.6281786927593362</v>
      </c>
      <c r="L32" s="1">
        <f t="shared" ca="1" si="8"/>
        <v>28</v>
      </c>
      <c r="M32" s="1"/>
      <c r="N32" s="1">
        <f t="shared" ca="1" si="9"/>
        <v>174</v>
      </c>
      <c r="O32" s="1">
        <f t="shared" ca="1" si="10"/>
        <v>47</v>
      </c>
      <c r="P32" s="1"/>
      <c r="Q32" s="1">
        <f t="shared" ca="1" si="11"/>
        <v>3.8966455267151558</v>
      </c>
      <c r="R32" s="1">
        <f t="shared" ca="1" si="12"/>
        <v>1008</v>
      </c>
      <c r="S32" s="1"/>
      <c r="T32" s="1">
        <f t="shared" ca="1" si="13"/>
        <v>4.9207543069808998E-2</v>
      </c>
      <c r="U32" s="1">
        <f t="shared" ca="1" si="14"/>
        <v>281</v>
      </c>
      <c r="V32" s="1">
        <f t="shared" ca="1" si="15"/>
        <v>30</v>
      </c>
      <c r="W32" s="1"/>
      <c r="X32" s="1">
        <f t="shared" ca="1" si="16"/>
        <v>1.0053163237408551</v>
      </c>
      <c r="Y32" s="1">
        <f t="shared" ca="1" si="17"/>
        <v>0.49082272873538918</v>
      </c>
      <c r="Z32" s="1">
        <f t="shared" ca="1" si="18"/>
        <v>1468</v>
      </c>
      <c r="AB32" s="1">
        <f t="shared" ca="1" si="19"/>
        <v>0.45084487871445478</v>
      </c>
      <c r="AC32" s="1">
        <f t="shared" ca="1" si="20"/>
        <v>291</v>
      </c>
      <c r="AD32" s="1">
        <f t="shared" ca="1" si="21"/>
        <v>8.7354949057050681E-3</v>
      </c>
      <c r="AE32" s="1"/>
      <c r="AF32" s="1">
        <f t="shared" ca="1" si="22"/>
        <v>0.73338402761754051</v>
      </c>
      <c r="AG32" s="1">
        <f t="shared" ca="1" si="23"/>
        <v>970</v>
      </c>
      <c r="AH32" s="1">
        <f t="shared" ca="1" si="24"/>
        <v>2.3709281426290332E-3</v>
      </c>
      <c r="AJ32" s="1">
        <f t="shared" ca="1" si="25"/>
        <v>0.26828087430554359</v>
      </c>
      <c r="AK32" s="1">
        <f t="shared" ca="1" si="26"/>
        <v>1.0929435418785694E-3</v>
      </c>
      <c r="AL32" s="1"/>
      <c r="AM32" s="1">
        <f t="shared" ca="1" si="27"/>
        <v>5.7196288511772537E-3</v>
      </c>
      <c r="AN32" s="1">
        <f t="shared" ca="1" si="28"/>
        <v>37</v>
      </c>
      <c r="AO32" s="1">
        <f t="shared" ca="1" si="29"/>
        <v>17</v>
      </c>
      <c r="AQ32" s="1">
        <f t="shared" ca="1" si="30"/>
        <v>108</v>
      </c>
      <c r="AR32" s="1">
        <f t="shared" ca="1" si="31"/>
        <v>3</v>
      </c>
      <c r="AS32" s="1">
        <f t="shared" ca="1" si="32"/>
        <v>58</v>
      </c>
      <c r="AU32" s="1">
        <f t="shared" ca="1" si="33"/>
        <v>91</v>
      </c>
      <c r="AV32" s="1">
        <f t="shared" ca="1" si="34"/>
        <v>4</v>
      </c>
      <c r="AW32" s="1">
        <f t="shared" ca="1" si="35"/>
        <v>0.13703904553101143</v>
      </c>
      <c r="AY32" s="1">
        <f t="shared" ca="1" si="36"/>
        <v>1.2973075815389197</v>
      </c>
      <c r="AZ32" s="1">
        <f t="shared" ca="1" si="37"/>
        <v>145</v>
      </c>
      <c r="BA32" s="1">
        <f t="shared" ca="1" si="38"/>
        <v>4.053878457809205E-3</v>
      </c>
    </row>
    <row r="33" spans="2:53" x14ac:dyDescent="0.25">
      <c r="B33">
        <f t="shared" ca="1" si="0"/>
        <v>649</v>
      </c>
      <c r="C33">
        <f t="shared" ca="1" si="1"/>
        <v>32</v>
      </c>
      <c r="D33">
        <f t="shared" ca="1" si="2"/>
        <v>0.22798066637821598</v>
      </c>
      <c r="F33" s="1">
        <f t="shared" ca="1" si="3"/>
        <v>33</v>
      </c>
      <c r="G33" s="1">
        <f t="shared" ca="1" si="4"/>
        <v>18</v>
      </c>
      <c r="H33" s="1">
        <f t="shared" ca="1" si="5"/>
        <v>6</v>
      </c>
      <c r="I33" s="1"/>
      <c r="J33" s="1">
        <f t="shared" ca="1" si="6"/>
        <v>3</v>
      </c>
      <c r="K33" s="1">
        <f t="shared" ca="1" si="7"/>
        <v>2.1815803629664932</v>
      </c>
      <c r="L33" s="1">
        <f t="shared" ca="1" si="8"/>
        <v>10</v>
      </c>
      <c r="M33" s="1"/>
      <c r="N33" s="1">
        <f t="shared" ca="1" si="9"/>
        <v>904</v>
      </c>
      <c r="O33" s="1">
        <f t="shared" ca="1" si="10"/>
        <v>27</v>
      </c>
      <c r="P33" s="1"/>
      <c r="Q33" s="1">
        <f t="shared" ca="1" si="11"/>
        <v>3.5695485984403903</v>
      </c>
      <c r="R33" s="1">
        <f t="shared" ca="1" si="12"/>
        <v>972</v>
      </c>
      <c r="S33" s="1"/>
      <c r="T33" s="1">
        <f t="shared" ca="1" si="13"/>
        <v>1.6893156272934435E-2</v>
      </c>
      <c r="U33" s="1">
        <f t="shared" ca="1" si="14"/>
        <v>294</v>
      </c>
      <c r="V33" s="1">
        <f t="shared" ca="1" si="15"/>
        <v>12</v>
      </c>
      <c r="W33" s="1"/>
      <c r="X33" s="1">
        <f t="shared" ca="1" si="16"/>
        <v>5.2401168825591213</v>
      </c>
      <c r="Y33" s="1">
        <f t="shared" ca="1" si="17"/>
        <v>0.34892371502082214</v>
      </c>
      <c r="Z33" s="1">
        <f t="shared" ca="1" si="18"/>
        <v>1106</v>
      </c>
      <c r="AB33" s="1">
        <f t="shared" ca="1" si="19"/>
        <v>0.42987558665896519</v>
      </c>
      <c r="AC33" s="1">
        <f t="shared" ca="1" si="20"/>
        <v>691</v>
      </c>
      <c r="AD33" s="1">
        <f t="shared" ca="1" si="21"/>
        <v>8.7026022534357449E-3</v>
      </c>
      <c r="AE33" s="1"/>
      <c r="AF33" s="1">
        <f t="shared" ca="1" si="22"/>
        <v>0.20838525462074309</v>
      </c>
      <c r="AG33" s="1">
        <f t="shared" ca="1" si="23"/>
        <v>555</v>
      </c>
      <c r="AH33" s="1">
        <f t="shared" ca="1" si="24"/>
        <v>8.9852609071222004E-4</v>
      </c>
      <c r="AJ33" s="1">
        <f t="shared" ca="1" si="25"/>
        <v>0.30680506677416086</v>
      </c>
      <c r="AK33" s="1">
        <f t="shared" ca="1" si="26"/>
        <v>7.9211625944158523E-3</v>
      </c>
      <c r="AL33" s="1"/>
      <c r="AM33" s="1">
        <f t="shared" ca="1" si="27"/>
        <v>7.0334081425708808E-2</v>
      </c>
      <c r="AN33" s="1">
        <f t="shared" ca="1" si="28"/>
        <v>27</v>
      </c>
      <c r="AO33" s="1">
        <f t="shared" ca="1" si="29"/>
        <v>20</v>
      </c>
      <c r="AQ33" s="1">
        <f t="shared" ca="1" si="30"/>
        <v>95</v>
      </c>
      <c r="AR33" s="1">
        <f t="shared" ca="1" si="31"/>
        <v>0</v>
      </c>
      <c r="AS33" s="1">
        <f t="shared" ca="1" si="32"/>
        <v>9</v>
      </c>
      <c r="AU33" s="1">
        <f t="shared" ca="1" si="33"/>
        <v>256</v>
      </c>
      <c r="AV33" s="1">
        <f t="shared" ca="1" si="34"/>
        <v>7</v>
      </c>
      <c r="AW33" s="1">
        <f t="shared" ca="1" si="35"/>
        <v>0.18270614206344862</v>
      </c>
      <c r="AY33" s="1">
        <f t="shared" ca="1" si="36"/>
        <v>1.2587590342206303</v>
      </c>
      <c r="AZ33" s="1">
        <f t="shared" ca="1" si="37"/>
        <v>160</v>
      </c>
      <c r="BA33" s="1">
        <f t="shared" ca="1" si="38"/>
        <v>5.2576297414391867E-4</v>
      </c>
    </row>
    <row r="34" spans="2:53" x14ac:dyDescent="0.25">
      <c r="B34">
        <f t="shared" ca="1" si="0"/>
        <v>200</v>
      </c>
      <c r="C34">
        <f t="shared" ca="1" si="1"/>
        <v>17</v>
      </c>
      <c r="D34">
        <f t="shared" ca="1" si="2"/>
        <v>8.8203242222707812E-2</v>
      </c>
      <c r="F34" s="1">
        <f t="shared" ca="1" si="3"/>
        <v>33</v>
      </c>
      <c r="G34" s="1">
        <f t="shared" ca="1" si="4"/>
        <v>23</v>
      </c>
      <c r="H34" s="1">
        <f t="shared" ca="1" si="5"/>
        <v>9</v>
      </c>
      <c r="I34" s="1"/>
      <c r="J34" s="1">
        <f t="shared" ca="1" si="6"/>
        <v>12</v>
      </c>
      <c r="K34" s="1">
        <f t="shared" ca="1" si="7"/>
        <v>2.9555684809785814</v>
      </c>
      <c r="L34" s="1">
        <f t="shared" ca="1" si="8"/>
        <v>12</v>
      </c>
      <c r="M34" s="1"/>
      <c r="N34" s="1">
        <f t="shared" ca="1" si="9"/>
        <v>513</v>
      </c>
      <c r="O34" s="1">
        <f t="shared" ca="1" si="10"/>
        <v>21</v>
      </c>
      <c r="P34" s="1"/>
      <c r="Q34" s="1">
        <f t="shared" ca="1" si="11"/>
        <v>2.8443249768909928</v>
      </c>
      <c r="R34" s="1">
        <f t="shared" ca="1" si="12"/>
        <v>707</v>
      </c>
      <c r="S34" s="1"/>
      <c r="T34" s="1">
        <f t="shared" ca="1" si="13"/>
        <v>0.14546234167446231</v>
      </c>
      <c r="U34" s="1">
        <f t="shared" ca="1" si="14"/>
        <v>398</v>
      </c>
      <c r="V34" s="1">
        <f t="shared" ca="1" si="15"/>
        <v>39</v>
      </c>
      <c r="W34" s="1"/>
      <c r="X34" s="1">
        <f t="shared" ca="1" si="16"/>
        <v>5.0772410536105754</v>
      </c>
      <c r="Y34" s="1">
        <f t="shared" ca="1" si="17"/>
        <v>0.14373878720565117</v>
      </c>
      <c r="Z34" s="1">
        <f t="shared" ca="1" si="18"/>
        <v>894</v>
      </c>
      <c r="AB34" s="1">
        <f t="shared" ca="1" si="19"/>
        <v>0.38363570052852752</v>
      </c>
      <c r="AC34" s="1">
        <f t="shared" ca="1" si="20"/>
        <v>392</v>
      </c>
      <c r="AD34" s="1">
        <f t="shared" ca="1" si="21"/>
        <v>9.9837324153723758E-3</v>
      </c>
      <c r="AE34" s="1"/>
      <c r="AF34" s="1">
        <f t="shared" ca="1" si="22"/>
        <v>0.39185912811742185</v>
      </c>
      <c r="AG34" s="1">
        <f t="shared" ca="1" si="23"/>
        <v>571</v>
      </c>
      <c r="AH34" s="1">
        <f t="shared" ca="1" si="24"/>
        <v>5.9511484750237563E-3</v>
      </c>
      <c r="AJ34" s="1">
        <f t="shared" ca="1" si="25"/>
        <v>0.68397035358871361</v>
      </c>
      <c r="AK34" s="1">
        <f t="shared" ca="1" si="26"/>
        <v>9.770932227486262E-3</v>
      </c>
      <c r="AL34" s="1"/>
      <c r="AM34" s="1">
        <f t="shared" ca="1" si="27"/>
        <v>9.5454647752757395E-3</v>
      </c>
      <c r="AN34" s="1">
        <f t="shared" ca="1" si="28"/>
        <v>78</v>
      </c>
      <c r="AO34" s="1">
        <f t="shared" ca="1" si="29"/>
        <v>-1</v>
      </c>
      <c r="AQ34" s="1">
        <f t="shared" ca="1" si="30"/>
        <v>124</v>
      </c>
      <c r="AR34" s="1">
        <f t="shared" ca="1" si="31"/>
        <v>2</v>
      </c>
      <c r="AS34" s="1">
        <f t="shared" ca="1" si="32"/>
        <v>54</v>
      </c>
      <c r="AU34" s="1">
        <f t="shared" ca="1" si="33"/>
        <v>333</v>
      </c>
      <c r="AV34" s="1">
        <f t="shared" ca="1" si="34"/>
        <v>9</v>
      </c>
      <c r="AW34" s="1">
        <f t="shared" ca="1" si="35"/>
        <v>4.2936828497471512E-2</v>
      </c>
      <c r="AY34" s="1">
        <f t="shared" ca="1" si="36"/>
        <v>1.2367529801716894</v>
      </c>
      <c r="AZ34" s="1">
        <f t="shared" ca="1" si="37"/>
        <v>486</v>
      </c>
      <c r="BA34" s="1">
        <f t="shared" ca="1" si="38"/>
        <v>6.7532679334266583E-3</v>
      </c>
    </row>
    <row r="35" spans="2:53" x14ac:dyDescent="0.25">
      <c r="B35">
        <f t="shared" ca="1" si="0"/>
        <v>941</v>
      </c>
      <c r="C35">
        <f t="shared" ca="1" si="1"/>
        <v>22</v>
      </c>
      <c r="D35">
        <f t="shared" ca="1" si="2"/>
        <v>0.20884132252984122</v>
      </c>
      <c r="F35" s="1">
        <f t="shared" ca="1" si="3"/>
        <v>3</v>
      </c>
      <c r="G35" s="1">
        <f t="shared" ca="1" si="4"/>
        <v>17</v>
      </c>
      <c r="H35" s="1">
        <f t="shared" ca="1" si="5"/>
        <v>9</v>
      </c>
      <c r="I35" s="1"/>
      <c r="J35" s="1">
        <f t="shared" ca="1" si="6"/>
        <v>4</v>
      </c>
      <c r="K35" s="1">
        <f t="shared" ca="1" si="7"/>
        <v>1.1785649225749932</v>
      </c>
      <c r="L35" s="1">
        <f t="shared" ca="1" si="8"/>
        <v>29</v>
      </c>
      <c r="M35" s="1"/>
      <c r="N35" s="1">
        <f t="shared" ca="1" si="9"/>
        <v>183</v>
      </c>
      <c r="O35" s="1">
        <f t="shared" ca="1" si="10"/>
        <v>16</v>
      </c>
      <c r="P35" s="1"/>
      <c r="Q35" s="1">
        <f t="shared" ca="1" si="11"/>
        <v>0.69888285003114448</v>
      </c>
      <c r="R35" s="1">
        <f t="shared" ca="1" si="12"/>
        <v>916</v>
      </c>
      <c r="S35" s="1"/>
      <c r="T35" s="1">
        <f t="shared" ca="1" si="13"/>
        <v>0.14381218886633043</v>
      </c>
      <c r="U35" s="1">
        <f t="shared" ca="1" si="14"/>
        <v>227</v>
      </c>
      <c r="V35" s="1">
        <f t="shared" ca="1" si="15"/>
        <v>42</v>
      </c>
      <c r="W35" s="1"/>
      <c r="X35" s="1">
        <f t="shared" ca="1" si="16"/>
        <v>1.4822286818090618</v>
      </c>
      <c r="Y35" s="1">
        <f t="shared" ca="1" si="17"/>
        <v>0.37363218066893811</v>
      </c>
      <c r="Z35" s="1">
        <f t="shared" ca="1" si="18"/>
        <v>307</v>
      </c>
      <c r="AB35" s="1">
        <f t="shared" ca="1" si="19"/>
        <v>9.9065286561010144E-2</v>
      </c>
      <c r="AC35" s="1">
        <f t="shared" ca="1" si="20"/>
        <v>389</v>
      </c>
      <c r="AD35" s="1">
        <f t="shared" ca="1" si="21"/>
        <v>3.9295886472684553E-3</v>
      </c>
      <c r="AE35" s="1"/>
      <c r="AF35" s="1">
        <f t="shared" ca="1" si="22"/>
        <v>0.6182851536180386</v>
      </c>
      <c r="AG35" s="1">
        <f t="shared" ca="1" si="23"/>
        <v>650</v>
      </c>
      <c r="AH35" s="1">
        <f t="shared" ca="1" si="24"/>
        <v>5.9845565514163798E-3</v>
      </c>
      <c r="AJ35" s="1">
        <f t="shared" ca="1" si="25"/>
        <v>0.28912491793797912</v>
      </c>
      <c r="AK35" s="1">
        <f t="shared" ca="1" si="26"/>
        <v>3.8710392082185563E-3</v>
      </c>
      <c r="AL35" s="1"/>
      <c r="AM35" s="1">
        <f t="shared" ca="1" si="27"/>
        <v>7.403200768607214E-2</v>
      </c>
      <c r="AN35" s="1">
        <f t="shared" ca="1" si="28"/>
        <v>28</v>
      </c>
      <c r="AO35" s="1">
        <f t="shared" ca="1" si="29"/>
        <v>1</v>
      </c>
      <c r="AQ35" s="1">
        <f t="shared" ca="1" si="30"/>
        <v>75</v>
      </c>
      <c r="AR35" s="1">
        <f t="shared" ca="1" si="31"/>
        <v>10</v>
      </c>
      <c r="AS35" s="1">
        <f t="shared" ca="1" si="32"/>
        <v>21</v>
      </c>
      <c r="AU35" s="1">
        <f t="shared" ca="1" si="33"/>
        <v>300</v>
      </c>
      <c r="AV35" s="1">
        <f t="shared" ca="1" si="34"/>
        <v>10</v>
      </c>
      <c r="AW35" s="1">
        <f t="shared" ca="1" si="35"/>
        <v>0.1830816371428699</v>
      </c>
      <c r="AY35" s="1">
        <f t="shared" ca="1" si="36"/>
        <v>1.1300634007209738</v>
      </c>
      <c r="AZ35" s="1">
        <f t="shared" ca="1" si="37"/>
        <v>283</v>
      </c>
      <c r="BA35" s="1">
        <f t="shared" ca="1" si="38"/>
        <v>7.1970860584681271E-3</v>
      </c>
    </row>
    <row r="36" spans="2:53" x14ac:dyDescent="0.25">
      <c r="B36">
        <f t="shared" ca="1" si="0"/>
        <v>633</v>
      </c>
      <c r="C36">
        <f t="shared" ca="1" si="1"/>
        <v>6</v>
      </c>
      <c r="D36">
        <f t="shared" ca="1" si="2"/>
        <v>0.11312414038875085</v>
      </c>
      <c r="F36" s="1">
        <f t="shared" ca="1" si="3"/>
        <v>49</v>
      </c>
      <c r="G36" s="1">
        <f t="shared" ca="1" si="4"/>
        <v>3</v>
      </c>
      <c r="H36" s="1">
        <f t="shared" ca="1" si="5"/>
        <v>15</v>
      </c>
      <c r="I36" s="1"/>
      <c r="J36" s="1">
        <f t="shared" ca="1" si="6"/>
        <v>25</v>
      </c>
      <c r="K36" s="1">
        <f t="shared" ca="1" si="7"/>
        <v>1.1596395998310556</v>
      </c>
      <c r="L36" s="1">
        <f t="shared" ca="1" si="8"/>
        <v>6</v>
      </c>
      <c r="M36" s="1"/>
      <c r="N36" s="1">
        <f t="shared" ca="1" si="9"/>
        <v>253</v>
      </c>
      <c r="O36" s="1">
        <f t="shared" ca="1" si="10"/>
        <v>43</v>
      </c>
      <c r="P36" s="1"/>
      <c r="Q36" s="1">
        <f t="shared" ca="1" si="11"/>
        <v>1.3443885917738552</v>
      </c>
      <c r="R36" s="1">
        <f t="shared" ca="1" si="12"/>
        <v>711</v>
      </c>
      <c r="S36" s="1"/>
      <c r="T36" s="1">
        <f t="shared" ca="1" si="13"/>
        <v>6.6533630505115335E-2</v>
      </c>
      <c r="U36" s="1">
        <f t="shared" ca="1" si="14"/>
        <v>322</v>
      </c>
      <c r="V36" s="1">
        <f t="shared" ca="1" si="15"/>
        <v>19</v>
      </c>
      <c r="W36" s="1"/>
      <c r="X36" s="1">
        <f t="shared" ca="1" si="16"/>
        <v>8.8410813295317343</v>
      </c>
      <c r="Y36" s="1">
        <f t="shared" ca="1" si="17"/>
        <v>0.58278595155965551</v>
      </c>
      <c r="Z36" s="1">
        <f t="shared" ca="1" si="18"/>
        <v>1743</v>
      </c>
      <c r="AB36" s="1">
        <f t="shared" ca="1" si="19"/>
        <v>0.75739405295541173</v>
      </c>
      <c r="AC36" s="1">
        <f t="shared" ca="1" si="20"/>
        <v>930</v>
      </c>
      <c r="AD36" s="1">
        <f t="shared" ca="1" si="21"/>
        <v>6.2180171391635567E-3</v>
      </c>
      <c r="AE36" s="1"/>
      <c r="AF36" s="1">
        <f t="shared" ca="1" si="22"/>
        <v>0.17509342355025392</v>
      </c>
      <c r="AG36" s="1">
        <f t="shared" ca="1" si="23"/>
        <v>599</v>
      </c>
      <c r="AH36" s="1">
        <f t="shared" ca="1" si="24"/>
        <v>2.3392507556660428E-4</v>
      </c>
      <c r="AJ36" s="1">
        <f t="shared" ca="1" si="25"/>
        <v>0.88736773063082308</v>
      </c>
      <c r="AK36" s="1">
        <f t="shared" ca="1" si="26"/>
        <v>8.3062294269003207E-3</v>
      </c>
      <c r="AL36" s="1"/>
      <c r="AM36" s="1">
        <f t="shared" ca="1" si="27"/>
        <v>3.8241349829548521E-2</v>
      </c>
      <c r="AN36" s="1">
        <f t="shared" ca="1" si="28"/>
        <v>40</v>
      </c>
      <c r="AO36" s="1">
        <f t="shared" ca="1" si="29"/>
        <v>17</v>
      </c>
      <c r="AQ36" s="1">
        <f t="shared" ca="1" si="30"/>
        <v>107</v>
      </c>
      <c r="AR36" s="1">
        <f t="shared" ca="1" si="31"/>
        <v>8</v>
      </c>
      <c r="AS36" s="1">
        <f t="shared" ca="1" si="32"/>
        <v>67</v>
      </c>
      <c r="AU36" s="1">
        <f t="shared" ca="1" si="33"/>
        <v>295</v>
      </c>
      <c r="AV36" s="1">
        <f t="shared" ca="1" si="34"/>
        <v>3</v>
      </c>
      <c r="AW36" s="1">
        <f t="shared" ca="1" si="35"/>
        <v>6.8298658912445659E-2</v>
      </c>
      <c r="AY36" s="1">
        <f t="shared" ca="1" si="36"/>
        <v>1.1296992603745493</v>
      </c>
      <c r="AZ36" s="1">
        <f t="shared" ca="1" si="37"/>
        <v>62</v>
      </c>
      <c r="BA36" s="1">
        <f t="shared" ca="1" si="38"/>
        <v>2.5634365840613554E-3</v>
      </c>
    </row>
    <row r="37" spans="2:53" x14ac:dyDescent="0.25">
      <c r="B37">
        <f t="shared" ca="1" si="0"/>
        <v>267</v>
      </c>
      <c r="C37">
        <f t="shared" ca="1" si="1"/>
        <v>31</v>
      </c>
      <c r="D37">
        <f t="shared" ca="1" si="2"/>
        <v>0.28219865412418299</v>
      </c>
      <c r="F37" s="1">
        <f t="shared" ca="1" si="3"/>
        <v>13</v>
      </c>
      <c r="G37" s="1">
        <f t="shared" ca="1" si="4"/>
        <v>26</v>
      </c>
      <c r="H37" s="1">
        <f t="shared" ca="1" si="5"/>
        <v>11</v>
      </c>
      <c r="I37" s="1"/>
      <c r="J37" s="1">
        <f t="shared" ca="1" si="6"/>
        <v>25</v>
      </c>
      <c r="K37" s="1">
        <f t="shared" ca="1" si="7"/>
        <v>2.9397530405214489</v>
      </c>
      <c r="L37" s="1">
        <f t="shared" ca="1" si="8"/>
        <v>16</v>
      </c>
      <c r="M37" s="1"/>
      <c r="N37" s="1">
        <f t="shared" ca="1" si="9"/>
        <v>448</v>
      </c>
      <c r="O37" s="1">
        <f t="shared" ca="1" si="10"/>
        <v>8</v>
      </c>
      <c r="P37" s="1"/>
      <c r="Q37" s="1">
        <f t="shared" ca="1" si="11"/>
        <v>2.3449755302085045</v>
      </c>
      <c r="R37" s="1">
        <f t="shared" ca="1" si="12"/>
        <v>699</v>
      </c>
      <c r="S37" s="1"/>
      <c r="T37" s="1">
        <f t="shared" ca="1" si="13"/>
        <v>0.18708200314553219</v>
      </c>
      <c r="U37" s="1">
        <f t="shared" ca="1" si="14"/>
        <v>132</v>
      </c>
      <c r="V37" s="1">
        <f t="shared" ca="1" si="15"/>
        <v>4</v>
      </c>
      <c r="W37" s="1"/>
      <c r="X37" s="1">
        <f t="shared" ca="1" si="16"/>
        <v>4.4748881399680283</v>
      </c>
      <c r="Y37" s="1">
        <f t="shared" ca="1" si="17"/>
        <v>0.78030044490231176</v>
      </c>
      <c r="Z37" s="1">
        <f t="shared" ca="1" si="18"/>
        <v>126</v>
      </c>
      <c r="AB37" s="1">
        <f t="shared" ca="1" si="19"/>
        <v>0.65505205773395814</v>
      </c>
      <c r="AC37" s="1">
        <f t="shared" ca="1" si="20"/>
        <v>111</v>
      </c>
      <c r="AD37" s="1">
        <f t="shared" ca="1" si="21"/>
        <v>1.5045670668638982E-3</v>
      </c>
      <c r="AE37" s="1"/>
      <c r="AF37" s="1">
        <f t="shared" ca="1" si="22"/>
        <v>0.87296490638113278</v>
      </c>
      <c r="AG37" s="1">
        <f t="shared" ca="1" si="23"/>
        <v>879</v>
      </c>
      <c r="AH37" s="1">
        <f t="shared" ca="1" si="24"/>
        <v>7.0942415991484611E-3</v>
      </c>
      <c r="AJ37" s="1">
        <f t="shared" ca="1" si="25"/>
        <v>0.79479938677916018</v>
      </c>
      <c r="AK37" s="1">
        <f t="shared" ca="1" si="26"/>
        <v>7.1746172992421054E-3</v>
      </c>
      <c r="AL37" s="1"/>
      <c r="AM37" s="1">
        <f t="shared" ca="1" si="27"/>
        <v>0.14365064364040381</v>
      </c>
      <c r="AN37" s="1">
        <f t="shared" ca="1" si="28"/>
        <v>58</v>
      </c>
      <c r="AO37" s="1">
        <f t="shared" ca="1" si="29"/>
        <v>0</v>
      </c>
      <c r="AQ37" s="1">
        <f t="shared" ca="1" si="30"/>
        <v>18</v>
      </c>
      <c r="AR37" s="1">
        <f t="shared" ca="1" si="31"/>
        <v>9</v>
      </c>
      <c r="AS37" s="1">
        <f t="shared" ca="1" si="32"/>
        <v>6</v>
      </c>
      <c r="AU37" s="1">
        <f t="shared" ca="1" si="33"/>
        <v>151</v>
      </c>
      <c r="AV37" s="1">
        <f t="shared" ca="1" si="34"/>
        <v>2</v>
      </c>
      <c r="AW37" s="1">
        <f t="shared" ca="1" si="35"/>
        <v>0.14142340247985655</v>
      </c>
      <c r="AY37" s="1">
        <f t="shared" ca="1" si="36"/>
        <v>1.2995332998248907</v>
      </c>
      <c r="AZ37" s="1">
        <f t="shared" ca="1" si="37"/>
        <v>366</v>
      </c>
      <c r="BA37" s="1">
        <f t="shared" ca="1" si="38"/>
        <v>2.390479384718086E-3</v>
      </c>
    </row>
    <row r="38" spans="2:53" x14ac:dyDescent="0.25">
      <c r="B38">
        <f t="shared" ca="1" si="0"/>
        <v>765</v>
      </c>
      <c r="C38">
        <f t="shared" ca="1" si="1"/>
        <v>21</v>
      </c>
      <c r="D38">
        <f t="shared" ca="1" si="2"/>
        <v>0.16319443913807011</v>
      </c>
      <c r="F38" s="1">
        <f t="shared" ca="1" si="3"/>
        <v>2</v>
      </c>
      <c r="G38" s="1">
        <f t="shared" ca="1" si="4"/>
        <v>9</v>
      </c>
      <c r="H38" s="1">
        <f t="shared" ca="1" si="5"/>
        <v>5</v>
      </c>
      <c r="I38" s="1"/>
      <c r="J38" s="1">
        <f t="shared" ca="1" si="6"/>
        <v>4</v>
      </c>
      <c r="K38" s="1">
        <f t="shared" ca="1" si="7"/>
        <v>1.9296319434556253</v>
      </c>
      <c r="L38" s="1">
        <f t="shared" ca="1" si="8"/>
        <v>10</v>
      </c>
      <c r="M38" s="1"/>
      <c r="N38" s="1">
        <f t="shared" ca="1" si="9"/>
        <v>616</v>
      </c>
      <c r="O38" s="1">
        <f t="shared" ca="1" si="10"/>
        <v>39</v>
      </c>
      <c r="P38" s="1"/>
      <c r="Q38" s="1">
        <f t="shared" ca="1" si="11"/>
        <v>4.9461844420227132</v>
      </c>
      <c r="R38" s="1">
        <f t="shared" ca="1" si="12"/>
        <v>544</v>
      </c>
      <c r="S38" s="1"/>
      <c r="T38" s="1">
        <f t="shared" ca="1" si="13"/>
        <v>5.6951422926679471E-2</v>
      </c>
      <c r="U38" s="1">
        <f t="shared" ca="1" si="14"/>
        <v>263</v>
      </c>
      <c r="V38" s="1">
        <f t="shared" ca="1" si="15"/>
        <v>40</v>
      </c>
      <c r="W38" s="1"/>
      <c r="X38" s="1">
        <f t="shared" ca="1" si="16"/>
        <v>8.3183732776948229</v>
      </c>
      <c r="Y38" s="1">
        <f t="shared" ca="1" si="17"/>
        <v>0.35776039021549749</v>
      </c>
      <c r="Z38" s="1">
        <f t="shared" ca="1" si="18"/>
        <v>250</v>
      </c>
      <c r="AB38" s="1">
        <f t="shared" ca="1" si="19"/>
        <v>2.0102776621557031E-2</v>
      </c>
      <c r="AC38" s="1">
        <f t="shared" ca="1" si="20"/>
        <v>304</v>
      </c>
      <c r="AD38" s="1">
        <f t="shared" ca="1" si="21"/>
        <v>7.7574773059465715E-3</v>
      </c>
      <c r="AE38" s="1"/>
      <c r="AF38" s="1">
        <f t="shared" ca="1" si="22"/>
        <v>0.46195950854149825</v>
      </c>
      <c r="AG38" s="1">
        <f t="shared" ca="1" si="23"/>
        <v>617</v>
      </c>
      <c r="AH38" s="1">
        <f t="shared" ca="1" si="24"/>
        <v>9.3957822056784969E-3</v>
      </c>
      <c r="AJ38" s="1">
        <f t="shared" ca="1" si="25"/>
        <v>0.93301723986229457</v>
      </c>
      <c r="AK38" s="1">
        <f t="shared" ca="1" si="26"/>
        <v>1.604552634401064E-3</v>
      </c>
      <c r="AL38" s="1"/>
      <c r="AM38" s="1">
        <f t="shared" ca="1" si="27"/>
        <v>9.7685944053637522E-2</v>
      </c>
      <c r="AN38" s="1">
        <f t="shared" ca="1" si="28"/>
        <v>16</v>
      </c>
      <c r="AO38" s="1">
        <f t="shared" ca="1" si="29"/>
        <v>20</v>
      </c>
      <c r="AQ38" s="1">
        <f t="shared" ca="1" si="30"/>
        <v>191</v>
      </c>
      <c r="AR38" s="1">
        <f t="shared" ca="1" si="31"/>
        <v>9</v>
      </c>
      <c r="AS38" s="1">
        <f t="shared" ca="1" si="32"/>
        <v>13</v>
      </c>
      <c r="AU38" s="1">
        <f t="shared" ca="1" si="33"/>
        <v>369</v>
      </c>
      <c r="AV38" s="1">
        <f t="shared" ca="1" si="34"/>
        <v>3</v>
      </c>
      <c r="AW38" s="1">
        <f t="shared" ca="1" si="35"/>
        <v>0.19595120329971796</v>
      </c>
      <c r="AY38" s="1">
        <f t="shared" ca="1" si="36"/>
        <v>1.2554584506267699</v>
      </c>
      <c r="AZ38" s="1">
        <f t="shared" ca="1" si="37"/>
        <v>421</v>
      </c>
      <c r="BA38" s="1">
        <f t="shared" ca="1" si="38"/>
        <v>3.0072384625750826E-3</v>
      </c>
    </row>
    <row r="39" spans="2:53" x14ac:dyDescent="0.25">
      <c r="B39">
        <f t="shared" ca="1" si="0"/>
        <v>630</v>
      </c>
      <c r="C39">
        <f t="shared" ca="1" si="1"/>
        <v>38</v>
      </c>
      <c r="D39">
        <f t="shared" ca="1" si="2"/>
        <v>3.3259613948294714E-2</v>
      </c>
      <c r="F39" s="1">
        <f t="shared" ca="1" si="3"/>
        <v>10</v>
      </c>
      <c r="G39" s="1">
        <f t="shared" ca="1" si="4"/>
        <v>26</v>
      </c>
      <c r="H39" s="1">
        <f t="shared" ca="1" si="5"/>
        <v>2</v>
      </c>
      <c r="I39" s="1"/>
      <c r="J39" s="1">
        <f t="shared" ca="1" si="6"/>
        <v>15</v>
      </c>
      <c r="K39" s="1">
        <f t="shared" ca="1" si="7"/>
        <v>2.7028081707056613</v>
      </c>
      <c r="L39" s="1">
        <f t="shared" ca="1" si="8"/>
        <v>33</v>
      </c>
      <c r="M39" s="1"/>
      <c r="N39" s="1">
        <f t="shared" ca="1" si="9"/>
        <v>423</v>
      </c>
      <c r="O39" s="1">
        <f t="shared" ca="1" si="10"/>
        <v>4</v>
      </c>
      <c r="P39" s="1"/>
      <c r="Q39" s="1">
        <f t="shared" ca="1" si="11"/>
        <v>4.5692063785041919</v>
      </c>
      <c r="R39" s="1">
        <f t="shared" ca="1" si="12"/>
        <v>866</v>
      </c>
      <c r="S39" s="1"/>
      <c r="T39" s="1">
        <f t="shared" ca="1" si="13"/>
        <v>2.4487797344261625E-2</v>
      </c>
      <c r="U39" s="1">
        <f t="shared" ca="1" si="14"/>
        <v>248</v>
      </c>
      <c r="V39" s="1">
        <f t="shared" ca="1" si="15"/>
        <v>46</v>
      </c>
      <c r="W39" s="1"/>
      <c r="X39" s="1">
        <f t="shared" ca="1" si="16"/>
        <v>7.7994415508905235E-2</v>
      </c>
      <c r="Y39" s="1">
        <f t="shared" ca="1" si="17"/>
        <v>0.38043489154281274</v>
      </c>
      <c r="Z39" s="1">
        <f t="shared" ca="1" si="18"/>
        <v>927</v>
      </c>
      <c r="AB39" s="1">
        <f t="shared" ca="1" si="19"/>
        <v>0.77644561158347236</v>
      </c>
      <c r="AC39" s="1">
        <f t="shared" ca="1" si="20"/>
        <v>818</v>
      </c>
      <c r="AD39" s="1">
        <f t="shared" ca="1" si="21"/>
        <v>5.1640709351038908E-3</v>
      </c>
      <c r="AE39" s="1"/>
      <c r="AF39" s="1">
        <f t="shared" ca="1" si="22"/>
        <v>0.58265668965415229</v>
      </c>
      <c r="AG39" s="1">
        <f t="shared" ca="1" si="23"/>
        <v>813</v>
      </c>
      <c r="AH39" s="1">
        <f t="shared" ca="1" si="24"/>
        <v>2.9782620733161589E-3</v>
      </c>
      <c r="AJ39" s="1">
        <f t="shared" ca="1" si="25"/>
        <v>0.50648255535816888</v>
      </c>
      <c r="AK39" s="1">
        <f t="shared" ca="1" si="26"/>
        <v>3.7190311568256877E-3</v>
      </c>
      <c r="AL39" s="1"/>
      <c r="AM39" s="1">
        <f t="shared" ca="1" si="27"/>
        <v>8.3504599674483884E-2</v>
      </c>
      <c r="AN39" s="1">
        <f t="shared" ca="1" si="28"/>
        <v>40</v>
      </c>
      <c r="AO39" s="1">
        <f t="shared" ca="1" si="29"/>
        <v>4</v>
      </c>
      <c r="AQ39" s="1">
        <f t="shared" ca="1" si="30"/>
        <v>160</v>
      </c>
      <c r="AR39" s="1">
        <f t="shared" ca="1" si="31"/>
        <v>7</v>
      </c>
      <c r="AS39" s="1">
        <f t="shared" ca="1" si="32"/>
        <v>13</v>
      </c>
      <c r="AU39" s="1">
        <f t="shared" ca="1" si="33"/>
        <v>64</v>
      </c>
      <c r="AV39" s="1">
        <f t="shared" ca="1" si="34"/>
        <v>3</v>
      </c>
      <c r="AW39" s="1">
        <f t="shared" ca="1" si="35"/>
        <v>0.18945617348666266</v>
      </c>
      <c r="AY39" s="1">
        <f t="shared" ca="1" si="36"/>
        <v>1.3369922884926033</v>
      </c>
      <c r="AZ39" s="1">
        <f t="shared" ca="1" si="37"/>
        <v>252</v>
      </c>
      <c r="BA39" s="1">
        <f t="shared" ca="1" si="38"/>
        <v>5.7645600222893615E-3</v>
      </c>
    </row>
    <row r="40" spans="2:53" x14ac:dyDescent="0.25">
      <c r="B40">
        <f t="shared" ca="1" si="0"/>
        <v>208</v>
      </c>
      <c r="C40">
        <f t="shared" ca="1" si="1"/>
        <v>2</v>
      </c>
      <c r="D40">
        <f t="shared" ca="1" si="2"/>
        <v>0.1097001681909938</v>
      </c>
      <c r="F40" s="1">
        <f t="shared" ca="1" si="3"/>
        <v>51</v>
      </c>
      <c r="G40" s="1">
        <f t="shared" ca="1" si="4"/>
        <v>15</v>
      </c>
      <c r="H40" s="1">
        <f t="shared" ca="1" si="5"/>
        <v>11</v>
      </c>
      <c r="I40" s="1"/>
      <c r="J40" s="1">
        <f t="shared" ca="1" si="6"/>
        <v>33</v>
      </c>
      <c r="K40" s="1">
        <f t="shared" ca="1" si="7"/>
        <v>2.4635230020250103</v>
      </c>
      <c r="L40" s="1">
        <f t="shared" ca="1" si="8"/>
        <v>8</v>
      </c>
      <c r="M40" s="1"/>
      <c r="N40" s="1">
        <f t="shared" ca="1" si="9"/>
        <v>187</v>
      </c>
      <c r="O40" s="1">
        <f t="shared" ca="1" si="10"/>
        <v>40</v>
      </c>
      <c r="P40" s="1"/>
      <c r="Q40" s="1">
        <f t="shared" ca="1" si="11"/>
        <v>3.9363233448146095</v>
      </c>
      <c r="R40" s="1">
        <f t="shared" ca="1" si="12"/>
        <v>744</v>
      </c>
      <c r="S40" s="1"/>
      <c r="T40" s="1">
        <f t="shared" ca="1" si="13"/>
        <v>0.19854819541710531</v>
      </c>
      <c r="U40" s="1">
        <f t="shared" ca="1" si="14"/>
        <v>382</v>
      </c>
      <c r="V40" s="1">
        <f t="shared" ca="1" si="15"/>
        <v>17</v>
      </c>
      <c r="W40" s="1"/>
      <c r="X40" s="1">
        <f t="shared" ca="1" si="16"/>
        <v>9.7463653957695033</v>
      </c>
      <c r="Y40" s="1">
        <f t="shared" ca="1" si="17"/>
        <v>0.24436085109772013</v>
      </c>
      <c r="Z40" s="1">
        <f t="shared" ca="1" si="18"/>
        <v>1138</v>
      </c>
      <c r="AB40" s="1">
        <f t="shared" ca="1" si="19"/>
        <v>0.33647403630502593</v>
      </c>
      <c r="AC40" s="1">
        <f t="shared" ca="1" si="20"/>
        <v>551</v>
      </c>
      <c r="AD40" s="1">
        <f t="shared" ca="1" si="21"/>
        <v>4.4894210190039845E-3</v>
      </c>
      <c r="AE40" s="1"/>
      <c r="AF40" s="1">
        <f t="shared" ca="1" si="22"/>
        <v>0.10256617294844306</v>
      </c>
      <c r="AG40" s="1">
        <f t="shared" ca="1" si="23"/>
        <v>501</v>
      </c>
      <c r="AH40" s="1">
        <f t="shared" ca="1" si="24"/>
        <v>8.9741304736817105E-3</v>
      </c>
      <c r="AJ40" s="1">
        <f t="shared" ca="1" si="25"/>
        <v>0.12953669564386538</v>
      </c>
      <c r="AK40" s="1">
        <f t="shared" ca="1" si="26"/>
        <v>8.5176797569054899E-3</v>
      </c>
      <c r="AL40" s="1"/>
      <c r="AM40" s="1">
        <f t="shared" ca="1" si="27"/>
        <v>0.14615589102765844</v>
      </c>
      <c r="AN40" s="1">
        <f t="shared" ca="1" si="28"/>
        <v>55</v>
      </c>
      <c r="AO40" s="1">
        <f t="shared" ca="1" si="29"/>
        <v>19</v>
      </c>
      <c r="AQ40" s="1">
        <f t="shared" ca="1" si="30"/>
        <v>147</v>
      </c>
      <c r="AR40" s="1">
        <f t="shared" ca="1" si="31"/>
        <v>4</v>
      </c>
      <c r="AS40" s="1">
        <f t="shared" ca="1" si="32"/>
        <v>53</v>
      </c>
      <c r="AU40" s="1">
        <f t="shared" ca="1" si="33"/>
        <v>217</v>
      </c>
      <c r="AV40" s="1">
        <f t="shared" ca="1" si="34"/>
        <v>2</v>
      </c>
      <c r="AW40" s="1">
        <f t="shared" ca="1" si="35"/>
        <v>6.7318738727652636E-2</v>
      </c>
      <c r="AY40" s="1">
        <f t="shared" ca="1" si="36"/>
        <v>1.2388239924955049</v>
      </c>
      <c r="AZ40" s="1">
        <f t="shared" ca="1" si="37"/>
        <v>126</v>
      </c>
      <c r="BA40" s="1">
        <f t="shared" ca="1" si="38"/>
        <v>2.256504136348664E-3</v>
      </c>
    </row>
    <row r="41" spans="2:53" x14ac:dyDescent="0.25">
      <c r="B41">
        <f t="shared" ca="1" si="0"/>
        <v>426</v>
      </c>
      <c r="C41">
        <f t="shared" ca="1" si="1"/>
        <v>29</v>
      </c>
      <c r="D41">
        <f t="shared" ca="1" si="2"/>
        <v>0.19151246906959213</v>
      </c>
      <c r="F41" s="1">
        <f t="shared" ca="1" si="3"/>
        <v>43</v>
      </c>
      <c r="G41" s="1">
        <f t="shared" ca="1" si="4"/>
        <v>30</v>
      </c>
      <c r="H41" s="1">
        <f t="shared" ca="1" si="5"/>
        <v>6</v>
      </c>
      <c r="I41" s="1"/>
      <c r="J41" s="1">
        <f t="shared" ca="1" si="6"/>
        <v>20</v>
      </c>
      <c r="K41" s="1">
        <f t="shared" ca="1" si="7"/>
        <v>1.1426381533370453</v>
      </c>
      <c r="L41" s="1">
        <f t="shared" ca="1" si="8"/>
        <v>25</v>
      </c>
      <c r="M41" s="1"/>
      <c r="N41" s="1">
        <f t="shared" ca="1" si="9"/>
        <v>931</v>
      </c>
      <c r="O41" s="1">
        <f t="shared" ca="1" si="10"/>
        <v>11</v>
      </c>
      <c r="P41" s="1"/>
      <c r="Q41" s="1">
        <f t="shared" ca="1" si="11"/>
        <v>4.3728590171972739</v>
      </c>
      <c r="R41" s="1">
        <f t="shared" ca="1" si="12"/>
        <v>1053</v>
      </c>
      <c r="S41" s="1"/>
      <c r="T41" s="1">
        <f t="shared" ca="1" si="13"/>
        <v>3.4681350465646889E-2</v>
      </c>
      <c r="U41" s="1">
        <f t="shared" ca="1" si="14"/>
        <v>418</v>
      </c>
      <c r="V41" s="1">
        <f t="shared" ca="1" si="15"/>
        <v>18</v>
      </c>
      <c r="W41" s="1"/>
      <c r="X41" s="1">
        <f t="shared" ca="1" si="16"/>
        <v>3.210851220612486</v>
      </c>
      <c r="Y41" s="1">
        <f t="shared" ca="1" si="17"/>
        <v>0.86589740768808432</v>
      </c>
      <c r="Z41" s="1">
        <f t="shared" ca="1" si="18"/>
        <v>1286</v>
      </c>
      <c r="AB41" s="1">
        <f t="shared" ca="1" si="19"/>
        <v>0.38802307776750206</v>
      </c>
      <c r="AC41" s="1">
        <f t="shared" ca="1" si="20"/>
        <v>153</v>
      </c>
      <c r="AD41" s="1">
        <f t="shared" ca="1" si="21"/>
        <v>3.1042996993831421E-3</v>
      </c>
      <c r="AE41" s="1"/>
      <c r="AF41" s="1">
        <f t="shared" ca="1" si="22"/>
        <v>0.63257572167330312</v>
      </c>
      <c r="AG41" s="1">
        <f t="shared" ca="1" si="23"/>
        <v>575</v>
      </c>
      <c r="AH41" s="1">
        <f t="shared" ca="1" si="24"/>
        <v>3.4795546971564733E-3</v>
      </c>
      <c r="AJ41" s="1">
        <f t="shared" ca="1" si="25"/>
        <v>0.54592126386933371</v>
      </c>
      <c r="AK41" s="1">
        <f t="shared" ca="1" si="26"/>
        <v>7.4550947002085732E-3</v>
      </c>
      <c r="AL41" s="1"/>
      <c r="AM41" s="1">
        <f t="shared" ca="1" si="27"/>
        <v>0.13366417055947399</v>
      </c>
      <c r="AN41" s="1">
        <f t="shared" ca="1" si="28"/>
        <v>34</v>
      </c>
      <c r="AO41" s="1">
        <f t="shared" ca="1" si="29"/>
        <v>9</v>
      </c>
      <c r="AQ41" s="1">
        <f t="shared" ca="1" si="30"/>
        <v>107</v>
      </c>
      <c r="AR41" s="1">
        <f t="shared" ca="1" si="31"/>
        <v>1</v>
      </c>
      <c r="AS41" s="1">
        <f t="shared" ca="1" si="32"/>
        <v>36</v>
      </c>
      <c r="AU41" s="1">
        <f t="shared" ca="1" si="33"/>
        <v>80</v>
      </c>
      <c r="AV41" s="1">
        <f t="shared" ca="1" si="34"/>
        <v>6</v>
      </c>
      <c r="AW41" s="1">
        <f t="shared" ca="1" si="35"/>
        <v>0.13191264555426457</v>
      </c>
      <c r="AY41" s="1">
        <f t="shared" ca="1" si="36"/>
        <v>1.2621409727811135</v>
      </c>
      <c r="AZ41" s="1">
        <f t="shared" ca="1" si="37"/>
        <v>130</v>
      </c>
      <c r="BA41" s="1">
        <f t="shared" ca="1" si="38"/>
        <v>2.6988948387974649E-3</v>
      </c>
    </row>
    <row r="42" spans="2:53" x14ac:dyDescent="0.25">
      <c r="B42">
        <f t="shared" ca="1" si="0"/>
        <v>445</v>
      </c>
      <c r="C42">
        <f t="shared" ca="1" si="1"/>
        <v>36</v>
      </c>
      <c r="D42">
        <f t="shared" ca="1" si="2"/>
        <v>3.5370824400165819E-2</v>
      </c>
      <c r="F42" s="1">
        <f t="shared" ca="1" si="3"/>
        <v>49</v>
      </c>
      <c r="G42" s="1">
        <f t="shared" ca="1" si="4"/>
        <v>29</v>
      </c>
      <c r="H42" s="1">
        <f t="shared" ca="1" si="5"/>
        <v>9</v>
      </c>
      <c r="I42" s="1"/>
      <c r="J42" s="1">
        <f t="shared" ca="1" si="6"/>
        <v>36</v>
      </c>
      <c r="K42" s="1">
        <f t="shared" ca="1" si="7"/>
        <v>1.6445371662303641</v>
      </c>
      <c r="L42" s="1">
        <f t="shared" ca="1" si="8"/>
        <v>11</v>
      </c>
      <c r="M42" s="1"/>
      <c r="N42" s="1">
        <f t="shared" ca="1" si="9"/>
        <v>541</v>
      </c>
      <c r="O42" s="1">
        <f t="shared" ca="1" si="10"/>
        <v>6</v>
      </c>
      <c r="P42" s="1"/>
      <c r="Q42" s="1">
        <f t="shared" ca="1" si="11"/>
        <v>3.5041167412938798</v>
      </c>
      <c r="R42" s="1">
        <f t="shared" ca="1" si="12"/>
        <v>928</v>
      </c>
      <c r="S42" s="1"/>
      <c r="T42" s="1">
        <f t="shared" ca="1" si="13"/>
        <v>0.154854132698588</v>
      </c>
      <c r="U42" s="1">
        <f t="shared" ca="1" si="14"/>
        <v>65</v>
      </c>
      <c r="V42" s="1">
        <f t="shared" ca="1" si="15"/>
        <v>31</v>
      </c>
      <c r="W42" s="1"/>
      <c r="X42" s="1">
        <f t="shared" ca="1" si="16"/>
        <v>4.4985449865529201</v>
      </c>
      <c r="Y42" s="1">
        <f t="shared" ca="1" si="17"/>
        <v>0.97658396697501182</v>
      </c>
      <c r="Z42" s="1">
        <f t="shared" ca="1" si="18"/>
        <v>880</v>
      </c>
      <c r="AB42" s="1">
        <f t="shared" ca="1" si="19"/>
        <v>0.68254124883796596</v>
      </c>
      <c r="AC42" s="1">
        <f t="shared" ca="1" si="20"/>
        <v>667</v>
      </c>
      <c r="AD42" s="1">
        <f t="shared" ca="1" si="21"/>
        <v>3.7011927886176528E-3</v>
      </c>
      <c r="AE42" s="1"/>
      <c r="AF42" s="1">
        <f t="shared" ca="1" si="22"/>
        <v>0.26055777530409585</v>
      </c>
      <c r="AG42" s="1">
        <f t="shared" ca="1" si="23"/>
        <v>754</v>
      </c>
      <c r="AH42" s="1">
        <f t="shared" ca="1" si="24"/>
        <v>3.1987268996604883E-3</v>
      </c>
      <c r="AJ42" s="1">
        <f t="shared" ca="1" si="25"/>
        <v>6.4253943330714991E-2</v>
      </c>
      <c r="AK42" s="1">
        <f t="shared" ca="1" si="26"/>
        <v>9.8282643676884038E-3</v>
      </c>
      <c r="AL42" s="1"/>
      <c r="AM42" s="1">
        <f t="shared" ca="1" si="27"/>
        <v>8.0074292755349441E-2</v>
      </c>
      <c r="AN42" s="1">
        <f t="shared" ca="1" si="28"/>
        <v>43</v>
      </c>
      <c r="AO42" s="1">
        <f t="shared" ca="1" si="29"/>
        <v>2</v>
      </c>
      <c r="AQ42" s="1">
        <f t="shared" ca="1" si="30"/>
        <v>126</v>
      </c>
      <c r="AR42" s="1">
        <f t="shared" ca="1" si="31"/>
        <v>4</v>
      </c>
      <c r="AS42" s="1">
        <f t="shared" ca="1" si="32"/>
        <v>42</v>
      </c>
      <c r="AU42" s="1">
        <f t="shared" ca="1" si="33"/>
        <v>191</v>
      </c>
      <c r="AV42" s="1">
        <f t="shared" ca="1" si="34"/>
        <v>10</v>
      </c>
      <c r="AW42" s="1">
        <f t="shared" ca="1" si="35"/>
        <v>0.10192897122730261</v>
      </c>
      <c r="AY42" s="1">
        <f t="shared" ca="1" si="36"/>
        <v>1.3080177197599425</v>
      </c>
      <c r="AZ42" s="1">
        <f t="shared" ca="1" si="37"/>
        <v>472</v>
      </c>
      <c r="BA42" s="1">
        <f t="shared" ca="1" si="38"/>
        <v>9.6987505856070411E-3</v>
      </c>
    </row>
    <row r="43" spans="2:53" x14ac:dyDescent="0.25">
      <c r="B43">
        <f t="shared" ca="1" si="0"/>
        <v>105</v>
      </c>
      <c r="C43">
        <f t="shared" ca="1" si="1"/>
        <v>3</v>
      </c>
      <c r="D43">
        <f t="shared" ca="1" si="2"/>
        <v>8.0093205682651852E-2</v>
      </c>
      <c r="F43" s="1">
        <f t="shared" ca="1" si="3"/>
        <v>32</v>
      </c>
      <c r="G43" s="1">
        <f t="shared" ca="1" si="4"/>
        <v>12</v>
      </c>
      <c r="H43" s="1">
        <f t="shared" ca="1" si="5"/>
        <v>5</v>
      </c>
      <c r="I43" s="1"/>
      <c r="J43" s="1">
        <f t="shared" ca="1" si="6"/>
        <v>34</v>
      </c>
      <c r="K43" s="1">
        <f t="shared" ca="1" si="7"/>
        <v>2.8952963759364101</v>
      </c>
      <c r="L43" s="1">
        <f t="shared" ca="1" si="8"/>
        <v>32</v>
      </c>
      <c r="M43" s="1"/>
      <c r="N43" s="1">
        <f t="shared" ca="1" si="9"/>
        <v>60</v>
      </c>
      <c r="O43" s="1">
        <f t="shared" ca="1" si="10"/>
        <v>38</v>
      </c>
      <c r="P43" s="1"/>
      <c r="Q43" s="1">
        <f t="shared" ca="1" si="11"/>
        <v>2.6318027964490667</v>
      </c>
      <c r="R43" s="1">
        <f t="shared" ca="1" si="12"/>
        <v>1017</v>
      </c>
      <c r="S43" s="1"/>
      <c r="T43" s="1">
        <f t="shared" ca="1" si="13"/>
        <v>0.10513954650806889</v>
      </c>
      <c r="U43" s="1">
        <f t="shared" ca="1" si="14"/>
        <v>366</v>
      </c>
      <c r="V43" s="1">
        <f t="shared" ca="1" si="15"/>
        <v>16</v>
      </c>
      <c r="W43" s="1"/>
      <c r="X43" s="1">
        <f t="shared" ca="1" si="16"/>
        <v>5.5577673269208168</v>
      </c>
      <c r="Y43" s="1">
        <f t="shared" ca="1" si="17"/>
        <v>0.19853906382147171</v>
      </c>
      <c r="Z43" s="1">
        <f t="shared" ca="1" si="18"/>
        <v>254</v>
      </c>
      <c r="AB43" s="1">
        <f t="shared" ca="1" si="19"/>
        <v>0.29071842351273813</v>
      </c>
      <c r="AC43" s="1">
        <f t="shared" ca="1" si="20"/>
        <v>564</v>
      </c>
      <c r="AD43" s="1">
        <f t="shared" ca="1" si="21"/>
        <v>3.7906573019451779E-3</v>
      </c>
      <c r="AE43" s="1"/>
      <c r="AF43" s="1">
        <f t="shared" ca="1" si="22"/>
        <v>0.12863687654689776</v>
      </c>
      <c r="AG43" s="1">
        <f t="shared" ca="1" si="23"/>
        <v>897</v>
      </c>
      <c r="AH43" s="1">
        <f t="shared" ca="1" si="24"/>
        <v>5.1319661017653556E-3</v>
      </c>
      <c r="AJ43" s="1">
        <f t="shared" ca="1" si="25"/>
        <v>0.13848572507883139</v>
      </c>
      <c r="AK43" s="1">
        <f t="shared" ca="1" si="26"/>
        <v>5.5609386961503419E-4</v>
      </c>
      <c r="AL43" s="1"/>
      <c r="AM43" s="1">
        <f t="shared" ca="1" si="27"/>
        <v>7.911894674473724E-2</v>
      </c>
      <c r="AN43" s="1">
        <f t="shared" ca="1" si="28"/>
        <v>30</v>
      </c>
      <c r="AO43" s="1">
        <f t="shared" ca="1" si="29"/>
        <v>4</v>
      </c>
      <c r="AQ43" s="1">
        <f t="shared" ca="1" si="30"/>
        <v>161</v>
      </c>
      <c r="AR43" s="1">
        <f t="shared" ca="1" si="31"/>
        <v>10</v>
      </c>
      <c r="AS43" s="1">
        <f t="shared" ca="1" si="32"/>
        <v>58</v>
      </c>
      <c r="AU43" s="1">
        <f t="shared" ca="1" si="33"/>
        <v>112</v>
      </c>
      <c r="AV43" s="1">
        <f t="shared" ca="1" si="34"/>
        <v>4</v>
      </c>
      <c r="AW43" s="1">
        <f t="shared" ca="1" si="35"/>
        <v>5.7352942172574278E-2</v>
      </c>
      <c r="AY43" s="1">
        <f t="shared" ca="1" si="36"/>
        <v>1.8647899532915657</v>
      </c>
      <c r="AZ43" s="1">
        <f t="shared" ca="1" si="37"/>
        <v>362</v>
      </c>
      <c r="BA43" s="1">
        <f t="shared" ca="1" si="38"/>
        <v>6.8571375829188522E-3</v>
      </c>
    </row>
    <row r="44" spans="2:53" x14ac:dyDescent="0.25">
      <c r="B44">
        <f t="shared" ca="1" si="0"/>
        <v>239</v>
      </c>
      <c r="C44">
        <f t="shared" ca="1" si="1"/>
        <v>36</v>
      </c>
      <c r="D44">
        <f t="shared" ca="1" si="2"/>
        <v>0.19086083280671035</v>
      </c>
      <c r="F44" s="1">
        <f t="shared" ca="1" si="3"/>
        <v>36</v>
      </c>
      <c r="G44" s="1">
        <f t="shared" ca="1" si="4"/>
        <v>24</v>
      </c>
      <c r="H44" s="1">
        <f t="shared" ca="1" si="5"/>
        <v>14</v>
      </c>
      <c r="I44" s="1"/>
      <c r="J44" s="1">
        <f t="shared" ca="1" si="6"/>
        <v>9</v>
      </c>
      <c r="K44" s="1">
        <f t="shared" ca="1" si="7"/>
        <v>1.4393564068334928</v>
      </c>
      <c r="L44" s="1">
        <f t="shared" ca="1" si="8"/>
        <v>3</v>
      </c>
      <c r="M44" s="1"/>
      <c r="N44" s="1">
        <f t="shared" ca="1" si="9"/>
        <v>925</v>
      </c>
      <c r="O44" s="1">
        <f t="shared" ca="1" si="10"/>
        <v>38</v>
      </c>
      <c r="P44" s="1"/>
      <c r="Q44" s="1">
        <f t="shared" ca="1" si="11"/>
        <v>2.318259786114961</v>
      </c>
      <c r="R44" s="1">
        <f t="shared" ca="1" si="12"/>
        <v>1160</v>
      </c>
      <c r="S44" s="1"/>
      <c r="T44" s="1">
        <f t="shared" ca="1" si="13"/>
        <v>8.21860583277427E-2</v>
      </c>
      <c r="U44" s="1">
        <f t="shared" ca="1" si="14"/>
        <v>108</v>
      </c>
      <c r="V44" s="1">
        <f t="shared" ca="1" si="15"/>
        <v>51</v>
      </c>
      <c r="W44" s="1"/>
      <c r="X44" s="1">
        <f t="shared" ca="1" si="16"/>
        <v>8.8063562309862089</v>
      </c>
      <c r="Y44" s="1">
        <f t="shared" ca="1" si="17"/>
        <v>0.57558099304329635</v>
      </c>
      <c r="Z44" s="1">
        <f t="shared" ca="1" si="18"/>
        <v>1222</v>
      </c>
      <c r="AB44" s="1">
        <f t="shared" ca="1" si="19"/>
        <v>0.97755224813158448</v>
      </c>
      <c r="AC44" s="1">
        <f t="shared" ca="1" si="20"/>
        <v>838</v>
      </c>
      <c r="AD44" s="1">
        <f t="shared" ca="1" si="21"/>
        <v>5.8460030028093793E-3</v>
      </c>
      <c r="AE44" s="1"/>
      <c r="AF44" s="1">
        <f t="shared" ca="1" si="22"/>
        <v>0.51828996503743063</v>
      </c>
      <c r="AG44" s="1">
        <f t="shared" ca="1" si="23"/>
        <v>286</v>
      </c>
      <c r="AH44" s="1">
        <f t="shared" ca="1" si="24"/>
        <v>2.1293183794842442E-3</v>
      </c>
      <c r="AJ44" s="1">
        <f t="shared" ca="1" si="25"/>
        <v>0.96458352680222381</v>
      </c>
      <c r="AK44" s="1">
        <f t="shared" ca="1" si="26"/>
        <v>7.3332400025898133E-3</v>
      </c>
      <c r="AL44" s="1"/>
      <c r="AM44" s="1">
        <f t="shared" ca="1" si="27"/>
        <v>6.0759354641060276E-2</v>
      </c>
      <c r="AN44" s="1">
        <f t="shared" ca="1" si="28"/>
        <v>20</v>
      </c>
      <c r="AO44" s="1">
        <f t="shared" ca="1" si="29"/>
        <v>18</v>
      </c>
      <c r="AQ44" s="1">
        <f t="shared" ca="1" si="30"/>
        <v>29</v>
      </c>
      <c r="AR44" s="1">
        <f t="shared" ca="1" si="31"/>
        <v>1</v>
      </c>
      <c r="AS44" s="1">
        <f t="shared" ca="1" si="32"/>
        <v>22</v>
      </c>
      <c r="AU44" s="1">
        <f t="shared" ca="1" si="33"/>
        <v>258</v>
      </c>
      <c r="AV44" s="1">
        <f t="shared" ca="1" si="34"/>
        <v>10</v>
      </c>
      <c r="AW44" s="1">
        <f t="shared" ca="1" si="35"/>
        <v>0.19632843688395088</v>
      </c>
      <c r="AY44" s="1">
        <f t="shared" ca="1" si="36"/>
        <v>1.5253727590606969</v>
      </c>
      <c r="AZ44" s="1">
        <f t="shared" ca="1" si="37"/>
        <v>285</v>
      </c>
      <c r="BA44" s="1">
        <f t="shared" ca="1" si="38"/>
        <v>2.5192836803534613E-3</v>
      </c>
    </row>
    <row r="45" spans="2:53" x14ac:dyDescent="0.25">
      <c r="B45">
        <f t="shared" ca="1" si="0"/>
        <v>827</v>
      </c>
      <c r="C45">
        <f t="shared" ca="1" si="1"/>
        <v>50</v>
      </c>
      <c r="D45">
        <f t="shared" ca="1" si="2"/>
        <v>7.2078024500447396E-2</v>
      </c>
      <c r="F45" s="1">
        <f t="shared" ca="1" si="3"/>
        <v>37</v>
      </c>
      <c r="G45" s="1">
        <f t="shared" ca="1" si="4"/>
        <v>27</v>
      </c>
      <c r="H45" s="1">
        <f t="shared" ca="1" si="5"/>
        <v>5</v>
      </c>
      <c r="I45" s="1"/>
      <c r="J45" s="1">
        <f t="shared" ca="1" si="6"/>
        <v>11</v>
      </c>
      <c r="K45" s="1">
        <f t="shared" ca="1" si="7"/>
        <v>2.1510392974134325</v>
      </c>
      <c r="L45" s="1">
        <f t="shared" ca="1" si="8"/>
        <v>33</v>
      </c>
      <c r="M45" s="1"/>
      <c r="N45" s="1">
        <f t="shared" ca="1" si="9"/>
        <v>923</v>
      </c>
      <c r="O45" s="1">
        <f t="shared" ca="1" si="10"/>
        <v>33</v>
      </c>
      <c r="P45" s="1"/>
      <c r="Q45" s="1">
        <f t="shared" ca="1" si="11"/>
        <v>3.1927139617474309</v>
      </c>
      <c r="R45" s="1">
        <f t="shared" ca="1" si="12"/>
        <v>1068</v>
      </c>
      <c r="S45" s="1"/>
      <c r="T45" s="1">
        <f t="shared" ca="1" si="13"/>
        <v>0.11640092891860442</v>
      </c>
      <c r="U45" s="1">
        <f t="shared" ca="1" si="14"/>
        <v>405</v>
      </c>
      <c r="V45" s="1">
        <f t="shared" ca="1" si="15"/>
        <v>11</v>
      </c>
      <c r="W45" s="1"/>
      <c r="X45" s="1">
        <f t="shared" ca="1" si="16"/>
        <v>3.300148382734764</v>
      </c>
      <c r="Y45" s="1">
        <f t="shared" ca="1" si="17"/>
        <v>0.59230121512104861</v>
      </c>
      <c r="Z45" s="1">
        <f t="shared" ca="1" si="18"/>
        <v>1638</v>
      </c>
      <c r="AB45" s="1">
        <f t="shared" ca="1" si="19"/>
        <v>0.87071397458468924</v>
      </c>
      <c r="AC45" s="1">
        <f t="shared" ca="1" si="20"/>
        <v>559</v>
      </c>
      <c r="AD45" s="1">
        <f t="shared" ca="1" si="21"/>
        <v>3.2025053815660869E-3</v>
      </c>
      <c r="AE45" s="1"/>
      <c r="AF45" s="1">
        <f t="shared" ca="1" si="22"/>
        <v>0.72990234235748319</v>
      </c>
      <c r="AG45" s="1">
        <f t="shared" ca="1" si="23"/>
        <v>786</v>
      </c>
      <c r="AH45" s="1">
        <f t="shared" ca="1" si="24"/>
        <v>9.9424828553073413E-3</v>
      </c>
      <c r="AJ45" s="1">
        <f t="shared" ca="1" si="25"/>
        <v>0.96487039892091109</v>
      </c>
      <c r="AK45" s="1">
        <f t="shared" ca="1" si="26"/>
        <v>4.2463227513886096E-3</v>
      </c>
      <c r="AL45" s="1"/>
      <c r="AM45" s="1">
        <f t="shared" ca="1" si="27"/>
        <v>3.221946736975783E-2</v>
      </c>
      <c r="AN45" s="1">
        <f t="shared" ca="1" si="28"/>
        <v>63</v>
      </c>
      <c r="AO45" s="1">
        <f t="shared" ca="1" si="29"/>
        <v>5</v>
      </c>
      <c r="AQ45" s="1">
        <f t="shared" ca="1" si="30"/>
        <v>43</v>
      </c>
      <c r="AR45" s="1">
        <f t="shared" ca="1" si="31"/>
        <v>8</v>
      </c>
      <c r="AS45" s="1">
        <f t="shared" ca="1" si="32"/>
        <v>90</v>
      </c>
      <c r="AU45" s="1">
        <f t="shared" ca="1" si="33"/>
        <v>168</v>
      </c>
      <c r="AV45" s="1">
        <f t="shared" ca="1" si="34"/>
        <v>8</v>
      </c>
      <c r="AW45" s="1">
        <f t="shared" ca="1" si="35"/>
        <v>0.11239883513683943</v>
      </c>
      <c r="AY45" s="1">
        <f t="shared" ca="1" si="36"/>
        <v>1.9761905255994614</v>
      </c>
      <c r="AZ45" s="1">
        <f t="shared" ca="1" si="37"/>
        <v>467</v>
      </c>
      <c r="BA45" s="1">
        <f t="shared" ca="1" si="38"/>
        <v>3.9222105594517685E-3</v>
      </c>
    </row>
    <row r="46" spans="2:53" x14ac:dyDescent="0.25">
      <c r="B46">
        <f t="shared" ca="1" si="0"/>
        <v>250</v>
      </c>
      <c r="C46">
        <f t="shared" ca="1" si="1"/>
        <v>39</v>
      </c>
      <c r="D46">
        <f t="shared" ca="1" si="2"/>
        <v>0.20586168606841942</v>
      </c>
      <c r="F46" s="1">
        <f t="shared" ca="1" si="3"/>
        <v>9</v>
      </c>
      <c r="G46" s="1">
        <f t="shared" ca="1" si="4"/>
        <v>30</v>
      </c>
      <c r="H46" s="1">
        <f t="shared" ca="1" si="5"/>
        <v>9</v>
      </c>
      <c r="I46" s="1"/>
      <c r="J46" s="1">
        <f t="shared" ca="1" si="6"/>
        <v>17</v>
      </c>
      <c r="K46" s="1">
        <f t="shared" ca="1" si="7"/>
        <v>1.6815571434088639</v>
      </c>
      <c r="L46" s="1">
        <f t="shared" ca="1" si="8"/>
        <v>13</v>
      </c>
      <c r="M46" s="1"/>
      <c r="N46" s="1">
        <f t="shared" ca="1" si="9"/>
        <v>24</v>
      </c>
      <c r="O46" s="1">
        <f t="shared" ca="1" si="10"/>
        <v>16</v>
      </c>
      <c r="P46" s="1"/>
      <c r="Q46" s="1">
        <f t="shared" ca="1" si="11"/>
        <v>2.7923960782684394</v>
      </c>
      <c r="R46" s="1">
        <f t="shared" ca="1" si="12"/>
        <v>935</v>
      </c>
      <c r="S46" s="1"/>
      <c r="T46" s="1">
        <f t="shared" ca="1" si="13"/>
        <v>0.12111920527445226</v>
      </c>
      <c r="U46" s="1">
        <f t="shared" ca="1" si="14"/>
        <v>94</v>
      </c>
      <c r="V46" s="1">
        <f t="shared" ca="1" si="15"/>
        <v>17</v>
      </c>
      <c r="W46" s="1"/>
      <c r="X46" s="1">
        <f t="shared" ca="1" si="16"/>
        <v>2.4540145934154838</v>
      </c>
      <c r="Y46" s="1">
        <f t="shared" ca="1" si="17"/>
        <v>0.45473488303669829</v>
      </c>
      <c r="Z46" s="1">
        <f t="shared" ca="1" si="18"/>
        <v>980</v>
      </c>
      <c r="AB46" s="1">
        <f t="shared" ca="1" si="19"/>
        <v>0.60038643103894296</v>
      </c>
      <c r="AC46" s="1">
        <f t="shared" ca="1" si="20"/>
        <v>339</v>
      </c>
      <c r="AD46" s="1">
        <f t="shared" ca="1" si="21"/>
        <v>1.1324940648544046E-3</v>
      </c>
      <c r="AE46" s="1"/>
      <c r="AF46" s="1">
        <f t="shared" ca="1" si="22"/>
        <v>0.83395755298779217</v>
      </c>
      <c r="AG46" s="1">
        <f t="shared" ca="1" si="23"/>
        <v>472</v>
      </c>
      <c r="AH46" s="1">
        <f t="shared" ca="1" si="24"/>
        <v>7.4364981945466424E-3</v>
      </c>
      <c r="AJ46" s="1">
        <f t="shared" ca="1" si="25"/>
        <v>1.9100132915984336E-2</v>
      </c>
      <c r="AK46" s="1">
        <f t="shared" ca="1" si="26"/>
        <v>6.1685214207443037E-3</v>
      </c>
      <c r="AL46" s="1"/>
      <c r="AM46" s="1">
        <f t="shared" ca="1" si="27"/>
        <v>8.1430248126396501E-2</v>
      </c>
      <c r="AN46" s="1">
        <f t="shared" ca="1" si="28"/>
        <v>11</v>
      </c>
      <c r="AO46" s="1">
        <f t="shared" ca="1" si="29"/>
        <v>0</v>
      </c>
      <c r="AQ46" s="1">
        <f t="shared" ca="1" si="30"/>
        <v>64</v>
      </c>
      <c r="AR46" s="1">
        <f t="shared" ca="1" si="31"/>
        <v>9</v>
      </c>
      <c r="AS46" s="1">
        <f t="shared" ca="1" si="32"/>
        <v>65</v>
      </c>
      <c r="AU46" s="1">
        <f t="shared" ca="1" si="33"/>
        <v>330</v>
      </c>
      <c r="AV46" s="1">
        <f t="shared" ca="1" si="34"/>
        <v>8</v>
      </c>
      <c r="AW46" s="1">
        <f t="shared" ca="1" si="35"/>
        <v>0.11408429772154235</v>
      </c>
      <c r="AY46" s="1">
        <f t="shared" ca="1" si="36"/>
        <v>1.3488905200641466</v>
      </c>
      <c r="AZ46" s="1">
        <f t="shared" ca="1" si="37"/>
        <v>192</v>
      </c>
      <c r="BA46" s="1">
        <f t="shared" ca="1" si="38"/>
        <v>9.1837928405604057E-3</v>
      </c>
    </row>
    <row r="47" spans="2:53" x14ac:dyDescent="0.25">
      <c r="B47">
        <f t="shared" ca="1" si="0"/>
        <v>927</v>
      </c>
      <c r="C47">
        <f t="shared" ca="1" si="1"/>
        <v>17</v>
      </c>
      <c r="D47">
        <f t="shared" ca="1" si="2"/>
        <v>0.29088620252813735</v>
      </c>
      <c r="F47" s="1">
        <f t="shared" ca="1" si="3"/>
        <v>34</v>
      </c>
      <c r="G47" s="1">
        <f t="shared" ca="1" si="4"/>
        <v>4</v>
      </c>
      <c r="H47" s="1">
        <f t="shared" ca="1" si="5"/>
        <v>12</v>
      </c>
      <c r="I47" s="1"/>
      <c r="J47" s="1">
        <f t="shared" ca="1" si="6"/>
        <v>6</v>
      </c>
      <c r="K47" s="1">
        <f t="shared" ca="1" si="7"/>
        <v>1.1747574711132538</v>
      </c>
      <c r="L47" s="1">
        <f t="shared" ca="1" si="8"/>
        <v>8</v>
      </c>
      <c r="M47" s="1"/>
      <c r="N47" s="1">
        <f t="shared" ca="1" si="9"/>
        <v>466</v>
      </c>
      <c r="O47" s="1">
        <f t="shared" ca="1" si="10"/>
        <v>34</v>
      </c>
      <c r="P47" s="1"/>
      <c r="Q47" s="1">
        <f t="shared" ca="1" si="11"/>
        <v>4.2634061246820556</v>
      </c>
      <c r="R47" s="1">
        <f t="shared" ca="1" si="12"/>
        <v>807</v>
      </c>
      <c r="S47" s="1"/>
      <c r="T47" s="1">
        <f t="shared" ca="1" si="13"/>
        <v>0.17596413386418527</v>
      </c>
      <c r="U47" s="1">
        <f t="shared" ca="1" si="14"/>
        <v>413</v>
      </c>
      <c r="V47" s="1">
        <f t="shared" ca="1" si="15"/>
        <v>43</v>
      </c>
      <c r="W47" s="1"/>
      <c r="X47" s="1">
        <f t="shared" ca="1" si="16"/>
        <v>2.0071552017754333</v>
      </c>
      <c r="Y47" s="1">
        <f t="shared" ca="1" si="17"/>
        <v>0.49428777525047374</v>
      </c>
      <c r="Z47" s="1">
        <f t="shared" ca="1" si="18"/>
        <v>959</v>
      </c>
      <c r="AB47" s="1">
        <f t="shared" ca="1" si="19"/>
        <v>0.32691209303071822</v>
      </c>
      <c r="AC47" s="1">
        <f t="shared" ca="1" si="20"/>
        <v>467</v>
      </c>
      <c r="AD47" s="1">
        <f t="shared" ca="1" si="21"/>
        <v>9.0003098756739376E-3</v>
      </c>
      <c r="AE47" s="1"/>
      <c r="AF47" s="1">
        <f t="shared" ca="1" si="22"/>
        <v>0.1772408837192696</v>
      </c>
      <c r="AG47" s="1">
        <f t="shared" ca="1" si="23"/>
        <v>403</v>
      </c>
      <c r="AH47" s="1">
        <f t="shared" ca="1" si="24"/>
        <v>6.6487095944354861E-3</v>
      </c>
      <c r="AJ47" s="1">
        <f t="shared" ca="1" si="25"/>
        <v>0.79452301716219498</v>
      </c>
      <c r="AK47" s="1">
        <f t="shared" ca="1" si="26"/>
        <v>5.2016006886759268E-3</v>
      </c>
      <c r="AL47" s="1"/>
      <c r="AM47" s="1">
        <f t="shared" ca="1" si="27"/>
        <v>7.4092404452709135E-2</v>
      </c>
      <c r="AN47" s="1">
        <f t="shared" ca="1" si="28"/>
        <v>41</v>
      </c>
      <c r="AO47" s="1">
        <f t="shared" ca="1" si="29"/>
        <v>2</v>
      </c>
      <c r="AQ47" s="1">
        <f t="shared" ca="1" si="30"/>
        <v>109</v>
      </c>
      <c r="AR47" s="1">
        <f t="shared" ca="1" si="31"/>
        <v>5</v>
      </c>
      <c r="AS47" s="1">
        <f t="shared" ca="1" si="32"/>
        <v>33</v>
      </c>
      <c r="AU47" s="1">
        <f t="shared" ca="1" si="33"/>
        <v>397</v>
      </c>
      <c r="AV47" s="1">
        <f t="shared" ca="1" si="34"/>
        <v>10</v>
      </c>
      <c r="AW47" s="1">
        <f t="shared" ca="1" si="35"/>
        <v>2.3460786210706915E-2</v>
      </c>
      <c r="AY47" s="1">
        <f t="shared" ca="1" si="36"/>
        <v>1.7359803843600019</v>
      </c>
      <c r="AZ47" s="1">
        <f t="shared" ca="1" si="37"/>
        <v>334</v>
      </c>
      <c r="BA47" s="1">
        <f t="shared" ca="1" si="38"/>
        <v>1.08529924262408E-3</v>
      </c>
    </row>
    <row r="48" spans="2:53" x14ac:dyDescent="0.25">
      <c r="B48">
        <f t="shared" ca="1" si="0"/>
        <v>871</v>
      </c>
      <c r="C48">
        <f t="shared" ca="1" si="1"/>
        <v>34</v>
      </c>
      <c r="D48">
        <f t="shared" ca="1" si="2"/>
        <v>8.5289217604777257E-2</v>
      </c>
      <c r="F48" s="1">
        <f t="shared" ca="1" si="3"/>
        <v>27</v>
      </c>
      <c r="G48" s="1">
        <f t="shared" ca="1" si="4"/>
        <v>19</v>
      </c>
      <c r="H48" s="1">
        <f t="shared" ca="1" si="5"/>
        <v>6</v>
      </c>
      <c r="I48" s="1"/>
      <c r="J48" s="1">
        <f t="shared" ca="1" si="6"/>
        <v>35</v>
      </c>
      <c r="K48" s="1">
        <f t="shared" ca="1" si="7"/>
        <v>2.8770590517246202</v>
      </c>
      <c r="L48" s="1">
        <f t="shared" ca="1" si="8"/>
        <v>5</v>
      </c>
      <c r="M48" s="1"/>
      <c r="N48" s="1">
        <f t="shared" ca="1" si="9"/>
        <v>145</v>
      </c>
      <c r="O48" s="1">
        <f t="shared" ca="1" si="10"/>
        <v>51</v>
      </c>
      <c r="P48" s="1"/>
      <c r="Q48" s="1">
        <f t="shared" ca="1" si="11"/>
        <v>3.704253129345088</v>
      </c>
      <c r="R48" s="1">
        <f t="shared" ca="1" si="12"/>
        <v>450</v>
      </c>
      <c r="S48" s="1"/>
      <c r="T48" s="1">
        <f t="shared" ca="1" si="13"/>
        <v>3.7163397508334341E-2</v>
      </c>
      <c r="U48" s="1">
        <f t="shared" ca="1" si="14"/>
        <v>431</v>
      </c>
      <c r="V48" s="1">
        <f t="shared" ca="1" si="15"/>
        <v>47</v>
      </c>
      <c r="W48" s="1"/>
      <c r="X48" s="1">
        <f t="shared" ca="1" si="16"/>
        <v>9.7099225593082235</v>
      </c>
      <c r="Y48" s="1">
        <f t="shared" ca="1" si="17"/>
        <v>0.84283438336097161</v>
      </c>
      <c r="Z48" s="1">
        <f t="shared" ca="1" si="18"/>
        <v>1083</v>
      </c>
      <c r="AB48" s="1">
        <f t="shared" ca="1" si="19"/>
        <v>0.79159780129634516</v>
      </c>
      <c r="AC48" s="1">
        <f t="shared" ca="1" si="20"/>
        <v>148</v>
      </c>
      <c r="AD48" s="1">
        <f t="shared" ca="1" si="21"/>
        <v>3.2866971423367794E-3</v>
      </c>
      <c r="AE48" s="1"/>
      <c r="AF48" s="1">
        <f t="shared" ca="1" si="22"/>
        <v>0.29973755264160062</v>
      </c>
      <c r="AG48" s="1">
        <f t="shared" ca="1" si="23"/>
        <v>269</v>
      </c>
      <c r="AH48" s="1">
        <f t="shared" ca="1" si="24"/>
        <v>1.1385434023357718E-3</v>
      </c>
      <c r="AJ48" s="1">
        <f t="shared" ca="1" si="25"/>
        <v>0.13214993211077852</v>
      </c>
      <c r="AK48" s="1">
        <f t="shared" ca="1" si="26"/>
        <v>6.5301135690131861E-3</v>
      </c>
      <c r="AL48" s="1"/>
      <c r="AM48" s="1">
        <f t="shared" ca="1" si="27"/>
        <v>3.080638311073515E-2</v>
      </c>
      <c r="AN48" s="1">
        <f t="shared" ca="1" si="28"/>
        <v>49</v>
      </c>
      <c r="AO48" s="1">
        <f t="shared" ca="1" si="29"/>
        <v>4</v>
      </c>
      <c r="AQ48" s="1">
        <f t="shared" ca="1" si="30"/>
        <v>30</v>
      </c>
      <c r="AR48" s="1">
        <f t="shared" ca="1" si="31"/>
        <v>10</v>
      </c>
      <c r="AS48" s="1">
        <f t="shared" ca="1" si="32"/>
        <v>33</v>
      </c>
      <c r="AU48" s="1">
        <f t="shared" ca="1" si="33"/>
        <v>168</v>
      </c>
      <c r="AV48" s="1">
        <f t="shared" ca="1" si="34"/>
        <v>7</v>
      </c>
      <c r="AW48" s="1">
        <f t="shared" ca="1" si="35"/>
        <v>0.14225186405047444</v>
      </c>
      <c r="AY48" s="1">
        <f t="shared" ca="1" si="36"/>
        <v>1.911846532631392</v>
      </c>
      <c r="AZ48" s="1">
        <f t="shared" ca="1" si="37"/>
        <v>203</v>
      </c>
      <c r="BA48" s="1">
        <f t="shared" ca="1" si="38"/>
        <v>3.9871666928577434E-4</v>
      </c>
    </row>
    <row r="49" spans="2:53" x14ac:dyDescent="0.25">
      <c r="B49">
        <f t="shared" ca="1" si="0"/>
        <v>457</v>
      </c>
      <c r="C49">
        <f t="shared" ca="1" si="1"/>
        <v>7</v>
      </c>
      <c r="D49">
        <f t="shared" ca="1" si="2"/>
        <v>0.22018009377245124</v>
      </c>
      <c r="F49" s="1">
        <f t="shared" ca="1" si="3"/>
        <v>11</v>
      </c>
      <c r="G49" s="1">
        <f t="shared" ca="1" si="4"/>
        <v>16</v>
      </c>
      <c r="H49" s="1">
        <f t="shared" ca="1" si="5"/>
        <v>10</v>
      </c>
      <c r="I49" s="1"/>
      <c r="J49" s="1">
        <f t="shared" ca="1" si="6"/>
        <v>21</v>
      </c>
      <c r="K49" s="1">
        <f t="shared" ca="1" si="7"/>
        <v>2.5623739065446607</v>
      </c>
      <c r="L49" s="1">
        <f t="shared" ca="1" si="8"/>
        <v>21</v>
      </c>
      <c r="M49" s="1"/>
      <c r="N49" s="1">
        <f t="shared" ca="1" si="9"/>
        <v>143</v>
      </c>
      <c r="O49" s="1">
        <f t="shared" ca="1" si="10"/>
        <v>29</v>
      </c>
      <c r="P49" s="1"/>
      <c r="Q49" s="1">
        <f t="shared" ca="1" si="11"/>
        <v>2.8616542189197989</v>
      </c>
      <c r="R49" s="1">
        <f t="shared" ca="1" si="12"/>
        <v>479</v>
      </c>
      <c r="S49" s="1"/>
      <c r="T49" s="1">
        <f t="shared" ca="1" si="13"/>
        <v>2.1919691818049893E-2</v>
      </c>
      <c r="U49" s="1">
        <f t="shared" ca="1" si="14"/>
        <v>279</v>
      </c>
      <c r="V49" s="1">
        <f t="shared" ca="1" si="15"/>
        <v>29</v>
      </c>
      <c r="W49" s="1"/>
      <c r="X49" s="1">
        <f t="shared" ca="1" si="16"/>
        <v>1.84825719896098</v>
      </c>
      <c r="Y49" s="1">
        <f t="shared" ca="1" si="17"/>
        <v>0.93367415521342512</v>
      </c>
      <c r="Z49" s="1">
        <f t="shared" ca="1" si="18"/>
        <v>1695</v>
      </c>
      <c r="AB49" s="1">
        <f t="shared" ca="1" si="19"/>
        <v>0.26939017795686815</v>
      </c>
      <c r="AC49" s="1">
        <f t="shared" ca="1" si="20"/>
        <v>747</v>
      </c>
      <c r="AD49" s="1">
        <f t="shared" ca="1" si="21"/>
        <v>3.2752550195306535E-3</v>
      </c>
      <c r="AE49" s="1"/>
      <c r="AF49" s="1">
        <f t="shared" ca="1" si="22"/>
        <v>0.69566542325904912</v>
      </c>
      <c r="AG49" s="1">
        <f t="shared" ca="1" si="23"/>
        <v>303</v>
      </c>
      <c r="AH49" s="1">
        <f t="shared" ca="1" si="24"/>
        <v>1.7346559275982297E-3</v>
      </c>
      <c r="AJ49" s="1">
        <f t="shared" ca="1" si="25"/>
        <v>0.52666888997243932</v>
      </c>
      <c r="AK49" s="1">
        <f t="shared" ca="1" si="26"/>
        <v>2.5847665791165538E-3</v>
      </c>
      <c r="AL49" s="1"/>
      <c r="AM49" s="1">
        <f t="shared" ca="1" si="27"/>
        <v>0.15051046314377844</v>
      </c>
      <c r="AN49" s="1">
        <f t="shared" ca="1" si="28"/>
        <v>78</v>
      </c>
      <c r="AO49" s="1">
        <f t="shared" ca="1" si="29"/>
        <v>-1</v>
      </c>
      <c r="AQ49" s="1">
        <f t="shared" ca="1" si="30"/>
        <v>98</v>
      </c>
      <c r="AR49" s="1">
        <f t="shared" ca="1" si="31"/>
        <v>7</v>
      </c>
      <c r="AS49" s="1">
        <f t="shared" ca="1" si="32"/>
        <v>17</v>
      </c>
      <c r="AU49" s="1">
        <f t="shared" ca="1" si="33"/>
        <v>281</v>
      </c>
      <c r="AV49" s="1">
        <f t="shared" ca="1" si="34"/>
        <v>3</v>
      </c>
      <c r="AW49" s="1">
        <f t="shared" ca="1" si="35"/>
        <v>9.9555193487732702E-2</v>
      </c>
      <c r="AY49" s="1">
        <f t="shared" ca="1" si="36"/>
        <v>1.4494150667197687</v>
      </c>
      <c r="AZ49" s="1">
        <f t="shared" ca="1" si="37"/>
        <v>218</v>
      </c>
      <c r="BA49" s="1">
        <f t="shared" ca="1" si="38"/>
        <v>2.9207552829730431E-3</v>
      </c>
    </row>
    <row r="50" spans="2:53" x14ac:dyDescent="0.25">
      <c r="B50">
        <f t="shared" ca="1" si="0"/>
        <v>921</v>
      </c>
      <c r="C50">
        <f t="shared" ca="1" si="1"/>
        <v>42</v>
      </c>
      <c r="D50">
        <f t="shared" ca="1" si="2"/>
        <v>0.1386850658534475</v>
      </c>
      <c r="F50" s="1">
        <f t="shared" ca="1" si="3"/>
        <v>48</v>
      </c>
      <c r="G50" s="1">
        <f t="shared" ca="1" si="4"/>
        <v>29</v>
      </c>
      <c r="H50" s="1">
        <f t="shared" ca="1" si="5"/>
        <v>12</v>
      </c>
      <c r="I50" s="1"/>
      <c r="J50" s="1">
        <f t="shared" ca="1" si="6"/>
        <v>38</v>
      </c>
      <c r="K50" s="1">
        <f t="shared" ca="1" si="7"/>
        <v>2.9302860449309183</v>
      </c>
      <c r="L50" s="1">
        <f t="shared" ca="1" si="8"/>
        <v>26</v>
      </c>
      <c r="M50" s="1"/>
      <c r="N50" s="1">
        <f t="shared" ca="1" si="9"/>
        <v>409</v>
      </c>
      <c r="O50" s="1">
        <f t="shared" ca="1" si="10"/>
        <v>24</v>
      </c>
      <c r="P50" s="1"/>
      <c r="Q50" s="1">
        <f t="shared" ca="1" si="11"/>
        <v>3.291155571419595</v>
      </c>
      <c r="R50" s="1">
        <f t="shared" ca="1" si="12"/>
        <v>1080</v>
      </c>
      <c r="S50" s="1"/>
      <c r="T50" s="1">
        <f t="shared" ca="1" si="13"/>
        <v>0.11098888313109463</v>
      </c>
      <c r="U50" s="1">
        <f t="shared" ca="1" si="14"/>
        <v>359</v>
      </c>
      <c r="V50" s="1">
        <f t="shared" ca="1" si="15"/>
        <v>11</v>
      </c>
      <c r="W50" s="1"/>
      <c r="X50" s="1">
        <f t="shared" ca="1" si="16"/>
        <v>4.783995392670283</v>
      </c>
      <c r="Y50" s="1">
        <f t="shared" ca="1" si="17"/>
        <v>0.70016277371031099</v>
      </c>
      <c r="Z50" s="1">
        <f t="shared" ca="1" si="18"/>
        <v>662</v>
      </c>
      <c r="AB50" s="1">
        <f t="shared" ca="1" si="19"/>
        <v>0.90234364357754082</v>
      </c>
      <c r="AC50" s="1">
        <f t="shared" ca="1" si="20"/>
        <v>602</v>
      </c>
      <c r="AD50" s="1">
        <f t="shared" ca="1" si="21"/>
        <v>9.9986220189288953E-3</v>
      </c>
      <c r="AE50" s="1"/>
      <c r="AF50" s="1">
        <f t="shared" ca="1" si="22"/>
        <v>0.21232655934816336</v>
      </c>
      <c r="AG50" s="1">
        <f t="shared" ca="1" si="23"/>
        <v>777</v>
      </c>
      <c r="AH50" s="1">
        <f t="shared" ca="1" si="24"/>
        <v>7.5653522656253542E-3</v>
      </c>
      <c r="AJ50" s="1">
        <f t="shared" ca="1" si="25"/>
        <v>0.24146507713208143</v>
      </c>
      <c r="AK50" s="1">
        <f t="shared" ca="1" si="26"/>
        <v>1.9148883466788003E-3</v>
      </c>
      <c r="AL50" s="1"/>
      <c r="AM50" s="1">
        <f t="shared" ca="1" si="27"/>
        <v>0.10829981319690725</v>
      </c>
      <c r="AN50" s="1">
        <f t="shared" ca="1" si="28"/>
        <v>34</v>
      </c>
      <c r="AO50" s="1">
        <f t="shared" ca="1" si="29"/>
        <v>-1</v>
      </c>
      <c r="AQ50" s="1">
        <f t="shared" ca="1" si="30"/>
        <v>175</v>
      </c>
      <c r="AR50" s="1">
        <f t="shared" ca="1" si="31"/>
        <v>10</v>
      </c>
      <c r="AS50" s="1">
        <f t="shared" ca="1" si="32"/>
        <v>39</v>
      </c>
      <c r="AU50" s="1">
        <f t="shared" ca="1" si="33"/>
        <v>298</v>
      </c>
      <c r="AV50" s="1">
        <f t="shared" ca="1" si="34"/>
        <v>4</v>
      </c>
      <c r="AW50" s="1">
        <f t="shared" ca="1" si="35"/>
        <v>0.11084611035521474</v>
      </c>
      <c r="AY50" s="1">
        <f t="shared" ca="1" si="36"/>
        <v>1.7042998549536519</v>
      </c>
      <c r="AZ50" s="1">
        <f t="shared" ca="1" si="37"/>
        <v>164</v>
      </c>
      <c r="BA50" s="1">
        <f t="shared" ca="1" si="38"/>
        <v>7.8429270205563912E-3</v>
      </c>
    </row>
    <row r="51" spans="2:53" x14ac:dyDescent="0.25">
      <c r="B51">
        <f t="shared" ca="1" si="0"/>
        <v>786</v>
      </c>
      <c r="C51">
        <f t="shared" ca="1" si="1"/>
        <v>15</v>
      </c>
      <c r="D51">
        <f t="shared" ca="1" si="2"/>
        <v>0.28533773480908187</v>
      </c>
      <c r="F51" s="1">
        <f t="shared" ca="1" si="3"/>
        <v>31</v>
      </c>
      <c r="G51" s="1">
        <f t="shared" ca="1" si="4"/>
        <v>15</v>
      </c>
      <c r="H51" s="1">
        <f t="shared" ca="1" si="5"/>
        <v>10</v>
      </c>
      <c r="I51" s="1"/>
      <c r="J51" s="1">
        <f t="shared" ca="1" si="6"/>
        <v>23</v>
      </c>
      <c r="K51" s="1">
        <f t="shared" ca="1" si="7"/>
        <v>2.4456489166954061</v>
      </c>
      <c r="L51" s="1">
        <f t="shared" ca="1" si="8"/>
        <v>34</v>
      </c>
      <c r="M51" s="1"/>
      <c r="N51" s="1">
        <f t="shared" ca="1" si="9"/>
        <v>829</v>
      </c>
      <c r="O51" s="1">
        <f t="shared" ca="1" si="10"/>
        <v>46</v>
      </c>
      <c r="P51" s="1"/>
      <c r="Q51" s="1">
        <f t="shared" ca="1" si="11"/>
        <v>3.1754302423512875</v>
      </c>
      <c r="R51" s="1">
        <f t="shared" ca="1" si="12"/>
        <v>327</v>
      </c>
      <c r="S51" s="1"/>
      <c r="T51" s="1">
        <f t="shared" ca="1" si="13"/>
        <v>0.19141664451028367</v>
      </c>
      <c r="U51" s="1">
        <f t="shared" ca="1" si="14"/>
        <v>120</v>
      </c>
      <c r="V51" s="1">
        <f t="shared" ca="1" si="15"/>
        <v>48</v>
      </c>
      <c r="W51" s="1"/>
      <c r="X51" s="1">
        <f t="shared" ca="1" si="16"/>
        <v>0.35010917802771718</v>
      </c>
      <c r="Y51" s="1">
        <f t="shared" ca="1" si="17"/>
        <v>0.30305509562202149</v>
      </c>
      <c r="Z51" s="1">
        <f t="shared" ca="1" si="18"/>
        <v>1222</v>
      </c>
      <c r="AB51" s="1">
        <f t="shared" ca="1" si="19"/>
        <v>0.35380692571135819</v>
      </c>
      <c r="AC51" s="1">
        <f t="shared" ca="1" si="20"/>
        <v>311</v>
      </c>
      <c r="AD51" s="1">
        <f t="shared" ca="1" si="21"/>
        <v>3.9395037976239621E-3</v>
      </c>
      <c r="AE51" s="1"/>
      <c r="AF51" s="1">
        <f t="shared" ca="1" si="22"/>
        <v>0.22239221432639855</v>
      </c>
      <c r="AG51" s="1">
        <f t="shared" ca="1" si="23"/>
        <v>285</v>
      </c>
      <c r="AH51" s="1">
        <f t="shared" ca="1" si="24"/>
        <v>7.1914872798419455E-3</v>
      </c>
      <c r="AJ51" s="1">
        <f t="shared" ca="1" si="25"/>
        <v>0.45519495204625937</v>
      </c>
      <c r="AK51" s="1">
        <f t="shared" ca="1" si="26"/>
        <v>4.4937488038553951E-3</v>
      </c>
      <c r="AL51" s="1"/>
      <c r="AM51" s="1">
        <f t="shared" ca="1" si="27"/>
        <v>0.16169562669861839</v>
      </c>
      <c r="AN51" s="1">
        <f t="shared" ca="1" si="28"/>
        <v>19</v>
      </c>
      <c r="AO51" s="1">
        <f t="shared" ca="1" si="29"/>
        <v>0</v>
      </c>
      <c r="AQ51" s="1">
        <f t="shared" ca="1" si="30"/>
        <v>115</v>
      </c>
      <c r="AR51" s="1">
        <f t="shared" ca="1" si="31"/>
        <v>5</v>
      </c>
      <c r="AS51" s="1">
        <f t="shared" ca="1" si="32"/>
        <v>28</v>
      </c>
      <c r="AU51" s="1">
        <f t="shared" ca="1" si="33"/>
        <v>296</v>
      </c>
      <c r="AV51" s="1">
        <f t="shared" ca="1" si="34"/>
        <v>4</v>
      </c>
      <c r="AW51" s="1">
        <f t="shared" ca="1" si="35"/>
        <v>0.19636634567323363</v>
      </c>
      <c r="AY51" s="1">
        <f t="shared" ca="1" si="36"/>
        <v>1.1301364499026998</v>
      </c>
      <c r="AZ51" s="1">
        <f t="shared" ca="1" si="37"/>
        <v>165</v>
      </c>
      <c r="BA51" s="1">
        <f t="shared" ca="1" si="38"/>
        <v>1.3396355082337908E-3</v>
      </c>
    </row>
    <row r="52" spans="2:53" x14ac:dyDescent="0.25">
      <c r="B52">
        <f t="shared" ca="1" si="0"/>
        <v>193</v>
      </c>
      <c r="C52">
        <f t="shared" ca="1" si="1"/>
        <v>23</v>
      </c>
      <c r="D52">
        <f t="shared" ca="1" si="2"/>
        <v>0.28233183671755863</v>
      </c>
      <c r="F52" s="1">
        <f t="shared" ca="1" si="3"/>
        <v>17</v>
      </c>
      <c r="G52" s="1">
        <f t="shared" ca="1" si="4"/>
        <v>4</v>
      </c>
      <c r="H52" s="1">
        <f t="shared" ca="1" si="5"/>
        <v>4</v>
      </c>
      <c r="I52" s="1"/>
      <c r="J52" s="1">
        <f t="shared" ca="1" si="6"/>
        <v>26</v>
      </c>
      <c r="K52" s="1">
        <f t="shared" ca="1" si="7"/>
        <v>1.5894132539194292</v>
      </c>
      <c r="L52" s="1">
        <f t="shared" ca="1" si="8"/>
        <v>19</v>
      </c>
      <c r="M52" s="1"/>
      <c r="N52" s="1">
        <f t="shared" ca="1" si="9"/>
        <v>582</v>
      </c>
      <c r="O52" s="1">
        <f t="shared" ca="1" si="10"/>
        <v>49</v>
      </c>
      <c r="P52" s="1"/>
      <c r="Q52" s="1">
        <f t="shared" ca="1" si="11"/>
        <v>2.2478935008558469</v>
      </c>
      <c r="R52" s="1">
        <f t="shared" ca="1" si="12"/>
        <v>1134</v>
      </c>
      <c r="S52" s="1"/>
      <c r="T52" s="1">
        <f t="shared" ca="1" si="13"/>
        <v>7.3784264949863274E-2</v>
      </c>
      <c r="U52" s="1">
        <f t="shared" ca="1" si="14"/>
        <v>293</v>
      </c>
      <c r="V52" s="1">
        <f t="shared" ca="1" si="15"/>
        <v>13</v>
      </c>
      <c r="W52" s="1"/>
      <c r="X52" s="1">
        <f t="shared" ca="1" si="16"/>
        <v>1.5291934460403931</v>
      </c>
      <c r="Y52" s="1">
        <f t="shared" ca="1" si="17"/>
        <v>0.65461800979805129</v>
      </c>
      <c r="Z52" s="1">
        <f t="shared" ca="1" si="18"/>
        <v>1216</v>
      </c>
      <c r="AB52" s="1">
        <f t="shared" ca="1" si="19"/>
        <v>0.19015208825153135</v>
      </c>
      <c r="AC52" s="1">
        <f t="shared" ca="1" si="20"/>
        <v>195</v>
      </c>
      <c r="AD52" s="1">
        <f t="shared" ca="1" si="21"/>
        <v>4.7451936763341501E-3</v>
      </c>
      <c r="AE52" s="1"/>
      <c r="AF52" s="1">
        <f t="shared" ca="1" si="22"/>
        <v>0.2002654905747141</v>
      </c>
      <c r="AG52" s="1">
        <f t="shared" ca="1" si="23"/>
        <v>383</v>
      </c>
      <c r="AH52" s="1">
        <f t="shared" ca="1" si="24"/>
        <v>9.5439964821117315E-3</v>
      </c>
      <c r="AJ52" s="1">
        <f t="shared" ca="1" si="25"/>
        <v>0.52684857953015263</v>
      </c>
      <c r="AK52" s="1">
        <f t="shared" ca="1" si="26"/>
        <v>5.1468149497504254E-3</v>
      </c>
      <c r="AL52" s="1"/>
      <c r="AM52" s="1">
        <f t="shared" ca="1" si="27"/>
        <v>2.1748158142294992E-2</v>
      </c>
      <c r="AN52" s="1">
        <f t="shared" ca="1" si="28"/>
        <v>21</v>
      </c>
      <c r="AO52" s="1">
        <f t="shared" ca="1" si="29"/>
        <v>15</v>
      </c>
      <c r="AQ52" s="1">
        <f t="shared" ca="1" si="30"/>
        <v>128</v>
      </c>
      <c r="AR52" s="1">
        <f t="shared" ca="1" si="31"/>
        <v>4</v>
      </c>
      <c r="AS52" s="1">
        <f t="shared" ca="1" si="32"/>
        <v>63</v>
      </c>
      <c r="AU52" s="1">
        <f t="shared" ca="1" si="33"/>
        <v>188</v>
      </c>
      <c r="AV52" s="1">
        <f t="shared" ca="1" si="34"/>
        <v>8</v>
      </c>
      <c r="AW52" s="1">
        <f t="shared" ca="1" si="35"/>
        <v>4.6611052484289227E-2</v>
      </c>
      <c r="AY52" s="1">
        <f t="shared" ca="1" si="36"/>
        <v>1.3117476336531402</v>
      </c>
      <c r="AZ52" s="1">
        <f t="shared" ca="1" si="37"/>
        <v>293</v>
      </c>
      <c r="BA52" s="1">
        <f t="shared" ca="1" si="38"/>
        <v>5.6949495690930864E-3</v>
      </c>
    </row>
    <row r="53" spans="2:53" x14ac:dyDescent="0.25">
      <c r="B53">
        <f t="shared" ca="1" si="0"/>
        <v>942</v>
      </c>
      <c r="C53">
        <f t="shared" ca="1" si="1"/>
        <v>48</v>
      </c>
      <c r="D53">
        <f t="shared" ca="1" si="2"/>
        <v>0.18779377555463489</v>
      </c>
      <c r="F53" s="1">
        <f t="shared" ca="1" si="3"/>
        <v>49</v>
      </c>
      <c r="G53" s="1">
        <f t="shared" ca="1" si="4"/>
        <v>22</v>
      </c>
      <c r="H53" s="1">
        <f t="shared" ca="1" si="5"/>
        <v>13</v>
      </c>
      <c r="I53" s="1"/>
      <c r="J53" s="1">
        <f t="shared" ca="1" si="6"/>
        <v>39</v>
      </c>
      <c r="K53" s="1">
        <f t="shared" ca="1" si="7"/>
        <v>1.2737689593818697</v>
      </c>
      <c r="L53" s="1">
        <f t="shared" ca="1" si="8"/>
        <v>12</v>
      </c>
      <c r="M53" s="1"/>
      <c r="N53" s="1">
        <f t="shared" ca="1" si="9"/>
        <v>988</v>
      </c>
      <c r="O53" s="1">
        <f t="shared" ca="1" si="10"/>
        <v>43</v>
      </c>
      <c r="P53" s="1"/>
      <c r="Q53" s="1">
        <f t="shared" ca="1" si="11"/>
        <v>0.38300120251994912</v>
      </c>
      <c r="R53" s="1">
        <f t="shared" ca="1" si="12"/>
        <v>1171</v>
      </c>
      <c r="S53" s="1"/>
      <c r="T53" s="1">
        <f t="shared" ca="1" si="13"/>
        <v>7.0643276109477599E-2</v>
      </c>
      <c r="U53" s="1">
        <f t="shared" ca="1" si="14"/>
        <v>187</v>
      </c>
      <c r="V53" s="1">
        <f t="shared" ca="1" si="15"/>
        <v>18</v>
      </c>
      <c r="W53" s="1"/>
      <c r="X53" s="1">
        <f t="shared" ca="1" si="16"/>
        <v>0.79074277753056454</v>
      </c>
      <c r="Y53" s="1">
        <f t="shared" ca="1" si="17"/>
        <v>0.76092689743697917</v>
      </c>
      <c r="Z53" s="1">
        <f t="shared" ca="1" si="18"/>
        <v>1820</v>
      </c>
      <c r="AB53" s="1">
        <f t="shared" ca="1" si="19"/>
        <v>0.62045679669946718</v>
      </c>
      <c r="AC53" s="1">
        <f t="shared" ca="1" si="20"/>
        <v>899</v>
      </c>
      <c r="AD53" s="1">
        <f t="shared" ca="1" si="21"/>
        <v>4.3606179090280965E-3</v>
      </c>
      <c r="AE53" s="1"/>
      <c r="AF53" s="1">
        <f t="shared" ca="1" si="22"/>
        <v>0.8713557683199552</v>
      </c>
      <c r="AG53" s="1">
        <f t="shared" ca="1" si="23"/>
        <v>693</v>
      </c>
      <c r="AH53" s="1">
        <f t="shared" ca="1" si="24"/>
        <v>3.0953965805829891E-3</v>
      </c>
      <c r="AJ53" s="1">
        <f t="shared" ca="1" si="25"/>
        <v>0.634743044355502</v>
      </c>
      <c r="AK53" s="1">
        <f t="shared" ca="1" si="26"/>
        <v>6.8142094643054473E-3</v>
      </c>
      <c r="AL53" s="1"/>
      <c r="AM53" s="1">
        <f t="shared" ca="1" si="27"/>
        <v>0.12755007763111184</v>
      </c>
      <c r="AN53" s="1">
        <f t="shared" ca="1" si="28"/>
        <v>29</v>
      </c>
      <c r="AO53" s="1">
        <f t="shared" ca="1" si="29"/>
        <v>19</v>
      </c>
      <c r="AQ53" s="1">
        <f t="shared" ca="1" si="30"/>
        <v>168</v>
      </c>
      <c r="AR53" s="1">
        <f t="shared" ca="1" si="31"/>
        <v>10</v>
      </c>
      <c r="AS53" s="1">
        <f t="shared" ca="1" si="32"/>
        <v>64</v>
      </c>
      <c r="AU53" s="1">
        <f t="shared" ca="1" si="33"/>
        <v>207</v>
      </c>
      <c r="AV53" s="1">
        <f t="shared" ca="1" si="34"/>
        <v>10</v>
      </c>
      <c r="AW53" s="1">
        <f t="shared" ca="1" si="35"/>
        <v>0.13129667559511402</v>
      </c>
      <c r="AY53" s="1">
        <f t="shared" ca="1" si="36"/>
        <v>1.2056824485146596</v>
      </c>
      <c r="AZ53" s="1">
        <f t="shared" ca="1" si="37"/>
        <v>276</v>
      </c>
      <c r="BA53" s="1">
        <f t="shared" ca="1" si="38"/>
        <v>4.2965675220072944E-3</v>
      </c>
    </row>
    <row r="54" spans="2:53" x14ac:dyDescent="0.25">
      <c r="B54">
        <f t="shared" ca="1" si="0"/>
        <v>610</v>
      </c>
      <c r="C54">
        <f t="shared" ca="1" si="1"/>
        <v>39</v>
      </c>
      <c r="D54">
        <f t="shared" ca="1" si="2"/>
        <v>4.0623536745632967E-2</v>
      </c>
      <c r="F54" s="1">
        <f t="shared" ca="1" si="3"/>
        <v>49</v>
      </c>
      <c r="G54" s="1">
        <f t="shared" ca="1" si="4"/>
        <v>15</v>
      </c>
      <c r="H54" s="1">
        <f t="shared" ca="1" si="5"/>
        <v>15</v>
      </c>
      <c r="I54" s="1"/>
      <c r="J54" s="1">
        <f t="shared" ca="1" si="6"/>
        <v>39</v>
      </c>
      <c r="K54" s="1">
        <f t="shared" ca="1" si="7"/>
        <v>2.1227796759235069</v>
      </c>
      <c r="L54" s="1">
        <f t="shared" ca="1" si="8"/>
        <v>4</v>
      </c>
      <c r="M54" s="1"/>
      <c r="N54" s="1">
        <f t="shared" ca="1" si="9"/>
        <v>643</v>
      </c>
      <c r="O54" s="1">
        <f t="shared" ca="1" si="10"/>
        <v>7</v>
      </c>
      <c r="P54" s="1"/>
      <c r="Q54" s="1">
        <f t="shared" ca="1" si="11"/>
        <v>4.8763047803921129</v>
      </c>
      <c r="R54" s="1">
        <f t="shared" ca="1" si="12"/>
        <v>1032</v>
      </c>
      <c r="S54" s="1"/>
      <c r="T54" s="1">
        <f t="shared" ca="1" si="13"/>
        <v>8.753192356723645E-2</v>
      </c>
      <c r="U54" s="1">
        <f t="shared" ca="1" si="14"/>
        <v>342</v>
      </c>
      <c r="V54" s="1">
        <f t="shared" ca="1" si="15"/>
        <v>41</v>
      </c>
      <c r="W54" s="1"/>
      <c r="X54" s="1">
        <f t="shared" ca="1" si="16"/>
        <v>4.5338691608194193</v>
      </c>
      <c r="Y54" s="1">
        <f t="shared" ca="1" si="17"/>
        <v>0.17522377486729945</v>
      </c>
      <c r="Z54" s="1">
        <f t="shared" ca="1" si="18"/>
        <v>1266</v>
      </c>
      <c r="AB54" s="1">
        <f t="shared" ca="1" si="19"/>
        <v>0.93244512305310545</v>
      </c>
      <c r="AC54" s="1">
        <f t="shared" ca="1" si="20"/>
        <v>698</v>
      </c>
      <c r="AD54" s="1">
        <f t="shared" ca="1" si="21"/>
        <v>4.262524037864591E-3</v>
      </c>
      <c r="AE54" s="1"/>
      <c r="AF54" s="1">
        <f t="shared" ca="1" si="22"/>
        <v>0.44620373720379403</v>
      </c>
      <c r="AG54" s="1">
        <f t="shared" ca="1" si="23"/>
        <v>822</v>
      </c>
      <c r="AH54" s="1">
        <f t="shared" ca="1" si="24"/>
        <v>2.7958641065377542E-3</v>
      </c>
      <c r="AJ54" s="1">
        <f t="shared" ca="1" si="25"/>
        <v>0.5048117659895186</v>
      </c>
      <c r="AK54" s="1">
        <f t="shared" ca="1" si="26"/>
        <v>1.0685376495235062E-3</v>
      </c>
      <c r="AL54" s="1"/>
      <c r="AM54" s="1">
        <f t="shared" ca="1" si="27"/>
        <v>1.0658132007493198E-2</v>
      </c>
      <c r="AN54" s="1">
        <f t="shared" ca="1" si="28"/>
        <v>12</v>
      </c>
      <c r="AO54" s="1">
        <f t="shared" ca="1" si="29"/>
        <v>19</v>
      </c>
      <c r="AQ54" s="1">
        <f t="shared" ca="1" si="30"/>
        <v>50</v>
      </c>
      <c r="AR54" s="1">
        <f t="shared" ca="1" si="31"/>
        <v>3</v>
      </c>
      <c r="AS54" s="1">
        <f t="shared" ca="1" si="32"/>
        <v>43</v>
      </c>
      <c r="AU54" s="1">
        <f t="shared" ca="1" si="33"/>
        <v>336</v>
      </c>
      <c r="AV54" s="1">
        <f t="shared" ca="1" si="34"/>
        <v>3</v>
      </c>
      <c r="AW54" s="1">
        <f t="shared" ca="1" si="35"/>
        <v>0.17079709574831006</v>
      </c>
      <c r="AY54" s="1">
        <f t="shared" ca="1" si="36"/>
        <v>1.6599287725622021</v>
      </c>
      <c r="AZ54" s="1">
        <f t="shared" ca="1" si="37"/>
        <v>463</v>
      </c>
      <c r="BA54" s="1">
        <f t="shared" ca="1" si="38"/>
        <v>2.0772333295126723E-3</v>
      </c>
    </row>
    <row r="55" spans="2:53" x14ac:dyDescent="0.25">
      <c r="B55">
        <f t="shared" ca="1" si="0"/>
        <v>766</v>
      </c>
      <c r="C55">
        <f t="shared" ca="1" si="1"/>
        <v>34</v>
      </c>
      <c r="D55">
        <f t="shared" ca="1" si="2"/>
        <v>5.1144068695978075E-2</v>
      </c>
      <c r="F55" s="1">
        <f t="shared" ca="1" si="3"/>
        <v>6</v>
      </c>
      <c r="G55" s="1">
        <f t="shared" ca="1" si="4"/>
        <v>17</v>
      </c>
      <c r="H55" s="1">
        <f t="shared" ca="1" si="5"/>
        <v>3</v>
      </c>
      <c r="I55" s="1"/>
      <c r="J55" s="1">
        <f t="shared" ca="1" si="6"/>
        <v>6</v>
      </c>
      <c r="K55" s="1">
        <f t="shared" ca="1" si="7"/>
        <v>1.3175813949164406</v>
      </c>
      <c r="L55" s="1">
        <f t="shared" ca="1" si="8"/>
        <v>2</v>
      </c>
      <c r="M55" s="1"/>
      <c r="N55" s="1">
        <f t="shared" ca="1" si="9"/>
        <v>464</v>
      </c>
      <c r="O55" s="1">
        <f t="shared" ca="1" si="10"/>
        <v>20</v>
      </c>
      <c r="P55" s="1"/>
      <c r="Q55" s="1">
        <f t="shared" ca="1" si="11"/>
        <v>1.4051492058219421</v>
      </c>
      <c r="R55" s="1">
        <f t="shared" ca="1" si="12"/>
        <v>293</v>
      </c>
      <c r="S55" s="1"/>
      <c r="T55" s="1">
        <f t="shared" ca="1" si="13"/>
        <v>4.4433577294980986E-2</v>
      </c>
      <c r="U55" s="1">
        <f t="shared" ca="1" si="14"/>
        <v>262</v>
      </c>
      <c r="V55" s="1">
        <f t="shared" ca="1" si="15"/>
        <v>4</v>
      </c>
      <c r="W55" s="1"/>
      <c r="X55" s="1">
        <f t="shared" ca="1" si="16"/>
        <v>7.4986041726514765</v>
      </c>
      <c r="Y55" s="1">
        <f t="shared" ca="1" si="17"/>
        <v>0.70844488744555567</v>
      </c>
      <c r="Z55" s="1">
        <f t="shared" ca="1" si="18"/>
        <v>970</v>
      </c>
      <c r="AB55" s="1">
        <f t="shared" ca="1" si="19"/>
        <v>0.24499106253016728</v>
      </c>
      <c r="AC55" s="1">
        <f t="shared" ca="1" si="20"/>
        <v>419</v>
      </c>
      <c r="AD55" s="1">
        <f t="shared" ca="1" si="21"/>
        <v>1.0032826449281669E-3</v>
      </c>
      <c r="AE55" s="1"/>
      <c r="AF55" s="1">
        <f t="shared" ca="1" si="22"/>
        <v>0.36151869039550033</v>
      </c>
      <c r="AG55" s="1">
        <f t="shared" ca="1" si="23"/>
        <v>741</v>
      </c>
      <c r="AH55" s="1">
        <f t="shared" ca="1" si="24"/>
        <v>6.524584145915671E-4</v>
      </c>
      <c r="AJ55" s="1">
        <f t="shared" ca="1" si="25"/>
        <v>5.9534526300782042E-2</v>
      </c>
      <c r="AK55" s="1">
        <f t="shared" ca="1" si="26"/>
        <v>2.2083185792257367E-3</v>
      </c>
      <c r="AL55" s="1"/>
      <c r="AM55" s="1">
        <f t="shared" ca="1" si="27"/>
        <v>0.17049402050086179</v>
      </c>
      <c r="AN55" s="1">
        <f t="shared" ca="1" si="28"/>
        <v>35</v>
      </c>
      <c r="AO55" s="1">
        <f t="shared" ca="1" si="29"/>
        <v>9</v>
      </c>
      <c r="AQ55" s="1">
        <f t="shared" ca="1" si="30"/>
        <v>47</v>
      </c>
      <c r="AR55" s="1">
        <f t="shared" ca="1" si="31"/>
        <v>1</v>
      </c>
      <c r="AS55" s="1">
        <f t="shared" ca="1" si="32"/>
        <v>8</v>
      </c>
      <c r="AU55" s="1">
        <f t="shared" ca="1" si="33"/>
        <v>109</v>
      </c>
      <c r="AV55" s="1">
        <f t="shared" ca="1" si="34"/>
        <v>8</v>
      </c>
      <c r="AW55" s="1">
        <f t="shared" ca="1" si="35"/>
        <v>5.0230981608868165E-2</v>
      </c>
      <c r="AY55" s="1">
        <f t="shared" ca="1" si="36"/>
        <v>1.9311281482874258</v>
      </c>
      <c r="AZ55" s="1">
        <f t="shared" ca="1" si="37"/>
        <v>159</v>
      </c>
      <c r="BA55" s="1">
        <f t="shared" ca="1" si="38"/>
        <v>6.6220218020474524E-3</v>
      </c>
    </row>
    <row r="56" spans="2:53" x14ac:dyDescent="0.25">
      <c r="B56">
        <f t="shared" ca="1" si="0"/>
        <v>576</v>
      </c>
      <c r="C56">
        <f t="shared" ca="1" si="1"/>
        <v>13</v>
      </c>
      <c r="D56">
        <f t="shared" ca="1" si="2"/>
        <v>0.20495665745654393</v>
      </c>
      <c r="F56" s="1">
        <f t="shared" ca="1" si="3"/>
        <v>24</v>
      </c>
      <c r="G56" s="1">
        <f t="shared" ca="1" si="4"/>
        <v>15</v>
      </c>
      <c r="H56" s="1">
        <f t="shared" ca="1" si="5"/>
        <v>15</v>
      </c>
      <c r="I56" s="1"/>
      <c r="J56" s="1">
        <f t="shared" ca="1" si="6"/>
        <v>32</v>
      </c>
      <c r="K56" s="1">
        <f t="shared" ca="1" si="7"/>
        <v>2.0906158960780079</v>
      </c>
      <c r="L56" s="1">
        <f t="shared" ca="1" si="8"/>
        <v>11</v>
      </c>
      <c r="M56" s="1"/>
      <c r="N56" s="1">
        <f t="shared" ca="1" si="9"/>
        <v>236</v>
      </c>
      <c r="O56" s="1">
        <f t="shared" ca="1" si="10"/>
        <v>40</v>
      </c>
      <c r="P56" s="1"/>
      <c r="Q56" s="1">
        <f t="shared" ca="1" si="11"/>
        <v>3.9398705457980618</v>
      </c>
      <c r="R56" s="1">
        <f t="shared" ca="1" si="12"/>
        <v>441</v>
      </c>
      <c r="S56" s="1"/>
      <c r="T56" s="1">
        <f t="shared" ca="1" si="13"/>
        <v>0.12287958915598661</v>
      </c>
      <c r="U56" s="1">
        <f t="shared" ca="1" si="14"/>
        <v>110</v>
      </c>
      <c r="V56" s="1">
        <f t="shared" ca="1" si="15"/>
        <v>21</v>
      </c>
      <c r="W56" s="1"/>
      <c r="X56" s="1">
        <f t="shared" ca="1" si="16"/>
        <v>9.3248366052987919</v>
      </c>
      <c r="Y56" s="1">
        <f t="shared" ca="1" si="17"/>
        <v>0.24306771685249451</v>
      </c>
      <c r="Z56" s="1">
        <f t="shared" ca="1" si="18"/>
        <v>1988</v>
      </c>
      <c r="AB56" s="1">
        <f t="shared" ca="1" si="19"/>
        <v>0.10282924094642243</v>
      </c>
      <c r="AC56" s="1">
        <f t="shared" ca="1" si="20"/>
        <v>116</v>
      </c>
      <c r="AD56" s="1">
        <f t="shared" ca="1" si="21"/>
        <v>2.1273322793871046E-3</v>
      </c>
      <c r="AE56" s="1"/>
      <c r="AF56" s="1">
        <f t="shared" ca="1" si="22"/>
        <v>0.66955941534449193</v>
      </c>
      <c r="AG56" s="1">
        <f t="shared" ca="1" si="23"/>
        <v>541</v>
      </c>
      <c r="AH56" s="1">
        <f t="shared" ca="1" si="24"/>
        <v>8.7997167349945999E-4</v>
      </c>
      <c r="AJ56" s="1">
        <f t="shared" ca="1" si="25"/>
        <v>1.906149620117259E-2</v>
      </c>
      <c r="AK56" s="1">
        <f t="shared" ca="1" si="26"/>
        <v>6.5289669058273719E-4</v>
      </c>
      <c r="AL56" s="1"/>
      <c r="AM56" s="1">
        <f t="shared" ca="1" si="27"/>
        <v>2.0510823803527877E-2</v>
      </c>
      <c r="AN56" s="1">
        <f t="shared" ca="1" si="28"/>
        <v>47</v>
      </c>
      <c r="AO56" s="1">
        <f t="shared" ca="1" si="29"/>
        <v>11</v>
      </c>
      <c r="AQ56" s="1">
        <f t="shared" ca="1" si="30"/>
        <v>134</v>
      </c>
      <c r="AR56" s="1">
        <f t="shared" ca="1" si="31"/>
        <v>1</v>
      </c>
      <c r="AS56" s="1">
        <f t="shared" ca="1" si="32"/>
        <v>53</v>
      </c>
      <c r="AU56" s="1">
        <f t="shared" ca="1" si="33"/>
        <v>69</v>
      </c>
      <c r="AV56" s="1">
        <f t="shared" ca="1" si="34"/>
        <v>9</v>
      </c>
      <c r="AW56" s="1">
        <f t="shared" ca="1" si="35"/>
        <v>9.4976263580223222E-2</v>
      </c>
      <c r="AY56" s="1">
        <f t="shared" ca="1" si="36"/>
        <v>1.1409641581621228</v>
      </c>
      <c r="AZ56" s="1">
        <f t="shared" ca="1" si="37"/>
        <v>230</v>
      </c>
      <c r="BA56" s="1">
        <f t="shared" ca="1" si="38"/>
        <v>1.2135100707246092E-3</v>
      </c>
    </row>
    <row r="57" spans="2:53" x14ac:dyDescent="0.25">
      <c r="B57">
        <f t="shared" ca="1" si="0"/>
        <v>289</v>
      </c>
      <c r="C57">
        <f t="shared" ca="1" si="1"/>
        <v>49</v>
      </c>
      <c r="D57">
        <f t="shared" ca="1" si="2"/>
        <v>9.4544529707880062E-2</v>
      </c>
      <c r="F57" s="1">
        <f t="shared" ca="1" si="3"/>
        <v>38</v>
      </c>
      <c r="G57" s="1">
        <f t="shared" ca="1" si="4"/>
        <v>14</v>
      </c>
      <c r="H57" s="1">
        <f t="shared" ca="1" si="5"/>
        <v>12</v>
      </c>
      <c r="I57" s="1"/>
      <c r="J57" s="1">
        <f t="shared" ca="1" si="6"/>
        <v>31</v>
      </c>
      <c r="K57" s="1">
        <f t="shared" ca="1" si="7"/>
        <v>1.907816299808142</v>
      </c>
      <c r="L57" s="1">
        <f t="shared" ca="1" si="8"/>
        <v>32</v>
      </c>
      <c r="M57" s="1"/>
      <c r="N57" s="1">
        <f t="shared" ca="1" si="9"/>
        <v>469</v>
      </c>
      <c r="O57" s="1">
        <f t="shared" ca="1" si="10"/>
        <v>20</v>
      </c>
      <c r="P57" s="1"/>
      <c r="Q57" s="1">
        <f t="shared" ca="1" si="11"/>
        <v>0.74342286259832102</v>
      </c>
      <c r="R57" s="1">
        <f t="shared" ca="1" si="12"/>
        <v>677</v>
      </c>
      <c r="S57" s="1"/>
      <c r="T57" s="1">
        <f t="shared" ca="1" si="13"/>
        <v>0.14270933329273122</v>
      </c>
      <c r="U57" s="1">
        <f t="shared" ca="1" si="14"/>
        <v>292</v>
      </c>
      <c r="V57" s="1">
        <f t="shared" ca="1" si="15"/>
        <v>4</v>
      </c>
      <c r="W57" s="1"/>
      <c r="X57" s="1">
        <f t="shared" ca="1" si="16"/>
        <v>3.1896534299484745</v>
      </c>
      <c r="Y57" s="1">
        <f t="shared" ca="1" si="17"/>
        <v>0.37204778319142362</v>
      </c>
      <c r="Z57" s="1">
        <f t="shared" ca="1" si="18"/>
        <v>631</v>
      </c>
      <c r="AB57" s="1">
        <f t="shared" ca="1" si="19"/>
        <v>0.16648917446647299</v>
      </c>
      <c r="AC57" s="1">
        <f t="shared" ca="1" si="20"/>
        <v>745</v>
      </c>
      <c r="AD57" s="1">
        <f t="shared" ca="1" si="21"/>
        <v>6.7022041294102106E-3</v>
      </c>
      <c r="AE57" s="1"/>
      <c r="AF57" s="1">
        <f t="shared" ca="1" si="22"/>
        <v>0.85653478442311526</v>
      </c>
      <c r="AG57" s="1">
        <f t="shared" ca="1" si="23"/>
        <v>457</v>
      </c>
      <c r="AH57" s="1">
        <f t="shared" ca="1" si="24"/>
        <v>9.503915740355454E-3</v>
      </c>
      <c r="AJ57" s="1">
        <f t="shared" ca="1" si="25"/>
        <v>0.11393288145770841</v>
      </c>
      <c r="AK57" s="1">
        <f t="shared" ca="1" si="26"/>
        <v>5.0091373993273952E-3</v>
      </c>
      <c r="AL57" s="1"/>
      <c r="AM57" s="1">
        <f t="shared" ca="1" si="27"/>
        <v>2.0597037278063574E-2</v>
      </c>
      <c r="AN57" s="1">
        <f t="shared" ca="1" si="28"/>
        <v>50</v>
      </c>
      <c r="AO57" s="1">
        <f t="shared" ca="1" si="29"/>
        <v>11</v>
      </c>
      <c r="AQ57" s="1">
        <f t="shared" ca="1" si="30"/>
        <v>15</v>
      </c>
      <c r="AR57" s="1">
        <f t="shared" ca="1" si="31"/>
        <v>8</v>
      </c>
      <c r="AS57" s="1">
        <f t="shared" ca="1" si="32"/>
        <v>3</v>
      </c>
      <c r="AU57" s="1">
        <f t="shared" ca="1" si="33"/>
        <v>137</v>
      </c>
      <c r="AV57" s="1">
        <f t="shared" ca="1" si="34"/>
        <v>7</v>
      </c>
      <c r="AW57" s="1">
        <f t="shared" ca="1" si="35"/>
        <v>0.19447863835314333</v>
      </c>
      <c r="AY57" s="1">
        <f t="shared" ca="1" si="36"/>
        <v>1.1438203055170988</v>
      </c>
      <c r="AZ57" s="1">
        <f t="shared" ca="1" si="37"/>
        <v>351</v>
      </c>
      <c r="BA57" s="1">
        <f t="shared" ca="1" si="38"/>
        <v>8.7867617528295788E-3</v>
      </c>
    </row>
    <row r="58" spans="2:53" x14ac:dyDescent="0.25">
      <c r="B58">
        <f t="shared" ca="1" si="0"/>
        <v>813</v>
      </c>
      <c r="C58">
        <f t="shared" ca="1" si="1"/>
        <v>44</v>
      </c>
      <c r="D58">
        <f t="shared" ca="1" si="2"/>
        <v>8.080217037122904E-2</v>
      </c>
      <c r="F58" s="1">
        <f t="shared" ca="1" si="3"/>
        <v>29</v>
      </c>
      <c r="G58" s="1">
        <f t="shared" ca="1" si="4"/>
        <v>6</v>
      </c>
      <c r="H58" s="1">
        <f t="shared" ca="1" si="5"/>
        <v>7</v>
      </c>
      <c r="I58" s="1"/>
      <c r="J58" s="1">
        <f t="shared" ca="1" si="6"/>
        <v>24</v>
      </c>
      <c r="K58" s="1">
        <f t="shared" ca="1" si="7"/>
        <v>2.2048472898761844</v>
      </c>
      <c r="L58" s="1">
        <f t="shared" ca="1" si="8"/>
        <v>23</v>
      </c>
      <c r="M58" s="1"/>
      <c r="N58" s="1">
        <f t="shared" ca="1" si="9"/>
        <v>330</v>
      </c>
      <c r="O58" s="1">
        <f t="shared" ca="1" si="10"/>
        <v>13</v>
      </c>
      <c r="P58" s="1"/>
      <c r="Q58" s="1">
        <f t="shared" ca="1" si="11"/>
        <v>2.9972094464993928</v>
      </c>
      <c r="R58" s="1">
        <f t="shared" ca="1" si="12"/>
        <v>651</v>
      </c>
      <c r="S58" s="1"/>
      <c r="T58" s="1">
        <f t="shared" ca="1" si="13"/>
        <v>5.2242167347173719E-2</v>
      </c>
      <c r="U58" s="1">
        <f t="shared" ca="1" si="14"/>
        <v>201</v>
      </c>
      <c r="V58" s="1">
        <f t="shared" ca="1" si="15"/>
        <v>12</v>
      </c>
      <c r="W58" s="1"/>
      <c r="X58" s="1">
        <f t="shared" ca="1" si="16"/>
        <v>1.1466079169236132</v>
      </c>
      <c r="Y58" s="1">
        <f t="shared" ca="1" si="17"/>
        <v>0.78376111711440177</v>
      </c>
      <c r="Z58" s="1">
        <f t="shared" ca="1" si="18"/>
        <v>1675</v>
      </c>
      <c r="AB58" s="1">
        <f t="shared" ca="1" si="19"/>
        <v>0.49220593497071585</v>
      </c>
      <c r="AC58" s="1">
        <f t="shared" ca="1" si="20"/>
        <v>959</v>
      </c>
      <c r="AD58" s="1">
        <f t="shared" ca="1" si="21"/>
        <v>1.3070908024619781E-3</v>
      </c>
      <c r="AE58" s="1"/>
      <c r="AF58" s="1">
        <f t="shared" ca="1" si="22"/>
        <v>0.64191174884131186</v>
      </c>
      <c r="AG58" s="1">
        <f t="shared" ca="1" si="23"/>
        <v>916</v>
      </c>
      <c r="AH58" s="1">
        <f t="shared" ca="1" si="24"/>
        <v>6.4097546680099947E-3</v>
      </c>
      <c r="AJ58" s="1">
        <f t="shared" ca="1" si="25"/>
        <v>0.44803944316437661</v>
      </c>
      <c r="AK58" s="1">
        <f t="shared" ca="1" si="26"/>
        <v>5.7553099899402072E-3</v>
      </c>
      <c r="AL58" s="1"/>
      <c r="AM58" s="1">
        <f t="shared" ca="1" si="27"/>
        <v>9.921878104042138E-2</v>
      </c>
      <c r="AN58" s="1">
        <f t="shared" ca="1" si="28"/>
        <v>16</v>
      </c>
      <c r="AO58" s="1">
        <f t="shared" ca="1" si="29"/>
        <v>3</v>
      </c>
      <c r="AQ58" s="1">
        <f t="shared" ca="1" si="30"/>
        <v>67</v>
      </c>
      <c r="AR58" s="1">
        <f t="shared" ca="1" si="31"/>
        <v>9</v>
      </c>
      <c r="AS58" s="1">
        <f t="shared" ca="1" si="32"/>
        <v>48</v>
      </c>
      <c r="AU58" s="1">
        <f t="shared" ca="1" si="33"/>
        <v>355</v>
      </c>
      <c r="AV58" s="1">
        <f t="shared" ca="1" si="34"/>
        <v>9</v>
      </c>
      <c r="AW58" s="1">
        <f t="shared" ca="1" si="35"/>
        <v>0.15963027597033722</v>
      </c>
      <c r="AY58" s="1">
        <f t="shared" ca="1" si="36"/>
        <v>1.4623818514280971</v>
      </c>
      <c r="AZ58" s="1">
        <f t="shared" ca="1" si="37"/>
        <v>88</v>
      </c>
      <c r="BA58" s="1">
        <f t="shared" ca="1" si="38"/>
        <v>4.0848626074343787E-3</v>
      </c>
    </row>
    <row r="59" spans="2:53" x14ac:dyDescent="0.25">
      <c r="B59">
        <f t="shared" ca="1" si="0"/>
        <v>543</v>
      </c>
      <c r="C59">
        <f t="shared" ca="1" si="1"/>
        <v>44</v>
      </c>
      <c r="D59">
        <f t="shared" ca="1" si="2"/>
        <v>0.12574185559846632</v>
      </c>
      <c r="F59" s="1">
        <f t="shared" ca="1" si="3"/>
        <v>3</v>
      </c>
      <c r="G59" s="1">
        <f t="shared" ca="1" si="4"/>
        <v>24</v>
      </c>
      <c r="H59" s="1">
        <f t="shared" ca="1" si="5"/>
        <v>8</v>
      </c>
      <c r="I59" s="1"/>
      <c r="J59" s="1">
        <f t="shared" ca="1" si="6"/>
        <v>24</v>
      </c>
      <c r="K59" s="1">
        <f t="shared" ca="1" si="7"/>
        <v>1.3371450307179706</v>
      </c>
      <c r="L59" s="1">
        <f t="shared" ca="1" si="8"/>
        <v>22</v>
      </c>
      <c r="M59" s="1"/>
      <c r="N59" s="1">
        <f t="shared" ca="1" si="9"/>
        <v>775</v>
      </c>
      <c r="O59" s="1">
        <f t="shared" ca="1" si="10"/>
        <v>21</v>
      </c>
      <c r="P59" s="1"/>
      <c r="Q59" s="1">
        <f t="shared" ca="1" si="11"/>
        <v>1.3156222943188698</v>
      </c>
      <c r="R59" s="1">
        <f t="shared" ca="1" si="12"/>
        <v>1018</v>
      </c>
      <c r="S59" s="1"/>
      <c r="T59" s="1">
        <f t="shared" ca="1" si="13"/>
        <v>8.8271589616065765E-2</v>
      </c>
      <c r="U59" s="1">
        <f t="shared" ca="1" si="14"/>
        <v>328</v>
      </c>
      <c r="V59" s="1">
        <f t="shared" ca="1" si="15"/>
        <v>33</v>
      </c>
      <c r="W59" s="1"/>
      <c r="X59" s="1">
        <f t="shared" ca="1" si="16"/>
        <v>1.3942089796983104</v>
      </c>
      <c r="Y59" s="1">
        <f t="shared" ca="1" si="17"/>
        <v>0.3048115038946782</v>
      </c>
      <c r="Z59" s="1">
        <f t="shared" ca="1" si="18"/>
        <v>1594</v>
      </c>
      <c r="AB59" s="1">
        <f t="shared" ca="1" si="19"/>
        <v>0.57843174464821623</v>
      </c>
      <c r="AC59" s="1">
        <f t="shared" ca="1" si="20"/>
        <v>776</v>
      </c>
      <c r="AD59" s="1">
        <f t="shared" ca="1" si="21"/>
        <v>9.6167414136565845E-3</v>
      </c>
      <c r="AE59" s="1"/>
      <c r="AF59" s="1">
        <f t="shared" ca="1" si="22"/>
        <v>0.4407663711714912</v>
      </c>
      <c r="AG59" s="1">
        <f t="shared" ca="1" si="23"/>
        <v>113</v>
      </c>
      <c r="AH59" s="1">
        <f t="shared" ca="1" si="24"/>
        <v>1.0704213674983586E-3</v>
      </c>
      <c r="AJ59" s="1">
        <f t="shared" ca="1" si="25"/>
        <v>0.12212921912953156</v>
      </c>
      <c r="AK59" s="1">
        <f t="shared" ca="1" si="26"/>
        <v>4.8436220284714003E-3</v>
      </c>
      <c r="AL59" s="1"/>
      <c r="AM59" s="1">
        <f t="shared" ca="1" si="27"/>
        <v>0.19204528554337594</v>
      </c>
      <c r="AN59" s="1">
        <f t="shared" ca="1" si="28"/>
        <v>25</v>
      </c>
      <c r="AO59" s="1">
        <f t="shared" ca="1" si="29"/>
        <v>6</v>
      </c>
      <c r="AQ59" s="1">
        <f t="shared" ca="1" si="30"/>
        <v>124</v>
      </c>
      <c r="AR59" s="1">
        <f t="shared" ca="1" si="31"/>
        <v>3</v>
      </c>
      <c r="AS59" s="1">
        <f t="shared" ca="1" si="32"/>
        <v>34</v>
      </c>
      <c r="AU59" s="1">
        <f t="shared" ca="1" si="33"/>
        <v>206</v>
      </c>
      <c r="AV59" s="1">
        <f t="shared" ca="1" si="34"/>
        <v>5</v>
      </c>
      <c r="AW59" s="1">
        <f t="shared" ca="1" si="35"/>
        <v>4.546630025569956E-2</v>
      </c>
      <c r="AY59" s="1">
        <f t="shared" ca="1" si="36"/>
        <v>1.8281940132570611</v>
      </c>
      <c r="AZ59" s="1">
        <f t="shared" ca="1" si="37"/>
        <v>101</v>
      </c>
      <c r="BA59" s="1">
        <f t="shared" ca="1" si="38"/>
        <v>3.7251418922427063E-3</v>
      </c>
    </row>
    <row r="60" spans="2:53" x14ac:dyDescent="0.25">
      <c r="B60">
        <f t="shared" ca="1" si="0"/>
        <v>469</v>
      </c>
      <c r="C60">
        <f t="shared" ca="1" si="1"/>
        <v>7</v>
      </c>
      <c r="D60">
        <f t="shared" ca="1" si="2"/>
        <v>0.13586833509671881</v>
      </c>
      <c r="F60" s="1">
        <f t="shared" ca="1" si="3"/>
        <v>45</v>
      </c>
      <c r="G60" s="1">
        <f t="shared" ca="1" si="4"/>
        <v>27</v>
      </c>
      <c r="H60" s="1">
        <f t="shared" ca="1" si="5"/>
        <v>4</v>
      </c>
      <c r="I60" s="1"/>
      <c r="J60" s="1">
        <f t="shared" ca="1" si="6"/>
        <v>6</v>
      </c>
      <c r="K60" s="1">
        <f t="shared" ca="1" si="7"/>
        <v>1.821001007540983</v>
      </c>
      <c r="L60" s="1">
        <f t="shared" ca="1" si="8"/>
        <v>35</v>
      </c>
      <c r="M60" s="1"/>
      <c r="N60" s="1">
        <f t="shared" ca="1" si="9"/>
        <v>623</v>
      </c>
      <c r="O60" s="1">
        <f t="shared" ca="1" si="10"/>
        <v>46</v>
      </c>
      <c r="P60" s="1"/>
      <c r="Q60" s="1">
        <f t="shared" ca="1" si="11"/>
        <v>0.14462831265109238</v>
      </c>
      <c r="R60" s="1">
        <f t="shared" ca="1" si="12"/>
        <v>425</v>
      </c>
      <c r="S60" s="1"/>
      <c r="T60" s="1">
        <f t="shared" ca="1" si="13"/>
        <v>1.6833005039025066E-2</v>
      </c>
      <c r="U60" s="1">
        <f t="shared" ca="1" si="14"/>
        <v>89</v>
      </c>
      <c r="V60" s="1">
        <f t="shared" ca="1" si="15"/>
        <v>5</v>
      </c>
      <c r="W60" s="1"/>
      <c r="X60" s="1">
        <f t="shared" ca="1" si="16"/>
        <v>1.6630303733099698</v>
      </c>
      <c r="Y60" s="1">
        <f t="shared" ca="1" si="17"/>
        <v>1.0751746748183898E-2</v>
      </c>
      <c r="Z60" s="1">
        <f t="shared" ca="1" si="18"/>
        <v>1611</v>
      </c>
      <c r="AB60" s="1">
        <f t="shared" ca="1" si="19"/>
        <v>0.72110297040590676</v>
      </c>
      <c r="AC60" s="1">
        <f t="shared" ca="1" si="20"/>
        <v>744</v>
      </c>
      <c r="AD60" s="1">
        <f t="shared" ca="1" si="21"/>
        <v>3.647778548907051E-4</v>
      </c>
      <c r="AE60" s="1"/>
      <c r="AF60" s="1">
        <f t="shared" ca="1" si="22"/>
        <v>0.61885611158322207</v>
      </c>
      <c r="AG60" s="1">
        <f t="shared" ca="1" si="23"/>
        <v>367</v>
      </c>
      <c r="AH60" s="1">
        <f t="shared" ca="1" si="24"/>
        <v>1.5693019555214557E-3</v>
      </c>
      <c r="AJ60" s="1">
        <f t="shared" ca="1" si="25"/>
        <v>0.88087493635843928</v>
      </c>
      <c r="AK60" s="1">
        <f t="shared" ca="1" si="26"/>
        <v>4.245096835935107E-3</v>
      </c>
      <c r="AL60" s="1"/>
      <c r="AM60" s="1">
        <f t="shared" ca="1" si="27"/>
        <v>0.13087425064531794</v>
      </c>
      <c r="AN60" s="1">
        <f t="shared" ca="1" si="28"/>
        <v>62</v>
      </c>
      <c r="AO60" s="1">
        <f t="shared" ca="1" si="29"/>
        <v>4</v>
      </c>
      <c r="AQ60" s="1">
        <f t="shared" ca="1" si="30"/>
        <v>83</v>
      </c>
      <c r="AR60" s="1">
        <f t="shared" ca="1" si="31"/>
        <v>0</v>
      </c>
      <c r="AS60" s="1">
        <f t="shared" ca="1" si="32"/>
        <v>39</v>
      </c>
      <c r="AU60" s="1">
        <f t="shared" ca="1" si="33"/>
        <v>214</v>
      </c>
      <c r="AV60" s="1">
        <f t="shared" ca="1" si="34"/>
        <v>9</v>
      </c>
      <c r="AW60" s="1">
        <f t="shared" ca="1" si="35"/>
        <v>0.13700785463136961</v>
      </c>
      <c r="AY60" s="1">
        <f t="shared" ca="1" si="36"/>
        <v>1.9727006157827169</v>
      </c>
      <c r="AZ60" s="1">
        <f t="shared" ca="1" si="37"/>
        <v>370</v>
      </c>
      <c r="BA60" s="1">
        <f t="shared" ca="1" si="38"/>
        <v>4.904550509990363E-3</v>
      </c>
    </row>
    <row r="61" spans="2:53" x14ac:dyDescent="0.25">
      <c r="B61">
        <f t="shared" ca="1" si="0"/>
        <v>339</v>
      </c>
      <c r="C61">
        <f t="shared" ca="1" si="1"/>
        <v>44</v>
      </c>
      <c r="D61">
        <f t="shared" ca="1" si="2"/>
        <v>4.0910623763023388E-2</v>
      </c>
      <c r="F61" s="1">
        <f t="shared" ca="1" si="3"/>
        <v>2</v>
      </c>
      <c r="G61" s="1">
        <f t="shared" ca="1" si="4"/>
        <v>18</v>
      </c>
      <c r="H61" s="1">
        <f t="shared" ca="1" si="5"/>
        <v>8</v>
      </c>
      <c r="I61" s="1"/>
      <c r="J61" s="1">
        <f t="shared" ca="1" si="6"/>
        <v>34</v>
      </c>
      <c r="K61" s="1">
        <f t="shared" ca="1" si="7"/>
        <v>1.7702587299447576</v>
      </c>
      <c r="L61" s="1">
        <f t="shared" ca="1" si="8"/>
        <v>26</v>
      </c>
      <c r="M61" s="1"/>
      <c r="N61" s="1">
        <f t="shared" ca="1" si="9"/>
        <v>602</v>
      </c>
      <c r="O61" s="1">
        <f t="shared" ca="1" si="10"/>
        <v>37</v>
      </c>
      <c r="P61" s="1"/>
      <c r="Q61" s="1">
        <f t="shared" ca="1" si="11"/>
        <v>3.968431652352026</v>
      </c>
      <c r="R61" s="1">
        <f t="shared" ca="1" si="12"/>
        <v>333</v>
      </c>
      <c r="S61" s="1"/>
      <c r="T61" s="1">
        <f t="shared" ca="1" si="13"/>
        <v>7.7394113227602368E-2</v>
      </c>
      <c r="U61" s="1">
        <f t="shared" ca="1" si="14"/>
        <v>288</v>
      </c>
      <c r="V61" s="1">
        <f t="shared" ca="1" si="15"/>
        <v>47</v>
      </c>
      <c r="W61" s="1"/>
      <c r="X61" s="1">
        <f t="shared" ca="1" si="16"/>
        <v>1.865336407119099</v>
      </c>
      <c r="Y61" s="1">
        <f t="shared" ca="1" si="17"/>
        <v>0.2088413935561392</v>
      </c>
      <c r="Z61" s="1">
        <f t="shared" ca="1" si="18"/>
        <v>1178</v>
      </c>
      <c r="AB61" s="1">
        <f t="shared" ca="1" si="19"/>
        <v>0.89864043260271265</v>
      </c>
      <c r="AC61" s="1">
        <f t="shared" ca="1" si="20"/>
        <v>461</v>
      </c>
      <c r="AD61" s="1">
        <f t="shared" ca="1" si="21"/>
        <v>5.2220238953675363E-3</v>
      </c>
      <c r="AE61" s="1"/>
      <c r="AF61" s="1">
        <f t="shared" ca="1" si="22"/>
        <v>0.68421214390734997</v>
      </c>
      <c r="AG61" s="1">
        <f t="shared" ca="1" si="23"/>
        <v>730</v>
      </c>
      <c r="AH61" s="1">
        <f t="shared" ca="1" si="24"/>
        <v>7.4458808937415046E-3</v>
      </c>
      <c r="AJ61" s="1">
        <f t="shared" ca="1" si="25"/>
        <v>0.9160861062302017</v>
      </c>
      <c r="AK61" s="1">
        <f t="shared" ca="1" si="26"/>
        <v>6.6833983458166185E-3</v>
      </c>
      <c r="AL61" s="1"/>
      <c r="AM61" s="1">
        <f t="shared" ca="1" si="27"/>
        <v>6.5994630970179116E-2</v>
      </c>
      <c r="AN61" s="1">
        <f t="shared" ca="1" si="28"/>
        <v>37</v>
      </c>
      <c r="AO61" s="1">
        <f t="shared" ca="1" si="29"/>
        <v>0</v>
      </c>
      <c r="AQ61" s="1">
        <f t="shared" ca="1" si="30"/>
        <v>71</v>
      </c>
      <c r="AR61" s="1">
        <f t="shared" ca="1" si="31"/>
        <v>4</v>
      </c>
      <c r="AS61" s="1">
        <f t="shared" ca="1" si="32"/>
        <v>10</v>
      </c>
      <c r="AU61" s="1">
        <f t="shared" ca="1" si="33"/>
        <v>351</v>
      </c>
      <c r="AV61" s="1">
        <f t="shared" ca="1" si="34"/>
        <v>8</v>
      </c>
      <c r="AW61" s="1">
        <f t="shared" ca="1" si="35"/>
        <v>0.17371956879531553</v>
      </c>
      <c r="AY61" s="1">
        <f t="shared" ca="1" si="36"/>
        <v>1.9943330258605982</v>
      </c>
      <c r="AZ61" s="1">
        <f t="shared" ca="1" si="37"/>
        <v>81</v>
      </c>
      <c r="BA61" s="1">
        <f t="shared" ca="1" si="38"/>
        <v>8.4906794012723844E-3</v>
      </c>
    </row>
    <row r="62" spans="2:53" x14ac:dyDescent="0.25">
      <c r="B62">
        <f t="shared" ca="1" si="0"/>
        <v>559</v>
      </c>
      <c r="C62">
        <f t="shared" ca="1" si="1"/>
        <v>23</v>
      </c>
      <c r="D62">
        <f t="shared" ca="1" si="2"/>
        <v>3.4859968600251048E-2</v>
      </c>
      <c r="F62" s="1">
        <f t="shared" ca="1" si="3"/>
        <v>7</v>
      </c>
      <c r="G62" s="1">
        <f t="shared" ca="1" si="4"/>
        <v>6</v>
      </c>
      <c r="H62" s="1">
        <f t="shared" ca="1" si="5"/>
        <v>10</v>
      </c>
      <c r="I62" s="1"/>
      <c r="J62" s="1">
        <f t="shared" ca="1" si="6"/>
        <v>2</v>
      </c>
      <c r="K62" s="1">
        <f t="shared" ca="1" si="7"/>
        <v>1.2526571325789451</v>
      </c>
      <c r="L62" s="1">
        <f t="shared" ca="1" si="8"/>
        <v>19</v>
      </c>
      <c r="M62" s="1"/>
      <c r="N62" s="1">
        <f t="shared" ca="1" si="9"/>
        <v>583</v>
      </c>
      <c r="O62" s="1">
        <f t="shared" ca="1" si="10"/>
        <v>5</v>
      </c>
      <c r="P62" s="1"/>
      <c r="Q62" s="1">
        <f t="shared" ca="1" si="11"/>
        <v>0.91592248463826675</v>
      </c>
      <c r="R62" s="1">
        <f t="shared" ca="1" si="12"/>
        <v>570</v>
      </c>
      <c r="S62" s="1"/>
      <c r="T62" s="1">
        <f t="shared" ca="1" si="13"/>
        <v>5.0134735629231549E-2</v>
      </c>
      <c r="U62" s="1">
        <f t="shared" ca="1" si="14"/>
        <v>336</v>
      </c>
      <c r="V62" s="1">
        <f t="shared" ca="1" si="15"/>
        <v>22</v>
      </c>
      <c r="W62" s="1"/>
      <c r="X62" s="1">
        <f t="shared" ca="1" si="16"/>
        <v>6.2552022650441117</v>
      </c>
      <c r="Y62" s="1">
        <f t="shared" ca="1" si="17"/>
        <v>0.43696475543609714</v>
      </c>
      <c r="Z62" s="1">
        <f t="shared" ca="1" si="18"/>
        <v>862</v>
      </c>
      <c r="AB62" s="1">
        <f t="shared" ca="1" si="19"/>
        <v>0.25821671104824123</v>
      </c>
      <c r="AC62" s="1">
        <f t="shared" ca="1" si="20"/>
        <v>292</v>
      </c>
      <c r="AD62" s="1">
        <f t="shared" ca="1" si="21"/>
        <v>9.6997921870219227E-3</v>
      </c>
      <c r="AE62" s="1"/>
      <c r="AF62" s="1">
        <f t="shared" ca="1" si="22"/>
        <v>0.48989779215702556</v>
      </c>
      <c r="AG62" s="1">
        <f t="shared" ca="1" si="23"/>
        <v>302</v>
      </c>
      <c r="AH62" s="1">
        <f t="shared" ca="1" si="24"/>
        <v>7.2783962334496575E-3</v>
      </c>
      <c r="AJ62" s="1">
        <f t="shared" ca="1" si="25"/>
        <v>0.78259377768248362</v>
      </c>
      <c r="AK62" s="1">
        <f t="shared" ca="1" si="26"/>
        <v>8.6879147266203903E-3</v>
      </c>
      <c r="AL62" s="1"/>
      <c r="AM62" s="1">
        <f t="shared" ca="1" si="27"/>
        <v>0.15628989088934273</v>
      </c>
      <c r="AN62" s="1">
        <f t="shared" ca="1" si="28"/>
        <v>66</v>
      </c>
      <c r="AO62" s="1">
        <f t="shared" ca="1" si="29"/>
        <v>10</v>
      </c>
      <c r="AQ62" s="1">
        <f t="shared" ca="1" si="30"/>
        <v>83</v>
      </c>
      <c r="AR62" s="1">
        <f t="shared" ca="1" si="31"/>
        <v>2</v>
      </c>
      <c r="AS62" s="1">
        <f t="shared" ca="1" si="32"/>
        <v>7</v>
      </c>
      <c r="AU62" s="1">
        <f t="shared" ca="1" si="33"/>
        <v>118</v>
      </c>
      <c r="AV62" s="1">
        <f t="shared" ca="1" si="34"/>
        <v>2</v>
      </c>
      <c r="AW62" s="1">
        <f t="shared" ca="1" si="35"/>
        <v>0.15492364081896395</v>
      </c>
      <c r="AY62" s="1">
        <f t="shared" ca="1" si="36"/>
        <v>1.3968095246139942</v>
      </c>
      <c r="AZ62" s="1">
        <f t="shared" ca="1" si="37"/>
        <v>312</v>
      </c>
      <c r="BA62" s="1">
        <f t="shared" ca="1" si="38"/>
        <v>8.6594429120747784E-3</v>
      </c>
    </row>
    <row r="63" spans="2:53" x14ac:dyDescent="0.25">
      <c r="B63">
        <f t="shared" ca="1" si="0"/>
        <v>946</v>
      </c>
      <c r="C63">
        <f t="shared" ca="1" si="1"/>
        <v>34</v>
      </c>
      <c r="D63">
        <f t="shared" ca="1" si="2"/>
        <v>0.18231760318204235</v>
      </c>
      <c r="F63" s="1">
        <f t="shared" ca="1" si="3"/>
        <v>10</v>
      </c>
      <c r="G63" s="1">
        <f t="shared" ca="1" si="4"/>
        <v>17</v>
      </c>
      <c r="H63" s="1">
        <f t="shared" ca="1" si="5"/>
        <v>3</v>
      </c>
      <c r="I63" s="1"/>
      <c r="J63" s="1">
        <f t="shared" ca="1" si="6"/>
        <v>17</v>
      </c>
      <c r="K63" s="1">
        <f t="shared" ca="1" si="7"/>
        <v>1.9991384749065197</v>
      </c>
      <c r="L63" s="1">
        <f t="shared" ca="1" si="8"/>
        <v>25</v>
      </c>
      <c r="M63" s="1"/>
      <c r="N63" s="1">
        <f t="shared" ca="1" si="9"/>
        <v>480</v>
      </c>
      <c r="O63" s="1">
        <f t="shared" ca="1" si="10"/>
        <v>40</v>
      </c>
      <c r="P63" s="1"/>
      <c r="Q63" s="1">
        <f t="shared" ca="1" si="11"/>
        <v>4.2585026601936073</v>
      </c>
      <c r="R63" s="1">
        <f t="shared" ca="1" si="12"/>
        <v>528</v>
      </c>
      <c r="S63" s="1"/>
      <c r="T63" s="1">
        <f t="shared" ca="1" si="13"/>
        <v>4.7191828145816649E-2</v>
      </c>
      <c r="U63" s="1">
        <f t="shared" ca="1" si="14"/>
        <v>358</v>
      </c>
      <c r="V63" s="1">
        <f t="shared" ca="1" si="15"/>
        <v>24</v>
      </c>
      <c r="W63" s="1"/>
      <c r="X63" s="1">
        <f t="shared" ca="1" si="16"/>
        <v>0.36901578254091288</v>
      </c>
      <c r="Y63" s="1">
        <f t="shared" ca="1" si="17"/>
        <v>0.57067139873244388</v>
      </c>
      <c r="Z63" s="1">
        <f t="shared" ca="1" si="18"/>
        <v>1522</v>
      </c>
      <c r="AB63" s="1">
        <f t="shared" ca="1" si="19"/>
        <v>0.53527098779226645</v>
      </c>
      <c r="AC63" s="1">
        <f t="shared" ca="1" si="20"/>
        <v>189</v>
      </c>
      <c r="AD63" s="1">
        <f t="shared" ca="1" si="21"/>
        <v>1.5613819734645543E-3</v>
      </c>
      <c r="AE63" s="1"/>
      <c r="AF63" s="1">
        <f t="shared" ca="1" si="22"/>
        <v>0.27913110482134257</v>
      </c>
      <c r="AG63" s="1">
        <f t="shared" ca="1" si="23"/>
        <v>497</v>
      </c>
      <c r="AH63" s="1">
        <f t="shared" ca="1" si="24"/>
        <v>1.4734690044941475E-3</v>
      </c>
      <c r="AJ63" s="1">
        <f t="shared" ca="1" si="25"/>
        <v>0.94668306348769082</v>
      </c>
      <c r="AK63" s="1">
        <f t="shared" ca="1" si="26"/>
        <v>9.0531941503810415E-3</v>
      </c>
      <c r="AL63" s="1"/>
      <c r="AM63" s="1">
        <f t="shared" ca="1" si="27"/>
        <v>0.17691180632298215</v>
      </c>
      <c r="AN63" s="1">
        <f t="shared" ca="1" si="28"/>
        <v>51</v>
      </c>
      <c r="AO63" s="1">
        <f t="shared" ca="1" si="29"/>
        <v>10</v>
      </c>
      <c r="AQ63" s="1">
        <f t="shared" ca="1" si="30"/>
        <v>19</v>
      </c>
      <c r="AR63" s="1">
        <f t="shared" ca="1" si="31"/>
        <v>10</v>
      </c>
      <c r="AS63" s="1">
        <f t="shared" ca="1" si="32"/>
        <v>11</v>
      </c>
      <c r="AU63" s="1">
        <f t="shared" ca="1" si="33"/>
        <v>160</v>
      </c>
      <c r="AV63" s="1">
        <f t="shared" ca="1" si="34"/>
        <v>3</v>
      </c>
      <c r="AW63" s="1">
        <f t="shared" ca="1" si="35"/>
        <v>0.10576445418373473</v>
      </c>
      <c r="AY63" s="1">
        <f t="shared" ca="1" si="36"/>
        <v>1.960410802706535</v>
      </c>
      <c r="AZ63" s="1">
        <f t="shared" ca="1" si="37"/>
        <v>332</v>
      </c>
      <c r="BA63" s="1">
        <f t="shared" ca="1" si="38"/>
        <v>2.3886159553854099E-3</v>
      </c>
    </row>
    <row r="64" spans="2:53" x14ac:dyDescent="0.25">
      <c r="B64">
        <f t="shared" ca="1" si="0"/>
        <v>885</v>
      </c>
      <c r="C64">
        <f t="shared" ca="1" si="1"/>
        <v>20</v>
      </c>
      <c r="D64">
        <f t="shared" ca="1" si="2"/>
        <v>0.20701315079991728</v>
      </c>
      <c r="F64" s="1">
        <f t="shared" ca="1" si="3"/>
        <v>11</v>
      </c>
      <c r="G64" s="1">
        <f t="shared" ca="1" si="4"/>
        <v>29</v>
      </c>
      <c r="H64" s="1">
        <f t="shared" ca="1" si="5"/>
        <v>3</v>
      </c>
      <c r="I64" s="1"/>
      <c r="J64" s="1">
        <f t="shared" ca="1" si="6"/>
        <v>19</v>
      </c>
      <c r="K64" s="1">
        <f t="shared" ca="1" si="7"/>
        <v>2.3161890336865243</v>
      </c>
      <c r="L64" s="1">
        <f t="shared" ca="1" si="8"/>
        <v>21</v>
      </c>
      <c r="M64" s="1"/>
      <c r="N64" s="1">
        <f t="shared" ca="1" si="9"/>
        <v>292</v>
      </c>
      <c r="O64" s="1">
        <f t="shared" ca="1" si="10"/>
        <v>42</v>
      </c>
      <c r="P64" s="1"/>
      <c r="Q64" s="1">
        <f t="shared" ca="1" si="11"/>
        <v>2.744324186559246</v>
      </c>
      <c r="R64" s="1">
        <f t="shared" ca="1" si="12"/>
        <v>248</v>
      </c>
      <c r="S64" s="1"/>
      <c r="T64" s="1">
        <f t="shared" ca="1" si="13"/>
        <v>4.4645055378056221E-2</v>
      </c>
      <c r="U64" s="1">
        <f t="shared" ca="1" si="14"/>
        <v>434</v>
      </c>
      <c r="V64" s="1">
        <f t="shared" ca="1" si="15"/>
        <v>13</v>
      </c>
      <c r="W64" s="1"/>
      <c r="X64" s="1">
        <f t="shared" ca="1" si="16"/>
        <v>3.8552071211602099</v>
      </c>
      <c r="Y64" s="1">
        <f t="shared" ca="1" si="17"/>
        <v>0.36351893129717339</v>
      </c>
      <c r="Z64" s="1">
        <f t="shared" ca="1" si="18"/>
        <v>446</v>
      </c>
      <c r="AB64" s="1">
        <f t="shared" ca="1" si="19"/>
        <v>0.52095573223464353</v>
      </c>
      <c r="AC64" s="1">
        <f t="shared" ca="1" si="20"/>
        <v>996</v>
      </c>
      <c r="AD64" s="1">
        <f t="shared" ca="1" si="21"/>
        <v>6.7227091003659346E-3</v>
      </c>
      <c r="AE64" s="1"/>
      <c r="AF64" s="1">
        <f t="shared" ca="1" si="22"/>
        <v>0.85037864545090958</v>
      </c>
      <c r="AG64" s="1">
        <f t="shared" ca="1" si="23"/>
        <v>124</v>
      </c>
      <c r="AH64" s="1">
        <f t="shared" ca="1" si="24"/>
        <v>1.0484457437041018E-3</v>
      </c>
      <c r="AJ64" s="1">
        <f t="shared" ca="1" si="25"/>
        <v>0.89514418102209925</v>
      </c>
      <c r="AK64" s="1">
        <f t="shared" ca="1" si="26"/>
        <v>3.9277167701607155E-4</v>
      </c>
      <c r="AL64" s="1"/>
      <c r="AM64" s="1">
        <f t="shared" ca="1" si="27"/>
        <v>9.0820079824993835E-2</v>
      </c>
      <c r="AN64" s="1">
        <f t="shared" ca="1" si="28"/>
        <v>75</v>
      </c>
      <c r="AO64" s="1">
        <f t="shared" ca="1" si="29"/>
        <v>9</v>
      </c>
      <c r="AQ64" s="1">
        <f t="shared" ca="1" si="30"/>
        <v>57</v>
      </c>
      <c r="AR64" s="1">
        <f t="shared" ca="1" si="31"/>
        <v>5</v>
      </c>
      <c r="AS64" s="1">
        <f t="shared" ca="1" si="32"/>
        <v>67</v>
      </c>
      <c r="AU64" s="1">
        <f t="shared" ca="1" si="33"/>
        <v>151</v>
      </c>
      <c r="AV64" s="1">
        <f t="shared" ca="1" si="34"/>
        <v>4</v>
      </c>
      <c r="AW64" s="1">
        <f t="shared" ca="1" si="35"/>
        <v>0.14409357650246982</v>
      </c>
      <c r="AY64" s="1">
        <f t="shared" ca="1" si="36"/>
        <v>1.6437503828480593</v>
      </c>
      <c r="AZ64" s="1">
        <f t="shared" ca="1" si="37"/>
        <v>56</v>
      </c>
      <c r="BA64" s="1">
        <f t="shared" ca="1" si="38"/>
        <v>1.7233628313955216E-3</v>
      </c>
    </row>
    <row r="65" spans="2:53" x14ac:dyDescent="0.25">
      <c r="B65">
        <f t="shared" ca="1" si="0"/>
        <v>391</v>
      </c>
      <c r="C65">
        <f t="shared" ca="1" si="1"/>
        <v>15</v>
      </c>
      <c r="D65">
        <f t="shared" ca="1" si="2"/>
        <v>0.21832834077563104</v>
      </c>
      <c r="F65" s="1">
        <f t="shared" ca="1" si="3"/>
        <v>24</v>
      </c>
      <c r="G65" s="1">
        <f t="shared" ca="1" si="4"/>
        <v>4</v>
      </c>
      <c r="H65" s="1">
        <f t="shared" ca="1" si="5"/>
        <v>10</v>
      </c>
      <c r="I65" s="1"/>
      <c r="J65" s="1">
        <f t="shared" ca="1" si="6"/>
        <v>10</v>
      </c>
      <c r="K65" s="1">
        <f t="shared" ca="1" si="7"/>
        <v>1.5998189746327001</v>
      </c>
      <c r="L65" s="1">
        <f t="shared" ca="1" si="8"/>
        <v>34</v>
      </c>
      <c r="M65" s="1"/>
      <c r="N65" s="1">
        <f t="shared" ca="1" si="9"/>
        <v>131</v>
      </c>
      <c r="O65" s="1">
        <f t="shared" ca="1" si="10"/>
        <v>38</v>
      </c>
      <c r="P65" s="1"/>
      <c r="Q65" s="1">
        <f t="shared" ca="1" si="11"/>
        <v>1.1233757318351949</v>
      </c>
      <c r="R65" s="1">
        <f t="shared" ca="1" si="12"/>
        <v>872</v>
      </c>
      <c r="S65" s="1"/>
      <c r="T65" s="1">
        <f t="shared" ca="1" si="13"/>
        <v>9.7986702720074995E-2</v>
      </c>
      <c r="U65" s="1">
        <f t="shared" ca="1" si="14"/>
        <v>216</v>
      </c>
      <c r="V65" s="1">
        <f t="shared" ca="1" si="15"/>
        <v>44</v>
      </c>
      <c r="W65" s="1"/>
      <c r="X65" s="1">
        <f t="shared" ca="1" si="16"/>
        <v>2.2489666227300114</v>
      </c>
      <c r="Y65" s="1">
        <f t="shared" ca="1" si="17"/>
        <v>0.20204650257790083</v>
      </c>
      <c r="Z65" s="1">
        <f t="shared" ca="1" si="18"/>
        <v>336</v>
      </c>
      <c r="AB65" s="1">
        <f t="shared" ca="1" si="19"/>
        <v>0.83835094699067614</v>
      </c>
      <c r="AC65" s="1">
        <f t="shared" ca="1" si="20"/>
        <v>794</v>
      </c>
      <c r="AD65" s="1">
        <f t="shared" ca="1" si="21"/>
        <v>2.4953428949223326E-3</v>
      </c>
      <c r="AE65" s="1"/>
      <c r="AF65" s="1">
        <f t="shared" ca="1" si="22"/>
        <v>0.26689887701485998</v>
      </c>
      <c r="AG65" s="1">
        <f t="shared" ca="1" si="23"/>
        <v>264</v>
      </c>
      <c r="AH65" s="1">
        <f t="shared" ca="1" si="24"/>
        <v>7.3717260524599551E-3</v>
      </c>
      <c r="AJ65" s="1">
        <f t="shared" ca="1" si="25"/>
        <v>0.70147891434505139</v>
      </c>
      <c r="AK65" s="1">
        <f t="shared" ca="1" si="26"/>
        <v>7.9437899143412413E-3</v>
      </c>
      <c r="AL65" s="1"/>
      <c r="AM65" s="1">
        <f t="shared" ca="1" si="27"/>
        <v>0.11116960585858994</v>
      </c>
      <c r="AN65" s="1">
        <f t="shared" ca="1" si="28"/>
        <v>39</v>
      </c>
      <c r="AO65" s="1">
        <f t="shared" ca="1" si="29"/>
        <v>7</v>
      </c>
      <c r="AQ65" s="1">
        <f t="shared" ca="1" si="30"/>
        <v>87</v>
      </c>
      <c r="AR65" s="1">
        <f t="shared" ca="1" si="31"/>
        <v>9</v>
      </c>
      <c r="AS65" s="1">
        <f t="shared" ca="1" si="32"/>
        <v>84</v>
      </c>
      <c r="AU65" s="1">
        <f t="shared" ca="1" si="33"/>
        <v>266</v>
      </c>
      <c r="AV65" s="1">
        <f t="shared" ca="1" si="34"/>
        <v>9</v>
      </c>
      <c r="AW65" s="1">
        <f t="shared" ca="1" si="35"/>
        <v>0.17905820057159383</v>
      </c>
      <c r="AY65" s="1">
        <f t="shared" ca="1" si="36"/>
        <v>1.6717212964014418</v>
      </c>
      <c r="AZ65" s="1">
        <f t="shared" ca="1" si="37"/>
        <v>312</v>
      </c>
      <c r="BA65" s="1">
        <f t="shared" ca="1" si="38"/>
        <v>5.7690807581797822E-3</v>
      </c>
    </row>
    <row r="66" spans="2:53" x14ac:dyDescent="0.25">
      <c r="B66">
        <f t="shared" ca="1" si="0"/>
        <v>290</v>
      </c>
      <c r="C66">
        <f t="shared" ca="1" si="1"/>
        <v>8</v>
      </c>
      <c r="D66">
        <f t="shared" ca="1" si="2"/>
        <v>0.11747228786304298</v>
      </c>
      <c r="F66" s="1">
        <f t="shared" ca="1" si="3"/>
        <v>38</v>
      </c>
      <c r="G66" s="1">
        <f t="shared" ca="1" si="4"/>
        <v>24</v>
      </c>
      <c r="H66" s="1">
        <f t="shared" ca="1" si="5"/>
        <v>5</v>
      </c>
      <c r="I66" s="1"/>
      <c r="J66" s="1">
        <f t="shared" ca="1" si="6"/>
        <v>15</v>
      </c>
      <c r="K66" s="1">
        <f t="shared" ca="1" si="7"/>
        <v>2.8022986955705171</v>
      </c>
      <c r="L66" s="1">
        <f t="shared" ca="1" si="8"/>
        <v>34</v>
      </c>
      <c r="M66" s="1"/>
      <c r="N66" s="1">
        <f t="shared" ca="1" si="9"/>
        <v>27</v>
      </c>
      <c r="O66" s="1">
        <f t="shared" ca="1" si="10"/>
        <v>43</v>
      </c>
      <c r="P66" s="1"/>
      <c r="Q66" s="1">
        <f t="shared" ca="1" si="11"/>
        <v>4.3613252473311821</v>
      </c>
      <c r="R66" s="1">
        <f t="shared" ca="1" si="12"/>
        <v>929</v>
      </c>
      <c r="S66" s="1"/>
      <c r="T66" s="1">
        <f t="shared" ca="1" si="13"/>
        <v>2.995876519929587E-2</v>
      </c>
      <c r="U66" s="1">
        <f t="shared" ca="1" si="14"/>
        <v>412</v>
      </c>
      <c r="V66" s="1">
        <f t="shared" ca="1" si="15"/>
        <v>42</v>
      </c>
      <c r="W66" s="1"/>
      <c r="X66" s="1">
        <f t="shared" ca="1" si="16"/>
        <v>4.3513550192091763</v>
      </c>
      <c r="Y66" s="1">
        <f t="shared" ca="1" si="17"/>
        <v>0.42558815741488387</v>
      </c>
      <c r="Z66" s="1">
        <f t="shared" ca="1" si="18"/>
        <v>968</v>
      </c>
      <c r="AB66" s="1">
        <f t="shared" ca="1" si="19"/>
        <v>0.12101928562021265</v>
      </c>
      <c r="AC66" s="1">
        <f t="shared" ca="1" si="20"/>
        <v>353</v>
      </c>
      <c r="AD66" s="1">
        <f t="shared" ca="1" si="21"/>
        <v>4.6533845744519027E-3</v>
      </c>
      <c r="AE66" s="1"/>
      <c r="AF66" s="1">
        <f t="shared" ca="1" si="22"/>
        <v>0.21750467289585027</v>
      </c>
      <c r="AG66" s="1">
        <f t="shared" ca="1" si="23"/>
        <v>992</v>
      </c>
      <c r="AH66" s="1">
        <f t="shared" ca="1" si="24"/>
        <v>8.1935902440297501E-3</v>
      </c>
      <c r="AJ66" s="1">
        <f t="shared" ca="1" si="25"/>
        <v>0.5180092374869012</v>
      </c>
      <c r="AK66" s="1">
        <f t="shared" ca="1" si="26"/>
        <v>9.4513916859850448E-3</v>
      </c>
      <c r="AL66" s="1"/>
      <c r="AM66" s="1">
        <f t="shared" ca="1" si="27"/>
        <v>2.8994310120936468E-2</v>
      </c>
      <c r="AN66" s="1">
        <f t="shared" ca="1" si="28"/>
        <v>20</v>
      </c>
      <c r="AO66" s="1">
        <f t="shared" ca="1" si="29"/>
        <v>3</v>
      </c>
      <c r="AQ66" s="1">
        <f t="shared" ca="1" si="30"/>
        <v>159</v>
      </c>
      <c r="AR66" s="1">
        <f t="shared" ca="1" si="31"/>
        <v>4</v>
      </c>
      <c r="AS66" s="1">
        <f t="shared" ca="1" si="32"/>
        <v>86</v>
      </c>
      <c r="AU66" s="1">
        <f t="shared" ca="1" si="33"/>
        <v>181</v>
      </c>
      <c r="AV66" s="1">
        <f t="shared" ca="1" si="34"/>
        <v>6</v>
      </c>
      <c r="AW66" s="1">
        <f t="shared" ca="1" si="35"/>
        <v>0.14672289719976725</v>
      </c>
      <c r="AY66" s="1">
        <f t="shared" ca="1" si="36"/>
        <v>1.8741664108027143</v>
      </c>
      <c r="AZ66" s="1">
        <f t="shared" ca="1" si="37"/>
        <v>84</v>
      </c>
      <c r="BA66" s="1">
        <f t="shared" ca="1" si="38"/>
        <v>7.2502029369557776E-3</v>
      </c>
    </row>
    <row r="67" spans="2:53" x14ac:dyDescent="0.25">
      <c r="B67">
        <f t="shared" ca="1" si="0"/>
        <v>354</v>
      </c>
      <c r="C67">
        <f t="shared" ca="1" si="1"/>
        <v>46</v>
      </c>
      <c r="D67">
        <f t="shared" ca="1" si="2"/>
        <v>0.15135824372841639</v>
      </c>
      <c r="F67" s="1">
        <f t="shared" ca="1" si="3"/>
        <v>28</v>
      </c>
      <c r="G67" s="1">
        <f t="shared" ca="1" si="4"/>
        <v>3</v>
      </c>
      <c r="H67" s="1">
        <f t="shared" ca="1" si="5"/>
        <v>8</v>
      </c>
      <c r="I67" s="1"/>
      <c r="J67" s="1">
        <f t="shared" ca="1" si="6"/>
        <v>35</v>
      </c>
      <c r="K67" s="1">
        <f t="shared" ca="1" si="7"/>
        <v>1.8485587851462668</v>
      </c>
      <c r="L67" s="1">
        <f t="shared" ca="1" si="8"/>
        <v>14</v>
      </c>
      <c r="M67" s="1"/>
      <c r="N67" s="1">
        <f t="shared" ca="1" si="9"/>
        <v>789</v>
      </c>
      <c r="O67" s="1">
        <f t="shared" ca="1" si="10"/>
        <v>25</v>
      </c>
      <c r="P67" s="1"/>
      <c r="Q67" s="1">
        <f t="shared" ca="1" si="11"/>
        <v>3.0277414498103741</v>
      </c>
      <c r="R67" s="1">
        <f t="shared" ca="1" si="12"/>
        <v>959</v>
      </c>
      <c r="S67" s="1"/>
      <c r="T67" s="1">
        <f t="shared" ca="1" si="13"/>
        <v>0.11622471249944837</v>
      </c>
      <c r="U67" s="1">
        <f t="shared" ca="1" si="14"/>
        <v>59</v>
      </c>
      <c r="V67" s="1">
        <f t="shared" ca="1" si="15"/>
        <v>7</v>
      </c>
      <c r="W67" s="1"/>
      <c r="X67" s="1">
        <f t="shared" ca="1" si="16"/>
        <v>3.5485629990269389</v>
      </c>
      <c r="Y67" s="1">
        <f t="shared" ca="1" si="17"/>
        <v>0.80041817977025198</v>
      </c>
      <c r="Z67" s="1">
        <f t="shared" ca="1" si="18"/>
        <v>1094</v>
      </c>
      <c r="AB67" s="1">
        <f t="shared" ca="1" si="19"/>
        <v>0.84754474819626269</v>
      </c>
      <c r="AC67" s="1">
        <f t="shared" ca="1" si="20"/>
        <v>423</v>
      </c>
      <c r="AD67" s="1">
        <f t="shared" ca="1" si="21"/>
        <v>4.8441176589252063E-3</v>
      </c>
      <c r="AE67" s="1"/>
      <c r="AF67" s="1">
        <f t="shared" ca="1" si="22"/>
        <v>0.40479134406007089</v>
      </c>
      <c r="AG67" s="1">
        <f t="shared" ca="1" si="23"/>
        <v>965</v>
      </c>
      <c r="AH67" s="1">
        <f t="shared" ca="1" si="24"/>
        <v>9.4168770775402751E-3</v>
      </c>
      <c r="AJ67" s="1">
        <f t="shared" ca="1" si="25"/>
        <v>0.82090449728503745</v>
      </c>
      <c r="AK67" s="1">
        <f t="shared" ca="1" si="26"/>
        <v>3.2384403280296277E-3</v>
      </c>
      <c r="AL67" s="1"/>
      <c r="AM67" s="1">
        <f t="shared" ca="1" si="27"/>
        <v>0.19189446128520896</v>
      </c>
      <c r="AN67" s="1">
        <f t="shared" ca="1" si="28"/>
        <v>31</v>
      </c>
      <c r="AO67" s="1">
        <f t="shared" ca="1" si="29"/>
        <v>12</v>
      </c>
      <c r="AQ67" s="1">
        <f t="shared" ca="1" si="30"/>
        <v>117</v>
      </c>
      <c r="AR67" s="1">
        <f t="shared" ca="1" si="31"/>
        <v>1</v>
      </c>
      <c r="AS67" s="1">
        <f t="shared" ca="1" si="32"/>
        <v>27</v>
      </c>
      <c r="AU67" s="1">
        <f t="shared" ca="1" si="33"/>
        <v>111</v>
      </c>
      <c r="AV67" s="1">
        <f t="shared" ca="1" si="34"/>
        <v>4</v>
      </c>
      <c r="AW67" s="1">
        <f t="shared" ca="1" si="35"/>
        <v>0.15592258932862535</v>
      </c>
      <c r="AY67" s="1">
        <f t="shared" ca="1" si="36"/>
        <v>1.5133809175133073</v>
      </c>
      <c r="AZ67" s="1">
        <f t="shared" ca="1" si="37"/>
        <v>262</v>
      </c>
      <c r="BA67" s="1">
        <f t="shared" ca="1" si="38"/>
        <v>4.0899777050542701E-4</v>
      </c>
    </row>
    <row r="68" spans="2:53" x14ac:dyDescent="0.25">
      <c r="B68">
        <f t="shared" ref="B68:B131" ca="1" si="39">RANDBETWEEN(15,1000)</f>
        <v>97</v>
      </c>
      <c r="C68">
        <f t="shared" ref="C68:C131" ca="1" si="40">RANDBETWEEN(2,52)</f>
        <v>24</v>
      </c>
      <c r="D68">
        <f t="shared" ref="D68:D131" ca="1" si="41">RAND()*(0.3-0.01)+0.01</f>
        <v>0.22164297349550763</v>
      </c>
      <c r="F68" s="1">
        <f t="shared" ref="F68:F131" ca="1" si="42">RANDBETWEEN(2,52)</f>
        <v>5</v>
      </c>
      <c r="G68" s="1">
        <f t="shared" ref="G68:G131" ca="1" si="43">RANDBETWEEN(2,30)</f>
        <v>22</v>
      </c>
      <c r="H68" s="1">
        <f t="shared" ref="H68:H131" ca="1" si="44">RANDBETWEEN(1,15)</f>
        <v>7</v>
      </c>
      <c r="I68" s="1"/>
      <c r="J68" s="1">
        <f t="shared" ref="J68:J131" ca="1" si="45">RANDBETWEEN(1,39)</f>
        <v>20</v>
      </c>
      <c r="K68" s="1">
        <f t="shared" ref="K68:K131" ca="1" si="46">RAND()*(3-1)+1</f>
        <v>2.6219443513350686</v>
      </c>
      <c r="L68" s="1">
        <f t="shared" ref="L68:L131" ca="1" si="47">RANDBETWEEN(2,35)</f>
        <v>20</v>
      </c>
      <c r="M68" s="1"/>
      <c r="N68" s="1">
        <f t="shared" ref="N68:N131" ca="1" si="48">RANDBETWEEN(15,1000)</f>
        <v>393</v>
      </c>
      <c r="O68" s="1">
        <f t="shared" ref="O68:O131" ca="1" si="49">RANDBETWEEN(2,52)</f>
        <v>31</v>
      </c>
      <c r="P68" s="1"/>
      <c r="Q68" s="1">
        <f t="shared" ref="Q68:Q131" ca="1" si="50">RAND()*(5-0.01)+0.01</f>
        <v>0.19749604006900778</v>
      </c>
      <c r="R68" s="1">
        <f t="shared" ref="R68:R131" ca="1" si="51">RANDBETWEEN(200,1200)</f>
        <v>890</v>
      </c>
      <c r="S68" s="1"/>
      <c r="T68" s="1">
        <f t="shared" ref="T68:T131" ca="1" si="52">RAND()*(0.2-0.01)+0.01</f>
        <v>8.7500109835434339E-2</v>
      </c>
      <c r="U68" s="1">
        <f t="shared" ref="U68:U131" ca="1" si="53">RANDBETWEEN(50,450)</f>
        <v>320</v>
      </c>
      <c r="V68" s="1">
        <f t="shared" ref="V68:V131" ca="1" si="54">RANDBETWEEN(2,52)</f>
        <v>45</v>
      </c>
      <c r="W68" s="1"/>
      <c r="X68" s="1">
        <f t="shared" ref="X68:X131" ca="1" si="55">RAND()*(10-0.01)+0.01</f>
        <v>2.6400007451166552</v>
      </c>
      <c r="Y68" s="1">
        <f t="shared" ref="Y68:Y131" ca="1" si="56">RAND()*(1-0.0001)+0.0001</f>
        <v>0.82894142701301321</v>
      </c>
      <c r="Z68" s="1">
        <f t="shared" ref="Z68:Z131" ca="1" si="57">RANDBETWEEN(100,2000)</f>
        <v>986</v>
      </c>
      <c r="AB68" s="1">
        <f t="shared" ref="AB68:AB131" ca="1" si="58">RAND()*(1-0.0001)+0.0001</f>
        <v>0.38680745926087018</v>
      </c>
      <c r="AC68" s="1">
        <f t="shared" ref="AC68:AC131" ca="1" si="59">RANDBETWEEN(100,1000)</f>
        <v>238</v>
      </c>
      <c r="AD68" s="1">
        <f t="shared" ref="AD68:AD131" ca="1" si="60">RAND()*(0.01-0.00001)+0.00001</f>
        <v>9.3866520486719854E-3</v>
      </c>
      <c r="AE68" s="1"/>
      <c r="AF68" s="1">
        <f t="shared" ref="AF68:AF131" ca="1" si="61">RAND()*(0.9-0.1)+0.1</f>
        <v>0.13078231006240398</v>
      </c>
      <c r="AG68" s="1">
        <f t="shared" ref="AG68:AG131" ca="1" si="62">RANDBETWEEN(100,1000)</f>
        <v>219</v>
      </c>
      <c r="AH68" s="1">
        <f t="shared" ref="AH68:AH131" ca="1" si="63">RAND()*(0.01-0.00001)+0.00001</f>
        <v>4.947798449416882E-3</v>
      </c>
      <c r="AJ68" s="1">
        <f t="shared" ref="AJ68:AJ131" ca="1" si="64">RAND()*(1-0)+0</f>
        <v>0.88641437605159457</v>
      </c>
      <c r="AK68" s="1">
        <f t="shared" ref="AK68:AK131" ca="1" si="65">RAND()*(0.01-0.00001)+0.00001</f>
        <v>3.4544998121777545E-3</v>
      </c>
      <c r="AL68" s="1"/>
      <c r="AM68" s="1">
        <f t="shared" ref="AM68:AM131" ca="1" si="66">RAND()*(0.2-0.005)+0.005</f>
        <v>5.9402819166640301E-2</v>
      </c>
      <c r="AN68" s="1">
        <f t="shared" ref="AN68:AN131" ca="1" si="67">RANDBETWEEN(10,80)</f>
        <v>27</v>
      </c>
      <c r="AO68" s="1">
        <f t="shared" ref="AO68:AO131" ca="1" si="68">RANDBETWEEN(-1,20)</f>
        <v>2</v>
      </c>
      <c r="AQ68" s="1">
        <f t="shared" ref="AQ68:AQ131" ca="1" si="69">RANDBETWEEN(10,200)</f>
        <v>181</v>
      </c>
      <c r="AR68" s="1">
        <f t="shared" ref="AR68:AR131" ca="1" si="70">RANDBETWEEN(0,10)</f>
        <v>1</v>
      </c>
      <c r="AS68" s="1">
        <f t="shared" ref="AS68:AS131" ca="1" si="71">RANDBETWEEN(1,100)</f>
        <v>37</v>
      </c>
      <c r="AU68" s="1">
        <f t="shared" ref="AU68:AU131" ca="1" si="72">RANDBETWEEN(50,400)</f>
        <v>208</v>
      </c>
      <c r="AV68" s="1">
        <f t="shared" ref="AV68:AV131" ca="1" si="73">RANDBETWEEN(2,10)</f>
        <v>4</v>
      </c>
      <c r="AW68" s="1">
        <f t="shared" ref="AW68:AW131" ca="1" si="74">RAND()*(0.2-0.01)+0.01</f>
        <v>6.938396280069184E-2</v>
      </c>
      <c r="AY68" s="1">
        <f t="shared" ref="AY68:AY131" ca="1" si="75">RAND()*(2-1.1)+1.1</f>
        <v>1.8137330700463534</v>
      </c>
      <c r="AZ68" s="1">
        <f t="shared" ref="AZ68:AZ131" ca="1" si="76">RANDBETWEEN(50,500)</f>
        <v>414</v>
      </c>
      <c r="BA68" s="1">
        <f t="shared" ref="BA68:BA131" ca="1" si="77">RAND()*(0.01-0.00001)+0.00001</f>
        <v>1.0232356734996442E-3</v>
      </c>
    </row>
    <row r="69" spans="2:53" x14ac:dyDescent="0.25">
      <c r="B69">
        <f t="shared" ca="1" si="39"/>
        <v>389</v>
      </c>
      <c r="C69">
        <f t="shared" ca="1" si="40"/>
        <v>5</v>
      </c>
      <c r="D69">
        <f t="shared" ca="1" si="41"/>
        <v>0.26461713229845962</v>
      </c>
      <c r="F69" s="1">
        <f t="shared" ca="1" si="42"/>
        <v>43</v>
      </c>
      <c r="G69" s="1">
        <f t="shared" ca="1" si="43"/>
        <v>27</v>
      </c>
      <c r="H69" s="1">
        <f t="shared" ca="1" si="44"/>
        <v>7</v>
      </c>
      <c r="I69" s="1"/>
      <c r="J69" s="1">
        <f t="shared" ca="1" si="45"/>
        <v>8</v>
      </c>
      <c r="K69" s="1">
        <f t="shared" ca="1" si="46"/>
        <v>2.3740911186132223</v>
      </c>
      <c r="L69" s="1">
        <f t="shared" ca="1" si="47"/>
        <v>14</v>
      </c>
      <c r="M69" s="1"/>
      <c r="N69" s="1">
        <f t="shared" ca="1" si="48"/>
        <v>322</v>
      </c>
      <c r="O69" s="1">
        <f t="shared" ca="1" si="49"/>
        <v>18</v>
      </c>
      <c r="P69" s="1"/>
      <c r="Q69" s="1">
        <f t="shared" ca="1" si="50"/>
        <v>0.21921620544075998</v>
      </c>
      <c r="R69" s="1">
        <f t="shared" ca="1" si="51"/>
        <v>780</v>
      </c>
      <c r="S69" s="1"/>
      <c r="T69" s="1">
        <f t="shared" ca="1" si="52"/>
        <v>4.2480286315302131E-2</v>
      </c>
      <c r="U69" s="1">
        <f t="shared" ca="1" si="53"/>
        <v>195</v>
      </c>
      <c r="V69" s="1">
        <f t="shared" ca="1" si="54"/>
        <v>2</v>
      </c>
      <c r="W69" s="1"/>
      <c r="X69" s="1">
        <f t="shared" ca="1" si="55"/>
        <v>7.2678903938923867</v>
      </c>
      <c r="Y69" s="1">
        <f t="shared" ca="1" si="56"/>
        <v>0.20813282933954122</v>
      </c>
      <c r="Z69" s="1">
        <f t="shared" ca="1" si="57"/>
        <v>1871</v>
      </c>
      <c r="AB69" s="1">
        <f t="shared" ca="1" si="58"/>
        <v>0.31073563364612056</v>
      </c>
      <c r="AC69" s="1">
        <f t="shared" ca="1" si="59"/>
        <v>897</v>
      </c>
      <c r="AD69" s="1">
        <f t="shared" ca="1" si="60"/>
        <v>5.1682455126863232E-3</v>
      </c>
      <c r="AE69" s="1"/>
      <c r="AF69" s="1">
        <f t="shared" ca="1" si="61"/>
        <v>0.79935606682883253</v>
      </c>
      <c r="AG69" s="1">
        <f t="shared" ca="1" si="62"/>
        <v>900</v>
      </c>
      <c r="AH69" s="1">
        <f t="shared" ca="1" si="63"/>
        <v>3.8361282784153006E-3</v>
      </c>
      <c r="AJ69" s="1">
        <f t="shared" ca="1" si="64"/>
        <v>0.27353579168814046</v>
      </c>
      <c r="AK69" s="1">
        <f t="shared" ca="1" si="65"/>
        <v>4.6286507385072916E-3</v>
      </c>
      <c r="AL69" s="1"/>
      <c r="AM69" s="1">
        <f t="shared" ca="1" si="66"/>
        <v>0.10209141722476817</v>
      </c>
      <c r="AN69" s="1">
        <f t="shared" ca="1" si="67"/>
        <v>54</v>
      </c>
      <c r="AO69" s="1">
        <f t="shared" ca="1" si="68"/>
        <v>20</v>
      </c>
      <c r="AQ69" s="1">
        <f t="shared" ca="1" si="69"/>
        <v>166</v>
      </c>
      <c r="AR69" s="1">
        <f t="shared" ca="1" si="70"/>
        <v>6</v>
      </c>
      <c r="AS69" s="1">
        <f t="shared" ca="1" si="71"/>
        <v>42</v>
      </c>
      <c r="AU69" s="1">
        <f t="shared" ca="1" si="72"/>
        <v>281</v>
      </c>
      <c r="AV69" s="1">
        <f t="shared" ca="1" si="73"/>
        <v>7</v>
      </c>
      <c r="AW69" s="1">
        <f t="shared" ca="1" si="74"/>
        <v>0.14228461019092437</v>
      </c>
      <c r="AY69" s="1">
        <f t="shared" ca="1" si="75"/>
        <v>1.1229486514044968</v>
      </c>
      <c r="AZ69" s="1">
        <f t="shared" ca="1" si="76"/>
        <v>391</v>
      </c>
      <c r="BA69" s="1">
        <f t="shared" ca="1" si="77"/>
        <v>1.1380727179919445E-3</v>
      </c>
    </row>
    <row r="70" spans="2:53" x14ac:dyDescent="0.25">
      <c r="B70">
        <f t="shared" ca="1" si="39"/>
        <v>372</v>
      </c>
      <c r="C70">
        <f t="shared" ca="1" si="40"/>
        <v>19</v>
      </c>
      <c r="D70">
        <f t="shared" ca="1" si="41"/>
        <v>7.4249830585284393E-2</v>
      </c>
      <c r="F70" s="1">
        <f t="shared" ca="1" si="42"/>
        <v>49</v>
      </c>
      <c r="G70" s="1">
        <f t="shared" ca="1" si="43"/>
        <v>29</v>
      </c>
      <c r="H70" s="1">
        <f t="shared" ca="1" si="44"/>
        <v>10</v>
      </c>
      <c r="I70" s="1"/>
      <c r="J70" s="1">
        <f t="shared" ca="1" si="45"/>
        <v>25</v>
      </c>
      <c r="K70" s="1">
        <f t="shared" ca="1" si="46"/>
        <v>2.5583881244254227</v>
      </c>
      <c r="L70" s="1">
        <f t="shared" ca="1" si="47"/>
        <v>15</v>
      </c>
      <c r="M70" s="1"/>
      <c r="N70" s="1">
        <f t="shared" ca="1" si="48"/>
        <v>63</v>
      </c>
      <c r="O70" s="1">
        <f t="shared" ca="1" si="49"/>
        <v>28</v>
      </c>
      <c r="P70" s="1"/>
      <c r="Q70" s="1">
        <f t="shared" ca="1" si="50"/>
        <v>2.1368272979567733</v>
      </c>
      <c r="R70" s="1">
        <f t="shared" ca="1" si="51"/>
        <v>1146</v>
      </c>
      <c r="S70" s="1"/>
      <c r="T70" s="1">
        <f t="shared" ca="1" si="52"/>
        <v>3.1078594420191424E-2</v>
      </c>
      <c r="U70" s="1">
        <f t="shared" ca="1" si="53"/>
        <v>278</v>
      </c>
      <c r="V70" s="1">
        <f t="shared" ca="1" si="54"/>
        <v>10</v>
      </c>
      <c r="W70" s="1"/>
      <c r="X70" s="1">
        <f t="shared" ca="1" si="55"/>
        <v>7.2578413492256582</v>
      </c>
      <c r="Y70" s="1">
        <f t="shared" ca="1" si="56"/>
        <v>0.70634920381232136</v>
      </c>
      <c r="Z70" s="1">
        <f t="shared" ca="1" si="57"/>
        <v>452</v>
      </c>
      <c r="AB70" s="1">
        <f t="shared" ca="1" si="58"/>
        <v>0.77654927129239937</v>
      </c>
      <c r="AC70" s="1">
        <f t="shared" ca="1" si="59"/>
        <v>990</v>
      </c>
      <c r="AD70" s="1">
        <f t="shared" ca="1" si="60"/>
        <v>1.4517386223737376E-3</v>
      </c>
      <c r="AE70" s="1"/>
      <c r="AF70" s="1">
        <f t="shared" ca="1" si="61"/>
        <v>0.73524845199441902</v>
      </c>
      <c r="AG70" s="1">
        <f t="shared" ca="1" si="62"/>
        <v>887</v>
      </c>
      <c r="AH70" s="1">
        <f t="shared" ca="1" si="63"/>
        <v>2.9432037018008368E-3</v>
      </c>
      <c r="AJ70" s="1">
        <f t="shared" ca="1" si="64"/>
        <v>0.92181803898197645</v>
      </c>
      <c r="AK70" s="1">
        <f t="shared" ca="1" si="65"/>
        <v>4.3243640302133143E-3</v>
      </c>
      <c r="AL70" s="1"/>
      <c r="AM70" s="1">
        <f t="shared" ca="1" si="66"/>
        <v>4.7668623511525218E-2</v>
      </c>
      <c r="AN70" s="1">
        <f t="shared" ca="1" si="67"/>
        <v>75</v>
      </c>
      <c r="AO70" s="1">
        <f t="shared" ca="1" si="68"/>
        <v>3</v>
      </c>
      <c r="AQ70" s="1">
        <f t="shared" ca="1" si="69"/>
        <v>72</v>
      </c>
      <c r="AR70" s="1">
        <f t="shared" ca="1" si="70"/>
        <v>4</v>
      </c>
      <c r="AS70" s="1">
        <f t="shared" ca="1" si="71"/>
        <v>39</v>
      </c>
      <c r="AU70" s="1">
        <f t="shared" ca="1" si="72"/>
        <v>315</v>
      </c>
      <c r="AV70" s="1">
        <f t="shared" ca="1" si="73"/>
        <v>10</v>
      </c>
      <c r="AW70" s="1">
        <f t="shared" ca="1" si="74"/>
        <v>0.18743464600020268</v>
      </c>
      <c r="AY70" s="1">
        <f t="shared" ca="1" si="75"/>
        <v>1.1537013298243923</v>
      </c>
      <c r="AZ70" s="1">
        <f t="shared" ca="1" si="76"/>
        <v>238</v>
      </c>
      <c r="BA70" s="1">
        <f t="shared" ca="1" si="77"/>
        <v>7.7667025914652348E-3</v>
      </c>
    </row>
    <row r="71" spans="2:53" x14ac:dyDescent="0.25">
      <c r="B71">
        <f t="shared" ca="1" si="39"/>
        <v>294</v>
      </c>
      <c r="C71">
        <f t="shared" ca="1" si="40"/>
        <v>29</v>
      </c>
      <c r="D71">
        <f t="shared" ca="1" si="41"/>
        <v>0.19150466537187494</v>
      </c>
      <c r="F71" s="1">
        <f t="shared" ca="1" si="42"/>
        <v>9</v>
      </c>
      <c r="G71" s="1">
        <f t="shared" ca="1" si="43"/>
        <v>17</v>
      </c>
      <c r="H71" s="1">
        <f t="shared" ca="1" si="44"/>
        <v>10</v>
      </c>
      <c r="I71" s="1"/>
      <c r="J71" s="1">
        <f t="shared" ca="1" si="45"/>
        <v>21</v>
      </c>
      <c r="K71" s="1">
        <f t="shared" ca="1" si="46"/>
        <v>1.832589879088701</v>
      </c>
      <c r="L71" s="1">
        <f t="shared" ca="1" si="47"/>
        <v>9</v>
      </c>
      <c r="M71" s="1"/>
      <c r="N71" s="1">
        <f t="shared" ca="1" si="48"/>
        <v>741</v>
      </c>
      <c r="O71" s="1">
        <f t="shared" ca="1" si="49"/>
        <v>49</v>
      </c>
      <c r="P71" s="1"/>
      <c r="Q71" s="1">
        <f t="shared" ca="1" si="50"/>
        <v>0.21690192534356595</v>
      </c>
      <c r="R71" s="1">
        <f t="shared" ca="1" si="51"/>
        <v>424</v>
      </c>
      <c r="S71" s="1"/>
      <c r="T71" s="1">
        <f t="shared" ca="1" si="52"/>
        <v>6.9814998897057265E-2</v>
      </c>
      <c r="U71" s="1">
        <f t="shared" ca="1" si="53"/>
        <v>71</v>
      </c>
      <c r="V71" s="1">
        <f t="shared" ca="1" si="54"/>
        <v>25</v>
      </c>
      <c r="W71" s="1"/>
      <c r="X71" s="1">
        <f t="shared" ca="1" si="55"/>
        <v>4.0337214930920897</v>
      </c>
      <c r="Y71" s="1">
        <f t="shared" ca="1" si="56"/>
        <v>0.5705784999574246</v>
      </c>
      <c r="Z71" s="1">
        <f t="shared" ca="1" si="57"/>
        <v>1531</v>
      </c>
      <c r="AB71" s="1">
        <f t="shared" ca="1" si="58"/>
        <v>0.91308880861254271</v>
      </c>
      <c r="AC71" s="1">
        <f t="shared" ca="1" si="59"/>
        <v>480</v>
      </c>
      <c r="AD71" s="1">
        <f t="shared" ca="1" si="60"/>
        <v>4.8431434968771716E-3</v>
      </c>
      <c r="AE71" s="1"/>
      <c r="AF71" s="1">
        <f t="shared" ca="1" si="61"/>
        <v>0.42500250156727137</v>
      </c>
      <c r="AG71" s="1">
        <f t="shared" ca="1" si="62"/>
        <v>629</v>
      </c>
      <c r="AH71" s="1">
        <f t="shared" ca="1" si="63"/>
        <v>8.1547760097471222E-3</v>
      </c>
      <c r="AJ71" s="1">
        <f t="shared" ca="1" si="64"/>
        <v>0.83803677237380181</v>
      </c>
      <c r="AK71" s="1">
        <f t="shared" ca="1" si="65"/>
        <v>2.7016006578009927E-3</v>
      </c>
      <c r="AL71" s="1"/>
      <c r="AM71" s="1">
        <f t="shared" ca="1" si="66"/>
        <v>0.1153684085024468</v>
      </c>
      <c r="AN71" s="1">
        <f t="shared" ca="1" si="67"/>
        <v>24</v>
      </c>
      <c r="AO71" s="1">
        <f t="shared" ca="1" si="68"/>
        <v>5</v>
      </c>
      <c r="AQ71" s="1">
        <f t="shared" ca="1" si="69"/>
        <v>77</v>
      </c>
      <c r="AR71" s="1">
        <f t="shared" ca="1" si="70"/>
        <v>8</v>
      </c>
      <c r="AS71" s="1">
        <f t="shared" ca="1" si="71"/>
        <v>59</v>
      </c>
      <c r="AU71" s="1">
        <f t="shared" ca="1" si="72"/>
        <v>252</v>
      </c>
      <c r="AV71" s="1">
        <f t="shared" ca="1" si="73"/>
        <v>9</v>
      </c>
      <c r="AW71" s="1">
        <f t="shared" ca="1" si="74"/>
        <v>1.1321853315482145E-2</v>
      </c>
      <c r="AY71" s="1">
        <f t="shared" ca="1" si="75"/>
        <v>1.254509936339538</v>
      </c>
      <c r="AZ71" s="1">
        <f t="shared" ca="1" si="76"/>
        <v>368</v>
      </c>
      <c r="BA71" s="1">
        <f t="shared" ca="1" si="77"/>
        <v>2.6171404147405648E-3</v>
      </c>
    </row>
    <row r="72" spans="2:53" x14ac:dyDescent="0.25">
      <c r="B72">
        <f t="shared" ca="1" si="39"/>
        <v>704</v>
      </c>
      <c r="C72">
        <f t="shared" ca="1" si="40"/>
        <v>48</v>
      </c>
      <c r="D72">
        <f t="shared" ca="1" si="41"/>
        <v>0.17175592957130359</v>
      </c>
      <c r="F72" s="1">
        <f t="shared" ca="1" si="42"/>
        <v>19</v>
      </c>
      <c r="G72" s="1">
        <f t="shared" ca="1" si="43"/>
        <v>2</v>
      </c>
      <c r="H72" s="1">
        <f t="shared" ca="1" si="44"/>
        <v>9</v>
      </c>
      <c r="I72" s="1"/>
      <c r="J72" s="1">
        <f t="shared" ca="1" si="45"/>
        <v>30</v>
      </c>
      <c r="K72" s="1">
        <f t="shared" ca="1" si="46"/>
        <v>1.211214512796283</v>
      </c>
      <c r="L72" s="1">
        <f t="shared" ca="1" si="47"/>
        <v>34</v>
      </c>
      <c r="M72" s="1"/>
      <c r="N72" s="1">
        <f t="shared" ca="1" si="48"/>
        <v>588</v>
      </c>
      <c r="O72" s="1">
        <f t="shared" ca="1" si="49"/>
        <v>22</v>
      </c>
      <c r="P72" s="1"/>
      <c r="Q72" s="1">
        <f t="shared" ca="1" si="50"/>
        <v>4.8518894119990934</v>
      </c>
      <c r="R72" s="1">
        <f t="shared" ca="1" si="51"/>
        <v>273</v>
      </c>
      <c r="S72" s="1"/>
      <c r="T72" s="1">
        <f t="shared" ca="1" si="52"/>
        <v>2.7321366820389652E-2</v>
      </c>
      <c r="U72" s="1">
        <f t="shared" ca="1" si="53"/>
        <v>111</v>
      </c>
      <c r="V72" s="1">
        <f t="shared" ca="1" si="54"/>
        <v>39</v>
      </c>
      <c r="W72" s="1"/>
      <c r="X72" s="1">
        <f t="shared" ca="1" si="55"/>
        <v>7.7952689061703753</v>
      </c>
      <c r="Y72" s="1">
        <f t="shared" ca="1" si="56"/>
        <v>2.1495613943402405E-2</v>
      </c>
      <c r="Z72" s="1">
        <f t="shared" ca="1" si="57"/>
        <v>1919</v>
      </c>
      <c r="AB72" s="1">
        <f t="shared" ca="1" si="58"/>
        <v>0.55740267505096008</v>
      </c>
      <c r="AC72" s="1">
        <f t="shared" ca="1" si="59"/>
        <v>588</v>
      </c>
      <c r="AD72" s="1">
        <f t="shared" ca="1" si="60"/>
        <v>8.7391560564155368E-3</v>
      </c>
      <c r="AE72" s="1"/>
      <c r="AF72" s="1">
        <f t="shared" ca="1" si="61"/>
        <v>0.12988380497838242</v>
      </c>
      <c r="AG72" s="1">
        <f t="shared" ca="1" si="62"/>
        <v>594</v>
      </c>
      <c r="AH72" s="1">
        <f t="shared" ca="1" si="63"/>
        <v>2.659989534871985E-3</v>
      </c>
      <c r="AJ72" s="1">
        <f t="shared" ca="1" si="64"/>
        <v>0.50560741775112716</v>
      </c>
      <c r="AK72" s="1">
        <f t="shared" ca="1" si="65"/>
        <v>9.2122887188105414E-3</v>
      </c>
      <c r="AL72" s="1"/>
      <c r="AM72" s="1">
        <f t="shared" ca="1" si="66"/>
        <v>9.6590883422026361E-2</v>
      </c>
      <c r="AN72" s="1">
        <f t="shared" ca="1" si="67"/>
        <v>80</v>
      </c>
      <c r="AO72" s="1">
        <f t="shared" ca="1" si="68"/>
        <v>2</v>
      </c>
      <c r="AQ72" s="1">
        <f t="shared" ca="1" si="69"/>
        <v>38</v>
      </c>
      <c r="AR72" s="1">
        <f t="shared" ca="1" si="70"/>
        <v>4</v>
      </c>
      <c r="AS72" s="1">
        <f t="shared" ca="1" si="71"/>
        <v>9</v>
      </c>
      <c r="AU72" s="1">
        <f t="shared" ca="1" si="72"/>
        <v>333</v>
      </c>
      <c r="AV72" s="1">
        <f t="shared" ca="1" si="73"/>
        <v>3</v>
      </c>
      <c r="AW72" s="1">
        <f t="shared" ca="1" si="74"/>
        <v>0.19360472539064003</v>
      </c>
      <c r="AY72" s="1">
        <f t="shared" ca="1" si="75"/>
        <v>1.8697763146881492</v>
      </c>
      <c r="AZ72" s="1">
        <f t="shared" ca="1" si="76"/>
        <v>83</v>
      </c>
      <c r="BA72" s="1">
        <f t="shared" ca="1" si="77"/>
        <v>7.7883357875777786E-4</v>
      </c>
    </row>
    <row r="73" spans="2:53" x14ac:dyDescent="0.25">
      <c r="B73">
        <f t="shared" ca="1" si="39"/>
        <v>400</v>
      </c>
      <c r="C73">
        <f t="shared" ca="1" si="40"/>
        <v>26</v>
      </c>
      <c r="D73">
        <f t="shared" ca="1" si="41"/>
        <v>0.1402782962182948</v>
      </c>
      <c r="F73" s="1">
        <f t="shared" ca="1" si="42"/>
        <v>33</v>
      </c>
      <c r="G73" s="1">
        <f t="shared" ca="1" si="43"/>
        <v>17</v>
      </c>
      <c r="H73" s="1">
        <f t="shared" ca="1" si="44"/>
        <v>11</v>
      </c>
      <c r="I73" s="1"/>
      <c r="J73" s="1">
        <f t="shared" ca="1" si="45"/>
        <v>19</v>
      </c>
      <c r="K73" s="1">
        <f t="shared" ca="1" si="46"/>
        <v>1.3275861147114667</v>
      </c>
      <c r="L73" s="1">
        <f t="shared" ca="1" si="47"/>
        <v>24</v>
      </c>
      <c r="M73" s="1"/>
      <c r="N73" s="1">
        <f t="shared" ca="1" si="48"/>
        <v>108</v>
      </c>
      <c r="O73" s="1">
        <f t="shared" ca="1" si="49"/>
        <v>17</v>
      </c>
      <c r="P73" s="1"/>
      <c r="Q73" s="1">
        <f t="shared" ca="1" si="50"/>
        <v>2.7510806244879999</v>
      </c>
      <c r="R73" s="1">
        <f t="shared" ca="1" si="51"/>
        <v>465</v>
      </c>
      <c r="S73" s="1"/>
      <c r="T73" s="1">
        <f t="shared" ca="1" si="52"/>
        <v>6.4067771568096066E-2</v>
      </c>
      <c r="U73" s="1">
        <f t="shared" ca="1" si="53"/>
        <v>147</v>
      </c>
      <c r="V73" s="1">
        <f t="shared" ca="1" si="54"/>
        <v>46</v>
      </c>
      <c r="W73" s="1"/>
      <c r="X73" s="1">
        <f t="shared" ca="1" si="55"/>
        <v>3.931008370010495</v>
      </c>
      <c r="Y73" s="1">
        <f t="shared" ca="1" si="56"/>
        <v>0.33355715240770606</v>
      </c>
      <c r="Z73" s="1">
        <f t="shared" ca="1" si="57"/>
        <v>1234</v>
      </c>
      <c r="AB73" s="1">
        <f t="shared" ca="1" si="58"/>
        <v>7.2415539017140804E-2</v>
      </c>
      <c r="AC73" s="1">
        <f t="shared" ca="1" si="59"/>
        <v>152</v>
      </c>
      <c r="AD73" s="1">
        <f t="shared" ca="1" si="60"/>
        <v>6.4272761710237169E-3</v>
      </c>
      <c r="AE73" s="1"/>
      <c r="AF73" s="1">
        <f t="shared" ca="1" si="61"/>
        <v>0.68145411568729553</v>
      </c>
      <c r="AG73" s="1">
        <f t="shared" ca="1" si="62"/>
        <v>729</v>
      </c>
      <c r="AH73" s="1">
        <f t="shared" ca="1" si="63"/>
        <v>2.1595925354315117E-3</v>
      </c>
      <c r="AJ73" s="1">
        <f t="shared" ca="1" si="64"/>
        <v>0.93671091662070227</v>
      </c>
      <c r="AK73" s="1">
        <f t="shared" ca="1" si="65"/>
        <v>2.828391394012498E-3</v>
      </c>
      <c r="AL73" s="1"/>
      <c r="AM73" s="1">
        <f t="shared" ca="1" si="66"/>
        <v>0.19893342820195586</v>
      </c>
      <c r="AN73" s="1">
        <f t="shared" ca="1" si="67"/>
        <v>40</v>
      </c>
      <c r="AO73" s="1">
        <f t="shared" ca="1" si="68"/>
        <v>19</v>
      </c>
      <c r="AQ73" s="1">
        <f t="shared" ca="1" si="69"/>
        <v>179</v>
      </c>
      <c r="AR73" s="1">
        <f t="shared" ca="1" si="70"/>
        <v>6</v>
      </c>
      <c r="AS73" s="1">
        <f t="shared" ca="1" si="71"/>
        <v>7</v>
      </c>
      <c r="AU73" s="1">
        <f t="shared" ca="1" si="72"/>
        <v>118</v>
      </c>
      <c r="AV73" s="1">
        <f t="shared" ca="1" si="73"/>
        <v>10</v>
      </c>
      <c r="AW73" s="1">
        <f t="shared" ca="1" si="74"/>
        <v>9.6764662791610376E-2</v>
      </c>
      <c r="AY73" s="1">
        <f t="shared" ca="1" si="75"/>
        <v>1.1786411843863334</v>
      </c>
      <c r="AZ73" s="1">
        <f t="shared" ca="1" si="76"/>
        <v>460</v>
      </c>
      <c r="BA73" s="1">
        <f t="shared" ca="1" si="77"/>
        <v>9.9363128048934272E-3</v>
      </c>
    </row>
    <row r="74" spans="2:53" x14ac:dyDescent="0.25">
      <c r="B74">
        <f t="shared" ca="1" si="39"/>
        <v>584</v>
      </c>
      <c r="C74">
        <f t="shared" ca="1" si="40"/>
        <v>48</v>
      </c>
      <c r="D74">
        <f t="shared" ca="1" si="41"/>
        <v>0.10872898097907603</v>
      </c>
      <c r="F74" s="1">
        <f t="shared" ca="1" si="42"/>
        <v>11</v>
      </c>
      <c r="G74" s="1">
        <f t="shared" ca="1" si="43"/>
        <v>2</v>
      </c>
      <c r="H74" s="1">
        <f t="shared" ca="1" si="44"/>
        <v>14</v>
      </c>
      <c r="I74" s="1"/>
      <c r="J74" s="1">
        <f t="shared" ca="1" si="45"/>
        <v>22</v>
      </c>
      <c r="K74" s="1">
        <f t="shared" ca="1" si="46"/>
        <v>2.0344617134329499</v>
      </c>
      <c r="L74" s="1">
        <f t="shared" ca="1" si="47"/>
        <v>29</v>
      </c>
      <c r="M74" s="1"/>
      <c r="N74" s="1">
        <f t="shared" ca="1" si="48"/>
        <v>460</v>
      </c>
      <c r="O74" s="1">
        <f t="shared" ca="1" si="49"/>
        <v>14</v>
      </c>
      <c r="P74" s="1"/>
      <c r="Q74" s="1">
        <f t="shared" ca="1" si="50"/>
        <v>1.4345704640273236</v>
      </c>
      <c r="R74" s="1">
        <f t="shared" ca="1" si="51"/>
        <v>430</v>
      </c>
      <c r="S74" s="1"/>
      <c r="T74" s="1">
        <f t="shared" ca="1" si="52"/>
        <v>0.1239887439816663</v>
      </c>
      <c r="U74" s="1">
        <f t="shared" ca="1" si="53"/>
        <v>379</v>
      </c>
      <c r="V74" s="1">
        <f t="shared" ca="1" si="54"/>
        <v>6</v>
      </c>
      <c r="W74" s="1"/>
      <c r="X74" s="1">
        <f t="shared" ca="1" si="55"/>
        <v>2.3530637744028433</v>
      </c>
      <c r="Y74" s="1">
        <f t="shared" ca="1" si="56"/>
        <v>0.93105877074293819</v>
      </c>
      <c r="Z74" s="1">
        <f t="shared" ca="1" si="57"/>
        <v>670</v>
      </c>
      <c r="AB74" s="1">
        <f t="shared" ca="1" si="58"/>
        <v>0.54217525832304037</v>
      </c>
      <c r="AC74" s="1">
        <f t="shared" ca="1" si="59"/>
        <v>226</v>
      </c>
      <c r="AD74" s="1">
        <f t="shared" ca="1" si="60"/>
        <v>1.3563408571932243E-3</v>
      </c>
      <c r="AE74" s="1"/>
      <c r="AF74" s="1">
        <f t="shared" ca="1" si="61"/>
        <v>0.44535772610913527</v>
      </c>
      <c r="AG74" s="1">
        <f t="shared" ca="1" si="62"/>
        <v>233</v>
      </c>
      <c r="AH74" s="1">
        <f t="shared" ca="1" si="63"/>
        <v>5.8173000375004447E-3</v>
      </c>
      <c r="AJ74" s="1">
        <f t="shared" ca="1" si="64"/>
        <v>0.18232120907459759</v>
      </c>
      <c r="AK74" s="1">
        <f t="shared" ca="1" si="65"/>
        <v>5.31736503628424E-4</v>
      </c>
      <c r="AL74" s="1"/>
      <c r="AM74" s="1">
        <f t="shared" ca="1" si="66"/>
        <v>0.18476272648858841</v>
      </c>
      <c r="AN74" s="1">
        <f t="shared" ca="1" si="67"/>
        <v>54</v>
      </c>
      <c r="AO74" s="1">
        <f t="shared" ca="1" si="68"/>
        <v>13</v>
      </c>
      <c r="AQ74" s="1">
        <f t="shared" ca="1" si="69"/>
        <v>153</v>
      </c>
      <c r="AR74" s="1">
        <f t="shared" ca="1" si="70"/>
        <v>0</v>
      </c>
      <c r="AS74" s="1">
        <f t="shared" ca="1" si="71"/>
        <v>86</v>
      </c>
      <c r="AU74" s="1">
        <f t="shared" ca="1" si="72"/>
        <v>55</v>
      </c>
      <c r="AV74" s="1">
        <f t="shared" ca="1" si="73"/>
        <v>4</v>
      </c>
      <c r="AW74" s="1">
        <f t="shared" ca="1" si="74"/>
        <v>0.13497710042425712</v>
      </c>
      <c r="AY74" s="1">
        <f t="shared" ca="1" si="75"/>
        <v>1.2148654419509157</v>
      </c>
      <c r="AZ74" s="1">
        <f t="shared" ca="1" si="76"/>
        <v>268</v>
      </c>
      <c r="BA74" s="1">
        <f t="shared" ca="1" si="77"/>
        <v>5.5588175996779479E-4</v>
      </c>
    </row>
    <row r="75" spans="2:53" x14ac:dyDescent="0.25">
      <c r="B75">
        <f t="shared" ca="1" si="39"/>
        <v>930</v>
      </c>
      <c r="C75">
        <f t="shared" ca="1" si="40"/>
        <v>36</v>
      </c>
      <c r="D75">
        <f t="shared" ca="1" si="41"/>
        <v>0.17811834998959072</v>
      </c>
      <c r="F75" s="1">
        <f t="shared" ca="1" si="42"/>
        <v>2</v>
      </c>
      <c r="G75" s="1">
        <f t="shared" ca="1" si="43"/>
        <v>22</v>
      </c>
      <c r="H75" s="1">
        <f t="shared" ca="1" si="44"/>
        <v>2</v>
      </c>
      <c r="I75" s="1"/>
      <c r="J75" s="1">
        <f t="shared" ca="1" si="45"/>
        <v>3</v>
      </c>
      <c r="K75" s="1">
        <f t="shared" ca="1" si="46"/>
        <v>2.7076436499515451</v>
      </c>
      <c r="L75" s="1">
        <f t="shared" ca="1" si="47"/>
        <v>22</v>
      </c>
      <c r="M75" s="1"/>
      <c r="N75" s="1">
        <f t="shared" ca="1" si="48"/>
        <v>860</v>
      </c>
      <c r="O75" s="1">
        <f t="shared" ca="1" si="49"/>
        <v>9</v>
      </c>
      <c r="P75" s="1"/>
      <c r="Q75" s="1">
        <f t="shared" ca="1" si="50"/>
        <v>0.93414411848536361</v>
      </c>
      <c r="R75" s="1">
        <f t="shared" ca="1" si="51"/>
        <v>1115</v>
      </c>
      <c r="S75" s="1"/>
      <c r="T75" s="1">
        <f t="shared" ca="1" si="52"/>
        <v>2.9558072338897151E-2</v>
      </c>
      <c r="U75" s="1">
        <f t="shared" ca="1" si="53"/>
        <v>171</v>
      </c>
      <c r="V75" s="1">
        <f t="shared" ca="1" si="54"/>
        <v>17</v>
      </c>
      <c r="W75" s="1"/>
      <c r="X75" s="1">
        <f t="shared" ca="1" si="55"/>
        <v>9.0591364916825938</v>
      </c>
      <c r="Y75" s="1">
        <f t="shared" ca="1" si="56"/>
        <v>0.24482909686028606</v>
      </c>
      <c r="Z75" s="1">
        <f t="shared" ca="1" si="57"/>
        <v>1055</v>
      </c>
      <c r="AB75" s="1">
        <f t="shared" ca="1" si="58"/>
        <v>7.3269126364821704E-2</v>
      </c>
      <c r="AC75" s="1">
        <f t="shared" ca="1" si="59"/>
        <v>863</v>
      </c>
      <c r="AD75" s="1">
        <f t="shared" ca="1" si="60"/>
        <v>8.8930578490995713E-3</v>
      </c>
      <c r="AE75" s="1"/>
      <c r="AF75" s="1">
        <f t="shared" ca="1" si="61"/>
        <v>0.48284088511032885</v>
      </c>
      <c r="AG75" s="1">
        <f t="shared" ca="1" si="62"/>
        <v>484</v>
      </c>
      <c r="AH75" s="1">
        <f t="shared" ca="1" si="63"/>
        <v>2.1616844566780201E-3</v>
      </c>
      <c r="AJ75" s="1">
        <f t="shared" ca="1" si="64"/>
        <v>0.49054867458204288</v>
      </c>
      <c r="AK75" s="1">
        <f t="shared" ca="1" si="65"/>
        <v>1.6084585001195531E-3</v>
      </c>
      <c r="AL75" s="1"/>
      <c r="AM75" s="1">
        <f t="shared" ca="1" si="66"/>
        <v>8.522565253228305E-2</v>
      </c>
      <c r="AN75" s="1">
        <f t="shared" ca="1" si="67"/>
        <v>76</v>
      </c>
      <c r="AO75" s="1">
        <f t="shared" ca="1" si="68"/>
        <v>16</v>
      </c>
      <c r="AQ75" s="1">
        <f t="shared" ca="1" si="69"/>
        <v>118</v>
      </c>
      <c r="AR75" s="1">
        <f t="shared" ca="1" si="70"/>
        <v>0</v>
      </c>
      <c r="AS75" s="1">
        <f t="shared" ca="1" si="71"/>
        <v>68</v>
      </c>
      <c r="AU75" s="1">
        <f t="shared" ca="1" si="72"/>
        <v>188</v>
      </c>
      <c r="AV75" s="1">
        <f t="shared" ca="1" si="73"/>
        <v>3</v>
      </c>
      <c r="AW75" s="1">
        <f t="shared" ca="1" si="74"/>
        <v>0.17956670480274164</v>
      </c>
      <c r="AY75" s="1">
        <f t="shared" ca="1" si="75"/>
        <v>1.3728371773291512</v>
      </c>
      <c r="AZ75" s="1">
        <f t="shared" ca="1" si="76"/>
        <v>405</v>
      </c>
      <c r="BA75" s="1">
        <f t="shared" ca="1" si="77"/>
        <v>4.7224247692363788E-3</v>
      </c>
    </row>
    <row r="76" spans="2:53" x14ac:dyDescent="0.25">
      <c r="B76">
        <f t="shared" ca="1" si="39"/>
        <v>41</v>
      </c>
      <c r="C76">
        <f t="shared" ca="1" si="40"/>
        <v>32</v>
      </c>
      <c r="D76">
        <f t="shared" ca="1" si="41"/>
        <v>8.8567388130901994E-2</v>
      </c>
      <c r="F76" s="1">
        <f t="shared" ca="1" si="42"/>
        <v>30</v>
      </c>
      <c r="G76" s="1">
        <f t="shared" ca="1" si="43"/>
        <v>17</v>
      </c>
      <c r="H76" s="1">
        <f t="shared" ca="1" si="44"/>
        <v>1</v>
      </c>
      <c r="I76" s="1"/>
      <c r="J76" s="1">
        <f t="shared" ca="1" si="45"/>
        <v>14</v>
      </c>
      <c r="K76" s="1">
        <f t="shared" ca="1" si="46"/>
        <v>2.9009458682852003</v>
      </c>
      <c r="L76" s="1">
        <f t="shared" ca="1" si="47"/>
        <v>20</v>
      </c>
      <c r="M76" s="1"/>
      <c r="N76" s="1">
        <f t="shared" ca="1" si="48"/>
        <v>168</v>
      </c>
      <c r="O76" s="1">
        <f t="shared" ca="1" si="49"/>
        <v>7</v>
      </c>
      <c r="P76" s="1"/>
      <c r="Q76" s="1">
        <f t="shared" ca="1" si="50"/>
        <v>0.44916463222178798</v>
      </c>
      <c r="R76" s="1">
        <f t="shared" ca="1" si="51"/>
        <v>956</v>
      </c>
      <c r="S76" s="1"/>
      <c r="T76" s="1">
        <f t="shared" ca="1" si="52"/>
        <v>2.1975337549508429E-2</v>
      </c>
      <c r="U76" s="1">
        <f t="shared" ca="1" si="53"/>
        <v>116</v>
      </c>
      <c r="V76" s="1">
        <f t="shared" ca="1" si="54"/>
        <v>25</v>
      </c>
      <c r="W76" s="1"/>
      <c r="X76" s="1">
        <f t="shared" ca="1" si="55"/>
        <v>7.167191946293733</v>
      </c>
      <c r="Y76" s="1">
        <f t="shared" ca="1" si="56"/>
        <v>0.34486437793578256</v>
      </c>
      <c r="Z76" s="1">
        <f t="shared" ca="1" si="57"/>
        <v>777</v>
      </c>
      <c r="AB76" s="1">
        <f t="shared" ca="1" si="58"/>
        <v>0.37183452890804508</v>
      </c>
      <c r="AC76" s="1">
        <f t="shared" ca="1" si="59"/>
        <v>349</v>
      </c>
      <c r="AD76" s="1">
        <f t="shared" ca="1" si="60"/>
        <v>4.5558215691716688E-3</v>
      </c>
      <c r="AE76" s="1"/>
      <c r="AF76" s="1">
        <f t="shared" ca="1" si="61"/>
        <v>0.33100526257390417</v>
      </c>
      <c r="AG76" s="1">
        <f t="shared" ca="1" si="62"/>
        <v>437</v>
      </c>
      <c r="AH76" s="1">
        <f t="shared" ca="1" si="63"/>
        <v>8.3309436615806344E-3</v>
      </c>
      <c r="AJ76" s="1">
        <f t="shared" ca="1" si="64"/>
        <v>0.73083307858864932</v>
      </c>
      <c r="AK76" s="1">
        <f t="shared" ca="1" si="65"/>
        <v>1.5109115994606796E-3</v>
      </c>
      <c r="AL76" s="1"/>
      <c r="AM76" s="1">
        <f t="shared" ca="1" si="66"/>
        <v>0.17349821918997202</v>
      </c>
      <c r="AN76" s="1">
        <f t="shared" ca="1" si="67"/>
        <v>37</v>
      </c>
      <c r="AO76" s="1">
        <f t="shared" ca="1" si="68"/>
        <v>2</v>
      </c>
      <c r="AQ76" s="1">
        <f t="shared" ca="1" si="69"/>
        <v>79</v>
      </c>
      <c r="AR76" s="1">
        <f t="shared" ca="1" si="70"/>
        <v>4</v>
      </c>
      <c r="AS76" s="1">
        <f t="shared" ca="1" si="71"/>
        <v>89</v>
      </c>
      <c r="AU76" s="1">
        <f t="shared" ca="1" si="72"/>
        <v>392</v>
      </c>
      <c r="AV76" s="1">
        <f t="shared" ca="1" si="73"/>
        <v>4</v>
      </c>
      <c r="AW76" s="1">
        <f t="shared" ca="1" si="74"/>
        <v>0.17288581764540786</v>
      </c>
      <c r="AY76" s="1">
        <f t="shared" ca="1" si="75"/>
        <v>1.5871731156492697</v>
      </c>
      <c r="AZ76" s="1">
        <f t="shared" ca="1" si="76"/>
        <v>276</v>
      </c>
      <c r="BA76" s="1">
        <f t="shared" ca="1" si="77"/>
        <v>1.7812244338772543E-3</v>
      </c>
    </row>
    <row r="77" spans="2:53" x14ac:dyDescent="0.25">
      <c r="B77">
        <f t="shared" ca="1" si="39"/>
        <v>275</v>
      </c>
      <c r="C77">
        <f t="shared" ca="1" si="40"/>
        <v>48</v>
      </c>
      <c r="D77">
        <f t="shared" ca="1" si="41"/>
        <v>0.28504850305589746</v>
      </c>
      <c r="F77" s="1">
        <f t="shared" ca="1" si="42"/>
        <v>52</v>
      </c>
      <c r="G77" s="1">
        <f t="shared" ca="1" si="43"/>
        <v>7</v>
      </c>
      <c r="H77" s="1">
        <f t="shared" ca="1" si="44"/>
        <v>14</v>
      </c>
      <c r="I77" s="1"/>
      <c r="J77" s="1">
        <f t="shared" ca="1" si="45"/>
        <v>35</v>
      </c>
      <c r="K77" s="1">
        <f t="shared" ca="1" si="46"/>
        <v>2.8106664301296767</v>
      </c>
      <c r="L77" s="1">
        <f t="shared" ca="1" si="47"/>
        <v>8</v>
      </c>
      <c r="M77" s="1"/>
      <c r="N77" s="1">
        <f t="shared" ca="1" si="48"/>
        <v>461</v>
      </c>
      <c r="O77" s="1">
        <f t="shared" ca="1" si="49"/>
        <v>39</v>
      </c>
      <c r="P77" s="1"/>
      <c r="Q77" s="1">
        <f t="shared" ca="1" si="50"/>
        <v>1.7966276511627812</v>
      </c>
      <c r="R77" s="1">
        <f t="shared" ca="1" si="51"/>
        <v>736</v>
      </c>
      <c r="S77" s="1"/>
      <c r="T77" s="1">
        <f t="shared" ca="1" si="52"/>
        <v>0.15589440012612069</v>
      </c>
      <c r="U77" s="1">
        <f t="shared" ca="1" si="53"/>
        <v>59</v>
      </c>
      <c r="V77" s="1">
        <f t="shared" ca="1" si="54"/>
        <v>4</v>
      </c>
      <c r="W77" s="1"/>
      <c r="X77" s="1">
        <f t="shared" ca="1" si="55"/>
        <v>6.3774756691988079</v>
      </c>
      <c r="Y77" s="1">
        <f t="shared" ca="1" si="56"/>
        <v>0.33404592988596649</v>
      </c>
      <c r="Z77" s="1">
        <f t="shared" ca="1" si="57"/>
        <v>713</v>
      </c>
      <c r="AB77" s="1">
        <f t="shared" ca="1" si="58"/>
        <v>2.0970959456642714E-2</v>
      </c>
      <c r="AC77" s="1">
        <f t="shared" ca="1" si="59"/>
        <v>664</v>
      </c>
      <c r="AD77" s="1">
        <f t="shared" ca="1" si="60"/>
        <v>7.6044451649201375E-4</v>
      </c>
      <c r="AE77" s="1"/>
      <c r="AF77" s="1">
        <f t="shared" ca="1" si="61"/>
        <v>0.49812961945352074</v>
      </c>
      <c r="AG77" s="1">
        <f t="shared" ca="1" si="62"/>
        <v>207</v>
      </c>
      <c r="AH77" s="1">
        <f t="shared" ca="1" si="63"/>
        <v>4.6872834820309807E-3</v>
      </c>
      <c r="AJ77" s="1">
        <f t="shared" ca="1" si="64"/>
        <v>0.42911901640557337</v>
      </c>
      <c r="AK77" s="1">
        <f t="shared" ca="1" si="65"/>
        <v>4.1905084561709655E-4</v>
      </c>
      <c r="AL77" s="1"/>
      <c r="AM77" s="1">
        <f t="shared" ca="1" si="66"/>
        <v>2.7525702616018437E-2</v>
      </c>
      <c r="AN77" s="1">
        <f t="shared" ca="1" si="67"/>
        <v>68</v>
      </c>
      <c r="AO77" s="1">
        <f t="shared" ca="1" si="68"/>
        <v>18</v>
      </c>
      <c r="AQ77" s="1">
        <f t="shared" ca="1" si="69"/>
        <v>104</v>
      </c>
      <c r="AR77" s="1">
        <f t="shared" ca="1" si="70"/>
        <v>6</v>
      </c>
      <c r="AS77" s="1">
        <f t="shared" ca="1" si="71"/>
        <v>63</v>
      </c>
      <c r="AU77" s="1">
        <f t="shared" ca="1" si="72"/>
        <v>232</v>
      </c>
      <c r="AV77" s="1">
        <f t="shared" ca="1" si="73"/>
        <v>10</v>
      </c>
      <c r="AW77" s="1">
        <f t="shared" ca="1" si="74"/>
        <v>0.16641308138758468</v>
      </c>
      <c r="AY77" s="1">
        <f t="shared" ca="1" si="75"/>
        <v>1.5977958897532398</v>
      </c>
      <c r="AZ77" s="1">
        <f t="shared" ca="1" si="76"/>
        <v>177</v>
      </c>
      <c r="BA77" s="1">
        <f t="shared" ca="1" si="77"/>
        <v>1.3193799105797386E-3</v>
      </c>
    </row>
    <row r="78" spans="2:53" x14ac:dyDescent="0.25">
      <c r="B78">
        <f t="shared" ca="1" si="39"/>
        <v>397</v>
      </c>
      <c r="C78">
        <f t="shared" ca="1" si="40"/>
        <v>26</v>
      </c>
      <c r="D78">
        <f t="shared" ca="1" si="41"/>
        <v>9.5755203575380504E-2</v>
      </c>
      <c r="F78" s="1">
        <f t="shared" ca="1" si="42"/>
        <v>44</v>
      </c>
      <c r="G78" s="1">
        <f t="shared" ca="1" si="43"/>
        <v>15</v>
      </c>
      <c r="H78" s="1">
        <f t="shared" ca="1" si="44"/>
        <v>1</v>
      </c>
      <c r="I78" s="1"/>
      <c r="J78" s="1">
        <f t="shared" ca="1" si="45"/>
        <v>19</v>
      </c>
      <c r="K78" s="1">
        <f t="shared" ca="1" si="46"/>
        <v>1.3098465963736849</v>
      </c>
      <c r="L78" s="1">
        <f t="shared" ca="1" si="47"/>
        <v>13</v>
      </c>
      <c r="M78" s="1"/>
      <c r="N78" s="1">
        <f t="shared" ca="1" si="48"/>
        <v>106</v>
      </c>
      <c r="O78" s="1">
        <f t="shared" ca="1" si="49"/>
        <v>32</v>
      </c>
      <c r="P78" s="1"/>
      <c r="Q78" s="1">
        <f t="shared" ca="1" si="50"/>
        <v>1.3756237079092182</v>
      </c>
      <c r="R78" s="1">
        <f t="shared" ca="1" si="51"/>
        <v>355</v>
      </c>
      <c r="S78" s="1"/>
      <c r="T78" s="1">
        <f t="shared" ca="1" si="52"/>
        <v>0.164637615625262</v>
      </c>
      <c r="U78" s="1">
        <f t="shared" ca="1" si="53"/>
        <v>184</v>
      </c>
      <c r="V78" s="1">
        <f t="shared" ca="1" si="54"/>
        <v>19</v>
      </c>
      <c r="W78" s="1"/>
      <c r="X78" s="1">
        <f t="shared" ca="1" si="55"/>
        <v>8.5264132007371991</v>
      </c>
      <c r="Y78" s="1">
        <f t="shared" ca="1" si="56"/>
        <v>0.46305429741287052</v>
      </c>
      <c r="Z78" s="1">
        <f t="shared" ca="1" si="57"/>
        <v>919</v>
      </c>
      <c r="AB78" s="1">
        <f t="shared" ca="1" si="58"/>
        <v>0.83282482134378066</v>
      </c>
      <c r="AC78" s="1">
        <f t="shared" ca="1" si="59"/>
        <v>108</v>
      </c>
      <c r="AD78" s="1">
        <f t="shared" ca="1" si="60"/>
        <v>6.3088237645683818E-4</v>
      </c>
      <c r="AE78" s="1"/>
      <c r="AF78" s="1">
        <f t="shared" ca="1" si="61"/>
        <v>0.1127833263404984</v>
      </c>
      <c r="AG78" s="1">
        <f t="shared" ca="1" si="62"/>
        <v>751</v>
      </c>
      <c r="AH78" s="1">
        <f t="shared" ca="1" si="63"/>
        <v>6.7535737947472581E-3</v>
      </c>
      <c r="AJ78" s="1">
        <f t="shared" ca="1" si="64"/>
        <v>3.286761095224866E-2</v>
      </c>
      <c r="AK78" s="1">
        <f t="shared" ca="1" si="65"/>
        <v>5.3869601648662228E-3</v>
      </c>
      <c r="AL78" s="1"/>
      <c r="AM78" s="1">
        <f t="shared" ca="1" si="66"/>
        <v>4.5445304033932432E-2</v>
      </c>
      <c r="AN78" s="1">
        <f t="shared" ca="1" si="67"/>
        <v>77</v>
      </c>
      <c r="AO78" s="1">
        <f t="shared" ca="1" si="68"/>
        <v>12</v>
      </c>
      <c r="AQ78" s="1">
        <f t="shared" ca="1" si="69"/>
        <v>19</v>
      </c>
      <c r="AR78" s="1">
        <f t="shared" ca="1" si="70"/>
        <v>1</v>
      </c>
      <c r="AS78" s="1">
        <f t="shared" ca="1" si="71"/>
        <v>53</v>
      </c>
      <c r="AU78" s="1">
        <f t="shared" ca="1" si="72"/>
        <v>219</v>
      </c>
      <c r="AV78" s="1">
        <f t="shared" ca="1" si="73"/>
        <v>7</v>
      </c>
      <c r="AW78" s="1">
        <f t="shared" ca="1" si="74"/>
        <v>0.19193553012234449</v>
      </c>
      <c r="AY78" s="1">
        <f t="shared" ca="1" si="75"/>
        <v>1.1675208684172238</v>
      </c>
      <c r="AZ78" s="1">
        <f t="shared" ca="1" si="76"/>
        <v>64</v>
      </c>
      <c r="BA78" s="1">
        <f t="shared" ca="1" si="77"/>
        <v>5.318751309124542E-3</v>
      </c>
    </row>
    <row r="79" spans="2:53" x14ac:dyDescent="0.25">
      <c r="B79">
        <f t="shared" ca="1" si="39"/>
        <v>18</v>
      </c>
      <c r="C79">
        <f t="shared" ca="1" si="40"/>
        <v>14</v>
      </c>
      <c r="D79">
        <f t="shared" ca="1" si="41"/>
        <v>3.3011930996671053E-2</v>
      </c>
      <c r="F79" s="1">
        <f t="shared" ca="1" si="42"/>
        <v>43</v>
      </c>
      <c r="G79" s="1">
        <f t="shared" ca="1" si="43"/>
        <v>4</v>
      </c>
      <c r="H79" s="1">
        <f t="shared" ca="1" si="44"/>
        <v>13</v>
      </c>
      <c r="I79" s="1"/>
      <c r="J79" s="1">
        <f t="shared" ca="1" si="45"/>
        <v>33</v>
      </c>
      <c r="K79" s="1">
        <f t="shared" ca="1" si="46"/>
        <v>2.0462144964462041</v>
      </c>
      <c r="L79" s="1">
        <f t="shared" ca="1" si="47"/>
        <v>29</v>
      </c>
      <c r="M79" s="1"/>
      <c r="N79" s="1">
        <f t="shared" ca="1" si="48"/>
        <v>533</v>
      </c>
      <c r="O79" s="1">
        <f t="shared" ca="1" si="49"/>
        <v>37</v>
      </c>
      <c r="P79" s="1"/>
      <c r="Q79" s="1">
        <f t="shared" ca="1" si="50"/>
        <v>0.54645337816623651</v>
      </c>
      <c r="R79" s="1">
        <f t="shared" ca="1" si="51"/>
        <v>862</v>
      </c>
      <c r="S79" s="1"/>
      <c r="T79" s="1">
        <f t="shared" ca="1" si="52"/>
        <v>3.3460738374300684E-2</v>
      </c>
      <c r="U79" s="1">
        <f t="shared" ca="1" si="53"/>
        <v>220</v>
      </c>
      <c r="V79" s="1">
        <f t="shared" ca="1" si="54"/>
        <v>16</v>
      </c>
      <c r="W79" s="1"/>
      <c r="X79" s="1">
        <f t="shared" ca="1" si="55"/>
        <v>7.2549681497316723</v>
      </c>
      <c r="Y79" s="1">
        <f t="shared" ca="1" si="56"/>
        <v>0.49704183137043662</v>
      </c>
      <c r="Z79" s="1">
        <f t="shared" ca="1" si="57"/>
        <v>1236</v>
      </c>
      <c r="AB79" s="1">
        <f t="shared" ca="1" si="58"/>
        <v>0.7591459958850133</v>
      </c>
      <c r="AC79" s="1">
        <f t="shared" ca="1" si="59"/>
        <v>161</v>
      </c>
      <c r="AD79" s="1">
        <f t="shared" ca="1" si="60"/>
        <v>5.9046431460519425E-3</v>
      </c>
      <c r="AE79" s="1"/>
      <c r="AF79" s="1">
        <f t="shared" ca="1" si="61"/>
        <v>0.29816507285942884</v>
      </c>
      <c r="AG79" s="1">
        <f t="shared" ca="1" si="62"/>
        <v>237</v>
      </c>
      <c r="AH79" s="1">
        <f t="shared" ca="1" si="63"/>
        <v>9.8375860860726722E-3</v>
      </c>
      <c r="AJ79" s="1">
        <f t="shared" ca="1" si="64"/>
        <v>0.85989462150461271</v>
      </c>
      <c r="AK79" s="1">
        <f t="shared" ca="1" si="65"/>
        <v>6.8791432806032562E-4</v>
      </c>
      <c r="AL79" s="1"/>
      <c r="AM79" s="1">
        <f t="shared" ca="1" si="66"/>
        <v>0.16392375574872903</v>
      </c>
      <c r="AN79" s="1">
        <f t="shared" ca="1" si="67"/>
        <v>40</v>
      </c>
      <c r="AO79" s="1">
        <f t="shared" ca="1" si="68"/>
        <v>12</v>
      </c>
      <c r="AQ79" s="1">
        <f t="shared" ca="1" si="69"/>
        <v>56</v>
      </c>
      <c r="AR79" s="1">
        <f t="shared" ca="1" si="70"/>
        <v>8</v>
      </c>
      <c r="AS79" s="1">
        <f t="shared" ca="1" si="71"/>
        <v>99</v>
      </c>
      <c r="AU79" s="1">
        <f t="shared" ca="1" si="72"/>
        <v>180</v>
      </c>
      <c r="AV79" s="1">
        <f t="shared" ca="1" si="73"/>
        <v>8</v>
      </c>
      <c r="AW79" s="1">
        <f t="shared" ca="1" si="74"/>
        <v>0.16406571405546461</v>
      </c>
      <c r="AY79" s="1">
        <f t="shared" ca="1" si="75"/>
        <v>1.4077001898348702</v>
      </c>
      <c r="AZ79" s="1">
        <f t="shared" ca="1" si="76"/>
        <v>444</v>
      </c>
      <c r="BA79" s="1">
        <f t="shared" ca="1" si="77"/>
        <v>5.3633295897167121E-4</v>
      </c>
    </row>
    <row r="80" spans="2:53" x14ac:dyDescent="0.25">
      <c r="B80">
        <f t="shared" ca="1" si="39"/>
        <v>507</v>
      </c>
      <c r="C80">
        <f t="shared" ca="1" si="40"/>
        <v>36</v>
      </c>
      <c r="D80">
        <f t="shared" ca="1" si="41"/>
        <v>1.3504364827156256E-2</v>
      </c>
      <c r="F80" s="1">
        <f t="shared" ca="1" si="42"/>
        <v>28</v>
      </c>
      <c r="G80" s="1">
        <f t="shared" ca="1" si="43"/>
        <v>14</v>
      </c>
      <c r="H80" s="1">
        <f t="shared" ca="1" si="44"/>
        <v>7</v>
      </c>
      <c r="I80" s="1"/>
      <c r="J80" s="1">
        <f t="shared" ca="1" si="45"/>
        <v>22</v>
      </c>
      <c r="K80" s="1">
        <f t="shared" ca="1" si="46"/>
        <v>1.8416174516131467</v>
      </c>
      <c r="L80" s="1">
        <f t="shared" ca="1" si="47"/>
        <v>22</v>
      </c>
      <c r="M80" s="1"/>
      <c r="N80" s="1">
        <f t="shared" ca="1" si="48"/>
        <v>727</v>
      </c>
      <c r="O80" s="1">
        <f t="shared" ca="1" si="49"/>
        <v>38</v>
      </c>
      <c r="P80" s="1"/>
      <c r="Q80" s="1">
        <f t="shared" ca="1" si="50"/>
        <v>3.4807135151924693</v>
      </c>
      <c r="R80" s="1">
        <f t="shared" ca="1" si="51"/>
        <v>307</v>
      </c>
      <c r="S80" s="1"/>
      <c r="T80" s="1">
        <f t="shared" ca="1" si="52"/>
        <v>0.10850434701938483</v>
      </c>
      <c r="U80" s="1">
        <f t="shared" ca="1" si="53"/>
        <v>278</v>
      </c>
      <c r="V80" s="1">
        <f t="shared" ca="1" si="54"/>
        <v>40</v>
      </c>
      <c r="W80" s="1"/>
      <c r="X80" s="1">
        <f t="shared" ca="1" si="55"/>
        <v>8.7649624573611877</v>
      </c>
      <c r="Y80" s="1">
        <f t="shared" ca="1" si="56"/>
        <v>0.40111361465135625</v>
      </c>
      <c r="Z80" s="1">
        <f t="shared" ca="1" si="57"/>
        <v>788</v>
      </c>
      <c r="AB80" s="1">
        <f t="shared" ca="1" si="58"/>
        <v>6.2946747884236445E-2</v>
      </c>
      <c r="AC80" s="1">
        <f t="shared" ca="1" si="59"/>
        <v>587</v>
      </c>
      <c r="AD80" s="1">
        <f t="shared" ca="1" si="60"/>
        <v>7.043837007560093E-3</v>
      </c>
      <c r="AE80" s="1"/>
      <c r="AF80" s="1">
        <f t="shared" ca="1" si="61"/>
        <v>0.37088143355202863</v>
      </c>
      <c r="AG80" s="1">
        <f t="shared" ca="1" si="62"/>
        <v>609</v>
      </c>
      <c r="AH80" s="1">
        <f t="shared" ca="1" si="63"/>
        <v>1.9429721264638369E-3</v>
      </c>
      <c r="AJ80" s="1">
        <f t="shared" ca="1" si="64"/>
        <v>0.8588551610351407</v>
      </c>
      <c r="AK80" s="1">
        <f t="shared" ca="1" si="65"/>
        <v>7.8715763007572506E-3</v>
      </c>
      <c r="AL80" s="1"/>
      <c r="AM80" s="1">
        <f t="shared" ca="1" si="66"/>
        <v>0.15689362138443411</v>
      </c>
      <c r="AN80" s="1">
        <f t="shared" ca="1" si="67"/>
        <v>51</v>
      </c>
      <c r="AO80" s="1">
        <f t="shared" ca="1" si="68"/>
        <v>1</v>
      </c>
      <c r="AQ80" s="1">
        <f t="shared" ca="1" si="69"/>
        <v>193</v>
      </c>
      <c r="AR80" s="1">
        <f t="shared" ca="1" si="70"/>
        <v>9</v>
      </c>
      <c r="AS80" s="1">
        <f t="shared" ca="1" si="71"/>
        <v>83</v>
      </c>
      <c r="AU80" s="1">
        <f t="shared" ca="1" si="72"/>
        <v>207</v>
      </c>
      <c r="AV80" s="1">
        <f t="shared" ca="1" si="73"/>
        <v>7</v>
      </c>
      <c r="AW80" s="1">
        <f t="shared" ca="1" si="74"/>
        <v>0.11611140853714885</v>
      </c>
      <c r="AY80" s="1">
        <f t="shared" ca="1" si="75"/>
        <v>1.9892408855790804</v>
      </c>
      <c r="AZ80" s="1">
        <f t="shared" ca="1" si="76"/>
        <v>227</v>
      </c>
      <c r="BA80" s="1">
        <f t="shared" ca="1" si="77"/>
        <v>6.1601874442156939E-3</v>
      </c>
    </row>
    <row r="81" spans="2:53" x14ac:dyDescent="0.25">
      <c r="B81">
        <f t="shared" ca="1" si="39"/>
        <v>249</v>
      </c>
      <c r="C81">
        <f t="shared" ca="1" si="40"/>
        <v>27</v>
      </c>
      <c r="D81">
        <f t="shared" ca="1" si="41"/>
        <v>0.1108086078368487</v>
      </c>
      <c r="F81" s="1">
        <f t="shared" ca="1" si="42"/>
        <v>26</v>
      </c>
      <c r="G81" s="1">
        <f t="shared" ca="1" si="43"/>
        <v>7</v>
      </c>
      <c r="H81" s="1">
        <f t="shared" ca="1" si="44"/>
        <v>9</v>
      </c>
      <c r="I81" s="1"/>
      <c r="J81" s="1">
        <f t="shared" ca="1" si="45"/>
        <v>8</v>
      </c>
      <c r="K81" s="1">
        <f t="shared" ca="1" si="46"/>
        <v>2.6144215416021588</v>
      </c>
      <c r="L81" s="1">
        <f t="shared" ca="1" si="47"/>
        <v>12</v>
      </c>
      <c r="M81" s="1"/>
      <c r="N81" s="1">
        <f t="shared" ca="1" si="48"/>
        <v>539</v>
      </c>
      <c r="O81" s="1">
        <f t="shared" ca="1" si="49"/>
        <v>24</v>
      </c>
      <c r="P81" s="1"/>
      <c r="Q81" s="1">
        <f t="shared" ca="1" si="50"/>
        <v>3.2402730985948751</v>
      </c>
      <c r="R81" s="1">
        <f t="shared" ca="1" si="51"/>
        <v>1141</v>
      </c>
      <c r="S81" s="1"/>
      <c r="T81" s="1">
        <f t="shared" ca="1" si="52"/>
        <v>9.4023723484422492E-2</v>
      </c>
      <c r="U81" s="1">
        <f t="shared" ca="1" si="53"/>
        <v>398</v>
      </c>
      <c r="V81" s="1">
        <f t="shared" ca="1" si="54"/>
        <v>46</v>
      </c>
      <c r="W81" s="1"/>
      <c r="X81" s="1">
        <f t="shared" ca="1" si="55"/>
        <v>5.5063741998191924</v>
      </c>
      <c r="Y81" s="1">
        <f t="shared" ca="1" si="56"/>
        <v>9.8048858419279489E-2</v>
      </c>
      <c r="Z81" s="1">
        <f t="shared" ca="1" si="57"/>
        <v>910</v>
      </c>
      <c r="AB81" s="1">
        <f t="shared" ca="1" si="58"/>
        <v>0.28851531409523617</v>
      </c>
      <c r="AC81" s="1">
        <f t="shared" ca="1" si="59"/>
        <v>739</v>
      </c>
      <c r="AD81" s="1">
        <f t="shared" ca="1" si="60"/>
        <v>2.7826506710730174E-4</v>
      </c>
      <c r="AE81" s="1"/>
      <c r="AF81" s="1">
        <f t="shared" ca="1" si="61"/>
        <v>0.8370774186359059</v>
      </c>
      <c r="AG81" s="1">
        <f t="shared" ca="1" si="62"/>
        <v>624</v>
      </c>
      <c r="AH81" s="1">
        <f t="shared" ca="1" si="63"/>
        <v>4.7095879678235794E-3</v>
      </c>
      <c r="AJ81" s="1">
        <f t="shared" ca="1" si="64"/>
        <v>0.30134431662771288</v>
      </c>
      <c r="AK81" s="1">
        <f t="shared" ca="1" si="65"/>
        <v>1.5339481071338602E-3</v>
      </c>
      <c r="AL81" s="1"/>
      <c r="AM81" s="1">
        <f t="shared" ca="1" si="66"/>
        <v>0.16478707308041673</v>
      </c>
      <c r="AN81" s="1">
        <f t="shared" ca="1" si="67"/>
        <v>39</v>
      </c>
      <c r="AO81" s="1">
        <f t="shared" ca="1" si="68"/>
        <v>12</v>
      </c>
      <c r="AQ81" s="1">
        <f t="shared" ca="1" si="69"/>
        <v>189</v>
      </c>
      <c r="AR81" s="1">
        <f t="shared" ca="1" si="70"/>
        <v>6</v>
      </c>
      <c r="AS81" s="1">
        <f t="shared" ca="1" si="71"/>
        <v>62</v>
      </c>
      <c r="AU81" s="1">
        <f t="shared" ca="1" si="72"/>
        <v>93</v>
      </c>
      <c r="AV81" s="1">
        <f t="shared" ca="1" si="73"/>
        <v>7</v>
      </c>
      <c r="AW81" s="1">
        <f t="shared" ca="1" si="74"/>
        <v>5.7941556479285262E-2</v>
      </c>
      <c r="AY81" s="1">
        <f t="shared" ca="1" si="75"/>
        <v>1.9087077670863883</v>
      </c>
      <c r="AZ81" s="1">
        <f t="shared" ca="1" si="76"/>
        <v>370</v>
      </c>
      <c r="BA81" s="1">
        <f t="shared" ca="1" si="77"/>
        <v>4.2900353177811532E-3</v>
      </c>
    </row>
    <row r="82" spans="2:53" x14ac:dyDescent="0.25">
      <c r="B82">
        <f t="shared" ca="1" si="39"/>
        <v>473</v>
      </c>
      <c r="C82">
        <f t="shared" ca="1" si="40"/>
        <v>19</v>
      </c>
      <c r="D82">
        <f t="shared" ca="1" si="41"/>
        <v>0.18277090413373881</v>
      </c>
      <c r="F82" s="1">
        <f t="shared" ca="1" si="42"/>
        <v>24</v>
      </c>
      <c r="G82" s="1">
        <f t="shared" ca="1" si="43"/>
        <v>3</v>
      </c>
      <c r="H82" s="1">
        <f t="shared" ca="1" si="44"/>
        <v>1</v>
      </c>
      <c r="I82" s="1"/>
      <c r="J82" s="1">
        <f t="shared" ca="1" si="45"/>
        <v>26</v>
      </c>
      <c r="K82" s="1">
        <f t="shared" ca="1" si="46"/>
        <v>2.167233286927166</v>
      </c>
      <c r="L82" s="1">
        <f t="shared" ca="1" si="47"/>
        <v>29</v>
      </c>
      <c r="M82" s="1"/>
      <c r="N82" s="1">
        <f t="shared" ca="1" si="48"/>
        <v>690</v>
      </c>
      <c r="O82" s="1">
        <f t="shared" ca="1" si="49"/>
        <v>28</v>
      </c>
      <c r="P82" s="1"/>
      <c r="Q82" s="1">
        <f t="shared" ca="1" si="50"/>
        <v>1.7996677931178251</v>
      </c>
      <c r="R82" s="1">
        <f t="shared" ca="1" si="51"/>
        <v>551</v>
      </c>
      <c r="S82" s="1"/>
      <c r="T82" s="1">
        <f t="shared" ca="1" si="52"/>
        <v>1.9536525597756461E-2</v>
      </c>
      <c r="U82" s="1">
        <f t="shared" ca="1" si="53"/>
        <v>126</v>
      </c>
      <c r="V82" s="1">
        <f t="shared" ca="1" si="54"/>
        <v>19</v>
      </c>
      <c r="W82" s="1"/>
      <c r="X82" s="1">
        <f t="shared" ca="1" si="55"/>
        <v>8.9134725911813391</v>
      </c>
      <c r="Y82" s="1">
        <f t="shared" ca="1" si="56"/>
        <v>0.62863231117118912</v>
      </c>
      <c r="Z82" s="1">
        <f t="shared" ca="1" si="57"/>
        <v>950</v>
      </c>
      <c r="AB82" s="1">
        <f t="shared" ca="1" si="58"/>
        <v>0.92817724699268067</v>
      </c>
      <c r="AC82" s="1">
        <f t="shared" ca="1" si="59"/>
        <v>484</v>
      </c>
      <c r="AD82" s="1">
        <f t="shared" ca="1" si="60"/>
        <v>7.9235683377768939E-3</v>
      </c>
      <c r="AE82" s="1"/>
      <c r="AF82" s="1">
        <f t="shared" ca="1" si="61"/>
        <v>0.20754272150883449</v>
      </c>
      <c r="AG82" s="1">
        <f t="shared" ca="1" si="62"/>
        <v>276</v>
      </c>
      <c r="AH82" s="1">
        <f t="shared" ca="1" si="63"/>
        <v>4.4798729813968104E-3</v>
      </c>
      <c r="AJ82" s="1">
        <f t="shared" ca="1" si="64"/>
        <v>0.79197652685484821</v>
      </c>
      <c r="AK82" s="1">
        <f t="shared" ca="1" si="65"/>
        <v>6.6980212703187303E-4</v>
      </c>
      <c r="AL82" s="1"/>
      <c r="AM82" s="1">
        <f t="shared" ca="1" si="66"/>
        <v>4.1664597208978624E-2</v>
      </c>
      <c r="AN82" s="1">
        <f t="shared" ca="1" si="67"/>
        <v>71</v>
      </c>
      <c r="AO82" s="1">
        <f t="shared" ca="1" si="68"/>
        <v>3</v>
      </c>
      <c r="AQ82" s="1">
        <f t="shared" ca="1" si="69"/>
        <v>42</v>
      </c>
      <c r="AR82" s="1">
        <f t="shared" ca="1" si="70"/>
        <v>2</v>
      </c>
      <c r="AS82" s="1">
        <f t="shared" ca="1" si="71"/>
        <v>76</v>
      </c>
      <c r="AU82" s="1">
        <f t="shared" ca="1" si="72"/>
        <v>357</v>
      </c>
      <c r="AV82" s="1">
        <f t="shared" ca="1" si="73"/>
        <v>10</v>
      </c>
      <c r="AW82" s="1">
        <f t="shared" ca="1" si="74"/>
        <v>6.338154921828934E-2</v>
      </c>
      <c r="AY82" s="1">
        <f t="shared" ca="1" si="75"/>
        <v>1.689188873973249</v>
      </c>
      <c r="AZ82" s="1">
        <f t="shared" ca="1" si="76"/>
        <v>442</v>
      </c>
      <c r="BA82" s="1">
        <f t="shared" ca="1" si="77"/>
        <v>9.1377994667467353E-3</v>
      </c>
    </row>
    <row r="83" spans="2:53" x14ac:dyDescent="0.25">
      <c r="B83">
        <f t="shared" ca="1" si="39"/>
        <v>804</v>
      </c>
      <c r="C83">
        <f t="shared" ca="1" si="40"/>
        <v>3</v>
      </c>
      <c r="D83">
        <f t="shared" ca="1" si="41"/>
        <v>8.7668044784166288E-2</v>
      </c>
      <c r="F83" s="1">
        <f t="shared" ca="1" si="42"/>
        <v>4</v>
      </c>
      <c r="G83" s="1">
        <f t="shared" ca="1" si="43"/>
        <v>22</v>
      </c>
      <c r="H83" s="1">
        <f t="shared" ca="1" si="44"/>
        <v>6</v>
      </c>
      <c r="I83" s="1"/>
      <c r="J83" s="1">
        <f t="shared" ca="1" si="45"/>
        <v>8</v>
      </c>
      <c r="K83" s="1">
        <f t="shared" ca="1" si="46"/>
        <v>2.9735858090482985</v>
      </c>
      <c r="L83" s="1">
        <f t="shared" ca="1" si="47"/>
        <v>31</v>
      </c>
      <c r="M83" s="1"/>
      <c r="N83" s="1">
        <f t="shared" ca="1" si="48"/>
        <v>742</v>
      </c>
      <c r="O83" s="1">
        <f t="shared" ca="1" si="49"/>
        <v>43</v>
      </c>
      <c r="P83" s="1"/>
      <c r="Q83" s="1">
        <f t="shared" ca="1" si="50"/>
        <v>1.2409908364498667</v>
      </c>
      <c r="R83" s="1">
        <f t="shared" ca="1" si="51"/>
        <v>908</v>
      </c>
      <c r="S83" s="1"/>
      <c r="T83" s="1">
        <f t="shared" ca="1" si="52"/>
        <v>0.19815337643981099</v>
      </c>
      <c r="U83" s="1">
        <f t="shared" ca="1" si="53"/>
        <v>416</v>
      </c>
      <c r="V83" s="1">
        <f t="shared" ca="1" si="54"/>
        <v>30</v>
      </c>
      <c r="W83" s="1"/>
      <c r="X83" s="1">
        <f t="shared" ca="1" si="55"/>
        <v>3.1770963349867034</v>
      </c>
      <c r="Y83" s="1">
        <f t="shared" ca="1" si="56"/>
        <v>0.57949865790573429</v>
      </c>
      <c r="Z83" s="1">
        <f t="shared" ca="1" si="57"/>
        <v>1131</v>
      </c>
      <c r="AB83" s="1">
        <f t="shared" ca="1" si="58"/>
        <v>0.15356563364615733</v>
      </c>
      <c r="AC83" s="1">
        <f t="shared" ca="1" si="59"/>
        <v>702</v>
      </c>
      <c r="AD83" s="1">
        <f t="shared" ca="1" si="60"/>
        <v>9.9071491511903663E-3</v>
      </c>
      <c r="AE83" s="1"/>
      <c r="AF83" s="1">
        <f t="shared" ca="1" si="61"/>
        <v>0.72584138686255784</v>
      </c>
      <c r="AG83" s="1">
        <f t="shared" ca="1" si="62"/>
        <v>563</v>
      </c>
      <c r="AH83" s="1">
        <f t="shared" ca="1" si="63"/>
        <v>2.2089910385347466E-3</v>
      </c>
      <c r="AJ83" s="1">
        <f t="shared" ca="1" si="64"/>
        <v>0.36475269364998553</v>
      </c>
      <c r="AK83" s="1">
        <f t="shared" ca="1" si="65"/>
        <v>2.987041661912979E-3</v>
      </c>
      <c r="AL83" s="1"/>
      <c r="AM83" s="1">
        <f t="shared" ca="1" si="66"/>
        <v>6.1139213927768492E-2</v>
      </c>
      <c r="AN83" s="1">
        <f t="shared" ca="1" si="67"/>
        <v>59</v>
      </c>
      <c r="AO83" s="1">
        <f t="shared" ca="1" si="68"/>
        <v>17</v>
      </c>
      <c r="AQ83" s="1">
        <f t="shared" ca="1" si="69"/>
        <v>183</v>
      </c>
      <c r="AR83" s="1">
        <f t="shared" ca="1" si="70"/>
        <v>5</v>
      </c>
      <c r="AS83" s="1">
        <f t="shared" ca="1" si="71"/>
        <v>59</v>
      </c>
      <c r="AU83" s="1">
        <f t="shared" ca="1" si="72"/>
        <v>79</v>
      </c>
      <c r="AV83" s="1">
        <f t="shared" ca="1" si="73"/>
        <v>2</v>
      </c>
      <c r="AW83" s="1">
        <f t="shared" ca="1" si="74"/>
        <v>0.15494220692674318</v>
      </c>
      <c r="AY83" s="1">
        <f t="shared" ca="1" si="75"/>
        <v>1.3372074373237612</v>
      </c>
      <c r="AZ83" s="1">
        <f t="shared" ca="1" si="76"/>
        <v>416</v>
      </c>
      <c r="BA83" s="1">
        <f t="shared" ca="1" si="77"/>
        <v>2.6022388270107804E-3</v>
      </c>
    </row>
    <row r="84" spans="2:53" x14ac:dyDescent="0.25">
      <c r="B84">
        <f t="shared" ca="1" si="39"/>
        <v>897</v>
      </c>
      <c r="C84">
        <f t="shared" ca="1" si="40"/>
        <v>43</v>
      </c>
      <c r="D84">
        <f t="shared" ca="1" si="41"/>
        <v>0.10582471405164236</v>
      </c>
      <c r="F84" s="1">
        <f t="shared" ca="1" si="42"/>
        <v>43</v>
      </c>
      <c r="G84" s="1">
        <f t="shared" ca="1" si="43"/>
        <v>14</v>
      </c>
      <c r="H84" s="1">
        <f t="shared" ca="1" si="44"/>
        <v>5</v>
      </c>
      <c r="I84" s="1"/>
      <c r="J84" s="1">
        <f t="shared" ca="1" si="45"/>
        <v>26</v>
      </c>
      <c r="K84" s="1">
        <f t="shared" ca="1" si="46"/>
        <v>2.1657214008618961</v>
      </c>
      <c r="L84" s="1">
        <f t="shared" ca="1" si="47"/>
        <v>12</v>
      </c>
      <c r="M84" s="1"/>
      <c r="N84" s="1">
        <f t="shared" ca="1" si="48"/>
        <v>510</v>
      </c>
      <c r="O84" s="1">
        <f t="shared" ca="1" si="49"/>
        <v>6</v>
      </c>
      <c r="P84" s="1"/>
      <c r="Q84" s="1">
        <f t="shared" ca="1" si="50"/>
        <v>2.7567597670833903</v>
      </c>
      <c r="R84" s="1">
        <f t="shared" ca="1" si="51"/>
        <v>409</v>
      </c>
      <c r="S84" s="1"/>
      <c r="T84" s="1">
        <f t="shared" ca="1" si="52"/>
        <v>1.2718943519351794E-2</v>
      </c>
      <c r="U84" s="1">
        <f t="shared" ca="1" si="53"/>
        <v>251</v>
      </c>
      <c r="V84" s="1">
        <f t="shared" ca="1" si="54"/>
        <v>21</v>
      </c>
      <c r="W84" s="1"/>
      <c r="X84" s="1">
        <f t="shared" ca="1" si="55"/>
        <v>1.2860244065218385</v>
      </c>
      <c r="Y84" s="1">
        <f t="shared" ca="1" si="56"/>
        <v>8.983806280709182E-2</v>
      </c>
      <c r="Z84" s="1">
        <f t="shared" ca="1" si="57"/>
        <v>1459</v>
      </c>
      <c r="AB84" s="1">
        <f t="shared" ca="1" si="58"/>
        <v>2.7852645892835946E-2</v>
      </c>
      <c r="AC84" s="1">
        <f t="shared" ca="1" si="59"/>
        <v>758</v>
      </c>
      <c r="AD84" s="1">
        <f t="shared" ca="1" si="60"/>
        <v>4.697443113982968E-3</v>
      </c>
      <c r="AE84" s="1"/>
      <c r="AF84" s="1">
        <f t="shared" ca="1" si="61"/>
        <v>0.88981282404629725</v>
      </c>
      <c r="AG84" s="1">
        <f t="shared" ca="1" si="62"/>
        <v>867</v>
      </c>
      <c r="AH84" s="1">
        <f t="shared" ca="1" si="63"/>
        <v>1.8721033851291E-3</v>
      </c>
      <c r="AJ84" s="1">
        <f t="shared" ca="1" si="64"/>
        <v>0.47193483057139318</v>
      </c>
      <c r="AK84" s="1">
        <f t="shared" ca="1" si="65"/>
        <v>5.1524222018356084E-3</v>
      </c>
      <c r="AL84" s="1"/>
      <c r="AM84" s="1">
        <f t="shared" ca="1" si="66"/>
        <v>8.4558136874909207E-2</v>
      </c>
      <c r="AN84" s="1">
        <f t="shared" ca="1" si="67"/>
        <v>56</v>
      </c>
      <c r="AO84" s="1">
        <f t="shared" ca="1" si="68"/>
        <v>0</v>
      </c>
      <c r="AQ84" s="1">
        <f t="shared" ca="1" si="69"/>
        <v>122</v>
      </c>
      <c r="AR84" s="1">
        <f t="shared" ca="1" si="70"/>
        <v>2</v>
      </c>
      <c r="AS84" s="1">
        <f t="shared" ca="1" si="71"/>
        <v>21</v>
      </c>
      <c r="AU84" s="1">
        <f t="shared" ca="1" si="72"/>
        <v>61</v>
      </c>
      <c r="AV84" s="1">
        <f t="shared" ca="1" si="73"/>
        <v>9</v>
      </c>
      <c r="AW84" s="1">
        <f t="shared" ca="1" si="74"/>
        <v>0.15932294887467499</v>
      </c>
      <c r="AY84" s="1">
        <f t="shared" ca="1" si="75"/>
        <v>1.7999353032525938</v>
      </c>
      <c r="AZ84" s="1">
        <f t="shared" ca="1" si="76"/>
        <v>290</v>
      </c>
      <c r="BA84" s="1">
        <f t="shared" ca="1" si="77"/>
        <v>2.2353501017773059E-3</v>
      </c>
    </row>
    <row r="85" spans="2:53" x14ac:dyDescent="0.25">
      <c r="B85">
        <f t="shared" ca="1" si="39"/>
        <v>420</v>
      </c>
      <c r="C85">
        <f t="shared" ca="1" si="40"/>
        <v>33</v>
      </c>
      <c r="D85">
        <f t="shared" ca="1" si="41"/>
        <v>0.1904735478824863</v>
      </c>
      <c r="F85" s="1">
        <f t="shared" ca="1" si="42"/>
        <v>45</v>
      </c>
      <c r="G85" s="1">
        <f t="shared" ca="1" si="43"/>
        <v>21</v>
      </c>
      <c r="H85" s="1">
        <f t="shared" ca="1" si="44"/>
        <v>5</v>
      </c>
      <c r="I85" s="1"/>
      <c r="J85" s="1">
        <f t="shared" ca="1" si="45"/>
        <v>20</v>
      </c>
      <c r="K85" s="1">
        <f t="shared" ca="1" si="46"/>
        <v>1.8593744786506807</v>
      </c>
      <c r="L85" s="1">
        <f t="shared" ca="1" si="47"/>
        <v>6</v>
      </c>
      <c r="M85" s="1"/>
      <c r="N85" s="1">
        <f t="shared" ca="1" si="48"/>
        <v>550</v>
      </c>
      <c r="O85" s="1">
        <f t="shared" ca="1" si="49"/>
        <v>28</v>
      </c>
      <c r="P85" s="1"/>
      <c r="Q85" s="1">
        <f t="shared" ca="1" si="50"/>
        <v>2.1008823422330982</v>
      </c>
      <c r="R85" s="1">
        <f t="shared" ca="1" si="51"/>
        <v>612</v>
      </c>
      <c r="S85" s="1"/>
      <c r="T85" s="1">
        <f t="shared" ca="1" si="52"/>
        <v>0.13218676457429474</v>
      </c>
      <c r="U85" s="1">
        <f t="shared" ca="1" si="53"/>
        <v>279</v>
      </c>
      <c r="V85" s="1">
        <f t="shared" ca="1" si="54"/>
        <v>47</v>
      </c>
      <c r="W85" s="1"/>
      <c r="X85" s="1">
        <f t="shared" ca="1" si="55"/>
        <v>4.8940445639244405</v>
      </c>
      <c r="Y85" s="1">
        <f t="shared" ca="1" si="56"/>
        <v>0.92011217802584566</v>
      </c>
      <c r="Z85" s="1">
        <f t="shared" ca="1" si="57"/>
        <v>1236</v>
      </c>
      <c r="AB85" s="1">
        <f t="shared" ca="1" si="58"/>
        <v>0.78355207694093509</v>
      </c>
      <c r="AC85" s="1">
        <f t="shared" ca="1" si="59"/>
        <v>259</v>
      </c>
      <c r="AD85" s="1">
        <f t="shared" ca="1" si="60"/>
        <v>2.6470550138943082E-3</v>
      </c>
      <c r="AE85" s="1"/>
      <c r="AF85" s="1">
        <f t="shared" ca="1" si="61"/>
        <v>0.64582655866318051</v>
      </c>
      <c r="AG85" s="1">
        <f t="shared" ca="1" si="62"/>
        <v>114</v>
      </c>
      <c r="AH85" s="1">
        <f t="shared" ca="1" si="63"/>
        <v>1.5785345097141729E-3</v>
      </c>
      <c r="AJ85" s="1">
        <f t="shared" ca="1" si="64"/>
        <v>0.43900828350053589</v>
      </c>
      <c r="AK85" s="1">
        <f t="shared" ca="1" si="65"/>
        <v>3.4057984722648503E-3</v>
      </c>
      <c r="AL85" s="1"/>
      <c r="AM85" s="1">
        <f t="shared" ca="1" si="66"/>
        <v>0.15363930301040366</v>
      </c>
      <c r="AN85" s="1">
        <f t="shared" ca="1" si="67"/>
        <v>35</v>
      </c>
      <c r="AO85" s="1">
        <f t="shared" ca="1" si="68"/>
        <v>12</v>
      </c>
      <c r="AQ85" s="1">
        <f t="shared" ca="1" si="69"/>
        <v>164</v>
      </c>
      <c r="AR85" s="1">
        <f t="shared" ca="1" si="70"/>
        <v>9</v>
      </c>
      <c r="AS85" s="1">
        <f t="shared" ca="1" si="71"/>
        <v>7</v>
      </c>
      <c r="AU85" s="1">
        <f t="shared" ca="1" si="72"/>
        <v>90</v>
      </c>
      <c r="AV85" s="1">
        <f t="shared" ca="1" si="73"/>
        <v>10</v>
      </c>
      <c r="AW85" s="1">
        <f t="shared" ca="1" si="74"/>
        <v>0.11407821093616284</v>
      </c>
      <c r="AY85" s="1">
        <f t="shared" ca="1" si="75"/>
        <v>1.3472674106974145</v>
      </c>
      <c r="AZ85" s="1">
        <f t="shared" ca="1" si="76"/>
        <v>59</v>
      </c>
      <c r="BA85" s="1">
        <f t="shared" ca="1" si="77"/>
        <v>3.8416766613144694E-3</v>
      </c>
    </row>
    <row r="86" spans="2:53" x14ac:dyDescent="0.25">
      <c r="B86">
        <f t="shared" ca="1" si="39"/>
        <v>541</v>
      </c>
      <c r="C86">
        <f t="shared" ca="1" si="40"/>
        <v>36</v>
      </c>
      <c r="D86">
        <f t="shared" ca="1" si="41"/>
        <v>0.28302678520519481</v>
      </c>
      <c r="F86" s="1">
        <f t="shared" ca="1" si="42"/>
        <v>31</v>
      </c>
      <c r="G86" s="1">
        <f t="shared" ca="1" si="43"/>
        <v>3</v>
      </c>
      <c r="H86" s="1">
        <f t="shared" ca="1" si="44"/>
        <v>12</v>
      </c>
      <c r="I86" s="1"/>
      <c r="J86" s="1">
        <f t="shared" ca="1" si="45"/>
        <v>2</v>
      </c>
      <c r="K86" s="1">
        <f t="shared" ca="1" si="46"/>
        <v>2.3545087585304993</v>
      </c>
      <c r="L86" s="1">
        <f t="shared" ca="1" si="47"/>
        <v>30</v>
      </c>
      <c r="M86" s="1"/>
      <c r="N86" s="1">
        <f t="shared" ca="1" si="48"/>
        <v>224</v>
      </c>
      <c r="O86" s="1">
        <f t="shared" ca="1" si="49"/>
        <v>37</v>
      </c>
      <c r="P86" s="1"/>
      <c r="Q86" s="1">
        <f t="shared" ca="1" si="50"/>
        <v>3.6697727954202071</v>
      </c>
      <c r="R86" s="1">
        <f t="shared" ca="1" si="51"/>
        <v>353</v>
      </c>
      <c r="S86" s="1"/>
      <c r="T86" s="1">
        <f t="shared" ca="1" si="52"/>
        <v>0.18819488598822989</v>
      </c>
      <c r="U86" s="1">
        <f t="shared" ca="1" si="53"/>
        <v>93</v>
      </c>
      <c r="V86" s="1">
        <f t="shared" ca="1" si="54"/>
        <v>21</v>
      </c>
      <c r="W86" s="1"/>
      <c r="X86" s="1">
        <f t="shared" ca="1" si="55"/>
        <v>5.3530571456934979</v>
      </c>
      <c r="Y86" s="1">
        <f t="shared" ca="1" si="56"/>
        <v>0.30039344378148636</v>
      </c>
      <c r="Z86" s="1">
        <f t="shared" ca="1" si="57"/>
        <v>541</v>
      </c>
      <c r="AB86" s="1">
        <f t="shared" ca="1" si="58"/>
        <v>0.79877321116950406</v>
      </c>
      <c r="AC86" s="1">
        <f t="shared" ca="1" si="59"/>
        <v>243</v>
      </c>
      <c r="AD86" s="1">
        <f t="shared" ca="1" si="60"/>
        <v>5.9806946157585101E-4</v>
      </c>
      <c r="AE86" s="1"/>
      <c r="AF86" s="1">
        <f t="shared" ca="1" si="61"/>
        <v>0.77013481505409498</v>
      </c>
      <c r="AG86" s="1">
        <f t="shared" ca="1" si="62"/>
        <v>888</v>
      </c>
      <c r="AH86" s="1">
        <f t="shared" ca="1" si="63"/>
        <v>6.1588412608034994E-3</v>
      </c>
      <c r="AJ86" s="1">
        <f t="shared" ca="1" si="64"/>
        <v>6.8379303561771576E-2</v>
      </c>
      <c r="AK86" s="1">
        <f t="shared" ca="1" si="65"/>
        <v>7.444365115661755E-4</v>
      </c>
      <c r="AL86" s="1"/>
      <c r="AM86" s="1">
        <f t="shared" ca="1" si="66"/>
        <v>0.14702132396408493</v>
      </c>
      <c r="AN86" s="1">
        <f t="shared" ca="1" si="67"/>
        <v>62</v>
      </c>
      <c r="AO86" s="1">
        <f t="shared" ca="1" si="68"/>
        <v>20</v>
      </c>
      <c r="AQ86" s="1">
        <f t="shared" ca="1" si="69"/>
        <v>67</v>
      </c>
      <c r="AR86" s="1">
        <f t="shared" ca="1" si="70"/>
        <v>3</v>
      </c>
      <c r="AS86" s="1">
        <f t="shared" ca="1" si="71"/>
        <v>32</v>
      </c>
      <c r="AU86" s="1">
        <f t="shared" ca="1" si="72"/>
        <v>325</v>
      </c>
      <c r="AV86" s="1">
        <f t="shared" ca="1" si="73"/>
        <v>7</v>
      </c>
      <c r="AW86" s="1">
        <f t="shared" ca="1" si="74"/>
        <v>0.11726481696746986</v>
      </c>
      <c r="AY86" s="1">
        <f t="shared" ca="1" si="75"/>
        <v>1.893010475515595</v>
      </c>
      <c r="AZ86" s="1">
        <f t="shared" ca="1" si="76"/>
        <v>292</v>
      </c>
      <c r="BA86" s="1">
        <f t="shared" ca="1" si="77"/>
        <v>5.9054960573629994E-3</v>
      </c>
    </row>
    <row r="87" spans="2:53" x14ac:dyDescent="0.25">
      <c r="B87">
        <f t="shared" ca="1" si="39"/>
        <v>787</v>
      </c>
      <c r="C87">
        <f t="shared" ca="1" si="40"/>
        <v>46</v>
      </c>
      <c r="D87">
        <f t="shared" ca="1" si="41"/>
        <v>0.11842790780035936</v>
      </c>
      <c r="F87" s="1">
        <f t="shared" ca="1" si="42"/>
        <v>9</v>
      </c>
      <c r="G87" s="1">
        <f t="shared" ca="1" si="43"/>
        <v>5</v>
      </c>
      <c r="H87" s="1">
        <f t="shared" ca="1" si="44"/>
        <v>10</v>
      </c>
      <c r="I87" s="1"/>
      <c r="J87" s="1">
        <f t="shared" ca="1" si="45"/>
        <v>18</v>
      </c>
      <c r="K87" s="1">
        <f t="shared" ca="1" si="46"/>
        <v>2.4066070722252473</v>
      </c>
      <c r="L87" s="1">
        <f t="shared" ca="1" si="47"/>
        <v>32</v>
      </c>
      <c r="M87" s="1"/>
      <c r="N87" s="1">
        <f t="shared" ca="1" si="48"/>
        <v>146</v>
      </c>
      <c r="O87" s="1">
        <f t="shared" ca="1" si="49"/>
        <v>40</v>
      </c>
      <c r="P87" s="1"/>
      <c r="Q87" s="1">
        <f t="shared" ca="1" si="50"/>
        <v>4.139232930618018</v>
      </c>
      <c r="R87" s="1">
        <f t="shared" ca="1" si="51"/>
        <v>610</v>
      </c>
      <c r="S87" s="1"/>
      <c r="T87" s="1">
        <f t="shared" ca="1" si="52"/>
        <v>7.5063597274402705E-2</v>
      </c>
      <c r="U87" s="1">
        <f t="shared" ca="1" si="53"/>
        <v>91</v>
      </c>
      <c r="V87" s="1">
        <f t="shared" ca="1" si="54"/>
        <v>24</v>
      </c>
      <c r="W87" s="1"/>
      <c r="X87" s="1">
        <f t="shared" ca="1" si="55"/>
        <v>5.168431648516342</v>
      </c>
      <c r="Y87" s="1">
        <f t="shared" ca="1" si="56"/>
        <v>0.83430448491981901</v>
      </c>
      <c r="Z87" s="1">
        <f t="shared" ca="1" si="57"/>
        <v>1085</v>
      </c>
      <c r="AB87" s="1">
        <f t="shared" ca="1" si="58"/>
        <v>0.30643895546790118</v>
      </c>
      <c r="AC87" s="1">
        <f t="shared" ca="1" si="59"/>
        <v>152</v>
      </c>
      <c r="AD87" s="1">
        <f t="shared" ca="1" si="60"/>
        <v>7.6187860233046393E-3</v>
      </c>
      <c r="AE87" s="1"/>
      <c r="AF87" s="1">
        <f t="shared" ca="1" si="61"/>
        <v>0.14533773463462635</v>
      </c>
      <c r="AG87" s="1">
        <f t="shared" ca="1" si="62"/>
        <v>296</v>
      </c>
      <c r="AH87" s="1">
        <f t="shared" ca="1" si="63"/>
        <v>7.1976679319483471E-3</v>
      </c>
      <c r="AJ87" s="1">
        <f t="shared" ca="1" si="64"/>
        <v>7.44451315351502E-2</v>
      </c>
      <c r="AK87" s="1">
        <f t="shared" ca="1" si="65"/>
        <v>8.4910699106119265E-3</v>
      </c>
      <c r="AL87" s="1"/>
      <c r="AM87" s="1">
        <f t="shared" ca="1" si="66"/>
        <v>9.7317863575215782E-2</v>
      </c>
      <c r="AN87" s="1">
        <f t="shared" ca="1" si="67"/>
        <v>41</v>
      </c>
      <c r="AO87" s="1">
        <f t="shared" ca="1" si="68"/>
        <v>3</v>
      </c>
      <c r="AQ87" s="1">
        <f t="shared" ca="1" si="69"/>
        <v>122</v>
      </c>
      <c r="AR87" s="1">
        <f t="shared" ca="1" si="70"/>
        <v>6</v>
      </c>
      <c r="AS87" s="1">
        <f t="shared" ca="1" si="71"/>
        <v>88</v>
      </c>
      <c r="AU87" s="1">
        <f t="shared" ca="1" si="72"/>
        <v>349</v>
      </c>
      <c r="AV87" s="1">
        <f t="shared" ca="1" si="73"/>
        <v>4</v>
      </c>
      <c r="AW87" s="1">
        <f t="shared" ca="1" si="74"/>
        <v>7.5220095517908953E-2</v>
      </c>
      <c r="AY87" s="1">
        <f t="shared" ca="1" si="75"/>
        <v>1.6049193343155208</v>
      </c>
      <c r="AZ87" s="1">
        <f t="shared" ca="1" si="76"/>
        <v>393</v>
      </c>
      <c r="BA87" s="1">
        <f t="shared" ca="1" si="77"/>
        <v>4.9140588428710271E-3</v>
      </c>
    </row>
    <row r="88" spans="2:53" x14ac:dyDescent="0.25">
      <c r="B88">
        <f t="shared" ca="1" si="39"/>
        <v>44</v>
      </c>
      <c r="C88">
        <f t="shared" ca="1" si="40"/>
        <v>29</v>
      </c>
      <c r="D88">
        <f t="shared" ca="1" si="41"/>
        <v>0.26287994553617011</v>
      </c>
      <c r="F88" s="1">
        <f t="shared" ca="1" si="42"/>
        <v>25</v>
      </c>
      <c r="G88" s="1">
        <f t="shared" ca="1" si="43"/>
        <v>6</v>
      </c>
      <c r="H88" s="1">
        <f t="shared" ca="1" si="44"/>
        <v>4</v>
      </c>
      <c r="I88" s="1"/>
      <c r="J88" s="1">
        <f t="shared" ca="1" si="45"/>
        <v>16</v>
      </c>
      <c r="K88" s="1">
        <f t="shared" ca="1" si="46"/>
        <v>1.5247192210682479</v>
      </c>
      <c r="L88" s="1">
        <f t="shared" ca="1" si="47"/>
        <v>25</v>
      </c>
      <c r="M88" s="1"/>
      <c r="N88" s="1">
        <f t="shared" ca="1" si="48"/>
        <v>535</v>
      </c>
      <c r="O88" s="1">
        <f t="shared" ca="1" si="49"/>
        <v>7</v>
      </c>
      <c r="P88" s="1"/>
      <c r="Q88" s="1">
        <f t="shared" ca="1" si="50"/>
        <v>2.0239147524431162</v>
      </c>
      <c r="R88" s="1">
        <f t="shared" ca="1" si="51"/>
        <v>317</v>
      </c>
      <c r="S88" s="1"/>
      <c r="T88" s="1">
        <f t="shared" ca="1" si="52"/>
        <v>0.14258383594932647</v>
      </c>
      <c r="U88" s="1">
        <f t="shared" ca="1" si="53"/>
        <v>113</v>
      </c>
      <c r="V88" s="1">
        <f t="shared" ca="1" si="54"/>
        <v>47</v>
      </c>
      <c r="W88" s="1"/>
      <c r="X88" s="1">
        <f t="shared" ca="1" si="55"/>
        <v>7.5782499375098036</v>
      </c>
      <c r="Y88" s="1">
        <f t="shared" ca="1" si="56"/>
        <v>0.92052285783119592</v>
      </c>
      <c r="Z88" s="1">
        <f t="shared" ca="1" si="57"/>
        <v>1518</v>
      </c>
      <c r="AB88" s="1">
        <f t="shared" ca="1" si="58"/>
        <v>0.47414983033685199</v>
      </c>
      <c r="AC88" s="1">
        <f t="shared" ca="1" si="59"/>
        <v>559</v>
      </c>
      <c r="AD88" s="1">
        <f t="shared" ca="1" si="60"/>
        <v>2.4770461738214951E-3</v>
      </c>
      <c r="AE88" s="1"/>
      <c r="AF88" s="1">
        <f t="shared" ca="1" si="61"/>
        <v>0.50419570175542672</v>
      </c>
      <c r="AG88" s="1">
        <f t="shared" ca="1" si="62"/>
        <v>894</v>
      </c>
      <c r="AH88" s="1">
        <f t="shared" ca="1" si="63"/>
        <v>4.683794961527773E-3</v>
      </c>
      <c r="AJ88" s="1">
        <f t="shared" ca="1" si="64"/>
        <v>0.17071655713813283</v>
      </c>
      <c r="AK88" s="1">
        <f t="shared" ca="1" si="65"/>
        <v>7.8117171013265714E-3</v>
      </c>
      <c r="AL88" s="1"/>
      <c r="AM88" s="1">
        <f t="shared" ca="1" si="66"/>
        <v>5.0810889464335721E-2</v>
      </c>
      <c r="AN88" s="1">
        <f t="shared" ca="1" si="67"/>
        <v>43</v>
      </c>
      <c r="AO88" s="1">
        <f t="shared" ca="1" si="68"/>
        <v>3</v>
      </c>
      <c r="AQ88" s="1">
        <f t="shared" ca="1" si="69"/>
        <v>134</v>
      </c>
      <c r="AR88" s="1">
        <f t="shared" ca="1" si="70"/>
        <v>9</v>
      </c>
      <c r="AS88" s="1">
        <f t="shared" ca="1" si="71"/>
        <v>45</v>
      </c>
      <c r="AU88" s="1">
        <f t="shared" ca="1" si="72"/>
        <v>51</v>
      </c>
      <c r="AV88" s="1">
        <f t="shared" ca="1" si="73"/>
        <v>7</v>
      </c>
      <c r="AW88" s="1">
        <f t="shared" ca="1" si="74"/>
        <v>9.8048012287528324E-2</v>
      </c>
      <c r="AY88" s="1">
        <f t="shared" ca="1" si="75"/>
        <v>1.6723529058859703</v>
      </c>
      <c r="AZ88" s="1">
        <f t="shared" ca="1" si="76"/>
        <v>174</v>
      </c>
      <c r="BA88" s="1">
        <f t="shared" ca="1" si="77"/>
        <v>8.8902639487860417E-3</v>
      </c>
    </row>
    <row r="89" spans="2:53" x14ac:dyDescent="0.25">
      <c r="B89">
        <f t="shared" ca="1" si="39"/>
        <v>369</v>
      </c>
      <c r="C89">
        <f t="shared" ca="1" si="40"/>
        <v>5</v>
      </c>
      <c r="D89">
        <f t="shared" ca="1" si="41"/>
        <v>0.10394205372509789</v>
      </c>
      <c r="F89" s="1">
        <f t="shared" ca="1" si="42"/>
        <v>5</v>
      </c>
      <c r="G89" s="1">
        <f t="shared" ca="1" si="43"/>
        <v>5</v>
      </c>
      <c r="H89" s="1">
        <f t="shared" ca="1" si="44"/>
        <v>9</v>
      </c>
      <c r="I89" s="1"/>
      <c r="J89" s="1">
        <f t="shared" ca="1" si="45"/>
        <v>10</v>
      </c>
      <c r="K89" s="1">
        <f t="shared" ca="1" si="46"/>
        <v>1.190668737415945</v>
      </c>
      <c r="L89" s="1">
        <f t="shared" ca="1" si="47"/>
        <v>25</v>
      </c>
      <c r="M89" s="1"/>
      <c r="N89" s="1">
        <f t="shared" ca="1" si="48"/>
        <v>44</v>
      </c>
      <c r="O89" s="1">
        <f t="shared" ca="1" si="49"/>
        <v>50</v>
      </c>
      <c r="P89" s="1"/>
      <c r="Q89" s="1">
        <f t="shared" ca="1" si="50"/>
        <v>4.0835395876368752</v>
      </c>
      <c r="R89" s="1">
        <f t="shared" ca="1" si="51"/>
        <v>1014</v>
      </c>
      <c r="S89" s="1"/>
      <c r="T89" s="1">
        <f t="shared" ca="1" si="52"/>
        <v>7.6409783735330389E-2</v>
      </c>
      <c r="U89" s="1">
        <f t="shared" ca="1" si="53"/>
        <v>298</v>
      </c>
      <c r="V89" s="1">
        <f t="shared" ca="1" si="54"/>
        <v>42</v>
      </c>
      <c r="W89" s="1"/>
      <c r="X89" s="1">
        <f t="shared" ca="1" si="55"/>
        <v>4.8706354655234785</v>
      </c>
      <c r="Y89" s="1">
        <f t="shared" ca="1" si="56"/>
        <v>0.56949993630346396</v>
      </c>
      <c r="Z89" s="1">
        <f t="shared" ca="1" si="57"/>
        <v>1399</v>
      </c>
      <c r="AB89" s="1">
        <f t="shared" ca="1" si="58"/>
        <v>0.42834029180622141</v>
      </c>
      <c r="AC89" s="1">
        <f t="shared" ca="1" si="59"/>
        <v>845</v>
      </c>
      <c r="AD89" s="1">
        <f t="shared" ca="1" si="60"/>
        <v>2.2674100343887909E-3</v>
      </c>
      <c r="AE89" s="1"/>
      <c r="AF89" s="1">
        <f t="shared" ca="1" si="61"/>
        <v>0.72503125545003311</v>
      </c>
      <c r="AG89" s="1">
        <f t="shared" ca="1" si="62"/>
        <v>641</v>
      </c>
      <c r="AH89" s="1">
        <f t="shared" ca="1" si="63"/>
        <v>1.4350485112767527E-3</v>
      </c>
      <c r="AJ89" s="1">
        <f t="shared" ca="1" si="64"/>
        <v>0.28965987078239197</v>
      </c>
      <c r="AK89" s="1">
        <f t="shared" ca="1" si="65"/>
        <v>5.4748726424713526E-3</v>
      </c>
      <c r="AL89" s="1"/>
      <c r="AM89" s="1">
        <f t="shared" ca="1" si="66"/>
        <v>0.16260071740722601</v>
      </c>
      <c r="AN89" s="1">
        <f t="shared" ca="1" si="67"/>
        <v>62</v>
      </c>
      <c r="AO89" s="1">
        <f t="shared" ca="1" si="68"/>
        <v>0</v>
      </c>
      <c r="AQ89" s="1">
        <f t="shared" ca="1" si="69"/>
        <v>158</v>
      </c>
      <c r="AR89" s="1">
        <f t="shared" ca="1" si="70"/>
        <v>8</v>
      </c>
      <c r="AS89" s="1">
        <f t="shared" ca="1" si="71"/>
        <v>20</v>
      </c>
      <c r="AU89" s="1">
        <f t="shared" ca="1" si="72"/>
        <v>140</v>
      </c>
      <c r="AV89" s="1">
        <f t="shared" ca="1" si="73"/>
        <v>6</v>
      </c>
      <c r="AW89" s="1">
        <f t="shared" ca="1" si="74"/>
        <v>8.9891680306394231E-2</v>
      </c>
      <c r="AY89" s="1">
        <f t="shared" ca="1" si="75"/>
        <v>1.7421795503999049</v>
      </c>
      <c r="AZ89" s="1">
        <f t="shared" ca="1" si="76"/>
        <v>86</v>
      </c>
      <c r="BA89" s="1">
        <f t="shared" ca="1" si="77"/>
        <v>7.8912539822441324E-3</v>
      </c>
    </row>
    <row r="90" spans="2:53" x14ac:dyDescent="0.25">
      <c r="B90">
        <f t="shared" ca="1" si="39"/>
        <v>127</v>
      </c>
      <c r="C90">
        <f t="shared" ca="1" si="40"/>
        <v>17</v>
      </c>
      <c r="D90">
        <f t="shared" ca="1" si="41"/>
        <v>0.17181818051515046</v>
      </c>
      <c r="F90" s="1">
        <f t="shared" ca="1" si="42"/>
        <v>11</v>
      </c>
      <c r="G90" s="1">
        <f t="shared" ca="1" si="43"/>
        <v>9</v>
      </c>
      <c r="H90" s="1">
        <f t="shared" ca="1" si="44"/>
        <v>11</v>
      </c>
      <c r="I90" s="1"/>
      <c r="J90" s="1">
        <f t="shared" ca="1" si="45"/>
        <v>9</v>
      </c>
      <c r="K90" s="1">
        <f t="shared" ca="1" si="46"/>
        <v>2.2758843714943038</v>
      </c>
      <c r="L90" s="1">
        <f t="shared" ca="1" si="47"/>
        <v>20</v>
      </c>
      <c r="M90" s="1"/>
      <c r="N90" s="1">
        <f t="shared" ca="1" si="48"/>
        <v>796</v>
      </c>
      <c r="O90" s="1">
        <f t="shared" ca="1" si="49"/>
        <v>52</v>
      </c>
      <c r="P90" s="1"/>
      <c r="Q90" s="1">
        <f t="shared" ca="1" si="50"/>
        <v>4.7752800559775093</v>
      </c>
      <c r="R90" s="1">
        <f t="shared" ca="1" si="51"/>
        <v>276</v>
      </c>
      <c r="S90" s="1"/>
      <c r="T90" s="1">
        <f t="shared" ca="1" si="52"/>
        <v>7.5813818867823179E-2</v>
      </c>
      <c r="U90" s="1">
        <f t="shared" ca="1" si="53"/>
        <v>117</v>
      </c>
      <c r="V90" s="1">
        <f t="shared" ca="1" si="54"/>
        <v>35</v>
      </c>
      <c r="W90" s="1"/>
      <c r="X90" s="1">
        <f t="shared" ca="1" si="55"/>
        <v>8.6219782387912129</v>
      </c>
      <c r="Y90" s="1">
        <f t="shared" ca="1" si="56"/>
        <v>0.56825333142090428</v>
      </c>
      <c r="Z90" s="1">
        <f t="shared" ca="1" si="57"/>
        <v>1408</v>
      </c>
      <c r="AB90" s="1">
        <f t="shared" ca="1" si="58"/>
        <v>0.95077382925278497</v>
      </c>
      <c r="AC90" s="1">
        <f t="shared" ca="1" si="59"/>
        <v>947</v>
      </c>
      <c r="AD90" s="1">
        <f t="shared" ca="1" si="60"/>
        <v>1.793828747249754E-3</v>
      </c>
      <c r="AE90" s="1"/>
      <c r="AF90" s="1">
        <f t="shared" ca="1" si="61"/>
        <v>0.6693328081847143</v>
      </c>
      <c r="AG90" s="1">
        <f t="shared" ca="1" si="62"/>
        <v>227</v>
      </c>
      <c r="AH90" s="1">
        <f t="shared" ca="1" si="63"/>
        <v>1.0220149251971725E-3</v>
      </c>
      <c r="AJ90" s="1">
        <f t="shared" ca="1" si="64"/>
        <v>0.35779655535770949</v>
      </c>
      <c r="AK90" s="1">
        <f t="shared" ca="1" si="65"/>
        <v>2.174404604836627E-3</v>
      </c>
      <c r="AL90" s="1"/>
      <c r="AM90" s="1">
        <f t="shared" ca="1" si="66"/>
        <v>5.0316322569736512E-2</v>
      </c>
      <c r="AN90" s="1">
        <f t="shared" ca="1" si="67"/>
        <v>23</v>
      </c>
      <c r="AO90" s="1">
        <f t="shared" ca="1" si="68"/>
        <v>17</v>
      </c>
      <c r="AQ90" s="1">
        <f t="shared" ca="1" si="69"/>
        <v>71</v>
      </c>
      <c r="AR90" s="1">
        <f t="shared" ca="1" si="70"/>
        <v>9</v>
      </c>
      <c r="AS90" s="1">
        <f t="shared" ca="1" si="71"/>
        <v>30</v>
      </c>
      <c r="AU90" s="1">
        <f t="shared" ca="1" si="72"/>
        <v>359</v>
      </c>
      <c r="AV90" s="1">
        <f t="shared" ca="1" si="73"/>
        <v>2</v>
      </c>
      <c r="AW90" s="1">
        <f t="shared" ca="1" si="74"/>
        <v>0.1953287459843612</v>
      </c>
      <c r="AY90" s="1">
        <f t="shared" ca="1" si="75"/>
        <v>1.2478055656487304</v>
      </c>
      <c r="AZ90" s="1">
        <f t="shared" ca="1" si="76"/>
        <v>389</v>
      </c>
      <c r="BA90" s="1">
        <f t="shared" ca="1" si="77"/>
        <v>9.2718284132501331E-3</v>
      </c>
    </row>
    <row r="91" spans="2:53" x14ac:dyDescent="0.25">
      <c r="B91">
        <f t="shared" ca="1" si="39"/>
        <v>662</v>
      </c>
      <c r="C91">
        <f t="shared" ca="1" si="40"/>
        <v>36</v>
      </c>
      <c r="D91">
        <f t="shared" ca="1" si="41"/>
        <v>9.6908356674399232E-2</v>
      </c>
      <c r="F91" s="1">
        <f t="shared" ca="1" si="42"/>
        <v>22</v>
      </c>
      <c r="G91" s="1">
        <f t="shared" ca="1" si="43"/>
        <v>12</v>
      </c>
      <c r="H91" s="1">
        <f t="shared" ca="1" si="44"/>
        <v>6</v>
      </c>
      <c r="I91" s="1"/>
      <c r="J91" s="1">
        <f t="shared" ca="1" si="45"/>
        <v>25</v>
      </c>
      <c r="K91" s="1">
        <f t="shared" ca="1" si="46"/>
        <v>1.1832469136103929</v>
      </c>
      <c r="L91" s="1">
        <f t="shared" ca="1" si="47"/>
        <v>35</v>
      </c>
      <c r="M91" s="1"/>
      <c r="N91" s="1">
        <f t="shared" ca="1" si="48"/>
        <v>618</v>
      </c>
      <c r="O91" s="1">
        <f t="shared" ca="1" si="49"/>
        <v>49</v>
      </c>
      <c r="P91" s="1"/>
      <c r="Q91" s="1">
        <f t="shared" ca="1" si="50"/>
        <v>4.9146020105111727</v>
      </c>
      <c r="R91" s="1">
        <f t="shared" ca="1" si="51"/>
        <v>395</v>
      </c>
      <c r="S91" s="1"/>
      <c r="T91" s="1">
        <f t="shared" ca="1" si="52"/>
        <v>0.1966567723153512</v>
      </c>
      <c r="U91" s="1">
        <f t="shared" ca="1" si="53"/>
        <v>443</v>
      </c>
      <c r="V91" s="1">
        <f t="shared" ca="1" si="54"/>
        <v>7</v>
      </c>
      <c r="W91" s="1"/>
      <c r="X91" s="1">
        <f t="shared" ca="1" si="55"/>
        <v>0.40183448506540886</v>
      </c>
      <c r="Y91" s="1">
        <f t="shared" ca="1" si="56"/>
        <v>0.38528044237392789</v>
      </c>
      <c r="Z91" s="1">
        <f t="shared" ca="1" si="57"/>
        <v>721</v>
      </c>
      <c r="AB91" s="1">
        <f t="shared" ca="1" si="58"/>
        <v>0.27477281265483089</v>
      </c>
      <c r="AC91" s="1">
        <f t="shared" ca="1" si="59"/>
        <v>193</v>
      </c>
      <c r="AD91" s="1">
        <f t="shared" ca="1" si="60"/>
        <v>4.6364216682247559E-3</v>
      </c>
      <c r="AE91" s="1"/>
      <c r="AF91" s="1">
        <f t="shared" ca="1" si="61"/>
        <v>0.43168676462108602</v>
      </c>
      <c r="AG91" s="1">
        <f t="shared" ca="1" si="62"/>
        <v>104</v>
      </c>
      <c r="AH91" s="1">
        <f t="shared" ca="1" si="63"/>
        <v>5.5894577102613818E-3</v>
      </c>
      <c r="AJ91" s="1">
        <f t="shared" ca="1" si="64"/>
        <v>6.7248272941183407E-2</v>
      </c>
      <c r="AK91" s="1">
        <f t="shared" ca="1" si="65"/>
        <v>1.4149576442316855E-3</v>
      </c>
      <c r="AL91" s="1"/>
      <c r="AM91" s="1">
        <f t="shared" ca="1" si="66"/>
        <v>1.6662433316339566E-2</v>
      </c>
      <c r="AN91" s="1">
        <f t="shared" ca="1" si="67"/>
        <v>77</v>
      </c>
      <c r="AO91" s="1">
        <f t="shared" ca="1" si="68"/>
        <v>2</v>
      </c>
      <c r="AQ91" s="1">
        <f t="shared" ca="1" si="69"/>
        <v>11</v>
      </c>
      <c r="AR91" s="1">
        <f t="shared" ca="1" si="70"/>
        <v>3</v>
      </c>
      <c r="AS91" s="1">
        <f t="shared" ca="1" si="71"/>
        <v>79</v>
      </c>
      <c r="AU91" s="1">
        <f t="shared" ca="1" si="72"/>
        <v>101</v>
      </c>
      <c r="AV91" s="1">
        <f t="shared" ca="1" si="73"/>
        <v>2</v>
      </c>
      <c r="AW91" s="1">
        <f t="shared" ca="1" si="74"/>
        <v>0.18329098747164632</v>
      </c>
      <c r="AY91" s="1">
        <f t="shared" ca="1" si="75"/>
        <v>1.4456403609772397</v>
      </c>
      <c r="AZ91" s="1">
        <f t="shared" ca="1" si="76"/>
        <v>469</v>
      </c>
      <c r="BA91" s="1">
        <f t="shared" ca="1" si="77"/>
        <v>7.7216174764039658E-4</v>
      </c>
    </row>
    <row r="92" spans="2:53" x14ac:dyDescent="0.25">
      <c r="B92">
        <f t="shared" ca="1" si="39"/>
        <v>843</v>
      </c>
      <c r="C92">
        <f t="shared" ca="1" si="40"/>
        <v>32</v>
      </c>
      <c r="D92">
        <f t="shared" ca="1" si="41"/>
        <v>0.26232806012548499</v>
      </c>
      <c r="F92" s="1">
        <f t="shared" ca="1" si="42"/>
        <v>10</v>
      </c>
      <c r="G92" s="1">
        <f t="shared" ca="1" si="43"/>
        <v>5</v>
      </c>
      <c r="H92" s="1">
        <f t="shared" ca="1" si="44"/>
        <v>9</v>
      </c>
      <c r="I92" s="1"/>
      <c r="J92" s="1">
        <f t="shared" ca="1" si="45"/>
        <v>3</v>
      </c>
      <c r="K92" s="1">
        <f t="shared" ca="1" si="46"/>
        <v>2.0587061701996596</v>
      </c>
      <c r="L92" s="1">
        <f t="shared" ca="1" si="47"/>
        <v>34</v>
      </c>
      <c r="M92" s="1"/>
      <c r="N92" s="1">
        <f t="shared" ca="1" si="48"/>
        <v>402</v>
      </c>
      <c r="O92" s="1">
        <f t="shared" ca="1" si="49"/>
        <v>6</v>
      </c>
      <c r="P92" s="1"/>
      <c r="Q92" s="1">
        <f t="shared" ca="1" si="50"/>
        <v>3.0090690611022612</v>
      </c>
      <c r="R92" s="1">
        <f t="shared" ca="1" si="51"/>
        <v>1127</v>
      </c>
      <c r="S92" s="1"/>
      <c r="T92" s="1">
        <f t="shared" ca="1" si="52"/>
        <v>0.13664241211551656</v>
      </c>
      <c r="U92" s="1">
        <f t="shared" ca="1" si="53"/>
        <v>280</v>
      </c>
      <c r="V92" s="1">
        <f t="shared" ca="1" si="54"/>
        <v>7</v>
      </c>
      <c r="W92" s="1"/>
      <c r="X92" s="1">
        <f t="shared" ca="1" si="55"/>
        <v>6.2273027596447985</v>
      </c>
      <c r="Y92" s="1">
        <f t="shared" ca="1" si="56"/>
        <v>0.74314462423642291</v>
      </c>
      <c r="Z92" s="1">
        <f t="shared" ca="1" si="57"/>
        <v>756</v>
      </c>
      <c r="AB92" s="1">
        <f t="shared" ca="1" si="58"/>
        <v>0.60995410018615781</v>
      </c>
      <c r="AC92" s="1">
        <f t="shared" ca="1" si="59"/>
        <v>348</v>
      </c>
      <c r="AD92" s="1">
        <f t="shared" ca="1" si="60"/>
        <v>3.4990736075603845E-3</v>
      </c>
      <c r="AE92" s="1"/>
      <c r="AF92" s="1">
        <f t="shared" ca="1" si="61"/>
        <v>0.39478403952257834</v>
      </c>
      <c r="AG92" s="1">
        <f t="shared" ca="1" si="62"/>
        <v>992</v>
      </c>
      <c r="AH92" s="1">
        <f t="shared" ca="1" si="63"/>
        <v>4.8805078366989775E-3</v>
      </c>
      <c r="AJ92" s="1">
        <f t="shared" ca="1" si="64"/>
        <v>0.50864319886945575</v>
      </c>
      <c r="AK92" s="1">
        <f t="shared" ca="1" si="65"/>
        <v>9.2987654453303582E-3</v>
      </c>
      <c r="AL92" s="1"/>
      <c r="AM92" s="1">
        <f t="shared" ca="1" si="66"/>
        <v>0.19476464998055137</v>
      </c>
      <c r="AN92" s="1">
        <f t="shared" ca="1" si="67"/>
        <v>50</v>
      </c>
      <c r="AO92" s="1">
        <f t="shared" ca="1" si="68"/>
        <v>14</v>
      </c>
      <c r="AQ92" s="1">
        <f t="shared" ca="1" si="69"/>
        <v>169</v>
      </c>
      <c r="AR92" s="1">
        <f t="shared" ca="1" si="70"/>
        <v>3</v>
      </c>
      <c r="AS92" s="1">
        <f t="shared" ca="1" si="71"/>
        <v>53</v>
      </c>
      <c r="AU92" s="1">
        <f t="shared" ca="1" si="72"/>
        <v>321</v>
      </c>
      <c r="AV92" s="1">
        <f t="shared" ca="1" si="73"/>
        <v>5</v>
      </c>
      <c r="AW92" s="1">
        <f t="shared" ca="1" si="74"/>
        <v>6.3109941017974944E-2</v>
      </c>
      <c r="AY92" s="1">
        <f t="shared" ca="1" si="75"/>
        <v>1.1366544378719938</v>
      </c>
      <c r="AZ92" s="1">
        <f t="shared" ca="1" si="76"/>
        <v>204</v>
      </c>
      <c r="BA92" s="1">
        <f t="shared" ca="1" si="77"/>
        <v>3.8866082936624751E-3</v>
      </c>
    </row>
    <row r="93" spans="2:53" x14ac:dyDescent="0.25">
      <c r="B93">
        <f t="shared" ca="1" si="39"/>
        <v>346</v>
      </c>
      <c r="C93">
        <f t="shared" ca="1" si="40"/>
        <v>18</v>
      </c>
      <c r="D93">
        <f t="shared" ca="1" si="41"/>
        <v>0.16193242438788191</v>
      </c>
      <c r="F93" s="1">
        <f t="shared" ca="1" si="42"/>
        <v>43</v>
      </c>
      <c r="G93" s="1">
        <f t="shared" ca="1" si="43"/>
        <v>18</v>
      </c>
      <c r="H93" s="1">
        <f t="shared" ca="1" si="44"/>
        <v>4</v>
      </c>
      <c r="I93" s="1"/>
      <c r="J93" s="1">
        <f t="shared" ca="1" si="45"/>
        <v>29</v>
      </c>
      <c r="K93" s="1">
        <f t="shared" ca="1" si="46"/>
        <v>2.9520465225779624</v>
      </c>
      <c r="L93" s="1">
        <f t="shared" ca="1" si="47"/>
        <v>10</v>
      </c>
      <c r="M93" s="1"/>
      <c r="N93" s="1">
        <f t="shared" ca="1" si="48"/>
        <v>167</v>
      </c>
      <c r="O93" s="1">
        <f t="shared" ca="1" si="49"/>
        <v>7</v>
      </c>
      <c r="P93" s="1"/>
      <c r="Q93" s="1">
        <f t="shared" ca="1" si="50"/>
        <v>4.6776070594428729</v>
      </c>
      <c r="R93" s="1">
        <f t="shared" ca="1" si="51"/>
        <v>492</v>
      </c>
      <c r="S93" s="1"/>
      <c r="T93" s="1">
        <f t="shared" ca="1" si="52"/>
        <v>0.17094565906581319</v>
      </c>
      <c r="U93" s="1">
        <f t="shared" ca="1" si="53"/>
        <v>58</v>
      </c>
      <c r="V93" s="1">
        <f t="shared" ca="1" si="54"/>
        <v>21</v>
      </c>
      <c r="W93" s="1"/>
      <c r="X93" s="1">
        <f t="shared" ca="1" si="55"/>
        <v>2.6640623420598657</v>
      </c>
      <c r="Y93" s="1">
        <f t="shared" ca="1" si="56"/>
        <v>0.97446795065751235</v>
      </c>
      <c r="Z93" s="1">
        <f t="shared" ca="1" si="57"/>
        <v>948</v>
      </c>
      <c r="AB93" s="1">
        <f t="shared" ca="1" si="58"/>
        <v>5.4633314751507872E-2</v>
      </c>
      <c r="AC93" s="1">
        <f t="shared" ca="1" si="59"/>
        <v>364</v>
      </c>
      <c r="AD93" s="1">
        <f t="shared" ca="1" si="60"/>
        <v>7.6383878155434808E-3</v>
      </c>
      <c r="AE93" s="1"/>
      <c r="AF93" s="1">
        <f t="shared" ca="1" si="61"/>
        <v>0.26638806515631852</v>
      </c>
      <c r="AG93" s="1">
        <f t="shared" ca="1" si="62"/>
        <v>453</v>
      </c>
      <c r="AH93" s="1">
        <f t="shared" ca="1" si="63"/>
        <v>1.1503828529475016E-3</v>
      </c>
      <c r="AJ93" s="1">
        <f t="shared" ca="1" si="64"/>
        <v>0.42859640848295943</v>
      </c>
      <c r="AK93" s="1">
        <f t="shared" ca="1" si="65"/>
        <v>5.714951277798988E-3</v>
      </c>
      <c r="AL93" s="1"/>
      <c r="AM93" s="1">
        <f t="shared" ca="1" si="66"/>
        <v>8.9093300767223577E-2</v>
      </c>
      <c r="AN93" s="1">
        <f t="shared" ca="1" si="67"/>
        <v>14</v>
      </c>
      <c r="AO93" s="1">
        <f t="shared" ca="1" si="68"/>
        <v>19</v>
      </c>
      <c r="AQ93" s="1">
        <f t="shared" ca="1" si="69"/>
        <v>116</v>
      </c>
      <c r="AR93" s="1">
        <f t="shared" ca="1" si="70"/>
        <v>10</v>
      </c>
      <c r="AS93" s="1">
        <f t="shared" ca="1" si="71"/>
        <v>47</v>
      </c>
      <c r="AU93" s="1">
        <f t="shared" ca="1" si="72"/>
        <v>190</v>
      </c>
      <c r="AV93" s="1">
        <f t="shared" ca="1" si="73"/>
        <v>2</v>
      </c>
      <c r="AW93" s="1">
        <f t="shared" ca="1" si="74"/>
        <v>4.5429743237890098E-2</v>
      </c>
      <c r="AY93" s="1">
        <f t="shared" ca="1" si="75"/>
        <v>1.4151376912366791</v>
      </c>
      <c r="AZ93" s="1">
        <f t="shared" ca="1" si="76"/>
        <v>358</v>
      </c>
      <c r="BA93" s="1">
        <f t="shared" ca="1" si="77"/>
        <v>2.3799147474661206E-3</v>
      </c>
    </row>
    <row r="94" spans="2:53" x14ac:dyDescent="0.25">
      <c r="B94">
        <f t="shared" ca="1" si="39"/>
        <v>196</v>
      </c>
      <c r="C94">
        <f t="shared" ca="1" si="40"/>
        <v>6</v>
      </c>
      <c r="D94">
        <f t="shared" ca="1" si="41"/>
        <v>0.2765362949042906</v>
      </c>
      <c r="F94" s="1">
        <f t="shared" ca="1" si="42"/>
        <v>14</v>
      </c>
      <c r="G94" s="1">
        <f t="shared" ca="1" si="43"/>
        <v>2</v>
      </c>
      <c r="H94" s="1">
        <f t="shared" ca="1" si="44"/>
        <v>9</v>
      </c>
      <c r="I94" s="1"/>
      <c r="J94" s="1">
        <f t="shared" ca="1" si="45"/>
        <v>1</v>
      </c>
      <c r="K94" s="1">
        <f t="shared" ca="1" si="46"/>
        <v>1.2815748619220702</v>
      </c>
      <c r="L94" s="1">
        <f t="shared" ca="1" si="47"/>
        <v>34</v>
      </c>
      <c r="M94" s="1"/>
      <c r="N94" s="1">
        <f t="shared" ca="1" si="48"/>
        <v>78</v>
      </c>
      <c r="O94" s="1">
        <f t="shared" ca="1" si="49"/>
        <v>36</v>
      </c>
      <c r="P94" s="1"/>
      <c r="Q94" s="1">
        <f t="shared" ca="1" si="50"/>
        <v>0.97727462330245551</v>
      </c>
      <c r="R94" s="1">
        <f t="shared" ca="1" si="51"/>
        <v>1097</v>
      </c>
      <c r="S94" s="1"/>
      <c r="T94" s="1">
        <f t="shared" ca="1" si="52"/>
        <v>8.949833617194411E-2</v>
      </c>
      <c r="U94" s="1">
        <f t="shared" ca="1" si="53"/>
        <v>363</v>
      </c>
      <c r="V94" s="1">
        <f t="shared" ca="1" si="54"/>
        <v>37</v>
      </c>
      <c r="W94" s="1"/>
      <c r="X94" s="1">
        <f t="shared" ca="1" si="55"/>
        <v>6.6791834738155682</v>
      </c>
      <c r="Y94" s="1">
        <f t="shared" ca="1" si="56"/>
        <v>9.8207550103594957E-2</v>
      </c>
      <c r="Z94" s="1">
        <f t="shared" ca="1" si="57"/>
        <v>1180</v>
      </c>
      <c r="AB94" s="1">
        <f t="shared" ca="1" si="58"/>
        <v>6.7539879465554745E-2</v>
      </c>
      <c r="AC94" s="1">
        <f t="shared" ca="1" si="59"/>
        <v>529</v>
      </c>
      <c r="AD94" s="1">
        <f t="shared" ca="1" si="60"/>
        <v>9.1634870339523476E-3</v>
      </c>
      <c r="AE94" s="1"/>
      <c r="AF94" s="1">
        <f t="shared" ca="1" si="61"/>
        <v>0.70187112783415451</v>
      </c>
      <c r="AG94" s="1">
        <f t="shared" ca="1" si="62"/>
        <v>649</v>
      </c>
      <c r="AH94" s="1">
        <f t="shared" ca="1" si="63"/>
        <v>6.2431613054298495E-3</v>
      </c>
      <c r="AJ94" s="1">
        <f t="shared" ca="1" si="64"/>
        <v>0.98497310806785299</v>
      </c>
      <c r="AK94" s="1">
        <f t="shared" ca="1" si="65"/>
        <v>3.4804988107890195E-3</v>
      </c>
      <c r="AL94" s="1"/>
      <c r="AM94" s="1">
        <f t="shared" ca="1" si="66"/>
        <v>1.0999953735195443E-2</v>
      </c>
      <c r="AN94" s="1">
        <f t="shared" ca="1" si="67"/>
        <v>53</v>
      </c>
      <c r="AO94" s="1">
        <f t="shared" ca="1" si="68"/>
        <v>15</v>
      </c>
      <c r="AQ94" s="1">
        <f t="shared" ca="1" si="69"/>
        <v>153</v>
      </c>
      <c r="AR94" s="1">
        <f t="shared" ca="1" si="70"/>
        <v>7</v>
      </c>
      <c r="AS94" s="1">
        <f t="shared" ca="1" si="71"/>
        <v>30</v>
      </c>
      <c r="AU94" s="1">
        <f t="shared" ca="1" si="72"/>
        <v>266</v>
      </c>
      <c r="AV94" s="1">
        <f t="shared" ca="1" si="73"/>
        <v>8</v>
      </c>
      <c r="AW94" s="1">
        <f t="shared" ca="1" si="74"/>
        <v>0.16086289734920037</v>
      </c>
      <c r="AY94" s="1">
        <f t="shared" ca="1" si="75"/>
        <v>1.6474231021012491</v>
      </c>
      <c r="AZ94" s="1">
        <f t="shared" ca="1" si="76"/>
        <v>239</v>
      </c>
      <c r="BA94" s="1">
        <f t="shared" ca="1" si="77"/>
        <v>3.1338587740199794E-3</v>
      </c>
    </row>
    <row r="95" spans="2:53" x14ac:dyDescent="0.25">
      <c r="B95">
        <f t="shared" ca="1" si="39"/>
        <v>466</v>
      </c>
      <c r="C95">
        <f t="shared" ca="1" si="40"/>
        <v>34</v>
      </c>
      <c r="D95">
        <f t="shared" ca="1" si="41"/>
        <v>7.8226357783979517E-2</v>
      </c>
      <c r="F95" s="1">
        <f t="shared" ca="1" si="42"/>
        <v>33</v>
      </c>
      <c r="G95" s="1">
        <f t="shared" ca="1" si="43"/>
        <v>7</v>
      </c>
      <c r="H95" s="1">
        <f t="shared" ca="1" si="44"/>
        <v>7</v>
      </c>
      <c r="I95" s="1"/>
      <c r="J95" s="1">
        <f t="shared" ca="1" si="45"/>
        <v>39</v>
      </c>
      <c r="K95" s="1">
        <f t="shared" ca="1" si="46"/>
        <v>2.7657120931222545</v>
      </c>
      <c r="L95" s="1">
        <f t="shared" ca="1" si="47"/>
        <v>18</v>
      </c>
      <c r="M95" s="1"/>
      <c r="N95" s="1">
        <f t="shared" ca="1" si="48"/>
        <v>800</v>
      </c>
      <c r="O95" s="1">
        <f t="shared" ca="1" si="49"/>
        <v>27</v>
      </c>
      <c r="P95" s="1"/>
      <c r="Q95" s="1">
        <f t="shared" ca="1" si="50"/>
        <v>2.2017064474855088</v>
      </c>
      <c r="R95" s="1">
        <f t="shared" ca="1" si="51"/>
        <v>592</v>
      </c>
      <c r="S95" s="1"/>
      <c r="T95" s="1">
        <f t="shared" ca="1" si="52"/>
        <v>0.18317512946305187</v>
      </c>
      <c r="U95" s="1">
        <f t="shared" ca="1" si="53"/>
        <v>100</v>
      </c>
      <c r="V95" s="1">
        <f t="shared" ca="1" si="54"/>
        <v>11</v>
      </c>
      <c r="W95" s="1"/>
      <c r="X95" s="1">
        <f t="shared" ca="1" si="55"/>
        <v>6.9650353269444061</v>
      </c>
      <c r="Y95" s="1">
        <f t="shared" ca="1" si="56"/>
        <v>0.66847313399078989</v>
      </c>
      <c r="Z95" s="1">
        <f t="shared" ca="1" si="57"/>
        <v>309</v>
      </c>
      <c r="AB95" s="1">
        <f t="shared" ca="1" si="58"/>
        <v>0.77786440618061714</v>
      </c>
      <c r="AC95" s="1">
        <f t="shared" ca="1" si="59"/>
        <v>933</v>
      </c>
      <c r="AD95" s="1">
        <f t="shared" ca="1" si="60"/>
        <v>3.8226252087602266E-3</v>
      </c>
      <c r="AE95" s="1"/>
      <c r="AF95" s="1">
        <f t="shared" ca="1" si="61"/>
        <v>0.68586732012216767</v>
      </c>
      <c r="AG95" s="1">
        <f t="shared" ca="1" si="62"/>
        <v>755</v>
      </c>
      <c r="AH95" s="1">
        <f t="shared" ca="1" si="63"/>
        <v>2.6300422967924348E-3</v>
      </c>
      <c r="AJ95" s="1">
        <f t="shared" ca="1" si="64"/>
        <v>0.85245377007647494</v>
      </c>
      <c r="AK95" s="1">
        <f t="shared" ca="1" si="65"/>
        <v>9.2304936300357712E-3</v>
      </c>
      <c r="AL95" s="1"/>
      <c r="AM95" s="1">
        <f t="shared" ca="1" si="66"/>
        <v>8.4523356678338213E-2</v>
      </c>
      <c r="AN95" s="1">
        <f t="shared" ca="1" si="67"/>
        <v>13</v>
      </c>
      <c r="AO95" s="1">
        <f t="shared" ca="1" si="68"/>
        <v>11</v>
      </c>
      <c r="AQ95" s="1">
        <f t="shared" ca="1" si="69"/>
        <v>83</v>
      </c>
      <c r="AR95" s="1">
        <f t="shared" ca="1" si="70"/>
        <v>10</v>
      </c>
      <c r="AS95" s="1">
        <f t="shared" ca="1" si="71"/>
        <v>60</v>
      </c>
      <c r="AU95" s="1">
        <f t="shared" ca="1" si="72"/>
        <v>287</v>
      </c>
      <c r="AV95" s="1">
        <f t="shared" ca="1" si="73"/>
        <v>10</v>
      </c>
      <c r="AW95" s="1">
        <f t="shared" ca="1" si="74"/>
        <v>5.2293899725550069E-2</v>
      </c>
      <c r="AY95" s="1">
        <f t="shared" ca="1" si="75"/>
        <v>1.605301439194422</v>
      </c>
      <c r="AZ95" s="1">
        <f t="shared" ca="1" si="76"/>
        <v>466</v>
      </c>
      <c r="BA95" s="1">
        <f t="shared" ca="1" si="77"/>
        <v>2.5878204411329112E-3</v>
      </c>
    </row>
    <row r="96" spans="2:53" x14ac:dyDescent="0.25">
      <c r="B96">
        <f t="shared" ca="1" si="39"/>
        <v>606</v>
      </c>
      <c r="C96">
        <f t="shared" ca="1" si="40"/>
        <v>4</v>
      </c>
      <c r="D96">
        <f t="shared" ca="1" si="41"/>
        <v>0.14716852362830696</v>
      </c>
      <c r="F96" s="1">
        <f t="shared" ca="1" si="42"/>
        <v>23</v>
      </c>
      <c r="G96" s="1">
        <f t="shared" ca="1" si="43"/>
        <v>16</v>
      </c>
      <c r="H96" s="1">
        <f t="shared" ca="1" si="44"/>
        <v>10</v>
      </c>
      <c r="I96" s="1"/>
      <c r="J96" s="1">
        <f t="shared" ca="1" si="45"/>
        <v>5</v>
      </c>
      <c r="K96" s="1">
        <f t="shared" ca="1" si="46"/>
        <v>1.4058340038937891</v>
      </c>
      <c r="L96" s="1">
        <f t="shared" ca="1" si="47"/>
        <v>23</v>
      </c>
      <c r="M96" s="1"/>
      <c r="N96" s="1">
        <f t="shared" ca="1" si="48"/>
        <v>949</v>
      </c>
      <c r="O96" s="1">
        <f t="shared" ca="1" si="49"/>
        <v>10</v>
      </c>
      <c r="P96" s="1"/>
      <c r="Q96" s="1">
        <f t="shared" ca="1" si="50"/>
        <v>0.4458404442802561</v>
      </c>
      <c r="R96" s="1">
        <f t="shared" ca="1" si="51"/>
        <v>713</v>
      </c>
      <c r="S96" s="1"/>
      <c r="T96" s="1">
        <f t="shared" ca="1" si="52"/>
        <v>0.15947577565655</v>
      </c>
      <c r="U96" s="1">
        <f t="shared" ca="1" si="53"/>
        <v>324</v>
      </c>
      <c r="V96" s="1">
        <f t="shared" ca="1" si="54"/>
        <v>20</v>
      </c>
      <c r="W96" s="1"/>
      <c r="X96" s="1">
        <f t="shared" ca="1" si="55"/>
        <v>5.1590847865834242</v>
      </c>
      <c r="Y96" s="1">
        <f t="shared" ca="1" si="56"/>
        <v>0.33571712255597203</v>
      </c>
      <c r="Z96" s="1">
        <f t="shared" ca="1" si="57"/>
        <v>783</v>
      </c>
      <c r="AB96" s="1">
        <f t="shared" ca="1" si="58"/>
        <v>0.13321516996602756</v>
      </c>
      <c r="AC96" s="1">
        <f t="shared" ca="1" si="59"/>
        <v>365</v>
      </c>
      <c r="AD96" s="1">
        <f t="shared" ca="1" si="60"/>
        <v>8.8955146219684093E-3</v>
      </c>
      <c r="AE96" s="1"/>
      <c r="AF96" s="1">
        <f t="shared" ca="1" si="61"/>
        <v>0.35828831121323368</v>
      </c>
      <c r="AG96" s="1">
        <f t="shared" ca="1" si="62"/>
        <v>640</v>
      </c>
      <c r="AH96" s="1">
        <f t="shared" ca="1" si="63"/>
        <v>1.8547279506409067E-3</v>
      </c>
      <c r="AJ96" s="1">
        <f t="shared" ca="1" si="64"/>
        <v>0.41773180570716439</v>
      </c>
      <c r="AK96" s="1">
        <f t="shared" ca="1" si="65"/>
        <v>4.2441659596174968E-3</v>
      </c>
      <c r="AL96" s="1"/>
      <c r="AM96" s="1">
        <f t="shared" ca="1" si="66"/>
        <v>0.1678797732037732</v>
      </c>
      <c r="AN96" s="1">
        <f t="shared" ca="1" si="67"/>
        <v>72</v>
      </c>
      <c r="AO96" s="1">
        <f t="shared" ca="1" si="68"/>
        <v>1</v>
      </c>
      <c r="AQ96" s="1">
        <f t="shared" ca="1" si="69"/>
        <v>142</v>
      </c>
      <c r="AR96" s="1">
        <f t="shared" ca="1" si="70"/>
        <v>1</v>
      </c>
      <c r="AS96" s="1">
        <f t="shared" ca="1" si="71"/>
        <v>54</v>
      </c>
      <c r="AU96" s="1">
        <f t="shared" ca="1" si="72"/>
        <v>213</v>
      </c>
      <c r="AV96" s="1">
        <f t="shared" ca="1" si="73"/>
        <v>5</v>
      </c>
      <c r="AW96" s="1">
        <f t="shared" ca="1" si="74"/>
        <v>0.14893865504180676</v>
      </c>
      <c r="AY96" s="1">
        <f t="shared" ca="1" si="75"/>
        <v>1.613961180485642</v>
      </c>
      <c r="AZ96" s="1">
        <f t="shared" ca="1" si="76"/>
        <v>218</v>
      </c>
      <c r="BA96" s="1">
        <f t="shared" ca="1" si="77"/>
        <v>2.8403591555393585E-3</v>
      </c>
    </row>
    <row r="97" spans="2:53" x14ac:dyDescent="0.25">
      <c r="B97">
        <f t="shared" ca="1" si="39"/>
        <v>822</v>
      </c>
      <c r="C97">
        <f t="shared" ca="1" si="40"/>
        <v>11</v>
      </c>
      <c r="D97">
        <f t="shared" ca="1" si="41"/>
        <v>0.16177064986015363</v>
      </c>
      <c r="F97" s="1">
        <f t="shared" ca="1" si="42"/>
        <v>8</v>
      </c>
      <c r="G97" s="1">
        <f t="shared" ca="1" si="43"/>
        <v>17</v>
      </c>
      <c r="H97" s="1">
        <f t="shared" ca="1" si="44"/>
        <v>1</v>
      </c>
      <c r="I97" s="1"/>
      <c r="J97" s="1">
        <f t="shared" ca="1" si="45"/>
        <v>8</v>
      </c>
      <c r="K97" s="1">
        <f t="shared" ca="1" si="46"/>
        <v>2.7600830393295954</v>
      </c>
      <c r="L97" s="1">
        <f t="shared" ca="1" si="47"/>
        <v>11</v>
      </c>
      <c r="M97" s="1"/>
      <c r="N97" s="1">
        <f t="shared" ca="1" si="48"/>
        <v>836</v>
      </c>
      <c r="O97" s="1">
        <f t="shared" ca="1" si="49"/>
        <v>10</v>
      </c>
      <c r="P97" s="1"/>
      <c r="Q97" s="1">
        <f t="shared" ca="1" si="50"/>
        <v>2.6119482744475651</v>
      </c>
      <c r="R97" s="1">
        <f t="shared" ca="1" si="51"/>
        <v>554</v>
      </c>
      <c r="S97" s="1"/>
      <c r="T97" s="1">
        <f t="shared" ca="1" si="52"/>
        <v>8.7604735612204526E-2</v>
      </c>
      <c r="U97" s="1">
        <f t="shared" ca="1" si="53"/>
        <v>358</v>
      </c>
      <c r="V97" s="1">
        <f t="shared" ca="1" si="54"/>
        <v>51</v>
      </c>
      <c r="W97" s="1"/>
      <c r="X97" s="1">
        <f t="shared" ca="1" si="55"/>
        <v>9.2042879305823302</v>
      </c>
      <c r="Y97" s="1">
        <f t="shared" ca="1" si="56"/>
        <v>0.1432936083950645</v>
      </c>
      <c r="Z97" s="1">
        <f t="shared" ca="1" si="57"/>
        <v>778</v>
      </c>
      <c r="AB97" s="1">
        <f t="shared" ca="1" si="58"/>
        <v>0.71494776506467372</v>
      </c>
      <c r="AC97" s="1">
        <f t="shared" ca="1" si="59"/>
        <v>575</v>
      </c>
      <c r="AD97" s="1">
        <f t="shared" ca="1" si="60"/>
        <v>5.1917980628155879E-3</v>
      </c>
      <c r="AE97" s="1"/>
      <c r="AF97" s="1">
        <f t="shared" ca="1" si="61"/>
        <v>0.52270796417382059</v>
      </c>
      <c r="AG97" s="1">
        <f t="shared" ca="1" si="62"/>
        <v>792</v>
      </c>
      <c r="AH97" s="1">
        <f t="shared" ca="1" si="63"/>
        <v>2.9333883648810194E-3</v>
      </c>
      <c r="AJ97" s="1">
        <f t="shared" ca="1" si="64"/>
        <v>0.45556988007432342</v>
      </c>
      <c r="AK97" s="1">
        <f t="shared" ca="1" si="65"/>
        <v>9.9505087700052213E-3</v>
      </c>
      <c r="AL97" s="1"/>
      <c r="AM97" s="1">
        <f t="shared" ca="1" si="66"/>
        <v>4.6845331510077165E-2</v>
      </c>
      <c r="AN97" s="1">
        <f t="shared" ca="1" si="67"/>
        <v>78</v>
      </c>
      <c r="AO97" s="1">
        <f t="shared" ca="1" si="68"/>
        <v>20</v>
      </c>
      <c r="AQ97" s="1">
        <f t="shared" ca="1" si="69"/>
        <v>139</v>
      </c>
      <c r="AR97" s="1">
        <f t="shared" ca="1" si="70"/>
        <v>9</v>
      </c>
      <c r="AS97" s="1">
        <f t="shared" ca="1" si="71"/>
        <v>20</v>
      </c>
      <c r="AU97" s="1">
        <f t="shared" ca="1" si="72"/>
        <v>380</v>
      </c>
      <c r="AV97" s="1">
        <f t="shared" ca="1" si="73"/>
        <v>4</v>
      </c>
      <c r="AW97" s="1">
        <f t="shared" ca="1" si="74"/>
        <v>4.9378379613681814E-2</v>
      </c>
      <c r="AY97" s="1">
        <f t="shared" ca="1" si="75"/>
        <v>1.5747238009808755</v>
      </c>
      <c r="AZ97" s="1">
        <f t="shared" ca="1" si="76"/>
        <v>113</v>
      </c>
      <c r="BA97" s="1">
        <f t="shared" ca="1" si="77"/>
        <v>6.1833466756455952E-3</v>
      </c>
    </row>
    <row r="98" spans="2:53" x14ac:dyDescent="0.25">
      <c r="B98">
        <f t="shared" ca="1" si="39"/>
        <v>302</v>
      </c>
      <c r="C98">
        <f t="shared" ca="1" si="40"/>
        <v>23</v>
      </c>
      <c r="D98">
        <f t="shared" ca="1" si="41"/>
        <v>7.8545451343359954E-2</v>
      </c>
      <c r="F98" s="1">
        <f t="shared" ca="1" si="42"/>
        <v>2</v>
      </c>
      <c r="G98" s="1">
        <f t="shared" ca="1" si="43"/>
        <v>15</v>
      </c>
      <c r="H98" s="1">
        <f t="shared" ca="1" si="44"/>
        <v>14</v>
      </c>
      <c r="I98" s="1"/>
      <c r="J98" s="1">
        <f t="shared" ca="1" si="45"/>
        <v>22</v>
      </c>
      <c r="K98" s="1">
        <f t="shared" ca="1" si="46"/>
        <v>2.6388975607506628</v>
      </c>
      <c r="L98" s="1">
        <f t="shared" ca="1" si="47"/>
        <v>13</v>
      </c>
      <c r="M98" s="1"/>
      <c r="N98" s="1">
        <f t="shared" ca="1" si="48"/>
        <v>128</v>
      </c>
      <c r="O98" s="1">
        <f t="shared" ca="1" si="49"/>
        <v>40</v>
      </c>
      <c r="P98" s="1"/>
      <c r="Q98" s="1">
        <f t="shared" ca="1" si="50"/>
        <v>2.2472846888537519</v>
      </c>
      <c r="R98" s="1">
        <f t="shared" ca="1" si="51"/>
        <v>825</v>
      </c>
      <c r="S98" s="1"/>
      <c r="T98" s="1">
        <f t="shared" ca="1" si="52"/>
        <v>7.0200478577060368E-2</v>
      </c>
      <c r="U98" s="1">
        <f t="shared" ca="1" si="53"/>
        <v>232</v>
      </c>
      <c r="V98" s="1">
        <f t="shared" ca="1" si="54"/>
        <v>22</v>
      </c>
      <c r="W98" s="1"/>
      <c r="X98" s="1">
        <f t="shared" ca="1" si="55"/>
        <v>8.9388669561206218</v>
      </c>
      <c r="Y98" s="1">
        <f t="shared" ca="1" si="56"/>
        <v>0.31415521960631432</v>
      </c>
      <c r="Z98" s="1">
        <f t="shared" ca="1" si="57"/>
        <v>1549</v>
      </c>
      <c r="AB98" s="1">
        <f t="shared" ca="1" si="58"/>
        <v>0.70657391594668695</v>
      </c>
      <c r="AC98" s="1">
        <f t="shared" ca="1" si="59"/>
        <v>527</v>
      </c>
      <c r="AD98" s="1">
        <f t="shared" ca="1" si="60"/>
        <v>8.4482944574433127E-3</v>
      </c>
      <c r="AE98" s="1"/>
      <c r="AF98" s="1">
        <f t="shared" ca="1" si="61"/>
        <v>0.22193821908138647</v>
      </c>
      <c r="AG98" s="1">
        <f t="shared" ca="1" si="62"/>
        <v>481</v>
      </c>
      <c r="AH98" s="1">
        <f t="shared" ca="1" si="63"/>
        <v>5.0520403685930197E-3</v>
      </c>
      <c r="AJ98" s="1">
        <f t="shared" ca="1" si="64"/>
        <v>0.42622993539345899</v>
      </c>
      <c r="AK98" s="1">
        <f t="shared" ca="1" si="65"/>
        <v>3.9273322963060018E-3</v>
      </c>
      <c r="AL98" s="1"/>
      <c r="AM98" s="1">
        <f t="shared" ca="1" si="66"/>
        <v>0.10205087314450902</v>
      </c>
      <c r="AN98" s="1">
        <f t="shared" ca="1" si="67"/>
        <v>62</v>
      </c>
      <c r="AO98" s="1">
        <f t="shared" ca="1" si="68"/>
        <v>10</v>
      </c>
      <c r="AQ98" s="1">
        <f t="shared" ca="1" si="69"/>
        <v>64</v>
      </c>
      <c r="AR98" s="1">
        <f t="shared" ca="1" si="70"/>
        <v>7</v>
      </c>
      <c r="AS98" s="1">
        <f t="shared" ca="1" si="71"/>
        <v>33</v>
      </c>
      <c r="AU98" s="1">
        <f t="shared" ca="1" si="72"/>
        <v>386</v>
      </c>
      <c r="AV98" s="1">
        <f t="shared" ca="1" si="73"/>
        <v>7</v>
      </c>
      <c r="AW98" s="1">
        <f t="shared" ca="1" si="74"/>
        <v>0.15132040522215179</v>
      </c>
      <c r="AY98" s="1">
        <f t="shared" ca="1" si="75"/>
        <v>1.6084309587641579</v>
      </c>
      <c r="AZ98" s="1">
        <f t="shared" ca="1" si="76"/>
        <v>84</v>
      </c>
      <c r="BA98" s="1">
        <f t="shared" ca="1" si="77"/>
        <v>4.6874566758981729E-3</v>
      </c>
    </row>
    <row r="99" spans="2:53" x14ac:dyDescent="0.25">
      <c r="B99">
        <f t="shared" ca="1" si="39"/>
        <v>621</v>
      </c>
      <c r="C99">
        <f t="shared" ca="1" si="40"/>
        <v>50</v>
      </c>
      <c r="D99">
        <f t="shared" ca="1" si="41"/>
        <v>6.2169425529725458E-2</v>
      </c>
      <c r="F99" s="1">
        <f t="shared" ca="1" si="42"/>
        <v>32</v>
      </c>
      <c r="G99" s="1">
        <f t="shared" ca="1" si="43"/>
        <v>14</v>
      </c>
      <c r="H99" s="1">
        <f t="shared" ca="1" si="44"/>
        <v>14</v>
      </c>
      <c r="I99" s="1"/>
      <c r="J99" s="1">
        <f t="shared" ca="1" si="45"/>
        <v>20</v>
      </c>
      <c r="K99" s="1">
        <f t="shared" ca="1" si="46"/>
        <v>2.5718213006585517</v>
      </c>
      <c r="L99" s="1">
        <f t="shared" ca="1" si="47"/>
        <v>29</v>
      </c>
      <c r="M99" s="1"/>
      <c r="N99" s="1">
        <f t="shared" ca="1" si="48"/>
        <v>398</v>
      </c>
      <c r="O99" s="1">
        <f t="shared" ca="1" si="49"/>
        <v>48</v>
      </c>
      <c r="P99" s="1"/>
      <c r="Q99" s="1">
        <f t="shared" ca="1" si="50"/>
        <v>3.6927174896289965</v>
      </c>
      <c r="R99" s="1">
        <f t="shared" ca="1" si="51"/>
        <v>964</v>
      </c>
      <c r="S99" s="1"/>
      <c r="T99" s="1">
        <f t="shared" ca="1" si="52"/>
        <v>0.10164149199901616</v>
      </c>
      <c r="U99" s="1">
        <f t="shared" ca="1" si="53"/>
        <v>230</v>
      </c>
      <c r="V99" s="1">
        <f t="shared" ca="1" si="54"/>
        <v>39</v>
      </c>
      <c r="W99" s="1"/>
      <c r="X99" s="1">
        <f t="shared" ca="1" si="55"/>
        <v>1.7298135248457467</v>
      </c>
      <c r="Y99" s="1">
        <f t="shared" ca="1" si="56"/>
        <v>0.98650736590970534</v>
      </c>
      <c r="Z99" s="1">
        <f t="shared" ca="1" si="57"/>
        <v>1649</v>
      </c>
      <c r="AB99" s="1">
        <f t="shared" ca="1" si="58"/>
        <v>1.9640627557908303E-4</v>
      </c>
      <c r="AC99" s="1">
        <f t="shared" ca="1" si="59"/>
        <v>537</v>
      </c>
      <c r="AD99" s="1">
        <f t="shared" ca="1" si="60"/>
        <v>4.8831811124532762E-3</v>
      </c>
      <c r="AE99" s="1"/>
      <c r="AF99" s="1">
        <f t="shared" ca="1" si="61"/>
        <v>0.43084394379558344</v>
      </c>
      <c r="AG99" s="1">
        <f t="shared" ca="1" si="62"/>
        <v>968</v>
      </c>
      <c r="AH99" s="1">
        <f t="shared" ca="1" si="63"/>
        <v>1.2800868380030922E-3</v>
      </c>
      <c r="AJ99" s="1">
        <f t="shared" ca="1" si="64"/>
        <v>0.9321720295241579</v>
      </c>
      <c r="AK99" s="1">
        <f t="shared" ca="1" si="65"/>
        <v>4.2471400771488038E-3</v>
      </c>
      <c r="AL99" s="1"/>
      <c r="AM99" s="1">
        <f t="shared" ca="1" si="66"/>
        <v>0.12471676028175412</v>
      </c>
      <c r="AN99" s="1">
        <f t="shared" ca="1" si="67"/>
        <v>75</v>
      </c>
      <c r="AO99" s="1">
        <f t="shared" ca="1" si="68"/>
        <v>2</v>
      </c>
      <c r="AQ99" s="1">
        <f t="shared" ca="1" si="69"/>
        <v>83</v>
      </c>
      <c r="AR99" s="1">
        <f t="shared" ca="1" si="70"/>
        <v>10</v>
      </c>
      <c r="AS99" s="1">
        <f t="shared" ca="1" si="71"/>
        <v>76</v>
      </c>
      <c r="AU99" s="1">
        <f t="shared" ca="1" si="72"/>
        <v>164</v>
      </c>
      <c r="AV99" s="1">
        <f t="shared" ca="1" si="73"/>
        <v>4</v>
      </c>
      <c r="AW99" s="1">
        <f t="shared" ca="1" si="74"/>
        <v>0.18469410518517712</v>
      </c>
      <c r="AY99" s="1">
        <f t="shared" ca="1" si="75"/>
        <v>1.5522174910360367</v>
      </c>
      <c r="AZ99" s="1">
        <f t="shared" ca="1" si="76"/>
        <v>367</v>
      </c>
      <c r="BA99" s="1">
        <f t="shared" ca="1" si="77"/>
        <v>5.3277190280036808E-3</v>
      </c>
    </row>
    <row r="100" spans="2:53" x14ac:dyDescent="0.25">
      <c r="B100">
        <f t="shared" ca="1" si="39"/>
        <v>306</v>
      </c>
      <c r="C100">
        <f t="shared" ca="1" si="40"/>
        <v>49</v>
      </c>
      <c r="D100">
        <f t="shared" ca="1" si="41"/>
        <v>0.24606816810953058</v>
      </c>
      <c r="F100" s="1">
        <f t="shared" ca="1" si="42"/>
        <v>15</v>
      </c>
      <c r="G100" s="1">
        <f t="shared" ca="1" si="43"/>
        <v>22</v>
      </c>
      <c r="H100" s="1">
        <f t="shared" ca="1" si="44"/>
        <v>9</v>
      </c>
      <c r="I100" s="1"/>
      <c r="J100" s="1">
        <f t="shared" ca="1" si="45"/>
        <v>18</v>
      </c>
      <c r="K100" s="1">
        <f t="shared" ca="1" si="46"/>
        <v>1.0736866632223387</v>
      </c>
      <c r="L100" s="1">
        <f t="shared" ca="1" si="47"/>
        <v>9</v>
      </c>
      <c r="M100" s="1"/>
      <c r="N100" s="1">
        <f t="shared" ca="1" si="48"/>
        <v>51</v>
      </c>
      <c r="O100" s="1">
        <f t="shared" ca="1" si="49"/>
        <v>43</v>
      </c>
      <c r="P100" s="1"/>
      <c r="Q100" s="1">
        <f t="shared" ca="1" si="50"/>
        <v>1.5633918656206096</v>
      </c>
      <c r="R100" s="1">
        <f t="shared" ca="1" si="51"/>
        <v>986</v>
      </c>
      <c r="S100" s="1"/>
      <c r="T100" s="1">
        <f t="shared" ca="1" si="52"/>
        <v>2.7385867215375469E-2</v>
      </c>
      <c r="U100" s="1">
        <f t="shared" ca="1" si="53"/>
        <v>350</v>
      </c>
      <c r="V100" s="1">
        <f t="shared" ca="1" si="54"/>
        <v>39</v>
      </c>
      <c r="W100" s="1"/>
      <c r="X100" s="1">
        <f t="shared" ca="1" si="55"/>
        <v>2.1287939103013631</v>
      </c>
      <c r="Y100" s="1">
        <f t="shared" ca="1" si="56"/>
        <v>0.42858559073717395</v>
      </c>
      <c r="Z100" s="1">
        <f t="shared" ca="1" si="57"/>
        <v>363</v>
      </c>
      <c r="AB100" s="1">
        <f t="shared" ca="1" si="58"/>
        <v>0.46064977205093971</v>
      </c>
      <c r="AC100" s="1">
        <f t="shared" ca="1" si="59"/>
        <v>890</v>
      </c>
      <c r="AD100" s="1">
        <f t="shared" ca="1" si="60"/>
        <v>6.1385249727773988E-3</v>
      </c>
      <c r="AE100" s="1"/>
      <c r="AF100" s="1">
        <f t="shared" ca="1" si="61"/>
        <v>0.53470510407865246</v>
      </c>
      <c r="AG100" s="1">
        <f t="shared" ca="1" si="62"/>
        <v>557</v>
      </c>
      <c r="AH100" s="1">
        <f t="shared" ca="1" si="63"/>
        <v>2.3499420781535681E-3</v>
      </c>
      <c r="AJ100" s="1">
        <f t="shared" ca="1" si="64"/>
        <v>4.674125535465079E-2</v>
      </c>
      <c r="AK100" s="1">
        <f t="shared" ca="1" si="65"/>
        <v>4.4920880720974695E-3</v>
      </c>
      <c r="AL100" s="1"/>
      <c r="AM100" s="1">
        <f t="shared" ca="1" si="66"/>
        <v>0.13965646340277477</v>
      </c>
      <c r="AN100" s="1">
        <f t="shared" ca="1" si="67"/>
        <v>77</v>
      </c>
      <c r="AO100" s="1">
        <f t="shared" ca="1" si="68"/>
        <v>8</v>
      </c>
      <c r="AQ100" s="1">
        <f t="shared" ca="1" si="69"/>
        <v>113</v>
      </c>
      <c r="AR100" s="1">
        <f t="shared" ca="1" si="70"/>
        <v>10</v>
      </c>
      <c r="AS100" s="1">
        <f t="shared" ca="1" si="71"/>
        <v>1</v>
      </c>
      <c r="AU100" s="1">
        <f t="shared" ca="1" si="72"/>
        <v>96</v>
      </c>
      <c r="AV100" s="1">
        <f t="shared" ca="1" si="73"/>
        <v>8</v>
      </c>
      <c r="AW100" s="1">
        <f t="shared" ca="1" si="74"/>
        <v>7.6911756511187424E-2</v>
      </c>
      <c r="AY100" s="1">
        <f t="shared" ca="1" si="75"/>
        <v>1.3276638979149085</v>
      </c>
      <c r="AZ100" s="1">
        <f t="shared" ca="1" si="76"/>
        <v>418</v>
      </c>
      <c r="BA100" s="1">
        <f t="shared" ca="1" si="77"/>
        <v>1.4822828005244312E-3</v>
      </c>
    </row>
    <row r="101" spans="2:53" x14ac:dyDescent="0.25">
      <c r="B101">
        <f t="shared" ca="1" si="39"/>
        <v>640</v>
      </c>
      <c r="C101">
        <f t="shared" ca="1" si="40"/>
        <v>20</v>
      </c>
      <c r="D101">
        <f t="shared" ca="1" si="41"/>
        <v>9.7418452101651551E-2</v>
      </c>
      <c r="F101" s="1">
        <f t="shared" ca="1" si="42"/>
        <v>28</v>
      </c>
      <c r="G101" s="1">
        <f t="shared" ca="1" si="43"/>
        <v>19</v>
      </c>
      <c r="H101" s="1">
        <f t="shared" ca="1" si="44"/>
        <v>7</v>
      </c>
      <c r="I101" s="1"/>
      <c r="J101" s="1">
        <f t="shared" ca="1" si="45"/>
        <v>25</v>
      </c>
      <c r="K101" s="1">
        <f t="shared" ca="1" si="46"/>
        <v>1.0869396610156759</v>
      </c>
      <c r="L101" s="1">
        <f t="shared" ca="1" si="47"/>
        <v>11</v>
      </c>
      <c r="M101" s="1"/>
      <c r="N101" s="1">
        <f t="shared" ca="1" si="48"/>
        <v>91</v>
      </c>
      <c r="O101" s="1">
        <f t="shared" ca="1" si="49"/>
        <v>30</v>
      </c>
      <c r="P101" s="1"/>
      <c r="Q101" s="1">
        <f t="shared" ca="1" si="50"/>
        <v>2.6132362515484071</v>
      </c>
      <c r="R101" s="1">
        <f t="shared" ca="1" si="51"/>
        <v>292</v>
      </c>
      <c r="S101" s="1"/>
      <c r="T101" s="1">
        <f t="shared" ca="1" si="52"/>
        <v>2.0046730339169622E-2</v>
      </c>
      <c r="U101" s="1">
        <f t="shared" ca="1" si="53"/>
        <v>234</v>
      </c>
      <c r="V101" s="1">
        <f t="shared" ca="1" si="54"/>
        <v>22</v>
      </c>
      <c r="W101" s="1"/>
      <c r="X101" s="1">
        <f t="shared" ca="1" si="55"/>
        <v>1.7687217805091755</v>
      </c>
      <c r="Y101" s="1">
        <f t="shared" ca="1" si="56"/>
        <v>0.51697131834242138</v>
      </c>
      <c r="Z101" s="1">
        <f t="shared" ca="1" si="57"/>
        <v>1588</v>
      </c>
      <c r="AB101" s="1">
        <f t="shared" ca="1" si="58"/>
        <v>0.4812764522698238</v>
      </c>
      <c r="AC101" s="1">
        <f t="shared" ca="1" si="59"/>
        <v>653</v>
      </c>
      <c r="AD101" s="1">
        <f t="shared" ca="1" si="60"/>
        <v>9.7644279340002825E-3</v>
      </c>
      <c r="AE101" s="1"/>
      <c r="AF101" s="1">
        <f t="shared" ca="1" si="61"/>
        <v>0.7836451305865606</v>
      </c>
      <c r="AG101" s="1">
        <f t="shared" ca="1" si="62"/>
        <v>113</v>
      </c>
      <c r="AH101" s="1">
        <f t="shared" ca="1" si="63"/>
        <v>7.5187009615775473E-3</v>
      </c>
      <c r="AJ101" s="1">
        <f t="shared" ca="1" si="64"/>
        <v>0.41992861551189142</v>
      </c>
      <c r="AK101" s="1">
        <f t="shared" ca="1" si="65"/>
        <v>2.8790703765511788E-3</v>
      </c>
      <c r="AL101" s="1"/>
      <c r="AM101" s="1">
        <f t="shared" ca="1" si="66"/>
        <v>0.11202022877024567</v>
      </c>
      <c r="AN101" s="1">
        <f t="shared" ca="1" si="67"/>
        <v>69</v>
      </c>
      <c r="AO101" s="1">
        <f t="shared" ca="1" si="68"/>
        <v>14</v>
      </c>
      <c r="AQ101" s="1">
        <f t="shared" ca="1" si="69"/>
        <v>51</v>
      </c>
      <c r="AR101" s="1">
        <f t="shared" ca="1" si="70"/>
        <v>6</v>
      </c>
      <c r="AS101" s="1">
        <f t="shared" ca="1" si="71"/>
        <v>95</v>
      </c>
      <c r="AU101" s="1">
        <f t="shared" ca="1" si="72"/>
        <v>102</v>
      </c>
      <c r="AV101" s="1">
        <f t="shared" ca="1" si="73"/>
        <v>6</v>
      </c>
      <c r="AW101" s="1">
        <f t="shared" ca="1" si="74"/>
        <v>2.5140296061248901E-2</v>
      </c>
      <c r="AY101" s="1">
        <f t="shared" ca="1" si="75"/>
        <v>1.6150818254961554</v>
      </c>
      <c r="AZ101" s="1">
        <f t="shared" ca="1" si="76"/>
        <v>149</v>
      </c>
      <c r="BA101" s="1">
        <f t="shared" ca="1" si="77"/>
        <v>2.2701484164897341E-5</v>
      </c>
    </row>
    <row r="102" spans="2:53" x14ac:dyDescent="0.25">
      <c r="B102">
        <f t="shared" ca="1" si="39"/>
        <v>383</v>
      </c>
      <c r="C102">
        <f t="shared" ca="1" si="40"/>
        <v>39</v>
      </c>
      <c r="D102">
        <f t="shared" ca="1" si="41"/>
        <v>2.9422344137856313E-2</v>
      </c>
      <c r="F102" s="1">
        <f t="shared" ca="1" si="42"/>
        <v>38</v>
      </c>
      <c r="G102" s="1">
        <f t="shared" ca="1" si="43"/>
        <v>5</v>
      </c>
      <c r="H102" s="1">
        <f t="shared" ca="1" si="44"/>
        <v>15</v>
      </c>
      <c r="I102" s="1"/>
      <c r="J102" s="1">
        <f t="shared" ca="1" si="45"/>
        <v>11</v>
      </c>
      <c r="K102" s="1">
        <f t="shared" ca="1" si="46"/>
        <v>2.2795834299405979</v>
      </c>
      <c r="L102" s="1">
        <f t="shared" ca="1" si="47"/>
        <v>27</v>
      </c>
      <c r="M102" s="1"/>
      <c r="N102" s="1">
        <f t="shared" ca="1" si="48"/>
        <v>920</v>
      </c>
      <c r="O102" s="1">
        <f t="shared" ca="1" si="49"/>
        <v>44</v>
      </c>
      <c r="P102" s="1"/>
      <c r="Q102" s="1">
        <f t="shared" ca="1" si="50"/>
        <v>4.4558007468502412</v>
      </c>
      <c r="R102" s="1">
        <f t="shared" ca="1" si="51"/>
        <v>1084</v>
      </c>
      <c r="S102" s="1"/>
      <c r="T102" s="1">
        <f t="shared" ca="1" si="52"/>
        <v>0.13959715446199239</v>
      </c>
      <c r="U102" s="1">
        <f t="shared" ca="1" si="53"/>
        <v>97</v>
      </c>
      <c r="V102" s="1">
        <f t="shared" ca="1" si="54"/>
        <v>40</v>
      </c>
      <c r="W102" s="1"/>
      <c r="X102" s="1">
        <f t="shared" ca="1" si="55"/>
        <v>7.5069534489906058</v>
      </c>
      <c r="Y102" s="1">
        <f t="shared" ca="1" si="56"/>
        <v>0.53896962364173939</v>
      </c>
      <c r="Z102" s="1">
        <f t="shared" ca="1" si="57"/>
        <v>117</v>
      </c>
      <c r="AB102" s="1">
        <f t="shared" ca="1" si="58"/>
        <v>0.67479087572155416</v>
      </c>
      <c r="AC102" s="1">
        <f t="shared" ca="1" si="59"/>
        <v>973</v>
      </c>
      <c r="AD102" s="1">
        <f t="shared" ca="1" si="60"/>
        <v>9.6434647934824907E-3</v>
      </c>
      <c r="AE102" s="1"/>
      <c r="AF102" s="1">
        <f t="shared" ca="1" si="61"/>
        <v>0.17966643279846706</v>
      </c>
      <c r="AG102" s="1">
        <f t="shared" ca="1" si="62"/>
        <v>450</v>
      </c>
      <c r="AH102" s="1">
        <f t="shared" ca="1" si="63"/>
        <v>5.4983110058534797E-3</v>
      </c>
      <c r="AJ102" s="1">
        <f t="shared" ca="1" si="64"/>
        <v>0.99852420688072407</v>
      </c>
      <c r="AK102" s="1">
        <f t="shared" ca="1" si="65"/>
        <v>7.8153190432584951E-3</v>
      </c>
      <c r="AL102" s="1"/>
      <c r="AM102" s="1">
        <f t="shared" ca="1" si="66"/>
        <v>0.10487464841452433</v>
      </c>
      <c r="AN102" s="1">
        <f t="shared" ca="1" si="67"/>
        <v>38</v>
      </c>
      <c r="AO102" s="1">
        <f t="shared" ca="1" si="68"/>
        <v>15</v>
      </c>
      <c r="AQ102" s="1">
        <f t="shared" ca="1" si="69"/>
        <v>142</v>
      </c>
      <c r="AR102" s="1">
        <f t="shared" ca="1" si="70"/>
        <v>8</v>
      </c>
      <c r="AS102" s="1">
        <f t="shared" ca="1" si="71"/>
        <v>45</v>
      </c>
      <c r="AU102" s="1">
        <f t="shared" ca="1" si="72"/>
        <v>126</v>
      </c>
      <c r="AV102" s="1">
        <f t="shared" ca="1" si="73"/>
        <v>8</v>
      </c>
      <c r="AW102" s="1">
        <f t="shared" ca="1" si="74"/>
        <v>0.11126463337630337</v>
      </c>
      <c r="AY102" s="1">
        <f t="shared" ca="1" si="75"/>
        <v>1.2152374793362701</v>
      </c>
      <c r="AZ102" s="1">
        <f t="shared" ca="1" si="76"/>
        <v>79</v>
      </c>
      <c r="BA102" s="1">
        <f t="shared" ca="1" si="77"/>
        <v>1.9901638017736519E-3</v>
      </c>
    </row>
    <row r="103" spans="2:53" x14ac:dyDescent="0.25">
      <c r="B103">
        <f t="shared" ca="1" si="39"/>
        <v>89</v>
      </c>
      <c r="C103">
        <f t="shared" ca="1" si="40"/>
        <v>2</v>
      </c>
      <c r="D103">
        <f t="shared" ca="1" si="41"/>
        <v>0.14600201848305669</v>
      </c>
      <c r="F103" s="1">
        <f t="shared" ca="1" si="42"/>
        <v>28</v>
      </c>
      <c r="G103" s="1">
        <f t="shared" ca="1" si="43"/>
        <v>11</v>
      </c>
      <c r="H103" s="1">
        <f t="shared" ca="1" si="44"/>
        <v>10</v>
      </c>
      <c r="I103" s="1"/>
      <c r="J103" s="1">
        <f t="shared" ca="1" si="45"/>
        <v>3</v>
      </c>
      <c r="K103" s="1">
        <f t="shared" ca="1" si="46"/>
        <v>1.3815259215148306</v>
      </c>
      <c r="L103" s="1">
        <f t="shared" ca="1" si="47"/>
        <v>20</v>
      </c>
      <c r="M103" s="1"/>
      <c r="N103" s="1">
        <f t="shared" ca="1" si="48"/>
        <v>395</v>
      </c>
      <c r="O103" s="1">
        <f t="shared" ca="1" si="49"/>
        <v>26</v>
      </c>
      <c r="P103" s="1"/>
      <c r="Q103" s="1">
        <f t="shared" ca="1" si="50"/>
        <v>2.6878909428170612</v>
      </c>
      <c r="R103" s="1">
        <f t="shared" ca="1" si="51"/>
        <v>1108</v>
      </c>
      <c r="S103" s="1"/>
      <c r="T103" s="1">
        <f t="shared" ca="1" si="52"/>
        <v>9.8490197455222958E-2</v>
      </c>
      <c r="U103" s="1">
        <f t="shared" ca="1" si="53"/>
        <v>279</v>
      </c>
      <c r="V103" s="1">
        <f t="shared" ca="1" si="54"/>
        <v>46</v>
      </c>
      <c r="W103" s="1"/>
      <c r="X103" s="1">
        <f t="shared" ca="1" si="55"/>
        <v>2.273023896709172</v>
      </c>
      <c r="Y103" s="1">
        <f t="shared" ca="1" si="56"/>
        <v>0.15253923028651234</v>
      </c>
      <c r="Z103" s="1">
        <f t="shared" ca="1" si="57"/>
        <v>888</v>
      </c>
      <c r="AB103" s="1">
        <f t="shared" ca="1" si="58"/>
        <v>0.41029545718779625</v>
      </c>
      <c r="AC103" s="1">
        <f t="shared" ca="1" si="59"/>
        <v>701</v>
      </c>
      <c r="AD103" s="1">
        <f t="shared" ca="1" si="60"/>
        <v>2.5269290029848773E-3</v>
      </c>
      <c r="AE103" s="1"/>
      <c r="AF103" s="1">
        <f t="shared" ca="1" si="61"/>
        <v>0.35124677971867702</v>
      </c>
      <c r="AG103" s="1">
        <f t="shared" ca="1" si="62"/>
        <v>980</v>
      </c>
      <c r="AH103" s="1">
        <f t="shared" ca="1" si="63"/>
        <v>4.0093865683036205E-3</v>
      </c>
      <c r="AJ103" s="1">
        <f t="shared" ca="1" si="64"/>
        <v>0.60427002232534832</v>
      </c>
      <c r="AK103" s="1">
        <f t="shared" ca="1" si="65"/>
        <v>4.7416586133216458E-4</v>
      </c>
      <c r="AL103" s="1"/>
      <c r="AM103" s="1">
        <f t="shared" ca="1" si="66"/>
        <v>0.17537738588981353</v>
      </c>
      <c r="AN103" s="1">
        <f t="shared" ca="1" si="67"/>
        <v>20</v>
      </c>
      <c r="AO103" s="1">
        <f t="shared" ca="1" si="68"/>
        <v>16</v>
      </c>
      <c r="AQ103" s="1">
        <f t="shared" ca="1" si="69"/>
        <v>131</v>
      </c>
      <c r="AR103" s="1">
        <f t="shared" ca="1" si="70"/>
        <v>3</v>
      </c>
      <c r="AS103" s="1">
        <f t="shared" ca="1" si="71"/>
        <v>18</v>
      </c>
      <c r="AU103" s="1">
        <f t="shared" ca="1" si="72"/>
        <v>243</v>
      </c>
      <c r="AV103" s="1">
        <f t="shared" ca="1" si="73"/>
        <v>8</v>
      </c>
      <c r="AW103" s="1">
        <f t="shared" ca="1" si="74"/>
        <v>0.15632201834057105</v>
      </c>
      <c r="AY103" s="1">
        <f t="shared" ca="1" si="75"/>
        <v>1.9665184369237916</v>
      </c>
      <c r="AZ103" s="1">
        <f t="shared" ca="1" si="76"/>
        <v>442</v>
      </c>
      <c r="BA103" s="1">
        <f t="shared" ca="1" si="77"/>
        <v>5.0184282277746422E-3</v>
      </c>
    </row>
    <row r="104" spans="2:53" x14ac:dyDescent="0.25">
      <c r="B104">
        <f t="shared" ca="1" si="39"/>
        <v>508</v>
      </c>
      <c r="C104">
        <f t="shared" ca="1" si="40"/>
        <v>44</v>
      </c>
      <c r="D104">
        <f t="shared" ca="1" si="41"/>
        <v>0.11779991739285095</v>
      </c>
      <c r="F104" s="1">
        <f t="shared" ca="1" si="42"/>
        <v>27</v>
      </c>
      <c r="G104" s="1">
        <f t="shared" ca="1" si="43"/>
        <v>21</v>
      </c>
      <c r="H104" s="1">
        <f t="shared" ca="1" si="44"/>
        <v>10</v>
      </c>
      <c r="I104" s="1"/>
      <c r="J104" s="1">
        <f t="shared" ca="1" si="45"/>
        <v>7</v>
      </c>
      <c r="K104" s="1">
        <f t="shared" ca="1" si="46"/>
        <v>2.7967515999348587</v>
      </c>
      <c r="L104" s="1">
        <f t="shared" ca="1" si="47"/>
        <v>8</v>
      </c>
      <c r="M104" s="1"/>
      <c r="N104" s="1">
        <f t="shared" ca="1" si="48"/>
        <v>37</v>
      </c>
      <c r="O104" s="1">
        <f t="shared" ca="1" si="49"/>
        <v>4</v>
      </c>
      <c r="P104" s="1"/>
      <c r="Q104" s="1">
        <f t="shared" ca="1" si="50"/>
        <v>2.243996191312347</v>
      </c>
      <c r="R104" s="1">
        <f t="shared" ca="1" si="51"/>
        <v>236</v>
      </c>
      <c r="S104" s="1"/>
      <c r="T104" s="1">
        <f t="shared" ca="1" si="52"/>
        <v>4.7098394227636779E-2</v>
      </c>
      <c r="U104" s="1">
        <f t="shared" ca="1" si="53"/>
        <v>379</v>
      </c>
      <c r="V104" s="1">
        <f t="shared" ca="1" si="54"/>
        <v>19</v>
      </c>
      <c r="W104" s="1"/>
      <c r="X104" s="1">
        <f t="shared" ca="1" si="55"/>
        <v>3.4899755813772058</v>
      </c>
      <c r="Y104" s="1">
        <f t="shared" ca="1" si="56"/>
        <v>0.13771042625727006</v>
      </c>
      <c r="Z104" s="1">
        <f t="shared" ca="1" si="57"/>
        <v>1158</v>
      </c>
      <c r="AB104" s="1">
        <f t="shared" ca="1" si="58"/>
        <v>0.801072971758923</v>
      </c>
      <c r="AC104" s="1">
        <f t="shared" ca="1" si="59"/>
        <v>912</v>
      </c>
      <c r="AD104" s="1">
        <f t="shared" ca="1" si="60"/>
        <v>8.0438477838178108E-3</v>
      </c>
      <c r="AE104" s="1"/>
      <c r="AF104" s="1">
        <f t="shared" ca="1" si="61"/>
        <v>0.60878291919528837</v>
      </c>
      <c r="AG104" s="1">
        <f t="shared" ca="1" si="62"/>
        <v>322</v>
      </c>
      <c r="AH104" s="1">
        <f t="shared" ca="1" si="63"/>
        <v>6.5216496186546761E-3</v>
      </c>
      <c r="AJ104" s="1">
        <f t="shared" ca="1" si="64"/>
        <v>0.79474528740386319</v>
      </c>
      <c r="AK104" s="1">
        <f t="shared" ca="1" si="65"/>
        <v>9.9337082616879832E-3</v>
      </c>
      <c r="AL104" s="1"/>
      <c r="AM104" s="1">
        <f t="shared" ca="1" si="66"/>
        <v>0.12667884253249942</v>
      </c>
      <c r="AN104" s="1">
        <f t="shared" ca="1" si="67"/>
        <v>37</v>
      </c>
      <c r="AO104" s="1">
        <f t="shared" ca="1" si="68"/>
        <v>15</v>
      </c>
      <c r="AQ104" s="1">
        <f t="shared" ca="1" si="69"/>
        <v>195</v>
      </c>
      <c r="AR104" s="1">
        <f t="shared" ca="1" si="70"/>
        <v>2</v>
      </c>
      <c r="AS104" s="1">
        <f t="shared" ca="1" si="71"/>
        <v>96</v>
      </c>
      <c r="AU104" s="1">
        <f t="shared" ca="1" si="72"/>
        <v>111</v>
      </c>
      <c r="AV104" s="1">
        <f t="shared" ca="1" si="73"/>
        <v>4</v>
      </c>
      <c r="AW104" s="1">
        <f t="shared" ca="1" si="74"/>
        <v>5.7755113172154891E-2</v>
      </c>
      <c r="AY104" s="1">
        <f t="shared" ca="1" si="75"/>
        <v>1.4225098555897913</v>
      </c>
      <c r="AZ104" s="1">
        <f t="shared" ca="1" si="76"/>
        <v>471</v>
      </c>
      <c r="BA104" s="1">
        <f t="shared" ca="1" si="77"/>
        <v>4.4115135949241947E-3</v>
      </c>
    </row>
    <row r="105" spans="2:53" x14ac:dyDescent="0.25">
      <c r="B105">
        <f t="shared" ca="1" si="39"/>
        <v>126</v>
      </c>
      <c r="C105">
        <f t="shared" ca="1" si="40"/>
        <v>22</v>
      </c>
      <c r="D105">
        <f t="shared" ca="1" si="41"/>
        <v>0.10918288119558169</v>
      </c>
      <c r="F105" s="1">
        <f t="shared" ca="1" si="42"/>
        <v>38</v>
      </c>
      <c r="G105" s="1">
        <f t="shared" ca="1" si="43"/>
        <v>8</v>
      </c>
      <c r="H105" s="1">
        <f t="shared" ca="1" si="44"/>
        <v>13</v>
      </c>
      <c r="I105" s="1"/>
      <c r="J105" s="1">
        <f t="shared" ca="1" si="45"/>
        <v>26</v>
      </c>
      <c r="K105" s="1">
        <f t="shared" ca="1" si="46"/>
        <v>2.1343405730268286</v>
      </c>
      <c r="L105" s="1">
        <f t="shared" ca="1" si="47"/>
        <v>30</v>
      </c>
      <c r="M105" s="1"/>
      <c r="N105" s="1">
        <f t="shared" ca="1" si="48"/>
        <v>277</v>
      </c>
      <c r="O105" s="1">
        <f t="shared" ca="1" si="49"/>
        <v>20</v>
      </c>
      <c r="P105" s="1"/>
      <c r="Q105" s="1">
        <f t="shared" ca="1" si="50"/>
        <v>4.3523666340228928</v>
      </c>
      <c r="R105" s="1">
        <f t="shared" ca="1" si="51"/>
        <v>214</v>
      </c>
      <c r="S105" s="1"/>
      <c r="T105" s="1">
        <f t="shared" ca="1" si="52"/>
        <v>0.1684790682658876</v>
      </c>
      <c r="U105" s="1">
        <f t="shared" ca="1" si="53"/>
        <v>423</v>
      </c>
      <c r="V105" s="1">
        <f t="shared" ca="1" si="54"/>
        <v>26</v>
      </c>
      <c r="W105" s="1"/>
      <c r="X105" s="1">
        <f t="shared" ca="1" si="55"/>
        <v>7.5695804216138871</v>
      </c>
      <c r="Y105" s="1">
        <f t="shared" ca="1" si="56"/>
        <v>0.84596873735420564</v>
      </c>
      <c r="Z105" s="1">
        <f t="shared" ca="1" si="57"/>
        <v>1030</v>
      </c>
      <c r="AB105" s="1">
        <f t="shared" ca="1" si="58"/>
        <v>0.7611465244675083</v>
      </c>
      <c r="AC105" s="1">
        <f t="shared" ca="1" si="59"/>
        <v>661</v>
      </c>
      <c r="AD105" s="1">
        <f t="shared" ca="1" si="60"/>
        <v>1.7772456814214794E-3</v>
      </c>
      <c r="AE105" s="1"/>
      <c r="AF105" s="1">
        <f t="shared" ca="1" si="61"/>
        <v>0.2117075724695332</v>
      </c>
      <c r="AG105" s="1">
        <f t="shared" ca="1" si="62"/>
        <v>547</v>
      </c>
      <c r="AH105" s="1">
        <f t="shared" ca="1" si="63"/>
        <v>6.8083411622779869E-3</v>
      </c>
      <c r="AJ105" s="1">
        <f t="shared" ca="1" si="64"/>
        <v>0.32877499152038758</v>
      </c>
      <c r="AK105" s="1">
        <f t="shared" ca="1" si="65"/>
        <v>5.0477697958707631E-3</v>
      </c>
      <c r="AL105" s="1"/>
      <c r="AM105" s="1">
        <f t="shared" ca="1" si="66"/>
        <v>5.7491832975011287E-2</v>
      </c>
      <c r="AN105" s="1">
        <f t="shared" ca="1" si="67"/>
        <v>51</v>
      </c>
      <c r="AO105" s="1">
        <f t="shared" ca="1" si="68"/>
        <v>19</v>
      </c>
      <c r="AQ105" s="1">
        <f t="shared" ca="1" si="69"/>
        <v>170</v>
      </c>
      <c r="AR105" s="1">
        <f t="shared" ca="1" si="70"/>
        <v>1</v>
      </c>
      <c r="AS105" s="1">
        <f t="shared" ca="1" si="71"/>
        <v>66</v>
      </c>
      <c r="AU105" s="1">
        <f t="shared" ca="1" si="72"/>
        <v>128</v>
      </c>
      <c r="AV105" s="1">
        <f t="shared" ca="1" si="73"/>
        <v>9</v>
      </c>
      <c r="AW105" s="1">
        <f t="shared" ca="1" si="74"/>
        <v>0.18669126556619767</v>
      </c>
      <c r="AY105" s="1">
        <f t="shared" ca="1" si="75"/>
        <v>1.6731398498154602</v>
      </c>
      <c r="AZ105" s="1">
        <f t="shared" ca="1" si="76"/>
        <v>324</v>
      </c>
      <c r="BA105" s="1">
        <f t="shared" ca="1" si="77"/>
        <v>5.976742117680906E-3</v>
      </c>
    </row>
    <row r="106" spans="2:53" x14ac:dyDescent="0.25">
      <c r="B106">
        <f t="shared" ca="1" si="39"/>
        <v>598</v>
      </c>
      <c r="C106">
        <f t="shared" ca="1" si="40"/>
        <v>16</v>
      </c>
      <c r="D106">
        <f t="shared" ca="1" si="41"/>
        <v>0.22692018945892711</v>
      </c>
      <c r="F106" s="1">
        <f t="shared" ca="1" si="42"/>
        <v>10</v>
      </c>
      <c r="G106" s="1">
        <f t="shared" ca="1" si="43"/>
        <v>21</v>
      </c>
      <c r="H106" s="1">
        <f t="shared" ca="1" si="44"/>
        <v>9</v>
      </c>
      <c r="I106" s="1"/>
      <c r="J106" s="1">
        <f t="shared" ca="1" si="45"/>
        <v>12</v>
      </c>
      <c r="K106" s="1">
        <f t="shared" ca="1" si="46"/>
        <v>1.1438088483695048</v>
      </c>
      <c r="L106" s="1">
        <f t="shared" ca="1" si="47"/>
        <v>14</v>
      </c>
      <c r="M106" s="1"/>
      <c r="N106" s="1">
        <f t="shared" ca="1" si="48"/>
        <v>991</v>
      </c>
      <c r="O106" s="1">
        <f t="shared" ca="1" si="49"/>
        <v>50</v>
      </c>
      <c r="P106" s="1"/>
      <c r="Q106" s="1">
        <f t="shared" ca="1" si="50"/>
        <v>0.64232667149863065</v>
      </c>
      <c r="R106" s="1">
        <f t="shared" ca="1" si="51"/>
        <v>257</v>
      </c>
      <c r="S106" s="1"/>
      <c r="T106" s="1">
        <f t="shared" ca="1" si="52"/>
        <v>1.4397647550078241E-2</v>
      </c>
      <c r="U106" s="1">
        <f t="shared" ca="1" si="53"/>
        <v>280</v>
      </c>
      <c r="V106" s="1">
        <f t="shared" ca="1" si="54"/>
        <v>15</v>
      </c>
      <c r="W106" s="1"/>
      <c r="X106" s="1">
        <f t="shared" ca="1" si="55"/>
        <v>3.6139997727427778E-2</v>
      </c>
      <c r="Y106" s="1">
        <f t="shared" ca="1" si="56"/>
        <v>0.39392702707975707</v>
      </c>
      <c r="Z106" s="1">
        <f t="shared" ca="1" si="57"/>
        <v>1098</v>
      </c>
      <c r="AB106" s="1">
        <f t="shared" ca="1" si="58"/>
        <v>0.79994668053328533</v>
      </c>
      <c r="AC106" s="1">
        <f t="shared" ca="1" si="59"/>
        <v>833</v>
      </c>
      <c r="AD106" s="1">
        <f t="shared" ca="1" si="60"/>
        <v>2.0157386834076972E-3</v>
      </c>
      <c r="AE106" s="1"/>
      <c r="AF106" s="1">
        <f t="shared" ca="1" si="61"/>
        <v>0.42895708959241952</v>
      </c>
      <c r="AG106" s="1">
        <f t="shared" ca="1" si="62"/>
        <v>288</v>
      </c>
      <c r="AH106" s="1">
        <f t="shared" ca="1" si="63"/>
        <v>6.1223648631786778E-3</v>
      </c>
      <c r="AJ106" s="1">
        <f t="shared" ca="1" si="64"/>
        <v>0.3883536656763823</v>
      </c>
      <c r="AK106" s="1">
        <f t="shared" ca="1" si="65"/>
        <v>2.371976445061028E-3</v>
      </c>
      <c r="AL106" s="1"/>
      <c r="AM106" s="1">
        <f t="shared" ca="1" si="66"/>
        <v>0.12840529208345902</v>
      </c>
      <c r="AN106" s="1">
        <f t="shared" ca="1" si="67"/>
        <v>77</v>
      </c>
      <c r="AO106" s="1">
        <f t="shared" ca="1" si="68"/>
        <v>2</v>
      </c>
      <c r="AQ106" s="1">
        <f t="shared" ca="1" si="69"/>
        <v>37</v>
      </c>
      <c r="AR106" s="1">
        <f t="shared" ca="1" si="70"/>
        <v>8</v>
      </c>
      <c r="AS106" s="1">
        <f t="shared" ca="1" si="71"/>
        <v>3</v>
      </c>
      <c r="AU106" s="1">
        <f t="shared" ca="1" si="72"/>
        <v>260</v>
      </c>
      <c r="AV106" s="1">
        <f t="shared" ca="1" si="73"/>
        <v>9</v>
      </c>
      <c r="AW106" s="1">
        <f t="shared" ca="1" si="74"/>
        <v>4.5512164062503246E-2</v>
      </c>
      <c r="AY106" s="1">
        <f t="shared" ca="1" si="75"/>
        <v>1.3672159831192769</v>
      </c>
      <c r="AZ106" s="1">
        <f t="shared" ca="1" si="76"/>
        <v>110</v>
      </c>
      <c r="BA106" s="1">
        <f t="shared" ca="1" si="77"/>
        <v>3.8247029849216132E-3</v>
      </c>
    </row>
    <row r="107" spans="2:53" x14ac:dyDescent="0.25">
      <c r="B107">
        <f t="shared" ca="1" si="39"/>
        <v>213</v>
      </c>
      <c r="C107">
        <f t="shared" ca="1" si="40"/>
        <v>35</v>
      </c>
      <c r="D107">
        <f t="shared" ca="1" si="41"/>
        <v>0.28727406501742581</v>
      </c>
      <c r="F107" s="1">
        <f t="shared" ca="1" si="42"/>
        <v>48</v>
      </c>
      <c r="G107" s="1">
        <f t="shared" ca="1" si="43"/>
        <v>5</v>
      </c>
      <c r="H107" s="1">
        <f t="shared" ca="1" si="44"/>
        <v>7</v>
      </c>
      <c r="I107" s="1"/>
      <c r="J107" s="1">
        <f t="shared" ca="1" si="45"/>
        <v>35</v>
      </c>
      <c r="K107" s="1">
        <f t="shared" ca="1" si="46"/>
        <v>2.7265233588126101</v>
      </c>
      <c r="L107" s="1">
        <f t="shared" ca="1" si="47"/>
        <v>29</v>
      </c>
      <c r="M107" s="1"/>
      <c r="N107" s="1">
        <f t="shared" ca="1" si="48"/>
        <v>994</v>
      </c>
      <c r="O107" s="1">
        <f t="shared" ca="1" si="49"/>
        <v>34</v>
      </c>
      <c r="P107" s="1"/>
      <c r="Q107" s="1">
        <f t="shared" ca="1" si="50"/>
        <v>1.4078742032848213</v>
      </c>
      <c r="R107" s="1">
        <f t="shared" ca="1" si="51"/>
        <v>754</v>
      </c>
      <c r="S107" s="1"/>
      <c r="T107" s="1">
        <f t="shared" ca="1" si="52"/>
        <v>0.18198963088868572</v>
      </c>
      <c r="U107" s="1">
        <f t="shared" ca="1" si="53"/>
        <v>376</v>
      </c>
      <c r="V107" s="1">
        <f t="shared" ca="1" si="54"/>
        <v>43</v>
      </c>
      <c r="W107" s="1"/>
      <c r="X107" s="1">
        <f t="shared" ca="1" si="55"/>
        <v>0.97586148332503941</v>
      </c>
      <c r="Y107" s="1">
        <f t="shared" ca="1" si="56"/>
        <v>0.33662691159272323</v>
      </c>
      <c r="Z107" s="1">
        <f t="shared" ca="1" si="57"/>
        <v>1976</v>
      </c>
      <c r="AB107" s="1">
        <f t="shared" ca="1" si="58"/>
        <v>0.96841497911757712</v>
      </c>
      <c r="AC107" s="1">
        <f t="shared" ca="1" si="59"/>
        <v>599</v>
      </c>
      <c r="AD107" s="1">
        <f t="shared" ca="1" si="60"/>
        <v>5.9054878349273227E-3</v>
      </c>
      <c r="AE107" s="1"/>
      <c r="AF107" s="1">
        <f t="shared" ca="1" si="61"/>
        <v>0.44789876202317414</v>
      </c>
      <c r="AG107" s="1">
        <f t="shared" ca="1" si="62"/>
        <v>230</v>
      </c>
      <c r="AH107" s="1">
        <f t="shared" ca="1" si="63"/>
        <v>7.4051816258994445E-3</v>
      </c>
      <c r="AJ107" s="1">
        <f t="shared" ca="1" si="64"/>
        <v>0.74520094604740539</v>
      </c>
      <c r="AK107" s="1">
        <f t="shared" ca="1" si="65"/>
        <v>7.2981837747108022E-3</v>
      </c>
      <c r="AL107" s="1"/>
      <c r="AM107" s="1">
        <f t="shared" ca="1" si="66"/>
        <v>8.3235837573872568E-2</v>
      </c>
      <c r="AN107" s="1">
        <f t="shared" ca="1" si="67"/>
        <v>42</v>
      </c>
      <c r="AO107" s="1">
        <f t="shared" ca="1" si="68"/>
        <v>17</v>
      </c>
      <c r="AQ107" s="1">
        <f t="shared" ca="1" si="69"/>
        <v>112</v>
      </c>
      <c r="AR107" s="1">
        <f t="shared" ca="1" si="70"/>
        <v>10</v>
      </c>
      <c r="AS107" s="1">
        <f t="shared" ca="1" si="71"/>
        <v>6</v>
      </c>
      <c r="AU107" s="1">
        <f t="shared" ca="1" si="72"/>
        <v>180</v>
      </c>
      <c r="AV107" s="1">
        <f t="shared" ca="1" si="73"/>
        <v>10</v>
      </c>
      <c r="AW107" s="1">
        <f t="shared" ca="1" si="74"/>
        <v>0.18733358491720331</v>
      </c>
      <c r="AY107" s="1">
        <f t="shared" ca="1" si="75"/>
        <v>1.601400033560308</v>
      </c>
      <c r="AZ107" s="1">
        <f t="shared" ca="1" si="76"/>
        <v>163</v>
      </c>
      <c r="BA107" s="1">
        <f t="shared" ca="1" si="77"/>
        <v>8.6956062823099721E-3</v>
      </c>
    </row>
    <row r="108" spans="2:53" x14ac:dyDescent="0.25">
      <c r="B108">
        <f t="shared" ca="1" si="39"/>
        <v>74</v>
      </c>
      <c r="C108">
        <f t="shared" ca="1" si="40"/>
        <v>33</v>
      </c>
      <c r="D108">
        <f t="shared" ca="1" si="41"/>
        <v>0.25243151664912716</v>
      </c>
      <c r="F108" s="1">
        <f t="shared" ca="1" si="42"/>
        <v>42</v>
      </c>
      <c r="G108" s="1">
        <f t="shared" ca="1" si="43"/>
        <v>13</v>
      </c>
      <c r="H108" s="1">
        <f t="shared" ca="1" si="44"/>
        <v>8</v>
      </c>
      <c r="I108" s="1"/>
      <c r="J108" s="1">
        <f t="shared" ca="1" si="45"/>
        <v>21</v>
      </c>
      <c r="K108" s="1">
        <f t="shared" ca="1" si="46"/>
        <v>1.6007496165540296</v>
      </c>
      <c r="L108" s="1">
        <f t="shared" ca="1" si="47"/>
        <v>21</v>
      </c>
      <c r="M108" s="1"/>
      <c r="N108" s="1">
        <f t="shared" ca="1" si="48"/>
        <v>427</v>
      </c>
      <c r="O108" s="1">
        <f t="shared" ca="1" si="49"/>
        <v>52</v>
      </c>
      <c r="P108" s="1"/>
      <c r="Q108" s="1">
        <f t="shared" ca="1" si="50"/>
        <v>3.7392054808972963</v>
      </c>
      <c r="R108" s="1">
        <f t="shared" ca="1" si="51"/>
        <v>1007</v>
      </c>
      <c r="S108" s="1"/>
      <c r="T108" s="1">
        <f t="shared" ca="1" si="52"/>
        <v>0.13890994021091427</v>
      </c>
      <c r="U108" s="1">
        <f t="shared" ca="1" si="53"/>
        <v>100</v>
      </c>
      <c r="V108" s="1">
        <f t="shared" ca="1" si="54"/>
        <v>39</v>
      </c>
      <c r="W108" s="1"/>
      <c r="X108" s="1">
        <f t="shared" ca="1" si="55"/>
        <v>5.3311717616304879</v>
      </c>
      <c r="Y108" s="1">
        <f t="shared" ca="1" si="56"/>
        <v>0.52960337263674151</v>
      </c>
      <c r="Z108" s="1">
        <f t="shared" ca="1" si="57"/>
        <v>1469</v>
      </c>
      <c r="AB108" s="1">
        <f t="shared" ca="1" si="58"/>
        <v>0.83538128829879488</v>
      </c>
      <c r="AC108" s="1">
        <f t="shared" ca="1" si="59"/>
        <v>256</v>
      </c>
      <c r="AD108" s="1">
        <f t="shared" ca="1" si="60"/>
        <v>7.2914268262072868E-3</v>
      </c>
      <c r="AE108" s="1"/>
      <c r="AF108" s="1">
        <f t="shared" ca="1" si="61"/>
        <v>0.61609892603572924</v>
      </c>
      <c r="AG108" s="1">
        <f t="shared" ca="1" si="62"/>
        <v>871</v>
      </c>
      <c r="AH108" s="1">
        <f t="shared" ca="1" si="63"/>
        <v>1.3998767946409776E-3</v>
      </c>
      <c r="AJ108" s="1">
        <f t="shared" ca="1" si="64"/>
        <v>0.85470928049397943</v>
      </c>
      <c r="AK108" s="1">
        <f t="shared" ca="1" si="65"/>
        <v>3.0801005949438937E-3</v>
      </c>
      <c r="AL108" s="1"/>
      <c r="AM108" s="1">
        <f t="shared" ca="1" si="66"/>
        <v>0.10433074130330887</v>
      </c>
      <c r="AN108" s="1">
        <f t="shared" ca="1" si="67"/>
        <v>32</v>
      </c>
      <c r="AO108" s="1">
        <f t="shared" ca="1" si="68"/>
        <v>6</v>
      </c>
      <c r="AQ108" s="1">
        <f t="shared" ca="1" si="69"/>
        <v>55</v>
      </c>
      <c r="AR108" s="1">
        <f t="shared" ca="1" si="70"/>
        <v>3</v>
      </c>
      <c r="AS108" s="1">
        <f t="shared" ca="1" si="71"/>
        <v>71</v>
      </c>
      <c r="AU108" s="1">
        <f t="shared" ca="1" si="72"/>
        <v>369</v>
      </c>
      <c r="AV108" s="1">
        <f t="shared" ca="1" si="73"/>
        <v>7</v>
      </c>
      <c r="AW108" s="1">
        <f t="shared" ca="1" si="74"/>
        <v>9.2844119653467963E-2</v>
      </c>
      <c r="AY108" s="1">
        <f t="shared" ca="1" si="75"/>
        <v>1.4822947861244815</v>
      </c>
      <c r="AZ108" s="1">
        <f t="shared" ca="1" si="76"/>
        <v>205</v>
      </c>
      <c r="BA108" s="1">
        <f t="shared" ca="1" si="77"/>
        <v>1.4526157871038818E-3</v>
      </c>
    </row>
    <row r="109" spans="2:53" x14ac:dyDescent="0.25">
      <c r="B109">
        <f t="shared" ca="1" si="39"/>
        <v>127</v>
      </c>
      <c r="C109">
        <f t="shared" ca="1" si="40"/>
        <v>31</v>
      </c>
      <c r="D109">
        <f t="shared" ca="1" si="41"/>
        <v>0.28783367996605569</v>
      </c>
      <c r="F109" s="1">
        <f t="shared" ca="1" si="42"/>
        <v>9</v>
      </c>
      <c r="G109" s="1">
        <f t="shared" ca="1" si="43"/>
        <v>30</v>
      </c>
      <c r="H109" s="1">
        <f t="shared" ca="1" si="44"/>
        <v>4</v>
      </c>
      <c r="I109" s="1"/>
      <c r="J109" s="1">
        <f t="shared" ca="1" si="45"/>
        <v>18</v>
      </c>
      <c r="K109" s="1">
        <f t="shared" ca="1" si="46"/>
        <v>2.9287056441755244</v>
      </c>
      <c r="L109" s="1">
        <f t="shared" ca="1" si="47"/>
        <v>12</v>
      </c>
      <c r="M109" s="1"/>
      <c r="N109" s="1">
        <f t="shared" ca="1" si="48"/>
        <v>458</v>
      </c>
      <c r="O109" s="1">
        <f t="shared" ca="1" si="49"/>
        <v>15</v>
      </c>
      <c r="P109" s="1"/>
      <c r="Q109" s="1">
        <f t="shared" ca="1" si="50"/>
        <v>2.2128565093030517</v>
      </c>
      <c r="R109" s="1">
        <f t="shared" ca="1" si="51"/>
        <v>584</v>
      </c>
      <c r="S109" s="1"/>
      <c r="T109" s="1">
        <f t="shared" ca="1" si="52"/>
        <v>5.6468002058800065E-2</v>
      </c>
      <c r="U109" s="1">
        <f t="shared" ca="1" si="53"/>
        <v>435</v>
      </c>
      <c r="V109" s="1">
        <f t="shared" ca="1" si="54"/>
        <v>20</v>
      </c>
      <c r="W109" s="1"/>
      <c r="X109" s="1">
        <f t="shared" ca="1" si="55"/>
        <v>1.740315698437632</v>
      </c>
      <c r="Y109" s="1">
        <f t="shared" ca="1" si="56"/>
        <v>0.45292660704665727</v>
      </c>
      <c r="Z109" s="1">
        <f t="shared" ca="1" si="57"/>
        <v>237</v>
      </c>
      <c r="AB109" s="1">
        <f t="shared" ca="1" si="58"/>
        <v>0.77571351919019649</v>
      </c>
      <c r="AC109" s="1">
        <f t="shared" ca="1" si="59"/>
        <v>737</v>
      </c>
      <c r="AD109" s="1">
        <f t="shared" ca="1" si="60"/>
        <v>9.3019091957669085E-3</v>
      </c>
      <c r="AE109" s="1"/>
      <c r="AF109" s="1">
        <f t="shared" ca="1" si="61"/>
        <v>0.83231774491502397</v>
      </c>
      <c r="AG109" s="1">
        <f t="shared" ca="1" si="62"/>
        <v>145</v>
      </c>
      <c r="AH109" s="1">
        <f t="shared" ca="1" si="63"/>
        <v>9.414854639889696E-5</v>
      </c>
      <c r="AJ109" s="1">
        <f t="shared" ca="1" si="64"/>
        <v>0.54615457416602609</v>
      </c>
      <c r="AK109" s="1">
        <f t="shared" ca="1" si="65"/>
        <v>5.777479832891049E-3</v>
      </c>
      <c r="AL109" s="1"/>
      <c r="AM109" s="1">
        <f t="shared" ca="1" si="66"/>
        <v>0.18727738640511613</v>
      </c>
      <c r="AN109" s="1">
        <f t="shared" ca="1" si="67"/>
        <v>47</v>
      </c>
      <c r="AO109" s="1">
        <f t="shared" ca="1" si="68"/>
        <v>4</v>
      </c>
      <c r="AQ109" s="1">
        <f t="shared" ca="1" si="69"/>
        <v>157</v>
      </c>
      <c r="AR109" s="1">
        <f t="shared" ca="1" si="70"/>
        <v>0</v>
      </c>
      <c r="AS109" s="1">
        <f t="shared" ca="1" si="71"/>
        <v>75</v>
      </c>
      <c r="AU109" s="1">
        <f t="shared" ca="1" si="72"/>
        <v>231</v>
      </c>
      <c r="AV109" s="1">
        <f t="shared" ca="1" si="73"/>
        <v>4</v>
      </c>
      <c r="AW109" s="1">
        <f t="shared" ca="1" si="74"/>
        <v>0.10838848371546998</v>
      </c>
      <c r="AY109" s="1">
        <f t="shared" ca="1" si="75"/>
        <v>1.3663850873132244</v>
      </c>
      <c r="AZ109" s="1">
        <f t="shared" ca="1" si="76"/>
        <v>81</v>
      </c>
      <c r="BA109" s="1">
        <f t="shared" ca="1" si="77"/>
        <v>6.52406854259302E-3</v>
      </c>
    </row>
    <row r="110" spans="2:53" x14ac:dyDescent="0.25">
      <c r="B110">
        <f t="shared" ca="1" si="39"/>
        <v>463</v>
      </c>
      <c r="C110">
        <f t="shared" ca="1" si="40"/>
        <v>52</v>
      </c>
      <c r="D110">
        <f t="shared" ca="1" si="41"/>
        <v>2.5456827287225786E-2</v>
      </c>
      <c r="F110" s="1">
        <f t="shared" ca="1" si="42"/>
        <v>29</v>
      </c>
      <c r="G110" s="1">
        <f t="shared" ca="1" si="43"/>
        <v>17</v>
      </c>
      <c r="H110" s="1">
        <f t="shared" ca="1" si="44"/>
        <v>13</v>
      </c>
      <c r="I110" s="1"/>
      <c r="J110" s="1">
        <f t="shared" ca="1" si="45"/>
        <v>32</v>
      </c>
      <c r="K110" s="1">
        <f t="shared" ca="1" si="46"/>
        <v>2.95006501696888</v>
      </c>
      <c r="L110" s="1">
        <f t="shared" ca="1" si="47"/>
        <v>17</v>
      </c>
      <c r="M110" s="1"/>
      <c r="N110" s="1">
        <f t="shared" ca="1" si="48"/>
        <v>676</v>
      </c>
      <c r="O110" s="1">
        <f t="shared" ca="1" si="49"/>
        <v>35</v>
      </c>
      <c r="P110" s="1"/>
      <c r="Q110" s="1">
        <f t="shared" ca="1" si="50"/>
        <v>2.1506712784479189</v>
      </c>
      <c r="R110" s="1">
        <f t="shared" ca="1" si="51"/>
        <v>359</v>
      </c>
      <c r="S110" s="1"/>
      <c r="T110" s="1">
        <f t="shared" ca="1" si="52"/>
        <v>0.19289307420341201</v>
      </c>
      <c r="U110" s="1">
        <f t="shared" ca="1" si="53"/>
        <v>358</v>
      </c>
      <c r="V110" s="1">
        <f t="shared" ca="1" si="54"/>
        <v>27</v>
      </c>
      <c r="W110" s="1"/>
      <c r="X110" s="1">
        <f t="shared" ca="1" si="55"/>
        <v>7.7288777658604285E-2</v>
      </c>
      <c r="Y110" s="1">
        <f t="shared" ca="1" si="56"/>
        <v>0.74326074107344275</v>
      </c>
      <c r="Z110" s="1">
        <f t="shared" ca="1" si="57"/>
        <v>1868</v>
      </c>
      <c r="AB110" s="1">
        <f t="shared" ca="1" si="58"/>
        <v>0.16756786691623549</v>
      </c>
      <c r="AC110" s="1">
        <f t="shared" ca="1" si="59"/>
        <v>718</v>
      </c>
      <c r="AD110" s="1">
        <f t="shared" ca="1" si="60"/>
        <v>3.5671679878871848E-3</v>
      </c>
      <c r="AE110" s="1"/>
      <c r="AF110" s="1">
        <f t="shared" ca="1" si="61"/>
        <v>0.6948468075746469</v>
      </c>
      <c r="AG110" s="1">
        <f t="shared" ca="1" si="62"/>
        <v>804</v>
      </c>
      <c r="AH110" s="1">
        <f t="shared" ca="1" si="63"/>
        <v>6.3026239811558894E-3</v>
      </c>
      <c r="AJ110" s="1">
        <f t="shared" ca="1" si="64"/>
        <v>0.88920509479186016</v>
      </c>
      <c r="AK110" s="1">
        <f t="shared" ca="1" si="65"/>
        <v>9.1493482681786597E-3</v>
      </c>
      <c r="AL110" s="1"/>
      <c r="AM110" s="1">
        <f t="shared" ca="1" si="66"/>
        <v>0.19726093481199417</v>
      </c>
      <c r="AN110" s="1">
        <f t="shared" ca="1" si="67"/>
        <v>44</v>
      </c>
      <c r="AO110" s="1">
        <f t="shared" ca="1" si="68"/>
        <v>18</v>
      </c>
      <c r="AQ110" s="1">
        <f t="shared" ca="1" si="69"/>
        <v>164</v>
      </c>
      <c r="AR110" s="1">
        <f t="shared" ca="1" si="70"/>
        <v>3</v>
      </c>
      <c r="AS110" s="1">
        <f t="shared" ca="1" si="71"/>
        <v>85</v>
      </c>
      <c r="AU110" s="1">
        <f t="shared" ca="1" si="72"/>
        <v>297</v>
      </c>
      <c r="AV110" s="1">
        <f t="shared" ca="1" si="73"/>
        <v>8</v>
      </c>
      <c r="AW110" s="1">
        <f t="shared" ca="1" si="74"/>
        <v>7.3464312128921669E-2</v>
      </c>
      <c r="AY110" s="1">
        <f t="shared" ca="1" si="75"/>
        <v>1.7015249411206184</v>
      </c>
      <c r="AZ110" s="1">
        <f t="shared" ca="1" si="76"/>
        <v>231</v>
      </c>
      <c r="BA110" s="1">
        <f t="shared" ca="1" si="77"/>
        <v>8.8600165555569694E-4</v>
      </c>
    </row>
    <row r="111" spans="2:53" x14ac:dyDescent="0.25">
      <c r="B111">
        <f t="shared" ca="1" si="39"/>
        <v>769</v>
      </c>
      <c r="C111">
        <f t="shared" ca="1" si="40"/>
        <v>52</v>
      </c>
      <c r="D111">
        <f t="shared" ca="1" si="41"/>
        <v>0.21403672353157846</v>
      </c>
      <c r="F111" s="1">
        <f t="shared" ca="1" si="42"/>
        <v>35</v>
      </c>
      <c r="G111" s="1">
        <f t="shared" ca="1" si="43"/>
        <v>26</v>
      </c>
      <c r="H111" s="1">
        <f t="shared" ca="1" si="44"/>
        <v>6</v>
      </c>
      <c r="I111" s="1"/>
      <c r="J111" s="1">
        <f t="shared" ca="1" si="45"/>
        <v>24</v>
      </c>
      <c r="K111" s="1">
        <f t="shared" ca="1" si="46"/>
        <v>1.1867493743120228</v>
      </c>
      <c r="L111" s="1">
        <f t="shared" ca="1" si="47"/>
        <v>11</v>
      </c>
      <c r="M111" s="1"/>
      <c r="N111" s="1">
        <f t="shared" ca="1" si="48"/>
        <v>436</v>
      </c>
      <c r="O111" s="1">
        <f t="shared" ca="1" si="49"/>
        <v>49</v>
      </c>
      <c r="P111" s="1"/>
      <c r="Q111" s="1">
        <f t="shared" ca="1" si="50"/>
        <v>4.4421810745026358</v>
      </c>
      <c r="R111" s="1">
        <f t="shared" ca="1" si="51"/>
        <v>618</v>
      </c>
      <c r="S111" s="1"/>
      <c r="T111" s="1">
        <f t="shared" ca="1" si="52"/>
        <v>0.12010537164220161</v>
      </c>
      <c r="U111" s="1">
        <f t="shared" ca="1" si="53"/>
        <v>267</v>
      </c>
      <c r="V111" s="1">
        <f t="shared" ca="1" si="54"/>
        <v>38</v>
      </c>
      <c r="W111" s="1"/>
      <c r="X111" s="1">
        <f t="shared" ca="1" si="55"/>
        <v>6.3609130407360412</v>
      </c>
      <c r="Y111" s="1">
        <f t="shared" ca="1" si="56"/>
        <v>0.67777600460124277</v>
      </c>
      <c r="Z111" s="1">
        <f t="shared" ca="1" si="57"/>
        <v>1515</v>
      </c>
      <c r="AB111" s="1">
        <f t="shared" ca="1" si="58"/>
        <v>0.75678734774544487</v>
      </c>
      <c r="AC111" s="1">
        <f t="shared" ca="1" si="59"/>
        <v>243</v>
      </c>
      <c r="AD111" s="1">
        <f t="shared" ca="1" si="60"/>
        <v>7.2450128055650239E-3</v>
      </c>
      <c r="AE111" s="1"/>
      <c r="AF111" s="1">
        <f t="shared" ca="1" si="61"/>
        <v>0.23834408954558814</v>
      </c>
      <c r="AG111" s="1">
        <f t="shared" ca="1" si="62"/>
        <v>631</v>
      </c>
      <c r="AH111" s="1">
        <f t="shared" ca="1" si="63"/>
        <v>5.8973581062024463E-3</v>
      </c>
      <c r="AJ111" s="1">
        <f t="shared" ca="1" si="64"/>
        <v>0.9405549341887558</v>
      </c>
      <c r="AK111" s="1">
        <f t="shared" ca="1" si="65"/>
        <v>1.3849329472391834E-4</v>
      </c>
      <c r="AL111" s="1"/>
      <c r="AM111" s="1">
        <f t="shared" ca="1" si="66"/>
        <v>2.7995947885774339E-2</v>
      </c>
      <c r="AN111" s="1">
        <f t="shared" ca="1" si="67"/>
        <v>24</v>
      </c>
      <c r="AO111" s="1">
        <f t="shared" ca="1" si="68"/>
        <v>2</v>
      </c>
      <c r="AQ111" s="1">
        <f t="shared" ca="1" si="69"/>
        <v>85</v>
      </c>
      <c r="AR111" s="1">
        <f t="shared" ca="1" si="70"/>
        <v>7</v>
      </c>
      <c r="AS111" s="1">
        <f t="shared" ca="1" si="71"/>
        <v>14</v>
      </c>
      <c r="AU111" s="1">
        <f t="shared" ca="1" si="72"/>
        <v>63</v>
      </c>
      <c r="AV111" s="1">
        <f t="shared" ca="1" si="73"/>
        <v>8</v>
      </c>
      <c r="AW111" s="1">
        <f t="shared" ca="1" si="74"/>
        <v>8.7446586475243573E-2</v>
      </c>
      <c r="AY111" s="1">
        <f t="shared" ca="1" si="75"/>
        <v>1.1957271732639996</v>
      </c>
      <c r="AZ111" s="1">
        <f t="shared" ca="1" si="76"/>
        <v>292</v>
      </c>
      <c r="BA111" s="1">
        <f t="shared" ca="1" si="77"/>
        <v>5.2279780554636147E-4</v>
      </c>
    </row>
    <row r="112" spans="2:53" x14ac:dyDescent="0.25">
      <c r="B112">
        <f t="shared" ca="1" si="39"/>
        <v>722</v>
      </c>
      <c r="C112">
        <f t="shared" ca="1" si="40"/>
        <v>8</v>
      </c>
      <c r="D112">
        <f t="shared" ca="1" si="41"/>
        <v>0.28514497280745033</v>
      </c>
      <c r="F112" s="1">
        <f t="shared" ca="1" si="42"/>
        <v>23</v>
      </c>
      <c r="G112" s="1">
        <f t="shared" ca="1" si="43"/>
        <v>21</v>
      </c>
      <c r="H112" s="1">
        <f t="shared" ca="1" si="44"/>
        <v>15</v>
      </c>
      <c r="I112" s="1"/>
      <c r="J112" s="1">
        <f t="shared" ca="1" si="45"/>
        <v>15</v>
      </c>
      <c r="K112" s="1">
        <f t="shared" ca="1" si="46"/>
        <v>2.207303939337439</v>
      </c>
      <c r="L112" s="1">
        <f t="shared" ca="1" si="47"/>
        <v>12</v>
      </c>
      <c r="M112" s="1"/>
      <c r="N112" s="1">
        <f t="shared" ca="1" si="48"/>
        <v>667</v>
      </c>
      <c r="O112" s="1">
        <f t="shared" ca="1" si="49"/>
        <v>28</v>
      </c>
      <c r="P112" s="1"/>
      <c r="Q112" s="1">
        <f t="shared" ca="1" si="50"/>
        <v>2.5065133511024937</v>
      </c>
      <c r="R112" s="1">
        <f t="shared" ca="1" si="51"/>
        <v>881</v>
      </c>
      <c r="S112" s="1"/>
      <c r="T112" s="1">
        <f t="shared" ca="1" si="52"/>
        <v>0.19140339825540356</v>
      </c>
      <c r="U112" s="1">
        <f t="shared" ca="1" si="53"/>
        <v>383</v>
      </c>
      <c r="V112" s="1">
        <f t="shared" ca="1" si="54"/>
        <v>13</v>
      </c>
      <c r="W112" s="1"/>
      <c r="X112" s="1">
        <f t="shared" ca="1" si="55"/>
        <v>9.2764221179682842</v>
      </c>
      <c r="Y112" s="1">
        <f t="shared" ca="1" si="56"/>
        <v>0.84971672733927572</v>
      </c>
      <c r="Z112" s="1">
        <f t="shared" ca="1" si="57"/>
        <v>1885</v>
      </c>
      <c r="AB112" s="1">
        <f t="shared" ca="1" si="58"/>
        <v>0.42917723068257768</v>
      </c>
      <c r="AC112" s="1">
        <f t="shared" ca="1" si="59"/>
        <v>830</v>
      </c>
      <c r="AD112" s="1">
        <f t="shared" ca="1" si="60"/>
        <v>9.7013968059882997E-3</v>
      </c>
      <c r="AE112" s="1"/>
      <c r="AF112" s="1">
        <f t="shared" ca="1" si="61"/>
        <v>0.84314631097109116</v>
      </c>
      <c r="AG112" s="1">
        <f t="shared" ca="1" si="62"/>
        <v>321</v>
      </c>
      <c r="AH112" s="1">
        <f t="shared" ca="1" si="63"/>
        <v>4.156535730020173E-3</v>
      </c>
      <c r="AJ112" s="1">
        <f t="shared" ca="1" si="64"/>
        <v>0.72074392437736057</v>
      </c>
      <c r="AK112" s="1">
        <f t="shared" ca="1" si="65"/>
        <v>4.0765276848342084E-3</v>
      </c>
      <c r="AL112" s="1"/>
      <c r="AM112" s="1">
        <f t="shared" ca="1" si="66"/>
        <v>7.0416085653374885E-2</v>
      </c>
      <c r="AN112" s="1">
        <f t="shared" ca="1" si="67"/>
        <v>65</v>
      </c>
      <c r="AO112" s="1">
        <f t="shared" ca="1" si="68"/>
        <v>15</v>
      </c>
      <c r="AQ112" s="1">
        <f t="shared" ca="1" si="69"/>
        <v>191</v>
      </c>
      <c r="AR112" s="1">
        <f t="shared" ca="1" si="70"/>
        <v>6</v>
      </c>
      <c r="AS112" s="1">
        <f t="shared" ca="1" si="71"/>
        <v>10</v>
      </c>
      <c r="AU112" s="1">
        <f t="shared" ca="1" si="72"/>
        <v>344</v>
      </c>
      <c r="AV112" s="1">
        <f t="shared" ca="1" si="73"/>
        <v>8</v>
      </c>
      <c r="AW112" s="1">
        <f t="shared" ca="1" si="74"/>
        <v>1.4394282166808447E-2</v>
      </c>
      <c r="AY112" s="1">
        <f t="shared" ca="1" si="75"/>
        <v>1.3342092409239845</v>
      </c>
      <c r="AZ112" s="1">
        <f t="shared" ca="1" si="76"/>
        <v>102</v>
      </c>
      <c r="BA112" s="1">
        <f t="shared" ca="1" si="77"/>
        <v>1.1501004082303734E-3</v>
      </c>
    </row>
    <row r="113" spans="2:53" x14ac:dyDescent="0.25">
      <c r="B113">
        <f t="shared" ca="1" si="39"/>
        <v>793</v>
      </c>
      <c r="C113">
        <f t="shared" ca="1" si="40"/>
        <v>39</v>
      </c>
      <c r="D113">
        <f t="shared" ca="1" si="41"/>
        <v>0.18055027320054126</v>
      </c>
      <c r="F113" s="1">
        <f t="shared" ca="1" si="42"/>
        <v>35</v>
      </c>
      <c r="G113" s="1">
        <f t="shared" ca="1" si="43"/>
        <v>13</v>
      </c>
      <c r="H113" s="1">
        <f t="shared" ca="1" si="44"/>
        <v>1</v>
      </c>
      <c r="I113" s="1"/>
      <c r="J113" s="1">
        <f t="shared" ca="1" si="45"/>
        <v>20</v>
      </c>
      <c r="K113" s="1">
        <f t="shared" ca="1" si="46"/>
        <v>1.6896861029703645</v>
      </c>
      <c r="L113" s="1">
        <f t="shared" ca="1" si="47"/>
        <v>19</v>
      </c>
      <c r="M113" s="1"/>
      <c r="N113" s="1">
        <f t="shared" ca="1" si="48"/>
        <v>578</v>
      </c>
      <c r="O113" s="1">
        <f t="shared" ca="1" si="49"/>
        <v>29</v>
      </c>
      <c r="P113" s="1"/>
      <c r="Q113" s="1">
        <f t="shared" ca="1" si="50"/>
        <v>1.3334696717600765</v>
      </c>
      <c r="R113" s="1">
        <f t="shared" ca="1" si="51"/>
        <v>561</v>
      </c>
      <c r="S113" s="1"/>
      <c r="T113" s="1">
        <f t="shared" ca="1" si="52"/>
        <v>0.15493809295001032</v>
      </c>
      <c r="U113" s="1">
        <f t="shared" ca="1" si="53"/>
        <v>194</v>
      </c>
      <c r="V113" s="1">
        <f t="shared" ca="1" si="54"/>
        <v>36</v>
      </c>
      <c r="W113" s="1"/>
      <c r="X113" s="1">
        <f t="shared" ca="1" si="55"/>
        <v>0.15300539195060928</v>
      </c>
      <c r="Y113" s="1">
        <f t="shared" ca="1" si="56"/>
        <v>7.4345144771348889E-2</v>
      </c>
      <c r="Z113" s="1">
        <f t="shared" ca="1" si="57"/>
        <v>1041</v>
      </c>
      <c r="AB113" s="1">
        <f t="shared" ca="1" si="58"/>
        <v>0.41836741202684635</v>
      </c>
      <c r="AC113" s="1">
        <f t="shared" ca="1" si="59"/>
        <v>110</v>
      </c>
      <c r="AD113" s="1">
        <f t="shared" ca="1" si="60"/>
        <v>1.6710646184010228E-3</v>
      </c>
      <c r="AE113" s="1"/>
      <c r="AF113" s="1">
        <f t="shared" ca="1" si="61"/>
        <v>0.27936083012061896</v>
      </c>
      <c r="AG113" s="1">
        <f t="shared" ca="1" si="62"/>
        <v>302</v>
      </c>
      <c r="AH113" s="1">
        <f t="shared" ca="1" si="63"/>
        <v>1.2022798320110186E-3</v>
      </c>
      <c r="AJ113" s="1">
        <f t="shared" ca="1" si="64"/>
        <v>0.93834783384687059</v>
      </c>
      <c r="AK113" s="1">
        <f t="shared" ca="1" si="65"/>
        <v>8.9887042631023231E-3</v>
      </c>
      <c r="AL113" s="1"/>
      <c r="AM113" s="1">
        <f t="shared" ca="1" si="66"/>
        <v>0.14877386291101605</v>
      </c>
      <c r="AN113" s="1">
        <f t="shared" ca="1" si="67"/>
        <v>37</v>
      </c>
      <c r="AO113" s="1">
        <f t="shared" ca="1" si="68"/>
        <v>3</v>
      </c>
      <c r="AQ113" s="1">
        <f t="shared" ca="1" si="69"/>
        <v>161</v>
      </c>
      <c r="AR113" s="1">
        <f t="shared" ca="1" si="70"/>
        <v>2</v>
      </c>
      <c r="AS113" s="1">
        <f t="shared" ca="1" si="71"/>
        <v>93</v>
      </c>
      <c r="AU113" s="1">
        <f t="shared" ca="1" si="72"/>
        <v>328</v>
      </c>
      <c r="AV113" s="1">
        <f t="shared" ca="1" si="73"/>
        <v>9</v>
      </c>
      <c r="AW113" s="1">
        <f t="shared" ca="1" si="74"/>
        <v>8.9202780844260324E-2</v>
      </c>
      <c r="AY113" s="1">
        <f t="shared" ca="1" si="75"/>
        <v>1.2332660591491471</v>
      </c>
      <c r="AZ113" s="1">
        <f t="shared" ca="1" si="76"/>
        <v>303</v>
      </c>
      <c r="BA113" s="1">
        <f t="shared" ca="1" si="77"/>
        <v>6.0259107240039677E-3</v>
      </c>
    </row>
    <row r="114" spans="2:53" x14ac:dyDescent="0.25">
      <c r="B114">
        <f t="shared" ca="1" si="39"/>
        <v>988</v>
      </c>
      <c r="C114">
        <f t="shared" ca="1" si="40"/>
        <v>11</v>
      </c>
      <c r="D114">
        <f t="shared" ca="1" si="41"/>
        <v>0.23168535879503199</v>
      </c>
      <c r="F114" s="1">
        <f t="shared" ca="1" si="42"/>
        <v>24</v>
      </c>
      <c r="G114" s="1">
        <f t="shared" ca="1" si="43"/>
        <v>24</v>
      </c>
      <c r="H114" s="1">
        <f t="shared" ca="1" si="44"/>
        <v>1</v>
      </c>
      <c r="I114" s="1"/>
      <c r="J114" s="1">
        <f t="shared" ca="1" si="45"/>
        <v>26</v>
      </c>
      <c r="K114" s="1">
        <f t="shared" ca="1" si="46"/>
        <v>1.4919852159969429</v>
      </c>
      <c r="L114" s="1">
        <f t="shared" ca="1" si="47"/>
        <v>29</v>
      </c>
      <c r="M114" s="1"/>
      <c r="N114" s="1">
        <f t="shared" ca="1" si="48"/>
        <v>477</v>
      </c>
      <c r="O114" s="1">
        <f t="shared" ca="1" si="49"/>
        <v>51</v>
      </c>
      <c r="P114" s="1"/>
      <c r="Q114" s="1">
        <f t="shared" ca="1" si="50"/>
        <v>2.746153201850229</v>
      </c>
      <c r="R114" s="1">
        <f t="shared" ca="1" si="51"/>
        <v>680</v>
      </c>
      <c r="S114" s="1"/>
      <c r="T114" s="1">
        <f t="shared" ca="1" si="52"/>
        <v>0.12515931774265729</v>
      </c>
      <c r="U114" s="1">
        <f t="shared" ca="1" si="53"/>
        <v>83</v>
      </c>
      <c r="V114" s="1">
        <f t="shared" ca="1" si="54"/>
        <v>9</v>
      </c>
      <c r="W114" s="1"/>
      <c r="X114" s="1">
        <f t="shared" ca="1" si="55"/>
        <v>0.35626391144727804</v>
      </c>
      <c r="Y114" s="1">
        <f t="shared" ca="1" si="56"/>
        <v>0.39416062191684537</v>
      </c>
      <c r="Z114" s="1">
        <f t="shared" ca="1" si="57"/>
        <v>637</v>
      </c>
      <c r="AB114" s="1">
        <f t="shared" ca="1" si="58"/>
        <v>0.92760291017262786</v>
      </c>
      <c r="AC114" s="1">
        <f t="shared" ca="1" si="59"/>
        <v>680</v>
      </c>
      <c r="AD114" s="1">
        <f t="shared" ca="1" si="60"/>
        <v>9.694474459762778E-3</v>
      </c>
      <c r="AE114" s="1"/>
      <c r="AF114" s="1">
        <f t="shared" ca="1" si="61"/>
        <v>0.10798444071778333</v>
      </c>
      <c r="AG114" s="1">
        <f t="shared" ca="1" si="62"/>
        <v>696</v>
      </c>
      <c r="AH114" s="1">
        <f t="shared" ca="1" si="63"/>
        <v>9.5331427148931443E-3</v>
      </c>
      <c r="AJ114" s="1">
        <f t="shared" ca="1" si="64"/>
        <v>0.86669874573644134</v>
      </c>
      <c r="AK114" s="1">
        <f t="shared" ca="1" si="65"/>
        <v>7.1510614636820157E-3</v>
      </c>
      <c r="AL114" s="1"/>
      <c r="AM114" s="1">
        <f t="shared" ca="1" si="66"/>
        <v>8.0574593659405391E-2</v>
      </c>
      <c r="AN114" s="1">
        <f t="shared" ca="1" si="67"/>
        <v>67</v>
      </c>
      <c r="AO114" s="1">
        <f t="shared" ca="1" si="68"/>
        <v>12</v>
      </c>
      <c r="AQ114" s="1">
        <f t="shared" ca="1" si="69"/>
        <v>69</v>
      </c>
      <c r="AR114" s="1">
        <f t="shared" ca="1" si="70"/>
        <v>4</v>
      </c>
      <c r="AS114" s="1">
        <f t="shared" ca="1" si="71"/>
        <v>95</v>
      </c>
      <c r="AU114" s="1">
        <f t="shared" ca="1" si="72"/>
        <v>199</v>
      </c>
      <c r="AV114" s="1">
        <f t="shared" ca="1" si="73"/>
        <v>2</v>
      </c>
      <c r="AW114" s="1">
        <f t="shared" ca="1" si="74"/>
        <v>1.762559495442299E-2</v>
      </c>
      <c r="AY114" s="1">
        <f t="shared" ca="1" si="75"/>
        <v>1.7077813752557449</v>
      </c>
      <c r="AZ114" s="1">
        <f t="shared" ca="1" si="76"/>
        <v>351</v>
      </c>
      <c r="BA114" s="1">
        <f t="shared" ca="1" si="77"/>
        <v>5.3288331085742293E-3</v>
      </c>
    </row>
    <row r="115" spans="2:53" x14ac:dyDescent="0.25">
      <c r="B115">
        <f t="shared" ca="1" si="39"/>
        <v>154</v>
      </c>
      <c r="C115">
        <f t="shared" ca="1" si="40"/>
        <v>48</v>
      </c>
      <c r="D115">
        <f t="shared" ca="1" si="41"/>
        <v>2.8220903509859854E-2</v>
      </c>
      <c r="F115" s="1">
        <f t="shared" ca="1" si="42"/>
        <v>22</v>
      </c>
      <c r="G115" s="1">
        <f t="shared" ca="1" si="43"/>
        <v>15</v>
      </c>
      <c r="H115" s="1">
        <f t="shared" ca="1" si="44"/>
        <v>11</v>
      </c>
      <c r="I115" s="1"/>
      <c r="J115" s="1">
        <f t="shared" ca="1" si="45"/>
        <v>37</v>
      </c>
      <c r="K115" s="1">
        <f t="shared" ca="1" si="46"/>
        <v>1.5971801565723378</v>
      </c>
      <c r="L115" s="1">
        <f t="shared" ca="1" si="47"/>
        <v>5</v>
      </c>
      <c r="M115" s="1"/>
      <c r="N115" s="1">
        <f t="shared" ca="1" si="48"/>
        <v>784</v>
      </c>
      <c r="O115" s="1">
        <f t="shared" ca="1" si="49"/>
        <v>51</v>
      </c>
      <c r="P115" s="1"/>
      <c r="Q115" s="1">
        <f t="shared" ca="1" si="50"/>
        <v>4.555255326136523</v>
      </c>
      <c r="R115" s="1">
        <f t="shared" ca="1" si="51"/>
        <v>796</v>
      </c>
      <c r="S115" s="1"/>
      <c r="T115" s="1">
        <f t="shared" ca="1" si="52"/>
        <v>0.17550202513405777</v>
      </c>
      <c r="U115" s="1">
        <f t="shared" ca="1" si="53"/>
        <v>138</v>
      </c>
      <c r="V115" s="1">
        <f t="shared" ca="1" si="54"/>
        <v>18</v>
      </c>
      <c r="W115" s="1"/>
      <c r="X115" s="1">
        <f t="shared" ca="1" si="55"/>
        <v>0.28125171290184026</v>
      </c>
      <c r="Y115" s="1">
        <f t="shared" ca="1" si="56"/>
        <v>0.34324744906901467</v>
      </c>
      <c r="Z115" s="1">
        <f t="shared" ca="1" si="57"/>
        <v>1068</v>
      </c>
      <c r="AB115" s="1">
        <f t="shared" ca="1" si="58"/>
        <v>0.90863350642087592</v>
      </c>
      <c r="AC115" s="1">
        <f t="shared" ca="1" si="59"/>
        <v>897</v>
      </c>
      <c r="AD115" s="1">
        <f t="shared" ca="1" si="60"/>
        <v>9.5969959075332713E-3</v>
      </c>
      <c r="AE115" s="1"/>
      <c r="AF115" s="1">
        <f t="shared" ca="1" si="61"/>
        <v>0.81433965653579843</v>
      </c>
      <c r="AG115" s="1">
        <f t="shared" ca="1" si="62"/>
        <v>441</v>
      </c>
      <c r="AH115" s="1">
        <f t="shared" ca="1" si="63"/>
        <v>5.2602371112163574E-3</v>
      </c>
      <c r="AJ115" s="1">
        <f t="shared" ca="1" si="64"/>
        <v>0.12697141602885686</v>
      </c>
      <c r="AK115" s="1">
        <f t="shared" ca="1" si="65"/>
        <v>1.3540706195576686E-4</v>
      </c>
      <c r="AL115" s="1"/>
      <c r="AM115" s="1">
        <f t="shared" ca="1" si="66"/>
        <v>2.8306972419738591E-2</v>
      </c>
      <c r="AN115" s="1">
        <f t="shared" ca="1" si="67"/>
        <v>19</v>
      </c>
      <c r="AO115" s="1">
        <f t="shared" ca="1" si="68"/>
        <v>1</v>
      </c>
      <c r="AQ115" s="1">
        <f t="shared" ca="1" si="69"/>
        <v>81</v>
      </c>
      <c r="AR115" s="1">
        <f t="shared" ca="1" si="70"/>
        <v>10</v>
      </c>
      <c r="AS115" s="1">
        <f t="shared" ca="1" si="71"/>
        <v>13</v>
      </c>
      <c r="AU115" s="1">
        <f t="shared" ca="1" si="72"/>
        <v>74</v>
      </c>
      <c r="AV115" s="1">
        <f t="shared" ca="1" si="73"/>
        <v>4</v>
      </c>
      <c r="AW115" s="1">
        <f t="shared" ca="1" si="74"/>
        <v>0.14705499908240419</v>
      </c>
      <c r="AY115" s="1">
        <f t="shared" ca="1" si="75"/>
        <v>1.2161074389053037</v>
      </c>
      <c r="AZ115" s="1">
        <f t="shared" ca="1" si="76"/>
        <v>273</v>
      </c>
      <c r="BA115" s="1">
        <f t="shared" ca="1" si="77"/>
        <v>6.0663277468893844E-3</v>
      </c>
    </row>
    <row r="116" spans="2:53" x14ac:dyDescent="0.25">
      <c r="B116">
        <f t="shared" ca="1" si="39"/>
        <v>392</v>
      </c>
      <c r="C116">
        <f t="shared" ca="1" si="40"/>
        <v>30</v>
      </c>
      <c r="D116">
        <f t="shared" ca="1" si="41"/>
        <v>0.11511990173227349</v>
      </c>
      <c r="F116" s="1">
        <f t="shared" ca="1" si="42"/>
        <v>31</v>
      </c>
      <c r="G116" s="1">
        <f t="shared" ca="1" si="43"/>
        <v>4</v>
      </c>
      <c r="H116" s="1">
        <f t="shared" ca="1" si="44"/>
        <v>14</v>
      </c>
      <c r="I116" s="1"/>
      <c r="J116" s="1">
        <f t="shared" ca="1" si="45"/>
        <v>1</v>
      </c>
      <c r="K116" s="1">
        <f t="shared" ca="1" si="46"/>
        <v>1.003554827672491</v>
      </c>
      <c r="L116" s="1">
        <f t="shared" ca="1" si="47"/>
        <v>4</v>
      </c>
      <c r="M116" s="1"/>
      <c r="N116" s="1">
        <f t="shared" ca="1" si="48"/>
        <v>241</v>
      </c>
      <c r="O116" s="1">
        <f t="shared" ca="1" si="49"/>
        <v>30</v>
      </c>
      <c r="P116" s="1"/>
      <c r="Q116" s="1">
        <f t="shared" ca="1" si="50"/>
        <v>3.0920504577556698</v>
      </c>
      <c r="R116" s="1">
        <f t="shared" ca="1" si="51"/>
        <v>661</v>
      </c>
      <c r="S116" s="1"/>
      <c r="T116" s="1">
        <f t="shared" ca="1" si="52"/>
        <v>0.14577432689241371</v>
      </c>
      <c r="U116" s="1">
        <f t="shared" ca="1" si="53"/>
        <v>277</v>
      </c>
      <c r="V116" s="1">
        <f t="shared" ca="1" si="54"/>
        <v>49</v>
      </c>
      <c r="W116" s="1"/>
      <c r="X116" s="1">
        <f t="shared" ca="1" si="55"/>
        <v>7.9694317548663784</v>
      </c>
      <c r="Y116" s="1">
        <f t="shared" ca="1" si="56"/>
        <v>0.8842505359497953</v>
      </c>
      <c r="Z116" s="1">
        <f t="shared" ca="1" si="57"/>
        <v>1084</v>
      </c>
      <c r="AB116" s="1">
        <f t="shared" ca="1" si="58"/>
        <v>0.59619301911665989</v>
      </c>
      <c r="AC116" s="1">
        <f t="shared" ca="1" si="59"/>
        <v>241</v>
      </c>
      <c r="AD116" s="1">
        <f t="shared" ca="1" si="60"/>
        <v>3.4430686701876711E-3</v>
      </c>
      <c r="AE116" s="1"/>
      <c r="AF116" s="1">
        <f t="shared" ca="1" si="61"/>
        <v>0.83904908687090562</v>
      </c>
      <c r="AG116" s="1">
        <f t="shared" ca="1" si="62"/>
        <v>683</v>
      </c>
      <c r="AH116" s="1">
        <f t="shared" ca="1" si="63"/>
        <v>5.0961315549242891E-3</v>
      </c>
      <c r="AJ116" s="1">
        <f t="shared" ca="1" si="64"/>
        <v>0.58395791226337335</v>
      </c>
      <c r="AK116" s="1">
        <f t="shared" ca="1" si="65"/>
        <v>8.6506434541538165E-3</v>
      </c>
      <c r="AL116" s="1"/>
      <c r="AM116" s="1">
        <f t="shared" ca="1" si="66"/>
        <v>0.17836728378613881</v>
      </c>
      <c r="AN116" s="1">
        <f t="shared" ca="1" si="67"/>
        <v>63</v>
      </c>
      <c r="AO116" s="1">
        <f t="shared" ca="1" si="68"/>
        <v>16</v>
      </c>
      <c r="AQ116" s="1">
        <f t="shared" ca="1" si="69"/>
        <v>195</v>
      </c>
      <c r="AR116" s="1">
        <f t="shared" ca="1" si="70"/>
        <v>5</v>
      </c>
      <c r="AS116" s="1">
        <f t="shared" ca="1" si="71"/>
        <v>12</v>
      </c>
      <c r="AU116" s="1">
        <f t="shared" ca="1" si="72"/>
        <v>306</v>
      </c>
      <c r="AV116" s="1">
        <f t="shared" ca="1" si="73"/>
        <v>7</v>
      </c>
      <c r="AW116" s="1">
        <f t="shared" ca="1" si="74"/>
        <v>9.0128400305076878E-2</v>
      </c>
      <c r="AY116" s="1">
        <f t="shared" ca="1" si="75"/>
        <v>1.126727951890049</v>
      </c>
      <c r="AZ116" s="1">
        <f t="shared" ca="1" si="76"/>
        <v>75</v>
      </c>
      <c r="BA116" s="1">
        <f t="shared" ca="1" si="77"/>
        <v>4.528916244724384E-3</v>
      </c>
    </row>
    <row r="117" spans="2:53" x14ac:dyDescent="0.25">
      <c r="B117">
        <f t="shared" ca="1" si="39"/>
        <v>138</v>
      </c>
      <c r="C117">
        <f t="shared" ca="1" si="40"/>
        <v>12</v>
      </c>
      <c r="D117">
        <f t="shared" ca="1" si="41"/>
        <v>0.29019211820968283</v>
      </c>
      <c r="F117" s="1">
        <f t="shared" ca="1" si="42"/>
        <v>30</v>
      </c>
      <c r="G117" s="1">
        <f t="shared" ca="1" si="43"/>
        <v>9</v>
      </c>
      <c r="H117" s="1">
        <f t="shared" ca="1" si="44"/>
        <v>2</v>
      </c>
      <c r="I117" s="1"/>
      <c r="J117" s="1">
        <f t="shared" ca="1" si="45"/>
        <v>39</v>
      </c>
      <c r="K117" s="1">
        <f t="shared" ca="1" si="46"/>
        <v>2.112963913745467</v>
      </c>
      <c r="L117" s="1">
        <f t="shared" ca="1" si="47"/>
        <v>15</v>
      </c>
      <c r="M117" s="1"/>
      <c r="N117" s="1">
        <f t="shared" ca="1" si="48"/>
        <v>604</v>
      </c>
      <c r="O117" s="1">
        <f t="shared" ca="1" si="49"/>
        <v>10</v>
      </c>
      <c r="P117" s="1"/>
      <c r="Q117" s="1">
        <f t="shared" ca="1" si="50"/>
        <v>2.8717340157087792</v>
      </c>
      <c r="R117" s="1">
        <f t="shared" ca="1" si="51"/>
        <v>518</v>
      </c>
      <c r="S117" s="1"/>
      <c r="T117" s="1">
        <f t="shared" ca="1" si="52"/>
        <v>4.9368195284214107E-2</v>
      </c>
      <c r="U117" s="1">
        <f t="shared" ca="1" si="53"/>
        <v>282</v>
      </c>
      <c r="V117" s="1">
        <f t="shared" ca="1" si="54"/>
        <v>17</v>
      </c>
      <c r="W117" s="1"/>
      <c r="X117" s="1">
        <f t="shared" ca="1" si="55"/>
        <v>4.1246782554845174</v>
      </c>
      <c r="Y117" s="1">
        <f t="shared" ca="1" si="56"/>
        <v>0.62422054648676373</v>
      </c>
      <c r="Z117" s="1">
        <f t="shared" ca="1" si="57"/>
        <v>1349</v>
      </c>
      <c r="AB117" s="1">
        <f t="shared" ca="1" si="58"/>
        <v>0.95624817164814746</v>
      </c>
      <c r="AC117" s="1">
        <f t="shared" ca="1" si="59"/>
        <v>610</v>
      </c>
      <c r="AD117" s="1">
        <f t="shared" ca="1" si="60"/>
        <v>5.4934899138539993E-3</v>
      </c>
      <c r="AE117" s="1"/>
      <c r="AF117" s="1">
        <f t="shared" ca="1" si="61"/>
        <v>0.85552787956835985</v>
      </c>
      <c r="AG117" s="1">
        <f t="shared" ca="1" si="62"/>
        <v>454</v>
      </c>
      <c r="AH117" s="1">
        <f t="shared" ca="1" si="63"/>
        <v>9.6833517171022315E-3</v>
      </c>
      <c r="AJ117" s="1">
        <f t="shared" ca="1" si="64"/>
        <v>0.59996879498857902</v>
      </c>
      <c r="AK117" s="1">
        <f t="shared" ca="1" si="65"/>
        <v>3.5386185152985442E-3</v>
      </c>
      <c r="AL117" s="1"/>
      <c r="AM117" s="1">
        <f t="shared" ca="1" si="66"/>
        <v>9.5997980482633319E-2</v>
      </c>
      <c r="AN117" s="1">
        <f t="shared" ca="1" si="67"/>
        <v>20</v>
      </c>
      <c r="AO117" s="1">
        <f t="shared" ca="1" si="68"/>
        <v>15</v>
      </c>
      <c r="AQ117" s="1">
        <f t="shared" ca="1" si="69"/>
        <v>47</v>
      </c>
      <c r="AR117" s="1">
        <f t="shared" ca="1" si="70"/>
        <v>8</v>
      </c>
      <c r="AS117" s="1">
        <f t="shared" ca="1" si="71"/>
        <v>18</v>
      </c>
      <c r="AU117" s="1">
        <f t="shared" ca="1" si="72"/>
        <v>246</v>
      </c>
      <c r="AV117" s="1">
        <f t="shared" ca="1" si="73"/>
        <v>6</v>
      </c>
      <c r="AW117" s="1">
        <f t="shared" ca="1" si="74"/>
        <v>9.3892911425307493E-2</v>
      </c>
      <c r="AY117" s="1">
        <f t="shared" ca="1" si="75"/>
        <v>1.9973077362435596</v>
      </c>
      <c r="AZ117" s="1">
        <f t="shared" ca="1" si="76"/>
        <v>81</v>
      </c>
      <c r="BA117" s="1">
        <f t="shared" ca="1" si="77"/>
        <v>2.7726549963963463E-4</v>
      </c>
    </row>
    <row r="118" spans="2:53" x14ac:dyDescent="0.25">
      <c r="B118">
        <f t="shared" ca="1" si="39"/>
        <v>652</v>
      </c>
      <c r="C118">
        <f t="shared" ca="1" si="40"/>
        <v>16</v>
      </c>
      <c r="D118">
        <f t="shared" ca="1" si="41"/>
        <v>4.7651599840202737E-2</v>
      </c>
      <c r="F118" s="1">
        <f t="shared" ca="1" si="42"/>
        <v>25</v>
      </c>
      <c r="G118" s="1">
        <f t="shared" ca="1" si="43"/>
        <v>16</v>
      </c>
      <c r="H118" s="1">
        <f t="shared" ca="1" si="44"/>
        <v>11</v>
      </c>
      <c r="I118" s="1"/>
      <c r="J118" s="1">
        <f t="shared" ca="1" si="45"/>
        <v>7</v>
      </c>
      <c r="K118" s="1">
        <f t="shared" ca="1" si="46"/>
        <v>2.9170139866124538</v>
      </c>
      <c r="L118" s="1">
        <f t="shared" ca="1" si="47"/>
        <v>21</v>
      </c>
      <c r="M118" s="1"/>
      <c r="N118" s="1">
        <f t="shared" ca="1" si="48"/>
        <v>422</v>
      </c>
      <c r="O118" s="1">
        <f t="shared" ca="1" si="49"/>
        <v>18</v>
      </c>
      <c r="P118" s="1"/>
      <c r="Q118" s="1">
        <f t="shared" ca="1" si="50"/>
        <v>4.900064251713629</v>
      </c>
      <c r="R118" s="1">
        <f t="shared" ca="1" si="51"/>
        <v>912</v>
      </c>
      <c r="S118" s="1"/>
      <c r="T118" s="1">
        <f t="shared" ca="1" si="52"/>
        <v>0.15176235243312233</v>
      </c>
      <c r="U118" s="1">
        <f t="shared" ca="1" si="53"/>
        <v>438</v>
      </c>
      <c r="V118" s="1">
        <f t="shared" ca="1" si="54"/>
        <v>6</v>
      </c>
      <c r="W118" s="1"/>
      <c r="X118" s="1">
        <f t="shared" ca="1" si="55"/>
        <v>2.8645581968962923</v>
      </c>
      <c r="Y118" s="1">
        <f t="shared" ca="1" si="56"/>
        <v>0.38339532616970179</v>
      </c>
      <c r="Z118" s="1">
        <f t="shared" ca="1" si="57"/>
        <v>1384</v>
      </c>
      <c r="AB118" s="1">
        <f t="shared" ca="1" si="58"/>
        <v>0.25444777051510375</v>
      </c>
      <c r="AC118" s="1">
        <f t="shared" ca="1" si="59"/>
        <v>129</v>
      </c>
      <c r="AD118" s="1">
        <f t="shared" ca="1" si="60"/>
        <v>9.0897447384868709E-3</v>
      </c>
      <c r="AE118" s="1"/>
      <c r="AF118" s="1">
        <f t="shared" ca="1" si="61"/>
        <v>0.46267284906360329</v>
      </c>
      <c r="AG118" s="1">
        <f t="shared" ca="1" si="62"/>
        <v>828</v>
      </c>
      <c r="AH118" s="1">
        <f t="shared" ca="1" si="63"/>
        <v>1.199984482676402E-3</v>
      </c>
      <c r="AJ118" s="1">
        <f t="shared" ca="1" si="64"/>
        <v>8.1647213524861484E-2</v>
      </c>
      <c r="AK118" s="1">
        <f t="shared" ca="1" si="65"/>
        <v>5.8474627053504633E-3</v>
      </c>
      <c r="AL118" s="1"/>
      <c r="AM118" s="1">
        <f t="shared" ca="1" si="66"/>
        <v>7.8667354151030502E-2</v>
      </c>
      <c r="AN118" s="1">
        <f t="shared" ca="1" si="67"/>
        <v>15</v>
      </c>
      <c r="AO118" s="1">
        <f t="shared" ca="1" si="68"/>
        <v>4</v>
      </c>
      <c r="AQ118" s="1">
        <f t="shared" ca="1" si="69"/>
        <v>148</v>
      </c>
      <c r="AR118" s="1">
        <f t="shared" ca="1" si="70"/>
        <v>10</v>
      </c>
      <c r="AS118" s="1">
        <f t="shared" ca="1" si="71"/>
        <v>58</v>
      </c>
      <c r="AU118" s="1">
        <f t="shared" ca="1" si="72"/>
        <v>340</v>
      </c>
      <c r="AV118" s="1">
        <f t="shared" ca="1" si="73"/>
        <v>5</v>
      </c>
      <c r="AW118" s="1">
        <f t="shared" ca="1" si="74"/>
        <v>0.18233486576753702</v>
      </c>
      <c r="AY118" s="1">
        <f t="shared" ca="1" si="75"/>
        <v>1.3331769979823276</v>
      </c>
      <c r="AZ118" s="1">
        <f t="shared" ca="1" si="76"/>
        <v>246</v>
      </c>
      <c r="BA118" s="1">
        <f t="shared" ca="1" si="77"/>
        <v>7.5533285302763339E-3</v>
      </c>
    </row>
    <row r="119" spans="2:53" x14ac:dyDescent="0.25">
      <c r="B119">
        <f t="shared" ca="1" si="39"/>
        <v>148</v>
      </c>
      <c r="C119">
        <f t="shared" ca="1" si="40"/>
        <v>9</v>
      </c>
      <c r="D119">
        <f t="shared" ca="1" si="41"/>
        <v>2.2583031881430102E-2</v>
      </c>
      <c r="F119" s="1">
        <f t="shared" ca="1" si="42"/>
        <v>43</v>
      </c>
      <c r="G119" s="1">
        <f t="shared" ca="1" si="43"/>
        <v>9</v>
      </c>
      <c r="H119" s="1">
        <f t="shared" ca="1" si="44"/>
        <v>4</v>
      </c>
      <c r="I119" s="1"/>
      <c r="J119" s="1">
        <f t="shared" ca="1" si="45"/>
        <v>9</v>
      </c>
      <c r="K119" s="1">
        <f t="shared" ca="1" si="46"/>
        <v>2.072568446900851</v>
      </c>
      <c r="L119" s="1">
        <f t="shared" ca="1" si="47"/>
        <v>4</v>
      </c>
      <c r="M119" s="1"/>
      <c r="N119" s="1">
        <f t="shared" ca="1" si="48"/>
        <v>809</v>
      </c>
      <c r="O119" s="1">
        <f t="shared" ca="1" si="49"/>
        <v>13</v>
      </c>
      <c r="P119" s="1"/>
      <c r="Q119" s="1">
        <f t="shared" ca="1" si="50"/>
        <v>4.5256449805670469</v>
      </c>
      <c r="R119" s="1">
        <f t="shared" ca="1" si="51"/>
        <v>521</v>
      </c>
      <c r="S119" s="1"/>
      <c r="T119" s="1">
        <f t="shared" ca="1" si="52"/>
        <v>3.9907962109380198E-2</v>
      </c>
      <c r="U119" s="1">
        <f t="shared" ca="1" si="53"/>
        <v>76</v>
      </c>
      <c r="V119" s="1">
        <f t="shared" ca="1" si="54"/>
        <v>43</v>
      </c>
      <c r="W119" s="1"/>
      <c r="X119" s="1">
        <f t="shared" ca="1" si="55"/>
        <v>2.8269339788859318</v>
      </c>
      <c r="Y119" s="1">
        <f t="shared" ca="1" si="56"/>
        <v>0.83005046841698749</v>
      </c>
      <c r="Z119" s="1">
        <f t="shared" ca="1" si="57"/>
        <v>1329</v>
      </c>
      <c r="AB119" s="1">
        <f t="shared" ca="1" si="58"/>
        <v>0.58085474445656327</v>
      </c>
      <c r="AC119" s="1">
        <f t="shared" ca="1" si="59"/>
        <v>448</v>
      </c>
      <c r="AD119" s="1">
        <f t="shared" ca="1" si="60"/>
        <v>6.1212298403755978E-3</v>
      </c>
      <c r="AE119" s="1"/>
      <c r="AF119" s="1">
        <f t="shared" ca="1" si="61"/>
        <v>0.27971383531402239</v>
      </c>
      <c r="AG119" s="1">
        <f t="shared" ca="1" si="62"/>
        <v>659</v>
      </c>
      <c r="AH119" s="1">
        <f t="shared" ca="1" si="63"/>
        <v>3.7808006743998905E-3</v>
      </c>
      <c r="AJ119" s="1">
        <f t="shared" ca="1" si="64"/>
        <v>0.85686506612811186</v>
      </c>
      <c r="AK119" s="1">
        <f t="shared" ca="1" si="65"/>
        <v>1.238134923387314E-3</v>
      </c>
      <c r="AL119" s="1"/>
      <c r="AM119" s="1">
        <f t="shared" ca="1" si="66"/>
        <v>6.6895966687742239E-2</v>
      </c>
      <c r="AN119" s="1">
        <f t="shared" ca="1" si="67"/>
        <v>10</v>
      </c>
      <c r="AO119" s="1">
        <f t="shared" ca="1" si="68"/>
        <v>14</v>
      </c>
      <c r="AQ119" s="1">
        <f t="shared" ca="1" si="69"/>
        <v>57</v>
      </c>
      <c r="AR119" s="1">
        <f t="shared" ca="1" si="70"/>
        <v>5</v>
      </c>
      <c r="AS119" s="1">
        <f t="shared" ca="1" si="71"/>
        <v>92</v>
      </c>
      <c r="AU119" s="1">
        <f t="shared" ca="1" si="72"/>
        <v>83</v>
      </c>
      <c r="AV119" s="1">
        <f t="shared" ca="1" si="73"/>
        <v>3</v>
      </c>
      <c r="AW119" s="1">
        <f t="shared" ca="1" si="74"/>
        <v>8.0697903504149598E-2</v>
      </c>
      <c r="AY119" s="1">
        <f t="shared" ca="1" si="75"/>
        <v>1.2597029120071404</v>
      </c>
      <c r="AZ119" s="1">
        <f t="shared" ca="1" si="76"/>
        <v>243</v>
      </c>
      <c r="BA119" s="1">
        <f t="shared" ca="1" si="77"/>
        <v>2.0950703210532895E-4</v>
      </c>
    </row>
    <row r="120" spans="2:53" x14ac:dyDescent="0.25">
      <c r="B120">
        <f t="shared" ca="1" si="39"/>
        <v>940</v>
      </c>
      <c r="C120">
        <f t="shared" ca="1" si="40"/>
        <v>23</v>
      </c>
      <c r="D120">
        <f t="shared" ca="1" si="41"/>
        <v>0.20693264622038157</v>
      </c>
      <c r="F120" s="1">
        <f t="shared" ca="1" si="42"/>
        <v>8</v>
      </c>
      <c r="G120" s="1">
        <f t="shared" ca="1" si="43"/>
        <v>18</v>
      </c>
      <c r="H120" s="1">
        <f t="shared" ca="1" si="44"/>
        <v>14</v>
      </c>
      <c r="I120" s="1"/>
      <c r="J120" s="1">
        <f t="shared" ca="1" si="45"/>
        <v>15</v>
      </c>
      <c r="K120" s="1">
        <f t="shared" ca="1" si="46"/>
        <v>1.0721956801834369</v>
      </c>
      <c r="L120" s="1">
        <f t="shared" ca="1" si="47"/>
        <v>2</v>
      </c>
      <c r="M120" s="1"/>
      <c r="N120" s="1">
        <f t="shared" ca="1" si="48"/>
        <v>149</v>
      </c>
      <c r="O120" s="1">
        <f t="shared" ca="1" si="49"/>
        <v>5</v>
      </c>
      <c r="P120" s="1"/>
      <c r="Q120" s="1">
        <f t="shared" ca="1" si="50"/>
        <v>3.4954079463241645</v>
      </c>
      <c r="R120" s="1">
        <f t="shared" ca="1" si="51"/>
        <v>573</v>
      </c>
      <c r="S120" s="1"/>
      <c r="T120" s="1">
        <f t="shared" ca="1" si="52"/>
        <v>9.1745547706350045E-2</v>
      </c>
      <c r="U120" s="1">
        <f t="shared" ca="1" si="53"/>
        <v>154</v>
      </c>
      <c r="V120" s="1">
        <f t="shared" ca="1" si="54"/>
        <v>21</v>
      </c>
      <c r="W120" s="1"/>
      <c r="X120" s="1">
        <f t="shared" ca="1" si="55"/>
        <v>1.8888873748586958</v>
      </c>
      <c r="Y120" s="1">
        <f t="shared" ca="1" si="56"/>
        <v>0.63448241182427267</v>
      </c>
      <c r="Z120" s="1">
        <f t="shared" ca="1" si="57"/>
        <v>1603</v>
      </c>
      <c r="AB120" s="1">
        <f t="shared" ca="1" si="58"/>
        <v>0.24736886589654891</v>
      </c>
      <c r="AC120" s="1">
        <f t="shared" ca="1" si="59"/>
        <v>921</v>
      </c>
      <c r="AD120" s="1">
        <f t="shared" ca="1" si="60"/>
        <v>6.3933703168571705E-3</v>
      </c>
      <c r="AE120" s="1"/>
      <c r="AF120" s="1">
        <f t="shared" ca="1" si="61"/>
        <v>0.6033170489481694</v>
      </c>
      <c r="AG120" s="1">
        <f t="shared" ca="1" si="62"/>
        <v>509</v>
      </c>
      <c r="AH120" s="1">
        <f t="shared" ca="1" si="63"/>
        <v>2.7871673807454444E-3</v>
      </c>
      <c r="AJ120" s="1">
        <f t="shared" ca="1" si="64"/>
        <v>0.42894996379803818</v>
      </c>
      <c r="AK120" s="1">
        <f t="shared" ca="1" si="65"/>
        <v>1.2082783496341599E-3</v>
      </c>
      <c r="AL120" s="1"/>
      <c r="AM120" s="1">
        <f t="shared" ca="1" si="66"/>
        <v>0.11523917052738784</v>
      </c>
      <c r="AN120" s="1">
        <f t="shared" ca="1" si="67"/>
        <v>74</v>
      </c>
      <c r="AO120" s="1">
        <f t="shared" ca="1" si="68"/>
        <v>12</v>
      </c>
      <c r="AQ120" s="1">
        <f t="shared" ca="1" si="69"/>
        <v>48</v>
      </c>
      <c r="AR120" s="1">
        <f t="shared" ca="1" si="70"/>
        <v>1</v>
      </c>
      <c r="AS120" s="1">
        <f t="shared" ca="1" si="71"/>
        <v>50</v>
      </c>
      <c r="AU120" s="1">
        <f t="shared" ca="1" si="72"/>
        <v>359</v>
      </c>
      <c r="AV120" s="1">
        <f t="shared" ca="1" si="73"/>
        <v>6</v>
      </c>
      <c r="AW120" s="1">
        <f t="shared" ca="1" si="74"/>
        <v>0.19401012346165245</v>
      </c>
      <c r="AY120" s="1">
        <f t="shared" ca="1" si="75"/>
        <v>1.7346308356615721</v>
      </c>
      <c r="AZ120" s="1">
        <f t="shared" ca="1" si="76"/>
        <v>425</v>
      </c>
      <c r="BA120" s="1">
        <f t="shared" ca="1" si="77"/>
        <v>8.7378104307169312E-3</v>
      </c>
    </row>
    <row r="121" spans="2:53" x14ac:dyDescent="0.25">
      <c r="B121">
        <f t="shared" ca="1" si="39"/>
        <v>577</v>
      </c>
      <c r="C121">
        <f t="shared" ca="1" si="40"/>
        <v>4</v>
      </c>
      <c r="D121">
        <f t="shared" ca="1" si="41"/>
        <v>0.2609191854735734</v>
      </c>
      <c r="F121" s="1">
        <f t="shared" ca="1" si="42"/>
        <v>51</v>
      </c>
      <c r="G121" s="1">
        <f t="shared" ca="1" si="43"/>
        <v>5</v>
      </c>
      <c r="H121" s="1">
        <f t="shared" ca="1" si="44"/>
        <v>3</v>
      </c>
      <c r="I121" s="1"/>
      <c r="J121" s="1">
        <f t="shared" ca="1" si="45"/>
        <v>27</v>
      </c>
      <c r="K121" s="1">
        <f t="shared" ca="1" si="46"/>
        <v>1.2975876455043407</v>
      </c>
      <c r="L121" s="1">
        <f t="shared" ca="1" si="47"/>
        <v>3</v>
      </c>
      <c r="M121" s="1"/>
      <c r="N121" s="1">
        <f t="shared" ca="1" si="48"/>
        <v>976</v>
      </c>
      <c r="O121" s="1">
        <f t="shared" ca="1" si="49"/>
        <v>21</v>
      </c>
      <c r="P121" s="1"/>
      <c r="Q121" s="1">
        <f t="shared" ca="1" si="50"/>
        <v>0.23412654867700214</v>
      </c>
      <c r="R121" s="1">
        <f t="shared" ca="1" si="51"/>
        <v>1186</v>
      </c>
      <c r="S121" s="1"/>
      <c r="T121" s="1">
        <f t="shared" ca="1" si="52"/>
        <v>8.7457798760172109E-2</v>
      </c>
      <c r="U121" s="1">
        <f t="shared" ca="1" si="53"/>
        <v>69</v>
      </c>
      <c r="V121" s="1">
        <f t="shared" ca="1" si="54"/>
        <v>3</v>
      </c>
      <c r="W121" s="1"/>
      <c r="X121" s="1">
        <f t="shared" ca="1" si="55"/>
        <v>0.13202494318007663</v>
      </c>
      <c r="Y121" s="1">
        <f t="shared" ca="1" si="56"/>
        <v>0.69200804580092656</v>
      </c>
      <c r="Z121" s="1">
        <f t="shared" ca="1" si="57"/>
        <v>1737</v>
      </c>
      <c r="AB121" s="1">
        <f t="shared" ca="1" si="58"/>
        <v>0.87838184897825711</v>
      </c>
      <c r="AC121" s="1">
        <f t="shared" ca="1" si="59"/>
        <v>236</v>
      </c>
      <c r="AD121" s="1">
        <f t="shared" ca="1" si="60"/>
        <v>9.266500023324209E-5</v>
      </c>
      <c r="AE121" s="1"/>
      <c r="AF121" s="1">
        <f t="shared" ca="1" si="61"/>
        <v>0.66333996500803527</v>
      </c>
      <c r="AG121" s="1">
        <f t="shared" ca="1" si="62"/>
        <v>117</v>
      </c>
      <c r="AH121" s="1">
        <f t="shared" ca="1" si="63"/>
        <v>1.9413104305898816E-3</v>
      </c>
      <c r="AJ121" s="1">
        <f t="shared" ca="1" si="64"/>
        <v>0.29181052436044363</v>
      </c>
      <c r="AK121" s="1">
        <f t="shared" ca="1" si="65"/>
        <v>8.1273366770680169E-3</v>
      </c>
      <c r="AL121" s="1"/>
      <c r="AM121" s="1">
        <f t="shared" ca="1" si="66"/>
        <v>7.2203740713464262E-2</v>
      </c>
      <c r="AN121" s="1">
        <f t="shared" ca="1" si="67"/>
        <v>32</v>
      </c>
      <c r="AO121" s="1">
        <f t="shared" ca="1" si="68"/>
        <v>-1</v>
      </c>
      <c r="AQ121" s="1">
        <f t="shared" ca="1" si="69"/>
        <v>95</v>
      </c>
      <c r="AR121" s="1">
        <f t="shared" ca="1" si="70"/>
        <v>8</v>
      </c>
      <c r="AS121" s="1">
        <f t="shared" ca="1" si="71"/>
        <v>88</v>
      </c>
      <c r="AU121" s="1">
        <f t="shared" ca="1" si="72"/>
        <v>217</v>
      </c>
      <c r="AV121" s="1">
        <f t="shared" ca="1" si="73"/>
        <v>10</v>
      </c>
      <c r="AW121" s="1">
        <f t="shared" ca="1" si="74"/>
        <v>5.6908342628319786E-2</v>
      </c>
      <c r="AY121" s="1">
        <f t="shared" ca="1" si="75"/>
        <v>1.6405471836769114</v>
      </c>
      <c r="AZ121" s="1">
        <f t="shared" ca="1" si="76"/>
        <v>410</v>
      </c>
      <c r="BA121" s="1">
        <f t="shared" ca="1" si="77"/>
        <v>8.0216292987411175E-3</v>
      </c>
    </row>
    <row r="122" spans="2:53" x14ac:dyDescent="0.25">
      <c r="B122">
        <f t="shared" ca="1" si="39"/>
        <v>633</v>
      </c>
      <c r="C122">
        <f t="shared" ca="1" si="40"/>
        <v>11</v>
      </c>
      <c r="D122">
        <f t="shared" ca="1" si="41"/>
        <v>0.10480836839358663</v>
      </c>
      <c r="F122" s="1">
        <f t="shared" ca="1" si="42"/>
        <v>12</v>
      </c>
      <c r="G122" s="1">
        <f t="shared" ca="1" si="43"/>
        <v>14</v>
      </c>
      <c r="H122" s="1">
        <f t="shared" ca="1" si="44"/>
        <v>12</v>
      </c>
      <c r="I122" s="1"/>
      <c r="J122" s="1">
        <f t="shared" ca="1" si="45"/>
        <v>36</v>
      </c>
      <c r="K122" s="1">
        <f t="shared" ca="1" si="46"/>
        <v>1.1275342884616015</v>
      </c>
      <c r="L122" s="1">
        <f t="shared" ca="1" si="47"/>
        <v>11</v>
      </c>
      <c r="M122" s="1"/>
      <c r="N122" s="1">
        <f t="shared" ca="1" si="48"/>
        <v>772</v>
      </c>
      <c r="O122" s="1">
        <f t="shared" ca="1" si="49"/>
        <v>17</v>
      </c>
      <c r="P122" s="1"/>
      <c r="Q122" s="1">
        <f t="shared" ca="1" si="50"/>
        <v>4.3121014317667514</v>
      </c>
      <c r="R122" s="1">
        <f t="shared" ca="1" si="51"/>
        <v>690</v>
      </c>
      <c r="S122" s="1"/>
      <c r="T122" s="1">
        <f t="shared" ca="1" si="52"/>
        <v>9.7166571041124611E-2</v>
      </c>
      <c r="U122" s="1">
        <f t="shared" ca="1" si="53"/>
        <v>55</v>
      </c>
      <c r="V122" s="1">
        <f t="shared" ca="1" si="54"/>
        <v>13</v>
      </c>
      <c r="W122" s="1"/>
      <c r="X122" s="1">
        <f t="shared" ca="1" si="55"/>
        <v>1.7671686537171578</v>
      </c>
      <c r="Y122" s="1">
        <f t="shared" ca="1" si="56"/>
        <v>0.90367336368393492</v>
      </c>
      <c r="Z122" s="1">
        <f t="shared" ca="1" si="57"/>
        <v>1004</v>
      </c>
      <c r="AB122" s="1">
        <f t="shared" ca="1" si="58"/>
        <v>0.90881377388261197</v>
      </c>
      <c r="AC122" s="1">
        <f t="shared" ca="1" si="59"/>
        <v>888</v>
      </c>
      <c r="AD122" s="1">
        <f t="shared" ca="1" si="60"/>
        <v>7.2848387642474163E-3</v>
      </c>
      <c r="AE122" s="1"/>
      <c r="AF122" s="1">
        <f t="shared" ca="1" si="61"/>
        <v>0.52520638604976977</v>
      </c>
      <c r="AG122" s="1">
        <f t="shared" ca="1" si="62"/>
        <v>304</v>
      </c>
      <c r="AH122" s="1">
        <f t="shared" ca="1" si="63"/>
        <v>4.9080282775088146E-3</v>
      </c>
      <c r="AJ122" s="1">
        <f t="shared" ca="1" si="64"/>
        <v>0.7228115105798214</v>
      </c>
      <c r="AK122" s="1">
        <f t="shared" ca="1" si="65"/>
        <v>1.8984224306390694E-3</v>
      </c>
      <c r="AL122" s="1"/>
      <c r="AM122" s="1">
        <f t="shared" ca="1" si="66"/>
        <v>0.17020382263500483</v>
      </c>
      <c r="AN122" s="1">
        <f t="shared" ca="1" si="67"/>
        <v>22</v>
      </c>
      <c r="AO122" s="1">
        <f t="shared" ca="1" si="68"/>
        <v>16</v>
      </c>
      <c r="AQ122" s="1">
        <f t="shared" ca="1" si="69"/>
        <v>91</v>
      </c>
      <c r="AR122" s="1">
        <f t="shared" ca="1" si="70"/>
        <v>7</v>
      </c>
      <c r="AS122" s="1">
        <f t="shared" ca="1" si="71"/>
        <v>71</v>
      </c>
      <c r="AU122" s="1">
        <f t="shared" ca="1" si="72"/>
        <v>95</v>
      </c>
      <c r="AV122" s="1">
        <f t="shared" ca="1" si="73"/>
        <v>8</v>
      </c>
      <c r="AW122" s="1">
        <f t="shared" ca="1" si="74"/>
        <v>9.2923676824069615E-2</v>
      </c>
      <c r="AY122" s="1">
        <f t="shared" ca="1" si="75"/>
        <v>1.924419931416534</v>
      </c>
      <c r="AZ122" s="1">
        <f t="shared" ca="1" si="76"/>
        <v>435</v>
      </c>
      <c r="BA122" s="1">
        <f t="shared" ca="1" si="77"/>
        <v>3.0000426184872814E-3</v>
      </c>
    </row>
    <row r="123" spans="2:53" x14ac:dyDescent="0.25">
      <c r="B123">
        <f t="shared" ca="1" si="39"/>
        <v>284</v>
      </c>
      <c r="C123">
        <f t="shared" ca="1" si="40"/>
        <v>15</v>
      </c>
      <c r="D123">
        <f t="shared" ca="1" si="41"/>
        <v>0.18999705209424014</v>
      </c>
      <c r="F123" s="1">
        <f t="shared" ca="1" si="42"/>
        <v>37</v>
      </c>
      <c r="G123" s="1">
        <f t="shared" ca="1" si="43"/>
        <v>27</v>
      </c>
      <c r="H123" s="1">
        <f t="shared" ca="1" si="44"/>
        <v>12</v>
      </c>
      <c r="I123" s="1"/>
      <c r="J123" s="1">
        <f t="shared" ca="1" si="45"/>
        <v>31</v>
      </c>
      <c r="K123" s="1">
        <f t="shared" ca="1" si="46"/>
        <v>1.8891103874179103</v>
      </c>
      <c r="L123" s="1">
        <f t="shared" ca="1" si="47"/>
        <v>22</v>
      </c>
      <c r="M123" s="1"/>
      <c r="N123" s="1">
        <f t="shared" ca="1" si="48"/>
        <v>587</v>
      </c>
      <c r="O123" s="1">
        <f t="shared" ca="1" si="49"/>
        <v>5</v>
      </c>
      <c r="P123" s="1"/>
      <c r="Q123" s="1">
        <f t="shared" ca="1" si="50"/>
        <v>0.3898748451191138</v>
      </c>
      <c r="R123" s="1">
        <f t="shared" ca="1" si="51"/>
        <v>227</v>
      </c>
      <c r="S123" s="1"/>
      <c r="T123" s="1">
        <f t="shared" ca="1" si="52"/>
        <v>8.9383356591542049E-2</v>
      </c>
      <c r="U123" s="1">
        <f t="shared" ca="1" si="53"/>
        <v>295</v>
      </c>
      <c r="V123" s="1">
        <f t="shared" ca="1" si="54"/>
        <v>47</v>
      </c>
      <c r="W123" s="1"/>
      <c r="X123" s="1">
        <f t="shared" ca="1" si="55"/>
        <v>8.0772428536639787</v>
      </c>
      <c r="Y123" s="1">
        <f t="shared" ca="1" si="56"/>
        <v>0.82321280443252876</v>
      </c>
      <c r="Z123" s="1">
        <f t="shared" ca="1" si="57"/>
        <v>1643</v>
      </c>
      <c r="AB123" s="1">
        <f t="shared" ca="1" si="58"/>
        <v>0.89160297948476019</v>
      </c>
      <c r="AC123" s="1">
        <f t="shared" ca="1" si="59"/>
        <v>534</v>
      </c>
      <c r="AD123" s="1">
        <f t="shared" ca="1" si="60"/>
        <v>7.6835912897825712E-3</v>
      </c>
      <c r="AE123" s="1"/>
      <c r="AF123" s="1">
        <f t="shared" ca="1" si="61"/>
        <v>0.5017443341027189</v>
      </c>
      <c r="AG123" s="1">
        <f t="shared" ca="1" si="62"/>
        <v>593</v>
      </c>
      <c r="AH123" s="1">
        <f t="shared" ca="1" si="63"/>
        <v>4.5483521983440465E-4</v>
      </c>
      <c r="AJ123" s="1">
        <f t="shared" ca="1" si="64"/>
        <v>0.21482969313775924</v>
      </c>
      <c r="AK123" s="1">
        <f t="shared" ca="1" si="65"/>
        <v>9.5708820119505128E-3</v>
      </c>
      <c r="AL123" s="1"/>
      <c r="AM123" s="1">
        <f t="shared" ca="1" si="66"/>
        <v>0.15546717670260032</v>
      </c>
      <c r="AN123" s="1">
        <f t="shared" ca="1" si="67"/>
        <v>22</v>
      </c>
      <c r="AO123" s="1">
        <f t="shared" ca="1" si="68"/>
        <v>15</v>
      </c>
      <c r="AQ123" s="1">
        <f t="shared" ca="1" si="69"/>
        <v>117</v>
      </c>
      <c r="AR123" s="1">
        <f t="shared" ca="1" si="70"/>
        <v>4</v>
      </c>
      <c r="AS123" s="1">
        <f t="shared" ca="1" si="71"/>
        <v>38</v>
      </c>
      <c r="AU123" s="1">
        <f t="shared" ca="1" si="72"/>
        <v>241</v>
      </c>
      <c r="AV123" s="1">
        <f t="shared" ca="1" si="73"/>
        <v>8</v>
      </c>
      <c r="AW123" s="1">
        <f t="shared" ca="1" si="74"/>
        <v>2.0619495738985888E-2</v>
      </c>
      <c r="AY123" s="1">
        <f t="shared" ca="1" si="75"/>
        <v>1.4701369182805486</v>
      </c>
      <c r="AZ123" s="1">
        <f t="shared" ca="1" si="76"/>
        <v>262</v>
      </c>
      <c r="BA123" s="1">
        <f t="shared" ca="1" si="77"/>
        <v>5.7038633244728574E-3</v>
      </c>
    </row>
    <row r="124" spans="2:53" x14ac:dyDescent="0.25">
      <c r="B124">
        <f t="shared" ca="1" si="39"/>
        <v>711</v>
      </c>
      <c r="C124">
        <f t="shared" ca="1" si="40"/>
        <v>24</v>
      </c>
      <c r="D124">
        <f t="shared" ca="1" si="41"/>
        <v>0.29611098348236287</v>
      </c>
      <c r="F124" s="1">
        <f t="shared" ca="1" si="42"/>
        <v>7</v>
      </c>
      <c r="G124" s="1">
        <f t="shared" ca="1" si="43"/>
        <v>6</v>
      </c>
      <c r="H124" s="1">
        <f t="shared" ca="1" si="44"/>
        <v>6</v>
      </c>
      <c r="I124" s="1"/>
      <c r="J124" s="1">
        <f t="shared" ca="1" si="45"/>
        <v>29</v>
      </c>
      <c r="K124" s="1">
        <f t="shared" ca="1" si="46"/>
        <v>2.1664446833208473</v>
      </c>
      <c r="L124" s="1">
        <f t="shared" ca="1" si="47"/>
        <v>9</v>
      </c>
      <c r="M124" s="1"/>
      <c r="N124" s="1">
        <f t="shared" ca="1" si="48"/>
        <v>924</v>
      </c>
      <c r="O124" s="1">
        <f t="shared" ca="1" si="49"/>
        <v>44</v>
      </c>
      <c r="P124" s="1"/>
      <c r="Q124" s="1">
        <f t="shared" ca="1" si="50"/>
        <v>4.6069580305028461</v>
      </c>
      <c r="R124" s="1">
        <f t="shared" ca="1" si="51"/>
        <v>642</v>
      </c>
      <c r="S124" s="1"/>
      <c r="T124" s="1">
        <f t="shared" ca="1" si="52"/>
        <v>0.11819461544224072</v>
      </c>
      <c r="U124" s="1">
        <f t="shared" ca="1" si="53"/>
        <v>81</v>
      </c>
      <c r="V124" s="1">
        <f t="shared" ca="1" si="54"/>
        <v>26</v>
      </c>
      <c r="W124" s="1"/>
      <c r="X124" s="1">
        <f t="shared" ca="1" si="55"/>
        <v>7.7552608617962271</v>
      </c>
      <c r="Y124" s="1">
        <f t="shared" ca="1" si="56"/>
        <v>0.5736491722673297</v>
      </c>
      <c r="Z124" s="1">
        <f t="shared" ca="1" si="57"/>
        <v>194</v>
      </c>
      <c r="AB124" s="1">
        <f t="shared" ca="1" si="58"/>
        <v>0.60179204014320375</v>
      </c>
      <c r="AC124" s="1">
        <f t="shared" ca="1" si="59"/>
        <v>255</v>
      </c>
      <c r="AD124" s="1">
        <f t="shared" ca="1" si="60"/>
        <v>6.3267217541127584E-5</v>
      </c>
      <c r="AE124" s="1"/>
      <c r="AF124" s="1">
        <f t="shared" ca="1" si="61"/>
        <v>0.11700413528460302</v>
      </c>
      <c r="AG124" s="1">
        <f t="shared" ca="1" si="62"/>
        <v>103</v>
      </c>
      <c r="AH124" s="1">
        <f t="shared" ca="1" si="63"/>
        <v>6.3692631368126714E-3</v>
      </c>
      <c r="AJ124" s="1">
        <f t="shared" ca="1" si="64"/>
        <v>0.86124166679647907</v>
      </c>
      <c r="AK124" s="1">
        <f t="shared" ca="1" si="65"/>
        <v>4.7660501444863812E-3</v>
      </c>
      <c r="AL124" s="1"/>
      <c r="AM124" s="1">
        <f t="shared" ca="1" si="66"/>
        <v>3.0179648468781576E-2</v>
      </c>
      <c r="AN124" s="1">
        <f t="shared" ca="1" si="67"/>
        <v>69</v>
      </c>
      <c r="AO124" s="1">
        <f t="shared" ca="1" si="68"/>
        <v>6</v>
      </c>
      <c r="AQ124" s="1">
        <f t="shared" ca="1" si="69"/>
        <v>51</v>
      </c>
      <c r="AR124" s="1">
        <f t="shared" ca="1" si="70"/>
        <v>1</v>
      </c>
      <c r="AS124" s="1">
        <f t="shared" ca="1" si="71"/>
        <v>70</v>
      </c>
      <c r="AU124" s="1">
        <f t="shared" ca="1" si="72"/>
        <v>59</v>
      </c>
      <c r="AV124" s="1">
        <f t="shared" ca="1" si="73"/>
        <v>8</v>
      </c>
      <c r="AW124" s="1">
        <f t="shared" ca="1" si="74"/>
        <v>7.4937298973878894E-2</v>
      </c>
      <c r="AY124" s="1">
        <f t="shared" ca="1" si="75"/>
        <v>1.4788879525626668</v>
      </c>
      <c r="AZ124" s="1">
        <f t="shared" ca="1" si="76"/>
        <v>426</v>
      </c>
      <c r="BA124" s="1">
        <f t="shared" ca="1" si="77"/>
        <v>7.2768827785745765E-3</v>
      </c>
    </row>
    <row r="125" spans="2:53" x14ac:dyDescent="0.25">
      <c r="B125">
        <f t="shared" ca="1" si="39"/>
        <v>902</v>
      </c>
      <c r="C125">
        <f t="shared" ca="1" si="40"/>
        <v>36</v>
      </c>
      <c r="D125">
        <f t="shared" ca="1" si="41"/>
        <v>8.9611368523051627E-2</v>
      </c>
      <c r="F125" s="1">
        <f t="shared" ca="1" si="42"/>
        <v>33</v>
      </c>
      <c r="G125" s="1">
        <f t="shared" ca="1" si="43"/>
        <v>20</v>
      </c>
      <c r="H125" s="1">
        <f t="shared" ca="1" si="44"/>
        <v>8</v>
      </c>
      <c r="I125" s="1"/>
      <c r="J125" s="1">
        <f t="shared" ca="1" si="45"/>
        <v>28</v>
      </c>
      <c r="K125" s="1">
        <f t="shared" ca="1" si="46"/>
        <v>2.0435066792684848</v>
      </c>
      <c r="L125" s="1">
        <f t="shared" ca="1" si="47"/>
        <v>31</v>
      </c>
      <c r="M125" s="1"/>
      <c r="N125" s="1">
        <f t="shared" ca="1" si="48"/>
        <v>277</v>
      </c>
      <c r="O125" s="1">
        <f t="shared" ca="1" si="49"/>
        <v>9</v>
      </c>
      <c r="P125" s="1"/>
      <c r="Q125" s="1">
        <f t="shared" ca="1" si="50"/>
        <v>4.1488213005504715</v>
      </c>
      <c r="R125" s="1">
        <f t="shared" ca="1" si="51"/>
        <v>1060</v>
      </c>
      <c r="S125" s="1"/>
      <c r="T125" s="1">
        <f t="shared" ca="1" si="52"/>
        <v>3.0072717435088249E-2</v>
      </c>
      <c r="U125" s="1">
        <f t="shared" ca="1" si="53"/>
        <v>148</v>
      </c>
      <c r="V125" s="1">
        <f t="shared" ca="1" si="54"/>
        <v>11</v>
      </c>
      <c r="W125" s="1"/>
      <c r="X125" s="1">
        <f t="shared" ca="1" si="55"/>
        <v>6.9352532974549765</v>
      </c>
      <c r="Y125" s="1">
        <f t="shared" ca="1" si="56"/>
        <v>0.136011013271507</v>
      </c>
      <c r="Z125" s="1">
        <f t="shared" ca="1" si="57"/>
        <v>204</v>
      </c>
      <c r="AB125" s="1">
        <f t="shared" ca="1" si="58"/>
        <v>0.59795469893315056</v>
      </c>
      <c r="AC125" s="1">
        <f t="shared" ca="1" si="59"/>
        <v>682</v>
      </c>
      <c r="AD125" s="1">
        <f t="shared" ca="1" si="60"/>
        <v>7.0044728361911873E-4</v>
      </c>
      <c r="AE125" s="1"/>
      <c r="AF125" s="1">
        <f t="shared" ca="1" si="61"/>
        <v>0.50893021206918609</v>
      </c>
      <c r="AG125" s="1">
        <f t="shared" ca="1" si="62"/>
        <v>581</v>
      </c>
      <c r="AH125" s="1">
        <f t="shared" ca="1" si="63"/>
        <v>4.9566677507301427E-3</v>
      </c>
      <c r="AJ125" s="1">
        <f t="shared" ca="1" si="64"/>
        <v>0.30490209195811069</v>
      </c>
      <c r="AK125" s="1">
        <f t="shared" ca="1" si="65"/>
        <v>5.0018042933972235E-3</v>
      </c>
      <c r="AL125" s="1"/>
      <c r="AM125" s="1">
        <f t="shared" ca="1" si="66"/>
        <v>6.1241123618826047E-2</v>
      </c>
      <c r="AN125" s="1">
        <f t="shared" ca="1" si="67"/>
        <v>42</v>
      </c>
      <c r="AO125" s="1">
        <f t="shared" ca="1" si="68"/>
        <v>5</v>
      </c>
      <c r="AQ125" s="1">
        <f t="shared" ca="1" si="69"/>
        <v>90</v>
      </c>
      <c r="AR125" s="1">
        <f t="shared" ca="1" si="70"/>
        <v>8</v>
      </c>
      <c r="AS125" s="1">
        <f t="shared" ca="1" si="71"/>
        <v>47</v>
      </c>
      <c r="AU125" s="1">
        <f t="shared" ca="1" si="72"/>
        <v>121</v>
      </c>
      <c r="AV125" s="1">
        <f t="shared" ca="1" si="73"/>
        <v>7</v>
      </c>
      <c r="AW125" s="1">
        <f t="shared" ca="1" si="74"/>
        <v>5.5538190951253771E-2</v>
      </c>
      <c r="AY125" s="1">
        <f t="shared" ca="1" si="75"/>
        <v>1.2007382501263797</v>
      </c>
      <c r="AZ125" s="1">
        <f t="shared" ca="1" si="76"/>
        <v>179</v>
      </c>
      <c r="BA125" s="1">
        <f t="shared" ca="1" si="77"/>
        <v>7.5650427975092228E-3</v>
      </c>
    </row>
    <row r="126" spans="2:53" x14ac:dyDescent="0.25">
      <c r="B126">
        <f t="shared" ca="1" si="39"/>
        <v>462</v>
      </c>
      <c r="C126">
        <f t="shared" ca="1" si="40"/>
        <v>15</v>
      </c>
      <c r="D126">
        <f t="shared" ca="1" si="41"/>
        <v>0.2644794667557544</v>
      </c>
      <c r="F126" s="1">
        <f t="shared" ca="1" si="42"/>
        <v>47</v>
      </c>
      <c r="G126" s="1">
        <f t="shared" ca="1" si="43"/>
        <v>10</v>
      </c>
      <c r="H126" s="1">
        <f t="shared" ca="1" si="44"/>
        <v>4</v>
      </c>
      <c r="I126" s="1"/>
      <c r="J126" s="1">
        <f t="shared" ca="1" si="45"/>
        <v>19</v>
      </c>
      <c r="K126" s="1">
        <f t="shared" ca="1" si="46"/>
        <v>1.4621787523154104</v>
      </c>
      <c r="L126" s="1">
        <f t="shared" ca="1" si="47"/>
        <v>4</v>
      </c>
      <c r="M126" s="1"/>
      <c r="N126" s="1">
        <f t="shared" ca="1" si="48"/>
        <v>176</v>
      </c>
      <c r="O126" s="1">
        <f t="shared" ca="1" si="49"/>
        <v>5</v>
      </c>
      <c r="P126" s="1"/>
      <c r="Q126" s="1">
        <f t="shared" ca="1" si="50"/>
        <v>3.4558864518908212</v>
      </c>
      <c r="R126" s="1">
        <f t="shared" ca="1" si="51"/>
        <v>250</v>
      </c>
      <c r="S126" s="1"/>
      <c r="T126" s="1">
        <f t="shared" ca="1" si="52"/>
        <v>9.5572715231672087E-2</v>
      </c>
      <c r="U126" s="1">
        <f t="shared" ca="1" si="53"/>
        <v>108</v>
      </c>
      <c r="V126" s="1">
        <f t="shared" ca="1" si="54"/>
        <v>18</v>
      </c>
      <c r="W126" s="1"/>
      <c r="X126" s="1">
        <f t="shared" ca="1" si="55"/>
        <v>8.7686337698099202</v>
      </c>
      <c r="Y126" s="1">
        <f t="shared" ca="1" si="56"/>
        <v>9.9679170946627704E-2</v>
      </c>
      <c r="Z126" s="1">
        <f t="shared" ca="1" si="57"/>
        <v>1839</v>
      </c>
      <c r="AB126" s="1">
        <f t="shared" ca="1" si="58"/>
        <v>0.88001685198218371</v>
      </c>
      <c r="AC126" s="1">
        <f t="shared" ca="1" si="59"/>
        <v>130</v>
      </c>
      <c r="AD126" s="1">
        <f t="shared" ca="1" si="60"/>
        <v>6.8689416560846518E-3</v>
      </c>
      <c r="AE126" s="1"/>
      <c r="AF126" s="1">
        <f t="shared" ca="1" si="61"/>
        <v>0.53014487357914319</v>
      </c>
      <c r="AG126" s="1">
        <f t="shared" ca="1" si="62"/>
        <v>695</v>
      </c>
      <c r="AH126" s="1">
        <f t="shared" ca="1" si="63"/>
        <v>2.6912666970298213E-3</v>
      </c>
      <c r="AJ126" s="1">
        <f t="shared" ca="1" si="64"/>
        <v>0.36629072083552938</v>
      </c>
      <c r="AK126" s="1">
        <f t="shared" ca="1" si="65"/>
        <v>3.9047144149364486E-3</v>
      </c>
      <c r="AL126" s="1"/>
      <c r="AM126" s="1">
        <f t="shared" ca="1" si="66"/>
        <v>0.19891265518262641</v>
      </c>
      <c r="AN126" s="1">
        <f t="shared" ca="1" si="67"/>
        <v>14</v>
      </c>
      <c r="AO126" s="1">
        <f t="shared" ca="1" si="68"/>
        <v>3</v>
      </c>
      <c r="AQ126" s="1">
        <f t="shared" ca="1" si="69"/>
        <v>76</v>
      </c>
      <c r="AR126" s="1">
        <f t="shared" ca="1" si="70"/>
        <v>7</v>
      </c>
      <c r="AS126" s="1">
        <f t="shared" ca="1" si="71"/>
        <v>40</v>
      </c>
      <c r="AU126" s="1">
        <f t="shared" ca="1" si="72"/>
        <v>100</v>
      </c>
      <c r="AV126" s="1">
        <f t="shared" ca="1" si="73"/>
        <v>9</v>
      </c>
      <c r="AW126" s="1">
        <f t="shared" ca="1" si="74"/>
        <v>5.5476696898464066E-2</v>
      </c>
      <c r="AY126" s="1">
        <f t="shared" ca="1" si="75"/>
        <v>1.8501015234495726</v>
      </c>
      <c r="AZ126" s="1">
        <f t="shared" ca="1" si="76"/>
        <v>354</v>
      </c>
      <c r="BA126" s="1">
        <f t="shared" ca="1" si="77"/>
        <v>4.1947484682571005E-3</v>
      </c>
    </row>
    <row r="127" spans="2:53" x14ac:dyDescent="0.25">
      <c r="B127">
        <f t="shared" ca="1" si="39"/>
        <v>236</v>
      </c>
      <c r="C127">
        <f t="shared" ca="1" si="40"/>
        <v>41</v>
      </c>
      <c r="D127">
        <f t="shared" ca="1" si="41"/>
        <v>0.24211128947935237</v>
      </c>
      <c r="F127" s="1">
        <f t="shared" ca="1" si="42"/>
        <v>45</v>
      </c>
      <c r="G127" s="1">
        <f t="shared" ca="1" si="43"/>
        <v>12</v>
      </c>
      <c r="H127" s="1">
        <f t="shared" ca="1" si="44"/>
        <v>4</v>
      </c>
      <c r="I127" s="1"/>
      <c r="J127" s="1">
        <f t="shared" ca="1" si="45"/>
        <v>15</v>
      </c>
      <c r="K127" s="1">
        <f t="shared" ca="1" si="46"/>
        <v>2.8501444728142911</v>
      </c>
      <c r="L127" s="1">
        <f t="shared" ca="1" si="47"/>
        <v>21</v>
      </c>
      <c r="M127" s="1"/>
      <c r="N127" s="1">
        <f t="shared" ca="1" si="48"/>
        <v>403</v>
      </c>
      <c r="O127" s="1">
        <f t="shared" ca="1" si="49"/>
        <v>8</v>
      </c>
      <c r="P127" s="1"/>
      <c r="Q127" s="1">
        <f t="shared" ca="1" si="50"/>
        <v>0.20356577023270842</v>
      </c>
      <c r="R127" s="1">
        <f t="shared" ca="1" si="51"/>
        <v>597</v>
      </c>
      <c r="S127" s="1"/>
      <c r="T127" s="1">
        <f t="shared" ca="1" si="52"/>
        <v>0.15659129559374399</v>
      </c>
      <c r="U127" s="1">
        <f t="shared" ca="1" si="53"/>
        <v>432</v>
      </c>
      <c r="V127" s="1">
        <f t="shared" ca="1" si="54"/>
        <v>11</v>
      </c>
      <c r="W127" s="1"/>
      <c r="X127" s="1">
        <f t="shared" ca="1" si="55"/>
        <v>6.5041555401094939</v>
      </c>
      <c r="Y127" s="1">
        <f t="shared" ca="1" si="56"/>
        <v>0.84812014116728829</v>
      </c>
      <c r="Z127" s="1">
        <f t="shared" ca="1" si="57"/>
        <v>132</v>
      </c>
      <c r="AB127" s="1">
        <f t="shared" ca="1" si="58"/>
        <v>0.40075356222661745</v>
      </c>
      <c r="AC127" s="1">
        <f t="shared" ca="1" si="59"/>
        <v>612</v>
      </c>
      <c r="AD127" s="1">
        <f t="shared" ca="1" si="60"/>
        <v>2.0397470539236925E-3</v>
      </c>
      <c r="AE127" s="1"/>
      <c r="AF127" s="1">
        <f t="shared" ca="1" si="61"/>
        <v>0.24531832173485812</v>
      </c>
      <c r="AG127" s="1">
        <f t="shared" ca="1" si="62"/>
        <v>864</v>
      </c>
      <c r="AH127" s="1">
        <f t="shared" ca="1" si="63"/>
        <v>5.0065595863476404E-3</v>
      </c>
      <c r="AJ127" s="1">
        <f t="shared" ca="1" si="64"/>
        <v>0.44430672914201852</v>
      </c>
      <c r="AK127" s="1">
        <f t="shared" ca="1" si="65"/>
        <v>7.6631193284212784E-3</v>
      </c>
      <c r="AL127" s="1"/>
      <c r="AM127" s="1">
        <f t="shared" ca="1" si="66"/>
        <v>0.1947282075241801</v>
      </c>
      <c r="AN127" s="1">
        <f t="shared" ca="1" si="67"/>
        <v>70</v>
      </c>
      <c r="AO127" s="1">
        <f t="shared" ca="1" si="68"/>
        <v>11</v>
      </c>
      <c r="AQ127" s="1">
        <f t="shared" ca="1" si="69"/>
        <v>60</v>
      </c>
      <c r="AR127" s="1">
        <f t="shared" ca="1" si="70"/>
        <v>1</v>
      </c>
      <c r="AS127" s="1">
        <f t="shared" ca="1" si="71"/>
        <v>53</v>
      </c>
      <c r="AU127" s="1">
        <f t="shared" ca="1" si="72"/>
        <v>352</v>
      </c>
      <c r="AV127" s="1">
        <f t="shared" ca="1" si="73"/>
        <v>7</v>
      </c>
      <c r="AW127" s="1">
        <f t="shared" ca="1" si="74"/>
        <v>0.1700459275962192</v>
      </c>
      <c r="AY127" s="1">
        <f t="shared" ca="1" si="75"/>
        <v>1.8023545335427027</v>
      </c>
      <c r="AZ127" s="1">
        <f t="shared" ca="1" si="76"/>
        <v>311</v>
      </c>
      <c r="BA127" s="1">
        <f t="shared" ca="1" si="77"/>
        <v>5.5787800531180856E-3</v>
      </c>
    </row>
    <row r="128" spans="2:53" x14ac:dyDescent="0.25">
      <c r="B128">
        <f t="shared" ca="1" si="39"/>
        <v>685</v>
      </c>
      <c r="C128">
        <f t="shared" ca="1" si="40"/>
        <v>6</v>
      </c>
      <c r="D128">
        <f t="shared" ca="1" si="41"/>
        <v>0.19184984544586312</v>
      </c>
      <c r="F128" s="1">
        <f t="shared" ca="1" si="42"/>
        <v>36</v>
      </c>
      <c r="G128" s="1">
        <f t="shared" ca="1" si="43"/>
        <v>5</v>
      </c>
      <c r="H128" s="1">
        <f t="shared" ca="1" si="44"/>
        <v>5</v>
      </c>
      <c r="I128" s="1"/>
      <c r="J128" s="1">
        <f t="shared" ca="1" si="45"/>
        <v>13</v>
      </c>
      <c r="K128" s="1">
        <f t="shared" ca="1" si="46"/>
        <v>2.1334094589086758</v>
      </c>
      <c r="L128" s="1">
        <f t="shared" ca="1" si="47"/>
        <v>26</v>
      </c>
      <c r="M128" s="1"/>
      <c r="N128" s="1">
        <f t="shared" ca="1" si="48"/>
        <v>230</v>
      </c>
      <c r="O128" s="1">
        <f t="shared" ca="1" si="49"/>
        <v>41</v>
      </c>
      <c r="P128" s="1"/>
      <c r="Q128" s="1">
        <f t="shared" ca="1" si="50"/>
        <v>2.4528996696832133</v>
      </c>
      <c r="R128" s="1">
        <f t="shared" ca="1" si="51"/>
        <v>376</v>
      </c>
      <c r="S128" s="1"/>
      <c r="T128" s="1">
        <f t="shared" ca="1" si="52"/>
        <v>4.4976920940242325E-2</v>
      </c>
      <c r="U128" s="1">
        <f t="shared" ca="1" si="53"/>
        <v>165</v>
      </c>
      <c r="V128" s="1">
        <f t="shared" ca="1" si="54"/>
        <v>50</v>
      </c>
      <c r="W128" s="1"/>
      <c r="X128" s="1">
        <f t="shared" ca="1" si="55"/>
        <v>3.1609490855657301</v>
      </c>
      <c r="Y128" s="1">
        <f t="shared" ca="1" si="56"/>
        <v>0.37682610394350996</v>
      </c>
      <c r="Z128" s="1">
        <f t="shared" ca="1" si="57"/>
        <v>1723</v>
      </c>
      <c r="AB128" s="1">
        <f t="shared" ca="1" si="58"/>
        <v>0.47270465115961868</v>
      </c>
      <c r="AC128" s="1">
        <f t="shared" ca="1" si="59"/>
        <v>794</v>
      </c>
      <c r="AD128" s="1">
        <f t="shared" ca="1" si="60"/>
        <v>7.2051090868065848E-3</v>
      </c>
      <c r="AE128" s="1"/>
      <c r="AF128" s="1">
        <f t="shared" ca="1" si="61"/>
        <v>0.83893729707787545</v>
      </c>
      <c r="AG128" s="1">
        <f t="shared" ca="1" si="62"/>
        <v>937</v>
      </c>
      <c r="AH128" s="1">
        <f t="shared" ca="1" si="63"/>
        <v>5.1115994540044179E-3</v>
      </c>
      <c r="AJ128" s="1">
        <f t="shared" ca="1" si="64"/>
        <v>0.17305539731144293</v>
      </c>
      <c r="AK128" s="1">
        <f t="shared" ca="1" si="65"/>
        <v>6.6108230948624495E-3</v>
      </c>
      <c r="AL128" s="1"/>
      <c r="AM128" s="1">
        <f t="shared" ca="1" si="66"/>
        <v>0.18174948779893083</v>
      </c>
      <c r="AN128" s="1">
        <f t="shared" ca="1" si="67"/>
        <v>14</v>
      </c>
      <c r="AO128" s="1">
        <f t="shared" ca="1" si="68"/>
        <v>15</v>
      </c>
      <c r="AQ128" s="1">
        <f t="shared" ca="1" si="69"/>
        <v>67</v>
      </c>
      <c r="AR128" s="1">
        <f t="shared" ca="1" si="70"/>
        <v>4</v>
      </c>
      <c r="AS128" s="1">
        <f t="shared" ca="1" si="71"/>
        <v>46</v>
      </c>
      <c r="AU128" s="1">
        <f t="shared" ca="1" si="72"/>
        <v>342</v>
      </c>
      <c r="AV128" s="1">
        <f t="shared" ca="1" si="73"/>
        <v>2</v>
      </c>
      <c r="AW128" s="1">
        <f t="shared" ca="1" si="74"/>
        <v>0.1338019062344801</v>
      </c>
      <c r="AY128" s="1">
        <f t="shared" ca="1" si="75"/>
        <v>1.4112478593125148</v>
      </c>
      <c r="AZ128" s="1">
        <f t="shared" ca="1" si="76"/>
        <v>481</v>
      </c>
      <c r="BA128" s="1">
        <f t="shared" ca="1" si="77"/>
        <v>3.2830515683834808E-3</v>
      </c>
    </row>
    <row r="129" spans="2:53" x14ac:dyDescent="0.25">
      <c r="B129">
        <f t="shared" ca="1" si="39"/>
        <v>358</v>
      </c>
      <c r="C129">
        <f t="shared" ca="1" si="40"/>
        <v>20</v>
      </c>
      <c r="D129">
        <f t="shared" ca="1" si="41"/>
        <v>0.18238325392210628</v>
      </c>
      <c r="F129" s="1">
        <f t="shared" ca="1" si="42"/>
        <v>12</v>
      </c>
      <c r="G129" s="1">
        <f t="shared" ca="1" si="43"/>
        <v>27</v>
      </c>
      <c r="H129" s="1">
        <f t="shared" ca="1" si="44"/>
        <v>13</v>
      </c>
      <c r="I129" s="1"/>
      <c r="J129" s="1">
        <f t="shared" ca="1" si="45"/>
        <v>19</v>
      </c>
      <c r="K129" s="1">
        <f t="shared" ca="1" si="46"/>
        <v>1.8544700081579815</v>
      </c>
      <c r="L129" s="1">
        <f t="shared" ca="1" si="47"/>
        <v>4</v>
      </c>
      <c r="M129" s="1"/>
      <c r="N129" s="1">
        <f t="shared" ca="1" si="48"/>
        <v>159</v>
      </c>
      <c r="O129" s="1">
        <f t="shared" ca="1" si="49"/>
        <v>39</v>
      </c>
      <c r="P129" s="1"/>
      <c r="Q129" s="1">
        <f t="shared" ca="1" si="50"/>
        <v>0.12553368197720741</v>
      </c>
      <c r="R129" s="1">
        <f t="shared" ca="1" si="51"/>
        <v>304</v>
      </c>
      <c r="S129" s="1"/>
      <c r="T129" s="1">
        <f t="shared" ca="1" si="52"/>
        <v>0.16001757067859151</v>
      </c>
      <c r="U129" s="1">
        <f t="shared" ca="1" si="53"/>
        <v>200</v>
      </c>
      <c r="V129" s="1">
        <f t="shared" ca="1" si="54"/>
        <v>9</v>
      </c>
      <c r="W129" s="1"/>
      <c r="X129" s="1">
        <f t="shared" ca="1" si="55"/>
        <v>5.706811784487253</v>
      </c>
      <c r="Y129" s="1">
        <f t="shared" ca="1" si="56"/>
        <v>0.33322210795699675</v>
      </c>
      <c r="Z129" s="1">
        <f t="shared" ca="1" si="57"/>
        <v>794</v>
      </c>
      <c r="AB129" s="1">
        <f t="shared" ca="1" si="58"/>
        <v>0.49459519015856529</v>
      </c>
      <c r="AC129" s="1">
        <f t="shared" ca="1" si="59"/>
        <v>650</v>
      </c>
      <c r="AD129" s="1">
        <f t="shared" ca="1" si="60"/>
        <v>8.1778084264228779E-3</v>
      </c>
      <c r="AE129" s="1"/>
      <c r="AF129" s="1">
        <f t="shared" ca="1" si="61"/>
        <v>0.80263884286369969</v>
      </c>
      <c r="AG129" s="1">
        <f t="shared" ca="1" si="62"/>
        <v>285</v>
      </c>
      <c r="AH129" s="1">
        <f t="shared" ca="1" si="63"/>
        <v>1.0463586098484387E-3</v>
      </c>
      <c r="AJ129" s="1">
        <f t="shared" ca="1" si="64"/>
        <v>0.50937445407431858</v>
      </c>
      <c r="AK129" s="1">
        <f t="shared" ca="1" si="65"/>
        <v>3.6784268002298197E-3</v>
      </c>
      <c r="AL129" s="1"/>
      <c r="AM129" s="1">
        <f t="shared" ca="1" si="66"/>
        <v>5.5759316651920549E-2</v>
      </c>
      <c r="AN129" s="1">
        <f t="shared" ca="1" si="67"/>
        <v>24</v>
      </c>
      <c r="AO129" s="1">
        <f t="shared" ca="1" si="68"/>
        <v>3</v>
      </c>
      <c r="AQ129" s="1">
        <f t="shared" ca="1" si="69"/>
        <v>10</v>
      </c>
      <c r="AR129" s="1">
        <f t="shared" ca="1" si="70"/>
        <v>9</v>
      </c>
      <c r="AS129" s="1">
        <f t="shared" ca="1" si="71"/>
        <v>24</v>
      </c>
      <c r="AU129" s="1">
        <f t="shared" ca="1" si="72"/>
        <v>283</v>
      </c>
      <c r="AV129" s="1">
        <f t="shared" ca="1" si="73"/>
        <v>3</v>
      </c>
      <c r="AW129" s="1">
        <f t="shared" ca="1" si="74"/>
        <v>0.19305710327240341</v>
      </c>
      <c r="AY129" s="1">
        <f t="shared" ca="1" si="75"/>
        <v>1.8834995554580101</v>
      </c>
      <c r="AZ129" s="1">
        <f t="shared" ca="1" si="76"/>
        <v>321</v>
      </c>
      <c r="BA129" s="1">
        <f t="shared" ca="1" si="77"/>
        <v>8.1378994671599189E-3</v>
      </c>
    </row>
    <row r="130" spans="2:53" x14ac:dyDescent="0.25">
      <c r="B130">
        <f t="shared" ca="1" si="39"/>
        <v>392</v>
      </c>
      <c r="C130">
        <f t="shared" ca="1" si="40"/>
        <v>26</v>
      </c>
      <c r="D130">
        <f t="shared" ca="1" si="41"/>
        <v>0.27671827286881751</v>
      </c>
      <c r="F130" s="1">
        <f t="shared" ca="1" si="42"/>
        <v>44</v>
      </c>
      <c r="G130" s="1">
        <f t="shared" ca="1" si="43"/>
        <v>22</v>
      </c>
      <c r="H130" s="1">
        <f t="shared" ca="1" si="44"/>
        <v>8</v>
      </c>
      <c r="I130" s="1"/>
      <c r="J130" s="1">
        <f t="shared" ca="1" si="45"/>
        <v>23</v>
      </c>
      <c r="K130" s="1">
        <f t="shared" ca="1" si="46"/>
        <v>2.5726909985124875</v>
      </c>
      <c r="L130" s="1">
        <f t="shared" ca="1" si="47"/>
        <v>20</v>
      </c>
      <c r="M130" s="1"/>
      <c r="N130" s="1">
        <f t="shared" ca="1" si="48"/>
        <v>607</v>
      </c>
      <c r="O130" s="1">
        <f t="shared" ca="1" si="49"/>
        <v>21</v>
      </c>
      <c r="P130" s="1"/>
      <c r="Q130" s="1">
        <f t="shared" ca="1" si="50"/>
        <v>2.4746159658396306E-2</v>
      </c>
      <c r="R130" s="1">
        <f t="shared" ca="1" si="51"/>
        <v>599</v>
      </c>
      <c r="S130" s="1"/>
      <c r="T130" s="1">
        <f t="shared" ca="1" si="52"/>
        <v>0.17282352806994605</v>
      </c>
      <c r="U130" s="1">
        <f t="shared" ca="1" si="53"/>
        <v>342</v>
      </c>
      <c r="V130" s="1">
        <f t="shared" ca="1" si="54"/>
        <v>6</v>
      </c>
      <c r="W130" s="1"/>
      <c r="X130" s="1">
        <f t="shared" ca="1" si="55"/>
        <v>7.8936513979885596</v>
      </c>
      <c r="Y130" s="1">
        <f t="shared" ca="1" si="56"/>
        <v>0.19934080137679952</v>
      </c>
      <c r="Z130" s="1">
        <f t="shared" ca="1" si="57"/>
        <v>859</v>
      </c>
      <c r="AB130" s="1">
        <f t="shared" ca="1" si="58"/>
        <v>0.92785929188785199</v>
      </c>
      <c r="AC130" s="1">
        <f t="shared" ca="1" si="59"/>
        <v>399</v>
      </c>
      <c r="AD130" s="1">
        <f t="shared" ca="1" si="60"/>
        <v>3.3457361679688391E-3</v>
      </c>
      <c r="AE130" s="1"/>
      <c r="AF130" s="1">
        <f t="shared" ca="1" si="61"/>
        <v>0.33520822271774009</v>
      </c>
      <c r="AG130" s="1">
        <f t="shared" ca="1" si="62"/>
        <v>320</v>
      </c>
      <c r="AH130" s="1">
        <f t="shared" ca="1" si="63"/>
        <v>9.3773212262512299E-4</v>
      </c>
      <c r="AJ130" s="1">
        <f t="shared" ca="1" si="64"/>
        <v>0.1207877508401658</v>
      </c>
      <c r="AK130" s="1">
        <f t="shared" ca="1" si="65"/>
        <v>9.4307314324370097E-4</v>
      </c>
      <c r="AL130" s="1"/>
      <c r="AM130" s="1">
        <f t="shared" ca="1" si="66"/>
        <v>0.17607950805785513</v>
      </c>
      <c r="AN130" s="1">
        <f t="shared" ca="1" si="67"/>
        <v>32</v>
      </c>
      <c r="AO130" s="1">
        <f t="shared" ca="1" si="68"/>
        <v>13</v>
      </c>
      <c r="AQ130" s="1">
        <f t="shared" ca="1" si="69"/>
        <v>71</v>
      </c>
      <c r="AR130" s="1">
        <f t="shared" ca="1" si="70"/>
        <v>6</v>
      </c>
      <c r="AS130" s="1">
        <f t="shared" ca="1" si="71"/>
        <v>41</v>
      </c>
      <c r="AU130" s="1">
        <f t="shared" ca="1" si="72"/>
        <v>251</v>
      </c>
      <c r="AV130" s="1">
        <f t="shared" ca="1" si="73"/>
        <v>9</v>
      </c>
      <c r="AW130" s="1">
        <f t="shared" ca="1" si="74"/>
        <v>0.15203372492715531</v>
      </c>
      <c r="AY130" s="1">
        <f t="shared" ca="1" si="75"/>
        <v>1.3801651056630968</v>
      </c>
      <c r="AZ130" s="1">
        <f t="shared" ca="1" si="76"/>
        <v>447</v>
      </c>
      <c r="BA130" s="1">
        <f t="shared" ca="1" si="77"/>
        <v>7.3650061773505408E-3</v>
      </c>
    </row>
    <row r="131" spans="2:53" x14ac:dyDescent="0.25">
      <c r="B131">
        <f t="shared" ca="1" si="39"/>
        <v>238</v>
      </c>
      <c r="C131">
        <f t="shared" ca="1" si="40"/>
        <v>35</v>
      </c>
      <c r="D131">
        <f t="shared" ca="1" si="41"/>
        <v>0.2200350059433312</v>
      </c>
      <c r="F131" s="1">
        <f t="shared" ca="1" si="42"/>
        <v>49</v>
      </c>
      <c r="G131" s="1">
        <f t="shared" ca="1" si="43"/>
        <v>18</v>
      </c>
      <c r="H131" s="1">
        <f t="shared" ca="1" si="44"/>
        <v>10</v>
      </c>
      <c r="I131" s="1"/>
      <c r="J131" s="1">
        <f t="shared" ca="1" si="45"/>
        <v>10</v>
      </c>
      <c r="K131" s="1">
        <f t="shared" ca="1" si="46"/>
        <v>2.4814823962876074</v>
      </c>
      <c r="L131" s="1">
        <f t="shared" ca="1" si="47"/>
        <v>12</v>
      </c>
      <c r="M131" s="1"/>
      <c r="N131" s="1">
        <f t="shared" ca="1" si="48"/>
        <v>30</v>
      </c>
      <c r="O131" s="1">
        <f t="shared" ca="1" si="49"/>
        <v>2</v>
      </c>
      <c r="P131" s="1"/>
      <c r="Q131" s="1">
        <f t="shared" ca="1" si="50"/>
        <v>4.6644956976067347</v>
      </c>
      <c r="R131" s="1">
        <f t="shared" ca="1" si="51"/>
        <v>557</v>
      </c>
      <c r="S131" s="1"/>
      <c r="T131" s="1">
        <f t="shared" ca="1" si="52"/>
        <v>4.8524274641691574E-2</v>
      </c>
      <c r="U131" s="1">
        <f t="shared" ca="1" si="53"/>
        <v>80</v>
      </c>
      <c r="V131" s="1">
        <f t="shared" ca="1" si="54"/>
        <v>48</v>
      </c>
      <c r="W131" s="1"/>
      <c r="X131" s="1">
        <f t="shared" ca="1" si="55"/>
        <v>3.5580766657657743</v>
      </c>
      <c r="Y131" s="1">
        <f t="shared" ca="1" si="56"/>
        <v>0.44947069385993549</v>
      </c>
      <c r="Z131" s="1">
        <f t="shared" ca="1" si="57"/>
        <v>1049</v>
      </c>
      <c r="AB131" s="1">
        <f t="shared" ca="1" si="58"/>
        <v>7.3762639646951719E-2</v>
      </c>
      <c r="AC131" s="1">
        <f t="shared" ca="1" si="59"/>
        <v>822</v>
      </c>
      <c r="AD131" s="1">
        <f t="shared" ca="1" si="60"/>
        <v>4.5880976840891883E-3</v>
      </c>
      <c r="AE131" s="1"/>
      <c r="AF131" s="1">
        <f t="shared" ca="1" si="61"/>
        <v>0.39921852122747759</v>
      </c>
      <c r="AG131" s="1">
        <f t="shared" ca="1" si="62"/>
        <v>149</v>
      </c>
      <c r="AH131" s="1">
        <f t="shared" ca="1" si="63"/>
        <v>8.2070061376844552E-3</v>
      </c>
      <c r="AJ131" s="1">
        <f t="shared" ca="1" si="64"/>
        <v>0.34157543265828572</v>
      </c>
      <c r="AK131" s="1">
        <f t="shared" ca="1" si="65"/>
        <v>4.5149326147071412E-3</v>
      </c>
      <c r="AL131" s="1"/>
      <c r="AM131" s="1">
        <f t="shared" ca="1" si="66"/>
        <v>3.4556246797604571E-2</v>
      </c>
      <c r="AN131" s="1">
        <f t="shared" ca="1" si="67"/>
        <v>58</v>
      </c>
      <c r="AO131" s="1">
        <f t="shared" ca="1" si="68"/>
        <v>18</v>
      </c>
      <c r="AQ131" s="1">
        <f t="shared" ca="1" si="69"/>
        <v>200</v>
      </c>
      <c r="AR131" s="1">
        <f t="shared" ca="1" si="70"/>
        <v>0</v>
      </c>
      <c r="AS131" s="1">
        <f t="shared" ca="1" si="71"/>
        <v>17</v>
      </c>
      <c r="AU131" s="1">
        <f t="shared" ca="1" si="72"/>
        <v>326</v>
      </c>
      <c r="AV131" s="1">
        <f t="shared" ca="1" si="73"/>
        <v>7</v>
      </c>
      <c r="AW131" s="1">
        <f t="shared" ca="1" si="74"/>
        <v>0.19058492521385151</v>
      </c>
      <c r="AY131" s="1">
        <f t="shared" ca="1" si="75"/>
        <v>1.5448497385038182</v>
      </c>
      <c r="AZ131" s="1">
        <f t="shared" ca="1" si="76"/>
        <v>161</v>
      </c>
      <c r="BA131" s="1">
        <f t="shared" ca="1" si="77"/>
        <v>6.5372219799227638E-3</v>
      </c>
    </row>
    <row r="132" spans="2:53" x14ac:dyDescent="0.25">
      <c r="B132">
        <f t="shared" ref="B132:B195" ca="1" si="78">RANDBETWEEN(15,1000)</f>
        <v>247</v>
      </c>
      <c r="C132">
        <f t="shared" ref="C132:C195" ca="1" si="79">RANDBETWEEN(2,52)</f>
        <v>42</v>
      </c>
      <c r="D132">
        <f t="shared" ref="D132:D195" ca="1" si="80">RAND()*(0.3-0.01)+0.01</f>
        <v>0.17183263164326548</v>
      </c>
      <c r="F132" s="1">
        <f t="shared" ref="F132:F195" ca="1" si="81">RANDBETWEEN(2,52)</f>
        <v>13</v>
      </c>
      <c r="G132" s="1">
        <f t="shared" ref="G132:G195" ca="1" si="82">RANDBETWEEN(2,30)</f>
        <v>5</v>
      </c>
      <c r="H132" s="1">
        <f t="shared" ref="H132:H195" ca="1" si="83">RANDBETWEEN(1,15)</f>
        <v>7</v>
      </c>
      <c r="I132" s="1"/>
      <c r="J132" s="1">
        <f t="shared" ref="J132:J195" ca="1" si="84">RANDBETWEEN(1,39)</f>
        <v>7</v>
      </c>
      <c r="K132" s="1">
        <f t="shared" ref="K132:K195" ca="1" si="85">RAND()*(3-1)+1</f>
        <v>1.6854640016276778</v>
      </c>
      <c r="L132" s="1">
        <f t="shared" ref="L132:L195" ca="1" si="86">RANDBETWEEN(2,35)</f>
        <v>3</v>
      </c>
      <c r="M132" s="1"/>
      <c r="N132" s="1">
        <f t="shared" ref="N132:N195" ca="1" si="87">RANDBETWEEN(15,1000)</f>
        <v>89</v>
      </c>
      <c r="O132" s="1">
        <f t="shared" ref="O132:O195" ca="1" si="88">RANDBETWEEN(2,52)</f>
        <v>28</v>
      </c>
      <c r="P132" s="1"/>
      <c r="Q132" s="1">
        <f t="shared" ref="Q132:Q195" ca="1" si="89">RAND()*(5-0.01)+0.01</f>
        <v>1.2106363609656479</v>
      </c>
      <c r="R132" s="1">
        <f t="shared" ref="R132:R195" ca="1" si="90">RANDBETWEEN(200,1200)</f>
        <v>582</v>
      </c>
      <c r="S132" s="1"/>
      <c r="T132" s="1">
        <f t="shared" ref="T132:T195" ca="1" si="91">RAND()*(0.2-0.01)+0.01</f>
        <v>3.8061482926855475E-2</v>
      </c>
      <c r="U132" s="1">
        <f t="shared" ref="U132:U195" ca="1" si="92">RANDBETWEEN(50,450)</f>
        <v>72</v>
      </c>
      <c r="V132" s="1">
        <f t="shared" ref="V132:V195" ca="1" si="93">RANDBETWEEN(2,52)</f>
        <v>8</v>
      </c>
      <c r="W132" s="1"/>
      <c r="X132" s="1">
        <f t="shared" ref="X132:X195" ca="1" si="94">RAND()*(10-0.01)+0.01</f>
        <v>4.8802140733579389</v>
      </c>
      <c r="Y132" s="1">
        <f t="shared" ref="Y132:Y195" ca="1" si="95">RAND()*(1-0.0001)+0.0001</f>
        <v>4.0175629350226193E-2</v>
      </c>
      <c r="Z132" s="1">
        <f t="shared" ref="Z132:Z195" ca="1" si="96">RANDBETWEEN(100,2000)</f>
        <v>543</v>
      </c>
      <c r="AB132" s="1">
        <f t="shared" ref="AB132:AB195" ca="1" si="97">RAND()*(1-0.0001)+0.0001</f>
        <v>0.77732480151389016</v>
      </c>
      <c r="AC132" s="1">
        <f t="shared" ref="AC132:AC195" ca="1" si="98">RANDBETWEEN(100,1000)</f>
        <v>380</v>
      </c>
      <c r="AD132" s="1">
        <f t="shared" ref="AD132:AD195" ca="1" si="99">RAND()*(0.01-0.00001)+0.00001</f>
        <v>2.7251449860128847E-3</v>
      </c>
      <c r="AE132" s="1"/>
      <c r="AF132" s="1">
        <f t="shared" ref="AF132:AF195" ca="1" si="100">RAND()*(0.9-0.1)+0.1</f>
        <v>0.31587491000831031</v>
      </c>
      <c r="AG132" s="1">
        <f t="shared" ref="AG132:AG195" ca="1" si="101">RANDBETWEEN(100,1000)</f>
        <v>578</v>
      </c>
      <c r="AH132" s="1">
        <f t="shared" ref="AH132:AH195" ca="1" si="102">RAND()*(0.01-0.00001)+0.00001</f>
        <v>5.7195974027814001E-3</v>
      </c>
      <c r="AJ132" s="1">
        <f t="shared" ref="AJ132:AJ195" ca="1" si="103">RAND()*(1-0)+0</f>
        <v>0.70146703883482653</v>
      </c>
      <c r="AK132" s="1">
        <f t="shared" ref="AK132:AK195" ca="1" si="104">RAND()*(0.01-0.00001)+0.00001</f>
        <v>3.7478826352575398E-3</v>
      </c>
      <c r="AL132" s="1"/>
      <c r="AM132" s="1">
        <f t="shared" ref="AM132:AM195" ca="1" si="105">RAND()*(0.2-0.005)+0.005</f>
        <v>0.14267402455349459</v>
      </c>
      <c r="AN132" s="1">
        <f t="shared" ref="AN132:AN195" ca="1" si="106">RANDBETWEEN(10,80)</f>
        <v>51</v>
      </c>
      <c r="AO132" s="1">
        <f t="shared" ref="AO132:AO195" ca="1" si="107">RANDBETWEEN(-1,20)</f>
        <v>10</v>
      </c>
      <c r="AQ132" s="1">
        <f t="shared" ref="AQ132:AQ195" ca="1" si="108">RANDBETWEEN(10,200)</f>
        <v>10</v>
      </c>
      <c r="AR132" s="1">
        <f t="shared" ref="AR132:AR195" ca="1" si="109">RANDBETWEEN(0,10)</f>
        <v>5</v>
      </c>
      <c r="AS132" s="1">
        <f t="shared" ref="AS132:AS195" ca="1" si="110">RANDBETWEEN(1,100)</f>
        <v>13</v>
      </c>
      <c r="AU132" s="1">
        <f t="shared" ref="AU132:AU195" ca="1" si="111">RANDBETWEEN(50,400)</f>
        <v>394</v>
      </c>
      <c r="AV132" s="1">
        <f t="shared" ref="AV132:AV195" ca="1" si="112">RANDBETWEEN(2,10)</f>
        <v>4</v>
      </c>
      <c r="AW132" s="1">
        <f t="shared" ref="AW132:AW195" ca="1" si="113">RAND()*(0.2-0.01)+0.01</f>
        <v>9.3036209837449285E-2</v>
      </c>
      <c r="AY132" s="1">
        <f t="shared" ref="AY132:AY195" ca="1" si="114">RAND()*(2-1.1)+1.1</f>
        <v>1.3415518423030552</v>
      </c>
      <c r="AZ132" s="1">
        <f t="shared" ref="AZ132:AZ195" ca="1" si="115">RANDBETWEEN(50,500)</f>
        <v>296</v>
      </c>
      <c r="BA132" s="1">
        <f t="shared" ref="BA132:BA195" ca="1" si="116">RAND()*(0.01-0.00001)+0.00001</f>
        <v>4.9134540727038189E-3</v>
      </c>
    </row>
    <row r="133" spans="2:53" x14ac:dyDescent="0.25">
      <c r="B133">
        <f t="shared" ca="1" si="78"/>
        <v>735</v>
      </c>
      <c r="C133">
        <f t="shared" ca="1" si="79"/>
        <v>6</v>
      </c>
      <c r="D133">
        <f t="shared" ca="1" si="80"/>
        <v>0.25374450872462695</v>
      </c>
      <c r="F133" s="1">
        <f t="shared" ca="1" si="81"/>
        <v>13</v>
      </c>
      <c r="G133" s="1">
        <f t="shared" ca="1" si="82"/>
        <v>13</v>
      </c>
      <c r="H133" s="1">
        <f t="shared" ca="1" si="83"/>
        <v>8</v>
      </c>
      <c r="I133" s="1"/>
      <c r="J133" s="1">
        <f t="shared" ca="1" si="84"/>
        <v>21</v>
      </c>
      <c r="K133" s="1">
        <f t="shared" ca="1" si="85"/>
        <v>1.0923776669800727</v>
      </c>
      <c r="L133" s="1">
        <f t="shared" ca="1" si="86"/>
        <v>31</v>
      </c>
      <c r="M133" s="1"/>
      <c r="N133" s="1">
        <f t="shared" ca="1" si="87"/>
        <v>610</v>
      </c>
      <c r="O133" s="1">
        <f t="shared" ca="1" si="88"/>
        <v>23</v>
      </c>
      <c r="P133" s="1"/>
      <c r="Q133" s="1">
        <f t="shared" ca="1" si="89"/>
        <v>0.36726366038373193</v>
      </c>
      <c r="R133" s="1">
        <f t="shared" ca="1" si="90"/>
        <v>681</v>
      </c>
      <c r="S133" s="1"/>
      <c r="T133" s="1">
        <f t="shared" ca="1" si="91"/>
        <v>5.8546669815827616E-2</v>
      </c>
      <c r="U133" s="1">
        <f t="shared" ca="1" si="92"/>
        <v>266</v>
      </c>
      <c r="V133" s="1">
        <f t="shared" ca="1" si="93"/>
        <v>45</v>
      </c>
      <c r="W133" s="1"/>
      <c r="X133" s="1">
        <f t="shared" ca="1" si="94"/>
        <v>0.9053408569337853</v>
      </c>
      <c r="Y133" s="1">
        <f t="shared" ca="1" si="95"/>
        <v>1.567182027040076E-2</v>
      </c>
      <c r="Z133" s="1">
        <f t="shared" ca="1" si="96"/>
        <v>104</v>
      </c>
      <c r="AB133" s="1">
        <f t="shared" ca="1" si="97"/>
        <v>0.48243839008286066</v>
      </c>
      <c r="AC133" s="1">
        <f t="shared" ca="1" si="98"/>
        <v>770</v>
      </c>
      <c r="AD133" s="1">
        <f t="shared" ca="1" si="99"/>
        <v>7.3107824377708413E-3</v>
      </c>
      <c r="AE133" s="1"/>
      <c r="AF133" s="1">
        <f t="shared" ca="1" si="100"/>
        <v>0.48840436898721074</v>
      </c>
      <c r="AG133" s="1">
        <f t="shared" ca="1" si="101"/>
        <v>684</v>
      </c>
      <c r="AH133" s="1">
        <f t="shared" ca="1" si="102"/>
        <v>1.4469685288758876E-3</v>
      </c>
      <c r="AJ133" s="1">
        <f t="shared" ca="1" si="103"/>
        <v>0.94038519842277646</v>
      </c>
      <c r="AK133" s="1">
        <f t="shared" ca="1" si="104"/>
        <v>2.4013493854575518E-3</v>
      </c>
      <c r="AL133" s="1"/>
      <c r="AM133" s="1">
        <f t="shared" ca="1" si="105"/>
        <v>0.14749140450397086</v>
      </c>
      <c r="AN133" s="1">
        <f t="shared" ca="1" si="106"/>
        <v>80</v>
      </c>
      <c r="AO133" s="1">
        <f t="shared" ca="1" si="107"/>
        <v>11</v>
      </c>
      <c r="AQ133" s="1">
        <f t="shared" ca="1" si="108"/>
        <v>192</v>
      </c>
      <c r="AR133" s="1">
        <f t="shared" ca="1" si="109"/>
        <v>1</v>
      </c>
      <c r="AS133" s="1">
        <f t="shared" ca="1" si="110"/>
        <v>14</v>
      </c>
      <c r="AU133" s="1">
        <f t="shared" ca="1" si="111"/>
        <v>254</v>
      </c>
      <c r="AV133" s="1">
        <f t="shared" ca="1" si="112"/>
        <v>4</v>
      </c>
      <c r="AW133" s="1">
        <f t="shared" ca="1" si="113"/>
        <v>9.123997316239367E-2</v>
      </c>
      <c r="AY133" s="1">
        <f t="shared" ca="1" si="114"/>
        <v>1.3988632820296916</v>
      </c>
      <c r="AZ133" s="1">
        <f t="shared" ca="1" si="115"/>
        <v>443</v>
      </c>
      <c r="BA133" s="1">
        <f t="shared" ca="1" si="116"/>
        <v>4.5705912665062578E-3</v>
      </c>
    </row>
    <row r="134" spans="2:53" x14ac:dyDescent="0.25">
      <c r="B134">
        <f t="shared" ca="1" si="78"/>
        <v>65</v>
      </c>
      <c r="C134">
        <f t="shared" ca="1" si="79"/>
        <v>48</v>
      </c>
      <c r="D134">
        <f t="shared" ca="1" si="80"/>
        <v>0.25910937049691335</v>
      </c>
      <c r="F134" s="1">
        <f t="shared" ca="1" si="81"/>
        <v>4</v>
      </c>
      <c r="G134" s="1">
        <f t="shared" ca="1" si="82"/>
        <v>2</v>
      </c>
      <c r="H134" s="1">
        <f t="shared" ca="1" si="83"/>
        <v>2</v>
      </c>
      <c r="I134" s="1"/>
      <c r="J134" s="1">
        <f t="shared" ca="1" si="84"/>
        <v>12</v>
      </c>
      <c r="K134" s="1">
        <f t="shared" ca="1" si="85"/>
        <v>1.2434479078547249</v>
      </c>
      <c r="L134" s="1">
        <f t="shared" ca="1" si="86"/>
        <v>12</v>
      </c>
      <c r="M134" s="1"/>
      <c r="N134" s="1">
        <f t="shared" ca="1" si="87"/>
        <v>358</v>
      </c>
      <c r="O134" s="1">
        <f t="shared" ca="1" si="88"/>
        <v>31</v>
      </c>
      <c r="P134" s="1"/>
      <c r="Q134" s="1">
        <f t="shared" ca="1" si="89"/>
        <v>0.25267135248106737</v>
      </c>
      <c r="R134" s="1">
        <f t="shared" ca="1" si="90"/>
        <v>580</v>
      </c>
      <c r="S134" s="1"/>
      <c r="T134" s="1">
        <f t="shared" ca="1" si="91"/>
        <v>0.15130780972467353</v>
      </c>
      <c r="U134" s="1">
        <f t="shared" ca="1" si="92"/>
        <v>153</v>
      </c>
      <c r="V134" s="1">
        <f t="shared" ca="1" si="93"/>
        <v>23</v>
      </c>
      <c r="W134" s="1"/>
      <c r="X134" s="1">
        <f t="shared" ca="1" si="94"/>
        <v>7.1707155731255829</v>
      </c>
      <c r="Y134" s="1">
        <f t="shared" ca="1" si="95"/>
        <v>0.66123094377370406</v>
      </c>
      <c r="Z134" s="1">
        <f t="shared" ca="1" si="96"/>
        <v>501</v>
      </c>
      <c r="AB134" s="1">
        <f t="shared" ca="1" si="97"/>
        <v>0.24869191335686275</v>
      </c>
      <c r="AC134" s="1">
        <f t="shared" ca="1" si="98"/>
        <v>227</v>
      </c>
      <c r="AD134" s="1">
        <f t="shared" ca="1" si="99"/>
        <v>3.0209014241940139E-4</v>
      </c>
      <c r="AE134" s="1"/>
      <c r="AF134" s="1">
        <f t="shared" ca="1" si="100"/>
        <v>0.40254014353214396</v>
      </c>
      <c r="AG134" s="1">
        <f t="shared" ca="1" si="101"/>
        <v>270</v>
      </c>
      <c r="AH134" s="1">
        <f t="shared" ca="1" si="102"/>
        <v>3.4907064007185839E-3</v>
      </c>
      <c r="AJ134" s="1">
        <f t="shared" ca="1" si="103"/>
        <v>4.8802355243495188E-2</v>
      </c>
      <c r="AK134" s="1">
        <f t="shared" ca="1" si="104"/>
        <v>7.0912697512333549E-3</v>
      </c>
      <c r="AL134" s="1"/>
      <c r="AM134" s="1">
        <f t="shared" ca="1" si="105"/>
        <v>7.1577640221740749E-2</v>
      </c>
      <c r="AN134" s="1">
        <f t="shared" ca="1" si="106"/>
        <v>29</v>
      </c>
      <c r="AO134" s="1">
        <f t="shared" ca="1" si="107"/>
        <v>18</v>
      </c>
      <c r="AQ134" s="1">
        <f t="shared" ca="1" si="108"/>
        <v>43</v>
      </c>
      <c r="AR134" s="1">
        <f t="shared" ca="1" si="109"/>
        <v>8</v>
      </c>
      <c r="AS134" s="1">
        <f t="shared" ca="1" si="110"/>
        <v>31</v>
      </c>
      <c r="AU134" s="1">
        <f t="shared" ca="1" si="111"/>
        <v>271</v>
      </c>
      <c r="AV134" s="1">
        <f t="shared" ca="1" si="112"/>
        <v>6</v>
      </c>
      <c r="AW134" s="1">
        <f t="shared" ca="1" si="113"/>
        <v>0.1416555537544503</v>
      </c>
      <c r="AY134" s="1">
        <f t="shared" ca="1" si="114"/>
        <v>1.575851590608391</v>
      </c>
      <c r="AZ134" s="1">
        <f t="shared" ca="1" si="115"/>
        <v>204</v>
      </c>
      <c r="BA134" s="1">
        <f t="shared" ca="1" si="116"/>
        <v>9.2974384919976109E-3</v>
      </c>
    </row>
    <row r="135" spans="2:53" x14ac:dyDescent="0.25">
      <c r="B135">
        <f t="shared" ca="1" si="78"/>
        <v>307</v>
      </c>
      <c r="C135">
        <f t="shared" ca="1" si="79"/>
        <v>36</v>
      </c>
      <c r="D135">
        <f t="shared" ca="1" si="80"/>
        <v>0.14289248703342319</v>
      </c>
      <c r="F135" s="1">
        <f t="shared" ca="1" si="81"/>
        <v>51</v>
      </c>
      <c r="G135" s="1">
        <f t="shared" ca="1" si="82"/>
        <v>30</v>
      </c>
      <c r="H135" s="1">
        <f t="shared" ca="1" si="83"/>
        <v>13</v>
      </c>
      <c r="I135" s="1"/>
      <c r="J135" s="1">
        <f t="shared" ca="1" si="84"/>
        <v>6</v>
      </c>
      <c r="K135" s="1">
        <f t="shared" ca="1" si="85"/>
        <v>2.5941866677458041</v>
      </c>
      <c r="L135" s="1">
        <f t="shared" ca="1" si="86"/>
        <v>31</v>
      </c>
      <c r="M135" s="1"/>
      <c r="N135" s="1">
        <f t="shared" ca="1" si="87"/>
        <v>424</v>
      </c>
      <c r="O135" s="1">
        <f t="shared" ca="1" si="88"/>
        <v>25</v>
      </c>
      <c r="P135" s="1"/>
      <c r="Q135" s="1">
        <f t="shared" ca="1" si="89"/>
        <v>0.83580976932323503</v>
      </c>
      <c r="R135" s="1">
        <f t="shared" ca="1" si="90"/>
        <v>984</v>
      </c>
      <c r="S135" s="1"/>
      <c r="T135" s="1">
        <f t="shared" ca="1" si="91"/>
        <v>0.13421527902918359</v>
      </c>
      <c r="U135" s="1">
        <f t="shared" ca="1" si="92"/>
        <v>307</v>
      </c>
      <c r="V135" s="1">
        <f t="shared" ca="1" si="93"/>
        <v>29</v>
      </c>
      <c r="W135" s="1"/>
      <c r="X135" s="1">
        <f t="shared" ca="1" si="94"/>
        <v>5.7249524459398362</v>
      </c>
      <c r="Y135" s="1">
        <f t="shared" ca="1" si="95"/>
        <v>0.1038302337335798</v>
      </c>
      <c r="Z135" s="1">
        <f t="shared" ca="1" si="96"/>
        <v>1017</v>
      </c>
      <c r="AB135" s="1">
        <f t="shared" ca="1" si="97"/>
        <v>0.31543023517443525</v>
      </c>
      <c r="AC135" s="1">
        <f t="shared" ca="1" si="98"/>
        <v>890</v>
      </c>
      <c r="AD135" s="1">
        <f t="shared" ca="1" si="99"/>
        <v>8.4299543529509011E-3</v>
      </c>
      <c r="AE135" s="1"/>
      <c r="AF135" s="1">
        <f t="shared" ca="1" si="100"/>
        <v>0.52895430451315517</v>
      </c>
      <c r="AG135" s="1">
        <f t="shared" ca="1" si="101"/>
        <v>953</v>
      </c>
      <c r="AH135" s="1">
        <f t="shared" ca="1" si="102"/>
        <v>9.9724149230142282E-3</v>
      </c>
      <c r="AJ135" s="1">
        <f t="shared" ca="1" si="103"/>
        <v>0.99259107989028261</v>
      </c>
      <c r="AK135" s="1">
        <f t="shared" ca="1" si="104"/>
        <v>6.9155192807204263E-3</v>
      </c>
      <c r="AL135" s="1"/>
      <c r="AM135" s="1">
        <f t="shared" ca="1" si="105"/>
        <v>9.6908655151149575E-3</v>
      </c>
      <c r="AN135" s="1">
        <f t="shared" ca="1" si="106"/>
        <v>17</v>
      </c>
      <c r="AO135" s="1">
        <f t="shared" ca="1" si="107"/>
        <v>10</v>
      </c>
      <c r="AQ135" s="1">
        <f t="shared" ca="1" si="108"/>
        <v>128</v>
      </c>
      <c r="AR135" s="1">
        <f t="shared" ca="1" si="109"/>
        <v>2</v>
      </c>
      <c r="AS135" s="1">
        <f t="shared" ca="1" si="110"/>
        <v>41</v>
      </c>
      <c r="AU135" s="1">
        <f t="shared" ca="1" si="111"/>
        <v>284</v>
      </c>
      <c r="AV135" s="1">
        <f t="shared" ca="1" si="112"/>
        <v>3</v>
      </c>
      <c r="AW135" s="1">
        <f t="shared" ca="1" si="113"/>
        <v>0.19338808168604071</v>
      </c>
      <c r="AY135" s="1">
        <f t="shared" ca="1" si="114"/>
        <v>1.4843897569282567</v>
      </c>
      <c r="AZ135" s="1">
        <f t="shared" ca="1" si="115"/>
        <v>87</v>
      </c>
      <c r="BA135" s="1">
        <f t="shared" ca="1" si="116"/>
        <v>8.8279226102163505E-4</v>
      </c>
    </row>
    <row r="136" spans="2:53" x14ac:dyDescent="0.25">
      <c r="B136">
        <f t="shared" ca="1" si="78"/>
        <v>255</v>
      </c>
      <c r="C136">
        <f t="shared" ca="1" si="79"/>
        <v>2</v>
      </c>
      <c r="D136">
        <f t="shared" ca="1" si="80"/>
        <v>0.25883493052611112</v>
      </c>
      <c r="F136" s="1">
        <f t="shared" ca="1" si="81"/>
        <v>4</v>
      </c>
      <c r="G136" s="1">
        <f t="shared" ca="1" si="82"/>
        <v>8</v>
      </c>
      <c r="H136" s="1">
        <f t="shared" ca="1" si="83"/>
        <v>11</v>
      </c>
      <c r="I136" s="1"/>
      <c r="J136" s="1">
        <f t="shared" ca="1" si="84"/>
        <v>20</v>
      </c>
      <c r="K136" s="1">
        <f t="shared" ca="1" si="85"/>
        <v>2.0526021796147731</v>
      </c>
      <c r="L136" s="1">
        <f t="shared" ca="1" si="86"/>
        <v>11</v>
      </c>
      <c r="M136" s="1"/>
      <c r="N136" s="1">
        <f t="shared" ca="1" si="87"/>
        <v>754</v>
      </c>
      <c r="O136" s="1">
        <f t="shared" ca="1" si="88"/>
        <v>47</v>
      </c>
      <c r="P136" s="1"/>
      <c r="Q136" s="1">
        <f t="shared" ca="1" si="89"/>
        <v>0.4399344677804326</v>
      </c>
      <c r="R136" s="1">
        <f t="shared" ca="1" si="90"/>
        <v>577</v>
      </c>
      <c r="S136" s="1"/>
      <c r="T136" s="1">
        <f t="shared" ca="1" si="91"/>
        <v>0.12635470153281683</v>
      </c>
      <c r="U136" s="1">
        <f t="shared" ca="1" si="92"/>
        <v>155</v>
      </c>
      <c r="V136" s="1">
        <f t="shared" ca="1" si="93"/>
        <v>44</v>
      </c>
      <c r="W136" s="1"/>
      <c r="X136" s="1">
        <f t="shared" ca="1" si="94"/>
        <v>7.3101046924597437</v>
      </c>
      <c r="Y136" s="1">
        <f t="shared" ca="1" si="95"/>
        <v>0.66095292181710541</v>
      </c>
      <c r="Z136" s="1">
        <f t="shared" ca="1" si="96"/>
        <v>1879</v>
      </c>
      <c r="AB136" s="1">
        <f t="shared" ca="1" si="97"/>
        <v>0.66222742824083147</v>
      </c>
      <c r="AC136" s="1">
        <f t="shared" ca="1" si="98"/>
        <v>632</v>
      </c>
      <c r="AD136" s="1">
        <f t="shared" ca="1" si="99"/>
        <v>2.5628826493546415E-3</v>
      </c>
      <c r="AE136" s="1"/>
      <c r="AF136" s="1">
        <f t="shared" ca="1" si="100"/>
        <v>0.2657710623128583</v>
      </c>
      <c r="AG136" s="1">
        <f t="shared" ca="1" si="101"/>
        <v>233</v>
      </c>
      <c r="AH136" s="1">
        <f t="shared" ca="1" si="102"/>
        <v>7.4949304221685808E-3</v>
      </c>
      <c r="AJ136" s="1">
        <f t="shared" ca="1" si="103"/>
        <v>0.61099920611413205</v>
      </c>
      <c r="AK136" s="1">
        <f t="shared" ca="1" si="104"/>
        <v>6.8953993963096916E-3</v>
      </c>
      <c r="AL136" s="1"/>
      <c r="AM136" s="1">
        <f t="shared" ca="1" si="105"/>
        <v>0.1480723327355109</v>
      </c>
      <c r="AN136" s="1">
        <f t="shared" ca="1" si="106"/>
        <v>53</v>
      </c>
      <c r="AO136" s="1">
        <f t="shared" ca="1" si="107"/>
        <v>8</v>
      </c>
      <c r="AQ136" s="1">
        <f t="shared" ca="1" si="108"/>
        <v>133</v>
      </c>
      <c r="AR136" s="1">
        <f t="shared" ca="1" si="109"/>
        <v>4</v>
      </c>
      <c r="AS136" s="1">
        <f t="shared" ca="1" si="110"/>
        <v>7</v>
      </c>
      <c r="AU136" s="1">
        <f t="shared" ca="1" si="111"/>
        <v>155</v>
      </c>
      <c r="AV136" s="1">
        <f t="shared" ca="1" si="112"/>
        <v>6</v>
      </c>
      <c r="AW136" s="1">
        <f t="shared" ca="1" si="113"/>
        <v>8.0577583252063892E-2</v>
      </c>
      <c r="AY136" s="1">
        <f t="shared" ca="1" si="114"/>
        <v>1.8428820984861498</v>
      </c>
      <c r="AZ136" s="1">
        <f t="shared" ca="1" si="115"/>
        <v>126</v>
      </c>
      <c r="BA136" s="1">
        <f t="shared" ca="1" si="116"/>
        <v>3.0361622110189504E-3</v>
      </c>
    </row>
    <row r="137" spans="2:53" x14ac:dyDescent="0.25">
      <c r="B137">
        <f t="shared" ca="1" si="78"/>
        <v>624</v>
      </c>
      <c r="C137">
        <f t="shared" ca="1" si="79"/>
        <v>18</v>
      </c>
      <c r="D137">
        <f t="shared" ca="1" si="80"/>
        <v>0.23062080532289042</v>
      </c>
      <c r="F137" s="1">
        <f t="shared" ca="1" si="81"/>
        <v>51</v>
      </c>
      <c r="G137" s="1">
        <f t="shared" ca="1" si="82"/>
        <v>29</v>
      </c>
      <c r="H137" s="1">
        <f t="shared" ca="1" si="83"/>
        <v>5</v>
      </c>
      <c r="I137" s="1"/>
      <c r="J137" s="1">
        <f t="shared" ca="1" si="84"/>
        <v>8</v>
      </c>
      <c r="K137" s="1">
        <f t="shared" ca="1" si="85"/>
        <v>1.569340469152352</v>
      </c>
      <c r="L137" s="1">
        <f t="shared" ca="1" si="86"/>
        <v>8</v>
      </c>
      <c r="M137" s="1"/>
      <c r="N137" s="1">
        <f t="shared" ca="1" si="87"/>
        <v>958</v>
      </c>
      <c r="O137" s="1">
        <f t="shared" ca="1" si="88"/>
        <v>47</v>
      </c>
      <c r="P137" s="1"/>
      <c r="Q137" s="1">
        <f t="shared" ca="1" si="89"/>
        <v>4.6191982929759901</v>
      </c>
      <c r="R137" s="1">
        <f t="shared" ca="1" si="90"/>
        <v>1049</v>
      </c>
      <c r="S137" s="1"/>
      <c r="T137" s="1">
        <f t="shared" ca="1" si="91"/>
        <v>2.1313146064507928E-2</v>
      </c>
      <c r="U137" s="1">
        <f t="shared" ca="1" si="92"/>
        <v>342</v>
      </c>
      <c r="V137" s="1">
        <f t="shared" ca="1" si="93"/>
        <v>27</v>
      </c>
      <c r="W137" s="1"/>
      <c r="X137" s="1">
        <f t="shared" ca="1" si="94"/>
        <v>4.1784550370671818</v>
      </c>
      <c r="Y137" s="1">
        <f t="shared" ca="1" si="95"/>
        <v>0.33447865002138205</v>
      </c>
      <c r="Z137" s="1">
        <f t="shared" ca="1" si="96"/>
        <v>1598</v>
      </c>
      <c r="AB137" s="1">
        <f t="shared" ca="1" si="97"/>
        <v>0.17978118434103935</v>
      </c>
      <c r="AC137" s="1">
        <f t="shared" ca="1" si="98"/>
        <v>262</v>
      </c>
      <c r="AD137" s="1">
        <f t="shared" ca="1" si="99"/>
        <v>6.2499891625259285E-3</v>
      </c>
      <c r="AE137" s="1"/>
      <c r="AF137" s="1">
        <f t="shared" ca="1" si="100"/>
        <v>0.32278057545527827</v>
      </c>
      <c r="AG137" s="1">
        <f t="shared" ca="1" si="101"/>
        <v>625</v>
      </c>
      <c r="AH137" s="1">
        <f t="shared" ca="1" si="102"/>
        <v>7.3859751063655513E-3</v>
      </c>
      <c r="AJ137" s="1">
        <f t="shared" ca="1" si="103"/>
        <v>0.99680371668802659</v>
      </c>
      <c r="AK137" s="1">
        <f t="shared" ca="1" si="104"/>
        <v>1.4468399155556856E-3</v>
      </c>
      <c r="AL137" s="1"/>
      <c r="AM137" s="1">
        <f t="shared" ca="1" si="105"/>
        <v>8.0518737914462804E-2</v>
      </c>
      <c r="AN137" s="1">
        <f t="shared" ca="1" si="106"/>
        <v>59</v>
      </c>
      <c r="AO137" s="1">
        <f t="shared" ca="1" si="107"/>
        <v>18</v>
      </c>
      <c r="AQ137" s="1">
        <f t="shared" ca="1" si="108"/>
        <v>152</v>
      </c>
      <c r="AR137" s="1">
        <f t="shared" ca="1" si="109"/>
        <v>4</v>
      </c>
      <c r="AS137" s="1">
        <f t="shared" ca="1" si="110"/>
        <v>76</v>
      </c>
      <c r="AU137" s="1">
        <f t="shared" ca="1" si="111"/>
        <v>338</v>
      </c>
      <c r="AV137" s="1">
        <f t="shared" ca="1" si="112"/>
        <v>2</v>
      </c>
      <c r="AW137" s="1">
        <f t="shared" ca="1" si="113"/>
        <v>0.18219426976002831</v>
      </c>
      <c r="AY137" s="1">
        <f t="shared" ca="1" si="114"/>
        <v>1.8006720672505767</v>
      </c>
      <c r="AZ137" s="1">
        <f t="shared" ca="1" si="115"/>
        <v>92</v>
      </c>
      <c r="BA137" s="1">
        <f t="shared" ca="1" si="116"/>
        <v>6.3483815427231071E-3</v>
      </c>
    </row>
    <row r="138" spans="2:53" x14ac:dyDescent="0.25">
      <c r="B138">
        <f t="shared" ca="1" si="78"/>
        <v>667</v>
      </c>
      <c r="C138">
        <f t="shared" ca="1" si="79"/>
        <v>9</v>
      </c>
      <c r="D138">
        <f t="shared" ca="1" si="80"/>
        <v>0.18232390109428104</v>
      </c>
      <c r="F138" s="1">
        <f t="shared" ca="1" si="81"/>
        <v>43</v>
      </c>
      <c r="G138" s="1">
        <f t="shared" ca="1" si="82"/>
        <v>13</v>
      </c>
      <c r="H138" s="1">
        <f t="shared" ca="1" si="83"/>
        <v>7</v>
      </c>
      <c r="I138" s="1"/>
      <c r="J138" s="1">
        <f t="shared" ca="1" si="84"/>
        <v>20</v>
      </c>
      <c r="K138" s="1">
        <f t="shared" ca="1" si="85"/>
        <v>1.9752387369811313</v>
      </c>
      <c r="L138" s="1">
        <f t="shared" ca="1" si="86"/>
        <v>8</v>
      </c>
      <c r="M138" s="1"/>
      <c r="N138" s="1">
        <f t="shared" ca="1" si="87"/>
        <v>270</v>
      </c>
      <c r="O138" s="1">
        <f t="shared" ca="1" si="88"/>
        <v>46</v>
      </c>
      <c r="P138" s="1"/>
      <c r="Q138" s="1">
        <f t="shared" ca="1" si="89"/>
        <v>2.5743468180546341</v>
      </c>
      <c r="R138" s="1">
        <f t="shared" ca="1" si="90"/>
        <v>432</v>
      </c>
      <c r="S138" s="1"/>
      <c r="T138" s="1">
        <f t="shared" ca="1" si="91"/>
        <v>0.11493367235549694</v>
      </c>
      <c r="U138" s="1">
        <f t="shared" ca="1" si="92"/>
        <v>100</v>
      </c>
      <c r="V138" s="1">
        <f t="shared" ca="1" si="93"/>
        <v>30</v>
      </c>
      <c r="W138" s="1"/>
      <c r="X138" s="1">
        <f t="shared" ca="1" si="94"/>
        <v>4.2720146058742525</v>
      </c>
      <c r="Y138" s="1">
        <f t="shared" ca="1" si="95"/>
        <v>0.63301720174393328</v>
      </c>
      <c r="Z138" s="1">
        <f t="shared" ca="1" si="96"/>
        <v>1400</v>
      </c>
      <c r="AB138" s="1">
        <f t="shared" ca="1" si="97"/>
        <v>0.67068138538612532</v>
      </c>
      <c r="AC138" s="1">
        <f t="shared" ca="1" si="98"/>
        <v>479</v>
      </c>
      <c r="AD138" s="1">
        <f t="shared" ca="1" si="99"/>
        <v>1.4673520598315552E-3</v>
      </c>
      <c r="AE138" s="1"/>
      <c r="AF138" s="1">
        <f t="shared" ca="1" si="100"/>
        <v>0.53693054573092558</v>
      </c>
      <c r="AG138" s="1">
        <f t="shared" ca="1" si="101"/>
        <v>711</v>
      </c>
      <c r="AH138" s="1">
        <f t="shared" ca="1" si="102"/>
        <v>2.1411575641376241E-3</v>
      </c>
      <c r="AJ138" s="1">
        <f t="shared" ca="1" si="103"/>
        <v>0.44136530522571915</v>
      </c>
      <c r="AK138" s="1">
        <f t="shared" ca="1" si="104"/>
        <v>9.3388954184044721E-4</v>
      </c>
      <c r="AL138" s="1"/>
      <c r="AM138" s="1">
        <f t="shared" ca="1" si="105"/>
        <v>0.17186442364439569</v>
      </c>
      <c r="AN138" s="1">
        <f t="shared" ca="1" si="106"/>
        <v>53</v>
      </c>
      <c r="AO138" s="1">
        <f t="shared" ca="1" si="107"/>
        <v>11</v>
      </c>
      <c r="AQ138" s="1">
        <f t="shared" ca="1" si="108"/>
        <v>126</v>
      </c>
      <c r="AR138" s="1">
        <f t="shared" ca="1" si="109"/>
        <v>3</v>
      </c>
      <c r="AS138" s="1">
        <f t="shared" ca="1" si="110"/>
        <v>73</v>
      </c>
      <c r="AU138" s="1">
        <f t="shared" ca="1" si="111"/>
        <v>295</v>
      </c>
      <c r="AV138" s="1">
        <f t="shared" ca="1" si="112"/>
        <v>4</v>
      </c>
      <c r="AW138" s="1">
        <f t="shared" ca="1" si="113"/>
        <v>8.7813512746851882E-2</v>
      </c>
      <c r="AY138" s="1">
        <f t="shared" ca="1" si="114"/>
        <v>1.5912363423969547</v>
      </c>
      <c r="AZ138" s="1">
        <f t="shared" ca="1" si="115"/>
        <v>250</v>
      </c>
      <c r="BA138" s="1">
        <f t="shared" ca="1" si="116"/>
        <v>7.9440368784559866E-3</v>
      </c>
    </row>
    <row r="139" spans="2:53" x14ac:dyDescent="0.25">
      <c r="B139">
        <f t="shared" ca="1" si="78"/>
        <v>192</v>
      </c>
      <c r="C139">
        <f t="shared" ca="1" si="79"/>
        <v>44</v>
      </c>
      <c r="D139">
        <f t="shared" ca="1" si="80"/>
        <v>0.13342911070148633</v>
      </c>
      <c r="F139" s="1">
        <f t="shared" ca="1" si="81"/>
        <v>5</v>
      </c>
      <c r="G139" s="1">
        <f t="shared" ca="1" si="82"/>
        <v>29</v>
      </c>
      <c r="H139" s="1">
        <f t="shared" ca="1" si="83"/>
        <v>14</v>
      </c>
      <c r="I139" s="1"/>
      <c r="J139" s="1">
        <f t="shared" ca="1" si="84"/>
        <v>5</v>
      </c>
      <c r="K139" s="1">
        <f t="shared" ca="1" si="85"/>
        <v>1.1658317910522389</v>
      </c>
      <c r="L139" s="1">
        <f t="shared" ca="1" si="86"/>
        <v>27</v>
      </c>
      <c r="M139" s="1"/>
      <c r="N139" s="1">
        <f t="shared" ca="1" si="87"/>
        <v>896</v>
      </c>
      <c r="O139" s="1">
        <f t="shared" ca="1" si="88"/>
        <v>48</v>
      </c>
      <c r="P139" s="1"/>
      <c r="Q139" s="1">
        <f t="shared" ca="1" si="89"/>
        <v>3.7851493983569595</v>
      </c>
      <c r="R139" s="1">
        <f t="shared" ca="1" si="90"/>
        <v>616</v>
      </c>
      <c r="S139" s="1"/>
      <c r="T139" s="1">
        <f t="shared" ca="1" si="91"/>
        <v>0.17004580692542237</v>
      </c>
      <c r="U139" s="1">
        <f t="shared" ca="1" si="92"/>
        <v>315</v>
      </c>
      <c r="V139" s="1">
        <f t="shared" ca="1" si="93"/>
        <v>13</v>
      </c>
      <c r="W139" s="1"/>
      <c r="X139" s="1">
        <f t="shared" ca="1" si="94"/>
        <v>4.1573978585833595</v>
      </c>
      <c r="Y139" s="1">
        <f t="shared" ca="1" si="95"/>
        <v>0.27752898660897102</v>
      </c>
      <c r="Z139" s="1">
        <f t="shared" ca="1" si="96"/>
        <v>692</v>
      </c>
      <c r="AB139" s="1">
        <f t="shared" ca="1" si="97"/>
        <v>0.81423955084688382</v>
      </c>
      <c r="AC139" s="1">
        <f t="shared" ca="1" si="98"/>
        <v>271</v>
      </c>
      <c r="AD139" s="1">
        <f t="shared" ca="1" si="99"/>
        <v>7.097124309813083E-4</v>
      </c>
      <c r="AE139" s="1"/>
      <c r="AF139" s="1">
        <f t="shared" ca="1" si="100"/>
        <v>0.88100994249125009</v>
      </c>
      <c r="AG139" s="1">
        <f t="shared" ca="1" si="101"/>
        <v>581</v>
      </c>
      <c r="AH139" s="1">
        <f t="shared" ca="1" si="102"/>
        <v>2.3321904292179763E-3</v>
      </c>
      <c r="AJ139" s="1">
        <f t="shared" ca="1" si="103"/>
        <v>0.79901792489126755</v>
      </c>
      <c r="AK139" s="1">
        <f t="shared" ca="1" si="104"/>
        <v>1.8923510399760691E-3</v>
      </c>
      <c r="AL139" s="1"/>
      <c r="AM139" s="1">
        <f t="shared" ca="1" si="105"/>
        <v>0.17748762276632532</v>
      </c>
      <c r="AN139" s="1">
        <f t="shared" ca="1" si="106"/>
        <v>70</v>
      </c>
      <c r="AO139" s="1">
        <f t="shared" ca="1" si="107"/>
        <v>9</v>
      </c>
      <c r="AQ139" s="1">
        <f t="shared" ca="1" si="108"/>
        <v>175</v>
      </c>
      <c r="AR139" s="1">
        <f t="shared" ca="1" si="109"/>
        <v>6</v>
      </c>
      <c r="AS139" s="1">
        <f t="shared" ca="1" si="110"/>
        <v>74</v>
      </c>
      <c r="AU139" s="1">
        <f t="shared" ca="1" si="111"/>
        <v>116</v>
      </c>
      <c r="AV139" s="1">
        <f t="shared" ca="1" si="112"/>
        <v>9</v>
      </c>
      <c r="AW139" s="1">
        <f t="shared" ca="1" si="113"/>
        <v>6.0498030582967662E-2</v>
      </c>
      <c r="AY139" s="1">
        <f t="shared" ca="1" si="114"/>
        <v>1.8725776915111507</v>
      </c>
      <c r="AZ139" s="1">
        <f t="shared" ca="1" si="115"/>
        <v>367</v>
      </c>
      <c r="BA139" s="1">
        <f t="shared" ca="1" si="116"/>
        <v>7.2586250137549662E-3</v>
      </c>
    </row>
    <row r="140" spans="2:53" x14ac:dyDescent="0.25">
      <c r="B140">
        <f t="shared" ca="1" si="78"/>
        <v>590</v>
      </c>
      <c r="C140">
        <f t="shared" ca="1" si="79"/>
        <v>16</v>
      </c>
      <c r="D140">
        <f t="shared" ca="1" si="80"/>
        <v>0.25673779773443778</v>
      </c>
      <c r="F140" s="1">
        <f t="shared" ca="1" si="81"/>
        <v>46</v>
      </c>
      <c r="G140" s="1">
        <f t="shared" ca="1" si="82"/>
        <v>8</v>
      </c>
      <c r="H140" s="1">
        <f t="shared" ca="1" si="83"/>
        <v>15</v>
      </c>
      <c r="I140" s="1"/>
      <c r="J140" s="1">
        <f t="shared" ca="1" si="84"/>
        <v>22</v>
      </c>
      <c r="K140" s="1">
        <f t="shared" ca="1" si="85"/>
        <v>1.394466060380394</v>
      </c>
      <c r="L140" s="1">
        <f t="shared" ca="1" si="86"/>
        <v>2</v>
      </c>
      <c r="M140" s="1"/>
      <c r="N140" s="1">
        <f t="shared" ca="1" si="87"/>
        <v>685</v>
      </c>
      <c r="O140" s="1">
        <f t="shared" ca="1" si="88"/>
        <v>30</v>
      </c>
      <c r="P140" s="1"/>
      <c r="Q140" s="1">
        <f t="shared" ca="1" si="89"/>
        <v>0.47840157690300061</v>
      </c>
      <c r="R140" s="1">
        <f t="shared" ca="1" si="90"/>
        <v>1150</v>
      </c>
      <c r="S140" s="1"/>
      <c r="T140" s="1">
        <f t="shared" ca="1" si="91"/>
        <v>0.12594701190646199</v>
      </c>
      <c r="U140" s="1">
        <f t="shared" ca="1" si="92"/>
        <v>309</v>
      </c>
      <c r="V140" s="1">
        <f t="shared" ca="1" si="93"/>
        <v>13</v>
      </c>
      <c r="W140" s="1"/>
      <c r="X140" s="1">
        <f t="shared" ca="1" si="94"/>
        <v>6.5668362543473595</v>
      </c>
      <c r="Y140" s="1">
        <f t="shared" ca="1" si="95"/>
        <v>0.64846421582783376</v>
      </c>
      <c r="Z140" s="1">
        <f t="shared" ca="1" si="96"/>
        <v>1589</v>
      </c>
      <c r="AB140" s="1">
        <f t="shared" ca="1" si="97"/>
        <v>0.79737718154009818</v>
      </c>
      <c r="AC140" s="1">
        <f t="shared" ca="1" si="98"/>
        <v>902</v>
      </c>
      <c r="AD140" s="1">
        <f t="shared" ca="1" si="99"/>
        <v>3.6008064662752809E-4</v>
      </c>
      <c r="AE140" s="1"/>
      <c r="AF140" s="1">
        <f t="shared" ca="1" si="100"/>
        <v>0.45132750306325053</v>
      </c>
      <c r="AG140" s="1">
        <f t="shared" ca="1" si="101"/>
        <v>125</v>
      </c>
      <c r="AH140" s="1">
        <f t="shared" ca="1" si="102"/>
        <v>7.1114054661097978E-3</v>
      </c>
      <c r="AJ140" s="1">
        <f t="shared" ca="1" si="103"/>
        <v>0.81907647162962216</v>
      </c>
      <c r="AK140" s="1">
        <f t="shared" ca="1" si="104"/>
        <v>3.4173253391337345E-4</v>
      </c>
      <c r="AL140" s="1"/>
      <c r="AM140" s="1">
        <f t="shared" ca="1" si="105"/>
        <v>3.4058788826273043E-2</v>
      </c>
      <c r="AN140" s="1">
        <f t="shared" ca="1" si="106"/>
        <v>66</v>
      </c>
      <c r="AO140" s="1">
        <f t="shared" ca="1" si="107"/>
        <v>2</v>
      </c>
      <c r="AQ140" s="1">
        <f t="shared" ca="1" si="108"/>
        <v>105</v>
      </c>
      <c r="AR140" s="1">
        <f t="shared" ca="1" si="109"/>
        <v>3</v>
      </c>
      <c r="AS140" s="1">
        <f t="shared" ca="1" si="110"/>
        <v>94</v>
      </c>
      <c r="AU140" s="1">
        <f t="shared" ca="1" si="111"/>
        <v>121</v>
      </c>
      <c r="AV140" s="1">
        <f t="shared" ca="1" si="112"/>
        <v>9</v>
      </c>
      <c r="AW140" s="1">
        <f t="shared" ca="1" si="113"/>
        <v>5.8398551837097884E-2</v>
      </c>
      <c r="AY140" s="1">
        <f t="shared" ca="1" si="114"/>
        <v>1.7891568189179456</v>
      </c>
      <c r="AZ140" s="1">
        <f t="shared" ca="1" si="115"/>
        <v>172</v>
      </c>
      <c r="BA140" s="1">
        <f t="shared" ca="1" si="116"/>
        <v>1.1761880537940082E-3</v>
      </c>
    </row>
    <row r="141" spans="2:53" x14ac:dyDescent="0.25">
      <c r="B141">
        <f t="shared" ca="1" si="78"/>
        <v>28</v>
      </c>
      <c r="C141">
        <f t="shared" ca="1" si="79"/>
        <v>2</v>
      </c>
      <c r="D141">
        <f t="shared" ca="1" si="80"/>
        <v>0.1755455526104463</v>
      </c>
      <c r="F141" s="1">
        <f t="shared" ca="1" si="81"/>
        <v>7</v>
      </c>
      <c r="G141" s="1">
        <f t="shared" ca="1" si="82"/>
        <v>12</v>
      </c>
      <c r="H141" s="1">
        <f t="shared" ca="1" si="83"/>
        <v>4</v>
      </c>
      <c r="I141" s="1"/>
      <c r="J141" s="1">
        <f t="shared" ca="1" si="84"/>
        <v>19</v>
      </c>
      <c r="K141" s="1">
        <f t="shared" ca="1" si="85"/>
        <v>2.5059983845439522</v>
      </c>
      <c r="L141" s="1">
        <f t="shared" ca="1" si="86"/>
        <v>11</v>
      </c>
      <c r="M141" s="1"/>
      <c r="N141" s="1">
        <f t="shared" ca="1" si="87"/>
        <v>109</v>
      </c>
      <c r="O141" s="1">
        <f t="shared" ca="1" si="88"/>
        <v>50</v>
      </c>
      <c r="P141" s="1"/>
      <c r="Q141" s="1">
        <f t="shared" ca="1" si="89"/>
        <v>3.1154723685120693</v>
      </c>
      <c r="R141" s="1">
        <f t="shared" ca="1" si="90"/>
        <v>882</v>
      </c>
      <c r="S141" s="1"/>
      <c r="T141" s="1">
        <f t="shared" ca="1" si="91"/>
        <v>4.7685451029540117E-2</v>
      </c>
      <c r="U141" s="1">
        <f t="shared" ca="1" si="92"/>
        <v>283</v>
      </c>
      <c r="V141" s="1">
        <f t="shared" ca="1" si="93"/>
        <v>51</v>
      </c>
      <c r="W141" s="1"/>
      <c r="X141" s="1">
        <f t="shared" ca="1" si="94"/>
        <v>5.7857147310270083</v>
      </c>
      <c r="Y141" s="1">
        <f t="shared" ca="1" si="95"/>
        <v>0.28054208641958239</v>
      </c>
      <c r="Z141" s="1">
        <f t="shared" ca="1" si="96"/>
        <v>1169</v>
      </c>
      <c r="AB141" s="1">
        <f t="shared" ca="1" si="97"/>
        <v>0.66933192999576985</v>
      </c>
      <c r="AC141" s="1">
        <f t="shared" ca="1" si="98"/>
        <v>635</v>
      </c>
      <c r="AD141" s="1">
        <f t="shared" ca="1" si="99"/>
        <v>6.4471274849059379E-3</v>
      </c>
      <c r="AE141" s="1"/>
      <c r="AF141" s="1">
        <f t="shared" ca="1" si="100"/>
        <v>0.84647807957288546</v>
      </c>
      <c r="AG141" s="1">
        <f t="shared" ca="1" si="101"/>
        <v>881</v>
      </c>
      <c r="AH141" s="1">
        <f t="shared" ca="1" si="102"/>
        <v>2.4018908962293297E-3</v>
      </c>
      <c r="AJ141" s="1">
        <f t="shared" ca="1" si="103"/>
        <v>0.82965091149763104</v>
      </c>
      <c r="AK141" s="1">
        <f t="shared" ca="1" si="104"/>
        <v>8.9310349425613875E-3</v>
      </c>
      <c r="AL141" s="1"/>
      <c r="AM141" s="1">
        <f t="shared" ca="1" si="105"/>
        <v>0.17589331170422157</v>
      </c>
      <c r="AN141" s="1">
        <f t="shared" ca="1" si="106"/>
        <v>44</v>
      </c>
      <c r="AO141" s="1">
        <f t="shared" ca="1" si="107"/>
        <v>0</v>
      </c>
      <c r="AQ141" s="1">
        <f t="shared" ca="1" si="108"/>
        <v>36</v>
      </c>
      <c r="AR141" s="1">
        <f t="shared" ca="1" si="109"/>
        <v>10</v>
      </c>
      <c r="AS141" s="1">
        <f t="shared" ca="1" si="110"/>
        <v>14</v>
      </c>
      <c r="AU141" s="1">
        <f t="shared" ca="1" si="111"/>
        <v>357</v>
      </c>
      <c r="AV141" s="1">
        <f t="shared" ca="1" si="112"/>
        <v>6</v>
      </c>
      <c r="AW141" s="1">
        <f t="shared" ca="1" si="113"/>
        <v>8.8774937159735168E-2</v>
      </c>
      <c r="AY141" s="1">
        <f t="shared" ca="1" si="114"/>
        <v>1.3554093421972748</v>
      </c>
      <c r="AZ141" s="1">
        <f t="shared" ca="1" si="115"/>
        <v>217</v>
      </c>
      <c r="BA141" s="1">
        <f t="shared" ca="1" si="116"/>
        <v>4.8962126686151906E-3</v>
      </c>
    </row>
    <row r="142" spans="2:53" x14ac:dyDescent="0.25">
      <c r="B142">
        <f t="shared" ca="1" si="78"/>
        <v>504</v>
      </c>
      <c r="C142">
        <f t="shared" ca="1" si="79"/>
        <v>22</v>
      </c>
      <c r="D142">
        <f t="shared" ca="1" si="80"/>
        <v>0.14038723429592395</v>
      </c>
      <c r="F142" s="1">
        <f t="shared" ca="1" si="81"/>
        <v>5</v>
      </c>
      <c r="G142" s="1">
        <f t="shared" ca="1" si="82"/>
        <v>25</v>
      </c>
      <c r="H142" s="1">
        <f t="shared" ca="1" si="83"/>
        <v>4</v>
      </c>
      <c r="I142" s="1"/>
      <c r="J142" s="1">
        <f t="shared" ca="1" si="84"/>
        <v>10</v>
      </c>
      <c r="K142" s="1">
        <f t="shared" ca="1" si="85"/>
        <v>1.0128985503274963</v>
      </c>
      <c r="L142" s="1">
        <f t="shared" ca="1" si="86"/>
        <v>15</v>
      </c>
      <c r="M142" s="1"/>
      <c r="N142" s="1">
        <f t="shared" ca="1" si="87"/>
        <v>61</v>
      </c>
      <c r="O142" s="1">
        <f t="shared" ca="1" si="88"/>
        <v>6</v>
      </c>
      <c r="P142" s="1"/>
      <c r="Q142" s="1">
        <f t="shared" ca="1" si="89"/>
        <v>2.0066194672873898</v>
      </c>
      <c r="R142" s="1">
        <f t="shared" ca="1" si="90"/>
        <v>598</v>
      </c>
      <c r="S142" s="1"/>
      <c r="T142" s="1">
        <f t="shared" ca="1" si="91"/>
        <v>8.6414505154937787E-2</v>
      </c>
      <c r="U142" s="1">
        <f t="shared" ca="1" si="92"/>
        <v>356</v>
      </c>
      <c r="V142" s="1">
        <f t="shared" ca="1" si="93"/>
        <v>14</v>
      </c>
      <c r="W142" s="1"/>
      <c r="X142" s="1">
        <f t="shared" ca="1" si="94"/>
        <v>6.9267008110778701</v>
      </c>
      <c r="Y142" s="1">
        <f t="shared" ca="1" si="95"/>
        <v>0.1448766042070383</v>
      </c>
      <c r="Z142" s="1">
        <f t="shared" ca="1" si="96"/>
        <v>1522</v>
      </c>
      <c r="AB142" s="1">
        <f t="shared" ca="1" si="97"/>
        <v>0.35338633981943968</v>
      </c>
      <c r="AC142" s="1">
        <f t="shared" ca="1" si="98"/>
        <v>199</v>
      </c>
      <c r="AD142" s="1">
        <f t="shared" ca="1" si="99"/>
        <v>6.2637104086704035E-4</v>
      </c>
      <c r="AE142" s="1"/>
      <c r="AF142" s="1">
        <f t="shared" ca="1" si="100"/>
        <v>0.79290862316297339</v>
      </c>
      <c r="AG142" s="1">
        <f t="shared" ca="1" si="101"/>
        <v>781</v>
      </c>
      <c r="AH142" s="1">
        <f t="shared" ca="1" si="102"/>
        <v>4.5670333835273851E-3</v>
      </c>
      <c r="AJ142" s="1">
        <f t="shared" ca="1" si="103"/>
        <v>0.47254060965296496</v>
      </c>
      <c r="AK142" s="1">
        <f t="shared" ca="1" si="104"/>
        <v>1.1709289182471156E-3</v>
      </c>
      <c r="AL142" s="1"/>
      <c r="AM142" s="1">
        <f t="shared" ca="1" si="105"/>
        <v>0.17120622188049775</v>
      </c>
      <c r="AN142" s="1">
        <f t="shared" ca="1" si="106"/>
        <v>27</v>
      </c>
      <c r="AO142" s="1">
        <f t="shared" ca="1" si="107"/>
        <v>19</v>
      </c>
      <c r="AQ142" s="1">
        <f t="shared" ca="1" si="108"/>
        <v>183</v>
      </c>
      <c r="AR142" s="1">
        <f t="shared" ca="1" si="109"/>
        <v>8</v>
      </c>
      <c r="AS142" s="1">
        <f t="shared" ca="1" si="110"/>
        <v>90</v>
      </c>
      <c r="AU142" s="1">
        <f t="shared" ca="1" si="111"/>
        <v>95</v>
      </c>
      <c r="AV142" s="1">
        <f t="shared" ca="1" si="112"/>
        <v>2</v>
      </c>
      <c r="AW142" s="1">
        <f t="shared" ca="1" si="113"/>
        <v>0.10234012504843698</v>
      </c>
      <c r="AY142" s="1">
        <f t="shared" ca="1" si="114"/>
        <v>1.2300426110133889</v>
      </c>
      <c r="AZ142" s="1">
        <f t="shared" ca="1" si="115"/>
        <v>437</v>
      </c>
      <c r="BA142" s="1">
        <f t="shared" ca="1" si="116"/>
        <v>1.9023731416081645E-4</v>
      </c>
    </row>
    <row r="143" spans="2:53" x14ac:dyDescent="0.25">
      <c r="B143">
        <f t="shared" ca="1" si="78"/>
        <v>421</v>
      </c>
      <c r="C143">
        <f t="shared" ca="1" si="79"/>
        <v>49</v>
      </c>
      <c r="D143">
        <f t="shared" ca="1" si="80"/>
        <v>0.11373681174067003</v>
      </c>
      <c r="F143" s="1">
        <f t="shared" ca="1" si="81"/>
        <v>13</v>
      </c>
      <c r="G143" s="1">
        <f t="shared" ca="1" si="82"/>
        <v>9</v>
      </c>
      <c r="H143" s="1">
        <f t="shared" ca="1" si="83"/>
        <v>1</v>
      </c>
      <c r="I143" s="1"/>
      <c r="J143" s="1">
        <f t="shared" ca="1" si="84"/>
        <v>17</v>
      </c>
      <c r="K143" s="1">
        <f t="shared" ca="1" si="85"/>
        <v>1.6486379360806598</v>
      </c>
      <c r="L143" s="1">
        <f t="shared" ca="1" si="86"/>
        <v>4</v>
      </c>
      <c r="M143" s="1"/>
      <c r="N143" s="1">
        <f t="shared" ca="1" si="87"/>
        <v>288</v>
      </c>
      <c r="O143" s="1">
        <f t="shared" ca="1" si="88"/>
        <v>45</v>
      </c>
      <c r="P143" s="1"/>
      <c r="Q143" s="1">
        <f t="shared" ca="1" si="89"/>
        <v>1.6453388661381867</v>
      </c>
      <c r="R143" s="1">
        <f t="shared" ca="1" si="90"/>
        <v>502</v>
      </c>
      <c r="S143" s="1"/>
      <c r="T143" s="1">
        <f t="shared" ca="1" si="91"/>
        <v>0.10867178322193853</v>
      </c>
      <c r="U143" s="1">
        <f t="shared" ca="1" si="92"/>
        <v>136</v>
      </c>
      <c r="V143" s="1">
        <f t="shared" ca="1" si="93"/>
        <v>39</v>
      </c>
      <c r="W143" s="1"/>
      <c r="X143" s="1">
        <f t="shared" ca="1" si="94"/>
        <v>4.9113440270792852</v>
      </c>
      <c r="Y143" s="1">
        <f t="shared" ca="1" si="95"/>
        <v>0.63170915206294742</v>
      </c>
      <c r="Z143" s="1">
        <f t="shared" ca="1" si="96"/>
        <v>471</v>
      </c>
      <c r="AB143" s="1">
        <f t="shared" ca="1" si="97"/>
        <v>4.7616683683468004E-2</v>
      </c>
      <c r="AC143" s="1">
        <f t="shared" ca="1" si="98"/>
        <v>584</v>
      </c>
      <c r="AD143" s="1">
        <f t="shared" ca="1" si="99"/>
        <v>9.3508403613468492E-3</v>
      </c>
      <c r="AE143" s="1"/>
      <c r="AF143" s="1">
        <f t="shared" ca="1" si="100"/>
        <v>0.57592434472875309</v>
      </c>
      <c r="AG143" s="1">
        <f t="shared" ca="1" si="101"/>
        <v>928</v>
      </c>
      <c r="AH143" s="1">
        <f t="shared" ca="1" si="102"/>
        <v>4.8020741753002343E-3</v>
      </c>
      <c r="AJ143" s="1">
        <f t="shared" ca="1" si="103"/>
        <v>0.46884910519174805</v>
      </c>
      <c r="AK143" s="1">
        <f t="shared" ca="1" si="104"/>
        <v>7.2161219686752852E-4</v>
      </c>
      <c r="AL143" s="1"/>
      <c r="AM143" s="1">
        <f t="shared" ca="1" si="105"/>
        <v>0.18657067192151106</v>
      </c>
      <c r="AN143" s="1">
        <f t="shared" ca="1" si="106"/>
        <v>78</v>
      </c>
      <c r="AO143" s="1">
        <f t="shared" ca="1" si="107"/>
        <v>-1</v>
      </c>
      <c r="AQ143" s="1">
        <f t="shared" ca="1" si="108"/>
        <v>159</v>
      </c>
      <c r="AR143" s="1">
        <f t="shared" ca="1" si="109"/>
        <v>7</v>
      </c>
      <c r="AS143" s="1">
        <f t="shared" ca="1" si="110"/>
        <v>26</v>
      </c>
      <c r="AU143" s="1">
        <f t="shared" ca="1" si="111"/>
        <v>303</v>
      </c>
      <c r="AV143" s="1">
        <f t="shared" ca="1" si="112"/>
        <v>7</v>
      </c>
      <c r="AW143" s="1">
        <f t="shared" ca="1" si="113"/>
        <v>2.1417878321653313E-2</v>
      </c>
      <c r="AY143" s="1">
        <f t="shared" ca="1" si="114"/>
        <v>1.6116703313793994</v>
      </c>
      <c r="AZ143" s="1">
        <f t="shared" ca="1" si="115"/>
        <v>440</v>
      </c>
      <c r="BA143" s="1">
        <f t="shared" ca="1" si="116"/>
        <v>7.8841118304170416E-3</v>
      </c>
    </row>
    <row r="144" spans="2:53" x14ac:dyDescent="0.25">
      <c r="B144">
        <f t="shared" ca="1" si="78"/>
        <v>612</v>
      </c>
      <c r="C144">
        <f t="shared" ca="1" si="79"/>
        <v>13</v>
      </c>
      <c r="D144">
        <f t="shared" ca="1" si="80"/>
        <v>0.20408724439981596</v>
      </c>
      <c r="F144" s="1">
        <f t="shared" ca="1" si="81"/>
        <v>12</v>
      </c>
      <c r="G144" s="1">
        <f t="shared" ca="1" si="82"/>
        <v>19</v>
      </c>
      <c r="H144" s="1">
        <f t="shared" ca="1" si="83"/>
        <v>13</v>
      </c>
      <c r="I144" s="1"/>
      <c r="J144" s="1">
        <f t="shared" ca="1" si="84"/>
        <v>23</v>
      </c>
      <c r="K144" s="1">
        <f t="shared" ca="1" si="85"/>
        <v>2.2250433720574745</v>
      </c>
      <c r="L144" s="1">
        <f t="shared" ca="1" si="86"/>
        <v>34</v>
      </c>
      <c r="M144" s="1"/>
      <c r="N144" s="1">
        <f t="shared" ca="1" si="87"/>
        <v>162</v>
      </c>
      <c r="O144" s="1">
        <f t="shared" ca="1" si="88"/>
        <v>39</v>
      </c>
      <c r="P144" s="1"/>
      <c r="Q144" s="1">
        <f t="shared" ca="1" si="89"/>
        <v>1.1797023373723188</v>
      </c>
      <c r="R144" s="1">
        <f t="shared" ca="1" si="90"/>
        <v>256</v>
      </c>
      <c r="S144" s="1"/>
      <c r="T144" s="1">
        <f t="shared" ca="1" si="91"/>
        <v>0.15391453393529875</v>
      </c>
      <c r="U144" s="1">
        <f t="shared" ca="1" si="92"/>
        <v>373</v>
      </c>
      <c r="V144" s="1">
        <f t="shared" ca="1" si="93"/>
        <v>25</v>
      </c>
      <c r="W144" s="1"/>
      <c r="X144" s="1">
        <f t="shared" ca="1" si="94"/>
        <v>8.6494189176111771</v>
      </c>
      <c r="Y144" s="1">
        <f t="shared" ca="1" si="95"/>
        <v>0.67373407394828033</v>
      </c>
      <c r="Z144" s="1">
        <f t="shared" ca="1" si="96"/>
        <v>1526</v>
      </c>
      <c r="AB144" s="1">
        <f t="shared" ca="1" si="97"/>
        <v>4.451016262375812E-2</v>
      </c>
      <c r="AC144" s="1">
        <f t="shared" ca="1" si="98"/>
        <v>632</v>
      </c>
      <c r="AD144" s="1">
        <f t="shared" ca="1" si="99"/>
        <v>1.5255335846477396E-3</v>
      </c>
      <c r="AE144" s="1"/>
      <c r="AF144" s="1">
        <f t="shared" ca="1" si="100"/>
        <v>0.69287120604918173</v>
      </c>
      <c r="AG144" s="1">
        <f t="shared" ca="1" si="101"/>
        <v>429</v>
      </c>
      <c r="AH144" s="1">
        <f t="shared" ca="1" si="102"/>
        <v>4.3692432447341358E-3</v>
      </c>
      <c r="AJ144" s="1">
        <f t="shared" ca="1" si="103"/>
        <v>7.0869571824627053E-2</v>
      </c>
      <c r="AK144" s="1">
        <f t="shared" ca="1" si="104"/>
        <v>6.3578728602533422E-3</v>
      </c>
      <c r="AL144" s="1"/>
      <c r="AM144" s="1">
        <f t="shared" ca="1" si="105"/>
        <v>1.924521467203337E-2</v>
      </c>
      <c r="AN144" s="1">
        <f t="shared" ca="1" si="106"/>
        <v>11</v>
      </c>
      <c r="AO144" s="1">
        <f t="shared" ca="1" si="107"/>
        <v>12</v>
      </c>
      <c r="AQ144" s="1">
        <f t="shared" ca="1" si="108"/>
        <v>42</v>
      </c>
      <c r="AR144" s="1">
        <f t="shared" ca="1" si="109"/>
        <v>8</v>
      </c>
      <c r="AS144" s="1">
        <f t="shared" ca="1" si="110"/>
        <v>55</v>
      </c>
      <c r="AU144" s="1">
        <f t="shared" ca="1" si="111"/>
        <v>123</v>
      </c>
      <c r="AV144" s="1">
        <f t="shared" ca="1" si="112"/>
        <v>3</v>
      </c>
      <c r="AW144" s="1">
        <f t="shared" ca="1" si="113"/>
        <v>4.7720941488981934E-2</v>
      </c>
      <c r="AY144" s="1">
        <f t="shared" ca="1" si="114"/>
        <v>1.1665641641283442</v>
      </c>
      <c r="AZ144" s="1">
        <f t="shared" ca="1" si="115"/>
        <v>434</v>
      </c>
      <c r="BA144" s="1">
        <f t="shared" ca="1" si="116"/>
        <v>6.4422974750835861E-5</v>
      </c>
    </row>
    <row r="145" spans="2:53" x14ac:dyDescent="0.25">
      <c r="B145">
        <f t="shared" ca="1" si="78"/>
        <v>727</v>
      </c>
      <c r="C145">
        <f t="shared" ca="1" si="79"/>
        <v>49</v>
      </c>
      <c r="D145">
        <f t="shared" ca="1" si="80"/>
        <v>0.11114487445013788</v>
      </c>
      <c r="F145" s="1">
        <f t="shared" ca="1" si="81"/>
        <v>52</v>
      </c>
      <c r="G145" s="1">
        <f t="shared" ca="1" si="82"/>
        <v>10</v>
      </c>
      <c r="H145" s="1">
        <f t="shared" ca="1" si="83"/>
        <v>7</v>
      </c>
      <c r="I145" s="1"/>
      <c r="J145" s="1">
        <f t="shared" ca="1" si="84"/>
        <v>29</v>
      </c>
      <c r="K145" s="1">
        <f t="shared" ca="1" si="85"/>
        <v>1.8060318278492118</v>
      </c>
      <c r="L145" s="1">
        <f t="shared" ca="1" si="86"/>
        <v>4</v>
      </c>
      <c r="M145" s="1"/>
      <c r="N145" s="1">
        <f t="shared" ca="1" si="87"/>
        <v>153</v>
      </c>
      <c r="O145" s="1">
        <f t="shared" ca="1" si="88"/>
        <v>52</v>
      </c>
      <c r="P145" s="1"/>
      <c r="Q145" s="1">
        <f t="shared" ca="1" si="89"/>
        <v>1.9036040803166143</v>
      </c>
      <c r="R145" s="1">
        <f t="shared" ca="1" si="90"/>
        <v>632</v>
      </c>
      <c r="S145" s="1"/>
      <c r="T145" s="1">
        <f t="shared" ca="1" si="91"/>
        <v>2.5164421810190359E-2</v>
      </c>
      <c r="U145" s="1">
        <f t="shared" ca="1" si="92"/>
        <v>345</v>
      </c>
      <c r="V145" s="1">
        <f t="shared" ca="1" si="93"/>
        <v>42</v>
      </c>
      <c r="W145" s="1"/>
      <c r="X145" s="1">
        <f t="shared" ca="1" si="94"/>
        <v>6.6082651853537344</v>
      </c>
      <c r="Y145" s="1">
        <f t="shared" ca="1" si="95"/>
        <v>0.50734536839597422</v>
      </c>
      <c r="Z145" s="1">
        <f t="shared" ca="1" si="96"/>
        <v>758</v>
      </c>
      <c r="AB145" s="1">
        <f t="shared" ca="1" si="97"/>
        <v>0.67439313841403981</v>
      </c>
      <c r="AC145" s="1">
        <f t="shared" ca="1" si="98"/>
        <v>178</v>
      </c>
      <c r="AD145" s="1">
        <f t="shared" ca="1" si="99"/>
        <v>9.1459910814540319E-3</v>
      </c>
      <c r="AE145" s="1"/>
      <c r="AF145" s="1">
        <f t="shared" ca="1" si="100"/>
        <v>0.47897568469534579</v>
      </c>
      <c r="AG145" s="1">
        <f t="shared" ca="1" si="101"/>
        <v>811</v>
      </c>
      <c r="AH145" s="1">
        <f t="shared" ca="1" si="102"/>
        <v>4.5384172248021997E-3</v>
      </c>
      <c r="AJ145" s="1">
        <f t="shared" ca="1" si="103"/>
        <v>0.64206557977462486</v>
      </c>
      <c r="AK145" s="1">
        <f t="shared" ca="1" si="104"/>
        <v>8.8480403566965104E-4</v>
      </c>
      <c r="AL145" s="1"/>
      <c r="AM145" s="1">
        <f t="shared" ca="1" si="105"/>
        <v>4.5259374253982132E-2</v>
      </c>
      <c r="AN145" s="1">
        <f t="shared" ca="1" si="106"/>
        <v>30</v>
      </c>
      <c r="AO145" s="1">
        <f t="shared" ca="1" si="107"/>
        <v>2</v>
      </c>
      <c r="AQ145" s="1">
        <f t="shared" ca="1" si="108"/>
        <v>29</v>
      </c>
      <c r="AR145" s="1">
        <f t="shared" ca="1" si="109"/>
        <v>9</v>
      </c>
      <c r="AS145" s="1">
        <f t="shared" ca="1" si="110"/>
        <v>16</v>
      </c>
      <c r="AU145" s="1">
        <f t="shared" ca="1" si="111"/>
        <v>377</v>
      </c>
      <c r="AV145" s="1">
        <f t="shared" ca="1" si="112"/>
        <v>6</v>
      </c>
      <c r="AW145" s="1">
        <f t="shared" ca="1" si="113"/>
        <v>7.4994020783050078E-2</v>
      </c>
      <c r="AY145" s="1">
        <f t="shared" ca="1" si="114"/>
        <v>1.4504850774981215</v>
      </c>
      <c r="AZ145" s="1">
        <f t="shared" ca="1" si="115"/>
        <v>440</v>
      </c>
      <c r="BA145" s="1">
        <f t="shared" ca="1" si="116"/>
        <v>9.0552259940725726E-3</v>
      </c>
    </row>
    <row r="146" spans="2:53" x14ac:dyDescent="0.25">
      <c r="B146">
        <f t="shared" ca="1" si="78"/>
        <v>419</v>
      </c>
      <c r="C146">
        <f t="shared" ca="1" si="79"/>
        <v>17</v>
      </c>
      <c r="D146">
        <f t="shared" ca="1" si="80"/>
        <v>0.21761605150860508</v>
      </c>
      <c r="F146" s="1">
        <f t="shared" ca="1" si="81"/>
        <v>3</v>
      </c>
      <c r="G146" s="1">
        <f t="shared" ca="1" si="82"/>
        <v>12</v>
      </c>
      <c r="H146" s="1">
        <f t="shared" ca="1" si="83"/>
        <v>15</v>
      </c>
      <c r="I146" s="1"/>
      <c r="J146" s="1">
        <f t="shared" ca="1" si="84"/>
        <v>22</v>
      </c>
      <c r="K146" s="1">
        <f t="shared" ca="1" si="85"/>
        <v>1.4799824642191708</v>
      </c>
      <c r="L146" s="1">
        <f t="shared" ca="1" si="86"/>
        <v>23</v>
      </c>
      <c r="M146" s="1"/>
      <c r="N146" s="1">
        <f t="shared" ca="1" si="87"/>
        <v>344</v>
      </c>
      <c r="O146" s="1">
        <f t="shared" ca="1" si="88"/>
        <v>33</v>
      </c>
      <c r="P146" s="1"/>
      <c r="Q146" s="1">
        <f t="shared" ca="1" si="89"/>
        <v>2.0289594642743554</v>
      </c>
      <c r="R146" s="1">
        <f t="shared" ca="1" si="90"/>
        <v>441</v>
      </c>
      <c r="S146" s="1"/>
      <c r="T146" s="1">
        <f t="shared" ca="1" si="91"/>
        <v>9.2411691635617729E-2</v>
      </c>
      <c r="U146" s="1">
        <f t="shared" ca="1" si="92"/>
        <v>80</v>
      </c>
      <c r="V146" s="1">
        <f t="shared" ca="1" si="93"/>
        <v>23</v>
      </c>
      <c r="W146" s="1"/>
      <c r="X146" s="1">
        <f t="shared" ca="1" si="94"/>
        <v>2.5654625302144001</v>
      </c>
      <c r="Y146" s="1">
        <f t="shared" ca="1" si="95"/>
        <v>0.40814020769925868</v>
      </c>
      <c r="Z146" s="1">
        <f t="shared" ca="1" si="96"/>
        <v>1693</v>
      </c>
      <c r="AB146" s="1">
        <f t="shared" ca="1" si="97"/>
        <v>0.52632926094634125</v>
      </c>
      <c r="AC146" s="1">
        <f t="shared" ca="1" si="98"/>
        <v>945</v>
      </c>
      <c r="AD146" s="1">
        <f t="shared" ca="1" si="99"/>
        <v>9.1838294927962805E-3</v>
      </c>
      <c r="AE146" s="1"/>
      <c r="AF146" s="1">
        <f t="shared" ca="1" si="100"/>
        <v>0.53742619638787081</v>
      </c>
      <c r="AG146" s="1">
        <f t="shared" ca="1" si="101"/>
        <v>391</v>
      </c>
      <c r="AH146" s="1">
        <f t="shared" ca="1" si="102"/>
        <v>9.6545745648585254E-3</v>
      </c>
      <c r="AJ146" s="1">
        <f t="shared" ca="1" si="103"/>
        <v>0.38888399158871334</v>
      </c>
      <c r="AK146" s="1">
        <f t="shared" ca="1" si="104"/>
        <v>8.8146507146365932E-3</v>
      </c>
      <c r="AL146" s="1"/>
      <c r="AM146" s="1">
        <f t="shared" ca="1" si="105"/>
        <v>3.811686779893652E-2</v>
      </c>
      <c r="AN146" s="1">
        <f t="shared" ca="1" si="106"/>
        <v>68</v>
      </c>
      <c r="AO146" s="1">
        <f t="shared" ca="1" si="107"/>
        <v>14</v>
      </c>
      <c r="AQ146" s="1">
        <f t="shared" ca="1" si="108"/>
        <v>12</v>
      </c>
      <c r="AR146" s="1">
        <f t="shared" ca="1" si="109"/>
        <v>1</v>
      </c>
      <c r="AS146" s="1">
        <f t="shared" ca="1" si="110"/>
        <v>52</v>
      </c>
      <c r="AU146" s="1">
        <f t="shared" ca="1" si="111"/>
        <v>98</v>
      </c>
      <c r="AV146" s="1">
        <f t="shared" ca="1" si="112"/>
        <v>4</v>
      </c>
      <c r="AW146" s="1">
        <f t="shared" ca="1" si="113"/>
        <v>0.10546999626441309</v>
      </c>
      <c r="AY146" s="1">
        <f t="shared" ca="1" si="114"/>
        <v>1.664447060287066</v>
      </c>
      <c r="AZ146" s="1">
        <f t="shared" ca="1" si="115"/>
        <v>400</v>
      </c>
      <c r="BA146" s="1">
        <f t="shared" ca="1" si="116"/>
        <v>2.7100180683262407E-3</v>
      </c>
    </row>
    <row r="147" spans="2:53" x14ac:dyDescent="0.25">
      <c r="B147">
        <f t="shared" ca="1" si="78"/>
        <v>702</v>
      </c>
      <c r="C147">
        <f t="shared" ca="1" si="79"/>
        <v>10</v>
      </c>
      <c r="D147">
        <f t="shared" ca="1" si="80"/>
        <v>0.23123470981302061</v>
      </c>
      <c r="F147" s="1">
        <f t="shared" ca="1" si="81"/>
        <v>14</v>
      </c>
      <c r="G147" s="1">
        <f t="shared" ca="1" si="82"/>
        <v>13</v>
      </c>
      <c r="H147" s="1">
        <f t="shared" ca="1" si="83"/>
        <v>6</v>
      </c>
      <c r="I147" s="1"/>
      <c r="J147" s="1">
        <f t="shared" ca="1" si="84"/>
        <v>3</v>
      </c>
      <c r="K147" s="1">
        <f t="shared" ca="1" si="85"/>
        <v>2.8662200616513394</v>
      </c>
      <c r="L147" s="1">
        <f t="shared" ca="1" si="86"/>
        <v>6</v>
      </c>
      <c r="M147" s="1"/>
      <c r="N147" s="1">
        <f t="shared" ca="1" si="87"/>
        <v>181</v>
      </c>
      <c r="O147" s="1">
        <f t="shared" ca="1" si="88"/>
        <v>30</v>
      </c>
      <c r="P147" s="1"/>
      <c r="Q147" s="1">
        <f t="shared" ca="1" si="89"/>
        <v>3.7649244295111219</v>
      </c>
      <c r="R147" s="1">
        <f t="shared" ca="1" si="90"/>
        <v>1156</v>
      </c>
      <c r="S147" s="1"/>
      <c r="T147" s="1">
        <f t="shared" ca="1" si="91"/>
        <v>6.3792408474810935E-2</v>
      </c>
      <c r="U147" s="1">
        <f t="shared" ca="1" si="92"/>
        <v>116</v>
      </c>
      <c r="V147" s="1">
        <f t="shared" ca="1" si="93"/>
        <v>49</v>
      </c>
      <c r="W147" s="1"/>
      <c r="X147" s="1">
        <f t="shared" ca="1" si="94"/>
        <v>4.3877580331895203</v>
      </c>
      <c r="Y147" s="1">
        <f t="shared" ca="1" si="95"/>
        <v>0.46073397623238338</v>
      </c>
      <c r="Z147" s="1">
        <f t="shared" ca="1" si="96"/>
        <v>1719</v>
      </c>
      <c r="AB147" s="1">
        <f t="shared" ca="1" si="97"/>
        <v>0.88424741687209041</v>
      </c>
      <c r="AC147" s="1">
        <f t="shared" ca="1" si="98"/>
        <v>696</v>
      </c>
      <c r="AD147" s="1">
        <f t="shared" ca="1" si="99"/>
        <v>5.3131791710158815E-4</v>
      </c>
      <c r="AE147" s="1"/>
      <c r="AF147" s="1">
        <f t="shared" ca="1" si="100"/>
        <v>0.72660422771372346</v>
      </c>
      <c r="AG147" s="1">
        <f t="shared" ca="1" si="101"/>
        <v>953</v>
      </c>
      <c r="AH147" s="1">
        <f t="shared" ca="1" si="102"/>
        <v>2.7323759743711914E-3</v>
      </c>
      <c r="AJ147" s="1">
        <f t="shared" ca="1" si="103"/>
        <v>0.22895102646220866</v>
      </c>
      <c r="AK147" s="1">
        <f t="shared" ca="1" si="104"/>
        <v>5.2657057942559525E-3</v>
      </c>
      <c r="AL147" s="1"/>
      <c r="AM147" s="1">
        <f t="shared" ca="1" si="105"/>
        <v>0.14559036235459363</v>
      </c>
      <c r="AN147" s="1">
        <f t="shared" ca="1" si="106"/>
        <v>61</v>
      </c>
      <c r="AO147" s="1">
        <f t="shared" ca="1" si="107"/>
        <v>10</v>
      </c>
      <c r="AQ147" s="1">
        <f t="shared" ca="1" si="108"/>
        <v>59</v>
      </c>
      <c r="AR147" s="1">
        <f t="shared" ca="1" si="109"/>
        <v>2</v>
      </c>
      <c r="AS147" s="1">
        <f t="shared" ca="1" si="110"/>
        <v>69</v>
      </c>
      <c r="AU147" s="1">
        <f t="shared" ca="1" si="111"/>
        <v>390</v>
      </c>
      <c r="AV147" s="1">
        <f t="shared" ca="1" si="112"/>
        <v>5</v>
      </c>
      <c r="AW147" s="1">
        <f t="shared" ca="1" si="113"/>
        <v>4.2964614760277464E-2</v>
      </c>
      <c r="AY147" s="1">
        <f t="shared" ca="1" si="114"/>
        <v>1.365704292208193</v>
      </c>
      <c r="AZ147" s="1">
        <f t="shared" ca="1" si="115"/>
        <v>258</v>
      </c>
      <c r="BA147" s="1">
        <f t="shared" ca="1" si="116"/>
        <v>1.0198208638646524E-3</v>
      </c>
    </row>
    <row r="148" spans="2:53" x14ac:dyDescent="0.25">
      <c r="B148">
        <f t="shared" ca="1" si="78"/>
        <v>318</v>
      </c>
      <c r="C148">
        <f t="shared" ca="1" si="79"/>
        <v>28</v>
      </c>
      <c r="D148">
        <f t="shared" ca="1" si="80"/>
        <v>0.29600022178085794</v>
      </c>
      <c r="F148" s="1">
        <f t="shared" ca="1" si="81"/>
        <v>13</v>
      </c>
      <c r="G148" s="1">
        <f t="shared" ca="1" si="82"/>
        <v>18</v>
      </c>
      <c r="H148" s="1">
        <f t="shared" ca="1" si="83"/>
        <v>1</v>
      </c>
      <c r="I148" s="1"/>
      <c r="J148" s="1">
        <f t="shared" ca="1" si="84"/>
        <v>38</v>
      </c>
      <c r="K148" s="1">
        <f t="shared" ca="1" si="85"/>
        <v>1.0144450634555497</v>
      </c>
      <c r="L148" s="1">
        <f t="shared" ca="1" si="86"/>
        <v>27</v>
      </c>
      <c r="M148" s="1"/>
      <c r="N148" s="1">
        <f t="shared" ca="1" si="87"/>
        <v>778</v>
      </c>
      <c r="O148" s="1">
        <f t="shared" ca="1" si="88"/>
        <v>34</v>
      </c>
      <c r="P148" s="1"/>
      <c r="Q148" s="1">
        <f t="shared" ca="1" si="89"/>
        <v>4.5542652219670066</v>
      </c>
      <c r="R148" s="1">
        <f t="shared" ca="1" si="90"/>
        <v>711</v>
      </c>
      <c r="S148" s="1"/>
      <c r="T148" s="1">
        <f t="shared" ca="1" si="91"/>
        <v>4.9917340559475692E-2</v>
      </c>
      <c r="U148" s="1">
        <f t="shared" ca="1" si="92"/>
        <v>92</v>
      </c>
      <c r="V148" s="1">
        <f t="shared" ca="1" si="93"/>
        <v>10</v>
      </c>
      <c r="W148" s="1"/>
      <c r="X148" s="1">
        <f t="shared" ca="1" si="94"/>
        <v>4.5973574193876798</v>
      </c>
      <c r="Y148" s="1">
        <f t="shared" ca="1" si="95"/>
        <v>0.57331419949250517</v>
      </c>
      <c r="Z148" s="1">
        <f t="shared" ca="1" si="96"/>
        <v>611</v>
      </c>
      <c r="AB148" s="1">
        <f t="shared" ca="1" si="97"/>
        <v>0.26644559777708476</v>
      </c>
      <c r="AC148" s="1">
        <f t="shared" ca="1" si="98"/>
        <v>991</v>
      </c>
      <c r="AD148" s="1">
        <f t="shared" ca="1" si="99"/>
        <v>6.0163390225495264E-3</v>
      </c>
      <c r="AE148" s="1"/>
      <c r="AF148" s="1">
        <f t="shared" ca="1" si="100"/>
        <v>0.28617968489439394</v>
      </c>
      <c r="AG148" s="1">
        <f t="shared" ca="1" si="101"/>
        <v>940</v>
      </c>
      <c r="AH148" s="1">
        <f t="shared" ca="1" si="102"/>
        <v>9.4030077454837716E-3</v>
      </c>
      <c r="AJ148" s="1">
        <f t="shared" ca="1" si="103"/>
        <v>0.7689589041707614</v>
      </c>
      <c r="AK148" s="1">
        <f t="shared" ca="1" si="104"/>
        <v>8.3085533071707175E-3</v>
      </c>
      <c r="AL148" s="1"/>
      <c r="AM148" s="1">
        <f t="shared" ca="1" si="105"/>
        <v>0.11348173448187528</v>
      </c>
      <c r="AN148" s="1">
        <f t="shared" ca="1" si="106"/>
        <v>19</v>
      </c>
      <c r="AO148" s="1">
        <f t="shared" ca="1" si="107"/>
        <v>6</v>
      </c>
      <c r="AQ148" s="1">
        <f t="shared" ca="1" si="108"/>
        <v>179</v>
      </c>
      <c r="AR148" s="1">
        <f t="shared" ca="1" si="109"/>
        <v>6</v>
      </c>
      <c r="AS148" s="1">
        <f t="shared" ca="1" si="110"/>
        <v>9</v>
      </c>
      <c r="AU148" s="1">
        <f t="shared" ca="1" si="111"/>
        <v>154</v>
      </c>
      <c r="AV148" s="1">
        <f t="shared" ca="1" si="112"/>
        <v>6</v>
      </c>
      <c r="AW148" s="1">
        <f t="shared" ca="1" si="113"/>
        <v>5.1580905473113177E-2</v>
      </c>
      <c r="AY148" s="1">
        <f t="shared" ca="1" si="114"/>
        <v>1.8456702111147956</v>
      </c>
      <c r="AZ148" s="1">
        <f t="shared" ca="1" si="115"/>
        <v>230</v>
      </c>
      <c r="BA148" s="1">
        <f t="shared" ca="1" si="116"/>
        <v>9.2437980402364367E-3</v>
      </c>
    </row>
    <row r="149" spans="2:53" x14ac:dyDescent="0.25">
      <c r="B149">
        <f t="shared" ca="1" si="78"/>
        <v>121</v>
      </c>
      <c r="C149">
        <f t="shared" ca="1" si="79"/>
        <v>51</v>
      </c>
      <c r="D149">
        <f t="shared" ca="1" si="80"/>
        <v>0.12932289910989314</v>
      </c>
      <c r="F149" s="1">
        <f t="shared" ca="1" si="81"/>
        <v>2</v>
      </c>
      <c r="G149" s="1">
        <f t="shared" ca="1" si="82"/>
        <v>11</v>
      </c>
      <c r="H149" s="1">
        <f t="shared" ca="1" si="83"/>
        <v>9</v>
      </c>
      <c r="I149" s="1"/>
      <c r="J149" s="1">
        <f t="shared" ca="1" si="84"/>
        <v>4</v>
      </c>
      <c r="K149" s="1">
        <f t="shared" ca="1" si="85"/>
        <v>2.7892291864144427</v>
      </c>
      <c r="L149" s="1">
        <f t="shared" ca="1" si="86"/>
        <v>3</v>
      </c>
      <c r="M149" s="1"/>
      <c r="N149" s="1">
        <f t="shared" ca="1" si="87"/>
        <v>935</v>
      </c>
      <c r="O149" s="1">
        <f t="shared" ca="1" si="88"/>
        <v>17</v>
      </c>
      <c r="P149" s="1"/>
      <c r="Q149" s="1">
        <f t="shared" ca="1" si="89"/>
        <v>0.73454999409352206</v>
      </c>
      <c r="R149" s="1">
        <f t="shared" ca="1" si="90"/>
        <v>598</v>
      </c>
      <c r="S149" s="1"/>
      <c r="T149" s="1">
        <f t="shared" ca="1" si="91"/>
        <v>0.11168122130449215</v>
      </c>
      <c r="U149" s="1">
        <f t="shared" ca="1" si="92"/>
        <v>415</v>
      </c>
      <c r="V149" s="1">
        <f t="shared" ca="1" si="93"/>
        <v>19</v>
      </c>
      <c r="W149" s="1"/>
      <c r="X149" s="1">
        <f t="shared" ca="1" si="94"/>
        <v>2.6177848952676124</v>
      </c>
      <c r="Y149" s="1">
        <f t="shared" ca="1" si="95"/>
        <v>0.87236495653498958</v>
      </c>
      <c r="Z149" s="1">
        <f t="shared" ca="1" si="96"/>
        <v>985</v>
      </c>
      <c r="AB149" s="1">
        <f t="shared" ca="1" si="97"/>
        <v>0.49097500394393212</v>
      </c>
      <c r="AC149" s="1">
        <f t="shared" ca="1" si="98"/>
        <v>632</v>
      </c>
      <c r="AD149" s="1">
        <f t="shared" ca="1" si="99"/>
        <v>5.408527047347106E-3</v>
      </c>
      <c r="AE149" s="1"/>
      <c r="AF149" s="1">
        <f t="shared" ca="1" si="100"/>
        <v>0.25170919705624473</v>
      </c>
      <c r="AG149" s="1">
        <f t="shared" ca="1" si="101"/>
        <v>893</v>
      </c>
      <c r="AH149" s="1">
        <f t="shared" ca="1" si="102"/>
        <v>1.9304468079747973E-3</v>
      </c>
      <c r="AJ149" s="1">
        <f t="shared" ca="1" si="103"/>
        <v>0.85213997686508969</v>
      </c>
      <c r="AK149" s="1">
        <f t="shared" ca="1" si="104"/>
        <v>2.6037095456110113E-3</v>
      </c>
      <c r="AL149" s="1"/>
      <c r="AM149" s="1">
        <f t="shared" ca="1" si="105"/>
        <v>6.2277845466717101E-2</v>
      </c>
      <c r="AN149" s="1">
        <f t="shared" ca="1" si="106"/>
        <v>56</v>
      </c>
      <c r="AO149" s="1">
        <f t="shared" ca="1" si="107"/>
        <v>2</v>
      </c>
      <c r="AQ149" s="1">
        <f t="shared" ca="1" si="108"/>
        <v>127</v>
      </c>
      <c r="AR149" s="1">
        <f t="shared" ca="1" si="109"/>
        <v>0</v>
      </c>
      <c r="AS149" s="1">
        <f t="shared" ca="1" si="110"/>
        <v>72</v>
      </c>
      <c r="AU149" s="1">
        <f t="shared" ca="1" si="111"/>
        <v>268</v>
      </c>
      <c r="AV149" s="1">
        <f t="shared" ca="1" si="112"/>
        <v>3</v>
      </c>
      <c r="AW149" s="1">
        <f t="shared" ca="1" si="113"/>
        <v>5.5642817930031119E-2</v>
      </c>
      <c r="AY149" s="1">
        <f t="shared" ca="1" si="114"/>
        <v>1.9703418145672633</v>
      </c>
      <c r="AZ149" s="1">
        <f t="shared" ca="1" si="115"/>
        <v>260</v>
      </c>
      <c r="BA149" s="1">
        <f t="shared" ca="1" si="116"/>
        <v>7.6692811876086613E-3</v>
      </c>
    </row>
    <row r="150" spans="2:53" x14ac:dyDescent="0.25">
      <c r="B150">
        <f t="shared" ca="1" si="78"/>
        <v>613</v>
      </c>
      <c r="C150">
        <f t="shared" ca="1" si="79"/>
        <v>16</v>
      </c>
      <c r="D150">
        <f t="shared" ca="1" si="80"/>
        <v>0.15523843461941439</v>
      </c>
      <c r="F150" s="1">
        <f t="shared" ca="1" si="81"/>
        <v>34</v>
      </c>
      <c r="G150" s="1">
        <f t="shared" ca="1" si="82"/>
        <v>9</v>
      </c>
      <c r="H150" s="1">
        <f t="shared" ca="1" si="83"/>
        <v>10</v>
      </c>
      <c r="I150" s="1"/>
      <c r="J150" s="1">
        <f t="shared" ca="1" si="84"/>
        <v>14</v>
      </c>
      <c r="K150" s="1">
        <f t="shared" ca="1" si="85"/>
        <v>2.6975608089837584</v>
      </c>
      <c r="L150" s="1">
        <f t="shared" ca="1" si="86"/>
        <v>26</v>
      </c>
      <c r="M150" s="1"/>
      <c r="N150" s="1">
        <f t="shared" ca="1" si="87"/>
        <v>978</v>
      </c>
      <c r="O150" s="1">
        <f t="shared" ca="1" si="88"/>
        <v>44</v>
      </c>
      <c r="P150" s="1"/>
      <c r="Q150" s="1">
        <f t="shared" ca="1" si="89"/>
        <v>4.5874537711868308</v>
      </c>
      <c r="R150" s="1">
        <f t="shared" ca="1" si="90"/>
        <v>375</v>
      </c>
      <c r="S150" s="1"/>
      <c r="T150" s="1">
        <f t="shared" ca="1" si="91"/>
        <v>2.3565075493669246E-2</v>
      </c>
      <c r="U150" s="1">
        <f t="shared" ca="1" si="92"/>
        <v>414</v>
      </c>
      <c r="V150" s="1">
        <f t="shared" ca="1" si="93"/>
        <v>16</v>
      </c>
      <c r="W150" s="1"/>
      <c r="X150" s="1">
        <f t="shared" ca="1" si="94"/>
        <v>2.2568475155370566</v>
      </c>
      <c r="Y150" s="1">
        <f t="shared" ca="1" si="95"/>
        <v>0.6978659317677296</v>
      </c>
      <c r="Z150" s="1">
        <f t="shared" ca="1" si="96"/>
        <v>1037</v>
      </c>
      <c r="AB150" s="1">
        <f t="shared" ca="1" si="97"/>
        <v>0.65519564793221408</v>
      </c>
      <c r="AC150" s="1">
        <f t="shared" ca="1" si="98"/>
        <v>194</v>
      </c>
      <c r="AD150" s="1">
        <f t="shared" ca="1" si="99"/>
        <v>5.3260159591231229E-3</v>
      </c>
      <c r="AE150" s="1"/>
      <c r="AF150" s="1">
        <f t="shared" ca="1" si="100"/>
        <v>0.61606030152751479</v>
      </c>
      <c r="AG150" s="1">
        <f t="shared" ca="1" si="101"/>
        <v>945</v>
      </c>
      <c r="AH150" s="1">
        <f t="shared" ca="1" si="102"/>
        <v>8.5371828386591377E-3</v>
      </c>
      <c r="AJ150" s="1">
        <f t="shared" ca="1" si="103"/>
        <v>0.1301631859382828</v>
      </c>
      <c r="AK150" s="1">
        <f t="shared" ca="1" si="104"/>
        <v>8.1323709375417316E-3</v>
      </c>
      <c r="AL150" s="1"/>
      <c r="AM150" s="1">
        <f t="shared" ca="1" si="105"/>
        <v>0.17523634157462803</v>
      </c>
      <c r="AN150" s="1">
        <f t="shared" ca="1" si="106"/>
        <v>15</v>
      </c>
      <c r="AO150" s="1">
        <f t="shared" ca="1" si="107"/>
        <v>9</v>
      </c>
      <c r="AQ150" s="1">
        <f t="shared" ca="1" si="108"/>
        <v>155</v>
      </c>
      <c r="AR150" s="1">
        <f t="shared" ca="1" si="109"/>
        <v>3</v>
      </c>
      <c r="AS150" s="1">
        <f t="shared" ca="1" si="110"/>
        <v>84</v>
      </c>
      <c r="AU150" s="1">
        <f t="shared" ca="1" si="111"/>
        <v>198</v>
      </c>
      <c r="AV150" s="1">
        <f t="shared" ca="1" si="112"/>
        <v>5</v>
      </c>
      <c r="AW150" s="1">
        <f t="shared" ca="1" si="113"/>
        <v>7.0057984079003321E-2</v>
      </c>
      <c r="AY150" s="1">
        <f t="shared" ca="1" si="114"/>
        <v>1.2887079433369086</v>
      </c>
      <c r="AZ150" s="1">
        <f t="shared" ca="1" si="115"/>
        <v>220</v>
      </c>
      <c r="BA150" s="1">
        <f t="shared" ca="1" si="116"/>
        <v>7.798726407249352E-3</v>
      </c>
    </row>
    <row r="151" spans="2:53" x14ac:dyDescent="0.25">
      <c r="B151">
        <f t="shared" ca="1" si="78"/>
        <v>672</v>
      </c>
      <c r="C151">
        <f t="shared" ca="1" si="79"/>
        <v>21</v>
      </c>
      <c r="D151">
        <f t="shared" ca="1" si="80"/>
        <v>0.22553949992990385</v>
      </c>
      <c r="F151" s="1">
        <f t="shared" ca="1" si="81"/>
        <v>4</v>
      </c>
      <c r="G151" s="1">
        <f t="shared" ca="1" si="82"/>
        <v>24</v>
      </c>
      <c r="H151" s="1">
        <f t="shared" ca="1" si="83"/>
        <v>14</v>
      </c>
      <c r="I151" s="1"/>
      <c r="J151" s="1">
        <f t="shared" ca="1" si="84"/>
        <v>38</v>
      </c>
      <c r="K151" s="1">
        <f t="shared" ca="1" si="85"/>
        <v>1.008434982723289</v>
      </c>
      <c r="L151" s="1">
        <f t="shared" ca="1" si="86"/>
        <v>6</v>
      </c>
      <c r="M151" s="1"/>
      <c r="N151" s="1">
        <f t="shared" ca="1" si="87"/>
        <v>481</v>
      </c>
      <c r="O151" s="1">
        <f t="shared" ca="1" si="88"/>
        <v>16</v>
      </c>
      <c r="P151" s="1"/>
      <c r="Q151" s="1">
        <f t="shared" ca="1" si="89"/>
        <v>3.6621137226751541</v>
      </c>
      <c r="R151" s="1">
        <f t="shared" ca="1" si="90"/>
        <v>717</v>
      </c>
      <c r="S151" s="1"/>
      <c r="T151" s="1">
        <f t="shared" ca="1" si="91"/>
        <v>3.2422548961057923E-2</v>
      </c>
      <c r="U151" s="1">
        <f t="shared" ca="1" si="92"/>
        <v>292</v>
      </c>
      <c r="V151" s="1">
        <f t="shared" ca="1" si="93"/>
        <v>20</v>
      </c>
      <c r="W151" s="1"/>
      <c r="X151" s="1">
        <f t="shared" ca="1" si="94"/>
        <v>9.0880743625551315</v>
      </c>
      <c r="Y151" s="1">
        <f t="shared" ca="1" si="95"/>
        <v>0.90893298668734446</v>
      </c>
      <c r="Z151" s="1">
        <f t="shared" ca="1" si="96"/>
        <v>1774</v>
      </c>
      <c r="AB151" s="1">
        <f t="shared" ca="1" si="97"/>
        <v>6.5336965065778227E-2</v>
      </c>
      <c r="AC151" s="1">
        <f t="shared" ca="1" si="98"/>
        <v>487</v>
      </c>
      <c r="AD151" s="1">
        <f t="shared" ca="1" si="99"/>
        <v>9.8079780559204438E-3</v>
      </c>
      <c r="AE151" s="1"/>
      <c r="AF151" s="1">
        <f t="shared" ca="1" si="100"/>
        <v>0.30614383055012073</v>
      </c>
      <c r="AG151" s="1">
        <f t="shared" ca="1" si="101"/>
        <v>274</v>
      </c>
      <c r="AH151" s="1">
        <f t="shared" ca="1" si="102"/>
        <v>7.7019079748373524E-3</v>
      </c>
      <c r="AJ151" s="1">
        <f t="shared" ca="1" si="103"/>
        <v>0.26428623260456507</v>
      </c>
      <c r="AK151" s="1">
        <f t="shared" ca="1" si="104"/>
        <v>6.7223358373432653E-3</v>
      </c>
      <c r="AL151" s="1"/>
      <c r="AM151" s="1">
        <f t="shared" ca="1" si="105"/>
        <v>0.13686999762798613</v>
      </c>
      <c r="AN151" s="1">
        <f t="shared" ca="1" si="106"/>
        <v>62</v>
      </c>
      <c r="AO151" s="1">
        <f t="shared" ca="1" si="107"/>
        <v>2</v>
      </c>
      <c r="AQ151" s="1">
        <f t="shared" ca="1" si="108"/>
        <v>166</v>
      </c>
      <c r="AR151" s="1">
        <f t="shared" ca="1" si="109"/>
        <v>1</v>
      </c>
      <c r="AS151" s="1">
        <f t="shared" ca="1" si="110"/>
        <v>34</v>
      </c>
      <c r="AU151" s="1">
        <f t="shared" ca="1" si="111"/>
        <v>81</v>
      </c>
      <c r="AV151" s="1">
        <f t="shared" ca="1" si="112"/>
        <v>4</v>
      </c>
      <c r="AW151" s="1">
        <f t="shared" ca="1" si="113"/>
        <v>2.5024230395031478E-2</v>
      </c>
      <c r="AY151" s="1">
        <f t="shared" ca="1" si="114"/>
        <v>1.8363233832151227</v>
      </c>
      <c r="AZ151" s="1">
        <f t="shared" ca="1" si="115"/>
        <v>115</v>
      </c>
      <c r="BA151" s="1">
        <f t="shared" ca="1" si="116"/>
        <v>4.915162487948441E-3</v>
      </c>
    </row>
    <row r="152" spans="2:53" x14ac:dyDescent="0.25">
      <c r="B152">
        <f t="shared" ca="1" si="78"/>
        <v>532</v>
      </c>
      <c r="C152">
        <f t="shared" ca="1" si="79"/>
        <v>6</v>
      </c>
      <c r="D152">
        <f t="shared" ca="1" si="80"/>
        <v>6.9615187120534425E-2</v>
      </c>
      <c r="F152" s="1">
        <f t="shared" ca="1" si="81"/>
        <v>10</v>
      </c>
      <c r="G152" s="1">
        <f t="shared" ca="1" si="82"/>
        <v>25</v>
      </c>
      <c r="H152" s="1">
        <f t="shared" ca="1" si="83"/>
        <v>12</v>
      </c>
      <c r="I152" s="1"/>
      <c r="J152" s="1">
        <f t="shared" ca="1" si="84"/>
        <v>19</v>
      </c>
      <c r="K152" s="1">
        <f t="shared" ca="1" si="85"/>
        <v>1.9849521194723627</v>
      </c>
      <c r="L152" s="1">
        <f t="shared" ca="1" si="86"/>
        <v>15</v>
      </c>
      <c r="M152" s="1"/>
      <c r="N152" s="1">
        <f t="shared" ca="1" si="87"/>
        <v>72</v>
      </c>
      <c r="O152" s="1">
        <f t="shared" ca="1" si="88"/>
        <v>11</v>
      </c>
      <c r="P152" s="1"/>
      <c r="Q152" s="1">
        <f t="shared" ca="1" si="89"/>
        <v>1.2390238670503717</v>
      </c>
      <c r="R152" s="1">
        <f t="shared" ca="1" si="90"/>
        <v>679</v>
      </c>
      <c r="S152" s="1"/>
      <c r="T152" s="1">
        <f t="shared" ca="1" si="91"/>
        <v>0.12287938776086203</v>
      </c>
      <c r="U152" s="1">
        <f t="shared" ca="1" si="92"/>
        <v>196</v>
      </c>
      <c r="V152" s="1">
        <f t="shared" ca="1" si="93"/>
        <v>3</v>
      </c>
      <c r="W152" s="1"/>
      <c r="X152" s="1">
        <f t="shared" ca="1" si="94"/>
        <v>1.1593962670450759</v>
      </c>
      <c r="Y152" s="1">
        <f t="shared" ca="1" si="95"/>
        <v>2.1997344016617983E-2</v>
      </c>
      <c r="Z152" s="1">
        <f t="shared" ca="1" si="96"/>
        <v>673</v>
      </c>
      <c r="AB152" s="1">
        <f t="shared" ca="1" si="97"/>
        <v>0.87841674432109573</v>
      </c>
      <c r="AC152" s="1">
        <f t="shared" ca="1" si="98"/>
        <v>557</v>
      </c>
      <c r="AD152" s="1">
        <f t="shared" ca="1" si="99"/>
        <v>6.8197350524088944E-3</v>
      </c>
      <c r="AE152" s="1"/>
      <c r="AF152" s="1">
        <f t="shared" ca="1" si="100"/>
        <v>0.23476985841907416</v>
      </c>
      <c r="AG152" s="1">
        <f t="shared" ca="1" si="101"/>
        <v>202</v>
      </c>
      <c r="AH152" s="1">
        <f t="shared" ca="1" si="102"/>
        <v>2.4695115415375541E-3</v>
      </c>
      <c r="AJ152" s="1">
        <f t="shared" ca="1" si="103"/>
        <v>3.8805546819228875E-2</v>
      </c>
      <c r="AK152" s="1">
        <f t="shared" ca="1" si="104"/>
        <v>9.6030343656036601E-3</v>
      </c>
      <c r="AL152" s="1"/>
      <c r="AM152" s="1">
        <f t="shared" ca="1" si="105"/>
        <v>3.0086884013934573E-2</v>
      </c>
      <c r="AN152" s="1">
        <f t="shared" ca="1" si="106"/>
        <v>13</v>
      </c>
      <c r="AO152" s="1">
        <f t="shared" ca="1" si="107"/>
        <v>2</v>
      </c>
      <c r="AQ152" s="1">
        <f t="shared" ca="1" si="108"/>
        <v>123</v>
      </c>
      <c r="AR152" s="1">
        <f t="shared" ca="1" si="109"/>
        <v>6</v>
      </c>
      <c r="AS152" s="1">
        <f t="shared" ca="1" si="110"/>
        <v>85</v>
      </c>
      <c r="AU152" s="1">
        <f t="shared" ca="1" si="111"/>
        <v>201</v>
      </c>
      <c r="AV152" s="1">
        <f t="shared" ca="1" si="112"/>
        <v>8</v>
      </c>
      <c r="AW152" s="1">
        <f t="shared" ca="1" si="113"/>
        <v>0.1202932042752065</v>
      </c>
      <c r="AY152" s="1">
        <f t="shared" ca="1" si="114"/>
        <v>1.9031229904317919</v>
      </c>
      <c r="AZ152" s="1">
        <f t="shared" ca="1" si="115"/>
        <v>364</v>
      </c>
      <c r="BA152" s="1">
        <f t="shared" ca="1" si="116"/>
        <v>8.0300870051501685E-3</v>
      </c>
    </row>
    <row r="153" spans="2:53" x14ac:dyDescent="0.25">
      <c r="B153">
        <f t="shared" ca="1" si="78"/>
        <v>500</v>
      </c>
      <c r="C153">
        <f t="shared" ca="1" si="79"/>
        <v>33</v>
      </c>
      <c r="D153">
        <f t="shared" ca="1" si="80"/>
        <v>5.4924064682413461E-2</v>
      </c>
      <c r="F153" s="1">
        <f t="shared" ca="1" si="81"/>
        <v>15</v>
      </c>
      <c r="G153" s="1">
        <f t="shared" ca="1" si="82"/>
        <v>29</v>
      </c>
      <c r="H153" s="1">
        <f t="shared" ca="1" si="83"/>
        <v>10</v>
      </c>
      <c r="I153" s="1"/>
      <c r="J153" s="1">
        <f t="shared" ca="1" si="84"/>
        <v>2</v>
      </c>
      <c r="K153" s="1">
        <f t="shared" ca="1" si="85"/>
        <v>1.1794203983539706</v>
      </c>
      <c r="L153" s="1">
        <f t="shared" ca="1" si="86"/>
        <v>8</v>
      </c>
      <c r="M153" s="1"/>
      <c r="N153" s="1">
        <f t="shared" ca="1" si="87"/>
        <v>526</v>
      </c>
      <c r="O153" s="1">
        <f t="shared" ca="1" si="88"/>
        <v>21</v>
      </c>
      <c r="P153" s="1"/>
      <c r="Q153" s="1">
        <f t="shared" ca="1" si="89"/>
        <v>2.4629356408253082</v>
      </c>
      <c r="R153" s="1">
        <f t="shared" ca="1" si="90"/>
        <v>905</v>
      </c>
      <c r="S153" s="1"/>
      <c r="T153" s="1">
        <f t="shared" ca="1" si="91"/>
        <v>8.9781993486542755E-2</v>
      </c>
      <c r="U153" s="1">
        <f t="shared" ca="1" si="92"/>
        <v>134</v>
      </c>
      <c r="V153" s="1">
        <f t="shared" ca="1" si="93"/>
        <v>17</v>
      </c>
      <c r="W153" s="1"/>
      <c r="X153" s="1">
        <f t="shared" ca="1" si="94"/>
        <v>6.8769854537054913</v>
      </c>
      <c r="Y153" s="1">
        <f t="shared" ca="1" si="95"/>
        <v>8.4644553293537192E-2</v>
      </c>
      <c r="Z153" s="1">
        <f t="shared" ca="1" si="96"/>
        <v>1282</v>
      </c>
      <c r="AB153" s="1">
        <f t="shared" ca="1" si="97"/>
        <v>0.82921300685940813</v>
      </c>
      <c r="AC153" s="1">
        <f t="shared" ca="1" si="98"/>
        <v>688</v>
      </c>
      <c r="AD153" s="1">
        <f t="shared" ca="1" si="99"/>
        <v>9.0796783987295241E-3</v>
      </c>
      <c r="AE153" s="1"/>
      <c r="AF153" s="1">
        <f t="shared" ca="1" si="100"/>
        <v>0.46435047380463179</v>
      </c>
      <c r="AG153" s="1">
        <f t="shared" ca="1" si="101"/>
        <v>540</v>
      </c>
      <c r="AH153" s="1">
        <f t="shared" ca="1" si="102"/>
        <v>1.0658694674896059E-3</v>
      </c>
      <c r="AJ153" s="1">
        <f t="shared" ca="1" si="103"/>
        <v>0.23355760145770754</v>
      </c>
      <c r="AK153" s="1">
        <f t="shared" ca="1" si="104"/>
        <v>8.9314408691864803E-3</v>
      </c>
      <c r="AL153" s="1"/>
      <c r="AM153" s="1">
        <f t="shared" ca="1" si="105"/>
        <v>0.16650923172525475</v>
      </c>
      <c r="AN153" s="1">
        <f t="shared" ca="1" si="106"/>
        <v>20</v>
      </c>
      <c r="AO153" s="1">
        <f t="shared" ca="1" si="107"/>
        <v>14</v>
      </c>
      <c r="AQ153" s="1">
        <f t="shared" ca="1" si="108"/>
        <v>61</v>
      </c>
      <c r="AR153" s="1">
        <f t="shared" ca="1" si="109"/>
        <v>0</v>
      </c>
      <c r="AS153" s="1">
        <f t="shared" ca="1" si="110"/>
        <v>90</v>
      </c>
      <c r="AU153" s="1">
        <f t="shared" ca="1" si="111"/>
        <v>73</v>
      </c>
      <c r="AV153" s="1">
        <f t="shared" ca="1" si="112"/>
        <v>10</v>
      </c>
      <c r="AW153" s="1">
        <f t="shared" ca="1" si="113"/>
        <v>0.18151290038943743</v>
      </c>
      <c r="AY153" s="1">
        <f t="shared" ca="1" si="114"/>
        <v>1.8331258116384217</v>
      </c>
      <c r="AZ153" s="1">
        <f t="shared" ca="1" si="115"/>
        <v>444</v>
      </c>
      <c r="BA153" s="1">
        <f t="shared" ca="1" si="116"/>
        <v>6.538732422899235E-3</v>
      </c>
    </row>
    <row r="154" spans="2:53" x14ac:dyDescent="0.25">
      <c r="B154">
        <f t="shared" ca="1" si="78"/>
        <v>89</v>
      </c>
      <c r="C154">
        <f t="shared" ca="1" si="79"/>
        <v>33</v>
      </c>
      <c r="D154">
        <f t="shared" ca="1" si="80"/>
        <v>0.19893099729332778</v>
      </c>
      <c r="F154" s="1">
        <f t="shared" ca="1" si="81"/>
        <v>39</v>
      </c>
      <c r="G154" s="1">
        <f t="shared" ca="1" si="82"/>
        <v>11</v>
      </c>
      <c r="H154" s="1">
        <f t="shared" ca="1" si="83"/>
        <v>2</v>
      </c>
      <c r="I154" s="1"/>
      <c r="J154" s="1">
        <f t="shared" ca="1" si="84"/>
        <v>15</v>
      </c>
      <c r="K154" s="1">
        <f t="shared" ca="1" si="85"/>
        <v>1.1825206006017552</v>
      </c>
      <c r="L154" s="1">
        <f t="shared" ca="1" si="86"/>
        <v>9</v>
      </c>
      <c r="M154" s="1"/>
      <c r="N154" s="1">
        <f t="shared" ca="1" si="87"/>
        <v>243</v>
      </c>
      <c r="O154" s="1">
        <f t="shared" ca="1" si="88"/>
        <v>27</v>
      </c>
      <c r="P154" s="1"/>
      <c r="Q154" s="1">
        <f t="shared" ca="1" si="89"/>
        <v>4.3862799015521823</v>
      </c>
      <c r="R154" s="1">
        <f t="shared" ca="1" si="90"/>
        <v>253</v>
      </c>
      <c r="S154" s="1"/>
      <c r="T154" s="1">
        <f t="shared" ca="1" si="91"/>
        <v>7.9706922694628923E-2</v>
      </c>
      <c r="U154" s="1">
        <f t="shared" ca="1" si="92"/>
        <v>209</v>
      </c>
      <c r="V154" s="1">
        <f t="shared" ca="1" si="93"/>
        <v>5</v>
      </c>
      <c r="W154" s="1"/>
      <c r="X154" s="1">
        <f t="shared" ca="1" si="94"/>
        <v>7.4456742615971132</v>
      </c>
      <c r="Y154" s="1">
        <f t="shared" ca="1" si="95"/>
        <v>0.24123803500019872</v>
      </c>
      <c r="Z154" s="1">
        <f t="shared" ca="1" si="96"/>
        <v>412</v>
      </c>
      <c r="AB154" s="1">
        <f t="shared" ca="1" si="97"/>
        <v>0.97332853160565924</v>
      </c>
      <c r="AC154" s="1">
        <f t="shared" ca="1" si="98"/>
        <v>598</v>
      </c>
      <c r="AD154" s="1">
        <f t="shared" ca="1" si="99"/>
        <v>8.111196593103524E-3</v>
      </c>
      <c r="AE154" s="1"/>
      <c r="AF154" s="1">
        <f t="shared" ca="1" si="100"/>
        <v>0.69071123040001381</v>
      </c>
      <c r="AG154" s="1">
        <f t="shared" ca="1" si="101"/>
        <v>490</v>
      </c>
      <c r="AH154" s="1">
        <f t="shared" ca="1" si="102"/>
        <v>3.6632644653343317E-3</v>
      </c>
      <c r="AJ154" s="1">
        <f t="shared" ca="1" si="103"/>
        <v>0.91605586923382265</v>
      </c>
      <c r="AK154" s="1">
        <f t="shared" ca="1" si="104"/>
        <v>4.9163323003289542E-3</v>
      </c>
      <c r="AL154" s="1"/>
      <c r="AM154" s="1">
        <f t="shared" ca="1" si="105"/>
        <v>6.9063639226861276E-2</v>
      </c>
      <c r="AN154" s="1">
        <f t="shared" ca="1" si="106"/>
        <v>58</v>
      </c>
      <c r="AO154" s="1">
        <f t="shared" ca="1" si="107"/>
        <v>20</v>
      </c>
      <c r="AQ154" s="1">
        <f t="shared" ca="1" si="108"/>
        <v>142</v>
      </c>
      <c r="AR154" s="1">
        <f t="shared" ca="1" si="109"/>
        <v>0</v>
      </c>
      <c r="AS154" s="1">
        <f t="shared" ca="1" si="110"/>
        <v>100</v>
      </c>
      <c r="AU154" s="1">
        <f t="shared" ca="1" si="111"/>
        <v>193</v>
      </c>
      <c r="AV154" s="1">
        <f t="shared" ca="1" si="112"/>
        <v>8</v>
      </c>
      <c r="AW154" s="1">
        <f t="shared" ca="1" si="113"/>
        <v>2.8996207992785808E-2</v>
      </c>
      <c r="AY154" s="1">
        <f t="shared" ca="1" si="114"/>
        <v>1.3378962865145207</v>
      </c>
      <c r="AZ154" s="1">
        <f t="shared" ca="1" si="115"/>
        <v>274</v>
      </c>
      <c r="BA154" s="1">
        <f t="shared" ca="1" si="116"/>
        <v>3.7875654044357324E-3</v>
      </c>
    </row>
    <row r="155" spans="2:53" x14ac:dyDescent="0.25">
      <c r="B155">
        <f t="shared" ca="1" si="78"/>
        <v>699</v>
      </c>
      <c r="C155">
        <f t="shared" ca="1" si="79"/>
        <v>27</v>
      </c>
      <c r="D155">
        <f t="shared" ca="1" si="80"/>
        <v>1.5931460846973857E-2</v>
      </c>
      <c r="F155" s="1">
        <f t="shared" ca="1" si="81"/>
        <v>37</v>
      </c>
      <c r="G155" s="1">
        <f t="shared" ca="1" si="82"/>
        <v>30</v>
      </c>
      <c r="H155" s="1">
        <f t="shared" ca="1" si="83"/>
        <v>9</v>
      </c>
      <c r="I155" s="1"/>
      <c r="J155" s="1">
        <f t="shared" ca="1" si="84"/>
        <v>7</v>
      </c>
      <c r="K155" s="1">
        <f t="shared" ca="1" si="85"/>
        <v>2.3085707413960996</v>
      </c>
      <c r="L155" s="1">
        <f t="shared" ca="1" si="86"/>
        <v>35</v>
      </c>
      <c r="M155" s="1"/>
      <c r="N155" s="1">
        <f t="shared" ca="1" si="87"/>
        <v>199</v>
      </c>
      <c r="O155" s="1">
        <f t="shared" ca="1" si="88"/>
        <v>18</v>
      </c>
      <c r="P155" s="1"/>
      <c r="Q155" s="1">
        <f t="shared" ca="1" si="89"/>
        <v>0.69011039607203584</v>
      </c>
      <c r="R155" s="1">
        <f t="shared" ca="1" si="90"/>
        <v>1153</v>
      </c>
      <c r="S155" s="1"/>
      <c r="T155" s="1">
        <f t="shared" ca="1" si="91"/>
        <v>1.1922119494148937E-2</v>
      </c>
      <c r="U155" s="1">
        <f t="shared" ca="1" si="92"/>
        <v>216</v>
      </c>
      <c r="V155" s="1">
        <f t="shared" ca="1" si="93"/>
        <v>6</v>
      </c>
      <c r="W155" s="1"/>
      <c r="X155" s="1">
        <f t="shared" ca="1" si="94"/>
        <v>6.9151516408197562</v>
      </c>
      <c r="Y155" s="1">
        <f t="shared" ca="1" si="95"/>
        <v>0.3527538527316369</v>
      </c>
      <c r="Z155" s="1">
        <f t="shared" ca="1" si="96"/>
        <v>1246</v>
      </c>
      <c r="AB155" s="1">
        <f t="shared" ca="1" si="97"/>
        <v>0.95037341313759216</v>
      </c>
      <c r="AC155" s="1">
        <f t="shared" ca="1" si="98"/>
        <v>673</v>
      </c>
      <c r="AD155" s="1">
        <f t="shared" ca="1" si="99"/>
        <v>1.4011004312938459E-3</v>
      </c>
      <c r="AE155" s="1"/>
      <c r="AF155" s="1">
        <f t="shared" ca="1" si="100"/>
        <v>0.31967370858951349</v>
      </c>
      <c r="AG155" s="1">
        <f t="shared" ca="1" si="101"/>
        <v>973</v>
      </c>
      <c r="AH155" s="1">
        <f t="shared" ca="1" si="102"/>
        <v>6.8268254589655547E-3</v>
      </c>
      <c r="AJ155" s="1">
        <f t="shared" ca="1" si="103"/>
        <v>0.43614905253781633</v>
      </c>
      <c r="AK155" s="1">
        <f t="shared" ca="1" si="104"/>
        <v>3.232645290220491E-3</v>
      </c>
      <c r="AL155" s="1"/>
      <c r="AM155" s="1">
        <f t="shared" ca="1" si="105"/>
        <v>8.3201293395320577E-2</v>
      </c>
      <c r="AN155" s="1">
        <f t="shared" ca="1" si="106"/>
        <v>13</v>
      </c>
      <c r="AO155" s="1">
        <f t="shared" ca="1" si="107"/>
        <v>19</v>
      </c>
      <c r="AQ155" s="1">
        <f t="shared" ca="1" si="108"/>
        <v>40</v>
      </c>
      <c r="AR155" s="1">
        <f t="shared" ca="1" si="109"/>
        <v>9</v>
      </c>
      <c r="AS155" s="1">
        <f t="shared" ca="1" si="110"/>
        <v>33</v>
      </c>
      <c r="AU155" s="1">
        <f t="shared" ca="1" si="111"/>
        <v>201</v>
      </c>
      <c r="AV155" s="1">
        <f t="shared" ca="1" si="112"/>
        <v>3</v>
      </c>
      <c r="AW155" s="1">
        <f t="shared" ca="1" si="113"/>
        <v>0.19532169043373857</v>
      </c>
      <c r="AY155" s="1">
        <f t="shared" ca="1" si="114"/>
        <v>1.5302959223511117</v>
      </c>
      <c r="AZ155" s="1">
        <f t="shared" ca="1" si="115"/>
        <v>289</v>
      </c>
      <c r="BA155" s="1">
        <f t="shared" ca="1" si="116"/>
        <v>5.4056545867967095E-3</v>
      </c>
    </row>
    <row r="156" spans="2:53" x14ac:dyDescent="0.25">
      <c r="B156">
        <f t="shared" ca="1" si="78"/>
        <v>804</v>
      </c>
      <c r="C156">
        <f t="shared" ca="1" si="79"/>
        <v>25</v>
      </c>
      <c r="D156">
        <f t="shared" ca="1" si="80"/>
        <v>2.7416297005221163E-2</v>
      </c>
      <c r="F156" s="1">
        <f t="shared" ca="1" si="81"/>
        <v>9</v>
      </c>
      <c r="G156" s="1">
        <f t="shared" ca="1" si="82"/>
        <v>14</v>
      </c>
      <c r="H156" s="1">
        <f t="shared" ca="1" si="83"/>
        <v>2</v>
      </c>
      <c r="I156" s="1"/>
      <c r="J156" s="1">
        <f t="shared" ca="1" si="84"/>
        <v>27</v>
      </c>
      <c r="K156" s="1">
        <f t="shared" ca="1" si="85"/>
        <v>1.9956132947700838</v>
      </c>
      <c r="L156" s="1">
        <f t="shared" ca="1" si="86"/>
        <v>30</v>
      </c>
      <c r="M156" s="1"/>
      <c r="N156" s="1">
        <f t="shared" ca="1" si="87"/>
        <v>995</v>
      </c>
      <c r="O156" s="1">
        <f t="shared" ca="1" si="88"/>
        <v>22</v>
      </c>
      <c r="P156" s="1"/>
      <c r="Q156" s="1">
        <f t="shared" ca="1" si="89"/>
        <v>0.92867311243626716</v>
      </c>
      <c r="R156" s="1">
        <f t="shared" ca="1" si="90"/>
        <v>217</v>
      </c>
      <c r="S156" s="1"/>
      <c r="T156" s="1">
        <f t="shared" ca="1" si="91"/>
        <v>0.11157794649162463</v>
      </c>
      <c r="U156" s="1">
        <f t="shared" ca="1" si="92"/>
        <v>387</v>
      </c>
      <c r="V156" s="1">
        <f t="shared" ca="1" si="93"/>
        <v>51</v>
      </c>
      <c r="W156" s="1"/>
      <c r="X156" s="1">
        <f t="shared" ca="1" si="94"/>
        <v>7.7607498558228141</v>
      </c>
      <c r="Y156" s="1">
        <f t="shared" ca="1" si="95"/>
        <v>0.86178801901381752</v>
      </c>
      <c r="Z156" s="1">
        <f t="shared" ca="1" si="96"/>
        <v>1694</v>
      </c>
      <c r="AB156" s="1">
        <f t="shared" ca="1" si="97"/>
        <v>7.0055213523110768E-2</v>
      </c>
      <c r="AC156" s="1">
        <f t="shared" ca="1" si="98"/>
        <v>485</v>
      </c>
      <c r="AD156" s="1">
        <f t="shared" ca="1" si="99"/>
        <v>2.2424917207469392E-3</v>
      </c>
      <c r="AE156" s="1"/>
      <c r="AF156" s="1">
        <f t="shared" ca="1" si="100"/>
        <v>0.74200408926846295</v>
      </c>
      <c r="AG156" s="1">
        <f t="shared" ca="1" si="101"/>
        <v>918</v>
      </c>
      <c r="AH156" s="1">
        <f t="shared" ca="1" si="102"/>
        <v>3.0451953823268001E-3</v>
      </c>
      <c r="AJ156" s="1">
        <f t="shared" ca="1" si="103"/>
        <v>0.96293738038369658</v>
      </c>
      <c r="AK156" s="1">
        <f t="shared" ca="1" si="104"/>
        <v>5.833954698133843E-3</v>
      </c>
      <c r="AL156" s="1"/>
      <c r="AM156" s="1">
        <f t="shared" ca="1" si="105"/>
        <v>3.1352279754563984E-2</v>
      </c>
      <c r="AN156" s="1">
        <f t="shared" ca="1" si="106"/>
        <v>68</v>
      </c>
      <c r="AO156" s="1">
        <f t="shared" ca="1" si="107"/>
        <v>15</v>
      </c>
      <c r="AQ156" s="1">
        <f t="shared" ca="1" si="108"/>
        <v>25</v>
      </c>
      <c r="AR156" s="1">
        <f t="shared" ca="1" si="109"/>
        <v>1</v>
      </c>
      <c r="AS156" s="1">
        <f t="shared" ca="1" si="110"/>
        <v>31</v>
      </c>
      <c r="AU156" s="1">
        <f t="shared" ca="1" si="111"/>
        <v>235</v>
      </c>
      <c r="AV156" s="1">
        <f t="shared" ca="1" si="112"/>
        <v>2</v>
      </c>
      <c r="AW156" s="1">
        <f t="shared" ca="1" si="113"/>
        <v>0.11080978741816738</v>
      </c>
      <c r="AY156" s="1">
        <f t="shared" ca="1" si="114"/>
        <v>1.408195810583416</v>
      </c>
      <c r="AZ156" s="1">
        <f t="shared" ca="1" si="115"/>
        <v>437</v>
      </c>
      <c r="BA156" s="1">
        <f t="shared" ca="1" si="116"/>
        <v>3.5910547910193479E-3</v>
      </c>
    </row>
    <row r="157" spans="2:53" x14ac:dyDescent="0.25">
      <c r="B157">
        <f t="shared" ca="1" si="78"/>
        <v>158</v>
      </c>
      <c r="C157">
        <f t="shared" ca="1" si="79"/>
        <v>41</v>
      </c>
      <c r="D157">
        <f t="shared" ca="1" si="80"/>
        <v>0.29714464473299207</v>
      </c>
      <c r="F157" s="1">
        <f t="shared" ca="1" si="81"/>
        <v>2</v>
      </c>
      <c r="G157" s="1">
        <f t="shared" ca="1" si="82"/>
        <v>9</v>
      </c>
      <c r="H157" s="1">
        <f t="shared" ca="1" si="83"/>
        <v>8</v>
      </c>
      <c r="I157" s="1"/>
      <c r="J157" s="1">
        <f t="shared" ca="1" si="84"/>
        <v>18</v>
      </c>
      <c r="K157" s="1">
        <f t="shared" ca="1" si="85"/>
        <v>1.2267919060628676</v>
      </c>
      <c r="L157" s="1">
        <f t="shared" ca="1" si="86"/>
        <v>23</v>
      </c>
      <c r="M157" s="1"/>
      <c r="N157" s="1">
        <f t="shared" ca="1" si="87"/>
        <v>320</v>
      </c>
      <c r="O157" s="1">
        <f t="shared" ca="1" si="88"/>
        <v>10</v>
      </c>
      <c r="P157" s="1"/>
      <c r="Q157" s="1">
        <f t="shared" ca="1" si="89"/>
        <v>4.6524832452230926</v>
      </c>
      <c r="R157" s="1">
        <f t="shared" ca="1" si="90"/>
        <v>559</v>
      </c>
      <c r="S157" s="1"/>
      <c r="T157" s="1">
        <f t="shared" ca="1" si="91"/>
        <v>0.1509177563241921</v>
      </c>
      <c r="U157" s="1">
        <f t="shared" ca="1" si="92"/>
        <v>347</v>
      </c>
      <c r="V157" s="1">
        <f t="shared" ca="1" si="93"/>
        <v>19</v>
      </c>
      <c r="W157" s="1"/>
      <c r="X157" s="1">
        <f t="shared" ca="1" si="94"/>
        <v>5.0173293452922865</v>
      </c>
      <c r="Y157" s="1">
        <f t="shared" ca="1" si="95"/>
        <v>0.29137977293020834</v>
      </c>
      <c r="Z157" s="1">
        <f t="shared" ca="1" si="96"/>
        <v>1993</v>
      </c>
      <c r="AB157" s="1">
        <f t="shared" ca="1" si="97"/>
        <v>0.79937122064331778</v>
      </c>
      <c r="AC157" s="1">
        <f t="shared" ca="1" si="98"/>
        <v>372</v>
      </c>
      <c r="AD157" s="1">
        <f t="shared" ca="1" si="99"/>
        <v>9.6666013093678962E-3</v>
      </c>
      <c r="AE157" s="1"/>
      <c r="AF157" s="1">
        <f t="shared" ca="1" si="100"/>
        <v>0.5702772113626412</v>
      </c>
      <c r="AG157" s="1">
        <f t="shared" ca="1" si="101"/>
        <v>692</v>
      </c>
      <c r="AH157" s="1">
        <f t="shared" ca="1" si="102"/>
        <v>2.5638916146518758E-3</v>
      </c>
      <c r="AJ157" s="1">
        <f t="shared" ca="1" si="103"/>
        <v>0.72082894465178005</v>
      </c>
      <c r="AK157" s="1">
        <f t="shared" ca="1" si="104"/>
        <v>9.7749529375387428E-3</v>
      </c>
      <c r="AL157" s="1"/>
      <c r="AM157" s="1">
        <f t="shared" ca="1" si="105"/>
        <v>7.5019209456533648E-2</v>
      </c>
      <c r="AN157" s="1">
        <f t="shared" ca="1" si="106"/>
        <v>31</v>
      </c>
      <c r="AO157" s="1">
        <f t="shared" ca="1" si="107"/>
        <v>12</v>
      </c>
      <c r="AQ157" s="1">
        <f t="shared" ca="1" si="108"/>
        <v>24</v>
      </c>
      <c r="AR157" s="1">
        <f t="shared" ca="1" si="109"/>
        <v>5</v>
      </c>
      <c r="AS157" s="1">
        <f t="shared" ca="1" si="110"/>
        <v>77</v>
      </c>
      <c r="AU157" s="1">
        <f t="shared" ca="1" si="111"/>
        <v>295</v>
      </c>
      <c r="AV157" s="1">
        <f t="shared" ca="1" si="112"/>
        <v>5</v>
      </c>
      <c r="AW157" s="1">
        <f t="shared" ca="1" si="113"/>
        <v>6.124657974530956E-2</v>
      </c>
      <c r="AY157" s="1">
        <f t="shared" ca="1" si="114"/>
        <v>1.6161524151024051</v>
      </c>
      <c r="AZ157" s="1">
        <f t="shared" ca="1" si="115"/>
        <v>90</v>
      </c>
      <c r="BA157" s="1">
        <f t="shared" ca="1" si="116"/>
        <v>6.6936992784526611E-3</v>
      </c>
    </row>
    <row r="158" spans="2:53" x14ac:dyDescent="0.25">
      <c r="B158">
        <f t="shared" ca="1" si="78"/>
        <v>676</v>
      </c>
      <c r="C158">
        <f t="shared" ca="1" si="79"/>
        <v>10</v>
      </c>
      <c r="D158">
        <f t="shared" ca="1" si="80"/>
        <v>0.14611498069385206</v>
      </c>
      <c r="F158" s="1">
        <f t="shared" ca="1" si="81"/>
        <v>43</v>
      </c>
      <c r="G158" s="1">
        <f t="shared" ca="1" si="82"/>
        <v>26</v>
      </c>
      <c r="H158" s="1">
        <f t="shared" ca="1" si="83"/>
        <v>2</v>
      </c>
      <c r="I158" s="1"/>
      <c r="J158" s="1">
        <f t="shared" ca="1" si="84"/>
        <v>2</v>
      </c>
      <c r="K158" s="1">
        <f t="shared" ca="1" si="85"/>
        <v>2.8391750392779187</v>
      </c>
      <c r="L158" s="1">
        <f t="shared" ca="1" si="86"/>
        <v>4</v>
      </c>
      <c r="M158" s="1"/>
      <c r="N158" s="1">
        <f t="shared" ca="1" si="87"/>
        <v>418</v>
      </c>
      <c r="O158" s="1">
        <f t="shared" ca="1" si="88"/>
        <v>28</v>
      </c>
      <c r="P158" s="1"/>
      <c r="Q158" s="1">
        <f t="shared" ca="1" si="89"/>
        <v>3.4996452285258708</v>
      </c>
      <c r="R158" s="1">
        <f t="shared" ca="1" si="90"/>
        <v>1150</v>
      </c>
      <c r="S158" s="1"/>
      <c r="T158" s="1">
        <f t="shared" ca="1" si="91"/>
        <v>4.1514023481261292E-2</v>
      </c>
      <c r="U158" s="1">
        <f t="shared" ca="1" si="92"/>
        <v>121</v>
      </c>
      <c r="V158" s="1">
        <f t="shared" ca="1" si="93"/>
        <v>3</v>
      </c>
      <c r="W158" s="1"/>
      <c r="X158" s="1">
        <f t="shared" ca="1" si="94"/>
        <v>1.1168816147407492</v>
      </c>
      <c r="Y158" s="1">
        <f t="shared" ca="1" si="95"/>
        <v>0.84312028529541139</v>
      </c>
      <c r="Z158" s="1">
        <f t="shared" ca="1" si="96"/>
        <v>672</v>
      </c>
      <c r="AB158" s="1">
        <f t="shared" ca="1" si="97"/>
        <v>8.2050507032111128E-2</v>
      </c>
      <c r="AC158" s="1">
        <f t="shared" ca="1" si="98"/>
        <v>917</v>
      </c>
      <c r="AD158" s="1">
        <f t="shared" ca="1" si="99"/>
        <v>3.1960325310596244E-3</v>
      </c>
      <c r="AE158" s="1"/>
      <c r="AF158" s="1">
        <f t="shared" ca="1" si="100"/>
        <v>0.41831577995297375</v>
      </c>
      <c r="AG158" s="1">
        <f t="shared" ca="1" si="101"/>
        <v>750</v>
      </c>
      <c r="AH158" s="1">
        <f t="shared" ca="1" si="102"/>
        <v>3.2532738308979235E-4</v>
      </c>
      <c r="AJ158" s="1">
        <f t="shared" ca="1" si="103"/>
        <v>0.1611452280356902</v>
      </c>
      <c r="AK158" s="1">
        <f t="shared" ca="1" si="104"/>
        <v>9.2836226353731465E-3</v>
      </c>
      <c r="AL158" s="1"/>
      <c r="AM158" s="1">
        <f t="shared" ca="1" si="105"/>
        <v>5.5008754530842946E-2</v>
      </c>
      <c r="AN158" s="1">
        <f t="shared" ca="1" si="106"/>
        <v>66</v>
      </c>
      <c r="AO158" s="1">
        <f t="shared" ca="1" si="107"/>
        <v>18</v>
      </c>
      <c r="AQ158" s="1">
        <f t="shared" ca="1" si="108"/>
        <v>46</v>
      </c>
      <c r="AR158" s="1">
        <f t="shared" ca="1" si="109"/>
        <v>0</v>
      </c>
      <c r="AS158" s="1">
        <f t="shared" ca="1" si="110"/>
        <v>96</v>
      </c>
      <c r="AU158" s="1">
        <f t="shared" ca="1" si="111"/>
        <v>286</v>
      </c>
      <c r="AV158" s="1">
        <f t="shared" ca="1" si="112"/>
        <v>4</v>
      </c>
      <c r="AW158" s="1">
        <f t="shared" ca="1" si="113"/>
        <v>0.16621721934521513</v>
      </c>
      <c r="AY158" s="1">
        <f t="shared" ca="1" si="114"/>
        <v>1.4261108308438364</v>
      </c>
      <c r="AZ158" s="1">
        <f t="shared" ca="1" si="115"/>
        <v>499</v>
      </c>
      <c r="BA158" s="1">
        <f t="shared" ca="1" si="116"/>
        <v>2.7200609326114293E-3</v>
      </c>
    </row>
    <row r="159" spans="2:53" x14ac:dyDescent="0.25">
      <c r="B159">
        <f t="shared" ca="1" si="78"/>
        <v>513</v>
      </c>
      <c r="C159">
        <f t="shared" ca="1" si="79"/>
        <v>23</v>
      </c>
      <c r="D159">
        <f t="shared" ca="1" si="80"/>
        <v>0.13721300112265639</v>
      </c>
      <c r="F159" s="1">
        <f t="shared" ca="1" si="81"/>
        <v>24</v>
      </c>
      <c r="G159" s="1">
        <f t="shared" ca="1" si="82"/>
        <v>26</v>
      </c>
      <c r="H159" s="1">
        <f t="shared" ca="1" si="83"/>
        <v>13</v>
      </c>
      <c r="I159" s="1"/>
      <c r="J159" s="1">
        <f t="shared" ca="1" si="84"/>
        <v>1</v>
      </c>
      <c r="K159" s="1">
        <f t="shared" ca="1" si="85"/>
        <v>1.8829629649239172</v>
      </c>
      <c r="L159" s="1">
        <f t="shared" ca="1" si="86"/>
        <v>23</v>
      </c>
      <c r="M159" s="1"/>
      <c r="N159" s="1">
        <f t="shared" ca="1" si="87"/>
        <v>290</v>
      </c>
      <c r="O159" s="1">
        <f t="shared" ca="1" si="88"/>
        <v>11</v>
      </c>
      <c r="P159" s="1"/>
      <c r="Q159" s="1">
        <f t="shared" ca="1" si="89"/>
        <v>2.5722018398443063</v>
      </c>
      <c r="R159" s="1">
        <f t="shared" ca="1" si="90"/>
        <v>282</v>
      </c>
      <c r="S159" s="1"/>
      <c r="T159" s="1">
        <f t="shared" ca="1" si="91"/>
        <v>0.12339533954926481</v>
      </c>
      <c r="U159" s="1">
        <f t="shared" ca="1" si="92"/>
        <v>112</v>
      </c>
      <c r="V159" s="1">
        <f t="shared" ca="1" si="93"/>
        <v>7</v>
      </c>
      <c r="W159" s="1"/>
      <c r="X159" s="1">
        <f t="shared" ca="1" si="94"/>
        <v>1.8835995753520274</v>
      </c>
      <c r="Y159" s="1">
        <f t="shared" ca="1" si="95"/>
        <v>0.38937657204059178</v>
      </c>
      <c r="Z159" s="1">
        <f t="shared" ca="1" si="96"/>
        <v>1477</v>
      </c>
      <c r="AB159" s="1">
        <f t="shared" ca="1" si="97"/>
        <v>0.78321752140764478</v>
      </c>
      <c r="AC159" s="1">
        <f t="shared" ca="1" si="98"/>
        <v>725</v>
      </c>
      <c r="AD159" s="1">
        <f t="shared" ca="1" si="99"/>
        <v>3.7806149811446636E-3</v>
      </c>
      <c r="AE159" s="1"/>
      <c r="AF159" s="1">
        <f t="shared" ca="1" si="100"/>
        <v>0.33119839677092844</v>
      </c>
      <c r="AG159" s="1">
        <f t="shared" ca="1" si="101"/>
        <v>138</v>
      </c>
      <c r="AH159" s="1">
        <f t="shared" ca="1" si="102"/>
        <v>9.2657487150308738E-3</v>
      </c>
      <c r="AJ159" s="1">
        <f t="shared" ca="1" si="103"/>
        <v>0.89420175405710156</v>
      </c>
      <c r="AK159" s="1">
        <f t="shared" ca="1" si="104"/>
        <v>6.3622885361821297E-3</v>
      </c>
      <c r="AL159" s="1"/>
      <c r="AM159" s="1">
        <f t="shared" ca="1" si="105"/>
        <v>0.1041781044145018</v>
      </c>
      <c r="AN159" s="1">
        <f t="shared" ca="1" si="106"/>
        <v>55</v>
      </c>
      <c r="AO159" s="1">
        <f t="shared" ca="1" si="107"/>
        <v>6</v>
      </c>
      <c r="AQ159" s="1">
        <f t="shared" ca="1" si="108"/>
        <v>147</v>
      </c>
      <c r="AR159" s="1">
        <f t="shared" ca="1" si="109"/>
        <v>9</v>
      </c>
      <c r="AS159" s="1">
        <f t="shared" ca="1" si="110"/>
        <v>11</v>
      </c>
      <c r="AU159" s="1">
        <f t="shared" ca="1" si="111"/>
        <v>253</v>
      </c>
      <c r="AV159" s="1">
        <f t="shared" ca="1" si="112"/>
        <v>9</v>
      </c>
      <c r="AW159" s="1">
        <f t="shared" ca="1" si="113"/>
        <v>4.8994117565234307E-2</v>
      </c>
      <c r="AY159" s="1">
        <f t="shared" ca="1" si="114"/>
        <v>1.5328735561115501</v>
      </c>
      <c r="AZ159" s="1">
        <f t="shared" ca="1" si="115"/>
        <v>468</v>
      </c>
      <c r="BA159" s="1">
        <f t="shared" ca="1" si="116"/>
        <v>8.6016480749276543E-4</v>
      </c>
    </row>
    <row r="160" spans="2:53" x14ac:dyDescent="0.25">
      <c r="B160">
        <f t="shared" ca="1" si="78"/>
        <v>237</v>
      </c>
      <c r="C160">
        <f t="shared" ca="1" si="79"/>
        <v>34</v>
      </c>
      <c r="D160">
        <f t="shared" ca="1" si="80"/>
        <v>0.26672531529327648</v>
      </c>
      <c r="F160" s="1">
        <f t="shared" ca="1" si="81"/>
        <v>6</v>
      </c>
      <c r="G160" s="1">
        <f t="shared" ca="1" si="82"/>
        <v>21</v>
      </c>
      <c r="H160" s="1">
        <f t="shared" ca="1" si="83"/>
        <v>3</v>
      </c>
      <c r="I160" s="1"/>
      <c r="J160" s="1">
        <f t="shared" ca="1" si="84"/>
        <v>19</v>
      </c>
      <c r="K160" s="1">
        <f t="shared" ca="1" si="85"/>
        <v>2.704337028199276</v>
      </c>
      <c r="L160" s="1">
        <f t="shared" ca="1" si="86"/>
        <v>28</v>
      </c>
      <c r="M160" s="1"/>
      <c r="N160" s="1">
        <f t="shared" ca="1" si="87"/>
        <v>160</v>
      </c>
      <c r="O160" s="1">
        <f t="shared" ca="1" si="88"/>
        <v>33</v>
      </c>
      <c r="P160" s="1"/>
      <c r="Q160" s="1">
        <f t="shared" ca="1" si="89"/>
        <v>3.7309894090025453</v>
      </c>
      <c r="R160" s="1">
        <f t="shared" ca="1" si="90"/>
        <v>1045</v>
      </c>
      <c r="S160" s="1"/>
      <c r="T160" s="1">
        <f t="shared" ca="1" si="91"/>
        <v>0.1151354623328142</v>
      </c>
      <c r="U160" s="1">
        <f t="shared" ca="1" si="92"/>
        <v>212</v>
      </c>
      <c r="V160" s="1">
        <f t="shared" ca="1" si="93"/>
        <v>28</v>
      </c>
      <c r="W160" s="1"/>
      <c r="X160" s="1">
        <f t="shared" ca="1" si="94"/>
        <v>3.3204274228509023</v>
      </c>
      <c r="Y160" s="1">
        <f t="shared" ca="1" si="95"/>
        <v>0.63476157875189454</v>
      </c>
      <c r="Z160" s="1">
        <f t="shared" ca="1" si="96"/>
        <v>1253</v>
      </c>
      <c r="AB160" s="1">
        <f t="shared" ca="1" si="97"/>
        <v>0.33076625145422484</v>
      </c>
      <c r="AC160" s="1">
        <f t="shared" ca="1" si="98"/>
        <v>724</v>
      </c>
      <c r="AD160" s="1">
        <f t="shared" ca="1" si="99"/>
        <v>4.2542243302691853E-4</v>
      </c>
      <c r="AE160" s="1"/>
      <c r="AF160" s="1">
        <f t="shared" ca="1" si="100"/>
        <v>0.33927153002431487</v>
      </c>
      <c r="AG160" s="1">
        <f t="shared" ca="1" si="101"/>
        <v>244</v>
      </c>
      <c r="AH160" s="1">
        <f t="shared" ca="1" si="102"/>
        <v>7.3488545421051647E-3</v>
      </c>
      <c r="AJ160" s="1">
        <f t="shared" ca="1" si="103"/>
        <v>0.53529141387782098</v>
      </c>
      <c r="AK160" s="1">
        <f t="shared" ca="1" si="104"/>
        <v>9.0381390450045736E-3</v>
      </c>
      <c r="AL160" s="1"/>
      <c r="AM160" s="1">
        <f t="shared" ca="1" si="105"/>
        <v>5.1463603702146539E-2</v>
      </c>
      <c r="AN160" s="1">
        <f t="shared" ca="1" si="106"/>
        <v>31</v>
      </c>
      <c r="AO160" s="1">
        <f t="shared" ca="1" si="107"/>
        <v>19</v>
      </c>
      <c r="AQ160" s="1">
        <f t="shared" ca="1" si="108"/>
        <v>70</v>
      </c>
      <c r="AR160" s="1">
        <f t="shared" ca="1" si="109"/>
        <v>5</v>
      </c>
      <c r="AS160" s="1">
        <f t="shared" ca="1" si="110"/>
        <v>36</v>
      </c>
      <c r="AU160" s="1">
        <f t="shared" ca="1" si="111"/>
        <v>384</v>
      </c>
      <c r="AV160" s="1">
        <f t="shared" ca="1" si="112"/>
        <v>2</v>
      </c>
      <c r="AW160" s="1">
        <f t="shared" ca="1" si="113"/>
        <v>0.1890409762005297</v>
      </c>
      <c r="AY160" s="1">
        <f t="shared" ca="1" si="114"/>
        <v>1.6227655024737135</v>
      </c>
      <c r="AZ160" s="1">
        <f t="shared" ca="1" si="115"/>
        <v>383</v>
      </c>
      <c r="BA160" s="1">
        <f t="shared" ca="1" si="116"/>
        <v>3.6994837179659696E-3</v>
      </c>
    </row>
    <row r="161" spans="2:53" x14ac:dyDescent="0.25">
      <c r="B161">
        <f t="shared" ca="1" si="78"/>
        <v>660</v>
      </c>
      <c r="C161">
        <f t="shared" ca="1" si="79"/>
        <v>32</v>
      </c>
      <c r="D161">
        <f t="shared" ca="1" si="80"/>
        <v>0.25092768035093499</v>
      </c>
      <c r="F161" s="1">
        <f t="shared" ca="1" si="81"/>
        <v>51</v>
      </c>
      <c r="G161" s="1">
        <f t="shared" ca="1" si="82"/>
        <v>13</v>
      </c>
      <c r="H161" s="1">
        <f t="shared" ca="1" si="83"/>
        <v>8</v>
      </c>
      <c r="I161" s="1"/>
      <c r="J161" s="1">
        <f t="shared" ca="1" si="84"/>
        <v>37</v>
      </c>
      <c r="K161" s="1">
        <f t="shared" ca="1" si="85"/>
        <v>1.1214629880635569</v>
      </c>
      <c r="L161" s="1">
        <f t="shared" ca="1" si="86"/>
        <v>16</v>
      </c>
      <c r="M161" s="1"/>
      <c r="N161" s="1">
        <f t="shared" ca="1" si="87"/>
        <v>130</v>
      </c>
      <c r="O161" s="1">
        <f t="shared" ca="1" si="88"/>
        <v>28</v>
      </c>
      <c r="P161" s="1"/>
      <c r="Q161" s="1">
        <f t="shared" ca="1" si="89"/>
        <v>4.9439846039989144</v>
      </c>
      <c r="R161" s="1">
        <f t="shared" ca="1" si="90"/>
        <v>698</v>
      </c>
      <c r="S161" s="1"/>
      <c r="T161" s="1">
        <f t="shared" ca="1" si="91"/>
        <v>0.19318155603865345</v>
      </c>
      <c r="U161" s="1">
        <f t="shared" ca="1" si="92"/>
        <v>58</v>
      </c>
      <c r="V161" s="1">
        <f t="shared" ca="1" si="93"/>
        <v>33</v>
      </c>
      <c r="W161" s="1"/>
      <c r="X161" s="1">
        <f t="shared" ca="1" si="94"/>
        <v>4.9158837431238585</v>
      </c>
      <c r="Y161" s="1">
        <f t="shared" ca="1" si="95"/>
        <v>7.0337421438537981E-2</v>
      </c>
      <c r="Z161" s="1">
        <f t="shared" ca="1" si="96"/>
        <v>1145</v>
      </c>
      <c r="AB161" s="1">
        <f t="shared" ca="1" si="97"/>
        <v>0.30948964899796316</v>
      </c>
      <c r="AC161" s="1">
        <f t="shared" ca="1" si="98"/>
        <v>621</v>
      </c>
      <c r="AD161" s="1">
        <f t="shared" ca="1" si="99"/>
        <v>4.5635130087265151E-3</v>
      </c>
      <c r="AE161" s="1"/>
      <c r="AF161" s="1">
        <f t="shared" ca="1" si="100"/>
        <v>0.31284442628622522</v>
      </c>
      <c r="AG161" s="1">
        <f t="shared" ca="1" si="101"/>
        <v>450</v>
      </c>
      <c r="AH161" s="1">
        <f t="shared" ca="1" si="102"/>
        <v>5.9600880531961139E-3</v>
      </c>
      <c r="AJ161" s="1">
        <f t="shared" ca="1" si="103"/>
        <v>0.15551190743282717</v>
      </c>
      <c r="AK161" s="1">
        <f t="shared" ca="1" si="104"/>
        <v>4.8485704316265201E-3</v>
      </c>
      <c r="AL161" s="1"/>
      <c r="AM161" s="1">
        <f t="shared" ca="1" si="105"/>
        <v>8.6030150415154258E-2</v>
      </c>
      <c r="AN161" s="1">
        <f t="shared" ca="1" si="106"/>
        <v>20</v>
      </c>
      <c r="AO161" s="1">
        <f t="shared" ca="1" si="107"/>
        <v>1</v>
      </c>
      <c r="AQ161" s="1">
        <f t="shared" ca="1" si="108"/>
        <v>67</v>
      </c>
      <c r="AR161" s="1">
        <f t="shared" ca="1" si="109"/>
        <v>0</v>
      </c>
      <c r="AS161" s="1">
        <f t="shared" ca="1" si="110"/>
        <v>57</v>
      </c>
      <c r="AU161" s="1">
        <f t="shared" ca="1" si="111"/>
        <v>57</v>
      </c>
      <c r="AV161" s="1">
        <f t="shared" ca="1" si="112"/>
        <v>8</v>
      </c>
      <c r="AW161" s="1">
        <f t="shared" ca="1" si="113"/>
        <v>3.8048864429117334E-2</v>
      </c>
      <c r="AY161" s="1">
        <f t="shared" ca="1" si="114"/>
        <v>1.1594460656308914</v>
      </c>
      <c r="AZ161" s="1">
        <f t="shared" ca="1" si="115"/>
        <v>134</v>
      </c>
      <c r="BA161" s="1">
        <f t="shared" ca="1" si="116"/>
        <v>2.2793213847658558E-3</v>
      </c>
    </row>
    <row r="162" spans="2:53" x14ac:dyDescent="0.25">
      <c r="B162">
        <f t="shared" ca="1" si="78"/>
        <v>260</v>
      </c>
      <c r="C162">
        <f t="shared" ca="1" si="79"/>
        <v>10</v>
      </c>
      <c r="D162">
        <f t="shared" ca="1" si="80"/>
        <v>8.3202178807646354E-2</v>
      </c>
      <c r="F162" s="1">
        <f t="shared" ca="1" si="81"/>
        <v>14</v>
      </c>
      <c r="G162" s="1">
        <f t="shared" ca="1" si="82"/>
        <v>4</v>
      </c>
      <c r="H162" s="1">
        <f t="shared" ca="1" si="83"/>
        <v>8</v>
      </c>
      <c r="I162" s="1"/>
      <c r="J162" s="1">
        <f t="shared" ca="1" si="84"/>
        <v>22</v>
      </c>
      <c r="K162" s="1">
        <f t="shared" ca="1" si="85"/>
        <v>1.8267651237613229</v>
      </c>
      <c r="L162" s="1">
        <f t="shared" ca="1" si="86"/>
        <v>26</v>
      </c>
      <c r="M162" s="1"/>
      <c r="N162" s="1">
        <f t="shared" ca="1" si="87"/>
        <v>683</v>
      </c>
      <c r="O162" s="1">
        <f t="shared" ca="1" si="88"/>
        <v>14</v>
      </c>
      <c r="P162" s="1"/>
      <c r="Q162" s="1">
        <f t="shared" ca="1" si="89"/>
        <v>1.8759489916444088</v>
      </c>
      <c r="R162" s="1">
        <f t="shared" ca="1" si="90"/>
        <v>206</v>
      </c>
      <c r="S162" s="1"/>
      <c r="T162" s="1">
        <f t="shared" ca="1" si="91"/>
        <v>5.2998196194306062E-2</v>
      </c>
      <c r="U162" s="1">
        <f t="shared" ca="1" si="92"/>
        <v>66</v>
      </c>
      <c r="V162" s="1">
        <f t="shared" ca="1" si="93"/>
        <v>18</v>
      </c>
      <c r="W162" s="1"/>
      <c r="X162" s="1">
        <f t="shared" ca="1" si="94"/>
        <v>9.9139264472046733</v>
      </c>
      <c r="Y162" s="1">
        <f t="shared" ca="1" si="95"/>
        <v>0.29609635375654775</v>
      </c>
      <c r="Z162" s="1">
        <f t="shared" ca="1" si="96"/>
        <v>824</v>
      </c>
      <c r="AB162" s="1">
        <f t="shared" ca="1" si="97"/>
        <v>0.21591884485858887</v>
      </c>
      <c r="AC162" s="1">
        <f t="shared" ca="1" si="98"/>
        <v>136</v>
      </c>
      <c r="AD162" s="1">
        <f t="shared" ca="1" si="99"/>
        <v>3.5602180062649551E-3</v>
      </c>
      <c r="AE162" s="1"/>
      <c r="AF162" s="1">
        <f t="shared" ca="1" si="100"/>
        <v>0.78684568889769591</v>
      </c>
      <c r="AG162" s="1">
        <f t="shared" ca="1" si="101"/>
        <v>489</v>
      </c>
      <c r="AH162" s="1">
        <f t="shared" ca="1" si="102"/>
        <v>3.0661622615863506E-3</v>
      </c>
      <c r="AJ162" s="1">
        <f t="shared" ca="1" si="103"/>
        <v>9.1843983705378385E-2</v>
      </c>
      <c r="AK162" s="1">
        <f t="shared" ca="1" si="104"/>
        <v>6.0135991947280962E-3</v>
      </c>
      <c r="AL162" s="1"/>
      <c r="AM162" s="1">
        <f t="shared" ca="1" si="105"/>
        <v>0.13817782111348312</v>
      </c>
      <c r="AN162" s="1">
        <f t="shared" ca="1" si="106"/>
        <v>11</v>
      </c>
      <c r="AO162" s="1">
        <f t="shared" ca="1" si="107"/>
        <v>15</v>
      </c>
      <c r="AQ162" s="1">
        <f t="shared" ca="1" si="108"/>
        <v>30</v>
      </c>
      <c r="AR162" s="1">
        <f t="shared" ca="1" si="109"/>
        <v>3</v>
      </c>
      <c r="AS162" s="1">
        <f t="shared" ca="1" si="110"/>
        <v>29</v>
      </c>
      <c r="AU162" s="1">
        <f t="shared" ca="1" si="111"/>
        <v>199</v>
      </c>
      <c r="AV162" s="1">
        <f t="shared" ca="1" si="112"/>
        <v>2</v>
      </c>
      <c r="AW162" s="1">
        <f t="shared" ca="1" si="113"/>
        <v>7.670298130682679E-2</v>
      </c>
      <c r="AY162" s="1">
        <f t="shared" ca="1" si="114"/>
        <v>1.4562487438288156</v>
      </c>
      <c r="AZ162" s="1">
        <f t="shared" ca="1" si="115"/>
        <v>192</v>
      </c>
      <c r="BA162" s="1">
        <f t="shared" ca="1" si="116"/>
        <v>2.6133510677071249E-3</v>
      </c>
    </row>
    <row r="163" spans="2:53" x14ac:dyDescent="0.25">
      <c r="B163">
        <f t="shared" ca="1" si="78"/>
        <v>352</v>
      </c>
      <c r="C163">
        <f t="shared" ca="1" si="79"/>
        <v>19</v>
      </c>
      <c r="D163">
        <f t="shared" ca="1" si="80"/>
        <v>8.9699101732152342E-2</v>
      </c>
      <c r="F163" s="1">
        <f t="shared" ca="1" si="81"/>
        <v>36</v>
      </c>
      <c r="G163" s="1">
        <f t="shared" ca="1" si="82"/>
        <v>21</v>
      </c>
      <c r="H163" s="1">
        <f t="shared" ca="1" si="83"/>
        <v>7</v>
      </c>
      <c r="I163" s="1"/>
      <c r="J163" s="1">
        <f t="shared" ca="1" si="84"/>
        <v>23</v>
      </c>
      <c r="K163" s="1">
        <f t="shared" ca="1" si="85"/>
        <v>1.5029424044019288</v>
      </c>
      <c r="L163" s="1">
        <f t="shared" ca="1" si="86"/>
        <v>18</v>
      </c>
      <c r="M163" s="1"/>
      <c r="N163" s="1">
        <f t="shared" ca="1" si="87"/>
        <v>742</v>
      </c>
      <c r="O163" s="1">
        <f t="shared" ca="1" si="88"/>
        <v>17</v>
      </c>
      <c r="P163" s="1"/>
      <c r="Q163" s="1">
        <f t="shared" ca="1" si="89"/>
        <v>0.66002568401910344</v>
      </c>
      <c r="R163" s="1">
        <f t="shared" ca="1" si="90"/>
        <v>548</v>
      </c>
      <c r="S163" s="1"/>
      <c r="T163" s="1">
        <f t="shared" ca="1" si="91"/>
        <v>1.4429319638154414E-2</v>
      </c>
      <c r="U163" s="1">
        <f t="shared" ca="1" si="92"/>
        <v>265</v>
      </c>
      <c r="V163" s="1">
        <f t="shared" ca="1" si="93"/>
        <v>49</v>
      </c>
      <c r="W163" s="1"/>
      <c r="X163" s="1">
        <f t="shared" ca="1" si="94"/>
        <v>8.8198566205545497</v>
      </c>
      <c r="Y163" s="1">
        <f t="shared" ca="1" si="95"/>
        <v>0.14350597182858843</v>
      </c>
      <c r="Z163" s="1">
        <f t="shared" ca="1" si="96"/>
        <v>1759</v>
      </c>
      <c r="AB163" s="1">
        <f t="shared" ca="1" si="97"/>
        <v>0.85079370554379252</v>
      </c>
      <c r="AC163" s="1">
        <f t="shared" ca="1" si="98"/>
        <v>163</v>
      </c>
      <c r="AD163" s="1">
        <f t="shared" ca="1" si="99"/>
        <v>2.7591336068057619E-3</v>
      </c>
      <c r="AE163" s="1"/>
      <c r="AF163" s="1">
        <f t="shared" ca="1" si="100"/>
        <v>0.27125064707264068</v>
      </c>
      <c r="AG163" s="1">
        <f t="shared" ca="1" si="101"/>
        <v>309</v>
      </c>
      <c r="AH163" s="1">
        <f t="shared" ca="1" si="102"/>
        <v>4.4469746239041005E-3</v>
      </c>
      <c r="AJ163" s="1">
        <f t="shared" ca="1" si="103"/>
        <v>0.57784870983770831</v>
      </c>
      <c r="AK163" s="1">
        <f t="shared" ca="1" si="104"/>
        <v>9.9560456407983694E-3</v>
      </c>
      <c r="AL163" s="1"/>
      <c r="AM163" s="1">
        <f t="shared" ca="1" si="105"/>
        <v>0.12203502293428949</v>
      </c>
      <c r="AN163" s="1">
        <f t="shared" ca="1" si="106"/>
        <v>80</v>
      </c>
      <c r="AO163" s="1">
        <f t="shared" ca="1" si="107"/>
        <v>1</v>
      </c>
      <c r="AQ163" s="1">
        <f t="shared" ca="1" si="108"/>
        <v>167</v>
      </c>
      <c r="AR163" s="1">
        <f t="shared" ca="1" si="109"/>
        <v>0</v>
      </c>
      <c r="AS163" s="1">
        <f t="shared" ca="1" si="110"/>
        <v>44</v>
      </c>
      <c r="AU163" s="1">
        <f t="shared" ca="1" si="111"/>
        <v>130</v>
      </c>
      <c r="AV163" s="1">
        <f t="shared" ca="1" si="112"/>
        <v>10</v>
      </c>
      <c r="AW163" s="1">
        <f t="shared" ca="1" si="113"/>
        <v>6.458610311637869E-2</v>
      </c>
      <c r="AY163" s="1">
        <f t="shared" ca="1" si="114"/>
        <v>1.5523040076955783</v>
      </c>
      <c r="AZ163" s="1">
        <f t="shared" ca="1" si="115"/>
        <v>434</v>
      </c>
      <c r="BA163" s="1">
        <f t="shared" ca="1" si="116"/>
        <v>8.5282002116051255E-3</v>
      </c>
    </row>
    <row r="164" spans="2:53" x14ac:dyDescent="0.25">
      <c r="B164">
        <f t="shared" ca="1" si="78"/>
        <v>581</v>
      </c>
      <c r="C164">
        <f t="shared" ca="1" si="79"/>
        <v>4</v>
      </c>
      <c r="D164">
        <f t="shared" ca="1" si="80"/>
        <v>3.0261805491328224E-2</v>
      </c>
      <c r="F164" s="1">
        <f t="shared" ca="1" si="81"/>
        <v>45</v>
      </c>
      <c r="G164" s="1">
        <f t="shared" ca="1" si="82"/>
        <v>22</v>
      </c>
      <c r="H164" s="1">
        <f t="shared" ca="1" si="83"/>
        <v>6</v>
      </c>
      <c r="I164" s="1"/>
      <c r="J164" s="1">
        <f t="shared" ca="1" si="84"/>
        <v>37</v>
      </c>
      <c r="K164" s="1">
        <f t="shared" ca="1" si="85"/>
        <v>2.2061779439578175</v>
      </c>
      <c r="L164" s="1">
        <f t="shared" ca="1" si="86"/>
        <v>21</v>
      </c>
      <c r="M164" s="1"/>
      <c r="N164" s="1">
        <f t="shared" ca="1" si="87"/>
        <v>859</v>
      </c>
      <c r="O164" s="1">
        <f t="shared" ca="1" si="88"/>
        <v>19</v>
      </c>
      <c r="P164" s="1"/>
      <c r="Q164" s="1">
        <f t="shared" ca="1" si="89"/>
        <v>2.4186503530798626</v>
      </c>
      <c r="R164" s="1">
        <f t="shared" ca="1" si="90"/>
        <v>1107</v>
      </c>
      <c r="S164" s="1"/>
      <c r="T164" s="1">
        <f t="shared" ca="1" si="91"/>
        <v>8.7891449929662607E-2</v>
      </c>
      <c r="U164" s="1">
        <f t="shared" ca="1" si="92"/>
        <v>415</v>
      </c>
      <c r="V164" s="1">
        <f t="shared" ca="1" si="93"/>
        <v>41</v>
      </c>
      <c r="W164" s="1"/>
      <c r="X164" s="1">
        <f t="shared" ca="1" si="94"/>
        <v>8.534922787606531</v>
      </c>
      <c r="Y164" s="1">
        <f t="shared" ca="1" si="95"/>
        <v>0.63111963275210603</v>
      </c>
      <c r="Z164" s="1">
        <f t="shared" ca="1" si="96"/>
        <v>149</v>
      </c>
      <c r="AB164" s="1">
        <f t="shared" ca="1" si="97"/>
        <v>0.95326087080004973</v>
      </c>
      <c r="AC164" s="1">
        <f t="shared" ca="1" si="98"/>
        <v>376</v>
      </c>
      <c r="AD164" s="1">
        <f t="shared" ca="1" si="99"/>
        <v>4.2839719902459531E-3</v>
      </c>
      <c r="AE164" s="1"/>
      <c r="AF164" s="1">
        <f t="shared" ca="1" si="100"/>
        <v>0.8749355925499479</v>
      </c>
      <c r="AG164" s="1">
        <f t="shared" ca="1" si="101"/>
        <v>259</v>
      </c>
      <c r="AH164" s="1">
        <f t="shared" ca="1" si="102"/>
        <v>9.7598277740527078E-3</v>
      </c>
      <c r="AJ164" s="1">
        <f t="shared" ca="1" si="103"/>
        <v>4.7915496976444594E-2</v>
      </c>
      <c r="AK164" s="1">
        <f t="shared" ca="1" si="104"/>
        <v>5.9350226962483722E-3</v>
      </c>
      <c r="AL164" s="1"/>
      <c r="AM164" s="1">
        <f t="shared" ca="1" si="105"/>
        <v>0.1619742368842306</v>
      </c>
      <c r="AN164" s="1">
        <f t="shared" ca="1" si="106"/>
        <v>77</v>
      </c>
      <c r="AO164" s="1">
        <f t="shared" ca="1" si="107"/>
        <v>9</v>
      </c>
      <c r="AQ164" s="1">
        <f t="shared" ca="1" si="108"/>
        <v>169</v>
      </c>
      <c r="AR164" s="1">
        <f t="shared" ca="1" si="109"/>
        <v>7</v>
      </c>
      <c r="AS164" s="1">
        <f t="shared" ca="1" si="110"/>
        <v>95</v>
      </c>
      <c r="AU164" s="1">
        <f t="shared" ca="1" si="111"/>
        <v>382</v>
      </c>
      <c r="AV164" s="1">
        <f t="shared" ca="1" si="112"/>
        <v>6</v>
      </c>
      <c r="AW164" s="1">
        <f t="shared" ca="1" si="113"/>
        <v>0.15779085986738511</v>
      </c>
      <c r="AY164" s="1">
        <f t="shared" ca="1" si="114"/>
        <v>1.3820371605039803</v>
      </c>
      <c r="AZ164" s="1">
        <f t="shared" ca="1" si="115"/>
        <v>271</v>
      </c>
      <c r="BA164" s="1">
        <f t="shared" ca="1" si="116"/>
        <v>6.7319653723615994E-3</v>
      </c>
    </row>
    <row r="165" spans="2:53" x14ac:dyDescent="0.25">
      <c r="B165">
        <f t="shared" ca="1" si="78"/>
        <v>230</v>
      </c>
      <c r="C165">
        <f t="shared" ca="1" si="79"/>
        <v>15</v>
      </c>
      <c r="D165">
        <f t="shared" ca="1" si="80"/>
        <v>0.10808103014421429</v>
      </c>
      <c r="F165" s="1">
        <f t="shared" ca="1" si="81"/>
        <v>19</v>
      </c>
      <c r="G165" s="1">
        <f t="shared" ca="1" si="82"/>
        <v>17</v>
      </c>
      <c r="H165" s="1">
        <f t="shared" ca="1" si="83"/>
        <v>13</v>
      </c>
      <c r="I165" s="1"/>
      <c r="J165" s="1">
        <f t="shared" ca="1" si="84"/>
        <v>34</v>
      </c>
      <c r="K165" s="1">
        <f t="shared" ca="1" si="85"/>
        <v>2.1372063376727271</v>
      </c>
      <c r="L165" s="1">
        <f t="shared" ca="1" si="86"/>
        <v>19</v>
      </c>
      <c r="M165" s="1"/>
      <c r="N165" s="1">
        <f t="shared" ca="1" si="87"/>
        <v>497</v>
      </c>
      <c r="O165" s="1">
        <f t="shared" ca="1" si="88"/>
        <v>40</v>
      </c>
      <c r="P165" s="1"/>
      <c r="Q165" s="1">
        <f t="shared" ca="1" si="89"/>
        <v>1.3261756559327855</v>
      </c>
      <c r="R165" s="1">
        <f t="shared" ca="1" si="90"/>
        <v>959</v>
      </c>
      <c r="S165" s="1"/>
      <c r="T165" s="1">
        <f t="shared" ca="1" si="91"/>
        <v>0.17128354826220044</v>
      </c>
      <c r="U165" s="1">
        <f t="shared" ca="1" si="92"/>
        <v>256</v>
      </c>
      <c r="V165" s="1">
        <f t="shared" ca="1" si="93"/>
        <v>4</v>
      </c>
      <c r="W165" s="1"/>
      <c r="X165" s="1">
        <f t="shared" ca="1" si="94"/>
        <v>4.2756498575820867</v>
      </c>
      <c r="Y165" s="1">
        <f t="shared" ca="1" si="95"/>
        <v>0.61331853074713516</v>
      </c>
      <c r="Z165" s="1">
        <f t="shared" ca="1" si="96"/>
        <v>1124</v>
      </c>
      <c r="AB165" s="1">
        <f t="shared" ca="1" si="97"/>
        <v>0.57230733551541102</v>
      </c>
      <c r="AC165" s="1">
        <f t="shared" ca="1" si="98"/>
        <v>420</v>
      </c>
      <c r="AD165" s="1">
        <f t="shared" ca="1" si="99"/>
        <v>6.2426542549028009E-4</v>
      </c>
      <c r="AE165" s="1"/>
      <c r="AF165" s="1">
        <f t="shared" ca="1" si="100"/>
        <v>0.77315479824403566</v>
      </c>
      <c r="AG165" s="1">
        <f t="shared" ca="1" si="101"/>
        <v>642</v>
      </c>
      <c r="AH165" s="1">
        <f t="shared" ca="1" si="102"/>
        <v>1.2027972834450494E-3</v>
      </c>
      <c r="AJ165" s="1">
        <f t="shared" ca="1" si="103"/>
        <v>0.18939828069523834</v>
      </c>
      <c r="AK165" s="1">
        <f t="shared" ca="1" si="104"/>
        <v>3.9496508990720597E-3</v>
      </c>
      <c r="AL165" s="1"/>
      <c r="AM165" s="1">
        <f t="shared" ca="1" si="105"/>
        <v>0.13868031452296428</v>
      </c>
      <c r="AN165" s="1">
        <f t="shared" ca="1" si="106"/>
        <v>52</v>
      </c>
      <c r="AO165" s="1">
        <f t="shared" ca="1" si="107"/>
        <v>16</v>
      </c>
      <c r="AQ165" s="1">
        <f t="shared" ca="1" si="108"/>
        <v>145</v>
      </c>
      <c r="AR165" s="1">
        <f t="shared" ca="1" si="109"/>
        <v>3</v>
      </c>
      <c r="AS165" s="1">
        <f t="shared" ca="1" si="110"/>
        <v>51</v>
      </c>
      <c r="AU165" s="1">
        <f t="shared" ca="1" si="111"/>
        <v>281</v>
      </c>
      <c r="AV165" s="1">
        <f t="shared" ca="1" si="112"/>
        <v>2</v>
      </c>
      <c r="AW165" s="1">
        <f t="shared" ca="1" si="113"/>
        <v>0.10966521375096497</v>
      </c>
      <c r="AY165" s="1">
        <f t="shared" ca="1" si="114"/>
        <v>1.5485356121158662</v>
      </c>
      <c r="AZ165" s="1">
        <f t="shared" ca="1" si="115"/>
        <v>375</v>
      </c>
      <c r="BA165" s="1">
        <f t="shared" ca="1" si="116"/>
        <v>4.2788162646227928E-3</v>
      </c>
    </row>
    <row r="166" spans="2:53" x14ac:dyDescent="0.25">
      <c r="B166">
        <f t="shared" ca="1" si="78"/>
        <v>354</v>
      </c>
      <c r="C166">
        <f t="shared" ca="1" si="79"/>
        <v>52</v>
      </c>
      <c r="D166">
        <f t="shared" ca="1" si="80"/>
        <v>0.18630694790820818</v>
      </c>
      <c r="F166" s="1">
        <f t="shared" ca="1" si="81"/>
        <v>13</v>
      </c>
      <c r="G166" s="1">
        <f t="shared" ca="1" si="82"/>
        <v>24</v>
      </c>
      <c r="H166" s="1">
        <f t="shared" ca="1" si="83"/>
        <v>15</v>
      </c>
      <c r="I166" s="1"/>
      <c r="J166" s="1">
        <f t="shared" ca="1" si="84"/>
        <v>7</v>
      </c>
      <c r="K166" s="1">
        <f t="shared" ca="1" si="85"/>
        <v>1.0439688548981143</v>
      </c>
      <c r="L166" s="1">
        <f t="shared" ca="1" si="86"/>
        <v>20</v>
      </c>
      <c r="M166" s="1"/>
      <c r="N166" s="1">
        <f t="shared" ca="1" si="87"/>
        <v>443</v>
      </c>
      <c r="O166" s="1">
        <f t="shared" ca="1" si="88"/>
        <v>49</v>
      </c>
      <c r="P166" s="1"/>
      <c r="Q166" s="1">
        <f t="shared" ca="1" si="89"/>
        <v>3.839273033922443</v>
      </c>
      <c r="R166" s="1">
        <f t="shared" ca="1" si="90"/>
        <v>254</v>
      </c>
      <c r="S166" s="1"/>
      <c r="T166" s="1">
        <f t="shared" ca="1" si="91"/>
        <v>5.9402929584475052E-2</v>
      </c>
      <c r="U166" s="1">
        <f t="shared" ca="1" si="92"/>
        <v>159</v>
      </c>
      <c r="V166" s="1">
        <f t="shared" ca="1" si="93"/>
        <v>7</v>
      </c>
      <c r="W166" s="1"/>
      <c r="X166" s="1">
        <f t="shared" ca="1" si="94"/>
        <v>8.7170781302824949</v>
      </c>
      <c r="Y166" s="1">
        <f t="shared" ca="1" si="95"/>
        <v>0.17537403524761594</v>
      </c>
      <c r="Z166" s="1">
        <f t="shared" ca="1" si="96"/>
        <v>1006</v>
      </c>
      <c r="AB166" s="1">
        <f t="shared" ca="1" si="97"/>
        <v>0.95850392936188289</v>
      </c>
      <c r="AC166" s="1">
        <f t="shared" ca="1" si="98"/>
        <v>998</v>
      </c>
      <c r="AD166" s="1">
        <f t="shared" ca="1" si="99"/>
        <v>6.2374055568447289E-3</v>
      </c>
      <c r="AE166" s="1"/>
      <c r="AF166" s="1">
        <f t="shared" ca="1" si="100"/>
        <v>0.68970120755311981</v>
      </c>
      <c r="AG166" s="1">
        <f t="shared" ca="1" si="101"/>
        <v>111</v>
      </c>
      <c r="AH166" s="1">
        <f t="shared" ca="1" si="102"/>
        <v>4.078820236899405E-3</v>
      </c>
      <c r="AJ166" s="1">
        <f t="shared" ca="1" si="103"/>
        <v>0.8732066497550558</v>
      </c>
      <c r="AK166" s="1">
        <f t="shared" ca="1" si="104"/>
        <v>3.849500201332881E-3</v>
      </c>
      <c r="AL166" s="1"/>
      <c r="AM166" s="1">
        <f t="shared" ca="1" si="105"/>
        <v>0.10601119396678758</v>
      </c>
      <c r="AN166" s="1">
        <f t="shared" ca="1" si="106"/>
        <v>12</v>
      </c>
      <c r="AO166" s="1">
        <f t="shared" ca="1" si="107"/>
        <v>8</v>
      </c>
      <c r="AQ166" s="1">
        <f t="shared" ca="1" si="108"/>
        <v>81</v>
      </c>
      <c r="AR166" s="1">
        <f t="shared" ca="1" si="109"/>
        <v>10</v>
      </c>
      <c r="AS166" s="1">
        <f t="shared" ca="1" si="110"/>
        <v>76</v>
      </c>
      <c r="AU166" s="1">
        <f t="shared" ca="1" si="111"/>
        <v>84</v>
      </c>
      <c r="AV166" s="1">
        <f t="shared" ca="1" si="112"/>
        <v>7</v>
      </c>
      <c r="AW166" s="1">
        <f t="shared" ca="1" si="113"/>
        <v>1.8491407428489502E-2</v>
      </c>
      <c r="AY166" s="1">
        <f t="shared" ca="1" si="114"/>
        <v>1.4088742028959174</v>
      </c>
      <c r="AZ166" s="1">
        <f t="shared" ca="1" si="115"/>
        <v>188</v>
      </c>
      <c r="BA166" s="1">
        <f t="shared" ca="1" si="116"/>
        <v>1.8147209253688986E-3</v>
      </c>
    </row>
    <row r="167" spans="2:53" x14ac:dyDescent="0.25">
      <c r="B167">
        <f t="shared" ca="1" si="78"/>
        <v>352</v>
      </c>
      <c r="C167">
        <f t="shared" ca="1" si="79"/>
        <v>45</v>
      </c>
      <c r="D167">
        <f t="shared" ca="1" si="80"/>
        <v>0.11581402094140501</v>
      </c>
      <c r="F167" s="1">
        <f t="shared" ca="1" si="81"/>
        <v>21</v>
      </c>
      <c r="G167" s="1">
        <f t="shared" ca="1" si="82"/>
        <v>6</v>
      </c>
      <c r="H167" s="1">
        <f t="shared" ca="1" si="83"/>
        <v>2</v>
      </c>
      <c r="I167" s="1"/>
      <c r="J167" s="1">
        <f t="shared" ca="1" si="84"/>
        <v>25</v>
      </c>
      <c r="K167" s="1">
        <f t="shared" ca="1" si="85"/>
        <v>2.6751098201447916</v>
      </c>
      <c r="L167" s="1">
        <f t="shared" ca="1" si="86"/>
        <v>24</v>
      </c>
      <c r="M167" s="1"/>
      <c r="N167" s="1">
        <f t="shared" ca="1" si="87"/>
        <v>993</v>
      </c>
      <c r="O167" s="1">
        <f t="shared" ca="1" si="88"/>
        <v>3</v>
      </c>
      <c r="P167" s="1"/>
      <c r="Q167" s="1">
        <f t="shared" ca="1" si="89"/>
        <v>4.2894263140012132</v>
      </c>
      <c r="R167" s="1">
        <f t="shared" ca="1" si="90"/>
        <v>221</v>
      </c>
      <c r="S167" s="1"/>
      <c r="T167" s="1">
        <f t="shared" ca="1" si="91"/>
        <v>0.14766433300044163</v>
      </c>
      <c r="U167" s="1">
        <f t="shared" ca="1" si="92"/>
        <v>257</v>
      </c>
      <c r="V167" s="1">
        <f t="shared" ca="1" si="93"/>
        <v>3</v>
      </c>
      <c r="W167" s="1"/>
      <c r="X167" s="1">
        <f t="shared" ca="1" si="94"/>
        <v>6.5878694650027594</v>
      </c>
      <c r="Y167" s="1">
        <f t="shared" ca="1" si="95"/>
        <v>0.92857065837385344</v>
      </c>
      <c r="Z167" s="1">
        <f t="shared" ca="1" si="96"/>
        <v>1096</v>
      </c>
      <c r="AB167" s="1">
        <f t="shared" ca="1" si="97"/>
        <v>0.32933855785463922</v>
      </c>
      <c r="AC167" s="1">
        <f t="shared" ca="1" si="98"/>
        <v>429</v>
      </c>
      <c r="AD167" s="1">
        <f t="shared" ca="1" si="99"/>
        <v>4.2014874792859136E-4</v>
      </c>
      <c r="AE167" s="1"/>
      <c r="AF167" s="1">
        <f t="shared" ca="1" si="100"/>
        <v>0.85914419284431465</v>
      </c>
      <c r="AG167" s="1">
        <f t="shared" ca="1" si="101"/>
        <v>573</v>
      </c>
      <c r="AH167" s="1">
        <f t="shared" ca="1" si="102"/>
        <v>5.7887057403258517E-3</v>
      </c>
      <c r="AJ167" s="1">
        <f t="shared" ca="1" si="103"/>
        <v>0.30545439992387702</v>
      </c>
      <c r="AK167" s="1">
        <f t="shared" ca="1" si="104"/>
        <v>4.1308380131839153E-3</v>
      </c>
      <c r="AL167" s="1"/>
      <c r="AM167" s="1">
        <f t="shared" ca="1" si="105"/>
        <v>0.12121208482970584</v>
      </c>
      <c r="AN167" s="1">
        <f t="shared" ca="1" si="106"/>
        <v>48</v>
      </c>
      <c r="AO167" s="1">
        <f t="shared" ca="1" si="107"/>
        <v>14</v>
      </c>
      <c r="AQ167" s="1">
        <f t="shared" ca="1" si="108"/>
        <v>154</v>
      </c>
      <c r="AR167" s="1">
        <f t="shared" ca="1" si="109"/>
        <v>5</v>
      </c>
      <c r="AS167" s="1">
        <f t="shared" ca="1" si="110"/>
        <v>9</v>
      </c>
      <c r="AU167" s="1">
        <f t="shared" ca="1" si="111"/>
        <v>359</v>
      </c>
      <c r="AV167" s="1">
        <f t="shared" ca="1" si="112"/>
        <v>3</v>
      </c>
      <c r="AW167" s="1">
        <f t="shared" ca="1" si="113"/>
        <v>7.8971347011823068E-2</v>
      </c>
      <c r="AY167" s="1">
        <f t="shared" ca="1" si="114"/>
        <v>1.9184244335908183</v>
      </c>
      <c r="AZ167" s="1">
        <f t="shared" ca="1" si="115"/>
        <v>50</v>
      </c>
      <c r="BA167" s="1">
        <f t="shared" ca="1" si="116"/>
        <v>3.6991697645744658E-3</v>
      </c>
    </row>
    <row r="168" spans="2:53" x14ac:dyDescent="0.25">
      <c r="B168">
        <f t="shared" ca="1" si="78"/>
        <v>221</v>
      </c>
      <c r="C168">
        <f t="shared" ca="1" si="79"/>
        <v>20</v>
      </c>
      <c r="D168">
        <f t="shared" ca="1" si="80"/>
        <v>6.7647083249724502E-2</v>
      </c>
      <c r="F168" s="1">
        <f t="shared" ca="1" si="81"/>
        <v>14</v>
      </c>
      <c r="G168" s="1">
        <f t="shared" ca="1" si="82"/>
        <v>4</v>
      </c>
      <c r="H168" s="1">
        <f t="shared" ca="1" si="83"/>
        <v>14</v>
      </c>
      <c r="I168" s="1"/>
      <c r="J168" s="1">
        <f t="shared" ca="1" si="84"/>
        <v>30</v>
      </c>
      <c r="K168" s="1">
        <f t="shared" ca="1" si="85"/>
        <v>1.3859024660652495</v>
      </c>
      <c r="L168" s="1">
        <f t="shared" ca="1" si="86"/>
        <v>17</v>
      </c>
      <c r="M168" s="1"/>
      <c r="N168" s="1">
        <f t="shared" ca="1" si="87"/>
        <v>50</v>
      </c>
      <c r="O168" s="1">
        <f t="shared" ca="1" si="88"/>
        <v>45</v>
      </c>
      <c r="P168" s="1"/>
      <c r="Q168" s="1">
        <f t="shared" ca="1" si="89"/>
        <v>0.90176357956914033</v>
      </c>
      <c r="R168" s="1">
        <f t="shared" ca="1" si="90"/>
        <v>905</v>
      </c>
      <c r="S168" s="1"/>
      <c r="T168" s="1">
        <f t="shared" ca="1" si="91"/>
        <v>3.5211602316758864E-2</v>
      </c>
      <c r="U168" s="1">
        <f t="shared" ca="1" si="92"/>
        <v>293</v>
      </c>
      <c r="V168" s="1">
        <f t="shared" ca="1" si="93"/>
        <v>48</v>
      </c>
      <c r="W168" s="1"/>
      <c r="X168" s="1">
        <f t="shared" ca="1" si="94"/>
        <v>5.7490650307775786</v>
      </c>
      <c r="Y168" s="1">
        <f t="shared" ca="1" si="95"/>
        <v>0.39378932798443672</v>
      </c>
      <c r="Z168" s="1">
        <f t="shared" ca="1" si="96"/>
        <v>934</v>
      </c>
      <c r="AB168" s="1">
        <f t="shared" ca="1" si="97"/>
        <v>0.4242725479160801</v>
      </c>
      <c r="AC168" s="1">
        <f t="shared" ca="1" si="98"/>
        <v>695</v>
      </c>
      <c r="AD168" s="1">
        <f t="shared" ca="1" si="99"/>
        <v>6.6416979890686059E-3</v>
      </c>
      <c r="AE168" s="1"/>
      <c r="AF168" s="1">
        <f t="shared" ca="1" si="100"/>
        <v>0.4212598960758146</v>
      </c>
      <c r="AG168" s="1">
        <f t="shared" ca="1" si="101"/>
        <v>672</v>
      </c>
      <c r="AH168" s="1">
        <f t="shared" ca="1" si="102"/>
        <v>4.6951666955149319E-3</v>
      </c>
      <c r="AJ168" s="1">
        <f t="shared" ca="1" si="103"/>
        <v>0.38778750217710412</v>
      </c>
      <c r="AK168" s="1">
        <f t="shared" ca="1" si="104"/>
        <v>9.2172044919801351E-3</v>
      </c>
      <c r="AL168" s="1"/>
      <c r="AM168" s="1">
        <f t="shared" ca="1" si="105"/>
        <v>9.7399740544889701E-2</v>
      </c>
      <c r="AN168" s="1">
        <f t="shared" ca="1" si="106"/>
        <v>12</v>
      </c>
      <c r="AO168" s="1">
        <f t="shared" ca="1" si="107"/>
        <v>9</v>
      </c>
      <c r="AQ168" s="1">
        <f t="shared" ca="1" si="108"/>
        <v>181</v>
      </c>
      <c r="AR168" s="1">
        <f t="shared" ca="1" si="109"/>
        <v>6</v>
      </c>
      <c r="AS168" s="1">
        <f t="shared" ca="1" si="110"/>
        <v>22</v>
      </c>
      <c r="AU168" s="1">
        <f t="shared" ca="1" si="111"/>
        <v>375</v>
      </c>
      <c r="AV168" s="1">
        <f t="shared" ca="1" si="112"/>
        <v>9</v>
      </c>
      <c r="AW168" s="1">
        <f t="shared" ca="1" si="113"/>
        <v>8.1630447861367555E-2</v>
      </c>
      <c r="AY168" s="1">
        <f t="shared" ca="1" si="114"/>
        <v>1.2657571544179256</v>
      </c>
      <c r="AZ168" s="1">
        <f t="shared" ca="1" si="115"/>
        <v>366</v>
      </c>
      <c r="BA168" s="1">
        <f t="shared" ca="1" si="116"/>
        <v>6.9620474195454356E-3</v>
      </c>
    </row>
    <row r="169" spans="2:53" x14ac:dyDescent="0.25">
      <c r="B169">
        <f t="shared" ca="1" si="78"/>
        <v>65</v>
      </c>
      <c r="C169">
        <f t="shared" ca="1" si="79"/>
        <v>24</v>
      </c>
      <c r="D169">
        <f t="shared" ca="1" si="80"/>
        <v>0.1269116595839026</v>
      </c>
      <c r="F169" s="1">
        <f t="shared" ca="1" si="81"/>
        <v>6</v>
      </c>
      <c r="G169" s="1">
        <f t="shared" ca="1" si="82"/>
        <v>15</v>
      </c>
      <c r="H169" s="1">
        <f t="shared" ca="1" si="83"/>
        <v>6</v>
      </c>
      <c r="I169" s="1"/>
      <c r="J169" s="1">
        <f t="shared" ca="1" si="84"/>
        <v>2</v>
      </c>
      <c r="K169" s="1">
        <f t="shared" ca="1" si="85"/>
        <v>2.9489136364530379</v>
      </c>
      <c r="L169" s="1">
        <f t="shared" ca="1" si="86"/>
        <v>24</v>
      </c>
      <c r="M169" s="1"/>
      <c r="N169" s="1">
        <f t="shared" ca="1" si="87"/>
        <v>647</v>
      </c>
      <c r="O169" s="1">
        <f t="shared" ca="1" si="88"/>
        <v>49</v>
      </c>
      <c r="P169" s="1"/>
      <c r="Q169" s="1">
        <f t="shared" ca="1" si="89"/>
        <v>2.4553384012269355</v>
      </c>
      <c r="R169" s="1">
        <f t="shared" ca="1" si="90"/>
        <v>508</v>
      </c>
      <c r="S169" s="1"/>
      <c r="T169" s="1">
        <f t="shared" ca="1" si="91"/>
        <v>0.12135412332692974</v>
      </c>
      <c r="U169" s="1">
        <f t="shared" ca="1" si="92"/>
        <v>419</v>
      </c>
      <c r="V169" s="1">
        <f t="shared" ca="1" si="93"/>
        <v>5</v>
      </c>
      <c r="W169" s="1"/>
      <c r="X169" s="1">
        <f t="shared" ca="1" si="94"/>
        <v>0.11841155633863008</v>
      </c>
      <c r="Y169" s="1">
        <f t="shared" ca="1" si="95"/>
        <v>0.38072457816898875</v>
      </c>
      <c r="Z169" s="1">
        <f t="shared" ca="1" si="96"/>
        <v>368</v>
      </c>
      <c r="AB169" s="1">
        <f t="shared" ca="1" si="97"/>
        <v>0.97951934106203364</v>
      </c>
      <c r="AC169" s="1">
        <f t="shared" ca="1" si="98"/>
        <v>121</v>
      </c>
      <c r="AD169" s="1">
        <f t="shared" ca="1" si="99"/>
        <v>9.7795745974813969E-3</v>
      </c>
      <c r="AE169" s="1"/>
      <c r="AF169" s="1">
        <f t="shared" ca="1" si="100"/>
        <v>0.74589078265185671</v>
      </c>
      <c r="AG169" s="1">
        <f t="shared" ca="1" si="101"/>
        <v>311</v>
      </c>
      <c r="AH169" s="1">
        <f t="shared" ca="1" si="102"/>
        <v>7.2596223057283717E-3</v>
      </c>
      <c r="AJ169" s="1">
        <f t="shared" ca="1" si="103"/>
        <v>0.73532077714720068</v>
      </c>
      <c r="AK169" s="1">
        <f t="shared" ca="1" si="104"/>
        <v>3.4019569145131564E-3</v>
      </c>
      <c r="AL169" s="1"/>
      <c r="AM169" s="1">
        <f t="shared" ca="1" si="105"/>
        <v>0.1689413194652904</v>
      </c>
      <c r="AN169" s="1">
        <f t="shared" ca="1" si="106"/>
        <v>40</v>
      </c>
      <c r="AO169" s="1">
        <f t="shared" ca="1" si="107"/>
        <v>17</v>
      </c>
      <c r="AQ169" s="1">
        <f t="shared" ca="1" si="108"/>
        <v>65</v>
      </c>
      <c r="AR169" s="1">
        <f t="shared" ca="1" si="109"/>
        <v>7</v>
      </c>
      <c r="AS169" s="1">
        <f t="shared" ca="1" si="110"/>
        <v>92</v>
      </c>
      <c r="AU169" s="1">
        <f t="shared" ca="1" si="111"/>
        <v>159</v>
      </c>
      <c r="AV169" s="1">
        <f t="shared" ca="1" si="112"/>
        <v>6</v>
      </c>
      <c r="AW169" s="1">
        <f t="shared" ca="1" si="113"/>
        <v>3.5781657480950912E-2</v>
      </c>
      <c r="AY169" s="1">
        <f t="shared" ca="1" si="114"/>
        <v>1.9020040267538991</v>
      </c>
      <c r="AZ169" s="1">
        <f t="shared" ca="1" si="115"/>
        <v>433</v>
      </c>
      <c r="BA169" s="1">
        <f t="shared" ca="1" si="116"/>
        <v>9.7266008802036324E-3</v>
      </c>
    </row>
    <row r="170" spans="2:53" x14ac:dyDescent="0.25">
      <c r="B170">
        <f t="shared" ca="1" si="78"/>
        <v>883</v>
      </c>
      <c r="C170">
        <f t="shared" ca="1" si="79"/>
        <v>51</v>
      </c>
      <c r="D170">
        <f t="shared" ca="1" si="80"/>
        <v>0.12006723972314828</v>
      </c>
      <c r="F170" s="1">
        <f t="shared" ca="1" si="81"/>
        <v>45</v>
      </c>
      <c r="G170" s="1">
        <f t="shared" ca="1" si="82"/>
        <v>11</v>
      </c>
      <c r="H170" s="1">
        <f t="shared" ca="1" si="83"/>
        <v>14</v>
      </c>
      <c r="I170" s="1"/>
      <c r="J170" s="1">
        <f t="shared" ca="1" si="84"/>
        <v>32</v>
      </c>
      <c r="K170" s="1">
        <f t="shared" ca="1" si="85"/>
        <v>2.4200337961331009</v>
      </c>
      <c r="L170" s="1">
        <f t="shared" ca="1" si="86"/>
        <v>13</v>
      </c>
      <c r="M170" s="1"/>
      <c r="N170" s="1">
        <f t="shared" ca="1" si="87"/>
        <v>144</v>
      </c>
      <c r="O170" s="1">
        <f t="shared" ca="1" si="88"/>
        <v>52</v>
      </c>
      <c r="P170" s="1"/>
      <c r="Q170" s="1">
        <f t="shared" ca="1" si="89"/>
        <v>3.0649690928542874</v>
      </c>
      <c r="R170" s="1">
        <f t="shared" ca="1" si="90"/>
        <v>903</v>
      </c>
      <c r="S170" s="1"/>
      <c r="T170" s="1">
        <f t="shared" ca="1" si="91"/>
        <v>0.12495115964269028</v>
      </c>
      <c r="U170" s="1">
        <f t="shared" ca="1" si="92"/>
        <v>324</v>
      </c>
      <c r="V170" s="1">
        <f t="shared" ca="1" si="93"/>
        <v>7</v>
      </c>
      <c r="W170" s="1"/>
      <c r="X170" s="1">
        <f t="shared" ca="1" si="94"/>
        <v>5.7565278356822551</v>
      </c>
      <c r="Y170" s="1">
        <f t="shared" ca="1" si="95"/>
        <v>5.4657070144392486E-2</v>
      </c>
      <c r="Z170" s="1">
        <f t="shared" ca="1" si="96"/>
        <v>1153</v>
      </c>
      <c r="AB170" s="1">
        <f t="shared" ca="1" si="97"/>
        <v>0.5786928874148185</v>
      </c>
      <c r="AC170" s="1">
        <f t="shared" ca="1" si="98"/>
        <v>856</v>
      </c>
      <c r="AD170" s="1">
        <f t="shared" ca="1" si="99"/>
        <v>2.1403772547907572E-3</v>
      </c>
      <c r="AE170" s="1"/>
      <c r="AF170" s="1">
        <f t="shared" ca="1" si="100"/>
        <v>0.81619536009712967</v>
      </c>
      <c r="AG170" s="1">
        <f t="shared" ca="1" si="101"/>
        <v>442</v>
      </c>
      <c r="AH170" s="1">
        <f t="shared" ca="1" si="102"/>
        <v>3.5843728100733928E-4</v>
      </c>
      <c r="AJ170" s="1">
        <f t="shared" ca="1" si="103"/>
        <v>0.68790192829047703</v>
      </c>
      <c r="AK170" s="1">
        <f t="shared" ca="1" si="104"/>
        <v>5.6930960835823293E-3</v>
      </c>
      <c r="AL170" s="1"/>
      <c r="AM170" s="1">
        <f t="shared" ca="1" si="105"/>
        <v>4.093204406960374E-2</v>
      </c>
      <c r="AN170" s="1">
        <f t="shared" ca="1" si="106"/>
        <v>28</v>
      </c>
      <c r="AO170" s="1">
        <f t="shared" ca="1" si="107"/>
        <v>14</v>
      </c>
      <c r="AQ170" s="1">
        <f t="shared" ca="1" si="108"/>
        <v>66</v>
      </c>
      <c r="AR170" s="1">
        <f t="shared" ca="1" si="109"/>
        <v>4</v>
      </c>
      <c r="AS170" s="1">
        <f t="shared" ca="1" si="110"/>
        <v>49</v>
      </c>
      <c r="AU170" s="1">
        <f t="shared" ca="1" si="111"/>
        <v>169</v>
      </c>
      <c r="AV170" s="1">
        <f t="shared" ca="1" si="112"/>
        <v>6</v>
      </c>
      <c r="AW170" s="1">
        <f t="shared" ca="1" si="113"/>
        <v>0.12760887589098471</v>
      </c>
      <c r="AY170" s="1">
        <f t="shared" ca="1" si="114"/>
        <v>1.8751574820929537</v>
      </c>
      <c r="AZ170" s="1">
        <f t="shared" ca="1" si="115"/>
        <v>303</v>
      </c>
      <c r="BA170" s="1">
        <f t="shared" ca="1" si="116"/>
        <v>3.4117342011784658E-3</v>
      </c>
    </row>
    <row r="171" spans="2:53" x14ac:dyDescent="0.25">
      <c r="B171">
        <f t="shared" ca="1" si="78"/>
        <v>95</v>
      </c>
      <c r="C171">
        <f t="shared" ca="1" si="79"/>
        <v>10</v>
      </c>
      <c r="D171">
        <f t="shared" ca="1" si="80"/>
        <v>0.25684313689866978</v>
      </c>
      <c r="F171" s="1">
        <f t="shared" ca="1" si="81"/>
        <v>43</v>
      </c>
      <c r="G171" s="1">
        <f t="shared" ca="1" si="82"/>
        <v>21</v>
      </c>
      <c r="H171" s="1">
        <f t="shared" ca="1" si="83"/>
        <v>2</v>
      </c>
      <c r="I171" s="1"/>
      <c r="J171" s="1">
        <f t="shared" ca="1" si="84"/>
        <v>27</v>
      </c>
      <c r="K171" s="1">
        <f t="shared" ca="1" si="85"/>
        <v>2.6588828465164793</v>
      </c>
      <c r="L171" s="1">
        <f t="shared" ca="1" si="86"/>
        <v>23</v>
      </c>
      <c r="M171" s="1"/>
      <c r="N171" s="1">
        <f t="shared" ca="1" si="87"/>
        <v>26</v>
      </c>
      <c r="O171" s="1">
        <f t="shared" ca="1" si="88"/>
        <v>24</v>
      </c>
      <c r="P171" s="1"/>
      <c r="Q171" s="1">
        <f t="shared" ca="1" si="89"/>
        <v>4.8797007444129665</v>
      </c>
      <c r="R171" s="1">
        <f t="shared" ca="1" si="90"/>
        <v>484</v>
      </c>
      <c r="S171" s="1"/>
      <c r="T171" s="1">
        <f t="shared" ca="1" si="91"/>
        <v>3.9803697525936245E-2</v>
      </c>
      <c r="U171" s="1">
        <f t="shared" ca="1" si="92"/>
        <v>338</v>
      </c>
      <c r="V171" s="1">
        <f t="shared" ca="1" si="93"/>
        <v>7</v>
      </c>
      <c r="W171" s="1"/>
      <c r="X171" s="1">
        <f t="shared" ca="1" si="94"/>
        <v>4.0904452678986116</v>
      </c>
      <c r="Y171" s="1">
        <f t="shared" ca="1" si="95"/>
        <v>0.63822077570698621</v>
      </c>
      <c r="Z171" s="1">
        <f t="shared" ca="1" si="96"/>
        <v>1664</v>
      </c>
      <c r="AB171" s="1">
        <f t="shared" ca="1" si="97"/>
        <v>0.58485598344456291</v>
      </c>
      <c r="AC171" s="1">
        <f t="shared" ca="1" si="98"/>
        <v>727</v>
      </c>
      <c r="AD171" s="1">
        <f t="shared" ca="1" si="99"/>
        <v>9.1748681755321956E-3</v>
      </c>
      <c r="AE171" s="1"/>
      <c r="AF171" s="1">
        <f t="shared" ca="1" si="100"/>
        <v>0.1461746848748553</v>
      </c>
      <c r="AG171" s="1">
        <f t="shared" ca="1" si="101"/>
        <v>369</v>
      </c>
      <c r="AH171" s="1">
        <f t="shared" ca="1" si="102"/>
        <v>4.3477100526494485E-3</v>
      </c>
      <c r="AJ171" s="1">
        <f t="shared" ca="1" si="103"/>
        <v>4.4754342291707383E-3</v>
      </c>
      <c r="AK171" s="1">
        <f t="shared" ca="1" si="104"/>
        <v>4.8959345099671304E-3</v>
      </c>
      <c r="AL171" s="1"/>
      <c r="AM171" s="1">
        <f t="shared" ca="1" si="105"/>
        <v>3.9633056208563375E-2</v>
      </c>
      <c r="AN171" s="1">
        <f t="shared" ca="1" si="106"/>
        <v>43</v>
      </c>
      <c r="AO171" s="1">
        <f t="shared" ca="1" si="107"/>
        <v>5</v>
      </c>
      <c r="AQ171" s="1">
        <f t="shared" ca="1" si="108"/>
        <v>45</v>
      </c>
      <c r="AR171" s="1">
        <f t="shared" ca="1" si="109"/>
        <v>0</v>
      </c>
      <c r="AS171" s="1">
        <f t="shared" ca="1" si="110"/>
        <v>90</v>
      </c>
      <c r="AU171" s="1">
        <f t="shared" ca="1" si="111"/>
        <v>282</v>
      </c>
      <c r="AV171" s="1">
        <f t="shared" ca="1" si="112"/>
        <v>5</v>
      </c>
      <c r="AW171" s="1">
        <f t="shared" ca="1" si="113"/>
        <v>7.6096366119721745E-2</v>
      </c>
      <c r="AY171" s="1">
        <f t="shared" ca="1" si="114"/>
        <v>1.1377720633874433</v>
      </c>
      <c r="AZ171" s="1">
        <f t="shared" ca="1" si="115"/>
        <v>232</v>
      </c>
      <c r="BA171" s="1">
        <f t="shared" ca="1" si="116"/>
        <v>1.7793018832271683E-3</v>
      </c>
    </row>
    <row r="172" spans="2:53" x14ac:dyDescent="0.25">
      <c r="B172">
        <f t="shared" ca="1" si="78"/>
        <v>880</v>
      </c>
      <c r="C172">
        <f t="shared" ca="1" si="79"/>
        <v>8</v>
      </c>
      <c r="D172">
        <f t="shared" ca="1" si="80"/>
        <v>3.0269096593817164E-2</v>
      </c>
      <c r="F172" s="1">
        <f t="shared" ca="1" si="81"/>
        <v>38</v>
      </c>
      <c r="G172" s="1">
        <f t="shared" ca="1" si="82"/>
        <v>28</v>
      </c>
      <c r="H172" s="1">
        <f t="shared" ca="1" si="83"/>
        <v>1</v>
      </c>
      <c r="I172" s="1"/>
      <c r="J172" s="1">
        <f t="shared" ca="1" si="84"/>
        <v>25</v>
      </c>
      <c r="K172" s="1">
        <f t="shared" ca="1" si="85"/>
        <v>2.9773207341410179</v>
      </c>
      <c r="L172" s="1">
        <f t="shared" ca="1" si="86"/>
        <v>14</v>
      </c>
      <c r="M172" s="1"/>
      <c r="N172" s="1">
        <f t="shared" ca="1" si="87"/>
        <v>862</v>
      </c>
      <c r="O172" s="1">
        <f t="shared" ca="1" si="88"/>
        <v>22</v>
      </c>
      <c r="P172" s="1"/>
      <c r="Q172" s="1">
        <f t="shared" ca="1" si="89"/>
        <v>1.6378646266357886</v>
      </c>
      <c r="R172" s="1">
        <f t="shared" ca="1" si="90"/>
        <v>648</v>
      </c>
      <c r="S172" s="1"/>
      <c r="T172" s="1">
        <f t="shared" ca="1" si="91"/>
        <v>0.12327414564661197</v>
      </c>
      <c r="U172" s="1">
        <f t="shared" ca="1" si="92"/>
        <v>238</v>
      </c>
      <c r="V172" s="1">
        <f t="shared" ca="1" si="93"/>
        <v>49</v>
      </c>
      <c r="W172" s="1"/>
      <c r="X172" s="1">
        <f t="shared" ca="1" si="94"/>
        <v>9.7995515408873164</v>
      </c>
      <c r="Y172" s="1">
        <f t="shared" ca="1" si="95"/>
        <v>0.19017893395087127</v>
      </c>
      <c r="Z172" s="1">
        <f t="shared" ca="1" si="96"/>
        <v>1600</v>
      </c>
      <c r="AB172" s="1">
        <f t="shared" ca="1" si="97"/>
        <v>0.63142923900133119</v>
      </c>
      <c r="AC172" s="1">
        <f t="shared" ca="1" si="98"/>
        <v>520</v>
      </c>
      <c r="AD172" s="1">
        <f t="shared" ca="1" si="99"/>
        <v>3.3557997898912366E-3</v>
      </c>
      <c r="AE172" s="1"/>
      <c r="AF172" s="1">
        <f t="shared" ca="1" si="100"/>
        <v>0.33877836107095904</v>
      </c>
      <c r="AG172" s="1">
        <f t="shared" ca="1" si="101"/>
        <v>131</v>
      </c>
      <c r="AH172" s="1">
        <f t="shared" ca="1" si="102"/>
        <v>3.9709107494192747E-4</v>
      </c>
      <c r="AJ172" s="1">
        <f t="shared" ca="1" si="103"/>
        <v>0.17393249883370987</v>
      </c>
      <c r="AK172" s="1">
        <f t="shared" ca="1" si="104"/>
        <v>4.5660817883245077E-3</v>
      </c>
      <c r="AL172" s="1"/>
      <c r="AM172" s="1">
        <f t="shared" ca="1" si="105"/>
        <v>0.12753462734966345</v>
      </c>
      <c r="AN172" s="1">
        <f t="shared" ca="1" si="106"/>
        <v>64</v>
      </c>
      <c r="AO172" s="1">
        <f t="shared" ca="1" si="107"/>
        <v>3</v>
      </c>
      <c r="AQ172" s="1">
        <f t="shared" ca="1" si="108"/>
        <v>39</v>
      </c>
      <c r="AR172" s="1">
        <f t="shared" ca="1" si="109"/>
        <v>7</v>
      </c>
      <c r="AS172" s="1">
        <f t="shared" ca="1" si="110"/>
        <v>36</v>
      </c>
      <c r="AU172" s="1">
        <f t="shared" ca="1" si="111"/>
        <v>179</v>
      </c>
      <c r="AV172" s="1">
        <f t="shared" ca="1" si="112"/>
        <v>7</v>
      </c>
      <c r="AW172" s="1">
        <f t="shared" ca="1" si="113"/>
        <v>7.4913467842928877E-2</v>
      </c>
      <c r="AY172" s="1">
        <f t="shared" ca="1" si="114"/>
        <v>1.7217329181292329</v>
      </c>
      <c r="AZ172" s="1">
        <f t="shared" ca="1" si="115"/>
        <v>326</v>
      </c>
      <c r="BA172" s="1">
        <f t="shared" ca="1" si="116"/>
        <v>8.1306794194238308E-3</v>
      </c>
    </row>
    <row r="173" spans="2:53" x14ac:dyDescent="0.25">
      <c r="B173">
        <f t="shared" ca="1" si="78"/>
        <v>572</v>
      </c>
      <c r="C173">
        <f t="shared" ca="1" si="79"/>
        <v>27</v>
      </c>
      <c r="D173">
        <f t="shared" ca="1" si="80"/>
        <v>0.27107118747916509</v>
      </c>
      <c r="F173" s="1">
        <f t="shared" ca="1" si="81"/>
        <v>31</v>
      </c>
      <c r="G173" s="1">
        <f t="shared" ca="1" si="82"/>
        <v>22</v>
      </c>
      <c r="H173" s="1">
        <f t="shared" ca="1" si="83"/>
        <v>7</v>
      </c>
      <c r="I173" s="1"/>
      <c r="J173" s="1">
        <f t="shared" ca="1" si="84"/>
        <v>22</v>
      </c>
      <c r="K173" s="1">
        <f t="shared" ca="1" si="85"/>
        <v>2.1500512107892398</v>
      </c>
      <c r="L173" s="1">
        <f t="shared" ca="1" si="86"/>
        <v>23</v>
      </c>
      <c r="M173" s="1"/>
      <c r="N173" s="1">
        <f t="shared" ca="1" si="87"/>
        <v>67</v>
      </c>
      <c r="O173" s="1">
        <f t="shared" ca="1" si="88"/>
        <v>7</v>
      </c>
      <c r="P173" s="1"/>
      <c r="Q173" s="1">
        <f t="shared" ca="1" si="89"/>
        <v>1.7885820414557831</v>
      </c>
      <c r="R173" s="1">
        <f t="shared" ca="1" si="90"/>
        <v>991</v>
      </c>
      <c r="S173" s="1"/>
      <c r="T173" s="1">
        <f t="shared" ca="1" si="91"/>
        <v>4.7000507344898544E-2</v>
      </c>
      <c r="U173" s="1">
        <f t="shared" ca="1" si="92"/>
        <v>115</v>
      </c>
      <c r="V173" s="1">
        <f t="shared" ca="1" si="93"/>
        <v>29</v>
      </c>
      <c r="W173" s="1"/>
      <c r="X173" s="1">
        <f t="shared" ca="1" si="94"/>
        <v>2.206920884690073</v>
      </c>
      <c r="Y173" s="1">
        <f t="shared" ca="1" si="95"/>
        <v>0.69804145923537286</v>
      </c>
      <c r="Z173" s="1">
        <f t="shared" ca="1" si="96"/>
        <v>1427</v>
      </c>
      <c r="AB173" s="1">
        <f t="shared" ca="1" si="97"/>
        <v>0.42761355979978699</v>
      </c>
      <c r="AC173" s="1">
        <f t="shared" ca="1" si="98"/>
        <v>244</v>
      </c>
      <c r="AD173" s="1">
        <f t="shared" ca="1" si="99"/>
        <v>9.6307208196902555E-3</v>
      </c>
      <c r="AE173" s="1"/>
      <c r="AF173" s="1">
        <f t="shared" ca="1" si="100"/>
        <v>0.24026272130718676</v>
      </c>
      <c r="AG173" s="1">
        <f t="shared" ca="1" si="101"/>
        <v>541</v>
      </c>
      <c r="AH173" s="1">
        <f t="shared" ca="1" si="102"/>
        <v>6.7331983015818941E-3</v>
      </c>
      <c r="AJ173" s="1">
        <f t="shared" ca="1" si="103"/>
        <v>0.27166200413594022</v>
      </c>
      <c r="AK173" s="1">
        <f t="shared" ca="1" si="104"/>
        <v>3.307066636572572E-3</v>
      </c>
      <c r="AL173" s="1"/>
      <c r="AM173" s="1">
        <f t="shared" ca="1" si="105"/>
        <v>5.4944338531745261E-2</v>
      </c>
      <c r="AN173" s="1">
        <f t="shared" ca="1" si="106"/>
        <v>38</v>
      </c>
      <c r="AO173" s="1">
        <f t="shared" ca="1" si="107"/>
        <v>1</v>
      </c>
      <c r="AQ173" s="1">
        <f t="shared" ca="1" si="108"/>
        <v>59</v>
      </c>
      <c r="AR173" s="1">
        <f t="shared" ca="1" si="109"/>
        <v>5</v>
      </c>
      <c r="AS173" s="1">
        <f t="shared" ca="1" si="110"/>
        <v>38</v>
      </c>
      <c r="AU173" s="1">
        <f t="shared" ca="1" si="111"/>
        <v>116</v>
      </c>
      <c r="AV173" s="1">
        <f t="shared" ca="1" si="112"/>
        <v>6</v>
      </c>
      <c r="AW173" s="1">
        <f t="shared" ca="1" si="113"/>
        <v>8.6419598879844656E-2</v>
      </c>
      <c r="AY173" s="1">
        <f t="shared" ca="1" si="114"/>
        <v>1.4822882889944802</v>
      </c>
      <c r="AZ173" s="1">
        <f t="shared" ca="1" si="115"/>
        <v>327</v>
      </c>
      <c r="BA173" s="1">
        <f t="shared" ca="1" si="116"/>
        <v>9.3850318226991955E-3</v>
      </c>
    </row>
    <row r="174" spans="2:53" x14ac:dyDescent="0.25">
      <c r="B174">
        <f t="shared" ca="1" si="78"/>
        <v>676</v>
      </c>
      <c r="C174">
        <f t="shared" ca="1" si="79"/>
        <v>36</v>
      </c>
      <c r="D174">
        <f t="shared" ca="1" si="80"/>
        <v>0.11154678430055642</v>
      </c>
      <c r="F174" s="1">
        <f t="shared" ca="1" si="81"/>
        <v>3</v>
      </c>
      <c r="G174" s="1">
        <f t="shared" ca="1" si="82"/>
        <v>18</v>
      </c>
      <c r="H174" s="1">
        <f t="shared" ca="1" si="83"/>
        <v>12</v>
      </c>
      <c r="I174" s="1"/>
      <c r="J174" s="1">
        <f t="shared" ca="1" si="84"/>
        <v>5</v>
      </c>
      <c r="K174" s="1">
        <f t="shared" ca="1" si="85"/>
        <v>2.8144406386469702</v>
      </c>
      <c r="L174" s="1">
        <f t="shared" ca="1" si="86"/>
        <v>6</v>
      </c>
      <c r="M174" s="1"/>
      <c r="N174" s="1">
        <f t="shared" ca="1" si="87"/>
        <v>108</v>
      </c>
      <c r="O174" s="1">
        <f t="shared" ca="1" si="88"/>
        <v>45</v>
      </c>
      <c r="P174" s="1"/>
      <c r="Q174" s="1">
        <f t="shared" ca="1" si="89"/>
        <v>4.3560171578112463</v>
      </c>
      <c r="R174" s="1">
        <f t="shared" ca="1" si="90"/>
        <v>859</v>
      </c>
      <c r="S174" s="1"/>
      <c r="T174" s="1">
        <f t="shared" ca="1" si="91"/>
        <v>0.19986799998337554</v>
      </c>
      <c r="U174" s="1">
        <f t="shared" ca="1" si="92"/>
        <v>180</v>
      </c>
      <c r="V174" s="1">
        <f t="shared" ca="1" si="93"/>
        <v>32</v>
      </c>
      <c r="W174" s="1"/>
      <c r="X174" s="1">
        <f t="shared" ca="1" si="94"/>
        <v>2.2466318483822576</v>
      </c>
      <c r="Y174" s="1">
        <f t="shared" ca="1" si="95"/>
        <v>0.17959030151102937</v>
      </c>
      <c r="Z174" s="1">
        <f t="shared" ca="1" si="96"/>
        <v>1909</v>
      </c>
      <c r="AB174" s="1">
        <f t="shared" ca="1" si="97"/>
        <v>0.81623274549356939</v>
      </c>
      <c r="AC174" s="1">
        <f t="shared" ca="1" si="98"/>
        <v>172</v>
      </c>
      <c r="AD174" s="1">
        <f t="shared" ca="1" si="99"/>
        <v>1.1673984848842632E-3</v>
      </c>
      <c r="AE174" s="1"/>
      <c r="AF174" s="1">
        <f t="shared" ca="1" si="100"/>
        <v>0.11263221818912683</v>
      </c>
      <c r="AG174" s="1">
        <f t="shared" ca="1" si="101"/>
        <v>823</v>
      </c>
      <c r="AH174" s="1">
        <f t="shared" ca="1" si="102"/>
        <v>4.5654496121382308E-3</v>
      </c>
      <c r="AJ174" s="1">
        <f t="shared" ca="1" si="103"/>
        <v>0.3787249007343132</v>
      </c>
      <c r="AK174" s="1">
        <f t="shared" ca="1" si="104"/>
        <v>8.496608417105771E-3</v>
      </c>
      <c r="AL174" s="1"/>
      <c r="AM174" s="1">
        <f t="shared" ca="1" si="105"/>
        <v>7.6251059172643812E-2</v>
      </c>
      <c r="AN174" s="1">
        <f t="shared" ca="1" si="106"/>
        <v>27</v>
      </c>
      <c r="AO174" s="1">
        <f t="shared" ca="1" si="107"/>
        <v>3</v>
      </c>
      <c r="AQ174" s="1">
        <f t="shared" ca="1" si="108"/>
        <v>146</v>
      </c>
      <c r="AR174" s="1">
        <f t="shared" ca="1" si="109"/>
        <v>6</v>
      </c>
      <c r="AS174" s="1">
        <f t="shared" ca="1" si="110"/>
        <v>37</v>
      </c>
      <c r="AU174" s="1">
        <f t="shared" ca="1" si="111"/>
        <v>335</v>
      </c>
      <c r="AV174" s="1">
        <f t="shared" ca="1" si="112"/>
        <v>6</v>
      </c>
      <c r="AW174" s="1">
        <f t="shared" ca="1" si="113"/>
        <v>0.1701926618555632</v>
      </c>
      <c r="AY174" s="1">
        <f t="shared" ca="1" si="114"/>
        <v>1.6416771211520933</v>
      </c>
      <c r="AZ174" s="1">
        <f t="shared" ca="1" si="115"/>
        <v>429</v>
      </c>
      <c r="BA174" s="1">
        <f t="shared" ca="1" si="116"/>
        <v>8.3784356289733509E-3</v>
      </c>
    </row>
    <row r="175" spans="2:53" x14ac:dyDescent="0.25">
      <c r="B175">
        <f t="shared" ca="1" si="78"/>
        <v>498</v>
      </c>
      <c r="C175">
        <f t="shared" ca="1" si="79"/>
        <v>49</v>
      </c>
      <c r="D175">
        <f t="shared" ca="1" si="80"/>
        <v>0.24083866606980175</v>
      </c>
      <c r="F175" s="1">
        <f t="shared" ca="1" si="81"/>
        <v>48</v>
      </c>
      <c r="G175" s="1">
        <f t="shared" ca="1" si="82"/>
        <v>29</v>
      </c>
      <c r="H175" s="1">
        <f t="shared" ca="1" si="83"/>
        <v>4</v>
      </c>
      <c r="I175" s="1"/>
      <c r="J175" s="1">
        <f t="shared" ca="1" si="84"/>
        <v>9</v>
      </c>
      <c r="K175" s="1">
        <f t="shared" ca="1" si="85"/>
        <v>1.0410501771409377</v>
      </c>
      <c r="L175" s="1">
        <f t="shared" ca="1" si="86"/>
        <v>34</v>
      </c>
      <c r="M175" s="1"/>
      <c r="N175" s="1">
        <f t="shared" ca="1" si="87"/>
        <v>203</v>
      </c>
      <c r="O175" s="1">
        <f t="shared" ca="1" si="88"/>
        <v>13</v>
      </c>
      <c r="P175" s="1"/>
      <c r="Q175" s="1">
        <f t="shared" ca="1" si="89"/>
        <v>4.4682814701172084</v>
      </c>
      <c r="R175" s="1">
        <f t="shared" ca="1" si="90"/>
        <v>874</v>
      </c>
      <c r="S175" s="1"/>
      <c r="T175" s="1">
        <f t="shared" ca="1" si="91"/>
        <v>0.1588904878558858</v>
      </c>
      <c r="U175" s="1">
        <f t="shared" ca="1" si="92"/>
        <v>170</v>
      </c>
      <c r="V175" s="1">
        <f t="shared" ca="1" si="93"/>
        <v>18</v>
      </c>
      <c r="W175" s="1"/>
      <c r="X175" s="1">
        <f t="shared" ca="1" si="94"/>
        <v>6.2101633643110796</v>
      </c>
      <c r="Y175" s="1">
        <f t="shared" ca="1" si="95"/>
        <v>0.64950025013927748</v>
      </c>
      <c r="Z175" s="1">
        <f t="shared" ca="1" si="96"/>
        <v>531</v>
      </c>
      <c r="AB175" s="1">
        <f t="shared" ca="1" si="97"/>
        <v>0.58229907198229125</v>
      </c>
      <c r="AC175" s="1">
        <f t="shared" ca="1" si="98"/>
        <v>541</v>
      </c>
      <c r="AD175" s="1">
        <f t="shared" ca="1" si="99"/>
        <v>6.0456318465987131E-3</v>
      </c>
      <c r="AE175" s="1"/>
      <c r="AF175" s="1">
        <f t="shared" ca="1" si="100"/>
        <v>0.24507255621304253</v>
      </c>
      <c r="AG175" s="1">
        <f t="shared" ca="1" si="101"/>
        <v>978</v>
      </c>
      <c r="AH175" s="1">
        <f t="shared" ca="1" si="102"/>
        <v>7.8265794352448213E-3</v>
      </c>
      <c r="AJ175" s="1">
        <f t="shared" ca="1" si="103"/>
        <v>0.10070345702118011</v>
      </c>
      <c r="AK175" s="1">
        <f t="shared" ca="1" si="104"/>
        <v>7.2407053332269834E-3</v>
      </c>
      <c r="AL175" s="1"/>
      <c r="AM175" s="1">
        <f t="shared" ca="1" si="105"/>
        <v>6.1002223440391398E-2</v>
      </c>
      <c r="AN175" s="1">
        <f t="shared" ca="1" si="106"/>
        <v>51</v>
      </c>
      <c r="AO175" s="1">
        <f t="shared" ca="1" si="107"/>
        <v>8</v>
      </c>
      <c r="AQ175" s="1">
        <f t="shared" ca="1" si="108"/>
        <v>106</v>
      </c>
      <c r="AR175" s="1">
        <f t="shared" ca="1" si="109"/>
        <v>10</v>
      </c>
      <c r="AS175" s="1">
        <f t="shared" ca="1" si="110"/>
        <v>37</v>
      </c>
      <c r="AU175" s="1">
        <f t="shared" ca="1" si="111"/>
        <v>76</v>
      </c>
      <c r="AV175" s="1">
        <f t="shared" ca="1" si="112"/>
        <v>7</v>
      </c>
      <c r="AW175" s="1">
        <f t="shared" ca="1" si="113"/>
        <v>5.4283059545143862E-2</v>
      </c>
      <c r="AY175" s="1">
        <f t="shared" ca="1" si="114"/>
        <v>1.2255352495512768</v>
      </c>
      <c r="AZ175" s="1">
        <f t="shared" ca="1" si="115"/>
        <v>134</v>
      </c>
      <c r="BA175" s="1">
        <f t="shared" ca="1" si="116"/>
        <v>9.19075256412627E-3</v>
      </c>
    </row>
    <row r="176" spans="2:53" x14ac:dyDescent="0.25">
      <c r="B176">
        <f t="shared" ca="1" si="78"/>
        <v>34</v>
      </c>
      <c r="C176">
        <f t="shared" ca="1" si="79"/>
        <v>28</v>
      </c>
      <c r="D176">
        <f t="shared" ca="1" si="80"/>
        <v>0.24207520615254161</v>
      </c>
      <c r="F176" s="1">
        <f t="shared" ca="1" si="81"/>
        <v>16</v>
      </c>
      <c r="G176" s="1">
        <f t="shared" ca="1" si="82"/>
        <v>6</v>
      </c>
      <c r="H176" s="1">
        <f t="shared" ca="1" si="83"/>
        <v>11</v>
      </c>
      <c r="I176" s="1"/>
      <c r="J176" s="1">
        <f t="shared" ca="1" si="84"/>
        <v>31</v>
      </c>
      <c r="K176" s="1">
        <f t="shared" ca="1" si="85"/>
        <v>2.61969416725396</v>
      </c>
      <c r="L176" s="1">
        <f t="shared" ca="1" si="86"/>
        <v>16</v>
      </c>
      <c r="M176" s="1"/>
      <c r="N176" s="1">
        <f t="shared" ca="1" si="87"/>
        <v>812</v>
      </c>
      <c r="O176" s="1">
        <f t="shared" ca="1" si="88"/>
        <v>15</v>
      </c>
      <c r="P176" s="1"/>
      <c r="Q176" s="1">
        <f t="shared" ca="1" si="89"/>
        <v>0.59724607292326659</v>
      </c>
      <c r="R176" s="1">
        <f t="shared" ca="1" si="90"/>
        <v>471</v>
      </c>
      <c r="S176" s="1"/>
      <c r="T176" s="1">
        <f t="shared" ca="1" si="91"/>
        <v>0.19355412786625434</v>
      </c>
      <c r="U176" s="1">
        <f t="shared" ca="1" si="92"/>
        <v>74</v>
      </c>
      <c r="V176" s="1">
        <f t="shared" ca="1" si="93"/>
        <v>9</v>
      </c>
      <c r="W176" s="1"/>
      <c r="X176" s="1">
        <f t="shared" ca="1" si="94"/>
        <v>3.7918809111001752</v>
      </c>
      <c r="Y176" s="1">
        <f t="shared" ca="1" si="95"/>
        <v>0.62894588079793012</v>
      </c>
      <c r="Z176" s="1">
        <f t="shared" ca="1" si="96"/>
        <v>542</v>
      </c>
      <c r="AB176" s="1">
        <f t="shared" ca="1" si="97"/>
        <v>0.60704734135558303</v>
      </c>
      <c r="AC176" s="1">
        <f t="shared" ca="1" si="98"/>
        <v>889</v>
      </c>
      <c r="AD176" s="1">
        <f t="shared" ca="1" si="99"/>
        <v>6.588026885495331E-3</v>
      </c>
      <c r="AE176" s="1"/>
      <c r="AF176" s="1">
        <f t="shared" ca="1" si="100"/>
        <v>0.18356194389085126</v>
      </c>
      <c r="AG176" s="1">
        <f t="shared" ca="1" si="101"/>
        <v>705</v>
      </c>
      <c r="AH176" s="1">
        <f t="shared" ca="1" si="102"/>
        <v>5.315426416011384E-3</v>
      </c>
      <c r="AJ176" s="1">
        <f t="shared" ca="1" si="103"/>
        <v>0.53801212500910967</v>
      </c>
      <c r="AK176" s="1">
        <f t="shared" ca="1" si="104"/>
        <v>1.209281819563102E-3</v>
      </c>
      <c r="AL176" s="1"/>
      <c r="AM176" s="1">
        <f t="shared" ca="1" si="105"/>
        <v>3.0208968944008954E-2</v>
      </c>
      <c r="AN176" s="1">
        <f t="shared" ca="1" si="106"/>
        <v>76</v>
      </c>
      <c r="AO176" s="1">
        <f t="shared" ca="1" si="107"/>
        <v>1</v>
      </c>
      <c r="AQ176" s="1">
        <f t="shared" ca="1" si="108"/>
        <v>95</v>
      </c>
      <c r="AR176" s="1">
        <f t="shared" ca="1" si="109"/>
        <v>3</v>
      </c>
      <c r="AS176" s="1">
        <f t="shared" ca="1" si="110"/>
        <v>3</v>
      </c>
      <c r="AU176" s="1">
        <f t="shared" ca="1" si="111"/>
        <v>359</v>
      </c>
      <c r="AV176" s="1">
        <f t="shared" ca="1" si="112"/>
        <v>5</v>
      </c>
      <c r="AW176" s="1">
        <f t="shared" ca="1" si="113"/>
        <v>0.11212514442099748</v>
      </c>
      <c r="AY176" s="1">
        <f t="shared" ca="1" si="114"/>
        <v>1.2763663748722522</v>
      </c>
      <c r="AZ176" s="1">
        <f t="shared" ca="1" si="115"/>
        <v>341</v>
      </c>
      <c r="BA176" s="1">
        <f t="shared" ca="1" si="116"/>
        <v>3.1797275744827377E-3</v>
      </c>
    </row>
    <row r="177" spans="2:53" x14ac:dyDescent="0.25">
      <c r="B177">
        <f t="shared" ca="1" si="78"/>
        <v>899</v>
      </c>
      <c r="C177">
        <f t="shared" ca="1" si="79"/>
        <v>41</v>
      </c>
      <c r="D177">
        <f t="shared" ca="1" si="80"/>
        <v>0.14672894292765029</v>
      </c>
      <c r="F177" s="1">
        <f t="shared" ca="1" si="81"/>
        <v>10</v>
      </c>
      <c r="G177" s="1">
        <f t="shared" ca="1" si="82"/>
        <v>5</v>
      </c>
      <c r="H177" s="1">
        <f t="shared" ca="1" si="83"/>
        <v>13</v>
      </c>
      <c r="I177" s="1"/>
      <c r="J177" s="1">
        <f t="shared" ca="1" si="84"/>
        <v>34</v>
      </c>
      <c r="K177" s="1">
        <f t="shared" ca="1" si="85"/>
        <v>1.1374010891237685</v>
      </c>
      <c r="L177" s="1">
        <f t="shared" ca="1" si="86"/>
        <v>14</v>
      </c>
      <c r="M177" s="1"/>
      <c r="N177" s="1">
        <f t="shared" ca="1" si="87"/>
        <v>505</v>
      </c>
      <c r="O177" s="1">
        <f t="shared" ca="1" si="88"/>
        <v>8</v>
      </c>
      <c r="P177" s="1"/>
      <c r="Q177" s="1">
        <f t="shared" ca="1" si="89"/>
        <v>2.4588991017319275</v>
      </c>
      <c r="R177" s="1">
        <f t="shared" ca="1" si="90"/>
        <v>666</v>
      </c>
      <c r="S177" s="1"/>
      <c r="T177" s="1">
        <f t="shared" ca="1" si="91"/>
        <v>0.15868764550715347</v>
      </c>
      <c r="U177" s="1">
        <f t="shared" ca="1" si="92"/>
        <v>355</v>
      </c>
      <c r="V177" s="1">
        <f t="shared" ca="1" si="93"/>
        <v>49</v>
      </c>
      <c r="W177" s="1"/>
      <c r="X177" s="1">
        <f t="shared" ca="1" si="94"/>
        <v>9.8368725160893664</v>
      </c>
      <c r="Y177" s="1">
        <f t="shared" ca="1" si="95"/>
        <v>0.73461472084433965</v>
      </c>
      <c r="Z177" s="1">
        <f t="shared" ca="1" si="96"/>
        <v>1967</v>
      </c>
      <c r="AB177" s="1">
        <f t="shared" ca="1" si="97"/>
        <v>0.12193407896526494</v>
      </c>
      <c r="AC177" s="1">
        <f t="shared" ca="1" si="98"/>
        <v>424</v>
      </c>
      <c r="AD177" s="1">
        <f t="shared" ca="1" si="99"/>
        <v>7.0954234947591651E-3</v>
      </c>
      <c r="AE177" s="1"/>
      <c r="AF177" s="1">
        <f t="shared" ca="1" si="100"/>
        <v>0.2305734267484284</v>
      </c>
      <c r="AG177" s="1">
        <f t="shared" ca="1" si="101"/>
        <v>721</v>
      </c>
      <c r="AH177" s="1">
        <f t="shared" ca="1" si="102"/>
        <v>1.8864060417262398E-3</v>
      </c>
      <c r="AJ177" s="1">
        <f t="shared" ca="1" si="103"/>
        <v>0.4230421056192869</v>
      </c>
      <c r="AK177" s="1">
        <f t="shared" ca="1" si="104"/>
        <v>3.0490047610265067E-3</v>
      </c>
      <c r="AL177" s="1"/>
      <c r="AM177" s="1">
        <f t="shared" ca="1" si="105"/>
        <v>8.5967363846127312E-2</v>
      </c>
      <c r="AN177" s="1">
        <f t="shared" ca="1" si="106"/>
        <v>58</v>
      </c>
      <c r="AO177" s="1">
        <f t="shared" ca="1" si="107"/>
        <v>8</v>
      </c>
      <c r="AQ177" s="1">
        <f t="shared" ca="1" si="108"/>
        <v>15</v>
      </c>
      <c r="AR177" s="1">
        <f t="shared" ca="1" si="109"/>
        <v>8</v>
      </c>
      <c r="AS177" s="1">
        <f t="shared" ca="1" si="110"/>
        <v>82</v>
      </c>
      <c r="AU177" s="1">
        <f t="shared" ca="1" si="111"/>
        <v>273</v>
      </c>
      <c r="AV177" s="1">
        <f t="shared" ca="1" si="112"/>
        <v>9</v>
      </c>
      <c r="AW177" s="1">
        <f t="shared" ca="1" si="113"/>
        <v>2.0599515778360326E-2</v>
      </c>
      <c r="AY177" s="1">
        <f t="shared" ca="1" si="114"/>
        <v>1.8814233008501418</v>
      </c>
      <c r="AZ177" s="1">
        <f t="shared" ca="1" si="115"/>
        <v>321</v>
      </c>
      <c r="BA177" s="1">
        <f t="shared" ca="1" si="116"/>
        <v>5.0337324526614022E-3</v>
      </c>
    </row>
    <row r="178" spans="2:53" x14ac:dyDescent="0.25">
      <c r="B178">
        <f t="shared" ca="1" si="78"/>
        <v>315</v>
      </c>
      <c r="C178">
        <f t="shared" ca="1" si="79"/>
        <v>34</v>
      </c>
      <c r="D178">
        <f t="shared" ca="1" si="80"/>
        <v>5.9051203969175244E-2</v>
      </c>
      <c r="F178" s="1">
        <f t="shared" ca="1" si="81"/>
        <v>26</v>
      </c>
      <c r="G178" s="1">
        <f t="shared" ca="1" si="82"/>
        <v>30</v>
      </c>
      <c r="H178" s="1">
        <f t="shared" ca="1" si="83"/>
        <v>6</v>
      </c>
      <c r="I178" s="1"/>
      <c r="J178" s="1">
        <f t="shared" ca="1" si="84"/>
        <v>5</v>
      </c>
      <c r="K178" s="1">
        <f t="shared" ca="1" si="85"/>
        <v>1.5842831628802059</v>
      </c>
      <c r="L178" s="1">
        <f t="shared" ca="1" si="86"/>
        <v>13</v>
      </c>
      <c r="M178" s="1"/>
      <c r="N178" s="1">
        <f t="shared" ca="1" si="87"/>
        <v>262</v>
      </c>
      <c r="O178" s="1">
        <f t="shared" ca="1" si="88"/>
        <v>15</v>
      </c>
      <c r="P178" s="1"/>
      <c r="Q178" s="1">
        <f t="shared" ca="1" si="89"/>
        <v>2.885974794446168</v>
      </c>
      <c r="R178" s="1">
        <f t="shared" ca="1" si="90"/>
        <v>300</v>
      </c>
      <c r="S178" s="1"/>
      <c r="T178" s="1">
        <f t="shared" ca="1" si="91"/>
        <v>4.6858177006886097E-2</v>
      </c>
      <c r="U178" s="1">
        <f t="shared" ca="1" si="92"/>
        <v>349</v>
      </c>
      <c r="V178" s="1">
        <f t="shared" ca="1" si="93"/>
        <v>49</v>
      </c>
      <c r="W178" s="1"/>
      <c r="X178" s="1">
        <f t="shared" ca="1" si="94"/>
        <v>6.9294610046690615</v>
      </c>
      <c r="Y178" s="1">
        <f t="shared" ca="1" si="95"/>
        <v>6.8432737258611293E-2</v>
      </c>
      <c r="Z178" s="1">
        <f t="shared" ca="1" si="96"/>
        <v>1338</v>
      </c>
      <c r="AB178" s="1">
        <f t="shared" ca="1" si="97"/>
        <v>0.72521177351597543</v>
      </c>
      <c r="AC178" s="1">
        <f t="shared" ca="1" si="98"/>
        <v>782</v>
      </c>
      <c r="AD178" s="1">
        <f t="shared" ca="1" si="99"/>
        <v>1.8770867931074884E-3</v>
      </c>
      <c r="AE178" s="1"/>
      <c r="AF178" s="1">
        <f t="shared" ca="1" si="100"/>
        <v>0.59972839965262481</v>
      </c>
      <c r="AG178" s="1">
        <f t="shared" ca="1" si="101"/>
        <v>707</v>
      </c>
      <c r="AH178" s="1">
        <f t="shared" ca="1" si="102"/>
        <v>8.434926234057746E-3</v>
      </c>
      <c r="AJ178" s="1">
        <f t="shared" ca="1" si="103"/>
        <v>0.94533107338451661</v>
      </c>
      <c r="AK178" s="1">
        <f t="shared" ca="1" si="104"/>
        <v>5.0395911491141528E-3</v>
      </c>
      <c r="AL178" s="1"/>
      <c r="AM178" s="1">
        <f t="shared" ca="1" si="105"/>
        <v>0.14605703270779813</v>
      </c>
      <c r="AN178" s="1">
        <f t="shared" ca="1" si="106"/>
        <v>35</v>
      </c>
      <c r="AO178" s="1">
        <f t="shared" ca="1" si="107"/>
        <v>8</v>
      </c>
      <c r="AQ178" s="1">
        <f t="shared" ca="1" si="108"/>
        <v>144</v>
      </c>
      <c r="AR178" s="1">
        <f t="shared" ca="1" si="109"/>
        <v>1</v>
      </c>
      <c r="AS178" s="1">
        <f t="shared" ca="1" si="110"/>
        <v>79</v>
      </c>
      <c r="AU178" s="1">
        <f t="shared" ca="1" si="111"/>
        <v>98</v>
      </c>
      <c r="AV178" s="1">
        <f t="shared" ca="1" si="112"/>
        <v>2</v>
      </c>
      <c r="AW178" s="1">
        <f t="shared" ca="1" si="113"/>
        <v>0.18363839020615791</v>
      </c>
      <c r="AY178" s="1">
        <f t="shared" ca="1" si="114"/>
        <v>1.3957116271966521</v>
      </c>
      <c r="AZ178" s="1">
        <f t="shared" ca="1" si="115"/>
        <v>327</v>
      </c>
      <c r="BA178" s="1">
        <f t="shared" ca="1" si="116"/>
        <v>8.8850906913700463E-3</v>
      </c>
    </row>
    <row r="179" spans="2:53" x14ac:dyDescent="0.25">
      <c r="B179">
        <f t="shared" ca="1" si="78"/>
        <v>121</v>
      </c>
      <c r="C179">
        <f t="shared" ca="1" si="79"/>
        <v>7</v>
      </c>
      <c r="D179">
        <f t="shared" ca="1" si="80"/>
        <v>9.9233565076476613E-2</v>
      </c>
      <c r="F179" s="1">
        <f t="shared" ca="1" si="81"/>
        <v>37</v>
      </c>
      <c r="G179" s="1">
        <f t="shared" ca="1" si="82"/>
        <v>25</v>
      </c>
      <c r="H179" s="1">
        <f t="shared" ca="1" si="83"/>
        <v>14</v>
      </c>
      <c r="I179" s="1"/>
      <c r="J179" s="1">
        <f t="shared" ca="1" si="84"/>
        <v>22</v>
      </c>
      <c r="K179" s="1">
        <f t="shared" ca="1" si="85"/>
        <v>1.2557988094805981</v>
      </c>
      <c r="L179" s="1">
        <f t="shared" ca="1" si="86"/>
        <v>16</v>
      </c>
      <c r="M179" s="1"/>
      <c r="N179" s="1">
        <f t="shared" ca="1" si="87"/>
        <v>693</v>
      </c>
      <c r="O179" s="1">
        <f t="shared" ca="1" si="88"/>
        <v>32</v>
      </c>
      <c r="P179" s="1"/>
      <c r="Q179" s="1">
        <f t="shared" ca="1" si="89"/>
        <v>3.6270382328950501</v>
      </c>
      <c r="R179" s="1">
        <f t="shared" ca="1" si="90"/>
        <v>214</v>
      </c>
      <c r="S179" s="1"/>
      <c r="T179" s="1">
        <f t="shared" ca="1" si="91"/>
        <v>4.7902884896991946E-2</v>
      </c>
      <c r="U179" s="1">
        <f t="shared" ca="1" si="92"/>
        <v>225</v>
      </c>
      <c r="V179" s="1">
        <f t="shared" ca="1" si="93"/>
        <v>10</v>
      </c>
      <c r="W179" s="1"/>
      <c r="X179" s="1">
        <f t="shared" ca="1" si="94"/>
        <v>9.0999449659545899</v>
      </c>
      <c r="Y179" s="1">
        <f t="shared" ca="1" si="95"/>
        <v>4.4223832072768914E-2</v>
      </c>
      <c r="Z179" s="1">
        <f t="shared" ca="1" si="96"/>
        <v>709</v>
      </c>
      <c r="AB179" s="1">
        <f t="shared" ca="1" si="97"/>
        <v>0.72692428458908032</v>
      </c>
      <c r="AC179" s="1">
        <f t="shared" ca="1" si="98"/>
        <v>262</v>
      </c>
      <c r="AD179" s="1">
        <f t="shared" ca="1" si="99"/>
        <v>6.9579349892677717E-3</v>
      </c>
      <c r="AE179" s="1"/>
      <c r="AF179" s="1">
        <f t="shared" ca="1" si="100"/>
        <v>0.14908779826226537</v>
      </c>
      <c r="AG179" s="1">
        <f t="shared" ca="1" si="101"/>
        <v>595</v>
      </c>
      <c r="AH179" s="1">
        <f t="shared" ca="1" si="102"/>
        <v>7.0500811964355472E-3</v>
      </c>
      <c r="AJ179" s="1">
        <f t="shared" ca="1" si="103"/>
        <v>0.10929107039305064</v>
      </c>
      <c r="AK179" s="1">
        <f t="shared" ca="1" si="104"/>
        <v>5.7275789373744442E-3</v>
      </c>
      <c r="AL179" s="1"/>
      <c r="AM179" s="1">
        <f t="shared" ca="1" si="105"/>
        <v>6.8523179320955238E-2</v>
      </c>
      <c r="AN179" s="1">
        <f t="shared" ca="1" si="106"/>
        <v>43</v>
      </c>
      <c r="AO179" s="1">
        <f t="shared" ca="1" si="107"/>
        <v>18</v>
      </c>
      <c r="AQ179" s="1">
        <f t="shared" ca="1" si="108"/>
        <v>113</v>
      </c>
      <c r="AR179" s="1">
        <f t="shared" ca="1" si="109"/>
        <v>5</v>
      </c>
      <c r="AS179" s="1">
        <f t="shared" ca="1" si="110"/>
        <v>20</v>
      </c>
      <c r="AU179" s="1">
        <f t="shared" ca="1" si="111"/>
        <v>300</v>
      </c>
      <c r="AV179" s="1">
        <f t="shared" ca="1" si="112"/>
        <v>7</v>
      </c>
      <c r="AW179" s="1">
        <f t="shared" ca="1" si="113"/>
        <v>0.19040532426381915</v>
      </c>
      <c r="AY179" s="1">
        <f t="shared" ca="1" si="114"/>
        <v>1.3511791978207683</v>
      </c>
      <c r="AZ179" s="1">
        <f t="shared" ca="1" si="115"/>
        <v>160</v>
      </c>
      <c r="BA179" s="1">
        <f t="shared" ca="1" si="116"/>
        <v>7.5578812960126777E-3</v>
      </c>
    </row>
    <row r="180" spans="2:53" x14ac:dyDescent="0.25">
      <c r="B180">
        <f t="shared" ca="1" si="78"/>
        <v>116</v>
      </c>
      <c r="C180">
        <f t="shared" ca="1" si="79"/>
        <v>30</v>
      </c>
      <c r="D180">
        <f t="shared" ca="1" si="80"/>
        <v>0.27064975391203322</v>
      </c>
      <c r="F180" s="1">
        <f t="shared" ca="1" si="81"/>
        <v>15</v>
      </c>
      <c r="G180" s="1">
        <f t="shared" ca="1" si="82"/>
        <v>5</v>
      </c>
      <c r="H180" s="1">
        <f t="shared" ca="1" si="83"/>
        <v>8</v>
      </c>
      <c r="I180" s="1"/>
      <c r="J180" s="1">
        <f t="shared" ca="1" si="84"/>
        <v>38</v>
      </c>
      <c r="K180" s="1">
        <f t="shared" ca="1" si="85"/>
        <v>2.1853885400562958</v>
      </c>
      <c r="L180" s="1">
        <f t="shared" ca="1" si="86"/>
        <v>19</v>
      </c>
      <c r="M180" s="1"/>
      <c r="N180" s="1">
        <f t="shared" ca="1" si="87"/>
        <v>668</v>
      </c>
      <c r="O180" s="1">
        <f t="shared" ca="1" si="88"/>
        <v>47</v>
      </c>
      <c r="P180" s="1"/>
      <c r="Q180" s="1">
        <f t="shared" ca="1" si="89"/>
        <v>3.7966650884752293</v>
      </c>
      <c r="R180" s="1">
        <f t="shared" ca="1" si="90"/>
        <v>952</v>
      </c>
      <c r="S180" s="1"/>
      <c r="T180" s="1">
        <f t="shared" ca="1" si="91"/>
        <v>0.1275845281954161</v>
      </c>
      <c r="U180" s="1">
        <f t="shared" ca="1" si="92"/>
        <v>250</v>
      </c>
      <c r="V180" s="1">
        <f t="shared" ca="1" si="93"/>
        <v>38</v>
      </c>
      <c r="W180" s="1"/>
      <c r="X180" s="1">
        <f t="shared" ca="1" si="94"/>
        <v>2.5453890007712054</v>
      </c>
      <c r="Y180" s="1">
        <f t="shared" ca="1" si="95"/>
        <v>0.51280151006303543</v>
      </c>
      <c r="Z180" s="1">
        <f t="shared" ca="1" si="96"/>
        <v>1332</v>
      </c>
      <c r="AB180" s="1">
        <f t="shared" ca="1" si="97"/>
        <v>0.26010405779707341</v>
      </c>
      <c r="AC180" s="1">
        <f t="shared" ca="1" si="98"/>
        <v>573</v>
      </c>
      <c r="AD180" s="1">
        <f t="shared" ca="1" si="99"/>
        <v>9.678780442446213E-3</v>
      </c>
      <c r="AE180" s="1"/>
      <c r="AF180" s="1">
        <f t="shared" ca="1" si="100"/>
        <v>0.13616267528555853</v>
      </c>
      <c r="AG180" s="1">
        <f t="shared" ca="1" si="101"/>
        <v>236</v>
      </c>
      <c r="AH180" s="1">
        <f t="shared" ca="1" si="102"/>
        <v>6.55868147694079E-3</v>
      </c>
      <c r="AJ180" s="1">
        <f t="shared" ca="1" si="103"/>
        <v>0.86836479070826511</v>
      </c>
      <c r="AK180" s="1">
        <f t="shared" ca="1" si="104"/>
        <v>9.1027704905518696E-3</v>
      </c>
      <c r="AL180" s="1"/>
      <c r="AM180" s="1">
        <f t="shared" ca="1" si="105"/>
        <v>0.14986900804902617</v>
      </c>
      <c r="AN180" s="1">
        <f t="shared" ca="1" si="106"/>
        <v>79</v>
      </c>
      <c r="AO180" s="1">
        <f t="shared" ca="1" si="107"/>
        <v>19</v>
      </c>
      <c r="AQ180" s="1">
        <f t="shared" ca="1" si="108"/>
        <v>196</v>
      </c>
      <c r="AR180" s="1">
        <f t="shared" ca="1" si="109"/>
        <v>7</v>
      </c>
      <c r="AS180" s="1">
        <f t="shared" ca="1" si="110"/>
        <v>58</v>
      </c>
      <c r="AU180" s="1">
        <f t="shared" ca="1" si="111"/>
        <v>188</v>
      </c>
      <c r="AV180" s="1">
        <f t="shared" ca="1" si="112"/>
        <v>3</v>
      </c>
      <c r="AW180" s="1">
        <f t="shared" ca="1" si="113"/>
        <v>0.16720731349347515</v>
      </c>
      <c r="AY180" s="1">
        <f t="shared" ca="1" si="114"/>
        <v>1.2838590620928676</v>
      </c>
      <c r="AZ180" s="1">
        <f t="shared" ca="1" si="115"/>
        <v>332</v>
      </c>
      <c r="BA180" s="1">
        <f t="shared" ca="1" si="116"/>
        <v>4.6944041908632958E-3</v>
      </c>
    </row>
    <row r="181" spans="2:53" x14ac:dyDescent="0.25">
      <c r="B181">
        <f t="shared" ca="1" si="78"/>
        <v>379</v>
      </c>
      <c r="C181">
        <f t="shared" ca="1" si="79"/>
        <v>45</v>
      </c>
      <c r="D181">
        <f t="shared" ca="1" si="80"/>
        <v>0.18640758647176045</v>
      </c>
      <c r="F181" s="1">
        <f t="shared" ca="1" si="81"/>
        <v>14</v>
      </c>
      <c r="G181" s="1">
        <f t="shared" ca="1" si="82"/>
        <v>21</v>
      </c>
      <c r="H181" s="1">
        <f t="shared" ca="1" si="83"/>
        <v>9</v>
      </c>
      <c r="I181" s="1"/>
      <c r="J181" s="1">
        <f t="shared" ca="1" si="84"/>
        <v>20</v>
      </c>
      <c r="K181" s="1">
        <f t="shared" ca="1" si="85"/>
        <v>2.5080690681742612</v>
      </c>
      <c r="L181" s="1">
        <f t="shared" ca="1" si="86"/>
        <v>13</v>
      </c>
      <c r="M181" s="1"/>
      <c r="N181" s="1">
        <f t="shared" ca="1" si="87"/>
        <v>981</v>
      </c>
      <c r="O181" s="1">
        <f t="shared" ca="1" si="88"/>
        <v>9</v>
      </c>
      <c r="P181" s="1"/>
      <c r="Q181" s="1">
        <f t="shared" ca="1" si="89"/>
        <v>4.3775852691941406</v>
      </c>
      <c r="R181" s="1">
        <f t="shared" ca="1" si="90"/>
        <v>973</v>
      </c>
      <c r="S181" s="1"/>
      <c r="T181" s="1">
        <f t="shared" ca="1" si="91"/>
        <v>0.1187810427997045</v>
      </c>
      <c r="U181" s="1">
        <f t="shared" ca="1" si="92"/>
        <v>321</v>
      </c>
      <c r="V181" s="1">
        <f t="shared" ca="1" si="93"/>
        <v>36</v>
      </c>
      <c r="W181" s="1"/>
      <c r="X181" s="1">
        <f t="shared" ca="1" si="94"/>
        <v>8.406126482376715</v>
      </c>
      <c r="Y181" s="1">
        <f t="shared" ca="1" si="95"/>
        <v>0.98383742862986812</v>
      </c>
      <c r="Z181" s="1">
        <f t="shared" ca="1" si="96"/>
        <v>1617</v>
      </c>
      <c r="AB181" s="1">
        <f t="shared" ca="1" si="97"/>
        <v>0.27907499701859145</v>
      </c>
      <c r="AC181" s="1">
        <f t="shared" ca="1" si="98"/>
        <v>515</v>
      </c>
      <c r="AD181" s="1">
        <f t="shared" ca="1" si="99"/>
        <v>6.2047111429954921E-3</v>
      </c>
      <c r="AE181" s="1"/>
      <c r="AF181" s="1">
        <f t="shared" ca="1" si="100"/>
        <v>0.13460738817346807</v>
      </c>
      <c r="AG181" s="1">
        <f t="shared" ca="1" si="101"/>
        <v>730</v>
      </c>
      <c r="AH181" s="1">
        <f t="shared" ca="1" si="102"/>
        <v>1.68129989934902E-3</v>
      </c>
      <c r="AJ181" s="1">
        <f t="shared" ca="1" si="103"/>
        <v>0.90601720337283598</v>
      </c>
      <c r="AK181" s="1">
        <f t="shared" ca="1" si="104"/>
        <v>1.1292856481573631E-3</v>
      </c>
      <c r="AL181" s="1"/>
      <c r="AM181" s="1">
        <f t="shared" ca="1" si="105"/>
        <v>0.18807926658683111</v>
      </c>
      <c r="AN181" s="1">
        <f t="shared" ca="1" si="106"/>
        <v>32</v>
      </c>
      <c r="AO181" s="1">
        <f t="shared" ca="1" si="107"/>
        <v>15</v>
      </c>
      <c r="AQ181" s="1">
        <f t="shared" ca="1" si="108"/>
        <v>46</v>
      </c>
      <c r="AR181" s="1">
        <f t="shared" ca="1" si="109"/>
        <v>1</v>
      </c>
      <c r="AS181" s="1">
        <f t="shared" ca="1" si="110"/>
        <v>3</v>
      </c>
      <c r="AU181" s="1">
        <f t="shared" ca="1" si="111"/>
        <v>323</v>
      </c>
      <c r="AV181" s="1">
        <f t="shared" ca="1" si="112"/>
        <v>9</v>
      </c>
      <c r="AW181" s="1">
        <f t="shared" ca="1" si="113"/>
        <v>0.1407258153763061</v>
      </c>
      <c r="AY181" s="1">
        <f t="shared" ca="1" si="114"/>
        <v>1.3638819730345644</v>
      </c>
      <c r="AZ181" s="1">
        <f t="shared" ca="1" si="115"/>
        <v>51</v>
      </c>
      <c r="BA181" s="1">
        <f t="shared" ca="1" si="116"/>
        <v>5.3759815493108999E-3</v>
      </c>
    </row>
    <row r="182" spans="2:53" x14ac:dyDescent="0.25">
      <c r="B182">
        <f t="shared" ca="1" si="78"/>
        <v>703</v>
      </c>
      <c r="C182">
        <f t="shared" ca="1" si="79"/>
        <v>18</v>
      </c>
      <c r="D182">
        <f t="shared" ca="1" si="80"/>
        <v>0.1697041166004524</v>
      </c>
      <c r="F182" s="1">
        <f t="shared" ca="1" si="81"/>
        <v>21</v>
      </c>
      <c r="G182" s="1">
        <f t="shared" ca="1" si="82"/>
        <v>20</v>
      </c>
      <c r="H182" s="1">
        <f t="shared" ca="1" si="83"/>
        <v>7</v>
      </c>
      <c r="I182" s="1"/>
      <c r="J182" s="1">
        <f t="shared" ca="1" si="84"/>
        <v>4</v>
      </c>
      <c r="K182" s="1">
        <f t="shared" ca="1" si="85"/>
        <v>1.3214199699040212</v>
      </c>
      <c r="L182" s="1">
        <f t="shared" ca="1" si="86"/>
        <v>24</v>
      </c>
      <c r="M182" s="1"/>
      <c r="N182" s="1">
        <f t="shared" ca="1" si="87"/>
        <v>246</v>
      </c>
      <c r="O182" s="1">
        <f t="shared" ca="1" si="88"/>
        <v>45</v>
      </c>
      <c r="P182" s="1"/>
      <c r="Q182" s="1">
        <f t="shared" ca="1" si="89"/>
        <v>0.12999182647632004</v>
      </c>
      <c r="R182" s="1">
        <f t="shared" ca="1" si="90"/>
        <v>376</v>
      </c>
      <c r="S182" s="1"/>
      <c r="T182" s="1">
        <f t="shared" ca="1" si="91"/>
        <v>8.6458812295556353E-2</v>
      </c>
      <c r="U182" s="1">
        <f t="shared" ca="1" si="92"/>
        <v>192</v>
      </c>
      <c r="V182" s="1">
        <f t="shared" ca="1" si="93"/>
        <v>3</v>
      </c>
      <c r="W182" s="1"/>
      <c r="X182" s="1">
        <f t="shared" ca="1" si="94"/>
        <v>6.7228534057627467</v>
      </c>
      <c r="Y182" s="1">
        <f t="shared" ca="1" si="95"/>
        <v>0.45411519066142486</v>
      </c>
      <c r="Z182" s="1">
        <f t="shared" ca="1" si="96"/>
        <v>1423</v>
      </c>
      <c r="AB182" s="1">
        <f t="shared" ca="1" si="97"/>
        <v>0.27897414346862232</v>
      </c>
      <c r="AC182" s="1">
        <f t="shared" ca="1" si="98"/>
        <v>588</v>
      </c>
      <c r="AD182" s="1">
        <f t="shared" ca="1" si="99"/>
        <v>2.8307690052286377E-3</v>
      </c>
      <c r="AE182" s="1"/>
      <c r="AF182" s="1">
        <f t="shared" ca="1" si="100"/>
        <v>0.89113584930885581</v>
      </c>
      <c r="AG182" s="1">
        <f t="shared" ca="1" si="101"/>
        <v>589</v>
      </c>
      <c r="AH182" s="1">
        <f t="shared" ca="1" si="102"/>
        <v>4.997957452407345E-3</v>
      </c>
      <c r="AJ182" s="1">
        <f t="shared" ca="1" si="103"/>
        <v>0.55263053926276984</v>
      </c>
      <c r="AK182" s="1">
        <f t="shared" ca="1" si="104"/>
        <v>1.6322997332378023E-3</v>
      </c>
      <c r="AL182" s="1"/>
      <c r="AM182" s="1">
        <f t="shared" ca="1" si="105"/>
        <v>1.608070997158139E-2</v>
      </c>
      <c r="AN182" s="1">
        <f t="shared" ca="1" si="106"/>
        <v>43</v>
      </c>
      <c r="AO182" s="1">
        <f t="shared" ca="1" si="107"/>
        <v>1</v>
      </c>
      <c r="AQ182" s="1">
        <f t="shared" ca="1" si="108"/>
        <v>123</v>
      </c>
      <c r="AR182" s="1">
        <f t="shared" ca="1" si="109"/>
        <v>5</v>
      </c>
      <c r="AS182" s="1">
        <f t="shared" ca="1" si="110"/>
        <v>77</v>
      </c>
      <c r="AU182" s="1">
        <f t="shared" ca="1" si="111"/>
        <v>283</v>
      </c>
      <c r="AV182" s="1">
        <f t="shared" ca="1" si="112"/>
        <v>4</v>
      </c>
      <c r="AW182" s="1">
        <f t="shared" ca="1" si="113"/>
        <v>0.1012474116033525</v>
      </c>
      <c r="AY182" s="1">
        <f t="shared" ca="1" si="114"/>
        <v>1.1546551172650088</v>
      </c>
      <c r="AZ182" s="1">
        <f t="shared" ca="1" si="115"/>
        <v>82</v>
      </c>
      <c r="BA182" s="1">
        <f t="shared" ca="1" si="116"/>
        <v>5.5526533195787717E-3</v>
      </c>
    </row>
    <row r="183" spans="2:53" x14ac:dyDescent="0.25">
      <c r="B183">
        <f t="shared" ca="1" si="78"/>
        <v>773</v>
      </c>
      <c r="C183">
        <f t="shared" ca="1" si="79"/>
        <v>5</v>
      </c>
      <c r="D183">
        <f t="shared" ca="1" si="80"/>
        <v>4.6197950397824872E-2</v>
      </c>
      <c r="F183" s="1">
        <f t="shared" ca="1" si="81"/>
        <v>37</v>
      </c>
      <c r="G183" s="1">
        <f t="shared" ca="1" si="82"/>
        <v>23</v>
      </c>
      <c r="H183" s="1">
        <f t="shared" ca="1" si="83"/>
        <v>15</v>
      </c>
      <c r="I183" s="1"/>
      <c r="J183" s="1">
        <f t="shared" ca="1" si="84"/>
        <v>12</v>
      </c>
      <c r="K183" s="1">
        <f t="shared" ca="1" si="85"/>
        <v>2.3735609435588985</v>
      </c>
      <c r="L183" s="1">
        <f t="shared" ca="1" si="86"/>
        <v>21</v>
      </c>
      <c r="M183" s="1"/>
      <c r="N183" s="1">
        <f t="shared" ca="1" si="87"/>
        <v>401</v>
      </c>
      <c r="O183" s="1">
        <f t="shared" ca="1" si="88"/>
        <v>29</v>
      </c>
      <c r="P183" s="1"/>
      <c r="Q183" s="1">
        <f t="shared" ca="1" si="89"/>
        <v>0.34530939768477664</v>
      </c>
      <c r="R183" s="1">
        <f t="shared" ca="1" si="90"/>
        <v>974</v>
      </c>
      <c r="S183" s="1"/>
      <c r="T183" s="1">
        <f t="shared" ca="1" si="91"/>
        <v>0.18841776759963696</v>
      </c>
      <c r="U183" s="1">
        <f t="shared" ca="1" si="92"/>
        <v>160</v>
      </c>
      <c r="V183" s="1">
        <f t="shared" ca="1" si="93"/>
        <v>37</v>
      </c>
      <c r="W183" s="1"/>
      <c r="X183" s="1">
        <f t="shared" ca="1" si="94"/>
        <v>9.758283849995733</v>
      </c>
      <c r="Y183" s="1">
        <f t="shared" ca="1" si="95"/>
        <v>5.4773431463026594E-2</v>
      </c>
      <c r="Z183" s="1">
        <f t="shared" ca="1" si="96"/>
        <v>1237</v>
      </c>
      <c r="AB183" s="1">
        <f t="shared" ca="1" si="97"/>
        <v>0.2266474896929338</v>
      </c>
      <c r="AC183" s="1">
        <f t="shared" ca="1" si="98"/>
        <v>134</v>
      </c>
      <c r="AD183" s="1">
        <f t="shared" ca="1" si="99"/>
        <v>6.8214975082748113E-3</v>
      </c>
      <c r="AE183" s="1"/>
      <c r="AF183" s="1">
        <f t="shared" ca="1" si="100"/>
        <v>0.13486798741976713</v>
      </c>
      <c r="AG183" s="1">
        <f t="shared" ca="1" si="101"/>
        <v>715</v>
      </c>
      <c r="AH183" s="1">
        <f t="shared" ca="1" si="102"/>
        <v>2.3159945386849721E-3</v>
      </c>
      <c r="AJ183" s="1">
        <f t="shared" ca="1" si="103"/>
        <v>0.74484971014878898</v>
      </c>
      <c r="AK183" s="1">
        <f t="shared" ca="1" si="104"/>
        <v>3.400222478736684E-3</v>
      </c>
      <c r="AL183" s="1"/>
      <c r="AM183" s="1">
        <f t="shared" ca="1" si="105"/>
        <v>0.11957841667282713</v>
      </c>
      <c r="AN183" s="1">
        <f t="shared" ca="1" si="106"/>
        <v>67</v>
      </c>
      <c r="AO183" s="1">
        <f t="shared" ca="1" si="107"/>
        <v>10</v>
      </c>
      <c r="AQ183" s="1">
        <f t="shared" ca="1" si="108"/>
        <v>10</v>
      </c>
      <c r="AR183" s="1">
        <f t="shared" ca="1" si="109"/>
        <v>4</v>
      </c>
      <c r="AS183" s="1">
        <f t="shared" ca="1" si="110"/>
        <v>67</v>
      </c>
      <c r="AU183" s="1">
        <f t="shared" ca="1" si="111"/>
        <v>364</v>
      </c>
      <c r="AV183" s="1">
        <f t="shared" ca="1" si="112"/>
        <v>5</v>
      </c>
      <c r="AW183" s="1">
        <f t="shared" ca="1" si="113"/>
        <v>7.6100453932945594E-2</v>
      </c>
      <c r="AY183" s="1">
        <f t="shared" ca="1" si="114"/>
        <v>1.3248918060076866</v>
      </c>
      <c r="AZ183" s="1">
        <f t="shared" ca="1" si="115"/>
        <v>494</v>
      </c>
      <c r="BA183" s="1">
        <f t="shared" ca="1" si="116"/>
        <v>3.8311796754334606E-3</v>
      </c>
    </row>
    <row r="184" spans="2:53" x14ac:dyDescent="0.25">
      <c r="B184">
        <f t="shared" ca="1" si="78"/>
        <v>481</v>
      </c>
      <c r="C184">
        <f t="shared" ca="1" si="79"/>
        <v>14</v>
      </c>
      <c r="D184">
        <f t="shared" ca="1" si="80"/>
        <v>6.1900971450800764E-2</v>
      </c>
      <c r="F184" s="1">
        <f t="shared" ca="1" si="81"/>
        <v>8</v>
      </c>
      <c r="G184" s="1">
        <f t="shared" ca="1" si="82"/>
        <v>28</v>
      </c>
      <c r="H184" s="1">
        <f t="shared" ca="1" si="83"/>
        <v>9</v>
      </c>
      <c r="I184" s="1"/>
      <c r="J184" s="1">
        <f t="shared" ca="1" si="84"/>
        <v>37</v>
      </c>
      <c r="K184" s="1">
        <f t="shared" ca="1" si="85"/>
        <v>1.7224711370416643</v>
      </c>
      <c r="L184" s="1">
        <f t="shared" ca="1" si="86"/>
        <v>18</v>
      </c>
      <c r="M184" s="1"/>
      <c r="N184" s="1">
        <f t="shared" ca="1" si="87"/>
        <v>201</v>
      </c>
      <c r="O184" s="1">
        <f t="shared" ca="1" si="88"/>
        <v>25</v>
      </c>
      <c r="P184" s="1"/>
      <c r="Q184" s="1">
        <f t="shared" ca="1" si="89"/>
        <v>0.26545336248130513</v>
      </c>
      <c r="R184" s="1">
        <f t="shared" ca="1" si="90"/>
        <v>838</v>
      </c>
      <c r="S184" s="1"/>
      <c r="T184" s="1">
        <f t="shared" ca="1" si="91"/>
        <v>6.4505233590582051E-2</v>
      </c>
      <c r="U184" s="1">
        <f t="shared" ca="1" si="92"/>
        <v>444</v>
      </c>
      <c r="V184" s="1">
        <f t="shared" ca="1" si="93"/>
        <v>48</v>
      </c>
      <c r="W184" s="1"/>
      <c r="X184" s="1">
        <f t="shared" ca="1" si="94"/>
        <v>9.3345397751906933</v>
      </c>
      <c r="Y184" s="1">
        <f t="shared" ca="1" si="95"/>
        <v>0.91599905692910266</v>
      </c>
      <c r="Z184" s="1">
        <f t="shared" ca="1" si="96"/>
        <v>211</v>
      </c>
      <c r="AB184" s="1">
        <f t="shared" ca="1" si="97"/>
        <v>0.89003626492214682</v>
      </c>
      <c r="AC184" s="1">
        <f t="shared" ca="1" si="98"/>
        <v>414</v>
      </c>
      <c r="AD184" s="1">
        <f t="shared" ca="1" si="99"/>
        <v>8.2014477007598969E-3</v>
      </c>
      <c r="AE184" s="1"/>
      <c r="AF184" s="1">
        <f t="shared" ca="1" si="100"/>
        <v>0.450867892587826</v>
      </c>
      <c r="AG184" s="1">
        <f t="shared" ca="1" si="101"/>
        <v>413</v>
      </c>
      <c r="AH184" s="1">
        <f t="shared" ca="1" si="102"/>
        <v>3.3692167169704812E-3</v>
      </c>
      <c r="AJ184" s="1">
        <f t="shared" ca="1" si="103"/>
        <v>0.63718445724222639</v>
      </c>
      <c r="AK184" s="1">
        <f t="shared" ca="1" si="104"/>
        <v>2.1002357245964707E-3</v>
      </c>
      <c r="AL184" s="1"/>
      <c r="AM184" s="1">
        <f t="shared" ca="1" si="105"/>
        <v>9.0961354037563891E-2</v>
      </c>
      <c r="AN184" s="1">
        <f t="shared" ca="1" si="106"/>
        <v>49</v>
      </c>
      <c r="AO184" s="1">
        <f t="shared" ca="1" si="107"/>
        <v>15</v>
      </c>
      <c r="AQ184" s="1">
        <f t="shared" ca="1" si="108"/>
        <v>174</v>
      </c>
      <c r="AR184" s="1">
        <f t="shared" ca="1" si="109"/>
        <v>10</v>
      </c>
      <c r="AS184" s="1">
        <f t="shared" ca="1" si="110"/>
        <v>83</v>
      </c>
      <c r="AU184" s="1">
        <f t="shared" ca="1" si="111"/>
        <v>229</v>
      </c>
      <c r="AV184" s="1">
        <f t="shared" ca="1" si="112"/>
        <v>7</v>
      </c>
      <c r="AW184" s="1">
        <f t="shared" ca="1" si="113"/>
        <v>8.9933370059520526E-2</v>
      </c>
      <c r="AY184" s="1">
        <f t="shared" ca="1" si="114"/>
        <v>1.6709011189879124</v>
      </c>
      <c r="AZ184" s="1">
        <f t="shared" ca="1" si="115"/>
        <v>83</v>
      </c>
      <c r="BA184" s="1">
        <f t="shared" ca="1" si="116"/>
        <v>3.3246672971182548E-3</v>
      </c>
    </row>
    <row r="185" spans="2:53" x14ac:dyDescent="0.25">
      <c r="B185">
        <f t="shared" ca="1" si="78"/>
        <v>207</v>
      </c>
      <c r="C185">
        <f t="shared" ca="1" si="79"/>
        <v>15</v>
      </c>
      <c r="D185">
        <f t="shared" ca="1" si="80"/>
        <v>0.16400643247110983</v>
      </c>
      <c r="F185" s="1">
        <f t="shared" ca="1" si="81"/>
        <v>44</v>
      </c>
      <c r="G185" s="1">
        <f t="shared" ca="1" si="82"/>
        <v>29</v>
      </c>
      <c r="H185" s="1">
        <f t="shared" ca="1" si="83"/>
        <v>9</v>
      </c>
      <c r="I185" s="1"/>
      <c r="J185" s="1">
        <f t="shared" ca="1" si="84"/>
        <v>36</v>
      </c>
      <c r="K185" s="1">
        <f t="shared" ca="1" si="85"/>
        <v>2.6725554991591491</v>
      </c>
      <c r="L185" s="1">
        <f t="shared" ca="1" si="86"/>
        <v>22</v>
      </c>
      <c r="M185" s="1"/>
      <c r="N185" s="1">
        <f t="shared" ca="1" si="87"/>
        <v>400</v>
      </c>
      <c r="O185" s="1">
        <f t="shared" ca="1" si="88"/>
        <v>44</v>
      </c>
      <c r="P185" s="1"/>
      <c r="Q185" s="1">
        <f t="shared" ca="1" si="89"/>
        <v>2.3533208634287459</v>
      </c>
      <c r="R185" s="1">
        <f t="shared" ca="1" si="90"/>
        <v>785</v>
      </c>
      <c r="S185" s="1"/>
      <c r="T185" s="1">
        <f t="shared" ca="1" si="91"/>
        <v>0.18329626954665726</v>
      </c>
      <c r="U185" s="1">
        <f t="shared" ca="1" si="92"/>
        <v>133</v>
      </c>
      <c r="V185" s="1">
        <f t="shared" ca="1" si="93"/>
        <v>30</v>
      </c>
      <c r="W185" s="1"/>
      <c r="X185" s="1">
        <f t="shared" ca="1" si="94"/>
        <v>1.1420977649759558</v>
      </c>
      <c r="Y185" s="1">
        <f t="shared" ca="1" si="95"/>
        <v>0.21664404641391186</v>
      </c>
      <c r="Z185" s="1">
        <f t="shared" ca="1" si="96"/>
        <v>1921</v>
      </c>
      <c r="AB185" s="1">
        <f t="shared" ca="1" si="97"/>
        <v>0.63432504315287552</v>
      </c>
      <c r="AC185" s="1">
        <f t="shared" ca="1" si="98"/>
        <v>753</v>
      </c>
      <c r="AD185" s="1">
        <f t="shared" ca="1" si="99"/>
        <v>8.9277666317190037E-3</v>
      </c>
      <c r="AE185" s="1"/>
      <c r="AF185" s="1">
        <f t="shared" ca="1" si="100"/>
        <v>0.78066848425174695</v>
      </c>
      <c r="AG185" s="1">
        <f t="shared" ca="1" si="101"/>
        <v>582</v>
      </c>
      <c r="AH185" s="1">
        <f t="shared" ca="1" si="102"/>
        <v>4.5060514480959844E-3</v>
      </c>
      <c r="AJ185" s="1">
        <f t="shared" ca="1" si="103"/>
        <v>0.15283206464309274</v>
      </c>
      <c r="AK185" s="1">
        <f t="shared" ca="1" si="104"/>
        <v>2.0909801984142634E-3</v>
      </c>
      <c r="AL185" s="1"/>
      <c r="AM185" s="1">
        <f t="shared" ca="1" si="105"/>
        <v>6.0758947332449527E-2</v>
      </c>
      <c r="AN185" s="1">
        <f t="shared" ca="1" si="106"/>
        <v>16</v>
      </c>
      <c r="AO185" s="1">
        <f t="shared" ca="1" si="107"/>
        <v>3</v>
      </c>
      <c r="AQ185" s="1">
        <f t="shared" ca="1" si="108"/>
        <v>166</v>
      </c>
      <c r="AR185" s="1">
        <f t="shared" ca="1" si="109"/>
        <v>8</v>
      </c>
      <c r="AS185" s="1">
        <f t="shared" ca="1" si="110"/>
        <v>78</v>
      </c>
      <c r="AU185" s="1">
        <f t="shared" ca="1" si="111"/>
        <v>383</v>
      </c>
      <c r="AV185" s="1">
        <f t="shared" ca="1" si="112"/>
        <v>2</v>
      </c>
      <c r="AW185" s="1">
        <f t="shared" ca="1" si="113"/>
        <v>7.8780655371292516E-2</v>
      </c>
      <c r="AY185" s="1">
        <f t="shared" ca="1" si="114"/>
        <v>1.7199572169489536</v>
      </c>
      <c r="AZ185" s="1">
        <f t="shared" ca="1" si="115"/>
        <v>108</v>
      </c>
      <c r="BA185" s="1">
        <f t="shared" ca="1" si="116"/>
        <v>6.3992444115013505E-3</v>
      </c>
    </row>
    <row r="186" spans="2:53" x14ac:dyDescent="0.25">
      <c r="B186">
        <f t="shared" ca="1" si="78"/>
        <v>156</v>
      </c>
      <c r="C186">
        <f t="shared" ca="1" si="79"/>
        <v>7</v>
      </c>
      <c r="D186">
        <f t="shared" ca="1" si="80"/>
        <v>0.19869392986033449</v>
      </c>
      <c r="F186" s="1">
        <f t="shared" ca="1" si="81"/>
        <v>9</v>
      </c>
      <c r="G186" s="1">
        <f t="shared" ca="1" si="82"/>
        <v>13</v>
      </c>
      <c r="H186" s="1">
        <f t="shared" ca="1" si="83"/>
        <v>10</v>
      </c>
      <c r="I186" s="1"/>
      <c r="J186" s="1">
        <f t="shared" ca="1" si="84"/>
        <v>35</v>
      </c>
      <c r="K186" s="1">
        <f t="shared" ca="1" si="85"/>
        <v>2.9432950605782784</v>
      </c>
      <c r="L186" s="1">
        <f t="shared" ca="1" si="86"/>
        <v>27</v>
      </c>
      <c r="M186" s="1"/>
      <c r="N186" s="1">
        <f t="shared" ca="1" si="87"/>
        <v>498</v>
      </c>
      <c r="O186" s="1">
        <f t="shared" ca="1" si="88"/>
        <v>30</v>
      </c>
      <c r="P186" s="1"/>
      <c r="Q186" s="1">
        <f t="shared" ca="1" si="89"/>
        <v>4.4008030647187235</v>
      </c>
      <c r="R186" s="1">
        <f t="shared" ca="1" si="90"/>
        <v>648</v>
      </c>
      <c r="S186" s="1"/>
      <c r="T186" s="1">
        <f t="shared" ca="1" si="91"/>
        <v>2.3413036310883158E-2</v>
      </c>
      <c r="U186" s="1">
        <f t="shared" ca="1" si="92"/>
        <v>299</v>
      </c>
      <c r="V186" s="1">
        <f t="shared" ca="1" si="93"/>
        <v>40</v>
      </c>
      <c r="W186" s="1"/>
      <c r="X186" s="1">
        <f t="shared" ca="1" si="94"/>
        <v>6.0630285275164262</v>
      </c>
      <c r="Y186" s="1">
        <f t="shared" ca="1" si="95"/>
        <v>0.81025244632648252</v>
      </c>
      <c r="Z186" s="1">
        <f t="shared" ca="1" si="96"/>
        <v>1494</v>
      </c>
      <c r="AB186" s="1">
        <f t="shared" ca="1" si="97"/>
        <v>0.85827830185324105</v>
      </c>
      <c r="AC186" s="1">
        <f t="shared" ca="1" si="98"/>
        <v>318</v>
      </c>
      <c r="AD186" s="1">
        <f t="shared" ca="1" si="99"/>
        <v>8.9820268404017904E-3</v>
      </c>
      <c r="AE186" s="1"/>
      <c r="AF186" s="1">
        <f t="shared" ca="1" si="100"/>
        <v>0.12427691477669747</v>
      </c>
      <c r="AG186" s="1">
        <f t="shared" ca="1" si="101"/>
        <v>517</v>
      </c>
      <c r="AH186" s="1">
        <f t="shared" ca="1" si="102"/>
        <v>2.9240318367670108E-3</v>
      </c>
      <c r="AJ186" s="1">
        <f t="shared" ca="1" si="103"/>
        <v>0.96607887428961148</v>
      </c>
      <c r="AK186" s="1">
        <f t="shared" ca="1" si="104"/>
        <v>6.7800342667036955E-4</v>
      </c>
      <c r="AL186" s="1"/>
      <c r="AM186" s="1">
        <f t="shared" ca="1" si="105"/>
        <v>0.12344366837747685</v>
      </c>
      <c r="AN186" s="1">
        <f t="shared" ca="1" si="106"/>
        <v>23</v>
      </c>
      <c r="AO186" s="1">
        <f t="shared" ca="1" si="107"/>
        <v>0</v>
      </c>
      <c r="AQ186" s="1">
        <f t="shared" ca="1" si="108"/>
        <v>67</v>
      </c>
      <c r="AR186" s="1">
        <f t="shared" ca="1" si="109"/>
        <v>4</v>
      </c>
      <c r="AS186" s="1">
        <f t="shared" ca="1" si="110"/>
        <v>95</v>
      </c>
      <c r="AU186" s="1">
        <f t="shared" ca="1" si="111"/>
        <v>312</v>
      </c>
      <c r="AV186" s="1">
        <f t="shared" ca="1" si="112"/>
        <v>8</v>
      </c>
      <c r="AW186" s="1">
        <f t="shared" ca="1" si="113"/>
        <v>0.16914064615789284</v>
      </c>
      <c r="AY186" s="1">
        <f t="shared" ca="1" si="114"/>
        <v>1.6065924532669147</v>
      </c>
      <c r="AZ186" s="1">
        <f t="shared" ca="1" si="115"/>
        <v>419</v>
      </c>
      <c r="BA186" s="1">
        <f t="shared" ca="1" si="116"/>
        <v>3.5384959303993166E-3</v>
      </c>
    </row>
    <row r="187" spans="2:53" x14ac:dyDescent="0.25">
      <c r="B187">
        <f t="shared" ca="1" si="78"/>
        <v>40</v>
      </c>
      <c r="C187">
        <f t="shared" ca="1" si="79"/>
        <v>19</v>
      </c>
      <c r="D187">
        <f t="shared" ca="1" si="80"/>
        <v>0.24062865221216823</v>
      </c>
      <c r="F187" s="1">
        <f t="shared" ca="1" si="81"/>
        <v>28</v>
      </c>
      <c r="G187" s="1">
        <f t="shared" ca="1" si="82"/>
        <v>17</v>
      </c>
      <c r="H187" s="1">
        <f t="shared" ca="1" si="83"/>
        <v>1</v>
      </c>
      <c r="I187" s="1"/>
      <c r="J187" s="1">
        <f t="shared" ca="1" si="84"/>
        <v>14</v>
      </c>
      <c r="K187" s="1">
        <f t="shared" ca="1" si="85"/>
        <v>2.6856093745625857</v>
      </c>
      <c r="L187" s="1">
        <f t="shared" ca="1" si="86"/>
        <v>14</v>
      </c>
      <c r="M187" s="1"/>
      <c r="N187" s="1">
        <f t="shared" ca="1" si="87"/>
        <v>432</v>
      </c>
      <c r="O187" s="1">
        <f t="shared" ca="1" si="88"/>
        <v>12</v>
      </c>
      <c r="P187" s="1"/>
      <c r="Q187" s="1">
        <f t="shared" ca="1" si="89"/>
        <v>3.2902434059872681</v>
      </c>
      <c r="R187" s="1">
        <f t="shared" ca="1" si="90"/>
        <v>1164</v>
      </c>
      <c r="S187" s="1"/>
      <c r="T187" s="1">
        <f t="shared" ca="1" si="91"/>
        <v>0.1255784838534359</v>
      </c>
      <c r="U187" s="1">
        <f t="shared" ca="1" si="92"/>
        <v>231</v>
      </c>
      <c r="V187" s="1">
        <f t="shared" ca="1" si="93"/>
        <v>48</v>
      </c>
      <c r="W187" s="1"/>
      <c r="X187" s="1">
        <f t="shared" ca="1" si="94"/>
        <v>5.4822193393191654</v>
      </c>
      <c r="Y187" s="1">
        <f t="shared" ca="1" si="95"/>
        <v>0.28567908875282993</v>
      </c>
      <c r="Z187" s="1">
        <f t="shared" ca="1" si="96"/>
        <v>826</v>
      </c>
      <c r="AB187" s="1">
        <f t="shared" ca="1" si="97"/>
        <v>0.64556104854259488</v>
      </c>
      <c r="AC187" s="1">
        <f t="shared" ca="1" si="98"/>
        <v>527</v>
      </c>
      <c r="AD187" s="1">
        <f t="shared" ca="1" si="99"/>
        <v>1.2411229237496311E-3</v>
      </c>
      <c r="AE187" s="1"/>
      <c r="AF187" s="1">
        <f t="shared" ca="1" si="100"/>
        <v>0.46244088008207984</v>
      </c>
      <c r="AG187" s="1">
        <f t="shared" ca="1" si="101"/>
        <v>757</v>
      </c>
      <c r="AH187" s="1">
        <f t="shared" ca="1" si="102"/>
        <v>2.3557667278343271E-3</v>
      </c>
      <c r="AJ187" s="1">
        <f t="shared" ca="1" si="103"/>
        <v>0.20121117196514204</v>
      </c>
      <c r="AK187" s="1">
        <f t="shared" ca="1" si="104"/>
        <v>5.3624795251840385E-3</v>
      </c>
      <c r="AL187" s="1"/>
      <c r="AM187" s="1">
        <f t="shared" ca="1" si="105"/>
        <v>2.6776676910419184E-2</v>
      </c>
      <c r="AN187" s="1">
        <f t="shared" ca="1" si="106"/>
        <v>58</v>
      </c>
      <c r="AO187" s="1">
        <f t="shared" ca="1" si="107"/>
        <v>7</v>
      </c>
      <c r="AQ187" s="1">
        <f t="shared" ca="1" si="108"/>
        <v>31</v>
      </c>
      <c r="AR187" s="1">
        <f t="shared" ca="1" si="109"/>
        <v>3</v>
      </c>
      <c r="AS187" s="1">
        <f t="shared" ca="1" si="110"/>
        <v>48</v>
      </c>
      <c r="AU187" s="1">
        <f t="shared" ca="1" si="111"/>
        <v>226</v>
      </c>
      <c r="AV187" s="1">
        <f t="shared" ca="1" si="112"/>
        <v>4</v>
      </c>
      <c r="AW187" s="1">
        <f t="shared" ca="1" si="113"/>
        <v>0.19059134740138198</v>
      </c>
      <c r="AY187" s="1">
        <f t="shared" ca="1" si="114"/>
        <v>1.7096030100480917</v>
      </c>
      <c r="AZ187" s="1">
        <f t="shared" ca="1" si="115"/>
        <v>293</v>
      </c>
      <c r="BA187" s="1">
        <f t="shared" ca="1" si="116"/>
        <v>6.9880281873627966E-3</v>
      </c>
    </row>
    <row r="188" spans="2:53" x14ac:dyDescent="0.25">
      <c r="B188">
        <f t="shared" ca="1" si="78"/>
        <v>881</v>
      </c>
      <c r="C188">
        <f t="shared" ca="1" si="79"/>
        <v>26</v>
      </c>
      <c r="D188">
        <f t="shared" ca="1" si="80"/>
        <v>0.28447384988173674</v>
      </c>
      <c r="F188" s="1">
        <f t="shared" ca="1" si="81"/>
        <v>20</v>
      </c>
      <c r="G188" s="1">
        <f t="shared" ca="1" si="82"/>
        <v>19</v>
      </c>
      <c r="H188" s="1">
        <f t="shared" ca="1" si="83"/>
        <v>13</v>
      </c>
      <c r="I188" s="1"/>
      <c r="J188" s="1">
        <f t="shared" ca="1" si="84"/>
        <v>6</v>
      </c>
      <c r="K188" s="1">
        <f t="shared" ca="1" si="85"/>
        <v>1.7922161097088518</v>
      </c>
      <c r="L188" s="1">
        <f t="shared" ca="1" si="86"/>
        <v>33</v>
      </c>
      <c r="M188" s="1"/>
      <c r="N188" s="1">
        <f t="shared" ca="1" si="87"/>
        <v>811</v>
      </c>
      <c r="O188" s="1">
        <f t="shared" ca="1" si="88"/>
        <v>23</v>
      </c>
      <c r="P188" s="1"/>
      <c r="Q188" s="1">
        <f t="shared" ca="1" si="89"/>
        <v>2.4149921458478545</v>
      </c>
      <c r="R188" s="1">
        <f t="shared" ca="1" si="90"/>
        <v>597</v>
      </c>
      <c r="S188" s="1"/>
      <c r="T188" s="1">
        <f t="shared" ca="1" si="91"/>
        <v>7.9546733565996397E-2</v>
      </c>
      <c r="U188" s="1">
        <f t="shared" ca="1" si="92"/>
        <v>198</v>
      </c>
      <c r="V188" s="1">
        <f t="shared" ca="1" si="93"/>
        <v>30</v>
      </c>
      <c r="W188" s="1"/>
      <c r="X188" s="1">
        <f t="shared" ca="1" si="94"/>
        <v>7.5759464103621612</v>
      </c>
      <c r="Y188" s="1">
        <f t="shared" ca="1" si="95"/>
        <v>0.88219912735874029</v>
      </c>
      <c r="Z188" s="1">
        <f t="shared" ca="1" si="96"/>
        <v>851</v>
      </c>
      <c r="AB188" s="1">
        <f t="shared" ca="1" si="97"/>
        <v>0.56812508990416355</v>
      </c>
      <c r="AC188" s="1">
        <f t="shared" ca="1" si="98"/>
        <v>883</v>
      </c>
      <c r="AD188" s="1">
        <f t="shared" ca="1" si="99"/>
        <v>2.3887844527154681E-5</v>
      </c>
      <c r="AE188" s="1"/>
      <c r="AF188" s="1">
        <f t="shared" ca="1" si="100"/>
        <v>0.2133809150050138</v>
      </c>
      <c r="AG188" s="1">
        <f t="shared" ca="1" si="101"/>
        <v>133</v>
      </c>
      <c r="AH188" s="1">
        <f t="shared" ca="1" si="102"/>
        <v>8.5422707389209152E-3</v>
      </c>
      <c r="AJ188" s="1">
        <f t="shared" ca="1" si="103"/>
        <v>0.20965695714706456</v>
      </c>
      <c r="AK188" s="1">
        <f t="shared" ca="1" si="104"/>
        <v>8.9815388163135522E-3</v>
      </c>
      <c r="AL188" s="1"/>
      <c r="AM188" s="1">
        <f t="shared" ca="1" si="105"/>
        <v>1.7756545617831059E-2</v>
      </c>
      <c r="AN188" s="1">
        <f t="shared" ca="1" si="106"/>
        <v>31</v>
      </c>
      <c r="AO188" s="1">
        <f t="shared" ca="1" si="107"/>
        <v>7</v>
      </c>
      <c r="AQ188" s="1">
        <f t="shared" ca="1" si="108"/>
        <v>135</v>
      </c>
      <c r="AR188" s="1">
        <f t="shared" ca="1" si="109"/>
        <v>8</v>
      </c>
      <c r="AS188" s="1">
        <f t="shared" ca="1" si="110"/>
        <v>54</v>
      </c>
      <c r="AU188" s="1">
        <f t="shared" ca="1" si="111"/>
        <v>372</v>
      </c>
      <c r="AV188" s="1">
        <f t="shared" ca="1" si="112"/>
        <v>3</v>
      </c>
      <c r="AW188" s="1">
        <f t="shared" ca="1" si="113"/>
        <v>0.17377970897360084</v>
      </c>
      <c r="AY188" s="1">
        <f t="shared" ca="1" si="114"/>
        <v>1.6884772224980786</v>
      </c>
      <c r="AZ188" s="1">
        <f t="shared" ca="1" si="115"/>
        <v>367</v>
      </c>
      <c r="BA188" s="1">
        <f t="shared" ca="1" si="116"/>
        <v>3.2534862319463609E-3</v>
      </c>
    </row>
    <row r="189" spans="2:53" x14ac:dyDescent="0.25">
      <c r="B189">
        <f t="shared" ca="1" si="78"/>
        <v>679</v>
      </c>
      <c r="C189">
        <f t="shared" ca="1" si="79"/>
        <v>12</v>
      </c>
      <c r="D189">
        <f t="shared" ca="1" si="80"/>
        <v>0.13143942707948705</v>
      </c>
      <c r="F189" s="1">
        <f t="shared" ca="1" si="81"/>
        <v>8</v>
      </c>
      <c r="G189" s="1">
        <f t="shared" ca="1" si="82"/>
        <v>8</v>
      </c>
      <c r="H189" s="1">
        <f t="shared" ca="1" si="83"/>
        <v>11</v>
      </c>
      <c r="I189" s="1"/>
      <c r="J189" s="1">
        <f t="shared" ca="1" si="84"/>
        <v>15</v>
      </c>
      <c r="K189" s="1">
        <f t="shared" ca="1" si="85"/>
        <v>1.6234951956717143</v>
      </c>
      <c r="L189" s="1">
        <f t="shared" ca="1" si="86"/>
        <v>22</v>
      </c>
      <c r="M189" s="1"/>
      <c r="N189" s="1">
        <f t="shared" ca="1" si="87"/>
        <v>839</v>
      </c>
      <c r="O189" s="1">
        <f t="shared" ca="1" si="88"/>
        <v>28</v>
      </c>
      <c r="P189" s="1"/>
      <c r="Q189" s="1">
        <f t="shared" ca="1" si="89"/>
        <v>3.4082202755459154</v>
      </c>
      <c r="R189" s="1">
        <f t="shared" ca="1" si="90"/>
        <v>1199</v>
      </c>
      <c r="S189" s="1"/>
      <c r="T189" s="1">
        <f t="shared" ca="1" si="91"/>
        <v>0.19218239708701754</v>
      </c>
      <c r="U189" s="1">
        <f t="shared" ca="1" si="92"/>
        <v>375</v>
      </c>
      <c r="V189" s="1">
        <f t="shared" ca="1" si="93"/>
        <v>46</v>
      </c>
      <c r="W189" s="1"/>
      <c r="X189" s="1">
        <f t="shared" ca="1" si="94"/>
        <v>3.0086085302174985</v>
      </c>
      <c r="Y189" s="1">
        <f t="shared" ca="1" si="95"/>
        <v>0.64883843296847521</v>
      </c>
      <c r="Z189" s="1">
        <f t="shared" ca="1" si="96"/>
        <v>1104</v>
      </c>
      <c r="AB189" s="1">
        <f t="shared" ca="1" si="97"/>
        <v>0.28043676570522846</v>
      </c>
      <c r="AC189" s="1">
        <f t="shared" ca="1" si="98"/>
        <v>344</v>
      </c>
      <c r="AD189" s="1">
        <f t="shared" ca="1" si="99"/>
        <v>5.8681448487629987E-4</v>
      </c>
      <c r="AE189" s="1"/>
      <c r="AF189" s="1">
        <f t="shared" ca="1" si="100"/>
        <v>0.40443461038911888</v>
      </c>
      <c r="AG189" s="1">
        <f t="shared" ca="1" si="101"/>
        <v>596</v>
      </c>
      <c r="AH189" s="1">
        <f t="shared" ca="1" si="102"/>
        <v>4.3547137679317907E-3</v>
      </c>
      <c r="AJ189" s="1">
        <f t="shared" ca="1" si="103"/>
        <v>0.35376150144955432</v>
      </c>
      <c r="AK189" s="1">
        <f t="shared" ca="1" si="104"/>
        <v>7.1670716936825217E-3</v>
      </c>
      <c r="AL189" s="1"/>
      <c r="AM189" s="1">
        <f t="shared" ca="1" si="105"/>
        <v>0.12055766168789789</v>
      </c>
      <c r="AN189" s="1">
        <f t="shared" ca="1" si="106"/>
        <v>66</v>
      </c>
      <c r="AO189" s="1">
        <f t="shared" ca="1" si="107"/>
        <v>9</v>
      </c>
      <c r="AQ189" s="1">
        <f t="shared" ca="1" si="108"/>
        <v>180</v>
      </c>
      <c r="AR189" s="1">
        <f t="shared" ca="1" si="109"/>
        <v>0</v>
      </c>
      <c r="AS189" s="1">
        <f t="shared" ca="1" si="110"/>
        <v>20</v>
      </c>
      <c r="AU189" s="1">
        <f t="shared" ca="1" si="111"/>
        <v>78</v>
      </c>
      <c r="AV189" s="1">
        <f t="shared" ca="1" si="112"/>
        <v>3</v>
      </c>
      <c r="AW189" s="1">
        <f t="shared" ca="1" si="113"/>
        <v>0.16812860532157012</v>
      </c>
      <c r="AY189" s="1">
        <f t="shared" ca="1" si="114"/>
        <v>1.3762743342419634</v>
      </c>
      <c r="AZ189" s="1">
        <f t="shared" ca="1" si="115"/>
        <v>403</v>
      </c>
      <c r="BA189" s="1">
        <f t="shared" ca="1" si="116"/>
        <v>1.7128326777805108E-3</v>
      </c>
    </row>
    <row r="190" spans="2:53" x14ac:dyDescent="0.25">
      <c r="B190">
        <f t="shared" ca="1" si="78"/>
        <v>769</v>
      </c>
      <c r="C190">
        <f t="shared" ca="1" si="79"/>
        <v>42</v>
      </c>
      <c r="D190">
        <f t="shared" ca="1" si="80"/>
        <v>0.2101334594001846</v>
      </c>
      <c r="F190" s="1">
        <f t="shared" ca="1" si="81"/>
        <v>13</v>
      </c>
      <c r="G190" s="1">
        <f t="shared" ca="1" si="82"/>
        <v>3</v>
      </c>
      <c r="H190" s="1">
        <f t="shared" ca="1" si="83"/>
        <v>15</v>
      </c>
      <c r="I190" s="1"/>
      <c r="J190" s="1">
        <f t="shared" ca="1" si="84"/>
        <v>32</v>
      </c>
      <c r="K190" s="1">
        <f t="shared" ca="1" si="85"/>
        <v>2.1023138401491064</v>
      </c>
      <c r="L190" s="1">
        <f t="shared" ca="1" si="86"/>
        <v>19</v>
      </c>
      <c r="M190" s="1"/>
      <c r="N190" s="1">
        <f t="shared" ca="1" si="87"/>
        <v>744</v>
      </c>
      <c r="O190" s="1">
        <f t="shared" ca="1" si="88"/>
        <v>32</v>
      </c>
      <c r="P190" s="1"/>
      <c r="Q190" s="1">
        <f t="shared" ca="1" si="89"/>
        <v>4.0541872054770289</v>
      </c>
      <c r="R190" s="1">
        <f t="shared" ca="1" si="90"/>
        <v>1048</v>
      </c>
      <c r="S190" s="1"/>
      <c r="T190" s="1">
        <f t="shared" ca="1" si="91"/>
        <v>0.12662994053720242</v>
      </c>
      <c r="U190" s="1">
        <f t="shared" ca="1" si="92"/>
        <v>446</v>
      </c>
      <c r="V190" s="1">
        <f t="shared" ca="1" si="93"/>
        <v>33</v>
      </c>
      <c r="W190" s="1"/>
      <c r="X190" s="1">
        <f t="shared" ca="1" si="94"/>
        <v>6.5096329789964544</v>
      </c>
      <c r="Y190" s="1">
        <f t="shared" ca="1" si="95"/>
        <v>0.1437775414227391</v>
      </c>
      <c r="Z190" s="1">
        <f t="shared" ca="1" si="96"/>
        <v>765</v>
      </c>
      <c r="AB190" s="1">
        <f t="shared" ca="1" si="97"/>
        <v>0.77567845994188023</v>
      </c>
      <c r="AC190" s="1">
        <f t="shared" ca="1" si="98"/>
        <v>577</v>
      </c>
      <c r="AD190" s="1">
        <f t="shared" ca="1" si="99"/>
        <v>2.3078579860262107E-3</v>
      </c>
      <c r="AE190" s="1"/>
      <c r="AF190" s="1">
        <f t="shared" ca="1" si="100"/>
        <v>0.39452693576162723</v>
      </c>
      <c r="AG190" s="1">
        <f t="shared" ca="1" si="101"/>
        <v>639</v>
      </c>
      <c r="AH190" s="1">
        <f t="shared" ca="1" si="102"/>
        <v>4.7311209791684626E-3</v>
      </c>
      <c r="AJ190" s="1">
        <f t="shared" ca="1" si="103"/>
        <v>0.22223161782584211</v>
      </c>
      <c r="AK190" s="1">
        <f t="shared" ca="1" si="104"/>
        <v>8.7534283143125401E-3</v>
      </c>
      <c r="AL190" s="1"/>
      <c r="AM190" s="1">
        <f t="shared" ca="1" si="105"/>
        <v>0.18790179830346304</v>
      </c>
      <c r="AN190" s="1">
        <f t="shared" ca="1" si="106"/>
        <v>20</v>
      </c>
      <c r="AO190" s="1">
        <f t="shared" ca="1" si="107"/>
        <v>2</v>
      </c>
      <c r="AQ190" s="1">
        <f t="shared" ca="1" si="108"/>
        <v>121</v>
      </c>
      <c r="AR190" s="1">
        <f t="shared" ca="1" si="109"/>
        <v>7</v>
      </c>
      <c r="AS190" s="1">
        <f t="shared" ca="1" si="110"/>
        <v>26</v>
      </c>
      <c r="AU190" s="1">
        <f t="shared" ca="1" si="111"/>
        <v>360</v>
      </c>
      <c r="AV190" s="1">
        <f t="shared" ca="1" si="112"/>
        <v>10</v>
      </c>
      <c r="AW190" s="1">
        <f t="shared" ca="1" si="113"/>
        <v>0.18605379742222508</v>
      </c>
      <c r="AY190" s="1">
        <f t="shared" ca="1" si="114"/>
        <v>1.5152969131607039</v>
      </c>
      <c r="AZ190" s="1">
        <f t="shared" ca="1" si="115"/>
        <v>87</v>
      </c>
      <c r="BA190" s="1">
        <f t="shared" ca="1" si="116"/>
        <v>4.1564493936270906E-3</v>
      </c>
    </row>
    <row r="191" spans="2:53" x14ac:dyDescent="0.25">
      <c r="B191">
        <f t="shared" ca="1" si="78"/>
        <v>459</v>
      </c>
      <c r="C191">
        <f t="shared" ca="1" si="79"/>
        <v>13</v>
      </c>
      <c r="D191">
        <f t="shared" ca="1" si="80"/>
        <v>0.29312312410914571</v>
      </c>
      <c r="F191" s="1">
        <f t="shared" ca="1" si="81"/>
        <v>15</v>
      </c>
      <c r="G191" s="1">
        <f t="shared" ca="1" si="82"/>
        <v>14</v>
      </c>
      <c r="H191" s="1">
        <f t="shared" ca="1" si="83"/>
        <v>8</v>
      </c>
      <c r="I191" s="1"/>
      <c r="J191" s="1">
        <f t="shared" ca="1" si="84"/>
        <v>26</v>
      </c>
      <c r="K191" s="1">
        <f t="shared" ca="1" si="85"/>
        <v>2.9393192579370835</v>
      </c>
      <c r="L191" s="1">
        <f t="shared" ca="1" si="86"/>
        <v>33</v>
      </c>
      <c r="M191" s="1"/>
      <c r="N191" s="1">
        <f t="shared" ca="1" si="87"/>
        <v>294</v>
      </c>
      <c r="O191" s="1">
        <f t="shared" ca="1" si="88"/>
        <v>52</v>
      </c>
      <c r="P191" s="1"/>
      <c r="Q191" s="1">
        <f t="shared" ca="1" si="89"/>
        <v>2.6980151828218908</v>
      </c>
      <c r="R191" s="1">
        <f t="shared" ca="1" si="90"/>
        <v>320</v>
      </c>
      <c r="S191" s="1"/>
      <c r="T191" s="1">
        <f t="shared" ca="1" si="91"/>
        <v>2.1512582700778611E-2</v>
      </c>
      <c r="U191" s="1">
        <f t="shared" ca="1" si="92"/>
        <v>149</v>
      </c>
      <c r="V191" s="1">
        <f t="shared" ca="1" si="93"/>
        <v>14</v>
      </c>
      <c r="W191" s="1"/>
      <c r="X191" s="1">
        <f t="shared" ca="1" si="94"/>
        <v>4.0699799083108514</v>
      </c>
      <c r="Y191" s="1">
        <f t="shared" ca="1" si="95"/>
        <v>0.37385205047854614</v>
      </c>
      <c r="Z191" s="1">
        <f t="shared" ca="1" si="96"/>
        <v>1465</v>
      </c>
      <c r="AB191" s="1">
        <f t="shared" ca="1" si="97"/>
        <v>3.5753993550097722E-2</v>
      </c>
      <c r="AC191" s="1">
        <f t="shared" ca="1" si="98"/>
        <v>927</v>
      </c>
      <c r="AD191" s="1">
        <f t="shared" ca="1" si="99"/>
        <v>2.3830377027325568E-3</v>
      </c>
      <c r="AE191" s="1"/>
      <c r="AF191" s="1">
        <f t="shared" ca="1" si="100"/>
        <v>0.3669042120683309</v>
      </c>
      <c r="AG191" s="1">
        <f t="shared" ca="1" si="101"/>
        <v>549</v>
      </c>
      <c r="AH191" s="1">
        <f t="shared" ca="1" si="102"/>
        <v>4.7638555566284152E-3</v>
      </c>
      <c r="AJ191" s="1">
        <f t="shared" ca="1" si="103"/>
        <v>0.32899417973144074</v>
      </c>
      <c r="AK191" s="1">
        <f t="shared" ca="1" si="104"/>
        <v>1.3462644634139147E-4</v>
      </c>
      <c r="AL191" s="1"/>
      <c r="AM191" s="1">
        <f t="shared" ca="1" si="105"/>
        <v>0.15410058370126498</v>
      </c>
      <c r="AN191" s="1">
        <f t="shared" ca="1" si="106"/>
        <v>20</v>
      </c>
      <c r="AO191" s="1">
        <f t="shared" ca="1" si="107"/>
        <v>3</v>
      </c>
      <c r="AQ191" s="1">
        <f t="shared" ca="1" si="108"/>
        <v>77</v>
      </c>
      <c r="AR191" s="1">
        <f t="shared" ca="1" si="109"/>
        <v>1</v>
      </c>
      <c r="AS191" s="1">
        <f t="shared" ca="1" si="110"/>
        <v>78</v>
      </c>
      <c r="AU191" s="1">
        <f t="shared" ca="1" si="111"/>
        <v>350</v>
      </c>
      <c r="AV191" s="1">
        <f t="shared" ca="1" si="112"/>
        <v>9</v>
      </c>
      <c r="AW191" s="1">
        <f t="shared" ca="1" si="113"/>
        <v>6.2251079971472507E-2</v>
      </c>
      <c r="AY191" s="1">
        <f t="shared" ca="1" si="114"/>
        <v>1.4761472136961393</v>
      </c>
      <c r="AZ191" s="1">
        <f t="shared" ca="1" si="115"/>
        <v>474</v>
      </c>
      <c r="BA191" s="1">
        <f t="shared" ca="1" si="116"/>
        <v>6.8497472902471429E-3</v>
      </c>
    </row>
    <row r="192" spans="2:53" x14ac:dyDescent="0.25">
      <c r="B192">
        <f t="shared" ca="1" si="78"/>
        <v>825</v>
      </c>
      <c r="C192">
        <f t="shared" ca="1" si="79"/>
        <v>25</v>
      </c>
      <c r="D192">
        <f t="shared" ca="1" si="80"/>
        <v>0.25896787726892595</v>
      </c>
      <c r="F192" s="1">
        <f t="shared" ca="1" si="81"/>
        <v>26</v>
      </c>
      <c r="G192" s="1">
        <f t="shared" ca="1" si="82"/>
        <v>20</v>
      </c>
      <c r="H192" s="1">
        <f t="shared" ca="1" si="83"/>
        <v>6</v>
      </c>
      <c r="I192" s="1"/>
      <c r="J192" s="1">
        <f t="shared" ca="1" si="84"/>
        <v>23</v>
      </c>
      <c r="K192" s="1">
        <f t="shared" ca="1" si="85"/>
        <v>2.8418815512767841</v>
      </c>
      <c r="L192" s="1">
        <f t="shared" ca="1" si="86"/>
        <v>23</v>
      </c>
      <c r="M192" s="1"/>
      <c r="N192" s="1">
        <f t="shared" ca="1" si="87"/>
        <v>71</v>
      </c>
      <c r="O192" s="1">
        <f t="shared" ca="1" si="88"/>
        <v>30</v>
      </c>
      <c r="P192" s="1"/>
      <c r="Q192" s="1">
        <f t="shared" ca="1" si="89"/>
        <v>1.575113471429378</v>
      </c>
      <c r="R192" s="1">
        <f t="shared" ca="1" si="90"/>
        <v>615</v>
      </c>
      <c r="S192" s="1"/>
      <c r="T192" s="1">
        <f t="shared" ca="1" si="91"/>
        <v>0.10567518129160466</v>
      </c>
      <c r="U192" s="1">
        <f t="shared" ca="1" si="92"/>
        <v>135</v>
      </c>
      <c r="V192" s="1">
        <f t="shared" ca="1" si="93"/>
        <v>40</v>
      </c>
      <c r="W192" s="1"/>
      <c r="X192" s="1">
        <f t="shared" ca="1" si="94"/>
        <v>1.9034559034825391</v>
      </c>
      <c r="Y192" s="1">
        <f t="shared" ca="1" si="95"/>
        <v>0.12578191721436044</v>
      </c>
      <c r="Z192" s="1">
        <f t="shared" ca="1" si="96"/>
        <v>840</v>
      </c>
      <c r="AB192" s="1">
        <f t="shared" ca="1" si="97"/>
        <v>0.17922156651011847</v>
      </c>
      <c r="AC192" s="1">
        <f t="shared" ca="1" si="98"/>
        <v>841</v>
      </c>
      <c r="AD192" s="1">
        <f t="shared" ca="1" si="99"/>
        <v>7.1000822984462536E-3</v>
      </c>
      <c r="AE192" s="1"/>
      <c r="AF192" s="1">
        <f t="shared" ca="1" si="100"/>
        <v>0.75382197715704036</v>
      </c>
      <c r="AG192" s="1">
        <f t="shared" ca="1" si="101"/>
        <v>357</v>
      </c>
      <c r="AH192" s="1">
        <f t="shared" ca="1" si="102"/>
        <v>9.9664156052426765E-3</v>
      </c>
      <c r="AJ192" s="1">
        <f t="shared" ca="1" si="103"/>
        <v>0.81733054943032424</v>
      </c>
      <c r="AK192" s="1">
        <f t="shared" ca="1" si="104"/>
        <v>4.680766710912096E-3</v>
      </c>
      <c r="AL192" s="1"/>
      <c r="AM192" s="1">
        <f t="shared" ca="1" si="105"/>
        <v>0.13164545808375669</v>
      </c>
      <c r="AN192" s="1">
        <f t="shared" ca="1" si="106"/>
        <v>40</v>
      </c>
      <c r="AO192" s="1">
        <f t="shared" ca="1" si="107"/>
        <v>18</v>
      </c>
      <c r="AQ192" s="1">
        <f t="shared" ca="1" si="108"/>
        <v>146</v>
      </c>
      <c r="AR192" s="1">
        <f t="shared" ca="1" si="109"/>
        <v>3</v>
      </c>
      <c r="AS192" s="1">
        <f t="shared" ca="1" si="110"/>
        <v>40</v>
      </c>
      <c r="AU192" s="1">
        <f t="shared" ca="1" si="111"/>
        <v>348</v>
      </c>
      <c r="AV192" s="1">
        <f t="shared" ca="1" si="112"/>
        <v>2</v>
      </c>
      <c r="AW192" s="1">
        <f t="shared" ca="1" si="113"/>
        <v>4.2732669274086442E-2</v>
      </c>
      <c r="AY192" s="1">
        <f t="shared" ca="1" si="114"/>
        <v>1.6676047931346796</v>
      </c>
      <c r="AZ192" s="1">
        <f t="shared" ca="1" si="115"/>
        <v>284</v>
      </c>
      <c r="BA192" s="1">
        <f t="shared" ca="1" si="116"/>
        <v>9.9749363325852287E-3</v>
      </c>
    </row>
    <row r="193" spans="2:53" x14ac:dyDescent="0.25">
      <c r="B193">
        <f t="shared" ca="1" si="78"/>
        <v>128</v>
      </c>
      <c r="C193">
        <f t="shared" ca="1" si="79"/>
        <v>26</v>
      </c>
      <c r="D193">
        <f t="shared" ca="1" si="80"/>
        <v>0.22612576333343504</v>
      </c>
      <c r="F193" s="1">
        <f t="shared" ca="1" si="81"/>
        <v>5</v>
      </c>
      <c r="G193" s="1">
        <f t="shared" ca="1" si="82"/>
        <v>20</v>
      </c>
      <c r="H193" s="1">
        <f t="shared" ca="1" si="83"/>
        <v>9</v>
      </c>
      <c r="I193" s="1"/>
      <c r="J193" s="1">
        <f t="shared" ca="1" si="84"/>
        <v>36</v>
      </c>
      <c r="K193" s="1">
        <f t="shared" ca="1" si="85"/>
        <v>2.7291133088910735</v>
      </c>
      <c r="L193" s="1">
        <f t="shared" ca="1" si="86"/>
        <v>17</v>
      </c>
      <c r="M193" s="1"/>
      <c r="N193" s="1">
        <f t="shared" ca="1" si="87"/>
        <v>89</v>
      </c>
      <c r="O193" s="1">
        <f t="shared" ca="1" si="88"/>
        <v>19</v>
      </c>
      <c r="P193" s="1"/>
      <c r="Q193" s="1">
        <f t="shared" ca="1" si="89"/>
        <v>0.44450354265866232</v>
      </c>
      <c r="R193" s="1">
        <f t="shared" ca="1" si="90"/>
        <v>624</v>
      </c>
      <c r="S193" s="1"/>
      <c r="T193" s="1">
        <f t="shared" ca="1" si="91"/>
        <v>6.5430817616362796E-2</v>
      </c>
      <c r="U193" s="1">
        <f t="shared" ca="1" si="92"/>
        <v>207</v>
      </c>
      <c r="V193" s="1">
        <f t="shared" ca="1" si="93"/>
        <v>34</v>
      </c>
      <c r="W193" s="1"/>
      <c r="X193" s="1">
        <f t="shared" ca="1" si="94"/>
        <v>8.9105575223693094</v>
      </c>
      <c r="Y193" s="1">
        <f t="shared" ca="1" si="95"/>
        <v>0.61236347127454149</v>
      </c>
      <c r="Z193" s="1">
        <f t="shared" ca="1" si="96"/>
        <v>584</v>
      </c>
      <c r="AB193" s="1">
        <f t="shared" ca="1" si="97"/>
        <v>0.66844557520620018</v>
      </c>
      <c r="AC193" s="1">
        <f t="shared" ca="1" si="98"/>
        <v>125</v>
      </c>
      <c r="AD193" s="1">
        <f t="shared" ca="1" si="99"/>
        <v>5.8174078759362698E-3</v>
      </c>
      <c r="AE193" s="1"/>
      <c r="AF193" s="1">
        <f t="shared" ca="1" si="100"/>
        <v>0.12766804702756263</v>
      </c>
      <c r="AG193" s="1">
        <f t="shared" ca="1" si="101"/>
        <v>806</v>
      </c>
      <c r="AH193" s="1">
        <f t="shared" ca="1" si="102"/>
        <v>5.4969911726885914E-3</v>
      </c>
      <c r="AJ193" s="1">
        <f t="shared" ca="1" si="103"/>
        <v>0.71609441736253299</v>
      </c>
      <c r="AK193" s="1">
        <f t="shared" ca="1" si="104"/>
        <v>4.9320874217358441E-3</v>
      </c>
      <c r="AL193" s="1"/>
      <c r="AM193" s="1">
        <f t="shared" ca="1" si="105"/>
        <v>8.0314473984479107E-3</v>
      </c>
      <c r="AN193" s="1">
        <f t="shared" ca="1" si="106"/>
        <v>78</v>
      </c>
      <c r="AO193" s="1">
        <f t="shared" ca="1" si="107"/>
        <v>3</v>
      </c>
      <c r="AQ193" s="1">
        <f t="shared" ca="1" si="108"/>
        <v>133</v>
      </c>
      <c r="AR193" s="1">
        <f t="shared" ca="1" si="109"/>
        <v>10</v>
      </c>
      <c r="AS193" s="1">
        <f t="shared" ca="1" si="110"/>
        <v>6</v>
      </c>
      <c r="AU193" s="1">
        <f t="shared" ca="1" si="111"/>
        <v>281</v>
      </c>
      <c r="AV193" s="1">
        <f t="shared" ca="1" si="112"/>
        <v>3</v>
      </c>
      <c r="AW193" s="1">
        <f t="shared" ca="1" si="113"/>
        <v>1.2940492869760961E-2</v>
      </c>
      <c r="AY193" s="1">
        <f t="shared" ca="1" si="114"/>
        <v>1.5898678125212831</v>
      </c>
      <c r="AZ193" s="1">
        <f t="shared" ca="1" si="115"/>
        <v>368</v>
      </c>
      <c r="BA193" s="1">
        <f t="shared" ca="1" si="116"/>
        <v>1.2778460783787189E-3</v>
      </c>
    </row>
    <row r="194" spans="2:53" x14ac:dyDescent="0.25">
      <c r="B194">
        <f t="shared" ca="1" si="78"/>
        <v>270</v>
      </c>
      <c r="C194">
        <f t="shared" ca="1" si="79"/>
        <v>12</v>
      </c>
      <c r="D194">
        <f t="shared" ca="1" si="80"/>
        <v>1.7925550340679386E-2</v>
      </c>
      <c r="F194" s="1">
        <f t="shared" ca="1" si="81"/>
        <v>7</v>
      </c>
      <c r="G194" s="1">
        <f t="shared" ca="1" si="82"/>
        <v>8</v>
      </c>
      <c r="H194" s="1">
        <f t="shared" ca="1" si="83"/>
        <v>10</v>
      </c>
      <c r="I194" s="1"/>
      <c r="J194" s="1">
        <f t="shared" ca="1" si="84"/>
        <v>24</v>
      </c>
      <c r="K194" s="1">
        <f t="shared" ca="1" si="85"/>
        <v>1.0690027865684588</v>
      </c>
      <c r="L194" s="1">
        <f t="shared" ca="1" si="86"/>
        <v>19</v>
      </c>
      <c r="M194" s="1"/>
      <c r="N194" s="1">
        <f t="shared" ca="1" si="87"/>
        <v>60</v>
      </c>
      <c r="O194" s="1">
        <f t="shared" ca="1" si="88"/>
        <v>13</v>
      </c>
      <c r="P194" s="1"/>
      <c r="Q194" s="1">
        <f t="shared" ca="1" si="89"/>
        <v>4.8576315544105801</v>
      </c>
      <c r="R194" s="1">
        <f t="shared" ca="1" si="90"/>
        <v>354</v>
      </c>
      <c r="S194" s="1"/>
      <c r="T194" s="1">
        <f t="shared" ca="1" si="91"/>
        <v>9.2243454134217431E-2</v>
      </c>
      <c r="U194" s="1">
        <f t="shared" ca="1" si="92"/>
        <v>362</v>
      </c>
      <c r="V194" s="1">
        <f t="shared" ca="1" si="93"/>
        <v>44</v>
      </c>
      <c r="W194" s="1"/>
      <c r="X194" s="1">
        <f t="shared" ca="1" si="94"/>
        <v>2.7781843732080782</v>
      </c>
      <c r="Y194" s="1">
        <f t="shared" ca="1" si="95"/>
        <v>0.86088563708787547</v>
      </c>
      <c r="Z194" s="1">
        <f t="shared" ca="1" si="96"/>
        <v>1770</v>
      </c>
      <c r="AB194" s="1">
        <f t="shared" ca="1" si="97"/>
        <v>0.29632945247936626</v>
      </c>
      <c r="AC194" s="1">
        <f t="shared" ca="1" si="98"/>
        <v>822</v>
      </c>
      <c r="AD194" s="1">
        <f t="shared" ca="1" si="99"/>
        <v>3.2405155938321634E-3</v>
      </c>
      <c r="AE194" s="1"/>
      <c r="AF194" s="1">
        <f t="shared" ca="1" si="100"/>
        <v>0.89018525555883965</v>
      </c>
      <c r="AG194" s="1">
        <f t="shared" ca="1" si="101"/>
        <v>836</v>
      </c>
      <c r="AH194" s="1">
        <f t="shared" ca="1" si="102"/>
        <v>4.5979182954173957E-3</v>
      </c>
      <c r="AJ194" s="1">
        <f t="shared" ca="1" si="103"/>
        <v>6.1705347837266E-2</v>
      </c>
      <c r="AK194" s="1">
        <f t="shared" ca="1" si="104"/>
        <v>5.4035342558867213E-3</v>
      </c>
      <c r="AL194" s="1"/>
      <c r="AM194" s="1">
        <f t="shared" ca="1" si="105"/>
        <v>0.13789903637458409</v>
      </c>
      <c r="AN194" s="1">
        <f t="shared" ca="1" si="106"/>
        <v>47</v>
      </c>
      <c r="AO194" s="1">
        <f t="shared" ca="1" si="107"/>
        <v>20</v>
      </c>
      <c r="AQ194" s="1">
        <f t="shared" ca="1" si="108"/>
        <v>192</v>
      </c>
      <c r="AR194" s="1">
        <f t="shared" ca="1" si="109"/>
        <v>8</v>
      </c>
      <c r="AS194" s="1">
        <f t="shared" ca="1" si="110"/>
        <v>3</v>
      </c>
      <c r="AU194" s="1">
        <f t="shared" ca="1" si="111"/>
        <v>122</v>
      </c>
      <c r="AV194" s="1">
        <f t="shared" ca="1" si="112"/>
        <v>2</v>
      </c>
      <c r="AW194" s="1">
        <f t="shared" ca="1" si="113"/>
        <v>2.0273876388061156E-2</v>
      </c>
      <c r="AY194" s="1">
        <f t="shared" ca="1" si="114"/>
        <v>1.3735283356439252</v>
      </c>
      <c r="AZ194" s="1">
        <f t="shared" ca="1" si="115"/>
        <v>119</v>
      </c>
      <c r="BA194" s="1">
        <f t="shared" ca="1" si="116"/>
        <v>7.2629780811844808E-3</v>
      </c>
    </row>
    <row r="195" spans="2:53" x14ac:dyDescent="0.25">
      <c r="B195">
        <f t="shared" ca="1" si="78"/>
        <v>581</v>
      </c>
      <c r="C195">
        <f t="shared" ca="1" si="79"/>
        <v>45</v>
      </c>
      <c r="D195">
        <f t="shared" ca="1" si="80"/>
        <v>0.14000303740267386</v>
      </c>
      <c r="F195" s="1">
        <f t="shared" ca="1" si="81"/>
        <v>5</v>
      </c>
      <c r="G195" s="1">
        <f t="shared" ca="1" si="82"/>
        <v>9</v>
      </c>
      <c r="H195" s="1">
        <f t="shared" ca="1" si="83"/>
        <v>3</v>
      </c>
      <c r="I195" s="1"/>
      <c r="J195" s="1">
        <f t="shared" ca="1" si="84"/>
        <v>39</v>
      </c>
      <c r="K195" s="1">
        <f t="shared" ca="1" si="85"/>
        <v>2.6608602429606338</v>
      </c>
      <c r="L195" s="1">
        <f t="shared" ca="1" si="86"/>
        <v>18</v>
      </c>
      <c r="M195" s="1"/>
      <c r="N195" s="1">
        <f t="shared" ca="1" si="87"/>
        <v>508</v>
      </c>
      <c r="O195" s="1">
        <f t="shared" ca="1" si="88"/>
        <v>31</v>
      </c>
      <c r="P195" s="1"/>
      <c r="Q195" s="1">
        <f t="shared" ca="1" si="89"/>
        <v>3.3676220225138107</v>
      </c>
      <c r="R195" s="1">
        <f t="shared" ca="1" si="90"/>
        <v>833</v>
      </c>
      <c r="S195" s="1"/>
      <c r="T195" s="1">
        <f t="shared" ca="1" si="91"/>
        <v>4.2872723854935152E-2</v>
      </c>
      <c r="U195" s="1">
        <f t="shared" ca="1" si="92"/>
        <v>374</v>
      </c>
      <c r="V195" s="1">
        <f t="shared" ca="1" si="93"/>
        <v>51</v>
      </c>
      <c r="W195" s="1"/>
      <c r="X195" s="1">
        <f t="shared" ca="1" si="94"/>
        <v>1.4094077441137984</v>
      </c>
      <c r="Y195" s="1">
        <f t="shared" ca="1" si="95"/>
        <v>0.74001679254204455</v>
      </c>
      <c r="Z195" s="1">
        <f t="shared" ca="1" si="96"/>
        <v>1527</v>
      </c>
      <c r="AB195" s="1">
        <f t="shared" ca="1" si="97"/>
        <v>0.96043500673599391</v>
      </c>
      <c r="AC195" s="1">
        <f t="shared" ca="1" si="98"/>
        <v>400</v>
      </c>
      <c r="AD195" s="1">
        <f t="shared" ca="1" si="99"/>
        <v>9.3151777811909132E-3</v>
      </c>
      <c r="AE195" s="1"/>
      <c r="AF195" s="1">
        <f t="shared" ca="1" si="100"/>
        <v>0.73472044244756951</v>
      </c>
      <c r="AG195" s="1">
        <f t="shared" ca="1" si="101"/>
        <v>127</v>
      </c>
      <c r="AH195" s="1">
        <f t="shared" ca="1" si="102"/>
        <v>8.2987776084630163E-3</v>
      </c>
      <c r="AJ195" s="1">
        <f t="shared" ca="1" si="103"/>
        <v>0.37953917535261072</v>
      </c>
      <c r="AK195" s="1">
        <f t="shared" ca="1" si="104"/>
        <v>2.5332828368408475E-3</v>
      </c>
      <c r="AL195" s="1"/>
      <c r="AM195" s="1">
        <f t="shared" ca="1" si="105"/>
        <v>0.19524073194710015</v>
      </c>
      <c r="AN195" s="1">
        <f t="shared" ca="1" si="106"/>
        <v>49</v>
      </c>
      <c r="AO195" s="1">
        <f t="shared" ca="1" si="107"/>
        <v>8</v>
      </c>
      <c r="AQ195" s="1">
        <f t="shared" ca="1" si="108"/>
        <v>63</v>
      </c>
      <c r="AR195" s="1">
        <f t="shared" ca="1" si="109"/>
        <v>8</v>
      </c>
      <c r="AS195" s="1">
        <f t="shared" ca="1" si="110"/>
        <v>81</v>
      </c>
      <c r="AU195" s="1">
        <f t="shared" ca="1" si="111"/>
        <v>378</v>
      </c>
      <c r="AV195" s="1">
        <f t="shared" ca="1" si="112"/>
        <v>7</v>
      </c>
      <c r="AW195" s="1">
        <f t="shared" ca="1" si="113"/>
        <v>0.13691665780805862</v>
      </c>
      <c r="AY195" s="1">
        <f t="shared" ca="1" si="114"/>
        <v>1.4066585628001325</v>
      </c>
      <c r="AZ195" s="1">
        <f t="shared" ca="1" si="115"/>
        <v>214</v>
      </c>
      <c r="BA195" s="1">
        <f t="shared" ca="1" si="116"/>
        <v>4.1732647050806001E-3</v>
      </c>
    </row>
    <row r="196" spans="2:53" x14ac:dyDescent="0.25">
      <c r="B196">
        <f t="shared" ref="B196:B202" ca="1" si="117">RANDBETWEEN(15,1000)</f>
        <v>435</v>
      </c>
      <c r="C196">
        <f t="shared" ref="C196:C202" ca="1" si="118">RANDBETWEEN(2,52)</f>
        <v>32</v>
      </c>
      <c r="D196">
        <f t="shared" ref="D196:D202" ca="1" si="119">RAND()*(0.3-0.01)+0.01</f>
        <v>0.14502490109929986</v>
      </c>
      <c r="F196" s="1">
        <f t="shared" ref="F196:F202" ca="1" si="120">RANDBETWEEN(2,52)</f>
        <v>12</v>
      </c>
      <c r="G196" s="1">
        <f t="shared" ref="G196:G202" ca="1" si="121">RANDBETWEEN(2,30)</f>
        <v>26</v>
      </c>
      <c r="H196" s="1">
        <f t="shared" ref="H196:H202" ca="1" si="122">RANDBETWEEN(1,15)</f>
        <v>3</v>
      </c>
      <c r="I196" s="1"/>
      <c r="J196" s="1">
        <f t="shared" ref="J196:J202" ca="1" si="123">RANDBETWEEN(1,39)</f>
        <v>39</v>
      </c>
      <c r="K196" s="1">
        <f t="shared" ref="K196:K202" ca="1" si="124">RAND()*(3-1)+1</f>
        <v>2.385063065865245</v>
      </c>
      <c r="L196" s="1">
        <f t="shared" ref="L196:L202" ca="1" si="125">RANDBETWEEN(2,35)</f>
        <v>5</v>
      </c>
      <c r="M196" s="1"/>
      <c r="N196" s="1">
        <f t="shared" ref="N196:N202" ca="1" si="126">RANDBETWEEN(15,1000)</f>
        <v>771</v>
      </c>
      <c r="O196" s="1">
        <f t="shared" ref="O196:O202" ca="1" si="127">RANDBETWEEN(2,52)</f>
        <v>11</v>
      </c>
      <c r="P196" s="1"/>
      <c r="Q196" s="1">
        <f t="shared" ref="Q196:Q202" ca="1" si="128">RAND()*(5-0.01)+0.01</f>
        <v>1.7748887689737591</v>
      </c>
      <c r="R196" s="1">
        <f t="shared" ref="R196:R202" ca="1" si="129">RANDBETWEEN(200,1200)</f>
        <v>326</v>
      </c>
      <c r="S196" s="1"/>
      <c r="T196" s="1">
        <f t="shared" ref="T196:T202" ca="1" si="130">RAND()*(0.2-0.01)+0.01</f>
        <v>0.19817260217064331</v>
      </c>
      <c r="U196" s="1">
        <f t="shared" ref="U196:U202" ca="1" si="131">RANDBETWEEN(50,450)</f>
        <v>180</v>
      </c>
      <c r="V196" s="1">
        <f t="shared" ref="V196:V202" ca="1" si="132">RANDBETWEEN(2,52)</f>
        <v>45</v>
      </c>
      <c r="W196" s="1"/>
      <c r="X196" s="1">
        <f t="shared" ref="X196:X202" ca="1" si="133">RAND()*(10-0.01)+0.01</f>
        <v>7.4121211567206</v>
      </c>
      <c r="Y196" s="1">
        <f t="shared" ref="Y196:Y202" ca="1" si="134">RAND()*(1-0.0001)+0.0001</f>
        <v>0.14342724542818228</v>
      </c>
      <c r="Z196" s="1">
        <f t="shared" ref="Z196:Z202" ca="1" si="135">RANDBETWEEN(100,2000)</f>
        <v>747</v>
      </c>
      <c r="AB196" s="1">
        <f t="shared" ref="AB196:AB202" ca="1" si="136">RAND()*(1-0.0001)+0.0001</f>
        <v>3.595475102529809E-2</v>
      </c>
      <c r="AC196" s="1">
        <f t="shared" ref="AC196:AC202" ca="1" si="137">RANDBETWEEN(100,1000)</f>
        <v>624</v>
      </c>
      <c r="AD196" s="1">
        <f t="shared" ref="AD196:AD202" ca="1" si="138">RAND()*(0.01-0.00001)+0.00001</f>
        <v>9.3812465785287225E-3</v>
      </c>
      <c r="AE196" s="1"/>
      <c r="AF196" s="1">
        <f t="shared" ref="AF196:AF202" ca="1" si="139">RAND()*(0.9-0.1)+0.1</f>
        <v>0.69730693931853882</v>
      </c>
      <c r="AG196" s="1">
        <f t="shared" ref="AG196:AG202" ca="1" si="140">RANDBETWEEN(100,1000)</f>
        <v>354</v>
      </c>
      <c r="AH196" s="1">
        <f t="shared" ref="AH196:AH202" ca="1" si="141">RAND()*(0.01-0.00001)+0.00001</f>
        <v>4.2765641369383375E-3</v>
      </c>
      <c r="AJ196" s="1">
        <f t="shared" ref="AJ196:AJ202" ca="1" si="142">RAND()*(1-0)+0</f>
        <v>0.62120880020301472</v>
      </c>
      <c r="AK196" s="1">
        <f t="shared" ref="AK196:AK202" ca="1" si="143">RAND()*(0.01-0.00001)+0.00001</f>
        <v>4.6640484061544127E-3</v>
      </c>
      <c r="AL196" s="1"/>
      <c r="AM196" s="1">
        <f t="shared" ref="AM196:AM202" ca="1" si="144">RAND()*(0.2-0.005)+0.005</f>
        <v>0.16495742911816116</v>
      </c>
      <c r="AN196" s="1">
        <f t="shared" ref="AN196:AN202" ca="1" si="145">RANDBETWEEN(10,80)</f>
        <v>41</v>
      </c>
      <c r="AO196" s="1">
        <f t="shared" ref="AO196:AO202" ca="1" si="146">RANDBETWEEN(-1,20)</f>
        <v>4</v>
      </c>
      <c r="AQ196" s="1">
        <f t="shared" ref="AQ196:AQ202" ca="1" si="147">RANDBETWEEN(10,200)</f>
        <v>58</v>
      </c>
      <c r="AR196" s="1">
        <f t="shared" ref="AR196:AR202" ca="1" si="148">RANDBETWEEN(0,10)</f>
        <v>8</v>
      </c>
      <c r="AS196" s="1">
        <f t="shared" ref="AS196:AS202" ca="1" si="149">RANDBETWEEN(1,100)</f>
        <v>87</v>
      </c>
      <c r="AU196" s="1">
        <f t="shared" ref="AU196:AU202" ca="1" si="150">RANDBETWEEN(50,400)</f>
        <v>161</v>
      </c>
      <c r="AV196" s="1">
        <f t="shared" ref="AV196:AV202" ca="1" si="151">RANDBETWEEN(2,10)</f>
        <v>3</v>
      </c>
      <c r="AW196" s="1">
        <f t="shared" ref="AW196:AW202" ca="1" si="152">RAND()*(0.2-0.01)+0.01</f>
        <v>1.7786103137708082E-2</v>
      </c>
      <c r="AY196" s="1">
        <f t="shared" ref="AY196:AY202" ca="1" si="153">RAND()*(2-1.1)+1.1</f>
        <v>1.2813426199704425</v>
      </c>
      <c r="AZ196" s="1">
        <f t="shared" ref="AZ196:AZ202" ca="1" si="154">RANDBETWEEN(50,500)</f>
        <v>237</v>
      </c>
      <c r="BA196" s="1">
        <f t="shared" ref="BA196:BA202" ca="1" si="155">RAND()*(0.01-0.00001)+0.00001</f>
        <v>4.6015897959409136E-3</v>
      </c>
    </row>
    <row r="197" spans="2:53" x14ac:dyDescent="0.25">
      <c r="B197">
        <f t="shared" ca="1" si="117"/>
        <v>822</v>
      </c>
      <c r="C197">
        <f t="shared" ca="1" si="118"/>
        <v>24</v>
      </c>
      <c r="D197">
        <f t="shared" ca="1" si="119"/>
        <v>2.1851706935641649E-2</v>
      </c>
      <c r="F197" s="1">
        <f t="shared" ca="1" si="120"/>
        <v>6</v>
      </c>
      <c r="G197" s="1">
        <f t="shared" ca="1" si="121"/>
        <v>29</v>
      </c>
      <c r="H197" s="1">
        <f t="shared" ca="1" si="122"/>
        <v>1</v>
      </c>
      <c r="I197" s="1"/>
      <c r="J197" s="1">
        <f t="shared" ca="1" si="123"/>
        <v>24</v>
      </c>
      <c r="K197" s="1">
        <f t="shared" ca="1" si="124"/>
        <v>1.0337794204504822</v>
      </c>
      <c r="L197" s="1">
        <f t="shared" ca="1" si="125"/>
        <v>20</v>
      </c>
      <c r="M197" s="1"/>
      <c r="N197" s="1">
        <f t="shared" ca="1" si="126"/>
        <v>218</v>
      </c>
      <c r="O197" s="1">
        <f t="shared" ca="1" si="127"/>
        <v>32</v>
      </c>
      <c r="P197" s="1"/>
      <c r="Q197" s="1">
        <f t="shared" ca="1" si="128"/>
        <v>4.9805003384696738</v>
      </c>
      <c r="R197" s="1">
        <f t="shared" ca="1" si="129"/>
        <v>1144</v>
      </c>
      <c r="S197" s="1"/>
      <c r="T197" s="1">
        <f t="shared" ca="1" si="130"/>
        <v>3.6007872739672479E-2</v>
      </c>
      <c r="U197" s="1">
        <f t="shared" ca="1" si="131"/>
        <v>296</v>
      </c>
      <c r="V197" s="1">
        <f t="shared" ca="1" si="132"/>
        <v>45</v>
      </c>
      <c r="W197" s="1"/>
      <c r="X197" s="1">
        <f t="shared" ca="1" si="133"/>
        <v>7.0811415539419782</v>
      </c>
      <c r="Y197" s="1">
        <f t="shared" ca="1" si="134"/>
        <v>0.78174173793620827</v>
      </c>
      <c r="Z197" s="1">
        <f t="shared" ca="1" si="135"/>
        <v>1829</v>
      </c>
      <c r="AB197" s="1">
        <f t="shared" ca="1" si="136"/>
        <v>0.64120695851848541</v>
      </c>
      <c r="AC197" s="1">
        <f t="shared" ca="1" si="137"/>
        <v>703</v>
      </c>
      <c r="AD197" s="1">
        <f t="shared" ca="1" si="138"/>
        <v>4.7940116067005283E-3</v>
      </c>
      <c r="AE197" s="1"/>
      <c r="AF197" s="1">
        <f t="shared" ca="1" si="139"/>
        <v>0.34309904460643781</v>
      </c>
      <c r="AG197" s="1">
        <f t="shared" ca="1" si="140"/>
        <v>391</v>
      </c>
      <c r="AH197" s="1">
        <f t="shared" ca="1" si="141"/>
        <v>7.563177799784211E-3</v>
      </c>
      <c r="AJ197" s="1">
        <f t="shared" ca="1" si="142"/>
        <v>0.93927467226383987</v>
      </c>
      <c r="AK197" s="1">
        <f t="shared" ca="1" si="143"/>
        <v>7.9868130419680043E-3</v>
      </c>
      <c r="AL197" s="1"/>
      <c r="AM197" s="1">
        <f t="shared" ca="1" si="144"/>
        <v>0.12698233299641024</v>
      </c>
      <c r="AN197" s="1">
        <f t="shared" ca="1" si="145"/>
        <v>26</v>
      </c>
      <c r="AO197" s="1">
        <f t="shared" ca="1" si="146"/>
        <v>6</v>
      </c>
      <c r="AQ197" s="1">
        <f t="shared" ca="1" si="147"/>
        <v>92</v>
      </c>
      <c r="AR197" s="1">
        <f t="shared" ca="1" si="148"/>
        <v>0</v>
      </c>
      <c r="AS197" s="1">
        <f t="shared" ca="1" si="149"/>
        <v>63</v>
      </c>
      <c r="AU197" s="1">
        <f t="shared" ca="1" si="150"/>
        <v>317</v>
      </c>
      <c r="AV197" s="1">
        <f t="shared" ca="1" si="151"/>
        <v>5</v>
      </c>
      <c r="AW197" s="1">
        <f t="shared" ca="1" si="152"/>
        <v>3.7693378001710222E-2</v>
      </c>
      <c r="AY197" s="1">
        <f t="shared" ca="1" si="153"/>
        <v>1.8836405763362147</v>
      </c>
      <c r="AZ197" s="1">
        <f t="shared" ca="1" si="154"/>
        <v>369</v>
      </c>
      <c r="BA197" s="1">
        <f t="shared" ca="1" si="155"/>
        <v>9.0430134336733289E-3</v>
      </c>
    </row>
    <row r="198" spans="2:53" x14ac:dyDescent="0.25">
      <c r="B198">
        <f t="shared" ca="1" si="117"/>
        <v>416</v>
      </c>
      <c r="C198">
        <f t="shared" ca="1" si="118"/>
        <v>17</v>
      </c>
      <c r="D198">
        <f t="shared" ca="1" si="119"/>
        <v>0.2930608851089474</v>
      </c>
      <c r="F198" s="1">
        <f t="shared" ca="1" si="120"/>
        <v>43</v>
      </c>
      <c r="G198" s="1">
        <f t="shared" ca="1" si="121"/>
        <v>9</v>
      </c>
      <c r="H198" s="1">
        <f t="shared" ca="1" si="122"/>
        <v>3</v>
      </c>
      <c r="I198" s="1"/>
      <c r="J198" s="1">
        <f t="shared" ca="1" si="123"/>
        <v>34</v>
      </c>
      <c r="K198" s="1">
        <f t="shared" ca="1" si="124"/>
        <v>2.0453613144896132</v>
      </c>
      <c r="L198" s="1">
        <f t="shared" ca="1" si="125"/>
        <v>12</v>
      </c>
      <c r="M198" s="1"/>
      <c r="N198" s="1">
        <f t="shared" ca="1" si="126"/>
        <v>74</v>
      </c>
      <c r="O198" s="1">
        <f t="shared" ca="1" si="127"/>
        <v>23</v>
      </c>
      <c r="P198" s="1"/>
      <c r="Q198" s="1">
        <f t="shared" ca="1" si="128"/>
        <v>0.36881806512015369</v>
      </c>
      <c r="R198" s="1">
        <f t="shared" ca="1" si="129"/>
        <v>375</v>
      </c>
      <c r="S198" s="1"/>
      <c r="T198" s="1">
        <f t="shared" ca="1" si="130"/>
        <v>0.16407088668913833</v>
      </c>
      <c r="U198" s="1">
        <f t="shared" ca="1" si="131"/>
        <v>417</v>
      </c>
      <c r="V198" s="1">
        <f t="shared" ca="1" si="132"/>
        <v>11</v>
      </c>
      <c r="W198" s="1"/>
      <c r="X198" s="1">
        <f t="shared" ca="1" si="133"/>
        <v>2.7867773085808469</v>
      </c>
      <c r="Y198" s="1">
        <f t="shared" ca="1" si="134"/>
        <v>0.15498939412570054</v>
      </c>
      <c r="Z198" s="1">
        <f t="shared" ca="1" si="135"/>
        <v>755</v>
      </c>
      <c r="AB198" s="1">
        <f t="shared" ca="1" si="136"/>
        <v>0.95573581835502908</v>
      </c>
      <c r="AC198" s="1">
        <f t="shared" ca="1" si="137"/>
        <v>784</v>
      </c>
      <c r="AD198" s="1">
        <f t="shared" ca="1" si="138"/>
        <v>3.0208267423489188E-3</v>
      </c>
      <c r="AE198" s="1"/>
      <c r="AF198" s="1">
        <f t="shared" ca="1" si="139"/>
        <v>0.84321342657791898</v>
      </c>
      <c r="AG198" s="1">
        <f t="shared" ca="1" si="140"/>
        <v>999</v>
      </c>
      <c r="AH198" s="1">
        <f t="shared" ca="1" si="141"/>
        <v>4.659051412687366E-3</v>
      </c>
      <c r="AJ198" s="1">
        <f t="shared" ca="1" si="142"/>
        <v>0.81777395314579149</v>
      </c>
      <c r="AK198" s="1">
        <f t="shared" ca="1" si="143"/>
        <v>6.3053483343121072E-3</v>
      </c>
      <c r="AL198" s="1"/>
      <c r="AM198" s="1">
        <f t="shared" ca="1" si="144"/>
        <v>0.10045020162120168</v>
      </c>
      <c r="AN198" s="1">
        <f t="shared" ca="1" si="145"/>
        <v>48</v>
      </c>
      <c r="AO198" s="1">
        <f t="shared" ca="1" si="146"/>
        <v>3</v>
      </c>
      <c r="AQ198" s="1">
        <f t="shared" ca="1" si="147"/>
        <v>188</v>
      </c>
      <c r="AR198" s="1">
        <f t="shared" ca="1" si="148"/>
        <v>10</v>
      </c>
      <c r="AS198" s="1">
        <f t="shared" ca="1" si="149"/>
        <v>46</v>
      </c>
      <c r="AU198" s="1">
        <f t="shared" ca="1" si="150"/>
        <v>81</v>
      </c>
      <c r="AV198" s="1">
        <f t="shared" ca="1" si="151"/>
        <v>10</v>
      </c>
      <c r="AW198" s="1">
        <f t="shared" ca="1" si="152"/>
        <v>9.0650968300447873E-2</v>
      </c>
      <c r="AY198" s="1">
        <f t="shared" ca="1" si="153"/>
        <v>1.525323880913747</v>
      </c>
      <c r="AZ198" s="1">
        <f t="shared" ca="1" si="154"/>
        <v>417</v>
      </c>
      <c r="BA198" s="1">
        <f t="shared" ca="1" si="155"/>
        <v>6.1619319654455341E-3</v>
      </c>
    </row>
    <row r="199" spans="2:53" x14ac:dyDescent="0.25">
      <c r="B199">
        <f t="shared" ca="1" si="117"/>
        <v>701</v>
      </c>
      <c r="C199">
        <f t="shared" ca="1" si="118"/>
        <v>40</v>
      </c>
      <c r="D199">
        <f t="shared" ca="1" si="119"/>
        <v>0.2478046392155189</v>
      </c>
      <c r="F199" s="1">
        <f t="shared" ca="1" si="120"/>
        <v>46</v>
      </c>
      <c r="G199" s="1">
        <f t="shared" ca="1" si="121"/>
        <v>3</v>
      </c>
      <c r="H199" s="1">
        <f t="shared" ca="1" si="122"/>
        <v>4</v>
      </c>
      <c r="I199" s="1"/>
      <c r="J199" s="1">
        <f t="shared" ca="1" si="123"/>
        <v>6</v>
      </c>
      <c r="K199" s="1">
        <f t="shared" ca="1" si="124"/>
        <v>2.1147369724819418</v>
      </c>
      <c r="L199" s="1">
        <f t="shared" ca="1" si="125"/>
        <v>14</v>
      </c>
      <c r="M199" s="1"/>
      <c r="N199" s="1">
        <f t="shared" ca="1" si="126"/>
        <v>69</v>
      </c>
      <c r="O199" s="1">
        <f t="shared" ca="1" si="127"/>
        <v>8</v>
      </c>
      <c r="P199" s="1"/>
      <c r="Q199" s="1">
        <f t="shared" ca="1" si="128"/>
        <v>1.4768711732965878</v>
      </c>
      <c r="R199" s="1">
        <f t="shared" ca="1" si="129"/>
        <v>482</v>
      </c>
      <c r="S199" s="1"/>
      <c r="T199" s="1">
        <f t="shared" ca="1" si="130"/>
        <v>3.5673123631262418E-2</v>
      </c>
      <c r="U199" s="1">
        <f t="shared" ca="1" si="131"/>
        <v>244</v>
      </c>
      <c r="V199" s="1">
        <f t="shared" ca="1" si="132"/>
        <v>31</v>
      </c>
      <c r="W199" s="1"/>
      <c r="X199" s="1">
        <f t="shared" ca="1" si="133"/>
        <v>2.5053205213509999</v>
      </c>
      <c r="Y199" s="1">
        <f t="shared" ca="1" si="134"/>
        <v>0.53695519722625717</v>
      </c>
      <c r="Z199" s="1">
        <f t="shared" ca="1" si="135"/>
        <v>1135</v>
      </c>
      <c r="AB199" s="1">
        <f t="shared" ca="1" si="136"/>
        <v>0.57044422564084485</v>
      </c>
      <c r="AC199" s="1">
        <f t="shared" ca="1" si="137"/>
        <v>815</v>
      </c>
      <c r="AD199" s="1">
        <f t="shared" ca="1" si="138"/>
        <v>6.2619926607205461E-3</v>
      </c>
      <c r="AE199" s="1"/>
      <c r="AF199" s="1">
        <f t="shared" ca="1" si="139"/>
        <v>0.35350177422498408</v>
      </c>
      <c r="AG199" s="1">
        <f t="shared" ca="1" si="140"/>
        <v>708</v>
      </c>
      <c r="AH199" s="1">
        <f t="shared" ca="1" si="141"/>
        <v>7.0874312572792629E-4</v>
      </c>
      <c r="AJ199" s="1">
        <f t="shared" ca="1" si="142"/>
        <v>0.78118049671533929</v>
      </c>
      <c r="AK199" s="1">
        <f t="shared" ca="1" si="143"/>
        <v>1.1280588965238874E-3</v>
      </c>
      <c r="AL199" s="1"/>
      <c r="AM199" s="1">
        <f t="shared" ca="1" si="144"/>
        <v>0.19938920557908357</v>
      </c>
      <c r="AN199" s="1">
        <f t="shared" ca="1" si="145"/>
        <v>35</v>
      </c>
      <c r="AO199" s="1">
        <f t="shared" ca="1" si="146"/>
        <v>20</v>
      </c>
      <c r="AQ199" s="1">
        <f t="shared" ca="1" si="147"/>
        <v>110</v>
      </c>
      <c r="AR199" s="1">
        <f t="shared" ca="1" si="148"/>
        <v>8</v>
      </c>
      <c r="AS199" s="1">
        <f t="shared" ca="1" si="149"/>
        <v>80</v>
      </c>
      <c r="AU199" s="1">
        <f t="shared" ca="1" si="150"/>
        <v>96</v>
      </c>
      <c r="AV199" s="1">
        <f t="shared" ca="1" si="151"/>
        <v>4</v>
      </c>
      <c r="AW199" s="1">
        <f t="shared" ca="1" si="152"/>
        <v>8.4106939659112478E-2</v>
      </c>
      <c r="AY199" s="1">
        <f t="shared" ca="1" si="153"/>
        <v>1.3182604553341186</v>
      </c>
      <c r="AZ199" s="1">
        <f t="shared" ca="1" si="154"/>
        <v>129</v>
      </c>
      <c r="BA199" s="1">
        <f t="shared" ca="1" si="155"/>
        <v>5.7398134095479579E-3</v>
      </c>
    </row>
    <row r="200" spans="2:53" x14ac:dyDescent="0.25">
      <c r="B200">
        <f t="shared" ca="1" si="117"/>
        <v>756</v>
      </c>
      <c r="C200">
        <f t="shared" ca="1" si="118"/>
        <v>49</v>
      </c>
      <c r="D200">
        <f t="shared" ca="1" si="119"/>
        <v>0.14489211575222025</v>
      </c>
      <c r="F200" s="1">
        <f t="shared" ca="1" si="120"/>
        <v>40</v>
      </c>
      <c r="G200" s="1">
        <f t="shared" ca="1" si="121"/>
        <v>12</v>
      </c>
      <c r="H200" s="1">
        <f t="shared" ca="1" si="122"/>
        <v>8</v>
      </c>
      <c r="I200" s="1"/>
      <c r="J200" s="1">
        <f t="shared" ca="1" si="123"/>
        <v>2</v>
      </c>
      <c r="K200" s="1">
        <f t="shared" ca="1" si="124"/>
        <v>1.5049335676294637</v>
      </c>
      <c r="L200" s="1">
        <f t="shared" ca="1" si="125"/>
        <v>33</v>
      </c>
      <c r="M200" s="1"/>
      <c r="N200" s="1">
        <f t="shared" ca="1" si="126"/>
        <v>806</v>
      </c>
      <c r="O200" s="1">
        <f t="shared" ca="1" si="127"/>
        <v>6</v>
      </c>
      <c r="P200" s="1"/>
      <c r="Q200" s="1">
        <f t="shared" ca="1" si="128"/>
        <v>2.8681349514482428</v>
      </c>
      <c r="R200" s="1">
        <f t="shared" ca="1" si="129"/>
        <v>883</v>
      </c>
      <c r="S200" s="1"/>
      <c r="T200" s="1">
        <f t="shared" ca="1" si="130"/>
        <v>0.16661269531075609</v>
      </c>
      <c r="U200" s="1">
        <f t="shared" ca="1" si="131"/>
        <v>65</v>
      </c>
      <c r="V200" s="1">
        <f t="shared" ca="1" si="132"/>
        <v>3</v>
      </c>
      <c r="W200" s="1"/>
      <c r="X200" s="1">
        <f t="shared" ca="1" si="133"/>
        <v>8.8029957538887391</v>
      </c>
      <c r="Y200" s="1">
        <f t="shared" ca="1" si="134"/>
        <v>0.24129750102931913</v>
      </c>
      <c r="Z200" s="1">
        <f t="shared" ca="1" si="135"/>
        <v>1838</v>
      </c>
      <c r="AB200" s="1">
        <f t="shared" ca="1" si="136"/>
        <v>4.797583290590015E-2</v>
      </c>
      <c r="AC200" s="1">
        <f t="shared" ca="1" si="137"/>
        <v>409</v>
      </c>
      <c r="AD200" s="1">
        <f t="shared" ca="1" si="138"/>
        <v>2.9991095157156566E-3</v>
      </c>
      <c r="AE200" s="1"/>
      <c r="AF200" s="1">
        <f t="shared" ca="1" si="139"/>
        <v>0.30152202354201429</v>
      </c>
      <c r="AG200" s="1">
        <f t="shared" ca="1" si="140"/>
        <v>639</v>
      </c>
      <c r="AH200" s="1">
        <f t="shared" ca="1" si="141"/>
        <v>4.3912499027723055E-3</v>
      </c>
      <c r="AJ200" s="1">
        <f t="shared" ca="1" si="142"/>
        <v>0.70732573110915919</v>
      </c>
      <c r="AK200" s="1">
        <f t="shared" ca="1" si="143"/>
        <v>8.7886034218216224E-4</v>
      </c>
      <c r="AL200" s="1"/>
      <c r="AM200" s="1">
        <f t="shared" ca="1" si="144"/>
        <v>0.19967480397365092</v>
      </c>
      <c r="AN200" s="1">
        <f t="shared" ca="1" si="145"/>
        <v>49</v>
      </c>
      <c r="AO200" s="1">
        <f t="shared" ca="1" si="146"/>
        <v>3</v>
      </c>
      <c r="AQ200" s="1">
        <f t="shared" ca="1" si="147"/>
        <v>29</v>
      </c>
      <c r="AR200" s="1">
        <f t="shared" ca="1" si="148"/>
        <v>10</v>
      </c>
      <c r="AS200" s="1">
        <f t="shared" ca="1" si="149"/>
        <v>100</v>
      </c>
      <c r="AU200" s="1">
        <f t="shared" ca="1" si="150"/>
        <v>136</v>
      </c>
      <c r="AV200" s="1">
        <f t="shared" ca="1" si="151"/>
        <v>6</v>
      </c>
      <c r="AW200" s="1">
        <f t="shared" ca="1" si="152"/>
        <v>6.2346042948955203E-2</v>
      </c>
      <c r="AY200" s="1">
        <f t="shared" ca="1" si="153"/>
        <v>1.2465066871059047</v>
      </c>
      <c r="AZ200" s="1">
        <f t="shared" ca="1" si="154"/>
        <v>189</v>
      </c>
      <c r="BA200" s="1">
        <f t="shared" ca="1" si="155"/>
        <v>9.7479666779443745E-3</v>
      </c>
    </row>
    <row r="201" spans="2:53" x14ac:dyDescent="0.25">
      <c r="B201">
        <f t="shared" ca="1" si="117"/>
        <v>792</v>
      </c>
      <c r="C201">
        <f t="shared" ca="1" si="118"/>
        <v>45</v>
      </c>
      <c r="D201">
        <f t="shared" ca="1" si="119"/>
        <v>0.12551897085448724</v>
      </c>
      <c r="F201" s="1">
        <f t="shared" ca="1" si="120"/>
        <v>46</v>
      </c>
      <c r="G201" s="1">
        <f t="shared" ca="1" si="121"/>
        <v>14</v>
      </c>
      <c r="H201" s="1">
        <f t="shared" ca="1" si="122"/>
        <v>3</v>
      </c>
      <c r="I201" s="1"/>
      <c r="J201" s="1">
        <f t="shared" ca="1" si="123"/>
        <v>5</v>
      </c>
      <c r="K201" s="1">
        <f t="shared" ca="1" si="124"/>
        <v>1.9294056813130718</v>
      </c>
      <c r="L201" s="1">
        <f t="shared" ca="1" si="125"/>
        <v>17</v>
      </c>
      <c r="M201" s="1"/>
      <c r="N201" s="1">
        <f t="shared" ca="1" si="126"/>
        <v>197</v>
      </c>
      <c r="O201" s="1">
        <f t="shared" ca="1" si="127"/>
        <v>18</v>
      </c>
      <c r="P201" s="1"/>
      <c r="Q201" s="1">
        <f t="shared" ca="1" si="128"/>
        <v>4.2079845267182856</v>
      </c>
      <c r="R201" s="1">
        <f t="shared" ca="1" si="129"/>
        <v>1188</v>
      </c>
      <c r="S201" s="1"/>
      <c r="T201" s="1">
        <f t="shared" ca="1" si="130"/>
        <v>1.6298979040346648E-2</v>
      </c>
      <c r="U201" s="1">
        <f t="shared" ca="1" si="131"/>
        <v>437</v>
      </c>
      <c r="V201" s="1">
        <f t="shared" ca="1" si="132"/>
        <v>38</v>
      </c>
      <c r="W201" s="1"/>
      <c r="X201" s="1">
        <f t="shared" ca="1" si="133"/>
        <v>5.4053250462986364</v>
      </c>
      <c r="Y201" s="1">
        <f t="shared" ca="1" si="134"/>
        <v>0.90154933365444667</v>
      </c>
      <c r="Z201" s="1">
        <f t="shared" ca="1" si="135"/>
        <v>1325</v>
      </c>
      <c r="AB201" s="1">
        <f t="shared" ca="1" si="136"/>
        <v>8.3961435081821092E-2</v>
      </c>
      <c r="AC201" s="1">
        <f t="shared" ca="1" si="137"/>
        <v>844</v>
      </c>
      <c r="AD201" s="1">
        <f t="shared" ca="1" si="138"/>
        <v>2.8782945286254633E-3</v>
      </c>
      <c r="AE201" s="1"/>
      <c r="AF201" s="1">
        <f t="shared" ca="1" si="139"/>
        <v>0.34012861924396565</v>
      </c>
      <c r="AG201" s="1">
        <f t="shared" ca="1" si="140"/>
        <v>438</v>
      </c>
      <c r="AH201" s="1">
        <f t="shared" ca="1" si="141"/>
        <v>2.9793301130633938E-3</v>
      </c>
      <c r="AJ201" s="1">
        <f t="shared" ca="1" si="142"/>
        <v>0.7967092743280535</v>
      </c>
      <c r="AK201" s="1">
        <f t="shared" ca="1" si="143"/>
        <v>3.3740562660614956E-3</v>
      </c>
      <c r="AL201" s="1"/>
      <c r="AM201" s="1">
        <f t="shared" ca="1" si="144"/>
        <v>5.0558008754508311E-2</v>
      </c>
      <c r="AN201" s="1">
        <f t="shared" ca="1" si="145"/>
        <v>42</v>
      </c>
      <c r="AO201" s="1">
        <f t="shared" ca="1" si="146"/>
        <v>18</v>
      </c>
      <c r="AQ201" s="1">
        <f t="shared" ca="1" si="147"/>
        <v>178</v>
      </c>
      <c r="AR201" s="1">
        <f t="shared" ca="1" si="148"/>
        <v>3</v>
      </c>
      <c r="AS201" s="1">
        <f t="shared" ca="1" si="149"/>
        <v>16</v>
      </c>
      <c r="AU201" s="1">
        <f t="shared" ca="1" si="150"/>
        <v>251</v>
      </c>
      <c r="AV201" s="1">
        <f t="shared" ca="1" si="151"/>
        <v>3</v>
      </c>
      <c r="AW201" s="1">
        <f t="shared" ca="1" si="152"/>
        <v>0.14265309433262952</v>
      </c>
      <c r="AY201" s="1">
        <f t="shared" ca="1" si="153"/>
        <v>1.6233868492485684</v>
      </c>
      <c r="AZ201" s="1">
        <f t="shared" ca="1" si="154"/>
        <v>143</v>
      </c>
      <c r="BA201" s="1">
        <f t="shared" ca="1" si="155"/>
        <v>8.4874590681607159E-3</v>
      </c>
    </row>
    <row r="202" spans="2:53" x14ac:dyDescent="0.25">
      <c r="B202">
        <f t="shared" ca="1" si="117"/>
        <v>36</v>
      </c>
      <c r="C202">
        <f t="shared" ca="1" si="118"/>
        <v>35</v>
      </c>
      <c r="D202">
        <f t="shared" ca="1" si="119"/>
        <v>0.19995334350077337</v>
      </c>
      <c r="F202" s="1">
        <f t="shared" ca="1" si="120"/>
        <v>11</v>
      </c>
      <c r="G202" s="1">
        <f t="shared" ca="1" si="121"/>
        <v>4</v>
      </c>
      <c r="H202" s="1">
        <f t="shared" ca="1" si="122"/>
        <v>1</v>
      </c>
      <c r="I202" s="1"/>
      <c r="J202" s="1">
        <f t="shared" ca="1" si="123"/>
        <v>24</v>
      </c>
      <c r="K202" s="1">
        <f t="shared" ca="1" si="124"/>
        <v>1.5162166810106934</v>
      </c>
      <c r="L202" s="1">
        <f t="shared" ca="1" si="125"/>
        <v>16</v>
      </c>
      <c r="M202" s="1"/>
      <c r="N202" s="1">
        <f t="shared" ca="1" si="126"/>
        <v>584</v>
      </c>
      <c r="O202" s="1">
        <f t="shared" ca="1" si="127"/>
        <v>48</v>
      </c>
      <c r="P202" s="1"/>
      <c r="Q202" s="1">
        <f t="shared" ca="1" si="128"/>
        <v>0.98422084261057352</v>
      </c>
      <c r="R202" s="1">
        <f t="shared" ca="1" si="129"/>
        <v>568</v>
      </c>
      <c r="S202" s="1"/>
      <c r="T202" s="1">
        <f t="shared" ca="1" si="130"/>
        <v>0.13718647525152072</v>
      </c>
      <c r="U202" s="1">
        <f t="shared" ca="1" si="131"/>
        <v>201</v>
      </c>
      <c r="V202" s="1">
        <f t="shared" ca="1" si="132"/>
        <v>6</v>
      </c>
      <c r="W202" s="1"/>
      <c r="X202" s="1">
        <f t="shared" ca="1" si="133"/>
        <v>4.8867456810157925</v>
      </c>
      <c r="Y202" s="1">
        <f t="shared" ca="1" si="134"/>
        <v>0.35858435145563916</v>
      </c>
      <c r="Z202" s="1">
        <f t="shared" ca="1" si="135"/>
        <v>506</v>
      </c>
      <c r="AB202" s="1">
        <f t="shared" ca="1" si="136"/>
        <v>0.84435610420715479</v>
      </c>
      <c r="AC202" s="1">
        <f t="shared" ca="1" si="137"/>
        <v>504</v>
      </c>
      <c r="AD202" s="1">
        <f t="shared" ca="1" si="138"/>
        <v>7.7116194736009027E-3</v>
      </c>
      <c r="AE202" s="1"/>
      <c r="AF202" s="1">
        <f t="shared" ca="1" si="139"/>
        <v>0.42838560745790744</v>
      </c>
      <c r="AG202" s="1">
        <f t="shared" ca="1" si="140"/>
        <v>417</v>
      </c>
      <c r="AH202" s="1">
        <f t="shared" ca="1" si="141"/>
        <v>2.8345307823031234E-3</v>
      </c>
      <c r="AJ202" s="1">
        <f t="shared" ca="1" si="142"/>
        <v>0.18420719731626445</v>
      </c>
      <c r="AK202" s="1">
        <f t="shared" ca="1" si="143"/>
        <v>1.0421515710237188E-3</v>
      </c>
      <c r="AL202" s="1"/>
      <c r="AM202" s="1">
        <f t="shared" ca="1" si="144"/>
        <v>7.4279407646384216E-2</v>
      </c>
      <c r="AN202" s="1">
        <f t="shared" ca="1" si="145"/>
        <v>13</v>
      </c>
      <c r="AO202" s="1">
        <f t="shared" ca="1" si="146"/>
        <v>14</v>
      </c>
      <c r="AQ202" s="1">
        <f t="shared" ca="1" si="147"/>
        <v>61</v>
      </c>
      <c r="AR202" s="1">
        <f t="shared" ca="1" si="148"/>
        <v>10</v>
      </c>
      <c r="AS202" s="1">
        <f t="shared" ca="1" si="149"/>
        <v>8</v>
      </c>
      <c r="AU202" s="1">
        <f t="shared" ca="1" si="150"/>
        <v>101</v>
      </c>
      <c r="AV202" s="1">
        <f t="shared" ca="1" si="151"/>
        <v>6</v>
      </c>
      <c r="AW202" s="1">
        <f t="shared" ca="1" si="152"/>
        <v>8.8278041835469473E-2</v>
      </c>
      <c r="AY202" s="1">
        <f t="shared" ca="1" si="153"/>
        <v>1.9849354403754704</v>
      </c>
      <c r="AZ202" s="1">
        <f t="shared" ca="1" si="154"/>
        <v>341</v>
      </c>
      <c r="BA202" s="1">
        <f t="shared" ca="1" si="155"/>
        <v>5.1527464152271102E-3</v>
      </c>
    </row>
  </sheetData>
  <mergeCells count="17">
    <mergeCell ref="BG1:BI1"/>
    <mergeCell ref="BK1:BM1"/>
    <mergeCell ref="AJ1:AK1"/>
    <mergeCell ref="AB1:AD1"/>
    <mergeCell ref="AF1:AH1"/>
    <mergeCell ref="T1:V1"/>
    <mergeCell ref="X1:Z1"/>
    <mergeCell ref="B1:D1"/>
    <mergeCell ref="F1:H1"/>
    <mergeCell ref="J1:L1"/>
    <mergeCell ref="N1:O1"/>
    <mergeCell ref="Q1:R1"/>
    <mergeCell ref="AY1:BA1"/>
    <mergeCell ref="BC1:BE1"/>
    <mergeCell ref="AU1:AW1"/>
    <mergeCell ref="AQ1:AS1"/>
    <mergeCell ref="AM1:AO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2026-05-13T15:17:46Z</dcterms:modified>
</cp:coreProperties>
</file>