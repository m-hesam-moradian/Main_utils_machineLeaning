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am\Desktop\ML\"/>
    </mc:Choice>
  </mc:AlternateContent>
  <xr:revisionPtr revIDLastSave="0" documentId="13_ncr:1_{E9179A26-5BC6-48F0-AA28-1D16FD846BED}" xr6:coauthVersionLast="47" xr6:coauthVersionMax="47" xr10:uidLastSave="{00000000-0000-0000-0000-000000000000}"/>
  <bookViews>
    <workbookView xWindow="-108" yWindow="10692" windowWidth="16296" windowHeight="90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V10" i="1" l="1"/>
  <c r="CW10" i="1"/>
  <c r="CX10" i="1"/>
  <c r="CV11" i="1"/>
  <c r="CW11" i="1"/>
  <c r="CX11" i="1"/>
  <c r="CV12" i="1"/>
  <c r="CW12" i="1"/>
  <c r="CX12" i="1"/>
  <c r="CV13" i="1"/>
  <c r="CW13" i="1"/>
  <c r="CX13" i="1"/>
  <c r="CV14" i="1"/>
  <c r="CW14" i="1"/>
  <c r="CX14" i="1"/>
  <c r="CV15" i="1"/>
  <c r="CW15" i="1"/>
  <c r="CX15" i="1"/>
  <c r="CV16" i="1"/>
  <c r="CW16" i="1"/>
  <c r="CX16" i="1"/>
  <c r="CV17" i="1"/>
  <c r="CW17" i="1"/>
  <c r="CX17" i="1"/>
  <c r="CV18" i="1"/>
  <c r="CW18" i="1"/>
  <c r="CX18" i="1"/>
  <c r="CV19" i="1"/>
  <c r="CW19" i="1"/>
  <c r="CX19" i="1"/>
  <c r="CV20" i="1"/>
  <c r="CW20" i="1"/>
  <c r="CX20" i="1"/>
  <c r="CV21" i="1"/>
  <c r="CW21" i="1"/>
  <c r="CX21" i="1"/>
  <c r="CV22" i="1"/>
  <c r="CW22" i="1"/>
  <c r="CX22" i="1"/>
  <c r="CV23" i="1"/>
  <c r="CW23" i="1"/>
  <c r="CX23" i="1"/>
  <c r="CV24" i="1"/>
  <c r="CW24" i="1"/>
  <c r="CX24" i="1"/>
  <c r="CV25" i="1"/>
  <c r="CW25" i="1"/>
  <c r="CX25" i="1"/>
  <c r="CV26" i="1"/>
  <c r="CW26" i="1"/>
  <c r="CX26" i="1"/>
  <c r="CV27" i="1"/>
  <c r="CW27" i="1"/>
  <c r="CX27" i="1"/>
  <c r="CV28" i="1"/>
  <c r="CW28" i="1"/>
  <c r="CX28" i="1"/>
  <c r="CV29" i="1"/>
  <c r="CW29" i="1"/>
  <c r="CX29" i="1"/>
  <c r="CV30" i="1"/>
  <c r="CW30" i="1"/>
  <c r="CX30" i="1"/>
  <c r="CV31" i="1"/>
  <c r="CW31" i="1"/>
  <c r="CX31" i="1"/>
  <c r="CV32" i="1"/>
  <c r="CW32" i="1"/>
  <c r="CX32" i="1"/>
  <c r="CV33" i="1"/>
  <c r="CW33" i="1"/>
  <c r="CX33" i="1"/>
  <c r="CV34" i="1"/>
  <c r="CW34" i="1"/>
  <c r="CX34" i="1"/>
  <c r="CV35" i="1"/>
  <c r="CW35" i="1"/>
  <c r="CX35" i="1"/>
  <c r="CV36" i="1"/>
  <c r="CW36" i="1"/>
  <c r="CX36" i="1"/>
  <c r="CV37" i="1"/>
  <c r="CW37" i="1"/>
  <c r="CX37" i="1"/>
  <c r="CV38" i="1"/>
  <c r="CW38" i="1"/>
  <c r="CX38" i="1"/>
  <c r="CV39" i="1"/>
  <c r="CW39" i="1"/>
  <c r="CX39" i="1"/>
  <c r="CV40" i="1"/>
  <c r="CW40" i="1"/>
  <c r="CX40" i="1"/>
  <c r="CV41" i="1"/>
  <c r="CW41" i="1"/>
  <c r="CX41" i="1"/>
  <c r="CV42" i="1"/>
  <c r="CW42" i="1"/>
  <c r="CX42" i="1"/>
  <c r="CV43" i="1"/>
  <c r="CW43" i="1"/>
  <c r="CX43" i="1"/>
  <c r="CV44" i="1"/>
  <c r="CW44" i="1"/>
  <c r="CX44" i="1"/>
  <c r="CV45" i="1"/>
  <c r="CW45" i="1"/>
  <c r="CX45" i="1"/>
  <c r="CV46" i="1"/>
  <c r="CW46" i="1"/>
  <c r="CX46" i="1"/>
  <c r="CV47" i="1"/>
  <c r="CW47" i="1"/>
  <c r="CX47" i="1"/>
  <c r="CV48" i="1"/>
  <c r="CW48" i="1"/>
  <c r="CX48" i="1"/>
  <c r="CV49" i="1"/>
  <c r="CW49" i="1"/>
  <c r="CX49" i="1"/>
  <c r="CV50" i="1"/>
  <c r="CW50" i="1"/>
  <c r="CX50" i="1"/>
  <c r="CV51" i="1"/>
  <c r="CW51" i="1"/>
  <c r="CX51" i="1"/>
  <c r="CV52" i="1"/>
  <c r="CW52" i="1"/>
  <c r="CX52" i="1"/>
  <c r="CV53" i="1"/>
  <c r="CW53" i="1"/>
  <c r="CX53" i="1"/>
  <c r="CV54" i="1"/>
  <c r="CW54" i="1"/>
  <c r="CX54" i="1"/>
  <c r="CV55" i="1"/>
  <c r="CW55" i="1"/>
  <c r="CX55" i="1"/>
  <c r="CV56" i="1"/>
  <c r="CW56" i="1"/>
  <c r="CX56" i="1"/>
  <c r="CV57" i="1"/>
  <c r="CW57" i="1"/>
  <c r="CX57" i="1"/>
  <c r="CV58" i="1"/>
  <c r="CW58" i="1"/>
  <c r="CX58" i="1"/>
  <c r="CV59" i="1"/>
  <c r="CW59" i="1"/>
  <c r="CX59" i="1"/>
  <c r="CV60" i="1"/>
  <c r="CW60" i="1"/>
  <c r="CX60" i="1"/>
  <c r="CV61" i="1"/>
  <c r="CW61" i="1"/>
  <c r="CX61" i="1"/>
  <c r="CV62" i="1"/>
  <c r="CW62" i="1"/>
  <c r="CX62" i="1"/>
  <c r="CV63" i="1"/>
  <c r="CW63" i="1"/>
  <c r="CX63" i="1"/>
  <c r="CV64" i="1"/>
  <c r="CW64" i="1"/>
  <c r="CX64" i="1"/>
  <c r="CV65" i="1"/>
  <c r="CW65" i="1"/>
  <c r="CX65" i="1"/>
  <c r="CV66" i="1"/>
  <c r="CW66" i="1"/>
  <c r="CX66" i="1"/>
  <c r="CV67" i="1"/>
  <c r="CW67" i="1"/>
  <c r="CX67" i="1"/>
  <c r="CV68" i="1"/>
  <c r="CW68" i="1"/>
  <c r="CX68" i="1"/>
  <c r="CV69" i="1"/>
  <c r="CW69" i="1"/>
  <c r="CX69" i="1"/>
  <c r="CV70" i="1"/>
  <c r="CW70" i="1"/>
  <c r="CX70" i="1"/>
  <c r="CV71" i="1"/>
  <c r="CW71" i="1"/>
  <c r="CX71" i="1"/>
  <c r="CV72" i="1"/>
  <c r="CW72" i="1"/>
  <c r="CX72" i="1"/>
  <c r="CV73" i="1"/>
  <c r="CW73" i="1"/>
  <c r="CX73" i="1"/>
  <c r="CV74" i="1"/>
  <c r="CW74" i="1"/>
  <c r="CX74" i="1"/>
  <c r="CV75" i="1"/>
  <c r="CW75" i="1"/>
  <c r="CX75" i="1"/>
  <c r="CV76" i="1"/>
  <c r="CW76" i="1"/>
  <c r="CX76" i="1"/>
  <c r="CV77" i="1"/>
  <c r="CW77" i="1"/>
  <c r="CX77" i="1"/>
  <c r="CV78" i="1"/>
  <c r="CW78" i="1"/>
  <c r="CX78" i="1"/>
  <c r="CV79" i="1"/>
  <c r="CW79" i="1"/>
  <c r="CX79" i="1"/>
  <c r="CV80" i="1"/>
  <c r="CW80" i="1"/>
  <c r="CX80" i="1"/>
  <c r="CV81" i="1"/>
  <c r="CW81" i="1"/>
  <c r="CX81" i="1"/>
  <c r="CV82" i="1"/>
  <c r="CW82" i="1"/>
  <c r="CX82" i="1"/>
  <c r="CV83" i="1"/>
  <c r="CW83" i="1"/>
  <c r="CX83" i="1"/>
  <c r="CV84" i="1"/>
  <c r="CW84" i="1"/>
  <c r="CX84" i="1"/>
  <c r="CV85" i="1"/>
  <c r="CW85" i="1"/>
  <c r="CX85" i="1"/>
  <c r="CV86" i="1"/>
  <c r="CW86" i="1"/>
  <c r="CX86" i="1"/>
  <c r="CV87" i="1"/>
  <c r="CW87" i="1"/>
  <c r="CX87" i="1"/>
  <c r="CV88" i="1"/>
  <c r="CW88" i="1"/>
  <c r="CX88" i="1"/>
  <c r="CV89" i="1"/>
  <c r="CW89" i="1"/>
  <c r="CX89" i="1"/>
  <c r="CV90" i="1"/>
  <c r="CW90" i="1"/>
  <c r="CX90" i="1"/>
  <c r="CV91" i="1"/>
  <c r="CW91" i="1"/>
  <c r="CX91" i="1"/>
  <c r="CV92" i="1"/>
  <c r="CW92" i="1"/>
  <c r="CX92" i="1"/>
  <c r="CV93" i="1"/>
  <c r="CW93" i="1"/>
  <c r="CX93" i="1"/>
  <c r="CV94" i="1"/>
  <c r="CW94" i="1"/>
  <c r="CX94" i="1"/>
  <c r="CV95" i="1"/>
  <c r="CW95" i="1"/>
  <c r="CX95" i="1"/>
  <c r="CV96" i="1"/>
  <c r="CW96" i="1"/>
  <c r="CX96" i="1"/>
  <c r="CV97" i="1"/>
  <c r="CW97" i="1"/>
  <c r="CX97" i="1"/>
  <c r="CV98" i="1"/>
  <c r="CW98" i="1"/>
  <c r="CX98" i="1"/>
  <c r="CV99" i="1"/>
  <c r="CW99" i="1"/>
  <c r="CX99" i="1"/>
  <c r="CV100" i="1"/>
  <c r="CW100" i="1"/>
  <c r="CX100" i="1"/>
  <c r="CV101" i="1"/>
  <c r="CW101" i="1"/>
  <c r="CX101" i="1"/>
  <c r="CV102" i="1"/>
  <c r="CW102" i="1"/>
  <c r="CX102" i="1"/>
  <c r="CV103" i="1"/>
  <c r="CW103" i="1"/>
  <c r="CX103" i="1"/>
  <c r="CV104" i="1"/>
  <c r="CW104" i="1"/>
  <c r="CX104" i="1"/>
  <c r="CV105" i="1"/>
  <c r="CW105" i="1"/>
  <c r="CX105" i="1"/>
  <c r="CV106" i="1"/>
  <c r="CW106" i="1"/>
  <c r="CX106" i="1"/>
  <c r="CV107" i="1"/>
  <c r="CW107" i="1"/>
  <c r="CX107" i="1"/>
  <c r="CV108" i="1"/>
  <c r="CW108" i="1"/>
  <c r="CX108" i="1"/>
  <c r="CV109" i="1"/>
  <c r="CW109" i="1"/>
  <c r="CX109" i="1"/>
  <c r="CV110" i="1"/>
  <c r="CW110" i="1"/>
  <c r="CX110" i="1"/>
  <c r="CV111" i="1"/>
  <c r="CW111" i="1"/>
  <c r="CX111" i="1"/>
  <c r="CV112" i="1"/>
  <c r="CW112" i="1"/>
  <c r="CX112" i="1"/>
  <c r="CV113" i="1"/>
  <c r="CW113" i="1"/>
  <c r="CX113" i="1"/>
  <c r="CV114" i="1"/>
  <c r="CW114" i="1"/>
  <c r="CX114" i="1"/>
  <c r="CV115" i="1"/>
  <c r="CW115" i="1"/>
  <c r="CX115" i="1"/>
  <c r="CV116" i="1"/>
  <c r="CW116" i="1"/>
  <c r="CX116" i="1"/>
  <c r="CV117" i="1"/>
  <c r="CW117" i="1"/>
  <c r="CX117" i="1"/>
  <c r="CV118" i="1"/>
  <c r="CW118" i="1"/>
  <c r="CX118" i="1"/>
  <c r="CV119" i="1"/>
  <c r="CW119" i="1"/>
  <c r="CX119" i="1"/>
  <c r="CV120" i="1"/>
  <c r="CW120" i="1"/>
  <c r="CX120" i="1"/>
  <c r="CV121" i="1"/>
  <c r="CW121" i="1"/>
  <c r="CX121" i="1"/>
  <c r="CV122" i="1"/>
  <c r="CW122" i="1"/>
  <c r="CX122" i="1"/>
  <c r="CV123" i="1"/>
  <c r="CW123" i="1"/>
  <c r="CX123" i="1"/>
  <c r="CV124" i="1"/>
  <c r="CW124" i="1"/>
  <c r="CX124" i="1"/>
  <c r="CV125" i="1"/>
  <c r="CW125" i="1"/>
  <c r="CX125" i="1"/>
  <c r="CV126" i="1"/>
  <c r="CW126" i="1"/>
  <c r="CX126" i="1"/>
  <c r="CV127" i="1"/>
  <c r="CW127" i="1"/>
  <c r="CX127" i="1"/>
  <c r="CV128" i="1"/>
  <c r="CW128" i="1"/>
  <c r="CX128" i="1"/>
  <c r="CV129" i="1"/>
  <c r="CW129" i="1"/>
  <c r="CX129" i="1"/>
  <c r="CV130" i="1"/>
  <c r="CW130" i="1"/>
  <c r="CX130" i="1"/>
  <c r="CV131" i="1"/>
  <c r="CW131" i="1"/>
  <c r="CX131" i="1"/>
  <c r="CV132" i="1"/>
  <c r="CW132" i="1"/>
  <c r="CX132" i="1"/>
  <c r="CV133" i="1"/>
  <c r="CW133" i="1"/>
  <c r="CX133" i="1"/>
  <c r="CV134" i="1"/>
  <c r="CW134" i="1"/>
  <c r="CX134" i="1"/>
  <c r="CV135" i="1"/>
  <c r="CW135" i="1"/>
  <c r="CX135" i="1"/>
  <c r="CV136" i="1"/>
  <c r="CW136" i="1"/>
  <c r="CX136" i="1"/>
  <c r="CV137" i="1"/>
  <c r="CW137" i="1"/>
  <c r="CX137" i="1"/>
  <c r="CV138" i="1"/>
  <c r="CW138" i="1"/>
  <c r="CX138" i="1"/>
  <c r="CV139" i="1"/>
  <c r="CW139" i="1"/>
  <c r="CX139" i="1"/>
  <c r="CV140" i="1"/>
  <c r="CW140" i="1"/>
  <c r="CX140" i="1"/>
  <c r="CV141" i="1"/>
  <c r="CW141" i="1"/>
  <c r="CX141" i="1"/>
  <c r="CV142" i="1"/>
  <c r="CW142" i="1"/>
  <c r="CX142" i="1"/>
  <c r="CV143" i="1"/>
  <c r="CW143" i="1"/>
  <c r="CX143" i="1"/>
  <c r="CV144" i="1"/>
  <c r="CW144" i="1"/>
  <c r="CX144" i="1"/>
  <c r="CV145" i="1"/>
  <c r="CW145" i="1"/>
  <c r="CX145" i="1"/>
  <c r="CV146" i="1"/>
  <c r="CW146" i="1"/>
  <c r="CX146" i="1"/>
  <c r="CV147" i="1"/>
  <c r="CW147" i="1"/>
  <c r="CX147" i="1"/>
  <c r="CV148" i="1"/>
  <c r="CW148" i="1"/>
  <c r="CX148" i="1"/>
  <c r="CV149" i="1"/>
  <c r="CW149" i="1"/>
  <c r="CX149" i="1"/>
  <c r="CV150" i="1"/>
  <c r="CW150" i="1"/>
  <c r="CX150" i="1"/>
  <c r="CV151" i="1"/>
  <c r="CW151" i="1"/>
  <c r="CX151" i="1"/>
  <c r="CV152" i="1"/>
  <c r="CW152" i="1"/>
  <c r="CX152" i="1"/>
  <c r="CV153" i="1"/>
  <c r="CW153" i="1"/>
  <c r="CX153" i="1"/>
  <c r="CV154" i="1"/>
  <c r="CW154" i="1"/>
  <c r="CX154" i="1"/>
  <c r="CV155" i="1"/>
  <c r="CW155" i="1"/>
  <c r="CX155" i="1"/>
  <c r="CV156" i="1"/>
  <c r="CW156" i="1"/>
  <c r="CX156" i="1"/>
  <c r="CV157" i="1"/>
  <c r="CW157" i="1"/>
  <c r="CX157" i="1"/>
  <c r="CV158" i="1"/>
  <c r="CW158" i="1"/>
  <c r="CX158" i="1"/>
  <c r="CV159" i="1"/>
  <c r="CW159" i="1"/>
  <c r="CX159" i="1"/>
  <c r="CV160" i="1"/>
  <c r="CW160" i="1"/>
  <c r="CX160" i="1"/>
  <c r="CV161" i="1"/>
  <c r="CW161" i="1"/>
  <c r="CX161" i="1"/>
  <c r="CV162" i="1"/>
  <c r="CW162" i="1"/>
  <c r="CX162" i="1"/>
  <c r="CV163" i="1"/>
  <c r="CW163" i="1"/>
  <c r="CX163" i="1"/>
  <c r="CV164" i="1"/>
  <c r="CW164" i="1"/>
  <c r="CX164" i="1"/>
  <c r="CV165" i="1"/>
  <c r="CW165" i="1"/>
  <c r="CX165" i="1"/>
  <c r="CV166" i="1"/>
  <c r="CW166" i="1"/>
  <c r="CX166" i="1"/>
  <c r="CV167" i="1"/>
  <c r="CW167" i="1"/>
  <c r="CX167" i="1"/>
  <c r="CV168" i="1"/>
  <c r="CW168" i="1"/>
  <c r="CX168" i="1"/>
  <c r="CV169" i="1"/>
  <c r="CW169" i="1"/>
  <c r="CX169" i="1"/>
  <c r="CV170" i="1"/>
  <c r="CW170" i="1"/>
  <c r="CX170" i="1"/>
  <c r="CV171" i="1"/>
  <c r="CW171" i="1"/>
  <c r="CX171" i="1"/>
  <c r="CV172" i="1"/>
  <c r="CW172" i="1"/>
  <c r="CX172" i="1"/>
  <c r="CV173" i="1"/>
  <c r="CW173" i="1"/>
  <c r="CX173" i="1"/>
  <c r="CV174" i="1"/>
  <c r="CW174" i="1"/>
  <c r="CX174" i="1"/>
  <c r="CV175" i="1"/>
  <c r="CW175" i="1"/>
  <c r="CX175" i="1"/>
  <c r="CV176" i="1"/>
  <c r="CW176" i="1"/>
  <c r="CX176" i="1"/>
  <c r="CV177" i="1"/>
  <c r="CW177" i="1"/>
  <c r="CX177" i="1"/>
  <c r="CV178" i="1"/>
  <c r="CW178" i="1"/>
  <c r="CX178" i="1"/>
  <c r="CV179" i="1"/>
  <c r="CW179" i="1"/>
  <c r="CX179" i="1"/>
  <c r="CV180" i="1"/>
  <c r="CW180" i="1"/>
  <c r="CX180" i="1"/>
  <c r="CV181" i="1"/>
  <c r="CW181" i="1"/>
  <c r="CX181" i="1"/>
  <c r="CV182" i="1"/>
  <c r="CW182" i="1"/>
  <c r="CX182" i="1"/>
  <c r="CV183" i="1"/>
  <c r="CW183" i="1"/>
  <c r="CX183" i="1"/>
  <c r="CV184" i="1"/>
  <c r="CW184" i="1"/>
  <c r="CX184" i="1"/>
  <c r="CV185" i="1"/>
  <c r="CW185" i="1"/>
  <c r="CX185" i="1"/>
  <c r="CV186" i="1"/>
  <c r="CW186" i="1"/>
  <c r="CX186" i="1"/>
  <c r="CV187" i="1"/>
  <c r="CW187" i="1"/>
  <c r="CX187" i="1"/>
  <c r="CV188" i="1"/>
  <c r="CW188" i="1"/>
  <c r="CX188" i="1"/>
  <c r="CV189" i="1"/>
  <c r="CW189" i="1"/>
  <c r="CX189" i="1"/>
  <c r="CV190" i="1"/>
  <c r="CW190" i="1"/>
  <c r="CX190" i="1"/>
  <c r="CV191" i="1"/>
  <c r="CW191" i="1"/>
  <c r="CX191" i="1"/>
  <c r="CV192" i="1"/>
  <c r="CW192" i="1"/>
  <c r="CX192" i="1"/>
  <c r="CV193" i="1"/>
  <c r="CW193" i="1"/>
  <c r="CX193" i="1"/>
  <c r="CV194" i="1"/>
  <c r="CW194" i="1"/>
  <c r="CX194" i="1"/>
  <c r="CV195" i="1"/>
  <c r="CW195" i="1"/>
  <c r="CX195" i="1"/>
  <c r="CV196" i="1"/>
  <c r="CW196" i="1"/>
  <c r="CX196" i="1"/>
  <c r="CV197" i="1"/>
  <c r="CW197" i="1"/>
  <c r="CX197" i="1"/>
  <c r="CV198" i="1"/>
  <c r="CW198" i="1"/>
  <c r="CX198" i="1"/>
  <c r="CV199" i="1"/>
  <c r="CW199" i="1"/>
  <c r="CX199" i="1"/>
  <c r="CV200" i="1"/>
  <c r="CW200" i="1"/>
  <c r="CX200" i="1"/>
  <c r="CV201" i="1"/>
  <c r="CW201" i="1"/>
  <c r="CX201" i="1"/>
  <c r="CV202" i="1"/>
  <c r="CW202" i="1"/>
  <c r="CX202" i="1"/>
  <c r="CV4" i="1"/>
  <c r="CW4" i="1"/>
  <c r="CX4" i="1"/>
  <c r="CV5" i="1"/>
  <c r="CW5" i="1"/>
  <c r="CX5" i="1"/>
  <c r="CV6" i="1"/>
  <c r="CW6" i="1"/>
  <c r="CX6" i="1"/>
  <c r="CV7" i="1"/>
  <c r="CW7" i="1"/>
  <c r="CX7" i="1"/>
  <c r="CV8" i="1"/>
  <c r="CW8" i="1"/>
  <c r="CX8" i="1"/>
  <c r="CV9" i="1"/>
  <c r="CW9" i="1"/>
  <c r="CX9" i="1"/>
  <c r="BG4" i="1"/>
  <c r="BH4" i="1"/>
  <c r="BI4" i="1"/>
  <c r="BG5" i="1"/>
  <c r="BH5" i="1"/>
  <c r="BI5" i="1"/>
  <c r="BG6" i="1"/>
  <c r="BH6" i="1"/>
  <c r="BI6" i="1"/>
  <c r="BG7" i="1"/>
  <c r="BH7" i="1"/>
  <c r="BI7" i="1"/>
  <c r="BG8" i="1"/>
  <c r="BH8" i="1"/>
  <c r="BI8" i="1"/>
  <c r="BG9" i="1"/>
  <c r="BH9" i="1"/>
  <c r="BI9" i="1"/>
  <c r="BG10" i="1"/>
  <c r="BH10" i="1"/>
  <c r="BI10" i="1"/>
  <c r="BG11" i="1"/>
  <c r="BH11" i="1"/>
  <c r="BI11" i="1"/>
  <c r="BG12" i="1"/>
  <c r="BH12" i="1"/>
  <c r="BI12" i="1"/>
  <c r="BG13" i="1"/>
  <c r="BH13" i="1"/>
  <c r="BI13" i="1"/>
  <c r="BG14" i="1"/>
  <c r="BH14" i="1"/>
  <c r="BI14" i="1"/>
  <c r="BG15" i="1"/>
  <c r="BH15" i="1"/>
  <c r="BI15" i="1"/>
  <c r="BG16" i="1"/>
  <c r="BH16" i="1"/>
  <c r="BI16" i="1"/>
  <c r="BG17" i="1"/>
  <c r="BH17" i="1"/>
  <c r="BI17" i="1"/>
  <c r="BG18" i="1"/>
  <c r="BH18" i="1"/>
  <c r="BI18" i="1"/>
  <c r="BG19" i="1"/>
  <c r="BH19" i="1"/>
  <c r="BI19" i="1"/>
  <c r="BG20" i="1"/>
  <c r="BH20" i="1"/>
  <c r="BI20" i="1"/>
  <c r="BG21" i="1"/>
  <c r="BH21" i="1"/>
  <c r="BI21" i="1"/>
  <c r="BG22" i="1"/>
  <c r="BH22" i="1"/>
  <c r="BI22" i="1"/>
  <c r="BG23" i="1"/>
  <c r="BH23" i="1"/>
  <c r="BI23" i="1"/>
  <c r="BG24" i="1"/>
  <c r="BH24" i="1"/>
  <c r="BI24" i="1"/>
  <c r="BG25" i="1"/>
  <c r="BH25" i="1"/>
  <c r="BI25" i="1"/>
  <c r="BG26" i="1"/>
  <c r="BH26" i="1"/>
  <c r="BI26" i="1"/>
  <c r="BG27" i="1"/>
  <c r="BH27" i="1"/>
  <c r="BI27" i="1"/>
  <c r="BG28" i="1"/>
  <c r="BH28" i="1"/>
  <c r="BI28" i="1"/>
  <c r="BG29" i="1"/>
  <c r="BH29" i="1"/>
  <c r="BI29" i="1"/>
  <c r="BG30" i="1"/>
  <c r="BH30" i="1"/>
  <c r="BI30" i="1"/>
  <c r="BG31" i="1"/>
  <c r="BH31" i="1"/>
  <c r="BI31" i="1"/>
  <c r="BG32" i="1"/>
  <c r="BH32" i="1"/>
  <c r="BI32" i="1"/>
  <c r="BG33" i="1"/>
  <c r="BH33" i="1"/>
  <c r="BI33" i="1"/>
  <c r="BG34" i="1"/>
  <c r="BH34" i="1"/>
  <c r="BI34" i="1"/>
  <c r="BG35" i="1"/>
  <c r="BH35" i="1"/>
  <c r="BI35" i="1"/>
  <c r="BG36" i="1"/>
  <c r="BH36" i="1"/>
  <c r="BI36" i="1"/>
  <c r="BG37" i="1"/>
  <c r="BH37" i="1"/>
  <c r="BI37" i="1"/>
  <c r="BG38" i="1"/>
  <c r="BH38" i="1"/>
  <c r="BI38" i="1"/>
  <c r="BG39" i="1"/>
  <c r="BH39" i="1"/>
  <c r="BI39" i="1"/>
  <c r="BG40" i="1"/>
  <c r="BH40" i="1"/>
  <c r="BI40" i="1"/>
  <c r="BG41" i="1"/>
  <c r="BH41" i="1"/>
  <c r="BI41" i="1"/>
  <c r="BG42" i="1"/>
  <c r="BH42" i="1"/>
  <c r="BI42" i="1"/>
  <c r="BG43" i="1"/>
  <c r="BH43" i="1"/>
  <c r="BI43" i="1"/>
  <c r="BG44" i="1"/>
  <c r="BH44" i="1"/>
  <c r="BI44" i="1"/>
  <c r="BG45" i="1"/>
  <c r="BH45" i="1"/>
  <c r="BI45" i="1"/>
  <c r="BG46" i="1"/>
  <c r="BH46" i="1"/>
  <c r="BI46" i="1"/>
  <c r="BG47" i="1"/>
  <c r="BH47" i="1"/>
  <c r="BI47" i="1"/>
  <c r="BG48" i="1"/>
  <c r="BH48" i="1"/>
  <c r="BI48" i="1"/>
  <c r="BG49" i="1"/>
  <c r="BH49" i="1"/>
  <c r="BI49" i="1"/>
  <c r="BG50" i="1"/>
  <c r="BH50" i="1"/>
  <c r="BI50" i="1"/>
  <c r="BG51" i="1"/>
  <c r="BH51" i="1"/>
  <c r="BI51" i="1"/>
  <c r="BG52" i="1"/>
  <c r="BH52" i="1"/>
  <c r="BI52" i="1"/>
  <c r="BG53" i="1"/>
  <c r="BH53" i="1"/>
  <c r="BI53" i="1"/>
  <c r="BG54" i="1"/>
  <c r="BH54" i="1"/>
  <c r="BI54" i="1"/>
  <c r="BG55" i="1"/>
  <c r="BH55" i="1"/>
  <c r="BI55" i="1"/>
  <c r="BG56" i="1"/>
  <c r="BH56" i="1"/>
  <c r="BI56" i="1"/>
  <c r="BG57" i="1"/>
  <c r="BH57" i="1"/>
  <c r="BI57" i="1"/>
  <c r="BG58" i="1"/>
  <c r="BH58" i="1"/>
  <c r="BI58" i="1"/>
  <c r="BG59" i="1"/>
  <c r="BH59" i="1"/>
  <c r="BI59" i="1"/>
  <c r="BG60" i="1"/>
  <c r="BH60" i="1"/>
  <c r="BI60" i="1"/>
  <c r="BG61" i="1"/>
  <c r="BH61" i="1"/>
  <c r="BI61" i="1"/>
  <c r="BG62" i="1"/>
  <c r="BH62" i="1"/>
  <c r="BI62" i="1"/>
  <c r="BG63" i="1"/>
  <c r="BH63" i="1"/>
  <c r="BI63" i="1"/>
  <c r="BG64" i="1"/>
  <c r="BH64" i="1"/>
  <c r="BI64" i="1"/>
  <c r="BG65" i="1"/>
  <c r="BH65" i="1"/>
  <c r="BI65" i="1"/>
  <c r="BG66" i="1"/>
  <c r="BH66" i="1"/>
  <c r="BI66" i="1"/>
  <c r="BG67" i="1"/>
  <c r="BH67" i="1"/>
  <c r="BI67" i="1"/>
  <c r="BG68" i="1"/>
  <c r="BH68" i="1"/>
  <c r="BI68" i="1"/>
  <c r="BG69" i="1"/>
  <c r="BH69" i="1"/>
  <c r="BI69" i="1"/>
  <c r="BG70" i="1"/>
  <c r="BH70" i="1"/>
  <c r="BI70" i="1"/>
  <c r="BG71" i="1"/>
  <c r="BH71" i="1"/>
  <c r="BI71" i="1"/>
  <c r="BG72" i="1"/>
  <c r="BH72" i="1"/>
  <c r="BI72" i="1"/>
  <c r="BG73" i="1"/>
  <c r="BH73" i="1"/>
  <c r="BI73" i="1"/>
  <c r="BG74" i="1"/>
  <c r="BH74" i="1"/>
  <c r="BI74" i="1"/>
  <c r="BG75" i="1"/>
  <c r="BH75" i="1"/>
  <c r="BI75" i="1"/>
  <c r="BG76" i="1"/>
  <c r="BH76" i="1"/>
  <c r="BI76" i="1"/>
  <c r="BG77" i="1"/>
  <c r="BH77" i="1"/>
  <c r="BI77" i="1"/>
  <c r="BG78" i="1"/>
  <c r="BH78" i="1"/>
  <c r="BI78" i="1"/>
  <c r="BG79" i="1"/>
  <c r="BH79" i="1"/>
  <c r="BI79" i="1"/>
  <c r="BG80" i="1"/>
  <c r="BH80" i="1"/>
  <c r="BI80" i="1"/>
  <c r="BG81" i="1"/>
  <c r="BH81" i="1"/>
  <c r="BI81" i="1"/>
  <c r="BG82" i="1"/>
  <c r="BH82" i="1"/>
  <c r="BI82" i="1"/>
  <c r="BG83" i="1"/>
  <c r="BH83" i="1"/>
  <c r="BI83" i="1"/>
  <c r="BG84" i="1"/>
  <c r="BH84" i="1"/>
  <c r="BI84" i="1"/>
  <c r="BG85" i="1"/>
  <c r="BH85" i="1"/>
  <c r="BI85" i="1"/>
  <c r="BG86" i="1"/>
  <c r="BH86" i="1"/>
  <c r="BI86" i="1"/>
  <c r="BG87" i="1"/>
  <c r="BH87" i="1"/>
  <c r="BI87" i="1"/>
  <c r="BG88" i="1"/>
  <c r="BH88" i="1"/>
  <c r="BI88" i="1"/>
  <c r="BG89" i="1"/>
  <c r="BH89" i="1"/>
  <c r="BI89" i="1"/>
  <c r="BG90" i="1"/>
  <c r="BH90" i="1"/>
  <c r="BI90" i="1"/>
  <c r="BG91" i="1"/>
  <c r="BH91" i="1"/>
  <c r="BI91" i="1"/>
  <c r="BG92" i="1"/>
  <c r="BH92" i="1"/>
  <c r="BI92" i="1"/>
  <c r="BG93" i="1"/>
  <c r="BH93" i="1"/>
  <c r="BI93" i="1"/>
  <c r="BG94" i="1"/>
  <c r="BH94" i="1"/>
  <c r="BI94" i="1"/>
  <c r="BG95" i="1"/>
  <c r="BH95" i="1"/>
  <c r="BI95" i="1"/>
  <c r="BG96" i="1"/>
  <c r="BH96" i="1"/>
  <c r="BI96" i="1"/>
  <c r="BG97" i="1"/>
  <c r="BH97" i="1"/>
  <c r="BI97" i="1"/>
  <c r="BG98" i="1"/>
  <c r="BH98" i="1"/>
  <c r="BI98" i="1"/>
  <c r="BG99" i="1"/>
  <c r="BH99" i="1"/>
  <c r="BI99" i="1"/>
  <c r="BG100" i="1"/>
  <c r="BH100" i="1"/>
  <c r="BI100" i="1"/>
  <c r="BG101" i="1"/>
  <c r="BH101" i="1"/>
  <c r="BI101" i="1"/>
  <c r="BG102" i="1"/>
  <c r="BH102" i="1"/>
  <c r="BI102" i="1"/>
  <c r="BG103" i="1"/>
  <c r="BH103" i="1"/>
  <c r="BI103" i="1"/>
  <c r="BG104" i="1"/>
  <c r="BH104" i="1"/>
  <c r="BI104" i="1"/>
  <c r="BG105" i="1"/>
  <c r="BH105" i="1"/>
  <c r="BI105" i="1"/>
  <c r="BG106" i="1"/>
  <c r="BH106" i="1"/>
  <c r="BI106" i="1"/>
  <c r="BG107" i="1"/>
  <c r="BH107" i="1"/>
  <c r="BI107" i="1"/>
  <c r="BG108" i="1"/>
  <c r="BH108" i="1"/>
  <c r="BI108" i="1"/>
  <c r="BG109" i="1"/>
  <c r="BH109" i="1"/>
  <c r="BI109" i="1"/>
  <c r="BG110" i="1"/>
  <c r="BH110" i="1"/>
  <c r="BI110" i="1"/>
  <c r="BG111" i="1"/>
  <c r="BH111" i="1"/>
  <c r="BI111" i="1"/>
  <c r="BG112" i="1"/>
  <c r="BH112" i="1"/>
  <c r="BI112" i="1"/>
  <c r="BG113" i="1"/>
  <c r="BH113" i="1"/>
  <c r="BI113" i="1"/>
  <c r="BG114" i="1"/>
  <c r="BH114" i="1"/>
  <c r="BI114" i="1"/>
  <c r="BG115" i="1"/>
  <c r="BH115" i="1"/>
  <c r="BI115" i="1"/>
  <c r="BG116" i="1"/>
  <c r="BH116" i="1"/>
  <c r="BI116" i="1"/>
  <c r="BG117" i="1"/>
  <c r="BH117" i="1"/>
  <c r="BI117" i="1"/>
  <c r="BG118" i="1"/>
  <c r="BH118" i="1"/>
  <c r="BI118" i="1"/>
  <c r="BG119" i="1"/>
  <c r="BH119" i="1"/>
  <c r="BI119" i="1"/>
  <c r="BG120" i="1"/>
  <c r="BH120" i="1"/>
  <c r="BI120" i="1"/>
  <c r="BG121" i="1"/>
  <c r="BH121" i="1"/>
  <c r="BI121" i="1"/>
  <c r="BG122" i="1"/>
  <c r="BH122" i="1"/>
  <c r="BI122" i="1"/>
  <c r="BG123" i="1"/>
  <c r="BH123" i="1"/>
  <c r="BI123" i="1"/>
  <c r="BG124" i="1"/>
  <c r="BH124" i="1"/>
  <c r="BI124" i="1"/>
  <c r="BG125" i="1"/>
  <c r="BH125" i="1"/>
  <c r="BI125" i="1"/>
  <c r="BG126" i="1"/>
  <c r="BH126" i="1"/>
  <c r="BI126" i="1"/>
  <c r="BG127" i="1"/>
  <c r="BH127" i="1"/>
  <c r="BI127" i="1"/>
  <c r="BG128" i="1"/>
  <c r="BH128" i="1"/>
  <c r="BI128" i="1"/>
  <c r="BG129" i="1"/>
  <c r="BH129" i="1"/>
  <c r="BI129" i="1"/>
  <c r="BG130" i="1"/>
  <c r="BH130" i="1"/>
  <c r="BI130" i="1"/>
  <c r="BG131" i="1"/>
  <c r="BH131" i="1"/>
  <c r="BI131" i="1"/>
  <c r="BG132" i="1"/>
  <c r="BH132" i="1"/>
  <c r="BI132" i="1"/>
  <c r="BG133" i="1"/>
  <c r="BH133" i="1"/>
  <c r="BI133" i="1"/>
  <c r="BG134" i="1"/>
  <c r="BH134" i="1"/>
  <c r="BI134" i="1"/>
  <c r="BG135" i="1"/>
  <c r="BH135" i="1"/>
  <c r="BI135" i="1"/>
  <c r="BG136" i="1"/>
  <c r="BH136" i="1"/>
  <c r="BI136" i="1"/>
  <c r="BG137" i="1"/>
  <c r="BH137" i="1"/>
  <c r="BI137" i="1"/>
  <c r="BG138" i="1"/>
  <c r="BH138" i="1"/>
  <c r="BI138" i="1"/>
  <c r="BG139" i="1"/>
  <c r="BH139" i="1"/>
  <c r="BI139" i="1"/>
  <c r="BG140" i="1"/>
  <c r="BH140" i="1"/>
  <c r="BI140" i="1"/>
  <c r="BG141" i="1"/>
  <c r="BH141" i="1"/>
  <c r="BI141" i="1"/>
  <c r="BG142" i="1"/>
  <c r="BH142" i="1"/>
  <c r="BI142" i="1"/>
  <c r="BG143" i="1"/>
  <c r="BH143" i="1"/>
  <c r="BI143" i="1"/>
  <c r="BG144" i="1"/>
  <c r="BH144" i="1"/>
  <c r="BI144" i="1"/>
  <c r="BG145" i="1"/>
  <c r="BH145" i="1"/>
  <c r="BI145" i="1"/>
  <c r="BG146" i="1"/>
  <c r="BH146" i="1"/>
  <c r="BI146" i="1"/>
  <c r="BG147" i="1"/>
  <c r="BH147" i="1"/>
  <c r="BI147" i="1"/>
  <c r="BG148" i="1"/>
  <c r="BH148" i="1"/>
  <c r="BI148" i="1"/>
  <c r="BG149" i="1"/>
  <c r="BH149" i="1"/>
  <c r="BI149" i="1"/>
  <c r="BG150" i="1"/>
  <c r="BH150" i="1"/>
  <c r="BI150" i="1"/>
  <c r="BG151" i="1"/>
  <c r="BH151" i="1"/>
  <c r="BI151" i="1"/>
  <c r="BG152" i="1"/>
  <c r="BH152" i="1"/>
  <c r="BI152" i="1"/>
  <c r="BG153" i="1"/>
  <c r="BH153" i="1"/>
  <c r="BI153" i="1"/>
  <c r="BG154" i="1"/>
  <c r="BH154" i="1"/>
  <c r="BI154" i="1"/>
  <c r="BG155" i="1"/>
  <c r="BH155" i="1"/>
  <c r="BI155" i="1"/>
  <c r="BG156" i="1"/>
  <c r="BH156" i="1"/>
  <c r="BI156" i="1"/>
  <c r="BG157" i="1"/>
  <c r="BH157" i="1"/>
  <c r="BI157" i="1"/>
  <c r="BG158" i="1"/>
  <c r="BH158" i="1"/>
  <c r="BI158" i="1"/>
  <c r="BG159" i="1"/>
  <c r="BH159" i="1"/>
  <c r="BI159" i="1"/>
  <c r="BG160" i="1"/>
  <c r="BH160" i="1"/>
  <c r="BI160" i="1"/>
  <c r="BG161" i="1"/>
  <c r="BH161" i="1"/>
  <c r="BI161" i="1"/>
  <c r="BG162" i="1"/>
  <c r="BH162" i="1"/>
  <c r="BI162" i="1"/>
  <c r="BG163" i="1"/>
  <c r="BH163" i="1"/>
  <c r="BI163" i="1"/>
  <c r="BG164" i="1"/>
  <c r="BH164" i="1"/>
  <c r="BI164" i="1"/>
  <c r="BG165" i="1"/>
  <c r="BH165" i="1"/>
  <c r="BI165" i="1"/>
  <c r="BG166" i="1"/>
  <c r="BH166" i="1"/>
  <c r="BI166" i="1"/>
  <c r="BG167" i="1"/>
  <c r="BH167" i="1"/>
  <c r="BI167" i="1"/>
  <c r="BG168" i="1"/>
  <c r="BH168" i="1"/>
  <c r="BI168" i="1"/>
  <c r="BG169" i="1"/>
  <c r="BH169" i="1"/>
  <c r="BI169" i="1"/>
  <c r="BG170" i="1"/>
  <c r="BH170" i="1"/>
  <c r="BI170" i="1"/>
  <c r="BG171" i="1"/>
  <c r="BH171" i="1"/>
  <c r="BI171" i="1"/>
  <c r="BG172" i="1"/>
  <c r="BH172" i="1"/>
  <c r="BI172" i="1"/>
  <c r="BG173" i="1"/>
  <c r="BH173" i="1"/>
  <c r="BI173" i="1"/>
  <c r="BG174" i="1"/>
  <c r="BH174" i="1"/>
  <c r="BI174" i="1"/>
  <c r="BG175" i="1"/>
  <c r="BH175" i="1"/>
  <c r="BI175" i="1"/>
  <c r="BG176" i="1"/>
  <c r="BH176" i="1"/>
  <c r="BI176" i="1"/>
  <c r="BG177" i="1"/>
  <c r="BH177" i="1"/>
  <c r="BI177" i="1"/>
  <c r="BG178" i="1"/>
  <c r="BH178" i="1"/>
  <c r="BI178" i="1"/>
  <c r="BG179" i="1"/>
  <c r="BH179" i="1"/>
  <c r="BI179" i="1"/>
  <c r="BG180" i="1"/>
  <c r="BH180" i="1"/>
  <c r="BI180" i="1"/>
  <c r="BG181" i="1"/>
  <c r="BH181" i="1"/>
  <c r="BI181" i="1"/>
  <c r="BG182" i="1"/>
  <c r="BH182" i="1"/>
  <c r="BI182" i="1"/>
  <c r="BG183" i="1"/>
  <c r="BH183" i="1"/>
  <c r="BI183" i="1"/>
  <c r="BG184" i="1"/>
  <c r="BH184" i="1"/>
  <c r="BI184" i="1"/>
  <c r="BG185" i="1"/>
  <c r="BH185" i="1"/>
  <c r="BI185" i="1"/>
  <c r="BG186" i="1"/>
  <c r="BH186" i="1"/>
  <c r="BI186" i="1"/>
  <c r="BG187" i="1"/>
  <c r="BH187" i="1"/>
  <c r="BI187" i="1"/>
  <c r="BG188" i="1"/>
  <c r="BH188" i="1"/>
  <c r="BI188" i="1"/>
  <c r="BG189" i="1"/>
  <c r="BH189" i="1"/>
  <c r="BI189" i="1"/>
  <c r="BG190" i="1"/>
  <c r="BH190" i="1"/>
  <c r="BI190" i="1"/>
  <c r="BG191" i="1"/>
  <c r="BH191" i="1"/>
  <c r="BI191" i="1"/>
  <c r="BG192" i="1"/>
  <c r="BH192" i="1"/>
  <c r="BI192" i="1"/>
  <c r="BG193" i="1"/>
  <c r="BH193" i="1"/>
  <c r="BI193" i="1"/>
  <c r="BG194" i="1"/>
  <c r="BH194" i="1"/>
  <c r="BI194" i="1"/>
  <c r="BG195" i="1"/>
  <c r="BH195" i="1"/>
  <c r="BI195" i="1"/>
  <c r="BG196" i="1"/>
  <c r="BH196" i="1"/>
  <c r="BI196" i="1"/>
  <c r="BG197" i="1"/>
  <c r="BH197" i="1"/>
  <c r="BI197" i="1"/>
  <c r="BG198" i="1"/>
  <c r="BH198" i="1"/>
  <c r="BI198" i="1"/>
  <c r="BG199" i="1"/>
  <c r="BH199" i="1"/>
  <c r="BI199" i="1"/>
  <c r="BG200" i="1"/>
  <c r="BH200" i="1"/>
  <c r="BI200" i="1"/>
  <c r="BG201" i="1"/>
  <c r="BH201" i="1"/>
  <c r="BI201" i="1"/>
  <c r="BG202" i="1"/>
  <c r="BH202" i="1"/>
  <c r="BI202" i="1"/>
  <c r="DL4" i="1"/>
  <c r="DM4" i="1"/>
  <c r="DN4" i="1"/>
  <c r="DL5" i="1"/>
  <c r="DM5" i="1"/>
  <c r="DN5" i="1"/>
  <c r="DL6" i="1"/>
  <c r="DM6" i="1"/>
  <c r="DN6" i="1"/>
  <c r="DL7" i="1"/>
  <c r="DM7" i="1"/>
  <c r="DN7" i="1"/>
  <c r="DL8" i="1"/>
  <c r="DM8" i="1"/>
  <c r="DN8" i="1"/>
  <c r="DL9" i="1"/>
  <c r="DM9" i="1"/>
  <c r="DN9" i="1"/>
  <c r="DL10" i="1"/>
  <c r="DM10" i="1"/>
  <c r="DN10" i="1"/>
  <c r="DL11" i="1"/>
  <c r="DM11" i="1"/>
  <c r="DN11" i="1"/>
  <c r="DL12" i="1"/>
  <c r="DM12" i="1"/>
  <c r="DN12" i="1"/>
  <c r="DL13" i="1"/>
  <c r="DM13" i="1"/>
  <c r="DN13" i="1"/>
  <c r="DL14" i="1"/>
  <c r="DM14" i="1"/>
  <c r="DN14" i="1"/>
  <c r="DL15" i="1"/>
  <c r="DM15" i="1"/>
  <c r="DN15" i="1"/>
  <c r="DL16" i="1"/>
  <c r="DM16" i="1"/>
  <c r="DN16" i="1"/>
  <c r="DL17" i="1"/>
  <c r="DM17" i="1"/>
  <c r="DN17" i="1"/>
  <c r="DL18" i="1"/>
  <c r="DM18" i="1"/>
  <c r="DN18" i="1"/>
  <c r="DL19" i="1"/>
  <c r="DM19" i="1"/>
  <c r="DN19" i="1"/>
  <c r="DL20" i="1"/>
  <c r="DM20" i="1"/>
  <c r="DN20" i="1"/>
  <c r="DL21" i="1"/>
  <c r="DM21" i="1"/>
  <c r="DN21" i="1"/>
  <c r="DL22" i="1"/>
  <c r="DM22" i="1"/>
  <c r="DN22" i="1"/>
  <c r="DL23" i="1"/>
  <c r="DM23" i="1"/>
  <c r="DN23" i="1"/>
  <c r="DL24" i="1"/>
  <c r="DM24" i="1"/>
  <c r="DN24" i="1"/>
  <c r="DL25" i="1"/>
  <c r="DM25" i="1"/>
  <c r="DN25" i="1"/>
  <c r="DL26" i="1"/>
  <c r="DM26" i="1"/>
  <c r="DN26" i="1"/>
  <c r="DL27" i="1"/>
  <c r="DM27" i="1"/>
  <c r="DN27" i="1"/>
  <c r="DL28" i="1"/>
  <c r="DM28" i="1"/>
  <c r="DN28" i="1"/>
  <c r="DL29" i="1"/>
  <c r="DM29" i="1"/>
  <c r="DN29" i="1"/>
  <c r="DL30" i="1"/>
  <c r="DM30" i="1"/>
  <c r="DN30" i="1"/>
  <c r="DL31" i="1"/>
  <c r="DM31" i="1"/>
  <c r="DN31" i="1"/>
  <c r="DL32" i="1"/>
  <c r="DM32" i="1"/>
  <c r="DN32" i="1"/>
  <c r="DL33" i="1"/>
  <c r="DM33" i="1"/>
  <c r="DN33" i="1"/>
  <c r="DL34" i="1"/>
  <c r="DM34" i="1"/>
  <c r="DN34" i="1"/>
  <c r="DL35" i="1"/>
  <c r="DM35" i="1"/>
  <c r="DN35" i="1"/>
  <c r="DL36" i="1"/>
  <c r="DM36" i="1"/>
  <c r="DN36" i="1"/>
  <c r="DL37" i="1"/>
  <c r="DM37" i="1"/>
  <c r="DN37" i="1"/>
  <c r="DL38" i="1"/>
  <c r="DM38" i="1"/>
  <c r="DN38" i="1"/>
  <c r="DL39" i="1"/>
  <c r="DM39" i="1"/>
  <c r="DN39" i="1"/>
  <c r="DL40" i="1"/>
  <c r="DM40" i="1"/>
  <c r="DN40" i="1"/>
  <c r="DL41" i="1"/>
  <c r="DM41" i="1"/>
  <c r="DN41" i="1"/>
  <c r="DL42" i="1"/>
  <c r="DM42" i="1"/>
  <c r="DN42" i="1"/>
  <c r="DL43" i="1"/>
  <c r="DM43" i="1"/>
  <c r="DN43" i="1"/>
  <c r="DL44" i="1"/>
  <c r="DM44" i="1"/>
  <c r="DN44" i="1"/>
  <c r="DL45" i="1"/>
  <c r="DM45" i="1"/>
  <c r="DN45" i="1"/>
  <c r="DL46" i="1"/>
  <c r="DM46" i="1"/>
  <c r="DN46" i="1"/>
  <c r="DL47" i="1"/>
  <c r="DM47" i="1"/>
  <c r="DN47" i="1"/>
  <c r="DL48" i="1"/>
  <c r="DM48" i="1"/>
  <c r="DN48" i="1"/>
  <c r="DL49" i="1"/>
  <c r="DM49" i="1"/>
  <c r="DN49" i="1"/>
  <c r="DL50" i="1"/>
  <c r="DM50" i="1"/>
  <c r="DN50" i="1"/>
  <c r="DL51" i="1"/>
  <c r="DM51" i="1"/>
  <c r="DN51" i="1"/>
  <c r="DL52" i="1"/>
  <c r="DM52" i="1"/>
  <c r="DN52" i="1"/>
  <c r="DL53" i="1"/>
  <c r="DM53" i="1"/>
  <c r="DN53" i="1"/>
  <c r="DL54" i="1"/>
  <c r="DM54" i="1"/>
  <c r="DN54" i="1"/>
  <c r="DL55" i="1"/>
  <c r="DM55" i="1"/>
  <c r="DN55" i="1"/>
  <c r="DL56" i="1"/>
  <c r="DM56" i="1"/>
  <c r="DN56" i="1"/>
  <c r="DL57" i="1"/>
  <c r="DM57" i="1"/>
  <c r="DN57" i="1"/>
  <c r="DL58" i="1"/>
  <c r="DM58" i="1"/>
  <c r="DN58" i="1"/>
  <c r="DL59" i="1"/>
  <c r="DM59" i="1"/>
  <c r="DN59" i="1"/>
  <c r="DL60" i="1"/>
  <c r="DM60" i="1"/>
  <c r="DN60" i="1"/>
  <c r="DL61" i="1"/>
  <c r="DM61" i="1"/>
  <c r="DN61" i="1"/>
  <c r="DL62" i="1"/>
  <c r="DM62" i="1"/>
  <c r="DN62" i="1"/>
  <c r="DL63" i="1"/>
  <c r="DM63" i="1"/>
  <c r="DN63" i="1"/>
  <c r="DL64" i="1"/>
  <c r="DM64" i="1"/>
  <c r="DN64" i="1"/>
  <c r="DL65" i="1"/>
  <c r="DM65" i="1"/>
  <c r="DN65" i="1"/>
  <c r="DL66" i="1"/>
  <c r="DM66" i="1"/>
  <c r="DN66" i="1"/>
  <c r="DL67" i="1"/>
  <c r="DM67" i="1"/>
  <c r="DN67" i="1"/>
  <c r="DL68" i="1"/>
  <c r="DM68" i="1"/>
  <c r="DN68" i="1"/>
  <c r="DL69" i="1"/>
  <c r="DM69" i="1"/>
  <c r="DN69" i="1"/>
  <c r="DL70" i="1"/>
  <c r="DM70" i="1"/>
  <c r="DN70" i="1"/>
  <c r="DL71" i="1"/>
  <c r="DM71" i="1"/>
  <c r="DN71" i="1"/>
  <c r="DL72" i="1"/>
  <c r="DM72" i="1"/>
  <c r="DN72" i="1"/>
  <c r="DL73" i="1"/>
  <c r="DM73" i="1"/>
  <c r="DN73" i="1"/>
  <c r="DL74" i="1"/>
  <c r="DM74" i="1"/>
  <c r="DN74" i="1"/>
  <c r="DL75" i="1"/>
  <c r="DM75" i="1"/>
  <c r="DN75" i="1"/>
  <c r="DL76" i="1"/>
  <c r="DM76" i="1"/>
  <c r="DN76" i="1"/>
  <c r="DL77" i="1"/>
  <c r="DM77" i="1"/>
  <c r="DN77" i="1"/>
  <c r="DL78" i="1"/>
  <c r="DM78" i="1"/>
  <c r="DN78" i="1"/>
  <c r="DL79" i="1"/>
  <c r="DM79" i="1"/>
  <c r="DN79" i="1"/>
  <c r="DL80" i="1"/>
  <c r="DM80" i="1"/>
  <c r="DN80" i="1"/>
  <c r="DL81" i="1"/>
  <c r="DM81" i="1"/>
  <c r="DN81" i="1"/>
  <c r="DL82" i="1"/>
  <c r="DM82" i="1"/>
  <c r="DN82" i="1"/>
  <c r="DL83" i="1"/>
  <c r="DM83" i="1"/>
  <c r="DN83" i="1"/>
  <c r="DL84" i="1"/>
  <c r="DM84" i="1"/>
  <c r="DN84" i="1"/>
  <c r="DL85" i="1"/>
  <c r="DM85" i="1"/>
  <c r="DN85" i="1"/>
  <c r="DL86" i="1"/>
  <c r="DM86" i="1"/>
  <c r="DN86" i="1"/>
  <c r="DL87" i="1"/>
  <c r="DM87" i="1"/>
  <c r="DN87" i="1"/>
  <c r="DL88" i="1"/>
  <c r="DM88" i="1"/>
  <c r="DN88" i="1"/>
  <c r="DL89" i="1"/>
  <c r="DM89" i="1"/>
  <c r="DN89" i="1"/>
  <c r="DL90" i="1"/>
  <c r="DM90" i="1"/>
  <c r="DN90" i="1"/>
  <c r="DL91" i="1"/>
  <c r="DM91" i="1"/>
  <c r="DN91" i="1"/>
  <c r="DL92" i="1"/>
  <c r="DM92" i="1"/>
  <c r="DN92" i="1"/>
  <c r="DL93" i="1"/>
  <c r="DM93" i="1"/>
  <c r="DN93" i="1"/>
  <c r="DL94" i="1"/>
  <c r="DM94" i="1"/>
  <c r="DN94" i="1"/>
  <c r="DL95" i="1"/>
  <c r="DM95" i="1"/>
  <c r="DN95" i="1"/>
  <c r="DL96" i="1"/>
  <c r="DM96" i="1"/>
  <c r="DN96" i="1"/>
  <c r="DL97" i="1"/>
  <c r="DM97" i="1"/>
  <c r="DN97" i="1"/>
  <c r="DL98" i="1"/>
  <c r="DM98" i="1"/>
  <c r="DN98" i="1"/>
  <c r="DL99" i="1"/>
  <c r="DM99" i="1"/>
  <c r="DN99" i="1"/>
  <c r="DL100" i="1"/>
  <c r="DM100" i="1"/>
  <c r="DN100" i="1"/>
  <c r="DL101" i="1"/>
  <c r="DM101" i="1"/>
  <c r="DN101" i="1"/>
  <c r="DL102" i="1"/>
  <c r="DM102" i="1"/>
  <c r="DN102" i="1"/>
  <c r="DL103" i="1"/>
  <c r="DM103" i="1"/>
  <c r="DN103" i="1"/>
  <c r="DL104" i="1"/>
  <c r="DM104" i="1"/>
  <c r="DN104" i="1"/>
  <c r="DL105" i="1"/>
  <c r="DM105" i="1"/>
  <c r="DN105" i="1"/>
  <c r="DL106" i="1"/>
  <c r="DM106" i="1"/>
  <c r="DN106" i="1"/>
  <c r="DL107" i="1"/>
  <c r="DM107" i="1"/>
  <c r="DN107" i="1"/>
  <c r="DL108" i="1"/>
  <c r="DM108" i="1"/>
  <c r="DN108" i="1"/>
  <c r="DL109" i="1"/>
  <c r="DM109" i="1"/>
  <c r="DN109" i="1"/>
  <c r="DL110" i="1"/>
  <c r="DM110" i="1"/>
  <c r="DN110" i="1"/>
  <c r="DL111" i="1"/>
  <c r="DM111" i="1"/>
  <c r="DN111" i="1"/>
  <c r="DL112" i="1"/>
  <c r="DM112" i="1"/>
  <c r="DN112" i="1"/>
  <c r="DL113" i="1"/>
  <c r="DM113" i="1"/>
  <c r="DN113" i="1"/>
  <c r="DL114" i="1"/>
  <c r="DM114" i="1"/>
  <c r="DN114" i="1"/>
  <c r="DL115" i="1"/>
  <c r="DM115" i="1"/>
  <c r="DN115" i="1"/>
  <c r="DL116" i="1"/>
  <c r="DM116" i="1"/>
  <c r="DN116" i="1"/>
  <c r="DL117" i="1"/>
  <c r="DM117" i="1"/>
  <c r="DN117" i="1"/>
  <c r="DL118" i="1"/>
  <c r="DM118" i="1"/>
  <c r="DN118" i="1"/>
  <c r="DL119" i="1"/>
  <c r="DM119" i="1"/>
  <c r="DN119" i="1"/>
  <c r="DL120" i="1"/>
  <c r="DM120" i="1"/>
  <c r="DN120" i="1"/>
  <c r="DL121" i="1"/>
  <c r="DM121" i="1"/>
  <c r="DN121" i="1"/>
  <c r="DL122" i="1"/>
  <c r="DM122" i="1"/>
  <c r="DN122" i="1"/>
  <c r="DL123" i="1"/>
  <c r="DM123" i="1"/>
  <c r="DN123" i="1"/>
  <c r="DL124" i="1"/>
  <c r="DM124" i="1"/>
  <c r="DN124" i="1"/>
  <c r="DL125" i="1"/>
  <c r="DM125" i="1"/>
  <c r="DN125" i="1"/>
  <c r="DL126" i="1"/>
  <c r="DM126" i="1"/>
  <c r="DN126" i="1"/>
  <c r="DL127" i="1"/>
  <c r="DM127" i="1"/>
  <c r="DN127" i="1"/>
  <c r="DL128" i="1"/>
  <c r="DM128" i="1"/>
  <c r="DN128" i="1"/>
  <c r="DL129" i="1"/>
  <c r="DM129" i="1"/>
  <c r="DN129" i="1"/>
  <c r="DL130" i="1"/>
  <c r="DM130" i="1"/>
  <c r="DN130" i="1"/>
  <c r="DL131" i="1"/>
  <c r="DM131" i="1"/>
  <c r="DN131" i="1"/>
  <c r="DL132" i="1"/>
  <c r="DM132" i="1"/>
  <c r="DN132" i="1"/>
  <c r="DL133" i="1"/>
  <c r="DM133" i="1"/>
  <c r="DN133" i="1"/>
  <c r="DL134" i="1"/>
  <c r="DM134" i="1"/>
  <c r="DN134" i="1"/>
  <c r="DL135" i="1"/>
  <c r="DM135" i="1"/>
  <c r="DN135" i="1"/>
  <c r="DL136" i="1"/>
  <c r="DM136" i="1"/>
  <c r="DN136" i="1"/>
  <c r="DL137" i="1"/>
  <c r="DM137" i="1"/>
  <c r="DN137" i="1"/>
  <c r="DL138" i="1"/>
  <c r="DM138" i="1"/>
  <c r="DN138" i="1"/>
  <c r="DL139" i="1"/>
  <c r="DM139" i="1"/>
  <c r="DN139" i="1"/>
  <c r="DL140" i="1"/>
  <c r="DM140" i="1"/>
  <c r="DN140" i="1"/>
  <c r="DL141" i="1"/>
  <c r="DM141" i="1"/>
  <c r="DN141" i="1"/>
  <c r="DL142" i="1"/>
  <c r="DM142" i="1"/>
  <c r="DN142" i="1"/>
  <c r="DL143" i="1"/>
  <c r="DM143" i="1"/>
  <c r="DN143" i="1"/>
  <c r="DL144" i="1"/>
  <c r="DM144" i="1"/>
  <c r="DN144" i="1"/>
  <c r="DL145" i="1"/>
  <c r="DM145" i="1"/>
  <c r="DN145" i="1"/>
  <c r="DL146" i="1"/>
  <c r="DM146" i="1"/>
  <c r="DN146" i="1"/>
  <c r="DL147" i="1"/>
  <c r="DM147" i="1"/>
  <c r="DN147" i="1"/>
  <c r="DL148" i="1"/>
  <c r="DM148" i="1"/>
  <c r="DN148" i="1"/>
  <c r="DL149" i="1"/>
  <c r="DM149" i="1"/>
  <c r="DN149" i="1"/>
  <c r="DL150" i="1"/>
  <c r="DM150" i="1"/>
  <c r="DN150" i="1"/>
  <c r="DL151" i="1"/>
  <c r="DM151" i="1"/>
  <c r="DN151" i="1"/>
  <c r="DL152" i="1"/>
  <c r="DM152" i="1"/>
  <c r="DN152" i="1"/>
  <c r="DL153" i="1"/>
  <c r="DM153" i="1"/>
  <c r="DN153" i="1"/>
  <c r="DL154" i="1"/>
  <c r="DM154" i="1"/>
  <c r="DN154" i="1"/>
  <c r="DL155" i="1"/>
  <c r="DM155" i="1"/>
  <c r="DN155" i="1"/>
  <c r="DL156" i="1"/>
  <c r="DM156" i="1"/>
  <c r="DN156" i="1"/>
  <c r="DL157" i="1"/>
  <c r="DM157" i="1"/>
  <c r="DN157" i="1"/>
  <c r="DL158" i="1"/>
  <c r="DM158" i="1"/>
  <c r="DN158" i="1"/>
  <c r="DL159" i="1"/>
  <c r="DM159" i="1"/>
  <c r="DN159" i="1"/>
  <c r="DL160" i="1"/>
  <c r="DM160" i="1"/>
  <c r="DN160" i="1"/>
  <c r="DL161" i="1"/>
  <c r="DM161" i="1"/>
  <c r="DN161" i="1"/>
  <c r="DL162" i="1"/>
  <c r="DM162" i="1"/>
  <c r="DN162" i="1"/>
  <c r="DL163" i="1"/>
  <c r="DM163" i="1"/>
  <c r="DN163" i="1"/>
  <c r="DL164" i="1"/>
  <c r="DM164" i="1"/>
  <c r="DN164" i="1"/>
  <c r="DL165" i="1"/>
  <c r="DM165" i="1"/>
  <c r="DN165" i="1"/>
  <c r="DL166" i="1"/>
  <c r="DM166" i="1"/>
  <c r="DN166" i="1"/>
  <c r="DL167" i="1"/>
  <c r="DM167" i="1"/>
  <c r="DN167" i="1"/>
  <c r="DL168" i="1"/>
  <c r="DM168" i="1"/>
  <c r="DN168" i="1"/>
  <c r="DL169" i="1"/>
  <c r="DM169" i="1"/>
  <c r="DN169" i="1"/>
  <c r="DL170" i="1"/>
  <c r="DM170" i="1"/>
  <c r="DN170" i="1"/>
  <c r="DL171" i="1"/>
  <c r="DM171" i="1"/>
  <c r="DN171" i="1"/>
  <c r="DL172" i="1"/>
  <c r="DM172" i="1"/>
  <c r="DN172" i="1"/>
  <c r="DL173" i="1"/>
  <c r="DM173" i="1"/>
  <c r="DN173" i="1"/>
  <c r="DL174" i="1"/>
  <c r="DM174" i="1"/>
  <c r="DN174" i="1"/>
  <c r="DL175" i="1"/>
  <c r="DM175" i="1"/>
  <c r="DN175" i="1"/>
  <c r="DL176" i="1"/>
  <c r="DM176" i="1"/>
  <c r="DN176" i="1"/>
  <c r="DL177" i="1"/>
  <c r="DM177" i="1"/>
  <c r="DN177" i="1"/>
  <c r="DL178" i="1"/>
  <c r="DM178" i="1"/>
  <c r="DN178" i="1"/>
  <c r="DL179" i="1"/>
  <c r="DM179" i="1"/>
  <c r="DN179" i="1"/>
  <c r="DL180" i="1"/>
  <c r="DM180" i="1"/>
  <c r="DN180" i="1"/>
  <c r="DL181" i="1"/>
  <c r="DM181" i="1"/>
  <c r="DN181" i="1"/>
  <c r="DL182" i="1"/>
  <c r="DM182" i="1"/>
  <c r="DN182" i="1"/>
  <c r="DL183" i="1"/>
  <c r="DM183" i="1"/>
  <c r="DN183" i="1"/>
  <c r="DL184" i="1"/>
  <c r="DM184" i="1"/>
  <c r="DN184" i="1"/>
  <c r="DL185" i="1"/>
  <c r="DM185" i="1"/>
  <c r="DN185" i="1"/>
  <c r="DL186" i="1"/>
  <c r="DM186" i="1"/>
  <c r="DN186" i="1"/>
  <c r="DL187" i="1"/>
  <c r="DM187" i="1"/>
  <c r="DN187" i="1"/>
  <c r="DL188" i="1"/>
  <c r="DM188" i="1"/>
  <c r="DN188" i="1"/>
  <c r="DL189" i="1"/>
  <c r="DM189" i="1"/>
  <c r="DN189" i="1"/>
  <c r="DL190" i="1"/>
  <c r="DM190" i="1"/>
  <c r="DN190" i="1"/>
  <c r="DL191" i="1"/>
  <c r="DM191" i="1"/>
  <c r="DN191" i="1"/>
  <c r="DL192" i="1"/>
  <c r="DM192" i="1"/>
  <c r="DN192" i="1"/>
  <c r="DL193" i="1"/>
  <c r="DM193" i="1"/>
  <c r="DN193" i="1"/>
  <c r="DL194" i="1"/>
  <c r="DM194" i="1"/>
  <c r="DN194" i="1"/>
  <c r="DL195" i="1"/>
  <c r="DM195" i="1"/>
  <c r="DN195" i="1"/>
  <c r="DL196" i="1"/>
  <c r="DM196" i="1"/>
  <c r="DN196" i="1"/>
  <c r="DL197" i="1"/>
  <c r="DM197" i="1"/>
  <c r="DN197" i="1"/>
  <c r="DL198" i="1"/>
  <c r="DM198" i="1"/>
  <c r="DN198" i="1"/>
  <c r="DL199" i="1"/>
  <c r="DM199" i="1"/>
  <c r="DN199" i="1"/>
  <c r="DL200" i="1"/>
  <c r="DM200" i="1"/>
  <c r="DN200" i="1"/>
  <c r="DL201" i="1"/>
  <c r="DM201" i="1"/>
  <c r="DN201" i="1"/>
  <c r="DL202" i="1"/>
  <c r="DM202" i="1"/>
  <c r="DN202" i="1"/>
  <c r="DL3" i="1"/>
  <c r="DM3" i="1"/>
  <c r="DN3" i="1"/>
  <c r="DJ4" i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8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3" i="1"/>
  <c r="DJ124" i="1"/>
  <c r="DJ125" i="1"/>
  <c r="DJ126" i="1"/>
  <c r="DJ127" i="1"/>
  <c r="DJ128" i="1"/>
  <c r="DJ129" i="1"/>
  <c r="DJ130" i="1"/>
  <c r="DJ131" i="1"/>
  <c r="DJ132" i="1"/>
  <c r="DJ133" i="1"/>
  <c r="DJ134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H4" i="1"/>
  <c r="DH5" i="1"/>
  <c r="DH6" i="1"/>
  <c r="DH7" i="1"/>
  <c r="DH8" i="1"/>
  <c r="DH9" i="1"/>
  <c r="DH10" i="1"/>
  <c r="DH11" i="1"/>
  <c r="DH12" i="1"/>
  <c r="DH13" i="1"/>
  <c r="DH14" i="1"/>
  <c r="DH15" i="1"/>
  <c r="DH16" i="1"/>
  <c r="DH17" i="1"/>
  <c r="DH18" i="1"/>
  <c r="DH19" i="1"/>
  <c r="DH20" i="1"/>
  <c r="DH21" i="1"/>
  <c r="DH22" i="1"/>
  <c r="DH23" i="1"/>
  <c r="DH24" i="1"/>
  <c r="DH25" i="1"/>
  <c r="DH26" i="1"/>
  <c r="DH27" i="1"/>
  <c r="DH28" i="1"/>
  <c r="DH29" i="1"/>
  <c r="DH30" i="1"/>
  <c r="DH31" i="1"/>
  <c r="DH32" i="1"/>
  <c r="DH33" i="1"/>
  <c r="DH34" i="1"/>
  <c r="DH35" i="1"/>
  <c r="DH36" i="1"/>
  <c r="DH37" i="1"/>
  <c r="DH38" i="1"/>
  <c r="DH39" i="1"/>
  <c r="DH40" i="1"/>
  <c r="DH41" i="1"/>
  <c r="DH42" i="1"/>
  <c r="DH43" i="1"/>
  <c r="DH44" i="1"/>
  <c r="DH45" i="1"/>
  <c r="DH46" i="1"/>
  <c r="DH47" i="1"/>
  <c r="DH48" i="1"/>
  <c r="DH49" i="1"/>
  <c r="DH50" i="1"/>
  <c r="DH51" i="1"/>
  <c r="DH52" i="1"/>
  <c r="DH53" i="1"/>
  <c r="DH54" i="1"/>
  <c r="DH55" i="1"/>
  <c r="DH56" i="1"/>
  <c r="DH57" i="1"/>
  <c r="DH58" i="1"/>
  <c r="DH59" i="1"/>
  <c r="DH60" i="1"/>
  <c r="DH61" i="1"/>
  <c r="DH62" i="1"/>
  <c r="DH63" i="1"/>
  <c r="DH64" i="1"/>
  <c r="DH65" i="1"/>
  <c r="DH66" i="1"/>
  <c r="DH67" i="1"/>
  <c r="DH68" i="1"/>
  <c r="DH69" i="1"/>
  <c r="DH70" i="1"/>
  <c r="DH71" i="1"/>
  <c r="DH72" i="1"/>
  <c r="DH73" i="1"/>
  <c r="DH74" i="1"/>
  <c r="DH75" i="1"/>
  <c r="DH76" i="1"/>
  <c r="DH77" i="1"/>
  <c r="DH78" i="1"/>
  <c r="DH79" i="1"/>
  <c r="DH80" i="1"/>
  <c r="DH81" i="1"/>
  <c r="DH82" i="1"/>
  <c r="DH83" i="1"/>
  <c r="DH84" i="1"/>
  <c r="DH85" i="1"/>
  <c r="DH86" i="1"/>
  <c r="DH87" i="1"/>
  <c r="DH88" i="1"/>
  <c r="DH89" i="1"/>
  <c r="DH90" i="1"/>
  <c r="DH91" i="1"/>
  <c r="DH92" i="1"/>
  <c r="DH93" i="1"/>
  <c r="DH94" i="1"/>
  <c r="DH95" i="1"/>
  <c r="DH96" i="1"/>
  <c r="DH97" i="1"/>
  <c r="DH98" i="1"/>
  <c r="DH99" i="1"/>
  <c r="DH100" i="1"/>
  <c r="DH101" i="1"/>
  <c r="DH102" i="1"/>
  <c r="DH103" i="1"/>
  <c r="DH104" i="1"/>
  <c r="DH105" i="1"/>
  <c r="DH106" i="1"/>
  <c r="DH107" i="1"/>
  <c r="DH108" i="1"/>
  <c r="DH109" i="1"/>
  <c r="DH110" i="1"/>
  <c r="DH111" i="1"/>
  <c r="DH112" i="1"/>
  <c r="DH113" i="1"/>
  <c r="DH114" i="1"/>
  <c r="DH115" i="1"/>
  <c r="DH116" i="1"/>
  <c r="DH117" i="1"/>
  <c r="DH118" i="1"/>
  <c r="DH119" i="1"/>
  <c r="DH120" i="1"/>
  <c r="DH121" i="1"/>
  <c r="DH122" i="1"/>
  <c r="DH123" i="1"/>
  <c r="DH124" i="1"/>
  <c r="DH125" i="1"/>
  <c r="DH126" i="1"/>
  <c r="DH127" i="1"/>
  <c r="DH128" i="1"/>
  <c r="DH129" i="1"/>
  <c r="DH130" i="1"/>
  <c r="DH131" i="1"/>
  <c r="DH132" i="1"/>
  <c r="DH133" i="1"/>
  <c r="DH134" i="1"/>
  <c r="DH135" i="1"/>
  <c r="DH136" i="1"/>
  <c r="DH137" i="1"/>
  <c r="DH138" i="1"/>
  <c r="DH139" i="1"/>
  <c r="DH140" i="1"/>
  <c r="DH141" i="1"/>
  <c r="DH142" i="1"/>
  <c r="DH143" i="1"/>
  <c r="DH144" i="1"/>
  <c r="DH145" i="1"/>
  <c r="DH146" i="1"/>
  <c r="DH147" i="1"/>
  <c r="DH148" i="1"/>
  <c r="DH149" i="1"/>
  <c r="DH150" i="1"/>
  <c r="DH151" i="1"/>
  <c r="DH152" i="1"/>
  <c r="DH153" i="1"/>
  <c r="DH154" i="1"/>
  <c r="DH155" i="1"/>
  <c r="DH156" i="1"/>
  <c r="DH157" i="1"/>
  <c r="DH158" i="1"/>
  <c r="DH159" i="1"/>
  <c r="DH160" i="1"/>
  <c r="DH161" i="1"/>
  <c r="DH162" i="1"/>
  <c r="DH163" i="1"/>
  <c r="DH164" i="1"/>
  <c r="DH165" i="1"/>
  <c r="DH166" i="1"/>
  <c r="DH167" i="1"/>
  <c r="DH168" i="1"/>
  <c r="DH169" i="1"/>
  <c r="DH170" i="1"/>
  <c r="DH171" i="1"/>
  <c r="DH172" i="1"/>
  <c r="DH173" i="1"/>
  <c r="DH174" i="1"/>
  <c r="DH175" i="1"/>
  <c r="DH176" i="1"/>
  <c r="DH177" i="1"/>
  <c r="DH178" i="1"/>
  <c r="DH179" i="1"/>
  <c r="DH180" i="1"/>
  <c r="DH181" i="1"/>
  <c r="DH182" i="1"/>
  <c r="DH183" i="1"/>
  <c r="DH184" i="1"/>
  <c r="DH185" i="1"/>
  <c r="DH186" i="1"/>
  <c r="DH187" i="1"/>
  <c r="DH188" i="1"/>
  <c r="DH189" i="1"/>
  <c r="DH190" i="1"/>
  <c r="DH191" i="1"/>
  <c r="DH192" i="1"/>
  <c r="DH193" i="1"/>
  <c r="DH194" i="1"/>
  <c r="DH195" i="1"/>
  <c r="DH196" i="1"/>
  <c r="DH197" i="1"/>
  <c r="DH198" i="1"/>
  <c r="DH199" i="1"/>
  <c r="DH200" i="1"/>
  <c r="DH201" i="1"/>
  <c r="DH202" i="1"/>
  <c r="DH3" i="1"/>
  <c r="DJ3" i="1"/>
  <c r="DI4" i="1"/>
  <c r="DI5" i="1"/>
  <c r="DI6" i="1"/>
  <c r="DI7" i="1"/>
  <c r="DI8" i="1"/>
  <c r="DI9" i="1"/>
  <c r="DI10" i="1"/>
  <c r="DI11" i="1"/>
  <c r="DI12" i="1"/>
  <c r="DI13" i="1"/>
  <c r="DI14" i="1"/>
  <c r="DI15" i="1"/>
  <c r="DI16" i="1"/>
  <c r="DI17" i="1"/>
  <c r="DI18" i="1"/>
  <c r="DI19" i="1"/>
  <c r="DI20" i="1"/>
  <c r="DI21" i="1"/>
  <c r="DI22" i="1"/>
  <c r="DI23" i="1"/>
  <c r="DI24" i="1"/>
  <c r="DI25" i="1"/>
  <c r="DI26" i="1"/>
  <c r="DI27" i="1"/>
  <c r="DI28" i="1"/>
  <c r="DI29" i="1"/>
  <c r="DI30" i="1"/>
  <c r="DI31" i="1"/>
  <c r="DI32" i="1"/>
  <c r="DI33" i="1"/>
  <c r="DI34" i="1"/>
  <c r="DI35" i="1"/>
  <c r="DI36" i="1"/>
  <c r="DI37" i="1"/>
  <c r="DI38" i="1"/>
  <c r="DI39" i="1"/>
  <c r="DI40" i="1"/>
  <c r="DI41" i="1"/>
  <c r="DI42" i="1"/>
  <c r="DI43" i="1"/>
  <c r="DI44" i="1"/>
  <c r="DI45" i="1"/>
  <c r="DI46" i="1"/>
  <c r="DI47" i="1"/>
  <c r="DI48" i="1"/>
  <c r="DI49" i="1"/>
  <c r="DI50" i="1"/>
  <c r="DI51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92" i="1"/>
  <c r="DI93" i="1"/>
  <c r="DI94" i="1"/>
  <c r="DI95" i="1"/>
  <c r="DI96" i="1"/>
  <c r="DI97" i="1"/>
  <c r="DI98" i="1"/>
  <c r="DI99" i="1"/>
  <c r="DI100" i="1"/>
  <c r="DI101" i="1"/>
  <c r="DI102" i="1"/>
  <c r="DI103" i="1"/>
  <c r="DI104" i="1"/>
  <c r="DI105" i="1"/>
  <c r="DI106" i="1"/>
  <c r="DI107" i="1"/>
  <c r="DI108" i="1"/>
  <c r="DI109" i="1"/>
  <c r="DI110" i="1"/>
  <c r="DI111" i="1"/>
  <c r="DI112" i="1"/>
  <c r="DI113" i="1"/>
  <c r="DI114" i="1"/>
  <c r="DI115" i="1"/>
  <c r="DI116" i="1"/>
  <c r="DI117" i="1"/>
  <c r="DI118" i="1"/>
  <c r="DI119" i="1"/>
  <c r="DI120" i="1"/>
  <c r="DI121" i="1"/>
  <c r="DI122" i="1"/>
  <c r="DI123" i="1"/>
  <c r="DI124" i="1"/>
  <c r="DI125" i="1"/>
  <c r="DI126" i="1"/>
  <c r="DI127" i="1"/>
  <c r="DI128" i="1"/>
  <c r="DI129" i="1"/>
  <c r="DI130" i="1"/>
  <c r="DI131" i="1"/>
  <c r="DI132" i="1"/>
  <c r="DI133" i="1"/>
  <c r="DI134" i="1"/>
  <c r="DI135" i="1"/>
  <c r="DI136" i="1"/>
  <c r="DI137" i="1"/>
  <c r="DI138" i="1"/>
  <c r="DI139" i="1"/>
  <c r="DI140" i="1"/>
  <c r="DI141" i="1"/>
  <c r="DI142" i="1"/>
  <c r="DI143" i="1"/>
  <c r="DI144" i="1"/>
  <c r="DI145" i="1"/>
  <c r="DI146" i="1"/>
  <c r="DI147" i="1"/>
  <c r="DI148" i="1"/>
  <c r="DI149" i="1"/>
  <c r="DI150" i="1"/>
  <c r="DI151" i="1"/>
  <c r="DI152" i="1"/>
  <c r="DI153" i="1"/>
  <c r="DI154" i="1"/>
  <c r="DI155" i="1"/>
  <c r="DI156" i="1"/>
  <c r="DI157" i="1"/>
  <c r="DI158" i="1"/>
  <c r="DI159" i="1"/>
  <c r="DI160" i="1"/>
  <c r="DI161" i="1"/>
  <c r="DI162" i="1"/>
  <c r="DI163" i="1"/>
  <c r="DI164" i="1"/>
  <c r="DI165" i="1"/>
  <c r="DI166" i="1"/>
  <c r="DI167" i="1"/>
  <c r="DI168" i="1"/>
  <c r="DI169" i="1"/>
  <c r="DI170" i="1"/>
  <c r="DI171" i="1"/>
  <c r="DI172" i="1"/>
  <c r="DI173" i="1"/>
  <c r="DI174" i="1"/>
  <c r="DI175" i="1"/>
  <c r="DI176" i="1"/>
  <c r="DI177" i="1"/>
  <c r="DI178" i="1"/>
  <c r="DI179" i="1"/>
  <c r="DI180" i="1"/>
  <c r="DI181" i="1"/>
  <c r="DI182" i="1"/>
  <c r="DI183" i="1"/>
  <c r="DI184" i="1"/>
  <c r="DI185" i="1"/>
  <c r="DI186" i="1"/>
  <c r="DI187" i="1"/>
  <c r="DI188" i="1"/>
  <c r="DI189" i="1"/>
  <c r="DI190" i="1"/>
  <c r="DI191" i="1"/>
  <c r="DI192" i="1"/>
  <c r="DI193" i="1"/>
  <c r="DI194" i="1"/>
  <c r="DI195" i="1"/>
  <c r="DI196" i="1"/>
  <c r="DI197" i="1"/>
  <c r="DI198" i="1"/>
  <c r="DI199" i="1"/>
  <c r="DI200" i="1"/>
  <c r="DI201" i="1"/>
  <c r="DI202" i="1"/>
  <c r="DI3" i="1"/>
  <c r="DD3" i="1"/>
  <c r="DE3" i="1"/>
  <c r="DF3" i="1"/>
  <c r="CZ3" i="1"/>
  <c r="DA3" i="1"/>
  <c r="DB3" i="1"/>
  <c r="CV3" i="1"/>
  <c r="CW3" i="1"/>
  <c r="CX3" i="1"/>
  <c r="CS3" i="1"/>
  <c r="CT3" i="1"/>
  <c r="CN4" i="1"/>
  <c r="CO4" i="1"/>
  <c r="CP4" i="1"/>
  <c r="CN5" i="1"/>
  <c r="CO5" i="1"/>
  <c r="CP5" i="1"/>
  <c r="CN6" i="1"/>
  <c r="CO6" i="1"/>
  <c r="CP6" i="1"/>
  <c r="CN7" i="1"/>
  <c r="CO7" i="1"/>
  <c r="CP7" i="1"/>
  <c r="CN8" i="1"/>
  <c r="CO8" i="1"/>
  <c r="CP8" i="1"/>
  <c r="CN9" i="1"/>
  <c r="CO9" i="1"/>
  <c r="CP9" i="1"/>
  <c r="CN10" i="1"/>
  <c r="CO10" i="1"/>
  <c r="CP10" i="1"/>
  <c r="CN11" i="1"/>
  <c r="CO11" i="1"/>
  <c r="CP11" i="1"/>
  <c r="CN12" i="1"/>
  <c r="CO12" i="1"/>
  <c r="CP12" i="1"/>
  <c r="CN13" i="1"/>
  <c r="CO13" i="1"/>
  <c r="CP13" i="1"/>
  <c r="CN14" i="1"/>
  <c r="CO14" i="1"/>
  <c r="CP14" i="1"/>
  <c r="CN15" i="1"/>
  <c r="CO15" i="1"/>
  <c r="CP15" i="1"/>
  <c r="CN16" i="1"/>
  <c r="CO16" i="1"/>
  <c r="CP16" i="1"/>
  <c r="CN17" i="1"/>
  <c r="CO17" i="1"/>
  <c r="CP17" i="1"/>
  <c r="CN18" i="1"/>
  <c r="CO18" i="1"/>
  <c r="CP18" i="1"/>
  <c r="CN19" i="1"/>
  <c r="CO19" i="1"/>
  <c r="CP19" i="1"/>
  <c r="CN20" i="1"/>
  <c r="CO20" i="1"/>
  <c r="CP20" i="1"/>
  <c r="CN21" i="1"/>
  <c r="CO21" i="1"/>
  <c r="CP21" i="1"/>
  <c r="CN22" i="1"/>
  <c r="CO22" i="1"/>
  <c r="CP22" i="1"/>
  <c r="CN23" i="1"/>
  <c r="CO23" i="1"/>
  <c r="CP23" i="1"/>
  <c r="CN24" i="1"/>
  <c r="CO24" i="1"/>
  <c r="CP24" i="1"/>
  <c r="CN25" i="1"/>
  <c r="CO25" i="1"/>
  <c r="CP25" i="1"/>
  <c r="CN26" i="1"/>
  <c r="CO26" i="1"/>
  <c r="CP26" i="1"/>
  <c r="CN27" i="1"/>
  <c r="CO27" i="1"/>
  <c r="CP27" i="1"/>
  <c r="CN28" i="1"/>
  <c r="CO28" i="1"/>
  <c r="CP28" i="1"/>
  <c r="CN29" i="1"/>
  <c r="CO29" i="1"/>
  <c r="CP29" i="1"/>
  <c r="CN30" i="1"/>
  <c r="CO30" i="1"/>
  <c r="CP30" i="1"/>
  <c r="CN31" i="1"/>
  <c r="CO31" i="1"/>
  <c r="CP31" i="1"/>
  <c r="CN32" i="1"/>
  <c r="CO32" i="1"/>
  <c r="CP32" i="1"/>
  <c r="CN33" i="1"/>
  <c r="CO33" i="1"/>
  <c r="CP33" i="1"/>
  <c r="CN34" i="1"/>
  <c r="CO34" i="1"/>
  <c r="CP34" i="1"/>
  <c r="CN35" i="1"/>
  <c r="CO35" i="1"/>
  <c r="CP35" i="1"/>
  <c r="CN36" i="1"/>
  <c r="CO36" i="1"/>
  <c r="CP36" i="1"/>
  <c r="CN37" i="1"/>
  <c r="CO37" i="1"/>
  <c r="CP37" i="1"/>
  <c r="CN38" i="1"/>
  <c r="CO38" i="1"/>
  <c r="CP38" i="1"/>
  <c r="CN39" i="1"/>
  <c r="CO39" i="1"/>
  <c r="CP39" i="1"/>
  <c r="CN40" i="1"/>
  <c r="CO40" i="1"/>
  <c r="CP40" i="1"/>
  <c r="CN41" i="1"/>
  <c r="CO41" i="1"/>
  <c r="CP41" i="1"/>
  <c r="CN42" i="1"/>
  <c r="CO42" i="1"/>
  <c r="CP42" i="1"/>
  <c r="CN43" i="1"/>
  <c r="CO43" i="1"/>
  <c r="CP43" i="1"/>
  <c r="CN44" i="1"/>
  <c r="CO44" i="1"/>
  <c r="CP44" i="1"/>
  <c r="CN45" i="1"/>
  <c r="CO45" i="1"/>
  <c r="CP45" i="1"/>
  <c r="CN46" i="1"/>
  <c r="CO46" i="1"/>
  <c r="CP46" i="1"/>
  <c r="CN47" i="1"/>
  <c r="CO47" i="1"/>
  <c r="CP47" i="1"/>
  <c r="CN48" i="1"/>
  <c r="CO48" i="1"/>
  <c r="CP48" i="1"/>
  <c r="CN49" i="1"/>
  <c r="CO49" i="1"/>
  <c r="CP49" i="1"/>
  <c r="CN50" i="1"/>
  <c r="CO50" i="1"/>
  <c r="CP50" i="1"/>
  <c r="CN51" i="1"/>
  <c r="CO51" i="1"/>
  <c r="CP51" i="1"/>
  <c r="CN52" i="1"/>
  <c r="CO52" i="1"/>
  <c r="CP52" i="1"/>
  <c r="CN53" i="1"/>
  <c r="CO53" i="1"/>
  <c r="CP53" i="1"/>
  <c r="CN54" i="1"/>
  <c r="CO54" i="1"/>
  <c r="CP54" i="1"/>
  <c r="CN55" i="1"/>
  <c r="CO55" i="1"/>
  <c r="CP55" i="1"/>
  <c r="CN56" i="1"/>
  <c r="CO56" i="1"/>
  <c r="CP56" i="1"/>
  <c r="CN57" i="1"/>
  <c r="CO57" i="1"/>
  <c r="CP57" i="1"/>
  <c r="CN58" i="1"/>
  <c r="CO58" i="1"/>
  <c r="CP58" i="1"/>
  <c r="CN59" i="1"/>
  <c r="CO59" i="1"/>
  <c r="CP59" i="1"/>
  <c r="CN60" i="1"/>
  <c r="CO60" i="1"/>
  <c r="CP60" i="1"/>
  <c r="CN61" i="1"/>
  <c r="CO61" i="1"/>
  <c r="CP61" i="1"/>
  <c r="CN62" i="1"/>
  <c r="CO62" i="1"/>
  <c r="CP62" i="1"/>
  <c r="CN63" i="1"/>
  <c r="CO63" i="1"/>
  <c r="CP63" i="1"/>
  <c r="CN64" i="1"/>
  <c r="CO64" i="1"/>
  <c r="CP64" i="1"/>
  <c r="CN65" i="1"/>
  <c r="CO65" i="1"/>
  <c r="CP65" i="1"/>
  <c r="CN66" i="1"/>
  <c r="CO66" i="1"/>
  <c r="CP66" i="1"/>
  <c r="CN67" i="1"/>
  <c r="CO67" i="1"/>
  <c r="CP67" i="1"/>
  <c r="CN68" i="1"/>
  <c r="CO68" i="1"/>
  <c r="CP68" i="1"/>
  <c r="CN69" i="1"/>
  <c r="CO69" i="1"/>
  <c r="CP69" i="1"/>
  <c r="CN70" i="1"/>
  <c r="CO70" i="1"/>
  <c r="CP70" i="1"/>
  <c r="CN71" i="1"/>
  <c r="CO71" i="1"/>
  <c r="CP71" i="1"/>
  <c r="CN72" i="1"/>
  <c r="CO72" i="1"/>
  <c r="CP72" i="1"/>
  <c r="CN73" i="1"/>
  <c r="CO73" i="1"/>
  <c r="CP73" i="1"/>
  <c r="CN74" i="1"/>
  <c r="CO74" i="1"/>
  <c r="CP74" i="1"/>
  <c r="CN75" i="1"/>
  <c r="CO75" i="1"/>
  <c r="CP75" i="1"/>
  <c r="CN76" i="1"/>
  <c r="CO76" i="1"/>
  <c r="CP76" i="1"/>
  <c r="CN77" i="1"/>
  <c r="CO77" i="1"/>
  <c r="CP77" i="1"/>
  <c r="CN78" i="1"/>
  <c r="CO78" i="1"/>
  <c r="CP78" i="1"/>
  <c r="CN79" i="1"/>
  <c r="CO79" i="1"/>
  <c r="CP79" i="1"/>
  <c r="CN80" i="1"/>
  <c r="CO80" i="1"/>
  <c r="CP80" i="1"/>
  <c r="CN81" i="1"/>
  <c r="CO81" i="1"/>
  <c r="CP81" i="1"/>
  <c r="CN82" i="1"/>
  <c r="CO82" i="1"/>
  <c r="CP82" i="1"/>
  <c r="CN83" i="1"/>
  <c r="CO83" i="1"/>
  <c r="CP83" i="1"/>
  <c r="CN84" i="1"/>
  <c r="CO84" i="1"/>
  <c r="CP84" i="1"/>
  <c r="CN85" i="1"/>
  <c r="CO85" i="1"/>
  <c r="CP85" i="1"/>
  <c r="CN86" i="1"/>
  <c r="CO86" i="1"/>
  <c r="CP86" i="1"/>
  <c r="CN87" i="1"/>
  <c r="CO87" i="1"/>
  <c r="CP87" i="1"/>
  <c r="CN88" i="1"/>
  <c r="CO88" i="1"/>
  <c r="CP88" i="1"/>
  <c r="CN89" i="1"/>
  <c r="CO89" i="1"/>
  <c r="CP89" i="1"/>
  <c r="CN90" i="1"/>
  <c r="CO90" i="1"/>
  <c r="CP90" i="1"/>
  <c r="CN91" i="1"/>
  <c r="CO91" i="1"/>
  <c r="CP91" i="1"/>
  <c r="CN92" i="1"/>
  <c r="CO92" i="1"/>
  <c r="CP92" i="1"/>
  <c r="CN93" i="1"/>
  <c r="CO93" i="1"/>
  <c r="CP93" i="1"/>
  <c r="CN94" i="1"/>
  <c r="CO94" i="1"/>
  <c r="CP94" i="1"/>
  <c r="CN95" i="1"/>
  <c r="CO95" i="1"/>
  <c r="CP95" i="1"/>
  <c r="CN96" i="1"/>
  <c r="CO96" i="1"/>
  <c r="CP96" i="1"/>
  <c r="CN97" i="1"/>
  <c r="CO97" i="1"/>
  <c r="CP97" i="1"/>
  <c r="CN98" i="1"/>
  <c r="CO98" i="1"/>
  <c r="CP98" i="1"/>
  <c r="CN99" i="1"/>
  <c r="CO99" i="1"/>
  <c r="CP99" i="1"/>
  <c r="CN100" i="1"/>
  <c r="CO100" i="1"/>
  <c r="CP100" i="1"/>
  <c r="CN101" i="1"/>
  <c r="CO101" i="1"/>
  <c r="CP101" i="1"/>
  <c r="CN102" i="1"/>
  <c r="CO102" i="1"/>
  <c r="CP102" i="1"/>
  <c r="CN103" i="1"/>
  <c r="CO103" i="1"/>
  <c r="CP103" i="1"/>
  <c r="CN104" i="1"/>
  <c r="CO104" i="1"/>
  <c r="CP104" i="1"/>
  <c r="CN105" i="1"/>
  <c r="CO105" i="1"/>
  <c r="CP105" i="1"/>
  <c r="CN106" i="1"/>
  <c r="CO106" i="1"/>
  <c r="CP106" i="1"/>
  <c r="CN107" i="1"/>
  <c r="CO107" i="1"/>
  <c r="CP107" i="1"/>
  <c r="CN108" i="1"/>
  <c r="CO108" i="1"/>
  <c r="CP108" i="1"/>
  <c r="CN109" i="1"/>
  <c r="CO109" i="1"/>
  <c r="CP109" i="1"/>
  <c r="CN110" i="1"/>
  <c r="CO110" i="1"/>
  <c r="CP110" i="1"/>
  <c r="CN111" i="1"/>
  <c r="CO111" i="1"/>
  <c r="CP111" i="1"/>
  <c r="CN112" i="1"/>
  <c r="CO112" i="1"/>
  <c r="CP112" i="1"/>
  <c r="CN113" i="1"/>
  <c r="CO113" i="1"/>
  <c r="CP113" i="1"/>
  <c r="CN114" i="1"/>
  <c r="CO114" i="1"/>
  <c r="CP114" i="1"/>
  <c r="CN115" i="1"/>
  <c r="CO115" i="1"/>
  <c r="CP115" i="1"/>
  <c r="CN116" i="1"/>
  <c r="CO116" i="1"/>
  <c r="CP116" i="1"/>
  <c r="CN117" i="1"/>
  <c r="CO117" i="1"/>
  <c r="CP117" i="1"/>
  <c r="CN118" i="1"/>
  <c r="CO118" i="1"/>
  <c r="CP118" i="1"/>
  <c r="CN119" i="1"/>
  <c r="CO119" i="1"/>
  <c r="CP119" i="1"/>
  <c r="CN120" i="1"/>
  <c r="CO120" i="1"/>
  <c r="CP120" i="1"/>
  <c r="CN121" i="1"/>
  <c r="CO121" i="1"/>
  <c r="CP121" i="1"/>
  <c r="CN122" i="1"/>
  <c r="CO122" i="1"/>
  <c r="CP122" i="1"/>
  <c r="CN123" i="1"/>
  <c r="CO123" i="1"/>
  <c r="CP123" i="1"/>
  <c r="CN124" i="1"/>
  <c r="CO124" i="1"/>
  <c r="CP124" i="1"/>
  <c r="CN125" i="1"/>
  <c r="CO125" i="1"/>
  <c r="CP125" i="1"/>
  <c r="CN126" i="1"/>
  <c r="CO126" i="1"/>
  <c r="CP126" i="1"/>
  <c r="CN127" i="1"/>
  <c r="CO127" i="1"/>
  <c r="CP127" i="1"/>
  <c r="CN128" i="1"/>
  <c r="CO128" i="1"/>
  <c r="CP128" i="1"/>
  <c r="CN129" i="1"/>
  <c r="CO129" i="1"/>
  <c r="CP129" i="1"/>
  <c r="CN130" i="1"/>
  <c r="CO130" i="1"/>
  <c r="CP130" i="1"/>
  <c r="CN131" i="1"/>
  <c r="CO131" i="1"/>
  <c r="CP131" i="1"/>
  <c r="CN132" i="1"/>
  <c r="CO132" i="1"/>
  <c r="CP132" i="1"/>
  <c r="CN133" i="1"/>
  <c r="CO133" i="1"/>
  <c r="CP133" i="1"/>
  <c r="CN134" i="1"/>
  <c r="CO134" i="1"/>
  <c r="CP134" i="1"/>
  <c r="CN135" i="1"/>
  <c r="CO135" i="1"/>
  <c r="CP135" i="1"/>
  <c r="CN136" i="1"/>
  <c r="CO136" i="1"/>
  <c r="CP136" i="1"/>
  <c r="CN137" i="1"/>
  <c r="CO137" i="1"/>
  <c r="CP137" i="1"/>
  <c r="CN138" i="1"/>
  <c r="CO138" i="1"/>
  <c r="CP138" i="1"/>
  <c r="CN139" i="1"/>
  <c r="CO139" i="1"/>
  <c r="CP139" i="1"/>
  <c r="CN140" i="1"/>
  <c r="CO140" i="1"/>
  <c r="CP140" i="1"/>
  <c r="CN141" i="1"/>
  <c r="CO141" i="1"/>
  <c r="CP141" i="1"/>
  <c r="CN142" i="1"/>
  <c r="CO142" i="1"/>
  <c r="CP142" i="1"/>
  <c r="CN143" i="1"/>
  <c r="CO143" i="1"/>
  <c r="CP143" i="1"/>
  <c r="CN144" i="1"/>
  <c r="CO144" i="1"/>
  <c r="CP144" i="1"/>
  <c r="CN145" i="1"/>
  <c r="CO145" i="1"/>
  <c r="CP145" i="1"/>
  <c r="CN146" i="1"/>
  <c r="CO146" i="1"/>
  <c r="CP146" i="1"/>
  <c r="CN147" i="1"/>
  <c r="CO147" i="1"/>
  <c r="CP147" i="1"/>
  <c r="CN148" i="1"/>
  <c r="CO148" i="1"/>
  <c r="CP148" i="1"/>
  <c r="CN149" i="1"/>
  <c r="CO149" i="1"/>
  <c r="CP149" i="1"/>
  <c r="CN150" i="1"/>
  <c r="CO150" i="1"/>
  <c r="CP150" i="1"/>
  <c r="CN151" i="1"/>
  <c r="CO151" i="1"/>
  <c r="CP151" i="1"/>
  <c r="CN152" i="1"/>
  <c r="CO152" i="1"/>
  <c r="CP152" i="1"/>
  <c r="CN153" i="1"/>
  <c r="CO153" i="1"/>
  <c r="CP153" i="1"/>
  <c r="CN154" i="1"/>
  <c r="CO154" i="1"/>
  <c r="CP154" i="1"/>
  <c r="CN155" i="1"/>
  <c r="CO155" i="1"/>
  <c r="CP155" i="1"/>
  <c r="CN156" i="1"/>
  <c r="CO156" i="1"/>
  <c r="CP156" i="1"/>
  <c r="CN157" i="1"/>
  <c r="CO157" i="1"/>
  <c r="CP157" i="1"/>
  <c r="CN158" i="1"/>
  <c r="CO158" i="1"/>
  <c r="CP158" i="1"/>
  <c r="CN159" i="1"/>
  <c r="CO159" i="1"/>
  <c r="CP159" i="1"/>
  <c r="CN160" i="1"/>
  <c r="CO160" i="1"/>
  <c r="CP160" i="1"/>
  <c r="CN161" i="1"/>
  <c r="CO161" i="1"/>
  <c r="CP161" i="1"/>
  <c r="CN162" i="1"/>
  <c r="CO162" i="1"/>
  <c r="CP162" i="1"/>
  <c r="CN163" i="1"/>
  <c r="CO163" i="1"/>
  <c r="CP163" i="1"/>
  <c r="CN164" i="1"/>
  <c r="CO164" i="1"/>
  <c r="CP164" i="1"/>
  <c r="CN165" i="1"/>
  <c r="CO165" i="1"/>
  <c r="CP165" i="1"/>
  <c r="CN166" i="1"/>
  <c r="CO166" i="1"/>
  <c r="CP166" i="1"/>
  <c r="CN167" i="1"/>
  <c r="CO167" i="1"/>
  <c r="CP167" i="1"/>
  <c r="CN168" i="1"/>
  <c r="CO168" i="1"/>
  <c r="CP168" i="1"/>
  <c r="CN169" i="1"/>
  <c r="CO169" i="1"/>
  <c r="CP169" i="1"/>
  <c r="CN170" i="1"/>
  <c r="CO170" i="1"/>
  <c r="CP170" i="1"/>
  <c r="CN171" i="1"/>
  <c r="CO171" i="1"/>
  <c r="CP171" i="1"/>
  <c r="CN172" i="1"/>
  <c r="CO172" i="1"/>
  <c r="CP172" i="1"/>
  <c r="CN173" i="1"/>
  <c r="CO173" i="1"/>
  <c r="CP173" i="1"/>
  <c r="CN174" i="1"/>
  <c r="CO174" i="1"/>
  <c r="CP174" i="1"/>
  <c r="CN175" i="1"/>
  <c r="CO175" i="1"/>
  <c r="CP175" i="1"/>
  <c r="CN176" i="1"/>
  <c r="CO176" i="1"/>
  <c r="CP176" i="1"/>
  <c r="CN177" i="1"/>
  <c r="CO177" i="1"/>
  <c r="CP177" i="1"/>
  <c r="CN178" i="1"/>
  <c r="CO178" i="1"/>
  <c r="CP178" i="1"/>
  <c r="CN179" i="1"/>
  <c r="CO179" i="1"/>
  <c r="CP179" i="1"/>
  <c r="CN180" i="1"/>
  <c r="CO180" i="1"/>
  <c r="CP180" i="1"/>
  <c r="CN181" i="1"/>
  <c r="CO181" i="1"/>
  <c r="CP181" i="1"/>
  <c r="CN182" i="1"/>
  <c r="CO182" i="1"/>
  <c r="CP182" i="1"/>
  <c r="CN183" i="1"/>
  <c r="CO183" i="1"/>
  <c r="CP183" i="1"/>
  <c r="CN184" i="1"/>
  <c r="CO184" i="1"/>
  <c r="CP184" i="1"/>
  <c r="CN185" i="1"/>
  <c r="CO185" i="1"/>
  <c r="CP185" i="1"/>
  <c r="CN186" i="1"/>
  <c r="CO186" i="1"/>
  <c r="CP186" i="1"/>
  <c r="CN187" i="1"/>
  <c r="CO187" i="1"/>
  <c r="CP187" i="1"/>
  <c r="CN188" i="1"/>
  <c r="CO188" i="1"/>
  <c r="CP188" i="1"/>
  <c r="CN189" i="1"/>
  <c r="CO189" i="1"/>
  <c r="CP189" i="1"/>
  <c r="CN190" i="1"/>
  <c r="CO190" i="1"/>
  <c r="CP190" i="1"/>
  <c r="CN191" i="1"/>
  <c r="CO191" i="1"/>
  <c r="CP191" i="1"/>
  <c r="CN192" i="1"/>
  <c r="CO192" i="1"/>
  <c r="CP192" i="1"/>
  <c r="CN193" i="1"/>
  <c r="CO193" i="1"/>
  <c r="CP193" i="1"/>
  <c r="CN194" i="1"/>
  <c r="CO194" i="1"/>
  <c r="CP194" i="1"/>
  <c r="CN195" i="1"/>
  <c r="CO195" i="1"/>
  <c r="CP195" i="1"/>
  <c r="CN196" i="1"/>
  <c r="CO196" i="1"/>
  <c r="CP196" i="1"/>
  <c r="CN197" i="1"/>
  <c r="CO197" i="1"/>
  <c r="CP197" i="1"/>
  <c r="CN198" i="1"/>
  <c r="CO198" i="1"/>
  <c r="CP198" i="1"/>
  <c r="CN199" i="1"/>
  <c r="CO199" i="1"/>
  <c r="CP199" i="1"/>
  <c r="CN200" i="1"/>
  <c r="CO200" i="1"/>
  <c r="CP200" i="1"/>
  <c r="CN201" i="1"/>
  <c r="CO201" i="1"/>
  <c r="CP201" i="1"/>
  <c r="CN202" i="1"/>
  <c r="CO202" i="1"/>
  <c r="CP202" i="1"/>
  <c r="CN3" i="1"/>
  <c r="CO3" i="1"/>
  <c r="CP3" i="1"/>
  <c r="CH4" i="1"/>
  <c r="CI4" i="1"/>
  <c r="CJ4" i="1"/>
  <c r="CK4" i="1"/>
  <c r="CL4" i="1"/>
  <c r="CH5" i="1"/>
  <c r="CI5" i="1"/>
  <c r="CJ5" i="1"/>
  <c r="CK5" i="1"/>
  <c r="CL5" i="1"/>
  <c r="CH6" i="1"/>
  <c r="CI6" i="1"/>
  <c r="CJ6" i="1"/>
  <c r="CK6" i="1"/>
  <c r="CL6" i="1"/>
  <c r="CH7" i="1"/>
  <c r="CI7" i="1"/>
  <c r="CJ7" i="1"/>
  <c r="CK7" i="1"/>
  <c r="CL7" i="1"/>
  <c r="CH8" i="1"/>
  <c r="CI8" i="1"/>
  <c r="CJ8" i="1"/>
  <c r="CK8" i="1"/>
  <c r="CL8" i="1"/>
  <c r="CH9" i="1"/>
  <c r="CI9" i="1"/>
  <c r="CJ9" i="1"/>
  <c r="CK9" i="1"/>
  <c r="CL9" i="1"/>
  <c r="CH10" i="1"/>
  <c r="CI10" i="1"/>
  <c r="CJ10" i="1"/>
  <c r="CK10" i="1"/>
  <c r="CL10" i="1"/>
  <c r="CH11" i="1"/>
  <c r="CI11" i="1"/>
  <c r="CJ11" i="1"/>
  <c r="CK11" i="1"/>
  <c r="CL11" i="1"/>
  <c r="CH12" i="1"/>
  <c r="CI12" i="1"/>
  <c r="CJ12" i="1"/>
  <c r="CK12" i="1"/>
  <c r="CL12" i="1"/>
  <c r="CH13" i="1"/>
  <c r="CI13" i="1"/>
  <c r="CJ13" i="1"/>
  <c r="CK13" i="1"/>
  <c r="CL13" i="1"/>
  <c r="CH14" i="1"/>
  <c r="CI14" i="1"/>
  <c r="CJ14" i="1"/>
  <c r="CK14" i="1"/>
  <c r="CL14" i="1"/>
  <c r="CH15" i="1"/>
  <c r="CI15" i="1"/>
  <c r="CJ15" i="1"/>
  <c r="CK15" i="1"/>
  <c r="CL15" i="1"/>
  <c r="CH16" i="1"/>
  <c r="CI16" i="1"/>
  <c r="CJ16" i="1"/>
  <c r="CK16" i="1"/>
  <c r="CL16" i="1"/>
  <c r="CH17" i="1"/>
  <c r="CI17" i="1"/>
  <c r="CJ17" i="1"/>
  <c r="CK17" i="1"/>
  <c r="CL17" i="1"/>
  <c r="CH18" i="1"/>
  <c r="CI18" i="1"/>
  <c r="CJ18" i="1"/>
  <c r="CK18" i="1"/>
  <c r="CL18" i="1"/>
  <c r="CH19" i="1"/>
  <c r="CI19" i="1"/>
  <c r="CJ19" i="1"/>
  <c r="CK19" i="1"/>
  <c r="CL19" i="1"/>
  <c r="CH20" i="1"/>
  <c r="CI20" i="1"/>
  <c r="CJ20" i="1"/>
  <c r="CK20" i="1"/>
  <c r="CL20" i="1"/>
  <c r="CH21" i="1"/>
  <c r="CI21" i="1"/>
  <c r="CJ21" i="1"/>
  <c r="CK21" i="1"/>
  <c r="CL21" i="1"/>
  <c r="CH22" i="1"/>
  <c r="CI22" i="1"/>
  <c r="CJ22" i="1"/>
  <c r="CK22" i="1"/>
  <c r="CL22" i="1"/>
  <c r="CH23" i="1"/>
  <c r="CI23" i="1"/>
  <c r="CJ23" i="1"/>
  <c r="CK23" i="1"/>
  <c r="CL23" i="1"/>
  <c r="CH24" i="1"/>
  <c r="CI24" i="1"/>
  <c r="CJ24" i="1"/>
  <c r="CK24" i="1"/>
  <c r="CL24" i="1"/>
  <c r="CH25" i="1"/>
  <c r="CI25" i="1"/>
  <c r="CJ25" i="1"/>
  <c r="CK25" i="1"/>
  <c r="CL25" i="1"/>
  <c r="CH26" i="1"/>
  <c r="CI26" i="1"/>
  <c r="CJ26" i="1"/>
  <c r="CK26" i="1"/>
  <c r="CL26" i="1"/>
  <c r="CH27" i="1"/>
  <c r="CI27" i="1"/>
  <c r="CJ27" i="1"/>
  <c r="CK27" i="1"/>
  <c r="CL27" i="1"/>
  <c r="CH28" i="1"/>
  <c r="CI28" i="1"/>
  <c r="CJ28" i="1"/>
  <c r="CK28" i="1"/>
  <c r="CL28" i="1"/>
  <c r="CH29" i="1"/>
  <c r="CI29" i="1"/>
  <c r="CJ29" i="1"/>
  <c r="CK29" i="1"/>
  <c r="CL29" i="1"/>
  <c r="CH30" i="1"/>
  <c r="CI30" i="1"/>
  <c r="CJ30" i="1"/>
  <c r="CK30" i="1"/>
  <c r="CL30" i="1"/>
  <c r="CH31" i="1"/>
  <c r="CI31" i="1"/>
  <c r="CJ31" i="1"/>
  <c r="CK31" i="1"/>
  <c r="CL31" i="1"/>
  <c r="CH32" i="1"/>
  <c r="CI32" i="1"/>
  <c r="CJ32" i="1"/>
  <c r="CK32" i="1"/>
  <c r="CL32" i="1"/>
  <c r="CH33" i="1"/>
  <c r="CI33" i="1"/>
  <c r="CJ33" i="1"/>
  <c r="CK33" i="1"/>
  <c r="CL33" i="1"/>
  <c r="CH34" i="1"/>
  <c r="CI34" i="1"/>
  <c r="CJ34" i="1"/>
  <c r="CK34" i="1"/>
  <c r="CL34" i="1"/>
  <c r="CH35" i="1"/>
  <c r="CI35" i="1"/>
  <c r="CJ35" i="1"/>
  <c r="CK35" i="1"/>
  <c r="CL35" i="1"/>
  <c r="CH36" i="1"/>
  <c r="CI36" i="1"/>
  <c r="CJ36" i="1"/>
  <c r="CK36" i="1"/>
  <c r="CL36" i="1"/>
  <c r="CH37" i="1"/>
  <c r="CI37" i="1"/>
  <c r="CJ37" i="1"/>
  <c r="CK37" i="1"/>
  <c r="CL37" i="1"/>
  <c r="CH38" i="1"/>
  <c r="CI38" i="1"/>
  <c r="CJ38" i="1"/>
  <c r="CK38" i="1"/>
  <c r="CL38" i="1"/>
  <c r="CH39" i="1"/>
  <c r="CI39" i="1"/>
  <c r="CJ39" i="1"/>
  <c r="CK39" i="1"/>
  <c r="CL39" i="1"/>
  <c r="CH40" i="1"/>
  <c r="CI40" i="1"/>
  <c r="CJ40" i="1"/>
  <c r="CK40" i="1"/>
  <c r="CL40" i="1"/>
  <c r="CH41" i="1"/>
  <c r="CI41" i="1"/>
  <c r="CJ41" i="1"/>
  <c r="CK41" i="1"/>
  <c r="CL41" i="1"/>
  <c r="CH42" i="1"/>
  <c r="CI42" i="1"/>
  <c r="CJ42" i="1"/>
  <c r="CK42" i="1"/>
  <c r="CL42" i="1"/>
  <c r="CH43" i="1"/>
  <c r="CI43" i="1"/>
  <c r="CJ43" i="1"/>
  <c r="CK43" i="1"/>
  <c r="CL43" i="1"/>
  <c r="CH44" i="1"/>
  <c r="CI44" i="1"/>
  <c r="CJ44" i="1"/>
  <c r="CK44" i="1"/>
  <c r="CL44" i="1"/>
  <c r="CH45" i="1"/>
  <c r="CI45" i="1"/>
  <c r="CJ45" i="1"/>
  <c r="CK45" i="1"/>
  <c r="CL45" i="1"/>
  <c r="CH46" i="1"/>
  <c r="CI46" i="1"/>
  <c r="CJ46" i="1"/>
  <c r="CK46" i="1"/>
  <c r="CL46" i="1"/>
  <c r="CH47" i="1"/>
  <c r="CI47" i="1"/>
  <c r="CJ47" i="1"/>
  <c r="CK47" i="1"/>
  <c r="CL47" i="1"/>
  <c r="CH48" i="1"/>
  <c r="CI48" i="1"/>
  <c r="CJ48" i="1"/>
  <c r="CK48" i="1"/>
  <c r="CL48" i="1"/>
  <c r="CH49" i="1"/>
  <c r="CI49" i="1"/>
  <c r="CJ49" i="1"/>
  <c r="CK49" i="1"/>
  <c r="CL49" i="1"/>
  <c r="CH50" i="1"/>
  <c r="CI50" i="1"/>
  <c r="CJ50" i="1"/>
  <c r="CK50" i="1"/>
  <c r="CL50" i="1"/>
  <c r="CH51" i="1"/>
  <c r="CI51" i="1"/>
  <c r="CJ51" i="1"/>
  <c r="CK51" i="1"/>
  <c r="CL51" i="1"/>
  <c r="CH52" i="1"/>
  <c r="CI52" i="1"/>
  <c r="CJ52" i="1"/>
  <c r="CK52" i="1"/>
  <c r="CL52" i="1"/>
  <c r="CH53" i="1"/>
  <c r="CI53" i="1"/>
  <c r="CJ53" i="1"/>
  <c r="CK53" i="1"/>
  <c r="CL53" i="1"/>
  <c r="CH54" i="1"/>
  <c r="CI54" i="1"/>
  <c r="CJ54" i="1"/>
  <c r="CK54" i="1"/>
  <c r="CL54" i="1"/>
  <c r="CH55" i="1"/>
  <c r="CI55" i="1"/>
  <c r="CJ55" i="1"/>
  <c r="CK55" i="1"/>
  <c r="CL55" i="1"/>
  <c r="CH56" i="1"/>
  <c r="CI56" i="1"/>
  <c r="CJ56" i="1"/>
  <c r="CK56" i="1"/>
  <c r="CL56" i="1"/>
  <c r="CH57" i="1"/>
  <c r="CI57" i="1"/>
  <c r="CJ57" i="1"/>
  <c r="CK57" i="1"/>
  <c r="CL57" i="1"/>
  <c r="CH58" i="1"/>
  <c r="CI58" i="1"/>
  <c r="CJ58" i="1"/>
  <c r="CK58" i="1"/>
  <c r="CL58" i="1"/>
  <c r="CH59" i="1"/>
  <c r="CI59" i="1"/>
  <c r="CJ59" i="1"/>
  <c r="CK59" i="1"/>
  <c r="CL59" i="1"/>
  <c r="CH60" i="1"/>
  <c r="CI60" i="1"/>
  <c r="CJ60" i="1"/>
  <c r="CK60" i="1"/>
  <c r="CL60" i="1"/>
  <c r="CH61" i="1"/>
  <c r="CI61" i="1"/>
  <c r="CJ61" i="1"/>
  <c r="CK61" i="1"/>
  <c r="CL61" i="1"/>
  <c r="CH62" i="1"/>
  <c r="CI62" i="1"/>
  <c r="CJ62" i="1"/>
  <c r="CK62" i="1"/>
  <c r="CL62" i="1"/>
  <c r="CH63" i="1"/>
  <c r="CI63" i="1"/>
  <c r="CJ63" i="1"/>
  <c r="CK63" i="1"/>
  <c r="CL63" i="1"/>
  <c r="CH64" i="1"/>
  <c r="CI64" i="1"/>
  <c r="CJ64" i="1"/>
  <c r="CK64" i="1"/>
  <c r="CL64" i="1"/>
  <c r="CH65" i="1"/>
  <c r="CI65" i="1"/>
  <c r="CJ65" i="1"/>
  <c r="CK65" i="1"/>
  <c r="CL65" i="1"/>
  <c r="CH66" i="1"/>
  <c r="CI66" i="1"/>
  <c r="CJ66" i="1"/>
  <c r="CK66" i="1"/>
  <c r="CL66" i="1"/>
  <c r="CH67" i="1"/>
  <c r="CI67" i="1"/>
  <c r="CJ67" i="1"/>
  <c r="CK67" i="1"/>
  <c r="CL67" i="1"/>
  <c r="CH68" i="1"/>
  <c r="CI68" i="1"/>
  <c r="CJ68" i="1"/>
  <c r="CK68" i="1"/>
  <c r="CL68" i="1"/>
  <c r="CH69" i="1"/>
  <c r="CI69" i="1"/>
  <c r="CJ69" i="1"/>
  <c r="CK69" i="1"/>
  <c r="CL69" i="1"/>
  <c r="CH70" i="1"/>
  <c r="CI70" i="1"/>
  <c r="CJ70" i="1"/>
  <c r="CK70" i="1"/>
  <c r="CL70" i="1"/>
  <c r="CH71" i="1"/>
  <c r="CI71" i="1"/>
  <c r="CJ71" i="1"/>
  <c r="CK71" i="1"/>
  <c r="CL71" i="1"/>
  <c r="CH72" i="1"/>
  <c r="CI72" i="1"/>
  <c r="CJ72" i="1"/>
  <c r="CK72" i="1"/>
  <c r="CL72" i="1"/>
  <c r="CH73" i="1"/>
  <c r="CI73" i="1"/>
  <c r="CJ73" i="1"/>
  <c r="CK73" i="1"/>
  <c r="CL73" i="1"/>
  <c r="CH74" i="1"/>
  <c r="CI74" i="1"/>
  <c r="CJ74" i="1"/>
  <c r="CK74" i="1"/>
  <c r="CL74" i="1"/>
  <c r="CH75" i="1"/>
  <c r="CI75" i="1"/>
  <c r="CJ75" i="1"/>
  <c r="CK75" i="1"/>
  <c r="CL75" i="1"/>
  <c r="CH76" i="1"/>
  <c r="CI76" i="1"/>
  <c r="CJ76" i="1"/>
  <c r="CK76" i="1"/>
  <c r="CL76" i="1"/>
  <c r="CH77" i="1"/>
  <c r="CI77" i="1"/>
  <c r="CJ77" i="1"/>
  <c r="CK77" i="1"/>
  <c r="CL77" i="1"/>
  <c r="CH78" i="1"/>
  <c r="CI78" i="1"/>
  <c r="CJ78" i="1"/>
  <c r="CK78" i="1"/>
  <c r="CL78" i="1"/>
  <c r="CH79" i="1"/>
  <c r="CI79" i="1"/>
  <c r="CJ79" i="1"/>
  <c r="CK79" i="1"/>
  <c r="CL79" i="1"/>
  <c r="CH80" i="1"/>
  <c r="CI80" i="1"/>
  <c r="CJ80" i="1"/>
  <c r="CK80" i="1"/>
  <c r="CL80" i="1"/>
  <c r="CH81" i="1"/>
  <c r="CI81" i="1"/>
  <c r="CJ81" i="1"/>
  <c r="CK81" i="1"/>
  <c r="CL81" i="1"/>
  <c r="CH82" i="1"/>
  <c r="CI82" i="1"/>
  <c r="CJ82" i="1"/>
  <c r="CK82" i="1"/>
  <c r="CL82" i="1"/>
  <c r="CH83" i="1"/>
  <c r="CI83" i="1"/>
  <c r="CJ83" i="1"/>
  <c r="CK83" i="1"/>
  <c r="CL83" i="1"/>
  <c r="CH84" i="1"/>
  <c r="CI84" i="1"/>
  <c r="CJ84" i="1"/>
  <c r="CK84" i="1"/>
  <c r="CL84" i="1"/>
  <c r="CH85" i="1"/>
  <c r="CI85" i="1"/>
  <c r="CJ85" i="1"/>
  <c r="CK85" i="1"/>
  <c r="CL85" i="1"/>
  <c r="CH86" i="1"/>
  <c r="CI86" i="1"/>
  <c r="CJ86" i="1"/>
  <c r="CK86" i="1"/>
  <c r="CL86" i="1"/>
  <c r="CH87" i="1"/>
  <c r="CI87" i="1"/>
  <c r="CJ87" i="1"/>
  <c r="CK87" i="1"/>
  <c r="CL87" i="1"/>
  <c r="CH88" i="1"/>
  <c r="CI88" i="1"/>
  <c r="CJ88" i="1"/>
  <c r="CK88" i="1"/>
  <c r="CL88" i="1"/>
  <c r="CH89" i="1"/>
  <c r="CI89" i="1"/>
  <c r="CJ89" i="1"/>
  <c r="CK89" i="1"/>
  <c r="CL89" i="1"/>
  <c r="CH90" i="1"/>
  <c r="CI90" i="1"/>
  <c r="CJ90" i="1"/>
  <c r="CK90" i="1"/>
  <c r="CL90" i="1"/>
  <c r="CH91" i="1"/>
  <c r="CI91" i="1"/>
  <c r="CJ91" i="1"/>
  <c r="CK91" i="1"/>
  <c r="CL91" i="1"/>
  <c r="CH92" i="1"/>
  <c r="CI92" i="1"/>
  <c r="CJ92" i="1"/>
  <c r="CK92" i="1"/>
  <c r="CL92" i="1"/>
  <c r="CH93" i="1"/>
  <c r="CI93" i="1"/>
  <c r="CJ93" i="1"/>
  <c r="CK93" i="1"/>
  <c r="CL93" i="1"/>
  <c r="CH94" i="1"/>
  <c r="CI94" i="1"/>
  <c r="CJ94" i="1"/>
  <c r="CK94" i="1"/>
  <c r="CL94" i="1"/>
  <c r="CH95" i="1"/>
  <c r="CI95" i="1"/>
  <c r="CJ95" i="1"/>
  <c r="CK95" i="1"/>
  <c r="CL95" i="1"/>
  <c r="CH96" i="1"/>
  <c r="CI96" i="1"/>
  <c r="CJ96" i="1"/>
  <c r="CK96" i="1"/>
  <c r="CL96" i="1"/>
  <c r="CH97" i="1"/>
  <c r="CI97" i="1"/>
  <c r="CJ97" i="1"/>
  <c r="CK97" i="1"/>
  <c r="CL97" i="1"/>
  <c r="CH98" i="1"/>
  <c r="CI98" i="1"/>
  <c r="CJ98" i="1"/>
  <c r="CK98" i="1"/>
  <c r="CL98" i="1"/>
  <c r="CH99" i="1"/>
  <c r="CI99" i="1"/>
  <c r="CJ99" i="1"/>
  <c r="CK99" i="1"/>
  <c r="CL99" i="1"/>
  <c r="CH100" i="1"/>
  <c r="CI100" i="1"/>
  <c r="CJ100" i="1"/>
  <c r="CK100" i="1"/>
  <c r="CL100" i="1"/>
  <c r="CH101" i="1"/>
  <c r="CI101" i="1"/>
  <c r="CJ101" i="1"/>
  <c r="CK101" i="1"/>
  <c r="CL101" i="1"/>
  <c r="CH102" i="1"/>
  <c r="CI102" i="1"/>
  <c r="CJ102" i="1"/>
  <c r="CK102" i="1"/>
  <c r="CL102" i="1"/>
  <c r="CH103" i="1"/>
  <c r="CI103" i="1"/>
  <c r="CJ103" i="1"/>
  <c r="CK103" i="1"/>
  <c r="CL103" i="1"/>
  <c r="CH104" i="1"/>
  <c r="CI104" i="1"/>
  <c r="CJ104" i="1"/>
  <c r="CK104" i="1"/>
  <c r="CL104" i="1"/>
  <c r="CH105" i="1"/>
  <c r="CI105" i="1"/>
  <c r="CJ105" i="1"/>
  <c r="CK105" i="1"/>
  <c r="CL105" i="1"/>
  <c r="CH106" i="1"/>
  <c r="CI106" i="1"/>
  <c r="CJ106" i="1"/>
  <c r="CK106" i="1"/>
  <c r="CL106" i="1"/>
  <c r="CH107" i="1"/>
  <c r="CI107" i="1"/>
  <c r="CJ107" i="1"/>
  <c r="CK107" i="1"/>
  <c r="CL107" i="1"/>
  <c r="CH108" i="1"/>
  <c r="CI108" i="1"/>
  <c r="CJ108" i="1"/>
  <c r="CK108" i="1"/>
  <c r="CL108" i="1"/>
  <c r="CH109" i="1"/>
  <c r="CI109" i="1"/>
  <c r="CJ109" i="1"/>
  <c r="CK109" i="1"/>
  <c r="CL109" i="1"/>
  <c r="CH110" i="1"/>
  <c r="CI110" i="1"/>
  <c r="CJ110" i="1"/>
  <c r="CK110" i="1"/>
  <c r="CL110" i="1"/>
  <c r="CH111" i="1"/>
  <c r="CI111" i="1"/>
  <c r="CJ111" i="1"/>
  <c r="CK111" i="1"/>
  <c r="CL111" i="1"/>
  <c r="CH112" i="1"/>
  <c r="CI112" i="1"/>
  <c r="CJ112" i="1"/>
  <c r="CK112" i="1"/>
  <c r="CL112" i="1"/>
  <c r="CH113" i="1"/>
  <c r="CI113" i="1"/>
  <c r="CJ113" i="1"/>
  <c r="CK113" i="1"/>
  <c r="CL113" i="1"/>
  <c r="CH114" i="1"/>
  <c r="CI114" i="1"/>
  <c r="CJ114" i="1"/>
  <c r="CK114" i="1"/>
  <c r="CL114" i="1"/>
  <c r="CH115" i="1"/>
  <c r="CI115" i="1"/>
  <c r="CJ115" i="1"/>
  <c r="CK115" i="1"/>
  <c r="CL115" i="1"/>
  <c r="CH116" i="1"/>
  <c r="CI116" i="1"/>
  <c r="CJ116" i="1"/>
  <c r="CK116" i="1"/>
  <c r="CL116" i="1"/>
  <c r="CH117" i="1"/>
  <c r="CI117" i="1"/>
  <c r="CJ117" i="1"/>
  <c r="CK117" i="1"/>
  <c r="CL117" i="1"/>
  <c r="CH118" i="1"/>
  <c r="CI118" i="1"/>
  <c r="CJ118" i="1"/>
  <c r="CK118" i="1"/>
  <c r="CL118" i="1"/>
  <c r="CH119" i="1"/>
  <c r="CI119" i="1"/>
  <c r="CJ119" i="1"/>
  <c r="CK119" i="1"/>
  <c r="CL119" i="1"/>
  <c r="CH120" i="1"/>
  <c r="CI120" i="1"/>
  <c r="CJ120" i="1"/>
  <c r="CK120" i="1"/>
  <c r="CL120" i="1"/>
  <c r="CH121" i="1"/>
  <c r="CI121" i="1"/>
  <c r="CJ121" i="1"/>
  <c r="CK121" i="1"/>
  <c r="CL121" i="1"/>
  <c r="CH122" i="1"/>
  <c r="CI122" i="1"/>
  <c r="CJ122" i="1"/>
  <c r="CK122" i="1"/>
  <c r="CL122" i="1"/>
  <c r="CH123" i="1"/>
  <c r="CI123" i="1"/>
  <c r="CJ123" i="1"/>
  <c r="CK123" i="1"/>
  <c r="CL123" i="1"/>
  <c r="CH124" i="1"/>
  <c r="CI124" i="1"/>
  <c r="CJ124" i="1"/>
  <c r="CK124" i="1"/>
  <c r="CL124" i="1"/>
  <c r="CH125" i="1"/>
  <c r="CI125" i="1"/>
  <c r="CJ125" i="1"/>
  <c r="CK125" i="1"/>
  <c r="CL125" i="1"/>
  <c r="CH126" i="1"/>
  <c r="CI126" i="1"/>
  <c r="CJ126" i="1"/>
  <c r="CK126" i="1"/>
  <c r="CL126" i="1"/>
  <c r="CH127" i="1"/>
  <c r="CI127" i="1"/>
  <c r="CJ127" i="1"/>
  <c r="CK127" i="1"/>
  <c r="CL127" i="1"/>
  <c r="CH128" i="1"/>
  <c r="CI128" i="1"/>
  <c r="CJ128" i="1"/>
  <c r="CK128" i="1"/>
  <c r="CL128" i="1"/>
  <c r="CH129" i="1"/>
  <c r="CI129" i="1"/>
  <c r="CJ129" i="1"/>
  <c r="CK129" i="1"/>
  <c r="CL129" i="1"/>
  <c r="CH130" i="1"/>
  <c r="CI130" i="1"/>
  <c r="CJ130" i="1"/>
  <c r="CK130" i="1"/>
  <c r="CL130" i="1"/>
  <c r="CH131" i="1"/>
  <c r="CI131" i="1"/>
  <c r="CJ131" i="1"/>
  <c r="CK131" i="1"/>
  <c r="CL131" i="1"/>
  <c r="CH132" i="1"/>
  <c r="CI132" i="1"/>
  <c r="CJ132" i="1"/>
  <c r="CK132" i="1"/>
  <c r="CL132" i="1"/>
  <c r="CH133" i="1"/>
  <c r="CI133" i="1"/>
  <c r="CJ133" i="1"/>
  <c r="CK133" i="1"/>
  <c r="CL133" i="1"/>
  <c r="CH134" i="1"/>
  <c r="CI134" i="1"/>
  <c r="CJ134" i="1"/>
  <c r="CK134" i="1"/>
  <c r="CL134" i="1"/>
  <c r="CH135" i="1"/>
  <c r="CI135" i="1"/>
  <c r="CJ135" i="1"/>
  <c r="CK135" i="1"/>
  <c r="CL135" i="1"/>
  <c r="CH136" i="1"/>
  <c r="CI136" i="1"/>
  <c r="CJ136" i="1"/>
  <c r="CK136" i="1"/>
  <c r="CL136" i="1"/>
  <c r="CH137" i="1"/>
  <c r="CI137" i="1"/>
  <c r="CJ137" i="1"/>
  <c r="CK137" i="1"/>
  <c r="CL137" i="1"/>
  <c r="CH138" i="1"/>
  <c r="CI138" i="1"/>
  <c r="CJ138" i="1"/>
  <c r="CK138" i="1"/>
  <c r="CL138" i="1"/>
  <c r="CH139" i="1"/>
  <c r="CI139" i="1"/>
  <c r="CJ139" i="1"/>
  <c r="CK139" i="1"/>
  <c r="CL139" i="1"/>
  <c r="CH140" i="1"/>
  <c r="CI140" i="1"/>
  <c r="CJ140" i="1"/>
  <c r="CK140" i="1"/>
  <c r="CL140" i="1"/>
  <c r="CH141" i="1"/>
  <c r="CI141" i="1"/>
  <c r="CJ141" i="1"/>
  <c r="CK141" i="1"/>
  <c r="CL141" i="1"/>
  <c r="CH142" i="1"/>
  <c r="CI142" i="1"/>
  <c r="CJ142" i="1"/>
  <c r="CK142" i="1"/>
  <c r="CL142" i="1"/>
  <c r="CH143" i="1"/>
  <c r="CI143" i="1"/>
  <c r="CJ143" i="1"/>
  <c r="CK143" i="1"/>
  <c r="CL143" i="1"/>
  <c r="CH144" i="1"/>
  <c r="CI144" i="1"/>
  <c r="CJ144" i="1"/>
  <c r="CK144" i="1"/>
  <c r="CL144" i="1"/>
  <c r="CH145" i="1"/>
  <c r="CI145" i="1"/>
  <c r="CJ145" i="1"/>
  <c r="CK145" i="1"/>
  <c r="CL145" i="1"/>
  <c r="CH146" i="1"/>
  <c r="CI146" i="1"/>
  <c r="CJ146" i="1"/>
  <c r="CK146" i="1"/>
  <c r="CL146" i="1"/>
  <c r="CH147" i="1"/>
  <c r="CI147" i="1"/>
  <c r="CJ147" i="1"/>
  <c r="CK147" i="1"/>
  <c r="CL147" i="1"/>
  <c r="CH148" i="1"/>
  <c r="CI148" i="1"/>
  <c r="CJ148" i="1"/>
  <c r="CK148" i="1"/>
  <c r="CL148" i="1"/>
  <c r="CH149" i="1"/>
  <c r="CI149" i="1"/>
  <c r="CJ149" i="1"/>
  <c r="CK149" i="1"/>
  <c r="CL149" i="1"/>
  <c r="CH150" i="1"/>
  <c r="CI150" i="1"/>
  <c r="CJ150" i="1"/>
  <c r="CK150" i="1"/>
  <c r="CL150" i="1"/>
  <c r="CH151" i="1"/>
  <c r="CI151" i="1"/>
  <c r="CJ151" i="1"/>
  <c r="CK151" i="1"/>
  <c r="CL151" i="1"/>
  <c r="CH152" i="1"/>
  <c r="CI152" i="1"/>
  <c r="CJ152" i="1"/>
  <c r="CK152" i="1"/>
  <c r="CL152" i="1"/>
  <c r="CH153" i="1"/>
  <c r="CI153" i="1"/>
  <c r="CJ153" i="1"/>
  <c r="CK153" i="1"/>
  <c r="CL153" i="1"/>
  <c r="CH154" i="1"/>
  <c r="CI154" i="1"/>
  <c r="CJ154" i="1"/>
  <c r="CK154" i="1"/>
  <c r="CL154" i="1"/>
  <c r="CH155" i="1"/>
  <c r="CI155" i="1"/>
  <c r="CJ155" i="1"/>
  <c r="CK155" i="1"/>
  <c r="CL155" i="1"/>
  <c r="CH156" i="1"/>
  <c r="CI156" i="1"/>
  <c r="CJ156" i="1"/>
  <c r="CK156" i="1"/>
  <c r="CL156" i="1"/>
  <c r="CH157" i="1"/>
  <c r="CI157" i="1"/>
  <c r="CJ157" i="1"/>
  <c r="CK157" i="1"/>
  <c r="CL157" i="1"/>
  <c r="CH158" i="1"/>
  <c r="CI158" i="1"/>
  <c r="CJ158" i="1"/>
  <c r="CK158" i="1"/>
  <c r="CL158" i="1"/>
  <c r="CH159" i="1"/>
  <c r="CI159" i="1"/>
  <c r="CJ159" i="1"/>
  <c r="CK159" i="1"/>
  <c r="CL159" i="1"/>
  <c r="CH160" i="1"/>
  <c r="CI160" i="1"/>
  <c r="CJ160" i="1"/>
  <c r="CK160" i="1"/>
  <c r="CL160" i="1"/>
  <c r="CH161" i="1"/>
  <c r="CI161" i="1"/>
  <c r="CJ161" i="1"/>
  <c r="CK161" i="1"/>
  <c r="CL161" i="1"/>
  <c r="CH162" i="1"/>
  <c r="CI162" i="1"/>
  <c r="CJ162" i="1"/>
  <c r="CK162" i="1"/>
  <c r="CL162" i="1"/>
  <c r="CH163" i="1"/>
  <c r="CI163" i="1"/>
  <c r="CJ163" i="1"/>
  <c r="CK163" i="1"/>
  <c r="CL163" i="1"/>
  <c r="CH164" i="1"/>
  <c r="CI164" i="1"/>
  <c r="CJ164" i="1"/>
  <c r="CK164" i="1"/>
  <c r="CL164" i="1"/>
  <c r="CH165" i="1"/>
  <c r="CI165" i="1"/>
  <c r="CJ165" i="1"/>
  <c r="CK165" i="1"/>
  <c r="CL165" i="1"/>
  <c r="CH166" i="1"/>
  <c r="CI166" i="1"/>
  <c r="CJ166" i="1"/>
  <c r="CK166" i="1"/>
  <c r="CL166" i="1"/>
  <c r="CH167" i="1"/>
  <c r="CI167" i="1"/>
  <c r="CJ167" i="1"/>
  <c r="CK167" i="1"/>
  <c r="CL167" i="1"/>
  <c r="CH168" i="1"/>
  <c r="CI168" i="1"/>
  <c r="CJ168" i="1"/>
  <c r="CK168" i="1"/>
  <c r="CL168" i="1"/>
  <c r="CH169" i="1"/>
  <c r="CI169" i="1"/>
  <c r="CJ169" i="1"/>
  <c r="CK169" i="1"/>
  <c r="CL169" i="1"/>
  <c r="CH170" i="1"/>
  <c r="CI170" i="1"/>
  <c r="CJ170" i="1"/>
  <c r="CK170" i="1"/>
  <c r="CL170" i="1"/>
  <c r="CH171" i="1"/>
  <c r="CI171" i="1"/>
  <c r="CJ171" i="1"/>
  <c r="CK171" i="1"/>
  <c r="CL171" i="1"/>
  <c r="CH172" i="1"/>
  <c r="CI172" i="1"/>
  <c r="CJ172" i="1"/>
  <c r="CK172" i="1"/>
  <c r="CL172" i="1"/>
  <c r="CH173" i="1"/>
  <c r="CI173" i="1"/>
  <c r="CJ173" i="1"/>
  <c r="CK173" i="1"/>
  <c r="CL173" i="1"/>
  <c r="CH174" i="1"/>
  <c r="CI174" i="1"/>
  <c r="CJ174" i="1"/>
  <c r="CK174" i="1"/>
  <c r="CL174" i="1"/>
  <c r="CH175" i="1"/>
  <c r="CI175" i="1"/>
  <c r="CJ175" i="1"/>
  <c r="CK175" i="1"/>
  <c r="CL175" i="1"/>
  <c r="CH176" i="1"/>
  <c r="CI176" i="1"/>
  <c r="CJ176" i="1"/>
  <c r="CK176" i="1"/>
  <c r="CL176" i="1"/>
  <c r="CH177" i="1"/>
  <c r="CI177" i="1"/>
  <c r="CJ177" i="1"/>
  <c r="CK177" i="1"/>
  <c r="CL177" i="1"/>
  <c r="CH178" i="1"/>
  <c r="CI178" i="1"/>
  <c r="CJ178" i="1"/>
  <c r="CK178" i="1"/>
  <c r="CL178" i="1"/>
  <c r="CH179" i="1"/>
  <c r="CI179" i="1"/>
  <c r="CJ179" i="1"/>
  <c r="CK179" i="1"/>
  <c r="CL179" i="1"/>
  <c r="CH180" i="1"/>
  <c r="CI180" i="1"/>
  <c r="CJ180" i="1"/>
  <c r="CK180" i="1"/>
  <c r="CL180" i="1"/>
  <c r="CH181" i="1"/>
  <c r="CI181" i="1"/>
  <c r="CJ181" i="1"/>
  <c r="CK181" i="1"/>
  <c r="CL181" i="1"/>
  <c r="CH182" i="1"/>
  <c r="CI182" i="1"/>
  <c r="CJ182" i="1"/>
  <c r="CK182" i="1"/>
  <c r="CL182" i="1"/>
  <c r="CH183" i="1"/>
  <c r="CI183" i="1"/>
  <c r="CJ183" i="1"/>
  <c r="CK183" i="1"/>
  <c r="CL183" i="1"/>
  <c r="CH184" i="1"/>
  <c r="CI184" i="1"/>
  <c r="CJ184" i="1"/>
  <c r="CK184" i="1"/>
  <c r="CL184" i="1"/>
  <c r="CH185" i="1"/>
  <c r="CI185" i="1"/>
  <c r="CJ185" i="1"/>
  <c r="CK185" i="1"/>
  <c r="CL185" i="1"/>
  <c r="CH186" i="1"/>
  <c r="CI186" i="1"/>
  <c r="CJ186" i="1"/>
  <c r="CK186" i="1"/>
  <c r="CL186" i="1"/>
  <c r="CH187" i="1"/>
  <c r="CI187" i="1"/>
  <c r="CJ187" i="1"/>
  <c r="CK187" i="1"/>
  <c r="CL187" i="1"/>
  <c r="CH188" i="1"/>
  <c r="CI188" i="1"/>
  <c r="CJ188" i="1"/>
  <c r="CK188" i="1"/>
  <c r="CL188" i="1"/>
  <c r="CH189" i="1"/>
  <c r="CI189" i="1"/>
  <c r="CJ189" i="1"/>
  <c r="CK189" i="1"/>
  <c r="CL189" i="1"/>
  <c r="CH190" i="1"/>
  <c r="CI190" i="1"/>
  <c r="CJ190" i="1"/>
  <c r="CK190" i="1"/>
  <c r="CL190" i="1"/>
  <c r="CH191" i="1"/>
  <c r="CI191" i="1"/>
  <c r="CJ191" i="1"/>
  <c r="CK191" i="1"/>
  <c r="CL191" i="1"/>
  <c r="CH192" i="1"/>
  <c r="CI192" i="1"/>
  <c r="CJ192" i="1"/>
  <c r="CK192" i="1"/>
  <c r="CL192" i="1"/>
  <c r="CH193" i="1"/>
  <c r="CI193" i="1"/>
  <c r="CJ193" i="1"/>
  <c r="CK193" i="1"/>
  <c r="CL193" i="1"/>
  <c r="CH194" i="1"/>
  <c r="CI194" i="1"/>
  <c r="CJ194" i="1"/>
  <c r="CK194" i="1"/>
  <c r="CL194" i="1"/>
  <c r="CH195" i="1"/>
  <c r="CI195" i="1"/>
  <c r="CJ195" i="1"/>
  <c r="CK195" i="1"/>
  <c r="CL195" i="1"/>
  <c r="CH196" i="1"/>
  <c r="CI196" i="1"/>
  <c r="CJ196" i="1"/>
  <c r="CK196" i="1"/>
  <c r="CL196" i="1"/>
  <c r="CH197" i="1"/>
  <c r="CI197" i="1"/>
  <c r="CJ197" i="1"/>
  <c r="CK197" i="1"/>
  <c r="CL197" i="1"/>
  <c r="CH198" i="1"/>
  <c r="CI198" i="1"/>
  <c r="CJ198" i="1"/>
  <c r="CK198" i="1"/>
  <c r="CL198" i="1"/>
  <c r="CH199" i="1"/>
  <c r="CI199" i="1"/>
  <c r="CJ199" i="1"/>
  <c r="CK199" i="1"/>
  <c r="CL199" i="1"/>
  <c r="CH200" i="1"/>
  <c r="CI200" i="1"/>
  <c r="CJ200" i="1"/>
  <c r="CK200" i="1"/>
  <c r="CL200" i="1"/>
  <c r="CH201" i="1"/>
  <c r="CI201" i="1"/>
  <c r="CJ201" i="1"/>
  <c r="CK201" i="1"/>
  <c r="CL201" i="1"/>
  <c r="CH202" i="1"/>
  <c r="CI202" i="1"/>
  <c r="CJ202" i="1"/>
  <c r="CK202" i="1"/>
  <c r="CL202" i="1"/>
  <c r="CH3" i="1"/>
  <c r="CI3" i="1"/>
  <c r="CJ3" i="1"/>
  <c r="CK3" i="1"/>
  <c r="CL3" i="1"/>
  <c r="CB4" i="1"/>
  <c r="CC4" i="1"/>
  <c r="CD4" i="1"/>
  <c r="CE4" i="1"/>
  <c r="CF4" i="1"/>
  <c r="CB5" i="1"/>
  <c r="CC5" i="1"/>
  <c r="CD5" i="1"/>
  <c r="CE5" i="1"/>
  <c r="CF5" i="1"/>
  <c r="CB6" i="1"/>
  <c r="CC6" i="1"/>
  <c r="CD6" i="1"/>
  <c r="CE6" i="1"/>
  <c r="CF6" i="1"/>
  <c r="CB7" i="1"/>
  <c r="CC7" i="1"/>
  <c r="CD7" i="1"/>
  <c r="CE7" i="1"/>
  <c r="CF7" i="1"/>
  <c r="CB8" i="1"/>
  <c r="CC8" i="1"/>
  <c r="CD8" i="1"/>
  <c r="CE8" i="1"/>
  <c r="CF8" i="1"/>
  <c r="CB9" i="1"/>
  <c r="CC9" i="1"/>
  <c r="CD9" i="1"/>
  <c r="CE9" i="1"/>
  <c r="CF9" i="1"/>
  <c r="CB10" i="1"/>
  <c r="CC10" i="1"/>
  <c r="CD10" i="1"/>
  <c r="CE10" i="1"/>
  <c r="CF10" i="1"/>
  <c r="CB11" i="1"/>
  <c r="CC11" i="1"/>
  <c r="CD11" i="1"/>
  <c r="CE11" i="1"/>
  <c r="CF11" i="1"/>
  <c r="CB12" i="1"/>
  <c r="CC12" i="1"/>
  <c r="CD12" i="1"/>
  <c r="CE12" i="1"/>
  <c r="CF12" i="1"/>
  <c r="CB13" i="1"/>
  <c r="CC13" i="1"/>
  <c r="CD13" i="1"/>
  <c r="CE13" i="1"/>
  <c r="CF13" i="1"/>
  <c r="CB14" i="1"/>
  <c r="CC14" i="1"/>
  <c r="CD14" i="1"/>
  <c r="CE14" i="1"/>
  <c r="CF14" i="1"/>
  <c r="CB15" i="1"/>
  <c r="CC15" i="1"/>
  <c r="CD15" i="1"/>
  <c r="CE15" i="1"/>
  <c r="CF15" i="1"/>
  <c r="CB16" i="1"/>
  <c r="CC16" i="1"/>
  <c r="CD16" i="1"/>
  <c r="CE16" i="1"/>
  <c r="CF16" i="1"/>
  <c r="CB17" i="1"/>
  <c r="CC17" i="1"/>
  <c r="CD17" i="1"/>
  <c r="CE17" i="1"/>
  <c r="CF17" i="1"/>
  <c r="CB18" i="1"/>
  <c r="CC18" i="1"/>
  <c r="CD18" i="1"/>
  <c r="CE18" i="1"/>
  <c r="CF18" i="1"/>
  <c r="CB19" i="1"/>
  <c r="CC19" i="1"/>
  <c r="CD19" i="1"/>
  <c r="CE19" i="1"/>
  <c r="CF19" i="1"/>
  <c r="CB20" i="1"/>
  <c r="CC20" i="1"/>
  <c r="CD20" i="1"/>
  <c r="CE20" i="1"/>
  <c r="CF20" i="1"/>
  <c r="CB21" i="1"/>
  <c r="CC21" i="1"/>
  <c r="CD21" i="1"/>
  <c r="CE21" i="1"/>
  <c r="CF21" i="1"/>
  <c r="CB22" i="1"/>
  <c r="CC22" i="1"/>
  <c r="CD22" i="1"/>
  <c r="CE22" i="1"/>
  <c r="CF22" i="1"/>
  <c r="CB23" i="1"/>
  <c r="CC23" i="1"/>
  <c r="CD23" i="1"/>
  <c r="CE23" i="1"/>
  <c r="CF23" i="1"/>
  <c r="CB24" i="1"/>
  <c r="CC24" i="1"/>
  <c r="CD24" i="1"/>
  <c r="CE24" i="1"/>
  <c r="CF24" i="1"/>
  <c r="CB25" i="1"/>
  <c r="CC25" i="1"/>
  <c r="CD25" i="1"/>
  <c r="CE25" i="1"/>
  <c r="CF25" i="1"/>
  <c r="CB26" i="1"/>
  <c r="CC26" i="1"/>
  <c r="CD26" i="1"/>
  <c r="CE26" i="1"/>
  <c r="CF26" i="1"/>
  <c r="CB27" i="1"/>
  <c r="CC27" i="1"/>
  <c r="CD27" i="1"/>
  <c r="CE27" i="1"/>
  <c r="CF27" i="1"/>
  <c r="CB28" i="1"/>
  <c r="CC28" i="1"/>
  <c r="CD28" i="1"/>
  <c r="CE28" i="1"/>
  <c r="CF28" i="1"/>
  <c r="CB29" i="1"/>
  <c r="CC29" i="1"/>
  <c r="CD29" i="1"/>
  <c r="CE29" i="1"/>
  <c r="CF29" i="1"/>
  <c r="CB30" i="1"/>
  <c r="CC30" i="1"/>
  <c r="CD30" i="1"/>
  <c r="CE30" i="1"/>
  <c r="CF30" i="1"/>
  <c r="CB31" i="1"/>
  <c r="CC31" i="1"/>
  <c r="CD31" i="1"/>
  <c r="CE31" i="1"/>
  <c r="CF31" i="1"/>
  <c r="CB32" i="1"/>
  <c r="CC32" i="1"/>
  <c r="CD32" i="1"/>
  <c r="CE32" i="1"/>
  <c r="CF32" i="1"/>
  <c r="CB33" i="1"/>
  <c r="CC33" i="1"/>
  <c r="CD33" i="1"/>
  <c r="CE33" i="1"/>
  <c r="CF33" i="1"/>
  <c r="CB34" i="1"/>
  <c r="CC34" i="1"/>
  <c r="CD34" i="1"/>
  <c r="CE34" i="1"/>
  <c r="CF34" i="1"/>
  <c r="CB35" i="1"/>
  <c r="CC35" i="1"/>
  <c r="CD35" i="1"/>
  <c r="CE35" i="1"/>
  <c r="CF35" i="1"/>
  <c r="CB36" i="1"/>
  <c r="CC36" i="1"/>
  <c r="CD36" i="1"/>
  <c r="CE36" i="1"/>
  <c r="CF36" i="1"/>
  <c r="CB37" i="1"/>
  <c r="CC37" i="1"/>
  <c r="CD37" i="1"/>
  <c r="CE37" i="1"/>
  <c r="CF37" i="1"/>
  <c r="CB38" i="1"/>
  <c r="CC38" i="1"/>
  <c r="CD38" i="1"/>
  <c r="CE38" i="1"/>
  <c r="CF38" i="1"/>
  <c r="CB39" i="1"/>
  <c r="CC39" i="1"/>
  <c r="CD39" i="1"/>
  <c r="CE39" i="1"/>
  <c r="CF39" i="1"/>
  <c r="CB40" i="1"/>
  <c r="CC40" i="1"/>
  <c r="CD40" i="1"/>
  <c r="CE40" i="1"/>
  <c r="CF40" i="1"/>
  <c r="CB41" i="1"/>
  <c r="CC41" i="1"/>
  <c r="CD41" i="1"/>
  <c r="CE41" i="1"/>
  <c r="CF41" i="1"/>
  <c r="CB42" i="1"/>
  <c r="CC42" i="1"/>
  <c r="CD42" i="1"/>
  <c r="CE42" i="1"/>
  <c r="CF42" i="1"/>
  <c r="CB43" i="1"/>
  <c r="CC43" i="1"/>
  <c r="CD43" i="1"/>
  <c r="CE43" i="1"/>
  <c r="CF43" i="1"/>
  <c r="CB44" i="1"/>
  <c r="CC44" i="1"/>
  <c r="CD44" i="1"/>
  <c r="CE44" i="1"/>
  <c r="CF44" i="1"/>
  <c r="CB45" i="1"/>
  <c r="CC45" i="1"/>
  <c r="CD45" i="1"/>
  <c r="CE45" i="1"/>
  <c r="CF45" i="1"/>
  <c r="CB46" i="1"/>
  <c r="CC46" i="1"/>
  <c r="CD46" i="1"/>
  <c r="CE46" i="1"/>
  <c r="CF46" i="1"/>
  <c r="CB47" i="1"/>
  <c r="CC47" i="1"/>
  <c r="CD47" i="1"/>
  <c r="CE47" i="1"/>
  <c r="CF47" i="1"/>
  <c r="CB48" i="1"/>
  <c r="CC48" i="1"/>
  <c r="CD48" i="1"/>
  <c r="CE48" i="1"/>
  <c r="CF48" i="1"/>
  <c r="CB49" i="1"/>
  <c r="CC49" i="1"/>
  <c r="CD49" i="1"/>
  <c r="CE49" i="1"/>
  <c r="CF49" i="1"/>
  <c r="CB50" i="1"/>
  <c r="CC50" i="1"/>
  <c r="CD50" i="1"/>
  <c r="CE50" i="1"/>
  <c r="CF50" i="1"/>
  <c r="CB51" i="1"/>
  <c r="CC51" i="1"/>
  <c r="CD51" i="1"/>
  <c r="CE51" i="1"/>
  <c r="CF51" i="1"/>
  <c r="CB52" i="1"/>
  <c r="CC52" i="1"/>
  <c r="CD52" i="1"/>
  <c r="CE52" i="1"/>
  <c r="CF52" i="1"/>
  <c r="CB53" i="1"/>
  <c r="CC53" i="1"/>
  <c r="CD53" i="1"/>
  <c r="CE53" i="1"/>
  <c r="CF53" i="1"/>
  <c r="CB54" i="1"/>
  <c r="CC54" i="1"/>
  <c r="CD54" i="1"/>
  <c r="CE54" i="1"/>
  <c r="CF54" i="1"/>
  <c r="CB55" i="1"/>
  <c r="CC55" i="1"/>
  <c r="CD55" i="1"/>
  <c r="CE55" i="1"/>
  <c r="CF55" i="1"/>
  <c r="CB56" i="1"/>
  <c r="CC56" i="1"/>
  <c r="CD56" i="1"/>
  <c r="CE56" i="1"/>
  <c r="CF56" i="1"/>
  <c r="CB57" i="1"/>
  <c r="CC57" i="1"/>
  <c r="CD57" i="1"/>
  <c r="CE57" i="1"/>
  <c r="CF57" i="1"/>
  <c r="CB58" i="1"/>
  <c r="CC58" i="1"/>
  <c r="CD58" i="1"/>
  <c r="CE58" i="1"/>
  <c r="CF58" i="1"/>
  <c r="CB59" i="1"/>
  <c r="CC59" i="1"/>
  <c r="CD59" i="1"/>
  <c r="CE59" i="1"/>
  <c r="CF59" i="1"/>
  <c r="CB60" i="1"/>
  <c r="CC60" i="1"/>
  <c r="CD60" i="1"/>
  <c r="CE60" i="1"/>
  <c r="CF60" i="1"/>
  <c r="CB61" i="1"/>
  <c r="CC61" i="1"/>
  <c r="CD61" i="1"/>
  <c r="CE61" i="1"/>
  <c r="CF61" i="1"/>
  <c r="CB62" i="1"/>
  <c r="CC62" i="1"/>
  <c r="CD62" i="1"/>
  <c r="CE62" i="1"/>
  <c r="CF62" i="1"/>
  <c r="CB63" i="1"/>
  <c r="CC63" i="1"/>
  <c r="CD63" i="1"/>
  <c r="CE63" i="1"/>
  <c r="CF63" i="1"/>
  <c r="CB64" i="1"/>
  <c r="CC64" i="1"/>
  <c r="CD64" i="1"/>
  <c r="CE64" i="1"/>
  <c r="CF64" i="1"/>
  <c r="CB65" i="1"/>
  <c r="CC65" i="1"/>
  <c r="CD65" i="1"/>
  <c r="CE65" i="1"/>
  <c r="CF65" i="1"/>
  <c r="CB66" i="1"/>
  <c r="CC66" i="1"/>
  <c r="CD66" i="1"/>
  <c r="CE66" i="1"/>
  <c r="CF66" i="1"/>
  <c r="CB67" i="1"/>
  <c r="CC67" i="1"/>
  <c r="CD67" i="1"/>
  <c r="CE67" i="1"/>
  <c r="CF67" i="1"/>
  <c r="CB68" i="1"/>
  <c r="CC68" i="1"/>
  <c r="CD68" i="1"/>
  <c r="CE68" i="1"/>
  <c r="CF68" i="1"/>
  <c r="CB69" i="1"/>
  <c r="CC69" i="1"/>
  <c r="CD69" i="1"/>
  <c r="CE69" i="1"/>
  <c r="CF69" i="1"/>
  <c r="CB70" i="1"/>
  <c r="CC70" i="1"/>
  <c r="CD70" i="1"/>
  <c r="CE70" i="1"/>
  <c r="CF70" i="1"/>
  <c r="CB71" i="1"/>
  <c r="CC71" i="1"/>
  <c r="CD71" i="1"/>
  <c r="CE71" i="1"/>
  <c r="CF71" i="1"/>
  <c r="CB72" i="1"/>
  <c r="CC72" i="1"/>
  <c r="CD72" i="1"/>
  <c r="CE72" i="1"/>
  <c r="CF72" i="1"/>
  <c r="CB73" i="1"/>
  <c r="CC73" i="1"/>
  <c r="CD73" i="1"/>
  <c r="CE73" i="1"/>
  <c r="CF73" i="1"/>
  <c r="CB74" i="1"/>
  <c r="CC74" i="1"/>
  <c r="CD74" i="1"/>
  <c r="CE74" i="1"/>
  <c r="CF74" i="1"/>
  <c r="CB75" i="1"/>
  <c r="CC75" i="1"/>
  <c r="CD75" i="1"/>
  <c r="CE75" i="1"/>
  <c r="CF75" i="1"/>
  <c r="CB76" i="1"/>
  <c r="CC76" i="1"/>
  <c r="CD76" i="1"/>
  <c r="CE76" i="1"/>
  <c r="CF76" i="1"/>
  <c r="CB77" i="1"/>
  <c r="CC77" i="1"/>
  <c r="CD77" i="1"/>
  <c r="CE77" i="1"/>
  <c r="CF77" i="1"/>
  <c r="CB78" i="1"/>
  <c r="CC78" i="1"/>
  <c r="CD78" i="1"/>
  <c r="CE78" i="1"/>
  <c r="CF78" i="1"/>
  <c r="CB79" i="1"/>
  <c r="CC79" i="1"/>
  <c r="CD79" i="1"/>
  <c r="CE79" i="1"/>
  <c r="CF79" i="1"/>
  <c r="CB80" i="1"/>
  <c r="CC80" i="1"/>
  <c r="CD80" i="1"/>
  <c r="CE80" i="1"/>
  <c r="CF80" i="1"/>
  <c r="CB81" i="1"/>
  <c r="CC81" i="1"/>
  <c r="CD81" i="1"/>
  <c r="CE81" i="1"/>
  <c r="CF81" i="1"/>
  <c r="CB82" i="1"/>
  <c r="CC82" i="1"/>
  <c r="CD82" i="1"/>
  <c r="CE82" i="1"/>
  <c r="CF82" i="1"/>
  <c r="CB83" i="1"/>
  <c r="CC83" i="1"/>
  <c r="CD83" i="1"/>
  <c r="CE83" i="1"/>
  <c r="CF83" i="1"/>
  <c r="CB84" i="1"/>
  <c r="CC84" i="1"/>
  <c r="CD84" i="1"/>
  <c r="CE84" i="1"/>
  <c r="CF84" i="1"/>
  <c r="CB85" i="1"/>
  <c r="CC85" i="1"/>
  <c r="CD85" i="1"/>
  <c r="CE85" i="1"/>
  <c r="CF85" i="1"/>
  <c r="CB86" i="1"/>
  <c r="CC86" i="1"/>
  <c r="CD86" i="1"/>
  <c r="CE86" i="1"/>
  <c r="CF86" i="1"/>
  <c r="CB87" i="1"/>
  <c r="CC87" i="1"/>
  <c r="CD87" i="1"/>
  <c r="CE87" i="1"/>
  <c r="CF87" i="1"/>
  <c r="CB88" i="1"/>
  <c r="CC88" i="1"/>
  <c r="CD88" i="1"/>
  <c r="CE88" i="1"/>
  <c r="CF88" i="1"/>
  <c r="CB89" i="1"/>
  <c r="CC89" i="1"/>
  <c r="CD89" i="1"/>
  <c r="CE89" i="1"/>
  <c r="CF89" i="1"/>
  <c r="CB90" i="1"/>
  <c r="CC90" i="1"/>
  <c r="CD90" i="1"/>
  <c r="CE90" i="1"/>
  <c r="CF90" i="1"/>
  <c r="CB91" i="1"/>
  <c r="CC91" i="1"/>
  <c r="CD91" i="1"/>
  <c r="CE91" i="1"/>
  <c r="CF91" i="1"/>
  <c r="CB92" i="1"/>
  <c r="CC92" i="1"/>
  <c r="CD92" i="1"/>
  <c r="CE92" i="1"/>
  <c r="CF92" i="1"/>
  <c r="CB93" i="1"/>
  <c r="CC93" i="1"/>
  <c r="CD93" i="1"/>
  <c r="CE93" i="1"/>
  <c r="CF93" i="1"/>
  <c r="CB94" i="1"/>
  <c r="CC94" i="1"/>
  <c r="CD94" i="1"/>
  <c r="CE94" i="1"/>
  <c r="CF94" i="1"/>
  <c r="CB95" i="1"/>
  <c r="CC95" i="1"/>
  <c r="CD95" i="1"/>
  <c r="CE95" i="1"/>
  <c r="CF95" i="1"/>
  <c r="CB96" i="1"/>
  <c r="CC96" i="1"/>
  <c r="CD96" i="1"/>
  <c r="CE96" i="1"/>
  <c r="CF96" i="1"/>
  <c r="CB97" i="1"/>
  <c r="CC97" i="1"/>
  <c r="CD97" i="1"/>
  <c r="CE97" i="1"/>
  <c r="CF97" i="1"/>
  <c r="CB98" i="1"/>
  <c r="CC98" i="1"/>
  <c r="CD98" i="1"/>
  <c r="CE98" i="1"/>
  <c r="CF98" i="1"/>
  <c r="CB99" i="1"/>
  <c r="CC99" i="1"/>
  <c r="CD99" i="1"/>
  <c r="CE99" i="1"/>
  <c r="CF99" i="1"/>
  <c r="CB100" i="1"/>
  <c r="CC100" i="1"/>
  <c r="CD100" i="1"/>
  <c r="CE100" i="1"/>
  <c r="CF100" i="1"/>
  <c r="CB101" i="1"/>
  <c r="CC101" i="1"/>
  <c r="CD101" i="1"/>
  <c r="CE101" i="1"/>
  <c r="CF101" i="1"/>
  <c r="CB102" i="1"/>
  <c r="CC102" i="1"/>
  <c r="CD102" i="1"/>
  <c r="CE102" i="1"/>
  <c r="CF102" i="1"/>
  <c r="CB103" i="1"/>
  <c r="CC103" i="1"/>
  <c r="CD103" i="1"/>
  <c r="CE103" i="1"/>
  <c r="CF103" i="1"/>
  <c r="CB104" i="1"/>
  <c r="CC104" i="1"/>
  <c r="CD104" i="1"/>
  <c r="CE104" i="1"/>
  <c r="CF104" i="1"/>
  <c r="CB105" i="1"/>
  <c r="CC105" i="1"/>
  <c r="CD105" i="1"/>
  <c r="CE105" i="1"/>
  <c r="CF105" i="1"/>
  <c r="CB106" i="1"/>
  <c r="CC106" i="1"/>
  <c r="CD106" i="1"/>
  <c r="CE106" i="1"/>
  <c r="CF106" i="1"/>
  <c r="CB107" i="1"/>
  <c r="CC107" i="1"/>
  <c r="CD107" i="1"/>
  <c r="CE107" i="1"/>
  <c r="CF107" i="1"/>
  <c r="CB108" i="1"/>
  <c r="CC108" i="1"/>
  <c r="CD108" i="1"/>
  <c r="CE108" i="1"/>
  <c r="CF108" i="1"/>
  <c r="CB109" i="1"/>
  <c r="CC109" i="1"/>
  <c r="CD109" i="1"/>
  <c r="CE109" i="1"/>
  <c r="CF109" i="1"/>
  <c r="CB110" i="1"/>
  <c r="CC110" i="1"/>
  <c r="CD110" i="1"/>
  <c r="CE110" i="1"/>
  <c r="CF110" i="1"/>
  <c r="CB111" i="1"/>
  <c r="CC111" i="1"/>
  <c r="CD111" i="1"/>
  <c r="CE111" i="1"/>
  <c r="CF111" i="1"/>
  <c r="CB112" i="1"/>
  <c r="CC112" i="1"/>
  <c r="CD112" i="1"/>
  <c r="CE112" i="1"/>
  <c r="CF112" i="1"/>
  <c r="CB113" i="1"/>
  <c r="CC113" i="1"/>
  <c r="CD113" i="1"/>
  <c r="CE113" i="1"/>
  <c r="CF113" i="1"/>
  <c r="CB114" i="1"/>
  <c r="CC114" i="1"/>
  <c r="CD114" i="1"/>
  <c r="CE114" i="1"/>
  <c r="CF114" i="1"/>
  <c r="CB115" i="1"/>
  <c r="CC115" i="1"/>
  <c r="CD115" i="1"/>
  <c r="CE115" i="1"/>
  <c r="CF115" i="1"/>
  <c r="CB116" i="1"/>
  <c r="CC116" i="1"/>
  <c r="CD116" i="1"/>
  <c r="CE116" i="1"/>
  <c r="CF116" i="1"/>
  <c r="CB117" i="1"/>
  <c r="CC117" i="1"/>
  <c r="CD117" i="1"/>
  <c r="CE117" i="1"/>
  <c r="CF117" i="1"/>
  <c r="CB118" i="1"/>
  <c r="CC118" i="1"/>
  <c r="CD118" i="1"/>
  <c r="CE118" i="1"/>
  <c r="CF118" i="1"/>
  <c r="CB119" i="1"/>
  <c r="CC119" i="1"/>
  <c r="CD119" i="1"/>
  <c r="CE119" i="1"/>
  <c r="CF119" i="1"/>
  <c r="CB120" i="1"/>
  <c r="CC120" i="1"/>
  <c r="CD120" i="1"/>
  <c r="CE120" i="1"/>
  <c r="CF120" i="1"/>
  <c r="CB121" i="1"/>
  <c r="CC121" i="1"/>
  <c r="CD121" i="1"/>
  <c r="CE121" i="1"/>
  <c r="CF121" i="1"/>
  <c r="CB122" i="1"/>
  <c r="CC122" i="1"/>
  <c r="CD122" i="1"/>
  <c r="CE122" i="1"/>
  <c r="CF122" i="1"/>
  <c r="CB123" i="1"/>
  <c r="CC123" i="1"/>
  <c r="CD123" i="1"/>
  <c r="CE123" i="1"/>
  <c r="CF123" i="1"/>
  <c r="CB124" i="1"/>
  <c r="CC124" i="1"/>
  <c r="CD124" i="1"/>
  <c r="CE124" i="1"/>
  <c r="CF124" i="1"/>
  <c r="CB125" i="1"/>
  <c r="CC125" i="1"/>
  <c r="CD125" i="1"/>
  <c r="CE125" i="1"/>
  <c r="CF125" i="1"/>
  <c r="CB126" i="1"/>
  <c r="CC126" i="1"/>
  <c r="CD126" i="1"/>
  <c r="CE126" i="1"/>
  <c r="CF126" i="1"/>
  <c r="CB127" i="1"/>
  <c r="CC127" i="1"/>
  <c r="CD127" i="1"/>
  <c r="CE127" i="1"/>
  <c r="CF127" i="1"/>
  <c r="CB128" i="1"/>
  <c r="CC128" i="1"/>
  <c r="CD128" i="1"/>
  <c r="CE128" i="1"/>
  <c r="CF128" i="1"/>
  <c r="CB129" i="1"/>
  <c r="CC129" i="1"/>
  <c r="CD129" i="1"/>
  <c r="CE129" i="1"/>
  <c r="CF129" i="1"/>
  <c r="CB130" i="1"/>
  <c r="CC130" i="1"/>
  <c r="CD130" i="1"/>
  <c r="CE130" i="1"/>
  <c r="CF130" i="1"/>
  <c r="CB131" i="1"/>
  <c r="CC131" i="1"/>
  <c r="CD131" i="1"/>
  <c r="CE131" i="1"/>
  <c r="CF131" i="1"/>
  <c r="CB132" i="1"/>
  <c r="CC132" i="1"/>
  <c r="CD132" i="1"/>
  <c r="CE132" i="1"/>
  <c r="CF132" i="1"/>
  <c r="CB133" i="1"/>
  <c r="CC133" i="1"/>
  <c r="CD133" i="1"/>
  <c r="CE133" i="1"/>
  <c r="CF133" i="1"/>
  <c r="CB134" i="1"/>
  <c r="CC134" i="1"/>
  <c r="CD134" i="1"/>
  <c r="CE134" i="1"/>
  <c r="CF134" i="1"/>
  <c r="CB135" i="1"/>
  <c r="CC135" i="1"/>
  <c r="CD135" i="1"/>
  <c r="CE135" i="1"/>
  <c r="CF135" i="1"/>
  <c r="CB136" i="1"/>
  <c r="CC136" i="1"/>
  <c r="CD136" i="1"/>
  <c r="CE136" i="1"/>
  <c r="CF136" i="1"/>
  <c r="CB137" i="1"/>
  <c r="CC137" i="1"/>
  <c r="CD137" i="1"/>
  <c r="CE137" i="1"/>
  <c r="CF137" i="1"/>
  <c r="CB138" i="1"/>
  <c r="CC138" i="1"/>
  <c r="CD138" i="1"/>
  <c r="CE138" i="1"/>
  <c r="CF138" i="1"/>
  <c r="CB139" i="1"/>
  <c r="CC139" i="1"/>
  <c r="CD139" i="1"/>
  <c r="CE139" i="1"/>
  <c r="CF139" i="1"/>
  <c r="CB140" i="1"/>
  <c r="CC140" i="1"/>
  <c r="CD140" i="1"/>
  <c r="CE140" i="1"/>
  <c r="CF140" i="1"/>
  <c r="CB141" i="1"/>
  <c r="CC141" i="1"/>
  <c r="CD141" i="1"/>
  <c r="CE141" i="1"/>
  <c r="CF141" i="1"/>
  <c r="CB142" i="1"/>
  <c r="CC142" i="1"/>
  <c r="CD142" i="1"/>
  <c r="CE142" i="1"/>
  <c r="CF142" i="1"/>
  <c r="CB143" i="1"/>
  <c r="CC143" i="1"/>
  <c r="CD143" i="1"/>
  <c r="CE143" i="1"/>
  <c r="CF143" i="1"/>
  <c r="CB144" i="1"/>
  <c r="CC144" i="1"/>
  <c r="CD144" i="1"/>
  <c r="CE144" i="1"/>
  <c r="CF144" i="1"/>
  <c r="CB145" i="1"/>
  <c r="CC145" i="1"/>
  <c r="CD145" i="1"/>
  <c r="CE145" i="1"/>
  <c r="CF145" i="1"/>
  <c r="CB146" i="1"/>
  <c r="CC146" i="1"/>
  <c r="CD146" i="1"/>
  <c r="CE146" i="1"/>
  <c r="CF146" i="1"/>
  <c r="CB147" i="1"/>
  <c r="CC147" i="1"/>
  <c r="CD147" i="1"/>
  <c r="CE147" i="1"/>
  <c r="CF147" i="1"/>
  <c r="CB148" i="1"/>
  <c r="CC148" i="1"/>
  <c r="CD148" i="1"/>
  <c r="CE148" i="1"/>
  <c r="CF148" i="1"/>
  <c r="CB149" i="1"/>
  <c r="CC149" i="1"/>
  <c r="CD149" i="1"/>
  <c r="CE149" i="1"/>
  <c r="CF149" i="1"/>
  <c r="CB150" i="1"/>
  <c r="CC150" i="1"/>
  <c r="CD150" i="1"/>
  <c r="CE150" i="1"/>
  <c r="CF150" i="1"/>
  <c r="CB151" i="1"/>
  <c r="CC151" i="1"/>
  <c r="CD151" i="1"/>
  <c r="CE151" i="1"/>
  <c r="CF151" i="1"/>
  <c r="CB152" i="1"/>
  <c r="CC152" i="1"/>
  <c r="CD152" i="1"/>
  <c r="CE152" i="1"/>
  <c r="CF152" i="1"/>
  <c r="CB153" i="1"/>
  <c r="CC153" i="1"/>
  <c r="CD153" i="1"/>
  <c r="CE153" i="1"/>
  <c r="CF153" i="1"/>
  <c r="CB154" i="1"/>
  <c r="CC154" i="1"/>
  <c r="CD154" i="1"/>
  <c r="CE154" i="1"/>
  <c r="CF154" i="1"/>
  <c r="CB155" i="1"/>
  <c r="CC155" i="1"/>
  <c r="CD155" i="1"/>
  <c r="CE155" i="1"/>
  <c r="CF155" i="1"/>
  <c r="CB156" i="1"/>
  <c r="CC156" i="1"/>
  <c r="CD156" i="1"/>
  <c r="CE156" i="1"/>
  <c r="CF156" i="1"/>
  <c r="CB157" i="1"/>
  <c r="CC157" i="1"/>
  <c r="CD157" i="1"/>
  <c r="CE157" i="1"/>
  <c r="CF157" i="1"/>
  <c r="CB158" i="1"/>
  <c r="CC158" i="1"/>
  <c r="CD158" i="1"/>
  <c r="CE158" i="1"/>
  <c r="CF158" i="1"/>
  <c r="CB159" i="1"/>
  <c r="CC159" i="1"/>
  <c r="CD159" i="1"/>
  <c r="CE159" i="1"/>
  <c r="CF159" i="1"/>
  <c r="CB160" i="1"/>
  <c r="CC160" i="1"/>
  <c r="CD160" i="1"/>
  <c r="CE160" i="1"/>
  <c r="CF160" i="1"/>
  <c r="CB161" i="1"/>
  <c r="CC161" i="1"/>
  <c r="CD161" i="1"/>
  <c r="CE161" i="1"/>
  <c r="CF161" i="1"/>
  <c r="CB162" i="1"/>
  <c r="CC162" i="1"/>
  <c r="CD162" i="1"/>
  <c r="CE162" i="1"/>
  <c r="CF162" i="1"/>
  <c r="CB163" i="1"/>
  <c r="CC163" i="1"/>
  <c r="CD163" i="1"/>
  <c r="CE163" i="1"/>
  <c r="CF163" i="1"/>
  <c r="CB164" i="1"/>
  <c r="CC164" i="1"/>
  <c r="CD164" i="1"/>
  <c r="CE164" i="1"/>
  <c r="CF164" i="1"/>
  <c r="CB165" i="1"/>
  <c r="CC165" i="1"/>
  <c r="CD165" i="1"/>
  <c r="CE165" i="1"/>
  <c r="CF165" i="1"/>
  <c r="CB166" i="1"/>
  <c r="CC166" i="1"/>
  <c r="CD166" i="1"/>
  <c r="CE166" i="1"/>
  <c r="CF166" i="1"/>
  <c r="CB167" i="1"/>
  <c r="CC167" i="1"/>
  <c r="CD167" i="1"/>
  <c r="CE167" i="1"/>
  <c r="CF167" i="1"/>
  <c r="CB168" i="1"/>
  <c r="CC168" i="1"/>
  <c r="CD168" i="1"/>
  <c r="CE168" i="1"/>
  <c r="CF168" i="1"/>
  <c r="CB169" i="1"/>
  <c r="CC169" i="1"/>
  <c r="CD169" i="1"/>
  <c r="CE169" i="1"/>
  <c r="CF169" i="1"/>
  <c r="CB170" i="1"/>
  <c r="CC170" i="1"/>
  <c r="CD170" i="1"/>
  <c r="CE170" i="1"/>
  <c r="CF170" i="1"/>
  <c r="CB171" i="1"/>
  <c r="CC171" i="1"/>
  <c r="CD171" i="1"/>
  <c r="CE171" i="1"/>
  <c r="CF171" i="1"/>
  <c r="CB172" i="1"/>
  <c r="CC172" i="1"/>
  <c r="CD172" i="1"/>
  <c r="CE172" i="1"/>
  <c r="CF172" i="1"/>
  <c r="CB173" i="1"/>
  <c r="CC173" i="1"/>
  <c r="CD173" i="1"/>
  <c r="CE173" i="1"/>
  <c r="CF173" i="1"/>
  <c r="CB174" i="1"/>
  <c r="CC174" i="1"/>
  <c r="CD174" i="1"/>
  <c r="CE174" i="1"/>
  <c r="CF174" i="1"/>
  <c r="CB175" i="1"/>
  <c r="CC175" i="1"/>
  <c r="CD175" i="1"/>
  <c r="CE175" i="1"/>
  <c r="CF175" i="1"/>
  <c r="CB176" i="1"/>
  <c r="CC176" i="1"/>
  <c r="CD176" i="1"/>
  <c r="CE176" i="1"/>
  <c r="CF176" i="1"/>
  <c r="CB177" i="1"/>
  <c r="CC177" i="1"/>
  <c r="CD177" i="1"/>
  <c r="CE177" i="1"/>
  <c r="CF177" i="1"/>
  <c r="CB178" i="1"/>
  <c r="CC178" i="1"/>
  <c r="CD178" i="1"/>
  <c r="CE178" i="1"/>
  <c r="CF178" i="1"/>
  <c r="CB179" i="1"/>
  <c r="CC179" i="1"/>
  <c r="CD179" i="1"/>
  <c r="CE179" i="1"/>
  <c r="CF179" i="1"/>
  <c r="CB180" i="1"/>
  <c r="CC180" i="1"/>
  <c r="CD180" i="1"/>
  <c r="CE180" i="1"/>
  <c r="CF180" i="1"/>
  <c r="CB181" i="1"/>
  <c r="CC181" i="1"/>
  <c r="CD181" i="1"/>
  <c r="CE181" i="1"/>
  <c r="CF181" i="1"/>
  <c r="CB182" i="1"/>
  <c r="CC182" i="1"/>
  <c r="CD182" i="1"/>
  <c r="CE182" i="1"/>
  <c r="CF182" i="1"/>
  <c r="CB183" i="1"/>
  <c r="CC183" i="1"/>
  <c r="CD183" i="1"/>
  <c r="CE183" i="1"/>
  <c r="CF183" i="1"/>
  <c r="CB184" i="1"/>
  <c r="CC184" i="1"/>
  <c r="CD184" i="1"/>
  <c r="CE184" i="1"/>
  <c r="CF184" i="1"/>
  <c r="CB185" i="1"/>
  <c r="CC185" i="1"/>
  <c r="CD185" i="1"/>
  <c r="CE185" i="1"/>
  <c r="CF185" i="1"/>
  <c r="CB186" i="1"/>
  <c r="CC186" i="1"/>
  <c r="CD186" i="1"/>
  <c r="CE186" i="1"/>
  <c r="CF186" i="1"/>
  <c r="CB187" i="1"/>
  <c r="CC187" i="1"/>
  <c r="CD187" i="1"/>
  <c r="CE187" i="1"/>
  <c r="CF187" i="1"/>
  <c r="CB188" i="1"/>
  <c r="CC188" i="1"/>
  <c r="CD188" i="1"/>
  <c r="CE188" i="1"/>
  <c r="CF188" i="1"/>
  <c r="CB189" i="1"/>
  <c r="CC189" i="1"/>
  <c r="CD189" i="1"/>
  <c r="CE189" i="1"/>
  <c r="CF189" i="1"/>
  <c r="CB190" i="1"/>
  <c r="CC190" i="1"/>
  <c r="CD190" i="1"/>
  <c r="CE190" i="1"/>
  <c r="CF190" i="1"/>
  <c r="CB191" i="1"/>
  <c r="CC191" i="1"/>
  <c r="CD191" i="1"/>
  <c r="CE191" i="1"/>
  <c r="CF191" i="1"/>
  <c r="CB192" i="1"/>
  <c r="CC192" i="1"/>
  <c r="CD192" i="1"/>
  <c r="CE192" i="1"/>
  <c r="CF192" i="1"/>
  <c r="CB193" i="1"/>
  <c r="CC193" i="1"/>
  <c r="CD193" i="1"/>
  <c r="CE193" i="1"/>
  <c r="CF193" i="1"/>
  <c r="CB194" i="1"/>
  <c r="CC194" i="1"/>
  <c r="CD194" i="1"/>
  <c r="CE194" i="1"/>
  <c r="CF194" i="1"/>
  <c r="CB195" i="1"/>
  <c r="CC195" i="1"/>
  <c r="CD195" i="1"/>
  <c r="CE195" i="1"/>
  <c r="CF195" i="1"/>
  <c r="CB196" i="1"/>
  <c r="CC196" i="1"/>
  <c r="CD196" i="1"/>
  <c r="CE196" i="1"/>
  <c r="CF196" i="1"/>
  <c r="CB197" i="1"/>
  <c r="CC197" i="1"/>
  <c r="CD197" i="1"/>
  <c r="CE197" i="1"/>
  <c r="CF197" i="1"/>
  <c r="CB198" i="1"/>
  <c r="CC198" i="1"/>
  <c r="CD198" i="1"/>
  <c r="CE198" i="1"/>
  <c r="CF198" i="1"/>
  <c r="CB199" i="1"/>
  <c r="CC199" i="1"/>
  <c r="CD199" i="1"/>
  <c r="CE199" i="1"/>
  <c r="CF199" i="1"/>
  <c r="CB200" i="1"/>
  <c r="CC200" i="1"/>
  <c r="CD200" i="1"/>
  <c r="CE200" i="1"/>
  <c r="CF200" i="1"/>
  <c r="CB201" i="1"/>
  <c r="CC201" i="1"/>
  <c r="CD201" i="1"/>
  <c r="CE201" i="1"/>
  <c r="CF201" i="1"/>
  <c r="CB202" i="1"/>
  <c r="CC202" i="1"/>
  <c r="CD202" i="1"/>
  <c r="CE202" i="1"/>
  <c r="CF202" i="1"/>
  <c r="CB3" i="1"/>
  <c r="CC3" i="1"/>
  <c r="CD3" i="1"/>
  <c r="CE3" i="1"/>
  <c r="CF3" i="1"/>
  <c r="BV4" i="1"/>
  <c r="BW4" i="1"/>
  <c r="BX4" i="1"/>
  <c r="BY4" i="1"/>
  <c r="BZ4" i="1"/>
  <c r="BV5" i="1"/>
  <c r="BW5" i="1"/>
  <c r="BX5" i="1"/>
  <c r="BY5" i="1"/>
  <c r="BZ5" i="1"/>
  <c r="BV6" i="1"/>
  <c r="BW6" i="1"/>
  <c r="BX6" i="1"/>
  <c r="BY6" i="1"/>
  <c r="BZ6" i="1"/>
  <c r="BV7" i="1"/>
  <c r="BW7" i="1"/>
  <c r="BX7" i="1"/>
  <c r="BY7" i="1"/>
  <c r="BZ7" i="1"/>
  <c r="BV8" i="1"/>
  <c r="BW8" i="1"/>
  <c r="BX8" i="1"/>
  <c r="BY8" i="1"/>
  <c r="BZ8" i="1"/>
  <c r="BV9" i="1"/>
  <c r="BW9" i="1"/>
  <c r="BX9" i="1"/>
  <c r="BY9" i="1"/>
  <c r="BZ9" i="1"/>
  <c r="BV10" i="1"/>
  <c r="BW10" i="1"/>
  <c r="BX10" i="1"/>
  <c r="BY10" i="1"/>
  <c r="BZ10" i="1"/>
  <c r="BV11" i="1"/>
  <c r="BW11" i="1"/>
  <c r="BX11" i="1"/>
  <c r="BY11" i="1"/>
  <c r="BZ11" i="1"/>
  <c r="BV12" i="1"/>
  <c r="BW12" i="1"/>
  <c r="BX12" i="1"/>
  <c r="BY12" i="1"/>
  <c r="BZ12" i="1"/>
  <c r="BV13" i="1"/>
  <c r="BW13" i="1"/>
  <c r="BX13" i="1"/>
  <c r="BY13" i="1"/>
  <c r="BZ13" i="1"/>
  <c r="BV14" i="1"/>
  <c r="BW14" i="1"/>
  <c r="BX14" i="1"/>
  <c r="BY14" i="1"/>
  <c r="BZ14" i="1"/>
  <c r="BV15" i="1"/>
  <c r="BW15" i="1"/>
  <c r="BX15" i="1"/>
  <c r="BY15" i="1"/>
  <c r="BZ15" i="1"/>
  <c r="BV16" i="1"/>
  <c r="BW16" i="1"/>
  <c r="BX16" i="1"/>
  <c r="BY16" i="1"/>
  <c r="BZ16" i="1"/>
  <c r="BV17" i="1"/>
  <c r="BW17" i="1"/>
  <c r="BX17" i="1"/>
  <c r="BY17" i="1"/>
  <c r="BZ17" i="1"/>
  <c r="BV18" i="1"/>
  <c r="BW18" i="1"/>
  <c r="BX18" i="1"/>
  <c r="BY18" i="1"/>
  <c r="BZ18" i="1"/>
  <c r="BV19" i="1"/>
  <c r="BW19" i="1"/>
  <c r="BX19" i="1"/>
  <c r="BY19" i="1"/>
  <c r="BZ19" i="1"/>
  <c r="BV20" i="1"/>
  <c r="BW20" i="1"/>
  <c r="BX20" i="1"/>
  <c r="BY20" i="1"/>
  <c r="BZ20" i="1"/>
  <c r="BV21" i="1"/>
  <c r="BW21" i="1"/>
  <c r="BX21" i="1"/>
  <c r="BY21" i="1"/>
  <c r="BZ21" i="1"/>
  <c r="BV22" i="1"/>
  <c r="BW22" i="1"/>
  <c r="BX22" i="1"/>
  <c r="BY22" i="1"/>
  <c r="BZ22" i="1"/>
  <c r="BV23" i="1"/>
  <c r="BW23" i="1"/>
  <c r="BX23" i="1"/>
  <c r="BY23" i="1"/>
  <c r="BZ23" i="1"/>
  <c r="BV24" i="1"/>
  <c r="BW24" i="1"/>
  <c r="BX24" i="1"/>
  <c r="BY24" i="1"/>
  <c r="BZ24" i="1"/>
  <c r="BV25" i="1"/>
  <c r="BW25" i="1"/>
  <c r="BX25" i="1"/>
  <c r="BY25" i="1"/>
  <c r="BZ25" i="1"/>
  <c r="BV26" i="1"/>
  <c r="BW26" i="1"/>
  <c r="BX26" i="1"/>
  <c r="BY26" i="1"/>
  <c r="BZ26" i="1"/>
  <c r="BV27" i="1"/>
  <c r="BW27" i="1"/>
  <c r="BX27" i="1"/>
  <c r="BY27" i="1"/>
  <c r="BZ27" i="1"/>
  <c r="BV28" i="1"/>
  <c r="BW28" i="1"/>
  <c r="BX28" i="1"/>
  <c r="BY28" i="1"/>
  <c r="BZ28" i="1"/>
  <c r="BV29" i="1"/>
  <c r="BW29" i="1"/>
  <c r="BX29" i="1"/>
  <c r="BY29" i="1"/>
  <c r="BZ29" i="1"/>
  <c r="BV30" i="1"/>
  <c r="BW30" i="1"/>
  <c r="BX30" i="1"/>
  <c r="BY30" i="1"/>
  <c r="BZ30" i="1"/>
  <c r="BV31" i="1"/>
  <c r="BW31" i="1"/>
  <c r="BX31" i="1"/>
  <c r="BY31" i="1"/>
  <c r="BZ31" i="1"/>
  <c r="BV32" i="1"/>
  <c r="BW32" i="1"/>
  <c r="BX32" i="1"/>
  <c r="BY32" i="1"/>
  <c r="BZ32" i="1"/>
  <c r="BV33" i="1"/>
  <c r="BW33" i="1"/>
  <c r="BX33" i="1"/>
  <c r="BY33" i="1"/>
  <c r="BZ33" i="1"/>
  <c r="BV34" i="1"/>
  <c r="BW34" i="1"/>
  <c r="BX34" i="1"/>
  <c r="BY34" i="1"/>
  <c r="BZ34" i="1"/>
  <c r="BV35" i="1"/>
  <c r="BW35" i="1"/>
  <c r="BX35" i="1"/>
  <c r="BY35" i="1"/>
  <c r="BZ35" i="1"/>
  <c r="BV36" i="1"/>
  <c r="BW36" i="1"/>
  <c r="BX36" i="1"/>
  <c r="BY36" i="1"/>
  <c r="BZ36" i="1"/>
  <c r="BV37" i="1"/>
  <c r="BW37" i="1"/>
  <c r="BX37" i="1"/>
  <c r="BY37" i="1"/>
  <c r="BZ37" i="1"/>
  <c r="BV38" i="1"/>
  <c r="BW38" i="1"/>
  <c r="BX38" i="1"/>
  <c r="BY38" i="1"/>
  <c r="BZ38" i="1"/>
  <c r="BV39" i="1"/>
  <c r="BW39" i="1"/>
  <c r="BX39" i="1"/>
  <c r="BY39" i="1"/>
  <c r="BZ39" i="1"/>
  <c r="BV40" i="1"/>
  <c r="BW40" i="1"/>
  <c r="BX40" i="1"/>
  <c r="BY40" i="1"/>
  <c r="BZ40" i="1"/>
  <c r="BV41" i="1"/>
  <c r="BW41" i="1"/>
  <c r="BX41" i="1"/>
  <c r="BY41" i="1"/>
  <c r="BZ41" i="1"/>
  <c r="BV42" i="1"/>
  <c r="BW42" i="1"/>
  <c r="BX42" i="1"/>
  <c r="BY42" i="1"/>
  <c r="BZ42" i="1"/>
  <c r="BV43" i="1"/>
  <c r="BW43" i="1"/>
  <c r="BX43" i="1"/>
  <c r="BY43" i="1"/>
  <c r="BZ43" i="1"/>
  <c r="BV44" i="1"/>
  <c r="BW44" i="1"/>
  <c r="BX44" i="1"/>
  <c r="BY44" i="1"/>
  <c r="BZ44" i="1"/>
  <c r="BV45" i="1"/>
  <c r="BW45" i="1"/>
  <c r="BX45" i="1"/>
  <c r="BY45" i="1"/>
  <c r="BZ45" i="1"/>
  <c r="BV46" i="1"/>
  <c r="BW46" i="1"/>
  <c r="BX46" i="1"/>
  <c r="BY46" i="1"/>
  <c r="BZ46" i="1"/>
  <c r="BV47" i="1"/>
  <c r="BW47" i="1"/>
  <c r="BX47" i="1"/>
  <c r="BY47" i="1"/>
  <c r="BZ47" i="1"/>
  <c r="BV48" i="1"/>
  <c r="BW48" i="1"/>
  <c r="BX48" i="1"/>
  <c r="BY48" i="1"/>
  <c r="BZ48" i="1"/>
  <c r="BV49" i="1"/>
  <c r="BW49" i="1"/>
  <c r="BX49" i="1"/>
  <c r="BY49" i="1"/>
  <c r="BZ49" i="1"/>
  <c r="BV50" i="1"/>
  <c r="BW50" i="1"/>
  <c r="BX50" i="1"/>
  <c r="BY50" i="1"/>
  <c r="BZ50" i="1"/>
  <c r="BV51" i="1"/>
  <c r="BW51" i="1"/>
  <c r="BX51" i="1"/>
  <c r="BY51" i="1"/>
  <c r="BZ51" i="1"/>
  <c r="BV52" i="1"/>
  <c r="BW52" i="1"/>
  <c r="BX52" i="1"/>
  <c r="BY52" i="1"/>
  <c r="BZ52" i="1"/>
  <c r="BV53" i="1"/>
  <c r="BW53" i="1"/>
  <c r="BX53" i="1"/>
  <c r="BY53" i="1"/>
  <c r="BZ53" i="1"/>
  <c r="BV54" i="1"/>
  <c r="BW54" i="1"/>
  <c r="BX54" i="1"/>
  <c r="BY54" i="1"/>
  <c r="BZ54" i="1"/>
  <c r="BV55" i="1"/>
  <c r="BW55" i="1"/>
  <c r="BX55" i="1"/>
  <c r="BY55" i="1"/>
  <c r="BZ55" i="1"/>
  <c r="BV56" i="1"/>
  <c r="BW56" i="1"/>
  <c r="BX56" i="1"/>
  <c r="BY56" i="1"/>
  <c r="BZ56" i="1"/>
  <c r="BV57" i="1"/>
  <c r="BW57" i="1"/>
  <c r="BX57" i="1"/>
  <c r="BY57" i="1"/>
  <c r="BZ57" i="1"/>
  <c r="BV58" i="1"/>
  <c r="BW58" i="1"/>
  <c r="BX58" i="1"/>
  <c r="BY58" i="1"/>
  <c r="BZ58" i="1"/>
  <c r="BV59" i="1"/>
  <c r="BW59" i="1"/>
  <c r="BX59" i="1"/>
  <c r="BY59" i="1"/>
  <c r="BZ59" i="1"/>
  <c r="BV60" i="1"/>
  <c r="BW60" i="1"/>
  <c r="BX60" i="1"/>
  <c r="BY60" i="1"/>
  <c r="BZ60" i="1"/>
  <c r="BV61" i="1"/>
  <c r="BW61" i="1"/>
  <c r="BX61" i="1"/>
  <c r="BY61" i="1"/>
  <c r="BZ61" i="1"/>
  <c r="BV62" i="1"/>
  <c r="BW62" i="1"/>
  <c r="BX62" i="1"/>
  <c r="BY62" i="1"/>
  <c r="BZ62" i="1"/>
  <c r="BV63" i="1"/>
  <c r="BW63" i="1"/>
  <c r="BX63" i="1"/>
  <c r="BY63" i="1"/>
  <c r="BZ63" i="1"/>
  <c r="BV64" i="1"/>
  <c r="BW64" i="1"/>
  <c r="BX64" i="1"/>
  <c r="BY64" i="1"/>
  <c r="BZ64" i="1"/>
  <c r="BV65" i="1"/>
  <c r="BW65" i="1"/>
  <c r="BX65" i="1"/>
  <c r="BY65" i="1"/>
  <c r="BZ65" i="1"/>
  <c r="BV66" i="1"/>
  <c r="BW66" i="1"/>
  <c r="BX66" i="1"/>
  <c r="BY66" i="1"/>
  <c r="BZ66" i="1"/>
  <c r="BV67" i="1"/>
  <c r="BW67" i="1"/>
  <c r="BX67" i="1"/>
  <c r="BY67" i="1"/>
  <c r="BZ67" i="1"/>
  <c r="BV68" i="1"/>
  <c r="BW68" i="1"/>
  <c r="BX68" i="1"/>
  <c r="BY68" i="1"/>
  <c r="BZ68" i="1"/>
  <c r="BV69" i="1"/>
  <c r="BW69" i="1"/>
  <c r="BX69" i="1"/>
  <c r="BY69" i="1"/>
  <c r="BZ69" i="1"/>
  <c r="BV70" i="1"/>
  <c r="BW70" i="1"/>
  <c r="BX70" i="1"/>
  <c r="BY70" i="1"/>
  <c r="BZ70" i="1"/>
  <c r="BV71" i="1"/>
  <c r="BW71" i="1"/>
  <c r="BX71" i="1"/>
  <c r="BY71" i="1"/>
  <c r="BZ71" i="1"/>
  <c r="BV72" i="1"/>
  <c r="BW72" i="1"/>
  <c r="BX72" i="1"/>
  <c r="BY72" i="1"/>
  <c r="BZ72" i="1"/>
  <c r="BV73" i="1"/>
  <c r="BW73" i="1"/>
  <c r="BX73" i="1"/>
  <c r="BY73" i="1"/>
  <c r="BZ73" i="1"/>
  <c r="BV74" i="1"/>
  <c r="BW74" i="1"/>
  <c r="BX74" i="1"/>
  <c r="BY74" i="1"/>
  <c r="BZ74" i="1"/>
  <c r="BV75" i="1"/>
  <c r="BW75" i="1"/>
  <c r="BX75" i="1"/>
  <c r="BY75" i="1"/>
  <c r="BZ75" i="1"/>
  <c r="BV76" i="1"/>
  <c r="BW76" i="1"/>
  <c r="BX76" i="1"/>
  <c r="BY76" i="1"/>
  <c r="BZ76" i="1"/>
  <c r="BV77" i="1"/>
  <c r="BW77" i="1"/>
  <c r="BX77" i="1"/>
  <c r="BY77" i="1"/>
  <c r="BZ77" i="1"/>
  <c r="BV78" i="1"/>
  <c r="BW78" i="1"/>
  <c r="BX78" i="1"/>
  <c r="BY78" i="1"/>
  <c r="BZ78" i="1"/>
  <c r="BV79" i="1"/>
  <c r="BW79" i="1"/>
  <c r="BX79" i="1"/>
  <c r="BY79" i="1"/>
  <c r="BZ79" i="1"/>
  <c r="BV80" i="1"/>
  <c r="BW80" i="1"/>
  <c r="BX80" i="1"/>
  <c r="BY80" i="1"/>
  <c r="BZ80" i="1"/>
  <c r="BV81" i="1"/>
  <c r="BW81" i="1"/>
  <c r="BX81" i="1"/>
  <c r="BY81" i="1"/>
  <c r="BZ81" i="1"/>
  <c r="BV82" i="1"/>
  <c r="BW82" i="1"/>
  <c r="BX82" i="1"/>
  <c r="BY82" i="1"/>
  <c r="BZ82" i="1"/>
  <c r="BV83" i="1"/>
  <c r="BW83" i="1"/>
  <c r="BX83" i="1"/>
  <c r="BY83" i="1"/>
  <c r="BZ83" i="1"/>
  <c r="BV84" i="1"/>
  <c r="BW84" i="1"/>
  <c r="BX84" i="1"/>
  <c r="BY84" i="1"/>
  <c r="BZ84" i="1"/>
  <c r="BV85" i="1"/>
  <c r="BW85" i="1"/>
  <c r="BX85" i="1"/>
  <c r="BY85" i="1"/>
  <c r="BZ85" i="1"/>
  <c r="BV86" i="1"/>
  <c r="BW86" i="1"/>
  <c r="BX86" i="1"/>
  <c r="BY86" i="1"/>
  <c r="BZ86" i="1"/>
  <c r="BV87" i="1"/>
  <c r="BW87" i="1"/>
  <c r="BX87" i="1"/>
  <c r="BY87" i="1"/>
  <c r="BZ87" i="1"/>
  <c r="BV88" i="1"/>
  <c r="BW88" i="1"/>
  <c r="BX88" i="1"/>
  <c r="BY88" i="1"/>
  <c r="BZ88" i="1"/>
  <c r="BV89" i="1"/>
  <c r="BW89" i="1"/>
  <c r="BX89" i="1"/>
  <c r="BY89" i="1"/>
  <c r="BZ89" i="1"/>
  <c r="BV90" i="1"/>
  <c r="BW90" i="1"/>
  <c r="BX90" i="1"/>
  <c r="BY90" i="1"/>
  <c r="BZ90" i="1"/>
  <c r="BV91" i="1"/>
  <c r="BW91" i="1"/>
  <c r="BX91" i="1"/>
  <c r="BY91" i="1"/>
  <c r="BZ91" i="1"/>
  <c r="BV92" i="1"/>
  <c r="BW92" i="1"/>
  <c r="BX92" i="1"/>
  <c r="BY92" i="1"/>
  <c r="BZ92" i="1"/>
  <c r="BV93" i="1"/>
  <c r="BW93" i="1"/>
  <c r="BX93" i="1"/>
  <c r="BY93" i="1"/>
  <c r="BZ93" i="1"/>
  <c r="BV94" i="1"/>
  <c r="BW94" i="1"/>
  <c r="BX94" i="1"/>
  <c r="BY94" i="1"/>
  <c r="BZ94" i="1"/>
  <c r="BV95" i="1"/>
  <c r="BW95" i="1"/>
  <c r="BX95" i="1"/>
  <c r="BY95" i="1"/>
  <c r="BZ95" i="1"/>
  <c r="BV96" i="1"/>
  <c r="BW96" i="1"/>
  <c r="BX96" i="1"/>
  <c r="BY96" i="1"/>
  <c r="BZ96" i="1"/>
  <c r="BV97" i="1"/>
  <c r="BW97" i="1"/>
  <c r="BX97" i="1"/>
  <c r="BY97" i="1"/>
  <c r="BZ97" i="1"/>
  <c r="BV98" i="1"/>
  <c r="BW98" i="1"/>
  <c r="BX98" i="1"/>
  <c r="BY98" i="1"/>
  <c r="BZ98" i="1"/>
  <c r="BV99" i="1"/>
  <c r="BW99" i="1"/>
  <c r="BX99" i="1"/>
  <c r="BY99" i="1"/>
  <c r="BZ99" i="1"/>
  <c r="BV100" i="1"/>
  <c r="BW100" i="1"/>
  <c r="BX100" i="1"/>
  <c r="BY100" i="1"/>
  <c r="BZ100" i="1"/>
  <c r="BV101" i="1"/>
  <c r="BW101" i="1"/>
  <c r="BX101" i="1"/>
  <c r="BY101" i="1"/>
  <c r="BZ101" i="1"/>
  <c r="BV102" i="1"/>
  <c r="BW102" i="1"/>
  <c r="BX102" i="1"/>
  <c r="BY102" i="1"/>
  <c r="BZ102" i="1"/>
  <c r="BV103" i="1"/>
  <c r="BW103" i="1"/>
  <c r="BX103" i="1"/>
  <c r="BY103" i="1"/>
  <c r="BZ103" i="1"/>
  <c r="BV104" i="1"/>
  <c r="BW104" i="1"/>
  <c r="BX104" i="1"/>
  <c r="BY104" i="1"/>
  <c r="BZ104" i="1"/>
  <c r="BV105" i="1"/>
  <c r="BW105" i="1"/>
  <c r="BX105" i="1"/>
  <c r="BY105" i="1"/>
  <c r="BZ105" i="1"/>
  <c r="BV106" i="1"/>
  <c r="BW106" i="1"/>
  <c r="BX106" i="1"/>
  <c r="BY106" i="1"/>
  <c r="BZ106" i="1"/>
  <c r="BV107" i="1"/>
  <c r="BW107" i="1"/>
  <c r="BX107" i="1"/>
  <c r="BY107" i="1"/>
  <c r="BZ107" i="1"/>
  <c r="BV108" i="1"/>
  <c r="BW108" i="1"/>
  <c r="BX108" i="1"/>
  <c r="BY108" i="1"/>
  <c r="BZ108" i="1"/>
  <c r="BV109" i="1"/>
  <c r="BW109" i="1"/>
  <c r="BX109" i="1"/>
  <c r="BY109" i="1"/>
  <c r="BZ109" i="1"/>
  <c r="BV110" i="1"/>
  <c r="BW110" i="1"/>
  <c r="BX110" i="1"/>
  <c r="BY110" i="1"/>
  <c r="BZ110" i="1"/>
  <c r="BV111" i="1"/>
  <c r="BW111" i="1"/>
  <c r="BX111" i="1"/>
  <c r="BY111" i="1"/>
  <c r="BZ111" i="1"/>
  <c r="BV112" i="1"/>
  <c r="BW112" i="1"/>
  <c r="BX112" i="1"/>
  <c r="BY112" i="1"/>
  <c r="BZ112" i="1"/>
  <c r="BV113" i="1"/>
  <c r="BW113" i="1"/>
  <c r="BX113" i="1"/>
  <c r="BY113" i="1"/>
  <c r="BZ113" i="1"/>
  <c r="BV114" i="1"/>
  <c r="BW114" i="1"/>
  <c r="BX114" i="1"/>
  <c r="BY114" i="1"/>
  <c r="BZ114" i="1"/>
  <c r="BV115" i="1"/>
  <c r="BW115" i="1"/>
  <c r="BX115" i="1"/>
  <c r="BY115" i="1"/>
  <c r="BZ115" i="1"/>
  <c r="BV116" i="1"/>
  <c r="BW116" i="1"/>
  <c r="BX116" i="1"/>
  <c r="BY116" i="1"/>
  <c r="BZ116" i="1"/>
  <c r="BV117" i="1"/>
  <c r="BW117" i="1"/>
  <c r="BX117" i="1"/>
  <c r="BY117" i="1"/>
  <c r="BZ117" i="1"/>
  <c r="BV118" i="1"/>
  <c r="BW118" i="1"/>
  <c r="BX118" i="1"/>
  <c r="BY118" i="1"/>
  <c r="BZ118" i="1"/>
  <c r="BV119" i="1"/>
  <c r="BW119" i="1"/>
  <c r="BX119" i="1"/>
  <c r="BY119" i="1"/>
  <c r="BZ119" i="1"/>
  <c r="BV120" i="1"/>
  <c r="BW120" i="1"/>
  <c r="BX120" i="1"/>
  <c r="BY120" i="1"/>
  <c r="BZ120" i="1"/>
  <c r="BV121" i="1"/>
  <c r="BW121" i="1"/>
  <c r="BX121" i="1"/>
  <c r="BY121" i="1"/>
  <c r="BZ121" i="1"/>
  <c r="BV122" i="1"/>
  <c r="BW122" i="1"/>
  <c r="BX122" i="1"/>
  <c r="BY122" i="1"/>
  <c r="BZ122" i="1"/>
  <c r="BV123" i="1"/>
  <c r="BW123" i="1"/>
  <c r="BX123" i="1"/>
  <c r="BY123" i="1"/>
  <c r="BZ123" i="1"/>
  <c r="BV124" i="1"/>
  <c r="BW124" i="1"/>
  <c r="BX124" i="1"/>
  <c r="BY124" i="1"/>
  <c r="BZ124" i="1"/>
  <c r="BV125" i="1"/>
  <c r="BW125" i="1"/>
  <c r="BX125" i="1"/>
  <c r="BY125" i="1"/>
  <c r="BZ125" i="1"/>
  <c r="BV126" i="1"/>
  <c r="BW126" i="1"/>
  <c r="BX126" i="1"/>
  <c r="BY126" i="1"/>
  <c r="BZ126" i="1"/>
  <c r="BV127" i="1"/>
  <c r="BW127" i="1"/>
  <c r="BX127" i="1"/>
  <c r="BY127" i="1"/>
  <c r="BZ127" i="1"/>
  <c r="BV128" i="1"/>
  <c r="BW128" i="1"/>
  <c r="BX128" i="1"/>
  <c r="BY128" i="1"/>
  <c r="BZ128" i="1"/>
  <c r="BV129" i="1"/>
  <c r="BW129" i="1"/>
  <c r="BX129" i="1"/>
  <c r="BY129" i="1"/>
  <c r="BZ129" i="1"/>
  <c r="BV130" i="1"/>
  <c r="BW130" i="1"/>
  <c r="BX130" i="1"/>
  <c r="BY130" i="1"/>
  <c r="BZ130" i="1"/>
  <c r="BV131" i="1"/>
  <c r="BW131" i="1"/>
  <c r="BX131" i="1"/>
  <c r="BY131" i="1"/>
  <c r="BZ131" i="1"/>
  <c r="BV132" i="1"/>
  <c r="BW132" i="1"/>
  <c r="BX132" i="1"/>
  <c r="BY132" i="1"/>
  <c r="BZ132" i="1"/>
  <c r="BV133" i="1"/>
  <c r="BW133" i="1"/>
  <c r="BX133" i="1"/>
  <c r="BY133" i="1"/>
  <c r="BZ133" i="1"/>
  <c r="BV134" i="1"/>
  <c r="BW134" i="1"/>
  <c r="BX134" i="1"/>
  <c r="BY134" i="1"/>
  <c r="BZ134" i="1"/>
  <c r="BV135" i="1"/>
  <c r="BW135" i="1"/>
  <c r="BX135" i="1"/>
  <c r="BY135" i="1"/>
  <c r="BZ135" i="1"/>
  <c r="BV136" i="1"/>
  <c r="BW136" i="1"/>
  <c r="BX136" i="1"/>
  <c r="BY136" i="1"/>
  <c r="BZ136" i="1"/>
  <c r="BV137" i="1"/>
  <c r="BW137" i="1"/>
  <c r="BX137" i="1"/>
  <c r="BY137" i="1"/>
  <c r="BZ137" i="1"/>
  <c r="BV138" i="1"/>
  <c r="BW138" i="1"/>
  <c r="BX138" i="1"/>
  <c r="BY138" i="1"/>
  <c r="BZ138" i="1"/>
  <c r="BV139" i="1"/>
  <c r="BW139" i="1"/>
  <c r="BX139" i="1"/>
  <c r="BY139" i="1"/>
  <c r="BZ139" i="1"/>
  <c r="BV140" i="1"/>
  <c r="BW140" i="1"/>
  <c r="BX140" i="1"/>
  <c r="BY140" i="1"/>
  <c r="BZ140" i="1"/>
  <c r="BV141" i="1"/>
  <c r="BW141" i="1"/>
  <c r="BX141" i="1"/>
  <c r="BY141" i="1"/>
  <c r="BZ141" i="1"/>
  <c r="BV142" i="1"/>
  <c r="BW142" i="1"/>
  <c r="BX142" i="1"/>
  <c r="BY142" i="1"/>
  <c r="BZ142" i="1"/>
  <c r="BV143" i="1"/>
  <c r="BW143" i="1"/>
  <c r="BX143" i="1"/>
  <c r="BY143" i="1"/>
  <c r="BZ143" i="1"/>
  <c r="BV144" i="1"/>
  <c r="BW144" i="1"/>
  <c r="BX144" i="1"/>
  <c r="BY144" i="1"/>
  <c r="BZ144" i="1"/>
  <c r="BV145" i="1"/>
  <c r="BW145" i="1"/>
  <c r="BX145" i="1"/>
  <c r="BY145" i="1"/>
  <c r="BZ145" i="1"/>
  <c r="BV146" i="1"/>
  <c r="BW146" i="1"/>
  <c r="BX146" i="1"/>
  <c r="BY146" i="1"/>
  <c r="BZ146" i="1"/>
  <c r="BV147" i="1"/>
  <c r="BW147" i="1"/>
  <c r="BX147" i="1"/>
  <c r="BY147" i="1"/>
  <c r="BZ147" i="1"/>
  <c r="BV148" i="1"/>
  <c r="BW148" i="1"/>
  <c r="BX148" i="1"/>
  <c r="BY148" i="1"/>
  <c r="BZ148" i="1"/>
  <c r="BV149" i="1"/>
  <c r="BW149" i="1"/>
  <c r="BX149" i="1"/>
  <c r="BY149" i="1"/>
  <c r="BZ149" i="1"/>
  <c r="BV150" i="1"/>
  <c r="BW150" i="1"/>
  <c r="BX150" i="1"/>
  <c r="BY150" i="1"/>
  <c r="BZ150" i="1"/>
  <c r="BV151" i="1"/>
  <c r="BW151" i="1"/>
  <c r="BX151" i="1"/>
  <c r="BY151" i="1"/>
  <c r="BZ151" i="1"/>
  <c r="BV152" i="1"/>
  <c r="BW152" i="1"/>
  <c r="BX152" i="1"/>
  <c r="BY152" i="1"/>
  <c r="BZ152" i="1"/>
  <c r="BV153" i="1"/>
  <c r="BW153" i="1"/>
  <c r="BX153" i="1"/>
  <c r="BY153" i="1"/>
  <c r="BZ153" i="1"/>
  <c r="BV154" i="1"/>
  <c r="BW154" i="1"/>
  <c r="BX154" i="1"/>
  <c r="BY154" i="1"/>
  <c r="BZ154" i="1"/>
  <c r="BV155" i="1"/>
  <c r="BW155" i="1"/>
  <c r="BX155" i="1"/>
  <c r="BY155" i="1"/>
  <c r="BZ155" i="1"/>
  <c r="BV156" i="1"/>
  <c r="BW156" i="1"/>
  <c r="BX156" i="1"/>
  <c r="BY156" i="1"/>
  <c r="BZ156" i="1"/>
  <c r="BV157" i="1"/>
  <c r="BW157" i="1"/>
  <c r="BX157" i="1"/>
  <c r="BY157" i="1"/>
  <c r="BZ157" i="1"/>
  <c r="BV158" i="1"/>
  <c r="BW158" i="1"/>
  <c r="BX158" i="1"/>
  <c r="BY158" i="1"/>
  <c r="BZ158" i="1"/>
  <c r="BV159" i="1"/>
  <c r="BW159" i="1"/>
  <c r="BX159" i="1"/>
  <c r="BY159" i="1"/>
  <c r="BZ159" i="1"/>
  <c r="BV160" i="1"/>
  <c r="BW160" i="1"/>
  <c r="BX160" i="1"/>
  <c r="BY160" i="1"/>
  <c r="BZ160" i="1"/>
  <c r="BV161" i="1"/>
  <c r="BW161" i="1"/>
  <c r="BX161" i="1"/>
  <c r="BY161" i="1"/>
  <c r="BZ161" i="1"/>
  <c r="BV162" i="1"/>
  <c r="BW162" i="1"/>
  <c r="BX162" i="1"/>
  <c r="BY162" i="1"/>
  <c r="BZ162" i="1"/>
  <c r="BV163" i="1"/>
  <c r="BW163" i="1"/>
  <c r="BX163" i="1"/>
  <c r="BY163" i="1"/>
  <c r="BZ163" i="1"/>
  <c r="BV164" i="1"/>
  <c r="BW164" i="1"/>
  <c r="BX164" i="1"/>
  <c r="BY164" i="1"/>
  <c r="BZ164" i="1"/>
  <c r="BV165" i="1"/>
  <c r="BW165" i="1"/>
  <c r="BX165" i="1"/>
  <c r="BY165" i="1"/>
  <c r="BZ165" i="1"/>
  <c r="BV166" i="1"/>
  <c r="BW166" i="1"/>
  <c r="BX166" i="1"/>
  <c r="BY166" i="1"/>
  <c r="BZ166" i="1"/>
  <c r="BV167" i="1"/>
  <c r="BW167" i="1"/>
  <c r="BX167" i="1"/>
  <c r="BY167" i="1"/>
  <c r="BZ167" i="1"/>
  <c r="BV168" i="1"/>
  <c r="BW168" i="1"/>
  <c r="BX168" i="1"/>
  <c r="BY168" i="1"/>
  <c r="BZ168" i="1"/>
  <c r="BV169" i="1"/>
  <c r="BW169" i="1"/>
  <c r="BX169" i="1"/>
  <c r="BY169" i="1"/>
  <c r="BZ169" i="1"/>
  <c r="BV170" i="1"/>
  <c r="BW170" i="1"/>
  <c r="BX170" i="1"/>
  <c r="BY170" i="1"/>
  <c r="BZ170" i="1"/>
  <c r="BV171" i="1"/>
  <c r="BW171" i="1"/>
  <c r="BX171" i="1"/>
  <c r="BY171" i="1"/>
  <c r="BZ171" i="1"/>
  <c r="BV172" i="1"/>
  <c r="BW172" i="1"/>
  <c r="BX172" i="1"/>
  <c r="BY172" i="1"/>
  <c r="BZ172" i="1"/>
  <c r="BV173" i="1"/>
  <c r="BW173" i="1"/>
  <c r="BX173" i="1"/>
  <c r="BY173" i="1"/>
  <c r="BZ173" i="1"/>
  <c r="BV174" i="1"/>
  <c r="BW174" i="1"/>
  <c r="BX174" i="1"/>
  <c r="BY174" i="1"/>
  <c r="BZ174" i="1"/>
  <c r="BV175" i="1"/>
  <c r="BW175" i="1"/>
  <c r="BX175" i="1"/>
  <c r="BY175" i="1"/>
  <c r="BZ175" i="1"/>
  <c r="BV176" i="1"/>
  <c r="BW176" i="1"/>
  <c r="BX176" i="1"/>
  <c r="BY176" i="1"/>
  <c r="BZ176" i="1"/>
  <c r="BV177" i="1"/>
  <c r="BW177" i="1"/>
  <c r="BX177" i="1"/>
  <c r="BY177" i="1"/>
  <c r="BZ177" i="1"/>
  <c r="BV178" i="1"/>
  <c r="BW178" i="1"/>
  <c r="BX178" i="1"/>
  <c r="BY178" i="1"/>
  <c r="BZ178" i="1"/>
  <c r="BV179" i="1"/>
  <c r="BW179" i="1"/>
  <c r="BX179" i="1"/>
  <c r="BY179" i="1"/>
  <c r="BZ179" i="1"/>
  <c r="BV180" i="1"/>
  <c r="BW180" i="1"/>
  <c r="BX180" i="1"/>
  <c r="BY180" i="1"/>
  <c r="BZ180" i="1"/>
  <c r="BV181" i="1"/>
  <c r="BW181" i="1"/>
  <c r="BX181" i="1"/>
  <c r="BY181" i="1"/>
  <c r="BZ181" i="1"/>
  <c r="BV182" i="1"/>
  <c r="BW182" i="1"/>
  <c r="BX182" i="1"/>
  <c r="BY182" i="1"/>
  <c r="BZ182" i="1"/>
  <c r="BV183" i="1"/>
  <c r="BW183" i="1"/>
  <c r="BX183" i="1"/>
  <c r="BY183" i="1"/>
  <c r="BZ183" i="1"/>
  <c r="BV184" i="1"/>
  <c r="BW184" i="1"/>
  <c r="BX184" i="1"/>
  <c r="BY184" i="1"/>
  <c r="BZ184" i="1"/>
  <c r="BV185" i="1"/>
  <c r="BW185" i="1"/>
  <c r="BX185" i="1"/>
  <c r="BY185" i="1"/>
  <c r="BZ185" i="1"/>
  <c r="BV186" i="1"/>
  <c r="BW186" i="1"/>
  <c r="BX186" i="1"/>
  <c r="BY186" i="1"/>
  <c r="BZ186" i="1"/>
  <c r="BV187" i="1"/>
  <c r="BW187" i="1"/>
  <c r="BX187" i="1"/>
  <c r="BY187" i="1"/>
  <c r="BZ187" i="1"/>
  <c r="BV188" i="1"/>
  <c r="BW188" i="1"/>
  <c r="BX188" i="1"/>
  <c r="BY188" i="1"/>
  <c r="BZ188" i="1"/>
  <c r="BV189" i="1"/>
  <c r="BW189" i="1"/>
  <c r="BX189" i="1"/>
  <c r="BY189" i="1"/>
  <c r="BZ189" i="1"/>
  <c r="BV190" i="1"/>
  <c r="BW190" i="1"/>
  <c r="BX190" i="1"/>
  <c r="BY190" i="1"/>
  <c r="BZ190" i="1"/>
  <c r="BV191" i="1"/>
  <c r="BW191" i="1"/>
  <c r="BX191" i="1"/>
  <c r="BY191" i="1"/>
  <c r="BZ191" i="1"/>
  <c r="BV192" i="1"/>
  <c r="BW192" i="1"/>
  <c r="BX192" i="1"/>
  <c r="BY192" i="1"/>
  <c r="BZ192" i="1"/>
  <c r="BV193" i="1"/>
  <c r="BW193" i="1"/>
  <c r="BX193" i="1"/>
  <c r="BY193" i="1"/>
  <c r="BZ193" i="1"/>
  <c r="BV194" i="1"/>
  <c r="BW194" i="1"/>
  <c r="BX194" i="1"/>
  <c r="BY194" i="1"/>
  <c r="BZ194" i="1"/>
  <c r="BV195" i="1"/>
  <c r="BW195" i="1"/>
  <c r="BX195" i="1"/>
  <c r="BY195" i="1"/>
  <c r="BZ195" i="1"/>
  <c r="BV196" i="1"/>
  <c r="BW196" i="1"/>
  <c r="BX196" i="1"/>
  <c r="BY196" i="1"/>
  <c r="BZ196" i="1"/>
  <c r="BV197" i="1"/>
  <c r="BW197" i="1"/>
  <c r="BX197" i="1"/>
  <c r="BY197" i="1"/>
  <c r="BZ197" i="1"/>
  <c r="BV198" i="1"/>
  <c r="BW198" i="1"/>
  <c r="BX198" i="1"/>
  <c r="BY198" i="1"/>
  <c r="BZ198" i="1"/>
  <c r="BV199" i="1"/>
  <c r="BW199" i="1"/>
  <c r="BX199" i="1"/>
  <c r="BY199" i="1"/>
  <c r="BZ199" i="1"/>
  <c r="BV200" i="1"/>
  <c r="BW200" i="1"/>
  <c r="BX200" i="1"/>
  <c r="BY200" i="1"/>
  <c r="BZ200" i="1"/>
  <c r="BV201" i="1"/>
  <c r="BW201" i="1"/>
  <c r="BX201" i="1"/>
  <c r="BY201" i="1"/>
  <c r="BZ201" i="1"/>
  <c r="BV202" i="1"/>
  <c r="BW202" i="1"/>
  <c r="BX202" i="1"/>
  <c r="BY202" i="1"/>
  <c r="BZ202" i="1"/>
  <c r="BV3" i="1"/>
  <c r="BW3" i="1"/>
  <c r="BX3" i="1"/>
  <c r="BY3" i="1"/>
  <c r="BZ3" i="1"/>
  <c r="BR3" i="1"/>
  <c r="BS3" i="1"/>
  <c r="BT3" i="1"/>
  <c r="BO3" i="1"/>
  <c r="BP3" i="1"/>
  <c r="BK3" i="1"/>
  <c r="BL3" i="1"/>
  <c r="BM3" i="1"/>
  <c r="BG3" i="1"/>
  <c r="BH3" i="1"/>
  <c r="BI3" i="1"/>
  <c r="BC3" i="1"/>
  <c r="BD3" i="1"/>
  <c r="BE3" i="1"/>
  <c r="AY4" i="1"/>
  <c r="AZ4" i="1"/>
  <c r="BA4" i="1"/>
  <c r="AY5" i="1"/>
  <c r="AZ5" i="1"/>
  <c r="BA5" i="1"/>
  <c r="AY6" i="1"/>
  <c r="AZ6" i="1"/>
  <c r="BA6" i="1"/>
  <c r="AY7" i="1"/>
  <c r="AZ7" i="1"/>
  <c r="BA7" i="1"/>
  <c r="AY8" i="1"/>
  <c r="AZ8" i="1"/>
  <c r="BA8" i="1"/>
  <c r="AY9" i="1"/>
  <c r="AZ9" i="1"/>
  <c r="BA9" i="1"/>
  <c r="AY10" i="1"/>
  <c r="AZ10" i="1"/>
  <c r="BA10" i="1"/>
  <c r="AY11" i="1"/>
  <c r="AZ11" i="1"/>
  <c r="BA11" i="1"/>
  <c r="AY12" i="1"/>
  <c r="AZ12" i="1"/>
  <c r="BA12" i="1"/>
  <c r="AY13" i="1"/>
  <c r="AZ13" i="1"/>
  <c r="BA13" i="1"/>
  <c r="AY14" i="1"/>
  <c r="AZ14" i="1"/>
  <c r="BA14" i="1"/>
  <c r="AY15" i="1"/>
  <c r="AZ15" i="1"/>
  <c r="BA15" i="1"/>
  <c r="AY16" i="1"/>
  <c r="AZ16" i="1"/>
  <c r="BA16" i="1"/>
  <c r="AY17" i="1"/>
  <c r="AZ17" i="1"/>
  <c r="BA17" i="1"/>
  <c r="AY18" i="1"/>
  <c r="AZ18" i="1"/>
  <c r="BA18" i="1"/>
  <c r="AY19" i="1"/>
  <c r="AZ19" i="1"/>
  <c r="BA19" i="1"/>
  <c r="AY20" i="1"/>
  <c r="AZ20" i="1"/>
  <c r="BA20" i="1"/>
  <c r="AY21" i="1"/>
  <c r="AZ21" i="1"/>
  <c r="BA21" i="1"/>
  <c r="AY22" i="1"/>
  <c r="AZ22" i="1"/>
  <c r="BA22" i="1"/>
  <c r="AY23" i="1"/>
  <c r="AZ23" i="1"/>
  <c r="BA23" i="1"/>
  <c r="AY24" i="1"/>
  <c r="AZ24" i="1"/>
  <c r="BA24" i="1"/>
  <c r="AY25" i="1"/>
  <c r="AZ25" i="1"/>
  <c r="BA25" i="1"/>
  <c r="AY26" i="1"/>
  <c r="AZ26" i="1"/>
  <c r="BA26" i="1"/>
  <c r="AY27" i="1"/>
  <c r="AZ27" i="1"/>
  <c r="BA27" i="1"/>
  <c r="AY28" i="1"/>
  <c r="AZ28" i="1"/>
  <c r="BA28" i="1"/>
  <c r="AY29" i="1"/>
  <c r="AZ29" i="1"/>
  <c r="BA29" i="1"/>
  <c r="AY30" i="1"/>
  <c r="AZ30" i="1"/>
  <c r="BA30" i="1"/>
  <c r="AY31" i="1"/>
  <c r="AZ31" i="1"/>
  <c r="BA31" i="1"/>
  <c r="AY32" i="1"/>
  <c r="AZ32" i="1"/>
  <c r="BA32" i="1"/>
  <c r="AY33" i="1"/>
  <c r="AZ33" i="1"/>
  <c r="BA33" i="1"/>
  <c r="AY34" i="1"/>
  <c r="AZ34" i="1"/>
  <c r="BA34" i="1"/>
  <c r="AY35" i="1"/>
  <c r="AZ35" i="1"/>
  <c r="BA35" i="1"/>
  <c r="AY36" i="1"/>
  <c r="AZ36" i="1"/>
  <c r="BA36" i="1"/>
  <c r="AY37" i="1"/>
  <c r="AZ37" i="1"/>
  <c r="BA37" i="1"/>
  <c r="AY38" i="1"/>
  <c r="AZ38" i="1"/>
  <c r="BA38" i="1"/>
  <c r="AY39" i="1"/>
  <c r="AZ39" i="1"/>
  <c r="BA39" i="1"/>
  <c r="AY40" i="1"/>
  <c r="AZ40" i="1"/>
  <c r="BA40" i="1"/>
  <c r="AY41" i="1"/>
  <c r="AZ41" i="1"/>
  <c r="BA41" i="1"/>
  <c r="AY42" i="1"/>
  <c r="AZ42" i="1"/>
  <c r="BA42" i="1"/>
  <c r="AY43" i="1"/>
  <c r="AZ43" i="1"/>
  <c r="BA43" i="1"/>
  <c r="AY44" i="1"/>
  <c r="AZ44" i="1"/>
  <c r="BA44" i="1"/>
  <c r="AY45" i="1"/>
  <c r="AZ45" i="1"/>
  <c r="BA45" i="1"/>
  <c r="AY46" i="1"/>
  <c r="AZ46" i="1"/>
  <c r="BA46" i="1"/>
  <c r="AY47" i="1"/>
  <c r="AZ47" i="1"/>
  <c r="BA47" i="1"/>
  <c r="AY48" i="1"/>
  <c r="AZ48" i="1"/>
  <c r="BA48" i="1"/>
  <c r="AY49" i="1"/>
  <c r="AZ49" i="1"/>
  <c r="BA49" i="1"/>
  <c r="AY50" i="1"/>
  <c r="AZ50" i="1"/>
  <c r="BA50" i="1"/>
  <c r="AY51" i="1"/>
  <c r="AZ51" i="1"/>
  <c r="BA51" i="1"/>
  <c r="AY52" i="1"/>
  <c r="AZ52" i="1"/>
  <c r="BA52" i="1"/>
  <c r="AY53" i="1"/>
  <c r="AZ53" i="1"/>
  <c r="BA53" i="1"/>
  <c r="AY54" i="1"/>
  <c r="AZ54" i="1"/>
  <c r="BA54" i="1"/>
  <c r="AY55" i="1"/>
  <c r="AZ55" i="1"/>
  <c r="BA55" i="1"/>
  <c r="AY56" i="1"/>
  <c r="AZ56" i="1"/>
  <c r="BA56" i="1"/>
  <c r="AY57" i="1"/>
  <c r="AZ57" i="1"/>
  <c r="BA57" i="1"/>
  <c r="AY58" i="1"/>
  <c r="AZ58" i="1"/>
  <c r="BA58" i="1"/>
  <c r="AY59" i="1"/>
  <c r="AZ59" i="1"/>
  <c r="BA59" i="1"/>
  <c r="AY60" i="1"/>
  <c r="AZ60" i="1"/>
  <c r="BA60" i="1"/>
  <c r="AY61" i="1"/>
  <c r="AZ61" i="1"/>
  <c r="BA61" i="1"/>
  <c r="AY62" i="1"/>
  <c r="AZ62" i="1"/>
  <c r="BA62" i="1"/>
  <c r="AY63" i="1"/>
  <c r="AZ63" i="1"/>
  <c r="BA63" i="1"/>
  <c r="AY64" i="1"/>
  <c r="AZ64" i="1"/>
  <c r="BA64" i="1"/>
  <c r="AY65" i="1"/>
  <c r="AZ65" i="1"/>
  <c r="BA65" i="1"/>
  <c r="AY66" i="1"/>
  <c r="AZ66" i="1"/>
  <c r="BA66" i="1"/>
  <c r="AY67" i="1"/>
  <c r="AZ67" i="1"/>
  <c r="BA67" i="1"/>
  <c r="AY68" i="1"/>
  <c r="AZ68" i="1"/>
  <c r="BA68" i="1"/>
  <c r="AY69" i="1"/>
  <c r="AZ69" i="1"/>
  <c r="BA69" i="1"/>
  <c r="AY70" i="1"/>
  <c r="AZ70" i="1"/>
  <c r="BA70" i="1"/>
  <c r="AY71" i="1"/>
  <c r="AZ71" i="1"/>
  <c r="BA71" i="1"/>
  <c r="AY72" i="1"/>
  <c r="AZ72" i="1"/>
  <c r="BA72" i="1"/>
  <c r="AY73" i="1"/>
  <c r="AZ73" i="1"/>
  <c r="BA73" i="1"/>
  <c r="AY74" i="1"/>
  <c r="AZ74" i="1"/>
  <c r="BA74" i="1"/>
  <c r="AY75" i="1"/>
  <c r="AZ75" i="1"/>
  <c r="BA75" i="1"/>
  <c r="AY76" i="1"/>
  <c r="AZ76" i="1"/>
  <c r="BA76" i="1"/>
  <c r="AY77" i="1"/>
  <c r="AZ77" i="1"/>
  <c r="BA77" i="1"/>
  <c r="AY78" i="1"/>
  <c r="AZ78" i="1"/>
  <c r="BA78" i="1"/>
  <c r="AY79" i="1"/>
  <c r="AZ79" i="1"/>
  <c r="BA79" i="1"/>
  <c r="AY80" i="1"/>
  <c r="AZ80" i="1"/>
  <c r="BA80" i="1"/>
  <c r="AY81" i="1"/>
  <c r="AZ81" i="1"/>
  <c r="BA81" i="1"/>
  <c r="AY82" i="1"/>
  <c r="AZ82" i="1"/>
  <c r="BA82" i="1"/>
  <c r="AY83" i="1"/>
  <c r="AZ83" i="1"/>
  <c r="BA83" i="1"/>
  <c r="AY84" i="1"/>
  <c r="AZ84" i="1"/>
  <c r="BA84" i="1"/>
  <c r="AY85" i="1"/>
  <c r="AZ85" i="1"/>
  <c r="BA85" i="1"/>
  <c r="AY86" i="1"/>
  <c r="AZ86" i="1"/>
  <c r="BA86" i="1"/>
  <c r="AY87" i="1"/>
  <c r="AZ87" i="1"/>
  <c r="BA87" i="1"/>
  <c r="AY88" i="1"/>
  <c r="AZ88" i="1"/>
  <c r="BA88" i="1"/>
  <c r="AY89" i="1"/>
  <c r="AZ89" i="1"/>
  <c r="BA89" i="1"/>
  <c r="AY90" i="1"/>
  <c r="AZ90" i="1"/>
  <c r="BA90" i="1"/>
  <c r="AY91" i="1"/>
  <c r="AZ91" i="1"/>
  <c r="BA91" i="1"/>
  <c r="AY92" i="1"/>
  <c r="AZ92" i="1"/>
  <c r="BA92" i="1"/>
  <c r="AY93" i="1"/>
  <c r="AZ93" i="1"/>
  <c r="BA93" i="1"/>
  <c r="AY94" i="1"/>
  <c r="AZ94" i="1"/>
  <c r="BA94" i="1"/>
  <c r="AY95" i="1"/>
  <c r="AZ95" i="1"/>
  <c r="BA95" i="1"/>
  <c r="AY96" i="1"/>
  <c r="AZ96" i="1"/>
  <c r="BA96" i="1"/>
  <c r="AY97" i="1"/>
  <c r="AZ97" i="1"/>
  <c r="BA97" i="1"/>
  <c r="AY98" i="1"/>
  <c r="AZ98" i="1"/>
  <c r="BA98" i="1"/>
  <c r="AY99" i="1"/>
  <c r="AZ99" i="1"/>
  <c r="BA99" i="1"/>
  <c r="AY100" i="1"/>
  <c r="AZ100" i="1"/>
  <c r="BA100" i="1"/>
  <c r="AY101" i="1"/>
  <c r="AZ101" i="1"/>
  <c r="BA101" i="1"/>
  <c r="AY102" i="1"/>
  <c r="AZ102" i="1"/>
  <c r="BA102" i="1"/>
  <c r="AY103" i="1"/>
  <c r="AZ103" i="1"/>
  <c r="BA103" i="1"/>
  <c r="AY104" i="1"/>
  <c r="AZ104" i="1"/>
  <c r="BA104" i="1"/>
  <c r="AY105" i="1"/>
  <c r="AZ105" i="1"/>
  <c r="BA105" i="1"/>
  <c r="AY106" i="1"/>
  <c r="AZ106" i="1"/>
  <c r="BA106" i="1"/>
  <c r="AY107" i="1"/>
  <c r="AZ107" i="1"/>
  <c r="BA107" i="1"/>
  <c r="AY108" i="1"/>
  <c r="AZ108" i="1"/>
  <c r="BA108" i="1"/>
  <c r="AY109" i="1"/>
  <c r="AZ109" i="1"/>
  <c r="BA109" i="1"/>
  <c r="AY110" i="1"/>
  <c r="AZ110" i="1"/>
  <c r="BA110" i="1"/>
  <c r="AY111" i="1"/>
  <c r="AZ111" i="1"/>
  <c r="BA111" i="1"/>
  <c r="AY112" i="1"/>
  <c r="AZ112" i="1"/>
  <c r="BA112" i="1"/>
  <c r="AY113" i="1"/>
  <c r="AZ113" i="1"/>
  <c r="BA113" i="1"/>
  <c r="AY114" i="1"/>
  <c r="AZ114" i="1"/>
  <c r="BA114" i="1"/>
  <c r="AY115" i="1"/>
  <c r="AZ115" i="1"/>
  <c r="BA115" i="1"/>
  <c r="AY116" i="1"/>
  <c r="AZ116" i="1"/>
  <c r="BA116" i="1"/>
  <c r="AY117" i="1"/>
  <c r="AZ117" i="1"/>
  <c r="BA117" i="1"/>
  <c r="AY118" i="1"/>
  <c r="AZ118" i="1"/>
  <c r="BA118" i="1"/>
  <c r="AY119" i="1"/>
  <c r="AZ119" i="1"/>
  <c r="BA119" i="1"/>
  <c r="AY120" i="1"/>
  <c r="AZ120" i="1"/>
  <c r="BA120" i="1"/>
  <c r="AY121" i="1"/>
  <c r="AZ121" i="1"/>
  <c r="BA121" i="1"/>
  <c r="AY122" i="1"/>
  <c r="AZ122" i="1"/>
  <c r="BA122" i="1"/>
  <c r="AY123" i="1"/>
  <c r="AZ123" i="1"/>
  <c r="BA123" i="1"/>
  <c r="AY124" i="1"/>
  <c r="AZ124" i="1"/>
  <c r="BA124" i="1"/>
  <c r="AY125" i="1"/>
  <c r="AZ125" i="1"/>
  <c r="BA125" i="1"/>
  <c r="AY126" i="1"/>
  <c r="AZ126" i="1"/>
  <c r="BA126" i="1"/>
  <c r="AY127" i="1"/>
  <c r="AZ127" i="1"/>
  <c r="BA127" i="1"/>
  <c r="AY128" i="1"/>
  <c r="AZ128" i="1"/>
  <c r="BA128" i="1"/>
  <c r="AY129" i="1"/>
  <c r="AZ129" i="1"/>
  <c r="BA129" i="1"/>
  <c r="AY130" i="1"/>
  <c r="AZ130" i="1"/>
  <c r="BA130" i="1"/>
  <c r="AY131" i="1"/>
  <c r="AZ131" i="1"/>
  <c r="BA131" i="1"/>
  <c r="AY132" i="1"/>
  <c r="AZ132" i="1"/>
  <c r="BA132" i="1"/>
  <c r="AY133" i="1"/>
  <c r="AZ133" i="1"/>
  <c r="BA133" i="1"/>
  <c r="AY134" i="1"/>
  <c r="AZ134" i="1"/>
  <c r="BA134" i="1"/>
  <c r="AY135" i="1"/>
  <c r="AZ135" i="1"/>
  <c r="BA135" i="1"/>
  <c r="AY136" i="1"/>
  <c r="AZ136" i="1"/>
  <c r="BA136" i="1"/>
  <c r="AY137" i="1"/>
  <c r="AZ137" i="1"/>
  <c r="BA137" i="1"/>
  <c r="AY138" i="1"/>
  <c r="AZ138" i="1"/>
  <c r="BA138" i="1"/>
  <c r="AY139" i="1"/>
  <c r="AZ139" i="1"/>
  <c r="BA139" i="1"/>
  <c r="AY140" i="1"/>
  <c r="AZ140" i="1"/>
  <c r="BA140" i="1"/>
  <c r="AY141" i="1"/>
  <c r="AZ141" i="1"/>
  <c r="BA141" i="1"/>
  <c r="AY142" i="1"/>
  <c r="AZ142" i="1"/>
  <c r="BA142" i="1"/>
  <c r="AY143" i="1"/>
  <c r="AZ143" i="1"/>
  <c r="BA143" i="1"/>
  <c r="AY144" i="1"/>
  <c r="AZ144" i="1"/>
  <c r="BA144" i="1"/>
  <c r="AY145" i="1"/>
  <c r="AZ145" i="1"/>
  <c r="BA145" i="1"/>
  <c r="AY146" i="1"/>
  <c r="AZ146" i="1"/>
  <c r="BA146" i="1"/>
  <c r="AY147" i="1"/>
  <c r="AZ147" i="1"/>
  <c r="BA147" i="1"/>
  <c r="AY148" i="1"/>
  <c r="AZ148" i="1"/>
  <c r="BA148" i="1"/>
  <c r="AY149" i="1"/>
  <c r="AZ149" i="1"/>
  <c r="BA149" i="1"/>
  <c r="AY150" i="1"/>
  <c r="AZ150" i="1"/>
  <c r="BA150" i="1"/>
  <c r="AY151" i="1"/>
  <c r="AZ151" i="1"/>
  <c r="BA151" i="1"/>
  <c r="AY152" i="1"/>
  <c r="AZ152" i="1"/>
  <c r="BA152" i="1"/>
  <c r="AY153" i="1"/>
  <c r="AZ153" i="1"/>
  <c r="BA153" i="1"/>
  <c r="AY154" i="1"/>
  <c r="AZ154" i="1"/>
  <c r="BA154" i="1"/>
  <c r="AY155" i="1"/>
  <c r="AZ155" i="1"/>
  <c r="BA155" i="1"/>
  <c r="AY156" i="1"/>
  <c r="AZ156" i="1"/>
  <c r="BA156" i="1"/>
  <c r="AY157" i="1"/>
  <c r="AZ157" i="1"/>
  <c r="BA157" i="1"/>
  <c r="AY158" i="1"/>
  <c r="AZ158" i="1"/>
  <c r="BA158" i="1"/>
  <c r="AY159" i="1"/>
  <c r="AZ159" i="1"/>
  <c r="BA159" i="1"/>
  <c r="AY160" i="1"/>
  <c r="AZ160" i="1"/>
  <c r="BA160" i="1"/>
  <c r="AY161" i="1"/>
  <c r="AZ161" i="1"/>
  <c r="BA161" i="1"/>
  <c r="AY162" i="1"/>
  <c r="AZ162" i="1"/>
  <c r="BA162" i="1"/>
  <c r="AY163" i="1"/>
  <c r="AZ163" i="1"/>
  <c r="BA163" i="1"/>
  <c r="AY164" i="1"/>
  <c r="AZ164" i="1"/>
  <c r="BA164" i="1"/>
  <c r="AY165" i="1"/>
  <c r="AZ165" i="1"/>
  <c r="BA165" i="1"/>
  <c r="AY166" i="1"/>
  <c r="AZ166" i="1"/>
  <c r="BA166" i="1"/>
  <c r="AY167" i="1"/>
  <c r="AZ167" i="1"/>
  <c r="BA167" i="1"/>
  <c r="AY168" i="1"/>
  <c r="AZ168" i="1"/>
  <c r="BA168" i="1"/>
  <c r="AY169" i="1"/>
  <c r="AZ169" i="1"/>
  <c r="BA169" i="1"/>
  <c r="AY170" i="1"/>
  <c r="AZ170" i="1"/>
  <c r="BA170" i="1"/>
  <c r="AY171" i="1"/>
  <c r="AZ171" i="1"/>
  <c r="BA171" i="1"/>
  <c r="AY172" i="1"/>
  <c r="AZ172" i="1"/>
  <c r="BA172" i="1"/>
  <c r="AY173" i="1"/>
  <c r="AZ173" i="1"/>
  <c r="BA173" i="1"/>
  <c r="AY174" i="1"/>
  <c r="AZ174" i="1"/>
  <c r="BA174" i="1"/>
  <c r="AY175" i="1"/>
  <c r="AZ175" i="1"/>
  <c r="BA175" i="1"/>
  <c r="AY176" i="1"/>
  <c r="AZ176" i="1"/>
  <c r="BA176" i="1"/>
  <c r="AY177" i="1"/>
  <c r="AZ177" i="1"/>
  <c r="BA177" i="1"/>
  <c r="AY178" i="1"/>
  <c r="AZ178" i="1"/>
  <c r="BA178" i="1"/>
  <c r="AY179" i="1"/>
  <c r="AZ179" i="1"/>
  <c r="BA179" i="1"/>
  <c r="AY180" i="1"/>
  <c r="AZ180" i="1"/>
  <c r="BA180" i="1"/>
  <c r="AY181" i="1"/>
  <c r="AZ181" i="1"/>
  <c r="BA181" i="1"/>
  <c r="AY182" i="1"/>
  <c r="AZ182" i="1"/>
  <c r="BA182" i="1"/>
  <c r="AY183" i="1"/>
  <c r="AZ183" i="1"/>
  <c r="BA183" i="1"/>
  <c r="AY184" i="1"/>
  <c r="AZ184" i="1"/>
  <c r="BA184" i="1"/>
  <c r="AY185" i="1"/>
  <c r="AZ185" i="1"/>
  <c r="BA185" i="1"/>
  <c r="AY186" i="1"/>
  <c r="AZ186" i="1"/>
  <c r="BA186" i="1"/>
  <c r="AY187" i="1"/>
  <c r="AZ187" i="1"/>
  <c r="BA187" i="1"/>
  <c r="AY188" i="1"/>
  <c r="AZ188" i="1"/>
  <c r="BA188" i="1"/>
  <c r="AY189" i="1"/>
  <c r="AZ189" i="1"/>
  <c r="BA189" i="1"/>
  <c r="AY190" i="1"/>
  <c r="AZ190" i="1"/>
  <c r="BA190" i="1"/>
  <c r="AY191" i="1"/>
  <c r="AZ191" i="1"/>
  <c r="BA191" i="1"/>
  <c r="AY192" i="1"/>
  <c r="AZ192" i="1"/>
  <c r="BA192" i="1"/>
  <c r="AY193" i="1"/>
  <c r="AZ193" i="1"/>
  <c r="BA193" i="1"/>
  <c r="AY194" i="1"/>
  <c r="AZ194" i="1"/>
  <c r="BA194" i="1"/>
  <c r="AY195" i="1"/>
  <c r="AZ195" i="1"/>
  <c r="BA195" i="1"/>
  <c r="AY196" i="1"/>
  <c r="AZ196" i="1"/>
  <c r="BA196" i="1"/>
  <c r="AY197" i="1"/>
  <c r="AZ197" i="1"/>
  <c r="BA197" i="1"/>
  <c r="AY198" i="1"/>
  <c r="AZ198" i="1"/>
  <c r="BA198" i="1"/>
  <c r="AY199" i="1"/>
  <c r="AZ199" i="1"/>
  <c r="BA199" i="1"/>
  <c r="AY200" i="1"/>
  <c r="AZ200" i="1"/>
  <c r="BA200" i="1"/>
  <c r="AY201" i="1"/>
  <c r="AZ201" i="1"/>
  <c r="BA201" i="1"/>
  <c r="AY202" i="1"/>
  <c r="AZ202" i="1"/>
  <c r="BA202" i="1"/>
  <c r="AY3" i="1"/>
  <c r="AZ3" i="1"/>
  <c r="BA3" i="1"/>
  <c r="AU4" i="1"/>
  <c r="AV4" i="1"/>
  <c r="AW4" i="1"/>
  <c r="AU5" i="1"/>
  <c r="AV5" i="1"/>
  <c r="AW5" i="1"/>
  <c r="AU6" i="1"/>
  <c r="AV6" i="1"/>
  <c r="AW6" i="1"/>
  <c r="AU7" i="1"/>
  <c r="AV7" i="1"/>
  <c r="AW7" i="1"/>
  <c r="AU8" i="1"/>
  <c r="AV8" i="1"/>
  <c r="AW8" i="1"/>
  <c r="AU9" i="1"/>
  <c r="AV9" i="1"/>
  <c r="AW9" i="1"/>
  <c r="AU10" i="1"/>
  <c r="AV10" i="1"/>
  <c r="AW10" i="1"/>
  <c r="AU11" i="1"/>
  <c r="AV11" i="1"/>
  <c r="AW11" i="1"/>
  <c r="AU12" i="1"/>
  <c r="AV12" i="1"/>
  <c r="AW12" i="1"/>
  <c r="AU13" i="1"/>
  <c r="AV13" i="1"/>
  <c r="AW13" i="1"/>
  <c r="AU14" i="1"/>
  <c r="AV14" i="1"/>
  <c r="AW14" i="1"/>
  <c r="AU15" i="1"/>
  <c r="AV15" i="1"/>
  <c r="AW15" i="1"/>
  <c r="AU16" i="1"/>
  <c r="AV16" i="1"/>
  <c r="AW16" i="1"/>
  <c r="AU17" i="1"/>
  <c r="AV17" i="1"/>
  <c r="AW17" i="1"/>
  <c r="AU18" i="1"/>
  <c r="AV18" i="1"/>
  <c r="AW18" i="1"/>
  <c r="AU19" i="1"/>
  <c r="AV19" i="1"/>
  <c r="AW19" i="1"/>
  <c r="AU20" i="1"/>
  <c r="AV20" i="1"/>
  <c r="AW20" i="1"/>
  <c r="AU21" i="1"/>
  <c r="AV21" i="1"/>
  <c r="AW21" i="1"/>
  <c r="AU22" i="1"/>
  <c r="AV22" i="1"/>
  <c r="AW22" i="1"/>
  <c r="AU23" i="1"/>
  <c r="AV23" i="1"/>
  <c r="AW23" i="1"/>
  <c r="AU24" i="1"/>
  <c r="AV24" i="1"/>
  <c r="AW24" i="1"/>
  <c r="AU25" i="1"/>
  <c r="AV25" i="1"/>
  <c r="AW25" i="1"/>
  <c r="AU26" i="1"/>
  <c r="AV26" i="1"/>
  <c r="AW26" i="1"/>
  <c r="AU27" i="1"/>
  <c r="AV27" i="1"/>
  <c r="AW27" i="1"/>
  <c r="AU28" i="1"/>
  <c r="AV28" i="1"/>
  <c r="AW28" i="1"/>
  <c r="AU29" i="1"/>
  <c r="AV29" i="1"/>
  <c r="AW29" i="1"/>
  <c r="AU30" i="1"/>
  <c r="AV30" i="1"/>
  <c r="AW30" i="1"/>
  <c r="AU31" i="1"/>
  <c r="AV31" i="1"/>
  <c r="AW31" i="1"/>
  <c r="AU32" i="1"/>
  <c r="AV32" i="1"/>
  <c r="AW32" i="1"/>
  <c r="AU33" i="1"/>
  <c r="AV33" i="1"/>
  <c r="AW33" i="1"/>
  <c r="AU34" i="1"/>
  <c r="AV34" i="1"/>
  <c r="AW34" i="1"/>
  <c r="AU35" i="1"/>
  <c r="AV35" i="1"/>
  <c r="AW35" i="1"/>
  <c r="AU36" i="1"/>
  <c r="AV36" i="1"/>
  <c r="AW36" i="1"/>
  <c r="AU37" i="1"/>
  <c r="AV37" i="1"/>
  <c r="AW37" i="1"/>
  <c r="AU38" i="1"/>
  <c r="AV38" i="1"/>
  <c r="AW38" i="1"/>
  <c r="AU39" i="1"/>
  <c r="AV39" i="1"/>
  <c r="AW39" i="1"/>
  <c r="AU40" i="1"/>
  <c r="AV40" i="1"/>
  <c r="AW40" i="1"/>
  <c r="AU41" i="1"/>
  <c r="AV41" i="1"/>
  <c r="AW41" i="1"/>
  <c r="AU42" i="1"/>
  <c r="AV42" i="1"/>
  <c r="AW42" i="1"/>
  <c r="AU43" i="1"/>
  <c r="AV43" i="1"/>
  <c r="AW43" i="1"/>
  <c r="AU44" i="1"/>
  <c r="AV44" i="1"/>
  <c r="AW44" i="1"/>
  <c r="AU45" i="1"/>
  <c r="AV45" i="1"/>
  <c r="AW45" i="1"/>
  <c r="AU46" i="1"/>
  <c r="AV46" i="1"/>
  <c r="AW46" i="1"/>
  <c r="AU47" i="1"/>
  <c r="AV47" i="1"/>
  <c r="AW47" i="1"/>
  <c r="AU48" i="1"/>
  <c r="AV48" i="1"/>
  <c r="AW48" i="1"/>
  <c r="AU49" i="1"/>
  <c r="AV49" i="1"/>
  <c r="AW49" i="1"/>
  <c r="AU50" i="1"/>
  <c r="AV50" i="1"/>
  <c r="AW50" i="1"/>
  <c r="AU51" i="1"/>
  <c r="AV51" i="1"/>
  <c r="AW51" i="1"/>
  <c r="AU52" i="1"/>
  <c r="AV52" i="1"/>
  <c r="AW52" i="1"/>
  <c r="AU53" i="1"/>
  <c r="AV53" i="1"/>
  <c r="AW53" i="1"/>
  <c r="AU54" i="1"/>
  <c r="AV54" i="1"/>
  <c r="AW54" i="1"/>
  <c r="AU55" i="1"/>
  <c r="AV55" i="1"/>
  <c r="AW55" i="1"/>
  <c r="AU56" i="1"/>
  <c r="AV56" i="1"/>
  <c r="AW56" i="1"/>
  <c r="AU57" i="1"/>
  <c r="AV57" i="1"/>
  <c r="AW57" i="1"/>
  <c r="AU58" i="1"/>
  <c r="AV58" i="1"/>
  <c r="AW58" i="1"/>
  <c r="AU59" i="1"/>
  <c r="AV59" i="1"/>
  <c r="AW59" i="1"/>
  <c r="AU60" i="1"/>
  <c r="AV60" i="1"/>
  <c r="AW60" i="1"/>
  <c r="AU61" i="1"/>
  <c r="AV61" i="1"/>
  <c r="AW61" i="1"/>
  <c r="AU62" i="1"/>
  <c r="AV62" i="1"/>
  <c r="AW62" i="1"/>
  <c r="AU63" i="1"/>
  <c r="AV63" i="1"/>
  <c r="AW63" i="1"/>
  <c r="AU64" i="1"/>
  <c r="AV64" i="1"/>
  <c r="AW64" i="1"/>
  <c r="AU65" i="1"/>
  <c r="AV65" i="1"/>
  <c r="AW65" i="1"/>
  <c r="AU66" i="1"/>
  <c r="AV66" i="1"/>
  <c r="AW66" i="1"/>
  <c r="AU67" i="1"/>
  <c r="AV67" i="1"/>
  <c r="AW67" i="1"/>
  <c r="AU68" i="1"/>
  <c r="AV68" i="1"/>
  <c r="AW68" i="1"/>
  <c r="AU69" i="1"/>
  <c r="AV69" i="1"/>
  <c r="AW69" i="1"/>
  <c r="AU70" i="1"/>
  <c r="AV70" i="1"/>
  <c r="AW70" i="1"/>
  <c r="AU71" i="1"/>
  <c r="AV71" i="1"/>
  <c r="AW71" i="1"/>
  <c r="AU72" i="1"/>
  <c r="AV72" i="1"/>
  <c r="AW72" i="1"/>
  <c r="AU73" i="1"/>
  <c r="AV73" i="1"/>
  <c r="AW73" i="1"/>
  <c r="AU74" i="1"/>
  <c r="AV74" i="1"/>
  <c r="AW74" i="1"/>
  <c r="AU75" i="1"/>
  <c r="AV75" i="1"/>
  <c r="AW75" i="1"/>
  <c r="AU76" i="1"/>
  <c r="AV76" i="1"/>
  <c r="AW76" i="1"/>
  <c r="AU77" i="1"/>
  <c r="AV77" i="1"/>
  <c r="AW77" i="1"/>
  <c r="AU78" i="1"/>
  <c r="AV78" i="1"/>
  <c r="AW78" i="1"/>
  <c r="AU79" i="1"/>
  <c r="AV79" i="1"/>
  <c r="AW79" i="1"/>
  <c r="AU80" i="1"/>
  <c r="AV80" i="1"/>
  <c r="AW80" i="1"/>
  <c r="AU81" i="1"/>
  <c r="AV81" i="1"/>
  <c r="AW81" i="1"/>
  <c r="AU82" i="1"/>
  <c r="AV82" i="1"/>
  <c r="AW82" i="1"/>
  <c r="AU83" i="1"/>
  <c r="AV83" i="1"/>
  <c r="AW83" i="1"/>
  <c r="AU84" i="1"/>
  <c r="AV84" i="1"/>
  <c r="AW84" i="1"/>
  <c r="AU85" i="1"/>
  <c r="AV85" i="1"/>
  <c r="AW85" i="1"/>
  <c r="AU86" i="1"/>
  <c r="AV86" i="1"/>
  <c r="AW86" i="1"/>
  <c r="AU87" i="1"/>
  <c r="AV87" i="1"/>
  <c r="AW87" i="1"/>
  <c r="AU88" i="1"/>
  <c r="AV88" i="1"/>
  <c r="AW88" i="1"/>
  <c r="AU89" i="1"/>
  <c r="AV89" i="1"/>
  <c r="AW89" i="1"/>
  <c r="AU90" i="1"/>
  <c r="AV90" i="1"/>
  <c r="AW90" i="1"/>
  <c r="AU91" i="1"/>
  <c r="AV91" i="1"/>
  <c r="AW91" i="1"/>
  <c r="AU92" i="1"/>
  <c r="AV92" i="1"/>
  <c r="AW92" i="1"/>
  <c r="AU93" i="1"/>
  <c r="AV93" i="1"/>
  <c r="AW93" i="1"/>
  <c r="AU94" i="1"/>
  <c r="AV94" i="1"/>
  <c r="AW94" i="1"/>
  <c r="AU95" i="1"/>
  <c r="AV95" i="1"/>
  <c r="AW95" i="1"/>
  <c r="AU96" i="1"/>
  <c r="AV96" i="1"/>
  <c r="AW96" i="1"/>
  <c r="AU97" i="1"/>
  <c r="AV97" i="1"/>
  <c r="AW97" i="1"/>
  <c r="AU98" i="1"/>
  <c r="AV98" i="1"/>
  <c r="AW98" i="1"/>
  <c r="AU99" i="1"/>
  <c r="AV99" i="1"/>
  <c r="AW99" i="1"/>
  <c r="AU100" i="1"/>
  <c r="AV100" i="1"/>
  <c r="AW100" i="1"/>
  <c r="AU101" i="1"/>
  <c r="AV101" i="1"/>
  <c r="AW101" i="1"/>
  <c r="AU102" i="1"/>
  <c r="AV102" i="1"/>
  <c r="AW102" i="1"/>
  <c r="AU103" i="1"/>
  <c r="AV103" i="1"/>
  <c r="AW103" i="1"/>
  <c r="AU104" i="1"/>
  <c r="AV104" i="1"/>
  <c r="AW104" i="1"/>
  <c r="AU105" i="1"/>
  <c r="AV105" i="1"/>
  <c r="AW105" i="1"/>
  <c r="AU106" i="1"/>
  <c r="AV106" i="1"/>
  <c r="AW106" i="1"/>
  <c r="AU107" i="1"/>
  <c r="AV107" i="1"/>
  <c r="AW107" i="1"/>
  <c r="AU108" i="1"/>
  <c r="AV108" i="1"/>
  <c r="AW108" i="1"/>
  <c r="AU109" i="1"/>
  <c r="AV109" i="1"/>
  <c r="AW109" i="1"/>
  <c r="AU110" i="1"/>
  <c r="AV110" i="1"/>
  <c r="AW110" i="1"/>
  <c r="AU111" i="1"/>
  <c r="AV111" i="1"/>
  <c r="AW111" i="1"/>
  <c r="AU112" i="1"/>
  <c r="AV112" i="1"/>
  <c r="AW112" i="1"/>
  <c r="AU113" i="1"/>
  <c r="AV113" i="1"/>
  <c r="AW113" i="1"/>
  <c r="AU114" i="1"/>
  <c r="AV114" i="1"/>
  <c r="AW114" i="1"/>
  <c r="AU115" i="1"/>
  <c r="AV115" i="1"/>
  <c r="AW115" i="1"/>
  <c r="AU116" i="1"/>
  <c r="AV116" i="1"/>
  <c r="AW116" i="1"/>
  <c r="AU117" i="1"/>
  <c r="AV117" i="1"/>
  <c r="AW117" i="1"/>
  <c r="AU118" i="1"/>
  <c r="AV118" i="1"/>
  <c r="AW118" i="1"/>
  <c r="AU119" i="1"/>
  <c r="AV119" i="1"/>
  <c r="AW119" i="1"/>
  <c r="AU120" i="1"/>
  <c r="AV120" i="1"/>
  <c r="AW120" i="1"/>
  <c r="AU121" i="1"/>
  <c r="AV121" i="1"/>
  <c r="AW121" i="1"/>
  <c r="AU122" i="1"/>
  <c r="AV122" i="1"/>
  <c r="AW122" i="1"/>
  <c r="AU123" i="1"/>
  <c r="AV123" i="1"/>
  <c r="AW123" i="1"/>
  <c r="AU124" i="1"/>
  <c r="AV124" i="1"/>
  <c r="AW124" i="1"/>
  <c r="AU125" i="1"/>
  <c r="AV125" i="1"/>
  <c r="AW125" i="1"/>
  <c r="AU126" i="1"/>
  <c r="AV126" i="1"/>
  <c r="AW126" i="1"/>
  <c r="AU127" i="1"/>
  <c r="AV127" i="1"/>
  <c r="AW127" i="1"/>
  <c r="AU128" i="1"/>
  <c r="AV128" i="1"/>
  <c r="AW128" i="1"/>
  <c r="AU129" i="1"/>
  <c r="AV129" i="1"/>
  <c r="AW129" i="1"/>
  <c r="AU130" i="1"/>
  <c r="AV130" i="1"/>
  <c r="AW130" i="1"/>
  <c r="AU131" i="1"/>
  <c r="AV131" i="1"/>
  <c r="AW131" i="1"/>
  <c r="AU132" i="1"/>
  <c r="AV132" i="1"/>
  <c r="AW132" i="1"/>
  <c r="AU133" i="1"/>
  <c r="AV133" i="1"/>
  <c r="AW133" i="1"/>
  <c r="AU134" i="1"/>
  <c r="AV134" i="1"/>
  <c r="AW134" i="1"/>
  <c r="AU135" i="1"/>
  <c r="AV135" i="1"/>
  <c r="AW135" i="1"/>
  <c r="AU136" i="1"/>
  <c r="AV136" i="1"/>
  <c r="AW136" i="1"/>
  <c r="AU137" i="1"/>
  <c r="AV137" i="1"/>
  <c r="AW137" i="1"/>
  <c r="AU138" i="1"/>
  <c r="AV138" i="1"/>
  <c r="AW138" i="1"/>
  <c r="AU139" i="1"/>
  <c r="AV139" i="1"/>
  <c r="AW139" i="1"/>
  <c r="AU140" i="1"/>
  <c r="AV140" i="1"/>
  <c r="AW140" i="1"/>
  <c r="AU141" i="1"/>
  <c r="AV141" i="1"/>
  <c r="AW141" i="1"/>
  <c r="AU142" i="1"/>
  <c r="AV142" i="1"/>
  <c r="AW142" i="1"/>
  <c r="AU143" i="1"/>
  <c r="AV143" i="1"/>
  <c r="AW143" i="1"/>
  <c r="AU144" i="1"/>
  <c r="AV144" i="1"/>
  <c r="AW144" i="1"/>
  <c r="AU145" i="1"/>
  <c r="AV145" i="1"/>
  <c r="AW145" i="1"/>
  <c r="AU146" i="1"/>
  <c r="AV146" i="1"/>
  <c r="AW146" i="1"/>
  <c r="AU147" i="1"/>
  <c r="AV147" i="1"/>
  <c r="AW147" i="1"/>
  <c r="AU148" i="1"/>
  <c r="AV148" i="1"/>
  <c r="AW148" i="1"/>
  <c r="AU149" i="1"/>
  <c r="AV149" i="1"/>
  <c r="AW149" i="1"/>
  <c r="AU150" i="1"/>
  <c r="AV150" i="1"/>
  <c r="AW150" i="1"/>
  <c r="AU151" i="1"/>
  <c r="AV151" i="1"/>
  <c r="AW151" i="1"/>
  <c r="AU152" i="1"/>
  <c r="AV152" i="1"/>
  <c r="AW152" i="1"/>
  <c r="AU153" i="1"/>
  <c r="AV153" i="1"/>
  <c r="AW153" i="1"/>
  <c r="AU154" i="1"/>
  <c r="AV154" i="1"/>
  <c r="AW154" i="1"/>
  <c r="AU155" i="1"/>
  <c r="AV155" i="1"/>
  <c r="AW155" i="1"/>
  <c r="AU156" i="1"/>
  <c r="AV156" i="1"/>
  <c r="AW156" i="1"/>
  <c r="AU157" i="1"/>
  <c r="AV157" i="1"/>
  <c r="AW157" i="1"/>
  <c r="AU158" i="1"/>
  <c r="AV158" i="1"/>
  <c r="AW158" i="1"/>
  <c r="AU159" i="1"/>
  <c r="AV159" i="1"/>
  <c r="AW159" i="1"/>
  <c r="AU160" i="1"/>
  <c r="AV160" i="1"/>
  <c r="AW160" i="1"/>
  <c r="AU161" i="1"/>
  <c r="AV161" i="1"/>
  <c r="AW161" i="1"/>
  <c r="AU162" i="1"/>
  <c r="AV162" i="1"/>
  <c r="AW162" i="1"/>
  <c r="AU163" i="1"/>
  <c r="AV163" i="1"/>
  <c r="AW163" i="1"/>
  <c r="AU164" i="1"/>
  <c r="AV164" i="1"/>
  <c r="AW164" i="1"/>
  <c r="AU165" i="1"/>
  <c r="AV165" i="1"/>
  <c r="AW165" i="1"/>
  <c r="AU166" i="1"/>
  <c r="AV166" i="1"/>
  <c r="AW166" i="1"/>
  <c r="AU167" i="1"/>
  <c r="AV167" i="1"/>
  <c r="AW167" i="1"/>
  <c r="AU168" i="1"/>
  <c r="AV168" i="1"/>
  <c r="AW168" i="1"/>
  <c r="AU169" i="1"/>
  <c r="AV169" i="1"/>
  <c r="AW169" i="1"/>
  <c r="AU170" i="1"/>
  <c r="AV170" i="1"/>
  <c r="AW170" i="1"/>
  <c r="AU171" i="1"/>
  <c r="AV171" i="1"/>
  <c r="AW171" i="1"/>
  <c r="AU172" i="1"/>
  <c r="AV172" i="1"/>
  <c r="AW172" i="1"/>
  <c r="AU173" i="1"/>
  <c r="AV173" i="1"/>
  <c r="AW173" i="1"/>
  <c r="AU174" i="1"/>
  <c r="AV174" i="1"/>
  <c r="AW174" i="1"/>
  <c r="AU175" i="1"/>
  <c r="AV175" i="1"/>
  <c r="AW175" i="1"/>
  <c r="AU176" i="1"/>
  <c r="AV176" i="1"/>
  <c r="AW176" i="1"/>
  <c r="AU177" i="1"/>
  <c r="AV177" i="1"/>
  <c r="AW177" i="1"/>
  <c r="AU178" i="1"/>
  <c r="AV178" i="1"/>
  <c r="AW178" i="1"/>
  <c r="AU179" i="1"/>
  <c r="AV179" i="1"/>
  <c r="AW179" i="1"/>
  <c r="AU180" i="1"/>
  <c r="AV180" i="1"/>
  <c r="AW180" i="1"/>
  <c r="AU181" i="1"/>
  <c r="AV181" i="1"/>
  <c r="AW181" i="1"/>
  <c r="AU182" i="1"/>
  <c r="AV182" i="1"/>
  <c r="AW182" i="1"/>
  <c r="AU183" i="1"/>
  <c r="AV183" i="1"/>
  <c r="AW183" i="1"/>
  <c r="AU184" i="1"/>
  <c r="AV184" i="1"/>
  <c r="AW184" i="1"/>
  <c r="AU185" i="1"/>
  <c r="AV185" i="1"/>
  <c r="AW185" i="1"/>
  <c r="AU186" i="1"/>
  <c r="AV186" i="1"/>
  <c r="AW186" i="1"/>
  <c r="AU187" i="1"/>
  <c r="AV187" i="1"/>
  <c r="AW187" i="1"/>
  <c r="AU188" i="1"/>
  <c r="AV188" i="1"/>
  <c r="AW188" i="1"/>
  <c r="AU189" i="1"/>
  <c r="AV189" i="1"/>
  <c r="AW189" i="1"/>
  <c r="AU190" i="1"/>
  <c r="AV190" i="1"/>
  <c r="AW190" i="1"/>
  <c r="AU191" i="1"/>
  <c r="AV191" i="1"/>
  <c r="AW191" i="1"/>
  <c r="AU192" i="1"/>
  <c r="AV192" i="1"/>
  <c r="AW192" i="1"/>
  <c r="AU193" i="1"/>
  <c r="AV193" i="1"/>
  <c r="AW193" i="1"/>
  <c r="AU194" i="1"/>
  <c r="AV194" i="1"/>
  <c r="AW194" i="1"/>
  <c r="AU195" i="1"/>
  <c r="AV195" i="1"/>
  <c r="AW195" i="1"/>
  <c r="AU196" i="1"/>
  <c r="AV196" i="1"/>
  <c r="AW196" i="1"/>
  <c r="AU197" i="1"/>
  <c r="AV197" i="1"/>
  <c r="AW197" i="1"/>
  <c r="AU198" i="1"/>
  <c r="AV198" i="1"/>
  <c r="AW198" i="1"/>
  <c r="AU199" i="1"/>
  <c r="AV199" i="1"/>
  <c r="AW199" i="1"/>
  <c r="AU200" i="1"/>
  <c r="AV200" i="1"/>
  <c r="AW200" i="1"/>
  <c r="AU201" i="1"/>
  <c r="AV201" i="1"/>
  <c r="AW201" i="1"/>
  <c r="AU202" i="1"/>
  <c r="AV202" i="1"/>
  <c r="AW202" i="1"/>
  <c r="AQ4" i="1"/>
  <c r="AR4" i="1"/>
  <c r="AS4" i="1"/>
  <c r="AQ5" i="1"/>
  <c r="AR5" i="1"/>
  <c r="AS5" i="1"/>
  <c r="AQ6" i="1"/>
  <c r="AR6" i="1"/>
  <c r="AS6" i="1"/>
  <c r="AQ7" i="1"/>
  <c r="AR7" i="1"/>
  <c r="AS7" i="1"/>
  <c r="AQ8" i="1"/>
  <c r="AR8" i="1"/>
  <c r="AS8" i="1"/>
  <c r="AQ9" i="1"/>
  <c r="AR9" i="1"/>
  <c r="AS9" i="1"/>
  <c r="AQ10" i="1"/>
  <c r="AR10" i="1"/>
  <c r="AS10" i="1"/>
  <c r="AQ11" i="1"/>
  <c r="AR11" i="1"/>
  <c r="AS11" i="1"/>
  <c r="AQ12" i="1"/>
  <c r="AR12" i="1"/>
  <c r="AS12" i="1"/>
  <c r="AQ13" i="1"/>
  <c r="AR13" i="1"/>
  <c r="AS13" i="1"/>
  <c r="AQ14" i="1"/>
  <c r="AR14" i="1"/>
  <c r="AS14" i="1"/>
  <c r="AQ15" i="1"/>
  <c r="AR15" i="1"/>
  <c r="AS15" i="1"/>
  <c r="AQ16" i="1"/>
  <c r="AR16" i="1"/>
  <c r="AS16" i="1"/>
  <c r="AQ17" i="1"/>
  <c r="AR17" i="1"/>
  <c r="AS17" i="1"/>
  <c r="AQ18" i="1"/>
  <c r="AR18" i="1"/>
  <c r="AS18" i="1"/>
  <c r="AQ19" i="1"/>
  <c r="AR19" i="1"/>
  <c r="AS19" i="1"/>
  <c r="AQ20" i="1"/>
  <c r="AR20" i="1"/>
  <c r="AS20" i="1"/>
  <c r="AQ21" i="1"/>
  <c r="AR21" i="1"/>
  <c r="AS21" i="1"/>
  <c r="AQ22" i="1"/>
  <c r="AR22" i="1"/>
  <c r="AS22" i="1"/>
  <c r="AQ23" i="1"/>
  <c r="AR23" i="1"/>
  <c r="AS23" i="1"/>
  <c r="AQ24" i="1"/>
  <c r="AR24" i="1"/>
  <c r="AS24" i="1"/>
  <c r="AQ25" i="1"/>
  <c r="AR25" i="1"/>
  <c r="AS25" i="1"/>
  <c r="AQ26" i="1"/>
  <c r="AR26" i="1"/>
  <c r="AS26" i="1"/>
  <c r="AQ27" i="1"/>
  <c r="AR27" i="1"/>
  <c r="AS27" i="1"/>
  <c r="AQ28" i="1"/>
  <c r="AR28" i="1"/>
  <c r="AS28" i="1"/>
  <c r="AQ29" i="1"/>
  <c r="AR29" i="1"/>
  <c r="AS29" i="1"/>
  <c r="AQ30" i="1"/>
  <c r="AR30" i="1"/>
  <c r="AS30" i="1"/>
  <c r="AQ31" i="1"/>
  <c r="AR31" i="1"/>
  <c r="AS31" i="1"/>
  <c r="AQ32" i="1"/>
  <c r="AR32" i="1"/>
  <c r="AS32" i="1"/>
  <c r="AQ33" i="1"/>
  <c r="AR33" i="1"/>
  <c r="AS33" i="1"/>
  <c r="AQ34" i="1"/>
  <c r="AR34" i="1"/>
  <c r="AS34" i="1"/>
  <c r="AQ35" i="1"/>
  <c r="AR35" i="1"/>
  <c r="AS35" i="1"/>
  <c r="AQ36" i="1"/>
  <c r="AR36" i="1"/>
  <c r="AS36" i="1"/>
  <c r="AQ37" i="1"/>
  <c r="AR37" i="1"/>
  <c r="AS37" i="1"/>
  <c r="AQ38" i="1"/>
  <c r="AR38" i="1"/>
  <c r="AS38" i="1"/>
  <c r="AQ39" i="1"/>
  <c r="AR39" i="1"/>
  <c r="AS39" i="1"/>
  <c r="AQ40" i="1"/>
  <c r="AR40" i="1"/>
  <c r="AS40" i="1"/>
  <c r="AQ41" i="1"/>
  <c r="AR41" i="1"/>
  <c r="AS41" i="1"/>
  <c r="AQ42" i="1"/>
  <c r="AR42" i="1"/>
  <c r="AS42" i="1"/>
  <c r="AQ43" i="1"/>
  <c r="AR43" i="1"/>
  <c r="AS43" i="1"/>
  <c r="AQ44" i="1"/>
  <c r="AR44" i="1"/>
  <c r="AS44" i="1"/>
  <c r="AQ45" i="1"/>
  <c r="AR45" i="1"/>
  <c r="AS45" i="1"/>
  <c r="AQ46" i="1"/>
  <c r="AR46" i="1"/>
  <c r="AS46" i="1"/>
  <c r="AQ47" i="1"/>
  <c r="AR47" i="1"/>
  <c r="AS47" i="1"/>
  <c r="AQ48" i="1"/>
  <c r="AR48" i="1"/>
  <c r="AS48" i="1"/>
  <c r="AQ49" i="1"/>
  <c r="AR49" i="1"/>
  <c r="AS49" i="1"/>
  <c r="AQ50" i="1"/>
  <c r="AR50" i="1"/>
  <c r="AS50" i="1"/>
  <c r="AQ51" i="1"/>
  <c r="AR51" i="1"/>
  <c r="AS51" i="1"/>
  <c r="AQ52" i="1"/>
  <c r="AR52" i="1"/>
  <c r="AS52" i="1"/>
  <c r="AQ53" i="1"/>
  <c r="AR53" i="1"/>
  <c r="AS53" i="1"/>
  <c r="AQ54" i="1"/>
  <c r="AR54" i="1"/>
  <c r="AS54" i="1"/>
  <c r="AQ55" i="1"/>
  <c r="AR55" i="1"/>
  <c r="AS55" i="1"/>
  <c r="AQ56" i="1"/>
  <c r="AR56" i="1"/>
  <c r="AS56" i="1"/>
  <c r="AQ57" i="1"/>
  <c r="AR57" i="1"/>
  <c r="AS57" i="1"/>
  <c r="AQ58" i="1"/>
  <c r="AR58" i="1"/>
  <c r="AS58" i="1"/>
  <c r="AQ59" i="1"/>
  <c r="AR59" i="1"/>
  <c r="AS59" i="1"/>
  <c r="AQ60" i="1"/>
  <c r="AR60" i="1"/>
  <c r="AS60" i="1"/>
  <c r="AQ61" i="1"/>
  <c r="AR61" i="1"/>
  <c r="AS61" i="1"/>
  <c r="AQ62" i="1"/>
  <c r="AR62" i="1"/>
  <c r="AS62" i="1"/>
  <c r="AQ63" i="1"/>
  <c r="AR63" i="1"/>
  <c r="AS63" i="1"/>
  <c r="AQ64" i="1"/>
  <c r="AR64" i="1"/>
  <c r="AS64" i="1"/>
  <c r="AQ65" i="1"/>
  <c r="AR65" i="1"/>
  <c r="AS65" i="1"/>
  <c r="AQ66" i="1"/>
  <c r="AR66" i="1"/>
  <c r="AS66" i="1"/>
  <c r="AQ67" i="1"/>
  <c r="AR67" i="1"/>
  <c r="AS67" i="1"/>
  <c r="AQ68" i="1"/>
  <c r="AR68" i="1"/>
  <c r="AS68" i="1"/>
  <c r="AQ69" i="1"/>
  <c r="AR69" i="1"/>
  <c r="AS69" i="1"/>
  <c r="AQ70" i="1"/>
  <c r="AR70" i="1"/>
  <c r="AS70" i="1"/>
  <c r="AQ71" i="1"/>
  <c r="AR71" i="1"/>
  <c r="AS71" i="1"/>
  <c r="AQ72" i="1"/>
  <c r="AR72" i="1"/>
  <c r="AS72" i="1"/>
  <c r="AQ73" i="1"/>
  <c r="AR73" i="1"/>
  <c r="AS73" i="1"/>
  <c r="AQ74" i="1"/>
  <c r="AR74" i="1"/>
  <c r="AS74" i="1"/>
  <c r="AQ75" i="1"/>
  <c r="AR75" i="1"/>
  <c r="AS75" i="1"/>
  <c r="AQ76" i="1"/>
  <c r="AR76" i="1"/>
  <c r="AS76" i="1"/>
  <c r="AQ77" i="1"/>
  <c r="AR77" i="1"/>
  <c r="AS77" i="1"/>
  <c r="AQ78" i="1"/>
  <c r="AR78" i="1"/>
  <c r="AS78" i="1"/>
  <c r="AQ79" i="1"/>
  <c r="AR79" i="1"/>
  <c r="AS79" i="1"/>
  <c r="AQ80" i="1"/>
  <c r="AR80" i="1"/>
  <c r="AS80" i="1"/>
  <c r="AQ81" i="1"/>
  <c r="AR81" i="1"/>
  <c r="AS81" i="1"/>
  <c r="AQ82" i="1"/>
  <c r="AR82" i="1"/>
  <c r="AS82" i="1"/>
  <c r="AQ83" i="1"/>
  <c r="AR83" i="1"/>
  <c r="AS83" i="1"/>
  <c r="AQ84" i="1"/>
  <c r="AR84" i="1"/>
  <c r="AS84" i="1"/>
  <c r="AQ85" i="1"/>
  <c r="AR85" i="1"/>
  <c r="AS85" i="1"/>
  <c r="AQ86" i="1"/>
  <c r="AR86" i="1"/>
  <c r="AS86" i="1"/>
  <c r="AQ87" i="1"/>
  <c r="AR87" i="1"/>
  <c r="AS87" i="1"/>
  <c r="AQ88" i="1"/>
  <c r="AR88" i="1"/>
  <c r="AS88" i="1"/>
  <c r="AQ89" i="1"/>
  <c r="AR89" i="1"/>
  <c r="AS89" i="1"/>
  <c r="AQ90" i="1"/>
  <c r="AR90" i="1"/>
  <c r="AS90" i="1"/>
  <c r="AQ91" i="1"/>
  <c r="AR91" i="1"/>
  <c r="AS91" i="1"/>
  <c r="AQ92" i="1"/>
  <c r="AR92" i="1"/>
  <c r="AS92" i="1"/>
  <c r="AQ93" i="1"/>
  <c r="AR93" i="1"/>
  <c r="AS93" i="1"/>
  <c r="AQ94" i="1"/>
  <c r="AR94" i="1"/>
  <c r="AS94" i="1"/>
  <c r="AQ95" i="1"/>
  <c r="AR95" i="1"/>
  <c r="AS95" i="1"/>
  <c r="AQ96" i="1"/>
  <c r="AR96" i="1"/>
  <c r="AS96" i="1"/>
  <c r="AQ97" i="1"/>
  <c r="AR97" i="1"/>
  <c r="AS97" i="1"/>
  <c r="AQ98" i="1"/>
  <c r="AR98" i="1"/>
  <c r="AS98" i="1"/>
  <c r="AQ99" i="1"/>
  <c r="AR99" i="1"/>
  <c r="AS99" i="1"/>
  <c r="AQ100" i="1"/>
  <c r="AR100" i="1"/>
  <c r="AS100" i="1"/>
  <c r="AQ101" i="1"/>
  <c r="AR101" i="1"/>
  <c r="AS101" i="1"/>
  <c r="AQ102" i="1"/>
  <c r="AR102" i="1"/>
  <c r="AS102" i="1"/>
  <c r="AQ103" i="1"/>
  <c r="AR103" i="1"/>
  <c r="AS103" i="1"/>
  <c r="AQ104" i="1"/>
  <c r="AR104" i="1"/>
  <c r="AS104" i="1"/>
  <c r="AQ105" i="1"/>
  <c r="AR105" i="1"/>
  <c r="AS105" i="1"/>
  <c r="AQ106" i="1"/>
  <c r="AR106" i="1"/>
  <c r="AS106" i="1"/>
  <c r="AQ107" i="1"/>
  <c r="AR107" i="1"/>
  <c r="AS107" i="1"/>
  <c r="AQ108" i="1"/>
  <c r="AR108" i="1"/>
  <c r="AS108" i="1"/>
  <c r="AQ109" i="1"/>
  <c r="AR109" i="1"/>
  <c r="AS109" i="1"/>
  <c r="AQ110" i="1"/>
  <c r="AR110" i="1"/>
  <c r="AS110" i="1"/>
  <c r="AQ111" i="1"/>
  <c r="AR111" i="1"/>
  <c r="AS111" i="1"/>
  <c r="AQ112" i="1"/>
  <c r="AR112" i="1"/>
  <c r="AS112" i="1"/>
  <c r="AQ113" i="1"/>
  <c r="AR113" i="1"/>
  <c r="AS113" i="1"/>
  <c r="AQ114" i="1"/>
  <c r="AR114" i="1"/>
  <c r="AS114" i="1"/>
  <c r="AQ115" i="1"/>
  <c r="AR115" i="1"/>
  <c r="AS115" i="1"/>
  <c r="AQ116" i="1"/>
  <c r="AR116" i="1"/>
  <c r="AS116" i="1"/>
  <c r="AQ117" i="1"/>
  <c r="AR117" i="1"/>
  <c r="AS117" i="1"/>
  <c r="AQ118" i="1"/>
  <c r="AR118" i="1"/>
  <c r="AS118" i="1"/>
  <c r="AQ119" i="1"/>
  <c r="AR119" i="1"/>
  <c r="AS119" i="1"/>
  <c r="AQ120" i="1"/>
  <c r="AR120" i="1"/>
  <c r="AS120" i="1"/>
  <c r="AQ121" i="1"/>
  <c r="AR121" i="1"/>
  <c r="AS121" i="1"/>
  <c r="AQ122" i="1"/>
  <c r="AR122" i="1"/>
  <c r="AS122" i="1"/>
  <c r="AQ123" i="1"/>
  <c r="AR123" i="1"/>
  <c r="AS123" i="1"/>
  <c r="AQ124" i="1"/>
  <c r="AR124" i="1"/>
  <c r="AS124" i="1"/>
  <c r="AQ125" i="1"/>
  <c r="AR125" i="1"/>
  <c r="AS125" i="1"/>
  <c r="AQ126" i="1"/>
  <c r="AR126" i="1"/>
  <c r="AS126" i="1"/>
  <c r="AQ127" i="1"/>
  <c r="AR127" i="1"/>
  <c r="AS127" i="1"/>
  <c r="AQ128" i="1"/>
  <c r="AR128" i="1"/>
  <c r="AS128" i="1"/>
  <c r="AQ129" i="1"/>
  <c r="AR129" i="1"/>
  <c r="AS129" i="1"/>
  <c r="AQ130" i="1"/>
  <c r="AR130" i="1"/>
  <c r="AS130" i="1"/>
  <c r="AQ131" i="1"/>
  <c r="AR131" i="1"/>
  <c r="AS131" i="1"/>
  <c r="AQ132" i="1"/>
  <c r="AR132" i="1"/>
  <c r="AS132" i="1"/>
  <c r="AQ133" i="1"/>
  <c r="AR133" i="1"/>
  <c r="AS133" i="1"/>
  <c r="AQ134" i="1"/>
  <c r="AR134" i="1"/>
  <c r="AS134" i="1"/>
  <c r="AQ135" i="1"/>
  <c r="AR135" i="1"/>
  <c r="AS135" i="1"/>
  <c r="AQ136" i="1"/>
  <c r="AR136" i="1"/>
  <c r="AS136" i="1"/>
  <c r="AQ137" i="1"/>
  <c r="AR137" i="1"/>
  <c r="AS137" i="1"/>
  <c r="AQ138" i="1"/>
  <c r="AR138" i="1"/>
  <c r="AS138" i="1"/>
  <c r="AQ139" i="1"/>
  <c r="AR139" i="1"/>
  <c r="AS139" i="1"/>
  <c r="AQ140" i="1"/>
  <c r="AR140" i="1"/>
  <c r="AS140" i="1"/>
  <c r="AQ141" i="1"/>
  <c r="AR141" i="1"/>
  <c r="AS141" i="1"/>
  <c r="AQ142" i="1"/>
  <c r="AR142" i="1"/>
  <c r="AS142" i="1"/>
  <c r="AQ143" i="1"/>
  <c r="AR143" i="1"/>
  <c r="AS143" i="1"/>
  <c r="AQ144" i="1"/>
  <c r="AR144" i="1"/>
  <c r="AS144" i="1"/>
  <c r="AQ145" i="1"/>
  <c r="AR145" i="1"/>
  <c r="AS145" i="1"/>
  <c r="AQ146" i="1"/>
  <c r="AR146" i="1"/>
  <c r="AS146" i="1"/>
  <c r="AQ147" i="1"/>
  <c r="AR147" i="1"/>
  <c r="AS147" i="1"/>
  <c r="AQ148" i="1"/>
  <c r="AR148" i="1"/>
  <c r="AS148" i="1"/>
  <c r="AQ149" i="1"/>
  <c r="AR149" i="1"/>
  <c r="AS149" i="1"/>
  <c r="AQ150" i="1"/>
  <c r="AR150" i="1"/>
  <c r="AS150" i="1"/>
  <c r="AQ151" i="1"/>
  <c r="AR151" i="1"/>
  <c r="AS151" i="1"/>
  <c r="AQ152" i="1"/>
  <c r="AR152" i="1"/>
  <c r="AS152" i="1"/>
  <c r="AQ153" i="1"/>
  <c r="AR153" i="1"/>
  <c r="AS153" i="1"/>
  <c r="AQ154" i="1"/>
  <c r="AR154" i="1"/>
  <c r="AS154" i="1"/>
  <c r="AQ155" i="1"/>
  <c r="AR155" i="1"/>
  <c r="AS155" i="1"/>
  <c r="AQ156" i="1"/>
  <c r="AR156" i="1"/>
  <c r="AS156" i="1"/>
  <c r="AQ157" i="1"/>
  <c r="AR157" i="1"/>
  <c r="AS157" i="1"/>
  <c r="AQ158" i="1"/>
  <c r="AR158" i="1"/>
  <c r="AS158" i="1"/>
  <c r="AQ159" i="1"/>
  <c r="AR159" i="1"/>
  <c r="AS159" i="1"/>
  <c r="AQ160" i="1"/>
  <c r="AR160" i="1"/>
  <c r="AS160" i="1"/>
  <c r="AQ161" i="1"/>
  <c r="AR161" i="1"/>
  <c r="AS161" i="1"/>
  <c r="AQ162" i="1"/>
  <c r="AR162" i="1"/>
  <c r="AS162" i="1"/>
  <c r="AQ163" i="1"/>
  <c r="AR163" i="1"/>
  <c r="AS163" i="1"/>
  <c r="AQ164" i="1"/>
  <c r="AR164" i="1"/>
  <c r="AS164" i="1"/>
  <c r="AQ165" i="1"/>
  <c r="AR165" i="1"/>
  <c r="AS165" i="1"/>
  <c r="AQ166" i="1"/>
  <c r="AR166" i="1"/>
  <c r="AS166" i="1"/>
  <c r="AQ167" i="1"/>
  <c r="AR167" i="1"/>
  <c r="AS167" i="1"/>
  <c r="AQ168" i="1"/>
  <c r="AR168" i="1"/>
  <c r="AS168" i="1"/>
  <c r="AQ169" i="1"/>
  <c r="AR169" i="1"/>
  <c r="AS169" i="1"/>
  <c r="AQ170" i="1"/>
  <c r="AR170" i="1"/>
  <c r="AS170" i="1"/>
  <c r="AQ171" i="1"/>
  <c r="AR171" i="1"/>
  <c r="AS171" i="1"/>
  <c r="AQ172" i="1"/>
  <c r="AR172" i="1"/>
  <c r="AS172" i="1"/>
  <c r="AQ173" i="1"/>
  <c r="AR173" i="1"/>
  <c r="AS173" i="1"/>
  <c r="AQ174" i="1"/>
  <c r="AR174" i="1"/>
  <c r="AS174" i="1"/>
  <c r="AQ175" i="1"/>
  <c r="AR175" i="1"/>
  <c r="AS175" i="1"/>
  <c r="AQ176" i="1"/>
  <c r="AR176" i="1"/>
  <c r="AS176" i="1"/>
  <c r="AQ177" i="1"/>
  <c r="AR177" i="1"/>
  <c r="AS177" i="1"/>
  <c r="AQ178" i="1"/>
  <c r="AR178" i="1"/>
  <c r="AS178" i="1"/>
  <c r="AQ179" i="1"/>
  <c r="AR179" i="1"/>
  <c r="AS179" i="1"/>
  <c r="AQ180" i="1"/>
  <c r="AR180" i="1"/>
  <c r="AS180" i="1"/>
  <c r="AQ181" i="1"/>
  <c r="AR181" i="1"/>
  <c r="AS181" i="1"/>
  <c r="AQ182" i="1"/>
  <c r="AR182" i="1"/>
  <c r="AS182" i="1"/>
  <c r="AQ183" i="1"/>
  <c r="AR183" i="1"/>
  <c r="AS183" i="1"/>
  <c r="AQ184" i="1"/>
  <c r="AR184" i="1"/>
  <c r="AS184" i="1"/>
  <c r="AQ185" i="1"/>
  <c r="AR185" i="1"/>
  <c r="AS185" i="1"/>
  <c r="AQ186" i="1"/>
  <c r="AR186" i="1"/>
  <c r="AS186" i="1"/>
  <c r="AQ187" i="1"/>
  <c r="AR187" i="1"/>
  <c r="AS187" i="1"/>
  <c r="AQ188" i="1"/>
  <c r="AR188" i="1"/>
  <c r="AS188" i="1"/>
  <c r="AQ189" i="1"/>
  <c r="AR189" i="1"/>
  <c r="AS189" i="1"/>
  <c r="AQ190" i="1"/>
  <c r="AR190" i="1"/>
  <c r="AS190" i="1"/>
  <c r="AQ191" i="1"/>
  <c r="AR191" i="1"/>
  <c r="AS191" i="1"/>
  <c r="AQ192" i="1"/>
  <c r="AR192" i="1"/>
  <c r="AS192" i="1"/>
  <c r="AQ193" i="1"/>
  <c r="AR193" i="1"/>
  <c r="AS193" i="1"/>
  <c r="AQ194" i="1"/>
  <c r="AR194" i="1"/>
  <c r="AS194" i="1"/>
  <c r="AQ195" i="1"/>
  <c r="AR195" i="1"/>
  <c r="AS195" i="1"/>
  <c r="AQ196" i="1"/>
  <c r="AR196" i="1"/>
  <c r="AS196" i="1"/>
  <c r="AQ197" i="1"/>
  <c r="AR197" i="1"/>
  <c r="AS197" i="1"/>
  <c r="AQ198" i="1"/>
  <c r="AR198" i="1"/>
  <c r="AS198" i="1"/>
  <c r="AQ199" i="1"/>
  <c r="AR199" i="1"/>
  <c r="AS199" i="1"/>
  <c r="AQ200" i="1"/>
  <c r="AR200" i="1"/>
  <c r="AS200" i="1"/>
  <c r="AQ201" i="1"/>
  <c r="AR201" i="1"/>
  <c r="AS201" i="1"/>
  <c r="AQ202" i="1"/>
  <c r="AR202" i="1"/>
  <c r="AS202" i="1"/>
  <c r="AU3" i="1"/>
  <c r="AV3" i="1"/>
  <c r="AW3" i="1"/>
  <c r="AQ3" i="1"/>
  <c r="AR3" i="1"/>
  <c r="AS3" i="1"/>
  <c r="AM4" i="1"/>
  <c r="AN4" i="1"/>
  <c r="AO4" i="1"/>
  <c r="AM5" i="1"/>
  <c r="AN5" i="1"/>
  <c r="AO5" i="1"/>
  <c r="AM6" i="1"/>
  <c r="AN6" i="1"/>
  <c r="AO6" i="1"/>
  <c r="AM7" i="1"/>
  <c r="AN7" i="1"/>
  <c r="AO7" i="1"/>
  <c r="AM8" i="1"/>
  <c r="AN8" i="1"/>
  <c r="AO8" i="1"/>
  <c r="AM9" i="1"/>
  <c r="AN9" i="1"/>
  <c r="AO9" i="1"/>
  <c r="AM10" i="1"/>
  <c r="AN10" i="1"/>
  <c r="AO10" i="1"/>
  <c r="AM11" i="1"/>
  <c r="AN11" i="1"/>
  <c r="AO11" i="1"/>
  <c r="AM12" i="1"/>
  <c r="AN12" i="1"/>
  <c r="AO12" i="1"/>
  <c r="AM13" i="1"/>
  <c r="AN13" i="1"/>
  <c r="AO13" i="1"/>
  <c r="AM14" i="1"/>
  <c r="AN14" i="1"/>
  <c r="AO14" i="1"/>
  <c r="AM15" i="1"/>
  <c r="AN15" i="1"/>
  <c r="AO15" i="1"/>
  <c r="AM16" i="1"/>
  <c r="AN16" i="1"/>
  <c r="AO16" i="1"/>
  <c r="AM17" i="1"/>
  <c r="AN17" i="1"/>
  <c r="AO17" i="1"/>
  <c r="AM18" i="1"/>
  <c r="AN18" i="1"/>
  <c r="AO18" i="1"/>
  <c r="AM19" i="1"/>
  <c r="AN19" i="1"/>
  <c r="AO19" i="1"/>
  <c r="AM20" i="1"/>
  <c r="AN20" i="1"/>
  <c r="AO20" i="1"/>
  <c r="AM21" i="1"/>
  <c r="AN21" i="1"/>
  <c r="AO21" i="1"/>
  <c r="AM22" i="1"/>
  <c r="AN22" i="1"/>
  <c r="AO22" i="1"/>
  <c r="AM23" i="1"/>
  <c r="AN23" i="1"/>
  <c r="AO23" i="1"/>
  <c r="AM24" i="1"/>
  <c r="AN24" i="1"/>
  <c r="AO24" i="1"/>
  <c r="AM25" i="1"/>
  <c r="AN25" i="1"/>
  <c r="AO25" i="1"/>
  <c r="AM26" i="1"/>
  <c r="AN26" i="1"/>
  <c r="AO26" i="1"/>
  <c r="AM27" i="1"/>
  <c r="AN27" i="1"/>
  <c r="AO27" i="1"/>
  <c r="AM28" i="1"/>
  <c r="AN28" i="1"/>
  <c r="AO28" i="1"/>
  <c r="AM29" i="1"/>
  <c r="AN29" i="1"/>
  <c r="AO29" i="1"/>
  <c r="AM30" i="1"/>
  <c r="AN30" i="1"/>
  <c r="AO30" i="1"/>
  <c r="AM31" i="1"/>
  <c r="AN31" i="1"/>
  <c r="AO31" i="1"/>
  <c r="AM32" i="1"/>
  <c r="AN32" i="1"/>
  <c r="AO32" i="1"/>
  <c r="AM33" i="1"/>
  <c r="AN33" i="1"/>
  <c r="AO33" i="1"/>
  <c r="AM34" i="1"/>
  <c r="AN34" i="1"/>
  <c r="AO34" i="1"/>
  <c r="AM35" i="1"/>
  <c r="AN35" i="1"/>
  <c r="AO35" i="1"/>
  <c r="AM36" i="1"/>
  <c r="AN36" i="1"/>
  <c r="AO36" i="1"/>
  <c r="AM37" i="1"/>
  <c r="AN37" i="1"/>
  <c r="AO37" i="1"/>
  <c r="AM38" i="1"/>
  <c r="AN38" i="1"/>
  <c r="AO38" i="1"/>
  <c r="AM39" i="1"/>
  <c r="AN39" i="1"/>
  <c r="AO39" i="1"/>
  <c r="AM40" i="1"/>
  <c r="AN40" i="1"/>
  <c r="AO40" i="1"/>
  <c r="AM41" i="1"/>
  <c r="AN41" i="1"/>
  <c r="AO41" i="1"/>
  <c r="AM42" i="1"/>
  <c r="AN42" i="1"/>
  <c r="AO42" i="1"/>
  <c r="AM43" i="1"/>
  <c r="AN43" i="1"/>
  <c r="AO43" i="1"/>
  <c r="AM44" i="1"/>
  <c r="AN44" i="1"/>
  <c r="AO44" i="1"/>
  <c r="AM45" i="1"/>
  <c r="AN45" i="1"/>
  <c r="AO45" i="1"/>
  <c r="AM46" i="1"/>
  <c r="AN46" i="1"/>
  <c r="AO46" i="1"/>
  <c r="AM47" i="1"/>
  <c r="AN47" i="1"/>
  <c r="AO47" i="1"/>
  <c r="AM48" i="1"/>
  <c r="AN48" i="1"/>
  <c r="AO48" i="1"/>
  <c r="AM49" i="1"/>
  <c r="AN49" i="1"/>
  <c r="AO49" i="1"/>
  <c r="AM50" i="1"/>
  <c r="AN50" i="1"/>
  <c r="AO50" i="1"/>
  <c r="AM51" i="1"/>
  <c r="AN51" i="1"/>
  <c r="AO51" i="1"/>
  <c r="AM52" i="1"/>
  <c r="AN52" i="1"/>
  <c r="AO52" i="1"/>
  <c r="AM53" i="1"/>
  <c r="AN53" i="1"/>
  <c r="AO53" i="1"/>
  <c r="AM54" i="1"/>
  <c r="AN54" i="1"/>
  <c r="AO54" i="1"/>
  <c r="AM55" i="1"/>
  <c r="AN55" i="1"/>
  <c r="AO55" i="1"/>
  <c r="AM56" i="1"/>
  <c r="AN56" i="1"/>
  <c r="AO56" i="1"/>
  <c r="AM57" i="1"/>
  <c r="AN57" i="1"/>
  <c r="AO57" i="1"/>
  <c r="AM58" i="1"/>
  <c r="AN58" i="1"/>
  <c r="AO58" i="1"/>
  <c r="AM59" i="1"/>
  <c r="AN59" i="1"/>
  <c r="AO59" i="1"/>
  <c r="AM60" i="1"/>
  <c r="AN60" i="1"/>
  <c r="AO60" i="1"/>
  <c r="AM61" i="1"/>
  <c r="AN61" i="1"/>
  <c r="AO61" i="1"/>
  <c r="AM62" i="1"/>
  <c r="AN62" i="1"/>
  <c r="AO62" i="1"/>
  <c r="AM63" i="1"/>
  <c r="AN63" i="1"/>
  <c r="AO63" i="1"/>
  <c r="AM64" i="1"/>
  <c r="AN64" i="1"/>
  <c r="AO64" i="1"/>
  <c r="AM65" i="1"/>
  <c r="AN65" i="1"/>
  <c r="AO65" i="1"/>
  <c r="AM66" i="1"/>
  <c r="AN66" i="1"/>
  <c r="AO66" i="1"/>
  <c r="AM67" i="1"/>
  <c r="AN67" i="1"/>
  <c r="AO67" i="1"/>
  <c r="AM68" i="1"/>
  <c r="AN68" i="1"/>
  <c r="AO68" i="1"/>
  <c r="AM69" i="1"/>
  <c r="AN69" i="1"/>
  <c r="AO69" i="1"/>
  <c r="AM70" i="1"/>
  <c r="AN70" i="1"/>
  <c r="AO70" i="1"/>
  <c r="AM71" i="1"/>
  <c r="AN71" i="1"/>
  <c r="AO71" i="1"/>
  <c r="AM72" i="1"/>
  <c r="AN72" i="1"/>
  <c r="AO72" i="1"/>
  <c r="AM73" i="1"/>
  <c r="AN73" i="1"/>
  <c r="AO73" i="1"/>
  <c r="AM74" i="1"/>
  <c r="AN74" i="1"/>
  <c r="AO74" i="1"/>
  <c r="AM75" i="1"/>
  <c r="AN75" i="1"/>
  <c r="AO75" i="1"/>
  <c r="AM76" i="1"/>
  <c r="AN76" i="1"/>
  <c r="AO76" i="1"/>
  <c r="AM77" i="1"/>
  <c r="AN77" i="1"/>
  <c r="AO77" i="1"/>
  <c r="AM78" i="1"/>
  <c r="AN78" i="1"/>
  <c r="AO78" i="1"/>
  <c r="AM79" i="1"/>
  <c r="AN79" i="1"/>
  <c r="AO79" i="1"/>
  <c r="AM80" i="1"/>
  <c r="AN80" i="1"/>
  <c r="AO80" i="1"/>
  <c r="AM81" i="1"/>
  <c r="AN81" i="1"/>
  <c r="AO81" i="1"/>
  <c r="AM82" i="1"/>
  <c r="AN82" i="1"/>
  <c r="AO82" i="1"/>
  <c r="AM83" i="1"/>
  <c r="AN83" i="1"/>
  <c r="AO83" i="1"/>
  <c r="AM84" i="1"/>
  <c r="AN84" i="1"/>
  <c r="AO84" i="1"/>
  <c r="AM85" i="1"/>
  <c r="AN85" i="1"/>
  <c r="AO85" i="1"/>
  <c r="AM86" i="1"/>
  <c r="AN86" i="1"/>
  <c r="AO86" i="1"/>
  <c r="AM87" i="1"/>
  <c r="AN87" i="1"/>
  <c r="AO87" i="1"/>
  <c r="AM88" i="1"/>
  <c r="AN88" i="1"/>
  <c r="AO88" i="1"/>
  <c r="AM89" i="1"/>
  <c r="AN89" i="1"/>
  <c r="AO89" i="1"/>
  <c r="AM90" i="1"/>
  <c r="AN90" i="1"/>
  <c r="AO90" i="1"/>
  <c r="AM91" i="1"/>
  <c r="AN91" i="1"/>
  <c r="AO91" i="1"/>
  <c r="AM92" i="1"/>
  <c r="AN92" i="1"/>
  <c r="AO92" i="1"/>
  <c r="AM93" i="1"/>
  <c r="AN93" i="1"/>
  <c r="AO93" i="1"/>
  <c r="AM94" i="1"/>
  <c r="AN94" i="1"/>
  <c r="AO94" i="1"/>
  <c r="AM95" i="1"/>
  <c r="AN95" i="1"/>
  <c r="AO95" i="1"/>
  <c r="AM96" i="1"/>
  <c r="AN96" i="1"/>
  <c r="AO96" i="1"/>
  <c r="AM97" i="1"/>
  <c r="AN97" i="1"/>
  <c r="AO97" i="1"/>
  <c r="AM98" i="1"/>
  <c r="AN98" i="1"/>
  <c r="AO98" i="1"/>
  <c r="AM99" i="1"/>
  <c r="AN99" i="1"/>
  <c r="AO99" i="1"/>
  <c r="AM100" i="1"/>
  <c r="AN100" i="1"/>
  <c r="AO100" i="1"/>
  <c r="AM101" i="1"/>
  <c r="AN101" i="1"/>
  <c r="AO101" i="1"/>
  <c r="AM102" i="1"/>
  <c r="AN102" i="1"/>
  <c r="AO102" i="1"/>
  <c r="AM103" i="1"/>
  <c r="AN103" i="1"/>
  <c r="AO103" i="1"/>
  <c r="AM104" i="1"/>
  <c r="AN104" i="1"/>
  <c r="AO104" i="1"/>
  <c r="AM105" i="1"/>
  <c r="AN105" i="1"/>
  <c r="AO105" i="1"/>
  <c r="AM106" i="1"/>
  <c r="AN106" i="1"/>
  <c r="AO106" i="1"/>
  <c r="AM107" i="1"/>
  <c r="AN107" i="1"/>
  <c r="AO107" i="1"/>
  <c r="AM108" i="1"/>
  <c r="AN108" i="1"/>
  <c r="AO108" i="1"/>
  <c r="AM109" i="1"/>
  <c r="AN109" i="1"/>
  <c r="AO109" i="1"/>
  <c r="AM110" i="1"/>
  <c r="AN110" i="1"/>
  <c r="AO110" i="1"/>
  <c r="AM111" i="1"/>
  <c r="AN111" i="1"/>
  <c r="AO111" i="1"/>
  <c r="AM112" i="1"/>
  <c r="AN112" i="1"/>
  <c r="AO112" i="1"/>
  <c r="AM113" i="1"/>
  <c r="AN113" i="1"/>
  <c r="AO113" i="1"/>
  <c r="AM114" i="1"/>
  <c r="AN114" i="1"/>
  <c r="AO114" i="1"/>
  <c r="AM115" i="1"/>
  <c r="AN115" i="1"/>
  <c r="AO115" i="1"/>
  <c r="AM116" i="1"/>
  <c r="AN116" i="1"/>
  <c r="AO116" i="1"/>
  <c r="AM117" i="1"/>
  <c r="AN117" i="1"/>
  <c r="AO117" i="1"/>
  <c r="AM118" i="1"/>
  <c r="AN118" i="1"/>
  <c r="AO118" i="1"/>
  <c r="AM119" i="1"/>
  <c r="AN119" i="1"/>
  <c r="AO119" i="1"/>
  <c r="AM120" i="1"/>
  <c r="AN120" i="1"/>
  <c r="AO120" i="1"/>
  <c r="AM121" i="1"/>
  <c r="AN121" i="1"/>
  <c r="AO121" i="1"/>
  <c r="AM122" i="1"/>
  <c r="AN122" i="1"/>
  <c r="AO122" i="1"/>
  <c r="AM123" i="1"/>
  <c r="AN123" i="1"/>
  <c r="AO123" i="1"/>
  <c r="AM124" i="1"/>
  <c r="AN124" i="1"/>
  <c r="AO124" i="1"/>
  <c r="AM125" i="1"/>
  <c r="AN125" i="1"/>
  <c r="AO125" i="1"/>
  <c r="AM126" i="1"/>
  <c r="AN126" i="1"/>
  <c r="AO126" i="1"/>
  <c r="AM127" i="1"/>
  <c r="AN127" i="1"/>
  <c r="AO127" i="1"/>
  <c r="AM128" i="1"/>
  <c r="AN128" i="1"/>
  <c r="AO128" i="1"/>
  <c r="AM129" i="1"/>
  <c r="AN129" i="1"/>
  <c r="AO129" i="1"/>
  <c r="AM130" i="1"/>
  <c r="AN130" i="1"/>
  <c r="AO130" i="1"/>
  <c r="AM131" i="1"/>
  <c r="AN131" i="1"/>
  <c r="AO131" i="1"/>
  <c r="AM132" i="1"/>
  <c r="AN132" i="1"/>
  <c r="AO132" i="1"/>
  <c r="AM133" i="1"/>
  <c r="AN133" i="1"/>
  <c r="AO133" i="1"/>
  <c r="AM134" i="1"/>
  <c r="AN134" i="1"/>
  <c r="AO134" i="1"/>
  <c r="AM135" i="1"/>
  <c r="AN135" i="1"/>
  <c r="AO135" i="1"/>
  <c r="AM136" i="1"/>
  <c r="AN136" i="1"/>
  <c r="AO136" i="1"/>
  <c r="AM137" i="1"/>
  <c r="AN137" i="1"/>
  <c r="AO137" i="1"/>
  <c r="AM138" i="1"/>
  <c r="AN138" i="1"/>
  <c r="AO138" i="1"/>
  <c r="AM139" i="1"/>
  <c r="AN139" i="1"/>
  <c r="AO139" i="1"/>
  <c r="AM140" i="1"/>
  <c r="AN140" i="1"/>
  <c r="AO140" i="1"/>
  <c r="AM141" i="1"/>
  <c r="AN141" i="1"/>
  <c r="AO141" i="1"/>
  <c r="AM142" i="1"/>
  <c r="AN142" i="1"/>
  <c r="AO142" i="1"/>
  <c r="AM143" i="1"/>
  <c r="AN143" i="1"/>
  <c r="AO143" i="1"/>
  <c r="AM144" i="1"/>
  <c r="AN144" i="1"/>
  <c r="AO144" i="1"/>
  <c r="AM145" i="1"/>
  <c r="AN145" i="1"/>
  <c r="AO145" i="1"/>
  <c r="AM146" i="1"/>
  <c r="AN146" i="1"/>
  <c r="AO146" i="1"/>
  <c r="AM147" i="1"/>
  <c r="AN147" i="1"/>
  <c r="AO147" i="1"/>
  <c r="AM148" i="1"/>
  <c r="AN148" i="1"/>
  <c r="AO148" i="1"/>
  <c r="AM149" i="1"/>
  <c r="AN149" i="1"/>
  <c r="AO149" i="1"/>
  <c r="AM150" i="1"/>
  <c r="AN150" i="1"/>
  <c r="AO150" i="1"/>
  <c r="AM151" i="1"/>
  <c r="AN151" i="1"/>
  <c r="AO151" i="1"/>
  <c r="AM152" i="1"/>
  <c r="AN152" i="1"/>
  <c r="AO152" i="1"/>
  <c r="AM153" i="1"/>
  <c r="AN153" i="1"/>
  <c r="AO153" i="1"/>
  <c r="AM154" i="1"/>
  <c r="AN154" i="1"/>
  <c r="AO154" i="1"/>
  <c r="AM155" i="1"/>
  <c r="AN155" i="1"/>
  <c r="AO155" i="1"/>
  <c r="AM156" i="1"/>
  <c r="AN156" i="1"/>
  <c r="AO156" i="1"/>
  <c r="AM157" i="1"/>
  <c r="AN157" i="1"/>
  <c r="AO157" i="1"/>
  <c r="AM158" i="1"/>
  <c r="AN158" i="1"/>
  <c r="AO158" i="1"/>
  <c r="AM159" i="1"/>
  <c r="AN159" i="1"/>
  <c r="AO159" i="1"/>
  <c r="AM160" i="1"/>
  <c r="AN160" i="1"/>
  <c r="AO160" i="1"/>
  <c r="AM161" i="1"/>
  <c r="AN161" i="1"/>
  <c r="AO161" i="1"/>
  <c r="AM162" i="1"/>
  <c r="AN162" i="1"/>
  <c r="AO162" i="1"/>
  <c r="AM163" i="1"/>
  <c r="AN163" i="1"/>
  <c r="AO163" i="1"/>
  <c r="AM164" i="1"/>
  <c r="AN164" i="1"/>
  <c r="AO164" i="1"/>
  <c r="AM165" i="1"/>
  <c r="AN165" i="1"/>
  <c r="AO165" i="1"/>
  <c r="AM166" i="1"/>
  <c r="AN166" i="1"/>
  <c r="AO166" i="1"/>
  <c r="AM167" i="1"/>
  <c r="AN167" i="1"/>
  <c r="AO167" i="1"/>
  <c r="AM168" i="1"/>
  <c r="AN168" i="1"/>
  <c r="AO168" i="1"/>
  <c r="AM169" i="1"/>
  <c r="AN169" i="1"/>
  <c r="AO169" i="1"/>
  <c r="AM170" i="1"/>
  <c r="AN170" i="1"/>
  <c r="AO170" i="1"/>
  <c r="AM171" i="1"/>
  <c r="AN171" i="1"/>
  <c r="AO171" i="1"/>
  <c r="AM172" i="1"/>
  <c r="AN172" i="1"/>
  <c r="AO172" i="1"/>
  <c r="AM173" i="1"/>
  <c r="AN173" i="1"/>
  <c r="AO173" i="1"/>
  <c r="AM174" i="1"/>
  <c r="AN174" i="1"/>
  <c r="AO174" i="1"/>
  <c r="AM175" i="1"/>
  <c r="AN175" i="1"/>
  <c r="AO175" i="1"/>
  <c r="AM176" i="1"/>
  <c r="AN176" i="1"/>
  <c r="AO176" i="1"/>
  <c r="AM177" i="1"/>
  <c r="AN177" i="1"/>
  <c r="AO177" i="1"/>
  <c r="AM178" i="1"/>
  <c r="AN178" i="1"/>
  <c r="AO178" i="1"/>
  <c r="AM179" i="1"/>
  <c r="AN179" i="1"/>
  <c r="AO179" i="1"/>
  <c r="AM180" i="1"/>
  <c r="AN180" i="1"/>
  <c r="AO180" i="1"/>
  <c r="AM181" i="1"/>
  <c r="AN181" i="1"/>
  <c r="AO181" i="1"/>
  <c r="AM182" i="1"/>
  <c r="AN182" i="1"/>
  <c r="AO182" i="1"/>
  <c r="AM183" i="1"/>
  <c r="AN183" i="1"/>
  <c r="AO183" i="1"/>
  <c r="AM184" i="1"/>
  <c r="AN184" i="1"/>
  <c r="AO184" i="1"/>
  <c r="AM185" i="1"/>
  <c r="AN185" i="1"/>
  <c r="AO185" i="1"/>
  <c r="AM186" i="1"/>
  <c r="AN186" i="1"/>
  <c r="AO186" i="1"/>
  <c r="AM187" i="1"/>
  <c r="AN187" i="1"/>
  <c r="AO187" i="1"/>
  <c r="AM188" i="1"/>
  <c r="AN188" i="1"/>
  <c r="AO188" i="1"/>
  <c r="AM189" i="1"/>
  <c r="AN189" i="1"/>
  <c r="AO189" i="1"/>
  <c r="AM190" i="1"/>
  <c r="AN190" i="1"/>
  <c r="AO190" i="1"/>
  <c r="AM191" i="1"/>
  <c r="AN191" i="1"/>
  <c r="AO191" i="1"/>
  <c r="AM192" i="1"/>
  <c r="AN192" i="1"/>
  <c r="AO192" i="1"/>
  <c r="AM193" i="1"/>
  <c r="AN193" i="1"/>
  <c r="AO193" i="1"/>
  <c r="AM194" i="1"/>
  <c r="AN194" i="1"/>
  <c r="AO194" i="1"/>
  <c r="AM195" i="1"/>
  <c r="AN195" i="1"/>
  <c r="AO195" i="1"/>
  <c r="AM196" i="1"/>
  <c r="AN196" i="1"/>
  <c r="AO196" i="1"/>
  <c r="AM197" i="1"/>
  <c r="AN197" i="1"/>
  <c r="AO197" i="1"/>
  <c r="AM198" i="1"/>
  <c r="AN198" i="1"/>
  <c r="AO198" i="1"/>
  <c r="AM199" i="1"/>
  <c r="AN199" i="1"/>
  <c r="AO199" i="1"/>
  <c r="AM200" i="1"/>
  <c r="AN200" i="1"/>
  <c r="AO200" i="1"/>
  <c r="AM201" i="1"/>
  <c r="AN201" i="1"/>
  <c r="AO201" i="1"/>
  <c r="AM202" i="1"/>
  <c r="AN202" i="1"/>
  <c r="AO202" i="1"/>
  <c r="AM3" i="1"/>
  <c r="AN3" i="1"/>
  <c r="AO3" i="1"/>
  <c r="AJ4" i="1"/>
  <c r="AK4" i="1"/>
  <c r="AJ5" i="1"/>
  <c r="AK5" i="1"/>
  <c r="AJ6" i="1"/>
  <c r="AK6" i="1"/>
  <c r="AJ7" i="1"/>
  <c r="AK7" i="1"/>
  <c r="AJ8" i="1"/>
  <c r="AK8" i="1"/>
  <c r="AJ9" i="1"/>
  <c r="AK9" i="1"/>
  <c r="AJ10" i="1"/>
  <c r="AK10" i="1"/>
  <c r="AJ11" i="1"/>
  <c r="AK11" i="1"/>
  <c r="AJ12" i="1"/>
  <c r="AK12" i="1"/>
  <c r="AJ13" i="1"/>
  <c r="AK13" i="1"/>
  <c r="AJ14" i="1"/>
  <c r="AK14" i="1"/>
  <c r="AJ15" i="1"/>
  <c r="AK15" i="1"/>
  <c r="AJ16" i="1"/>
  <c r="AK16" i="1"/>
  <c r="AJ17" i="1"/>
  <c r="AK17" i="1"/>
  <c r="AJ18" i="1"/>
  <c r="AK18" i="1"/>
  <c r="AJ19" i="1"/>
  <c r="AK19" i="1"/>
  <c r="AJ20" i="1"/>
  <c r="AK20" i="1"/>
  <c r="AJ21" i="1"/>
  <c r="AK21" i="1"/>
  <c r="AJ22" i="1"/>
  <c r="AK22" i="1"/>
  <c r="AJ23" i="1"/>
  <c r="AK23" i="1"/>
  <c r="AJ24" i="1"/>
  <c r="AK24" i="1"/>
  <c r="AJ25" i="1"/>
  <c r="AK25" i="1"/>
  <c r="AJ26" i="1"/>
  <c r="AK26" i="1"/>
  <c r="AJ27" i="1"/>
  <c r="AK27" i="1"/>
  <c r="AJ28" i="1"/>
  <c r="AK28" i="1"/>
  <c r="AJ29" i="1"/>
  <c r="AK29" i="1"/>
  <c r="AJ30" i="1"/>
  <c r="AK30" i="1"/>
  <c r="AJ31" i="1"/>
  <c r="AK31" i="1"/>
  <c r="AJ32" i="1"/>
  <c r="AK32" i="1"/>
  <c r="AJ33" i="1"/>
  <c r="AK33" i="1"/>
  <c r="AJ34" i="1"/>
  <c r="AK34" i="1"/>
  <c r="AJ35" i="1"/>
  <c r="AK35" i="1"/>
  <c r="AJ36" i="1"/>
  <c r="AK36" i="1"/>
  <c r="AJ37" i="1"/>
  <c r="AK37" i="1"/>
  <c r="AJ38" i="1"/>
  <c r="AK38" i="1"/>
  <c r="AJ39" i="1"/>
  <c r="AK39" i="1"/>
  <c r="AJ40" i="1"/>
  <c r="AK40" i="1"/>
  <c r="AJ41" i="1"/>
  <c r="AK41" i="1"/>
  <c r="AJ42" i="1"/>
  <c r="AK42" i="1"/>
  <c r="AJ43" i="1"/>
  <c r="AK43" i="1"/>
  <c r="AJ44" i="1"/>
  <c r="AK44" i="1"/>
  <c r="AJ45" i="1"/>
  <c r="AK45" i="1"/>
  <c r="AJ46" i="1"/>
  <c r="AK46" i="1"/>
  <c r="AJ47" i="1"/>
  <c r="AK47" i="1"/>
  <c r="AJ48" i="1"/>
  <c r="AK48" i="1"/>
  <c r="AJ49" i="1"/>
  <c r="AK49" i="1"/>
  <c r="AJ50" i="1"/>
  <c r="AK50" i="1"/>
  <c r="AJ51" i="1"/>
  <c r="AK51" i="1"/>
  <c r="AJ52" i="1"/>
  <c r="AK52" i="1"/>
  <c r="AJ53" i="1"/>
  <c r="AK53" i="1"/>
  <c r="AJ54" i="1"/>
  <c r="AK54" i="1"/>
  <c r="AJ55" i="1"/>
  <c r="AK55" i="1"/>
  <c r="AJ56" i="1"/>
  <c r="AK56" i="1"/>
  <c r="AJ57" i="1"/>
  <c r="AK57" i="1"/>
  <c r="AJ58" i="1"/>
  <c r="AK58" i="1"/>
  <c r="AJ59" i="1"/>
  <c r="AK59" i="1"/>
  <c r="AJ60" i="1"/>
  <c r="AK60" i="1"/>
  <c r="AJ61" i="1"/>
  <c r="AK61" i="1"/>
  <c r="AJ62" i="1"/>
  <c r="AK62" i="1"/>
  <c r="AJ63" i="1"/>
  <c r="AK63" i="1"/>
  <c r="AJ64" i="1"/>
  <c r="AK64" i="1"/>
  <c r="AJ65" i="1"/>
  <c r="AK65" i="1"/>
  <c r="AJ66" i="1"/>
  <c r="AK66" i="1"/>
  <c r="AJ67" i="1"/>
  <c r="AK67" i="1"/>
  <c r="AJ68" i="1"/>
  <c r="AK68" i="1"/>
  <c r="AJ69" i="1"/>
  <c r="AK69" i="1"/>
  <c r="AJ70" i="1"/>
  <c r="AK70" i="1"/>
  <c r="AJ71" i="1"/>
  <c r="AK71" i="1"/>
  <c r="AJ72" i="1"/>
  <c r="AK72" i="1"/>
  <c r="AJ73" i="1"/>
  <c r="AK73" i="1"/>
  <c r="AJ74" i="1"/>
  <c r="AK74" i="1"/>
  <c r="AJ75" i="1"/>
  <c r="AK75" i="1"/>
  <c r="AJ76" i="1"/>
  <c r="AK76" i="1"/>
  <c r="AJ77" i="1"/>
  <c r="AK77" i="1"/>
  <c r="AJ78" i="1"/>
  <c r="AK78" i="1"/>
  <c r="AJ79" i="1"/>
  <c r="AK79" i="1"/>
  <c r="AJ80" i="1"/>
  <c r="AK80" i="1"/>
  <c r="AJ81" i="1"/>
  <c r="AK81" i="1"/>
  <c r="AJ82" i="1"/>
  <c r="AK82" i="1"/>
  <c r="AJ83" i="1"/>
  <c r="AK83" i="1"/>
  <c r="AJ84" i="1"/>
  <c r="AK84" i="1"/>
  <c r="AJ85" i="1"/>
  <c r="AK85" i="1"/>
  <c r="AJ86" i="1"/>
  <c r="AK86" i="1"/>
  <c r="AJ87" i="1"/>
  <c r="AK87" i="1"/>
  <c r="AJ88" i="1"/>
  <c r="AK88" i="1"/>
  <c r="AJ89" i="1"/>
  <c r="AK89" i="1"/>
  <c r="AJ90" i="1"/>
  <c r="AK90" i="1"/>
  <c r="AJ91" i="1"/>
  <c r="AK91" i="1"/>
  <c r="AJ92" i="1"/>
  <c r="AK92" i="1"/>
  <c r="AJ93" i="1"/>
  <c r="AK93" i="1"/>
  <c r="AJ94" i="1"/>
  <c r="AK94" i="1"/>
  <c r="AJ95" i="1"/>
  <c r="AK95" i="1"/>
  <c r="AJ96" i="1"/>
  <c r="AK96" i="1"/>
  <c r="AJ97" i="1"/>
  <c r="AK97" i="1"/>
  <c r="AJ98" i="1"/>
  <c r="AK98" i="1"/>
  <c r="AJ99" i="1"/>
  <c r="AK99" i="1"/>
  <c r="AJ100" i="1"/>
  <c r="AK100" i="1"/>
  <c r="AJ101" i="1"/>
  <c r="AK101" i="1"/>
  <c r="AJ102" i="1"/>
  <c r="AK102" i="1"/>
  <c r="AJ103" i="1"/>
  <c r="AK103" i="1"/>
  <c r="AJ104" i="1"/>
  <c r="AK104" i="1"/>
  <c r="AJ105" i="1"/>
  <c r="AK105" i="1"/>
  <c r="AJ106" i="1"/>
  <c r="AK106" i="1"/>
  <c r="AJ107" i="1"/>
  <c r="AK107" i="1"/>
  <c r="AJ108" i="1"/>
  <c r="AK108" i="1"/>
  <c r="AJ109" i="1"/>
  <c r="AK109" i="1"/>
  <c r="AJ110" i="1"/>
  <c r="AK110" i="1"/>
  <c r="AJ111" i="1"/>
  <c r="AK111" i="1"/>
  <c r="AJ112" i="1"/>
  <c r="AK112" i="1"/>
  <c r="AJ113" i="1"/>
  <c r="AK113" i="1"/>
  <c r="AJ114" i="1"/>
  <c r="AK114" i="1"/>
  <c r="AJ115" i="1"/>
  <c r="AK115" i="1"/>
  <c r="AJ116" i="1"/>
  <c r="AK116" i="1"/>
  <c r="AJ117" i="1"/>
  <c r="AK117" i="1"/>
  <c r="AJ118" i="1"/>
  <c r="AK118" i="1"/>
  <c r="AJ119" i="1"/>
  <c r="AK119" i="1"/>
  <c r="AJ120" i="1"/>
  <c r="AK120" i="1"/>
  <c r="AJ121" i="1"/>
  <c r="AK121" i="1"/>
  <c r="AJ122" i="1"/>
  <c r="AK122" i="1"/>
  <c r="AJ123" i="1"/>
  <c r="AK123" i="1"/>
  <c r="AJ124" i="1"/>
  <c r="AK124" i="1"/>
  <c r="AJ125" i="1"/>
  <c r="AK125" i="1"/>
  <c r="AJ126" i="1"/>
  <c r="AK126" i="1"/>
  <c r="AJ127" i="1"/>
  <c r="AK127" i="1"/>
  <c r="AJ128" i="1"/>
  <c r="AK128" i="1"/>
  <c r="AJ129" i="1"/>
  <c r="AK129" i="1"/>
  <c r="AJ130" i="1"/>
  <c r="AK130" i="1"/>
  <c r="AJ131" i="1"/>
  <c r="AK131" i="1"/>
  <c r="AJ132" i="1"/>
  <c r="AK132" i="1"/>
  <c r="AJ133" i="1"/>
  <c r="AK133" i="1"/>
  <c r="AJ134" i="1"/>
  <c r="AK134" i="1"/>
  <c r="AJ135" i="1"/>
  <c r="AK135" i="1"/>
  <c r="AJ136" i="1"/>
  <c r="AK136" i="1"/>
  <c r="AJ137" i="1"/>
  <c r="AK137" i="1"/>
  <c r="AJ138" i="1"/>
  <c r="AK138" i="1"/>
  <c r="AJ139" i="1"/>
  <c r="AK139" i="1"/>
  <c r="AJ140" i="1"/>
  <c r="AK140" i="1"/>
  <c r="AJ141" i="1"/>
  <c r="AK141" i="1"/>
  <c r="AJ142" i="1"/>
  <c r="AK142" i="1"/>
  <c r="AJ143" i="1"/>
  <c r="AK143" i="1"/>
  <c r="AJ144" i="1"/>
  <c r="AK144" i="1"/>
  <c r="AJ145" i="1"/>
  <c r="AK145" i="1"/>
  <c r="AJ146" i="1"/>
  <c r="AK146" i="1"/>
  <c r="AJ147" i="1"/>
  <c r="AK147" i="1"/>
  <c r="AJ148" i="1"/>
  <c r="AK148" i="1"/>
  <c r="AJ149" i="1"/>
  <c r="AK149" i="1"/>
  <c r="AJ150" i="1"/>
  <c r="AK150" i="1"/>
  <c r="AJ151" i="1"/>
  <c r="AK151" i="1"/>
  <c r="AJ152" i="1"/>
  <c r="AK152" i="1"/>
  <c r="AJ153" i="1"/>
  <c r="AK153" i="1"/>
  <c r="AJ154" i="1"/>
  <c r="AK154" i="1"/>
  <c r="AJ155" i="1"/>
  <c r="AK155" i="1"/>
  <c r="AJ156" i="1"/>
  <c r="AK156" i="1"/>
  <c r="AJ157" i="1"/>
  <c r="AK157" i="1"/>
  <c r="AJ158" i="1"/>
  <c r="AK158" i="1"/>
  <c r="AJ159" i="1"/>
  <c r="AK159" i="1"/>
  <c r="AJ160" i="1"/>
  <c r="AK160" i="1"/>
  <c r="AJ161" i="1"/>
  <c r="AK161" i="1"/>
  <c r="AJ162" i="1"/>
  <c r="AK162" i="1"/>
  <c r="AJ163" i="1"/>
  <c r="AK163" i="1"/>
  <c r="AJ164" i="1"/>
  <c r="AK164" i="1"/>
  <c r="AJ165" i="1"/>
  <c r="AK165" i="1"/>
  <c r="AJ166" i="1"/>
  <c r="AK166" i="1"/>
  <c r="AJ167" i="1"/>
  <c r="AK167" i="1"/>
  <c r="AJ168" i="1"/>
  <c r="AK168" i="1"/>
  <c r="AJ169" i="1"/>
  <c r="AK169" i="1"/>
  <c r="AJ170" i="1"/>
  <c r="AK170" i="1"/>
  <c r="AJ171" i="1"/>
  <c r="AK171" i="1"/>
  <c r="AJ172" i="1"/>
  <c r="AK172" i="1"/>
  <c r="AJ173" i="1"/>
  <c r="AK173" i="1"/>
  <c r="AJ174" i="1"/>
  <c r="AK174" i="1"/>
  <c r="AJ175" i="1"/>
  <c r="AK175" i="1"/>
  <c r="AJ176" i="1"/>
  <c r="AK176" i="1"/>
  <c r="AJ177" i="1"/>
  <c r="AK177" i="1"/>
  <c r="AJ178" i="1"/>
  <c r="AK178" i="1"/>
  <c r="AJ179" i="1"/>
  <c r="AK179" i="1"/>
  <c r="AJ180" i="1"/>
  <c r="AK180" i="1"/>
  <c r="AJ181" i="1"/>
  <c r="AK181" i="1"/>
  <c r="AJ182" i="1"/>
  <c r="AK182" i="1"/>
  <c r="AJ183" i="1"/>
  <c r="AK183" i="1"/>
  <c r="AJ184" i="1"/>
  <c r="AK184" i="1"/>
  <c r="AJ185" i="1"/>
  <c r="AK185" i="1"/>
  <c r="AJ186" i="1"/>
  <c r="AK186" i="1"/>
  <c r="AJ187" i="1"/>
  <c r="AK187" i="1"/>
  <c r="AJ188" i="1"/>
  <c r="AK188" i="1"/>
  <c r="AJ189" i="1"/>
  <c r="AK189" i="1"/>
  <c r="AJ190" i="1"/>
  <c r="AK190" i="1"/>
  <c r="AJ191" i="1"/>
  <c r="AK191" i="1"/>
  <c r="AJ192" i="1"/>
  <c r="AK192" i="1"/>
  <c r="AJ193" i="1"/>
  <c r="AK193" i="1"/>
  <c r="AJ194" i="1"/>
  <c r="AK194" i="1"/>
  <c r="AJ195" i="1"/>
  <c r="AK195" i="1"/>
  <c r="AJ196" i="1"/>
  <c r="AK196" i="1"/>
  <c r="AJ197" i="1"/>
  <c r="AK197" i="1"/>
  <c r="AJ198" i="1"/>
  <c r="AK198" i="1"/>
  <c r="AJ199" i="1"/>
  <c r="AK199" i="1"/>
  <c r="AJ200" i="1"/>
  <c r="AK200" i="1"/>
  <c r="AJ201" i="1"/>
  <c r="AK201" i="1"/>
  <c r="AJ202" i="1"/>
  <c r="AK202" i="1"/>
  <c r="AJ3" i="1"/>
  <c r="AK3" i="1"/>
  <c r="AF4" i="1"/>
  <c r="AG4" i="1"/>
  <c r="AH4" i="1"/>
  <c r="AF5" i="1"/>
  <c r="AG5" i="1"/>
  <c r="AH5" i="1"/>
  <c r="AF6" i="1"/>
  <c r="AG6" i="1"/>
  <c r="AH6" i="1"/>
  <c r="AF7" i="1"/>
  <c r="AG7" i="1"/>
  <c r="AH7" i="1"/>
  <c r="AF8" i="1"/>
  <c r="AG8" i="1"/>
  <c r="AH8" i="1"/>
  <c r="AF9" i="1"/>
  <c r="AG9" i="1"/>
  <c r="AH9" i="1"/>
  <c r="AF10" i="1"/>
  <c r="AG10" i="1"/>
  <c r="AH10" i="1"/>
  <c r="AF11" i="1"/>
  <c r="AG11" i="1"/>
  <c r="AH11" i="1"/>
  <c r="AF12" i="1"/>
  <c r="AG12" i="1"/>
  <c r="AH12" i="1"/>
  <c r="AF13" i="1"/>
  <c r="AG13" i="1"/>
  <c r="AH13" i="1"/>
  <c r="AF14" i="1"/>
  <c r="AG14" i="1"/>
  <c r="AH14" i="1"/>
  <c r="AF15" i="1"/>
  <c r="AG15" i="1"/>
  <c r="AH15" i="1"/>
  <c r="AF16" i="1"/>
  <c r="AG16" i="1"/>
  <c r="AH16" i="1"/>
  <c r="AF17" i="1"/>
  <c r="AG17" i="1"/>
  <c r="AH17" i="1"/>
  <c r="AF18" i="1"/>
  <c r="AG18" i="1"/>
  <c r="AH18" i="1"/>
  <c r="AF19" i="1"/>
  <c r="AG19" i="1"/>
  <c r="AH19" i="1"/>
  <c r="AF20" i="1"/>
  <c r="AG20" i="1"/>
  <c r="AH20" i="1"/>
  <c r="AF21" i="1"/>
  <c r="AG21" i="1"/>
  <c r="AH21" i="1"/>
  <c r="AF22" i="1"/>
  <c r="AG22" i="1"/>
  <c r="AH22" i="1"/>
  <c r="AF23" i="1"/>
  <c r="AG23" i="1"/>
  <c r="AH23" i="1"/>
  <c r="AF24" i="1"/>
  <c r="AG24" i="1"/>
  <c r="AH24" i="1"/>
  <c r="AF25" i="1"/>
  <c r="AG25" i="1"/>
  <c r="AH25" i="1"/>
  <c r="AF26" i="1"/>
  <c r="AG26" i="1"/>
  <c r="AH26" i="1"/>
  <c r="AF27" i="1"/>
  <c r="AG27" i="1"/>
  <c r="AH27" i="1"/>
  <c r="AF28" i="1"/>
  <c r="AG28" i="1"/>
  <c r="AH28" i="1"/>
  <c r="AF29" i="1"/>
  <c r="AG29" i="1"/>
  <c r="AH29" i="1"/>
  <c r="AF30" i="1"/>
  <c r="AG30" i="1"/>
  <c r="AH30" i="1"/>
  <c r="AF31" i="1"/>
  <c r="AG31" i="1"/>
  <c r="AH31" i="1"/>
  <c r="AF32" i="1"/>
  <c r="AG32" i="1"/>
  <c r="AH32" i="1"/>
  <c r="AF33" i="1"/>
  <c r="AG33" i="1"/>
  <c r="AH33" i="1"/>
  <c r="AF34" i="1"/>
  <c r="AG34" i="1"/>
  <c r="AH34" i="1"/>
  <c r="AF35" i="1"/>
  <c r="AG35" i="1"/>
  <c r="AH35" i="1"/>
  <c r="AF36" i="1"/>
  <c r="AG36" i="1"/>
  <c r="AH36" i="1"/>
  <c r="AF37" i="1"/>
  <c r="AG37" i="1"/>
  <c r="AH37" i="1"/>
  <c r="AF38" i="1"/>
  <c r="AG38" i="1"/>
  <c r="AH38" i="1"/>
  <c r="AF39" i="1"/>
  <c r="AG39" i="1"/>
  <c r="AH39" i="1"/>
  <c r="AF40" i="1"/>
  <c r="AG40" i="1"/>
  <c r="AH40" i="1"/>
  <c r="AF41" i="1"/>
  <c r="AG41" i="1"/>
  <c r="AH41" i="1"/>
  <c r="AF42" i="1"/>
  <c r="AG42" i="1"/>
  <c r="AH42" i="1"/>
  <c r="AF43" i="1"/>
  <c r="AG43" i="1"/>
  <c r="AH43" i="1"/>
  <c r="AF44" i="1"/>
  <c r="AG44" i="1"/>
  <c r="AH44" i="1"/>
  <c r="AF45" i="1"/>
  <c r="AG45" i="1"/>
  <c r="AH45" i="1"/>
  <c r="AF46" i="1"/>
  <c r="AG46" i="1"/>
  <c r="AH46" i="1"/>
  <c r="AF47" i="1"/>
  <c r="AG47" i="1"/>
  <c r="AH47" i="1"/>
  <c r="AF48" i="1"/>
  <c r="AG48" i="1"/>
  <c r="AH48" i="1"/>
  <c r="AF49" i="1"/>
  <c r="AG49" i="1"/>
  <c r="AH49" i="1"/>
  <c r="AF50" i="1"/>
  <c r="AG50" i="1"/>
  <c r="AH50" i="1"/>
  <c r="AF51" i="1"/>
  <c r="AG51" i="1"/>
  <c r="AH51" i="1"/>
  <c r="AF52" i="1"/>
  <c r="AG52" i="1"/>
  <c r="AH52" i="1"/>
  <c r="AF53" i="1"/>
  <c r="AG53" i="1"/>
  <c r="AH53" i="1"/>
  <c r="AF54" i="1"/>
  <c r="AG54" i="1"/>
  <c r="AH54" i="1"/>
  <c r="AF55" i="1"/>
  <c r="AG55" i="1"/>
  <c r="AH55" i="1"/>
  <c r="AF56" i="1"/>
  <c r="AG56" i="1"/>
  <c r="AH56" i="1"/>
  <c r="AF57" i="1"/>
  <c r="AG57" i="1"/>
  <c r="AH57" i="1"/>
  <c r="AF58" i="1"/>
  <c r="AG58" i="1"/>
  <c r="AH58" i="1"/>
  <c r="AF59" i="1"/>
  <c r="AG59" i="1"/>
  <c r="AH59" i="1"/>
  <c r="AF60" i="1"/>
  <c r="AG60" i="1"/>
  <c r="AH60" i="1"/>
  <c r="AF61" i="1"/>
  <c r="AG61" i="1"/>
  <c r="AH61" i="1"/>
  <c r="AF62" i="1"/>
  <c r="AG62" i="1"/>
  <c r="AH62" i="1"/>
  <c r="AF63" i="1"/>
  <c r="AG63" i="1"/>
  <c r="AH63" i="1"/>
  <c r="AF64" i="1"/>
  <c r="AG64" i="1"/>
  <c r="AH64" i="1"/>
  <c r="AF65" i="1"/>
  <c r="AG65" i="1"/>
  <c r="AH65" i="1"/>
  <c r="AF66" i="1"/>
  <c r="AG66" i="1"/>
  <c r="AH66" i="1"/>
  <c r="AF67" i="1"/>
  <c r="AG67" i="1"/>
  <c r="AH67" i="1"/>
  <c r="AF68" i="1"/>
  <c r="AG68" i="1"/>
  <c r="AH68" i="1"/>
  <c r="AF69" i="1"/>
  <c r="AG69" i="1"/>
  <c r="AH69" i="1"/>
  <c r="AF70" i="1"/>
  <c r="AG70" i="1"/>
  <c r="AH70" i="1"/>
  <c r="AF71" i="1"/>
  <c r="AG71" i="1"/>
  <c r="AH71" i="1"/>
  <c r="AF72" i="1"/>
  <c r="AG72" i="1"/>
  <c r="AH72" i="1"/>
  <c r="AF73" i="1"/>
  <c r="AG73" i="1"/>
  <c r="AH73" i="1"/>
  <c r="AF74" i="1"/>
  <c r="AG74" i="1"/>
  <c r="AH74" i="1"/>
  <c r="AF75" i="1"/>
  <c r="AG75" i="1"/>
  <c r="AH75" i="1"/>
  <c r="AF76" i="1"/>
  <c r="AG76" i="1"/>
  <c r="AH76" i="1"/>
  <c r="AF77" i="1"/>
  <c r="AG77" i="1"/>
  <c r="AH77" i="1"/>
  <c r="AF78" i="1"/>
  <c r="AG78" i="1"/>
  <c r="AH78" i="1"/>
  <c r="AF79" i="1"/>
  <c r="AG79" i="1"/>
  <c r="AH79" i="1"/>
  <c r="AF80" i="1"/>
  <c r="AG80" i="1"/>
  <c r="AH80" i="1"/>
  <c r="AF81" i="1"/>
  <c r="AG81" i="1"/>
  <c r="AH81" i="1"/>
  <c r="AF82" i="1"/>
  <c r="AG82" i="1"/>
  <c r="AH82" i="1"/>
  <c r="AF83" i="1"/>
  <c r="AG83" i="1"/>
  <c r="AH83" i="1"/>
  <c r="AF84" i="1"/>
  <c r="AG84" i="1"/>
  <c r="AH84" i="1"/>
  <c r="AF85" i="1"/>
  <c r="AG85" i="1"/>
  <c r="AH85" i="1"/>
  <c r="AF86" i="1"/>
  <c r="AG86" i="1"/>
  <c r="AH86" i="1"/>
  <c r="AF87" i="1"/>
  <c r="AG87" i="1"/>
  <c r="AH87" i="1"/>
  <c r="AF88" i="1"/>
  <c r="AG88" i="1"/>
  <c r="AH88" i="1"/>
  <c r="AF89" i="1"/>
  <c r="AG89" i="1"/>
  <c r="AH89" i="1"/>
  <c r="AF90" i="1"/>
  <c r="AG90" i="1"/>
  <c r="AH90" i="1"/>
  <c r="AF91" i="1"/>
  <c r="AG91" i="1"/>
  <c r="AH91" i="1"/>
  <c r="AF92" i="1"/>
  <c r="AG92" i="1"/>
  <c r="AH92" i="1"/>
  <c r="AF93" i="1"/>
  <c r="AG93" i="1"/>
  <c r="AH93" i="1"/>
  <c r="AF94" i="1"/>
  <c r="AG94" i="1"/>
  <c r="AH94" i="1"/>
  <c r="AF95" i="1"/>
  <c r="AG95" i="1"/>
  <c r="AH95" i="1"/>
  <c r="AF96" i="1"/>
  <c r="AG96" i="1"/>
  <c r="AH96" i="1"/>
  <c r="AF97" i="1"/>
  <c r="AG97" i="1"/>
  <c r="AH97" i="1"/>
  <c r="AF98" i="1"/>
  <c r="AG98" i="1"/>
  <c r="AH98" i="1"/>
  <c r="AF99" i="1"/>
  <c r="AG99" i="1"/>
  <c r="AH99" i="1"/>
  <c r="AF100" i="1"/>
  <c r="AG100" i="1"/>
  <c r="AH100" i="1"/>
  <c r="AF101" i="1"/>
  <c r="AG101" i="1"/>
  <c r="AH101" i="1"/>
  <c r="AF102" i="1"/>
  <c r="AG102" i="1"/>
  <c r="AH102" i="1"/>
  <c r="AF103" i="1"/>
  <c r="AG103" i="1"/>
  <c r="AH103" i="1"/>
  <c r="AF104" i="1"/>
  <c r="AG104" i="1"/>
  <c r="AH104" i="1"/>
  <c r="AF105" i="1"/>
  <c r="AG105" i="1"/>
  <c r="AH105" i="1"/>
  <c r="AF106" i="1"/>
  <c r="AG106" i="1"/>
  <c r="AH106" i="1"/>
  <c r="AF107" i="1"/>
  <c r="AG107" i="1"/>
  <c r="AH107" i="1"/>
  <c r="AF108" i="1"/>
  <c r="AG108" i="1"/>
  <c r="AH108" i="1"/>
  <c r="AF109" i="1"/>
  <c r="AG109" i="1"/>
  <c r="AH109" i="1"/>
  <c r="AF110" i="1"/>
  <c r="AG110" i="1"/>
  <c r="AH110" i="1"/>
  <c r="AF111" i="1"/>
  <c r="AG111" i="1"/>
  <c r="AH111" i="1"/>
  <c r="AF112" i="1"/>
  <c r="AG112" i="1"/>
  <c r="AH112" i="1"/>
  <c r="AF113" i="1"/>
  <c r="AG113" i="1"/>
  <c r="AH113" i="1"/>
  <c r="AF114" i="1"/>
  <c r="AG114" i="1"/>
  <c r="AH114" i="1"/>
  <c r="AF115" i="1"/>
  <c r="AG115" i="1"/>
  <c r="AH115" i="1"/>
  <c r="AF116" i="1"/>
  <c r="AG116" i="1"/>
  <c r="AH116" i="1"/>
  <c r="AF117" i="1"/>
  <c r="AG117" i="1"/>
  <c r="AH117" i="1"/>
  <c r="AF118" i="1"/>
  <c r="AG118" i="1"/>
  <c r="AH118" i="1"/>
  <c r="AF119" i="1"/>
  <c r="AG119" i="1"/>
  <c r="AH119" i="1"/>
  <c r="AF120" i="1"/>
  <c r="AG120" i="1"/>
  <c r="AH120" i="1"/>
  <c r="AF121" i="1"/>
  <c r="AG121" i="1"/>
  <c r="AH121" i="1"/>
  <c r="AF122" i="1"/>
  <c r="AG122" i="1"/>
  <c r="AH122" i="1"/>
  <c r="AF123" i="1"/>
  <c r="AG123" i="1"/>
  <c r="AH123" i="1"/>
  <c r="AF124" i="1"/>
  <c r="AG124" i="1"/>
  <c r="AH124" i="1"/>
  <c r="AF125" i="1"/>
  <c r="AG125" i="1"/>
  <c r="AH125" i="1"/>
  <c r="AF126" i="1"/>
  <c r="AG126" i="1"/>
  <c r="AH126" i="1"/>
  <c r="AF127" i="1"/>
  <c r="AG127" i="1"/>
  <c r="AH127" i="1"/>
  <c r="AF128" i="1"/>
  <c r="AG128" i="1"/>
  <c r="AH128" i="1"/>
  <c r="AF129" i="1"/>
  <c r="AG129" i="1"/>
  <c r="AH129" i="1"/>
  <c r="AF130" i="1"/>
  <c r="AG130" i="1"/>
  <c r="AH130" i="1"/>
  <c r="AF131" i="1"/>
  <c r="AG131" i="1"/>
  <c r="AH131" i="1"/>
  <c r="AF132" i="1"/>
  <c r="AG132" i="1"/>
  <c r="AH132" i="1"/>
  <c r="AF133" i="1"/>
  <c r="AG133" i="1"/>
  <c r="AH133" i="1"/>
  <c r="AF134" i="1"/>
  <c r="AG134" i="1"/>
  <c r="AH134" i="1"/>
  <c r="AF135" i="1"/>
  <c r="AG135" i="1"/>
  <c r="AH135" i="1"/>
  <c r="AF136" i="1"/>
  <c r="AG136" i="1"/>
  <c r="AH136" i="1"/>
  <c r="AF137" i="1"/>
  <c r="AG137" i="1"/>
  <c r="AH137" i="1"/>
  <c r="AF138" i="1"/>
  <c r="AG138" i="1"/>
  <c r="AH138" i="1"/>
  <c r="AF139" i="1"/>
  <c r="AG139" i="1"/>
  <c r="AH139" i="1"/>
  <c r="AF140" i="1"/>
  <c r="AG140" i="1"/>
  <c r="AH140" i="1"/>
  <c r="AF141" i="1"/>
  <c r="AG141" i="1"/>
  <c r="AH141" i="1"/>
  <c r="AF142" i="1"/>
  <c r="AG142" i="1"/>
  <c r="AH142" i="1"/>
  <c r="AF143" i="1"/>
  <c r="AG143" i="1"/>
  <c r="AH143" i="1"/>
  <c r="AF144" i="1"/>
  <c r="AG144" i="1"/>
  <c r="AH144" i="1"/>
  <c r="AF145" i="1"/>
  <c r="AG145" i="1"/>
  <c r="AH145" i="1"/>
  <c r="AF146" i="1"/>
  <c r="AG146" i="1"/>
  <c r="AH146" i="1"/>
  <c r="AF147" i="1"/>
  <c r="AG147" i="1"/>
  <c r="AH147" i="1"/>
  <c r="AF148" i="1"/>
  <c r="AG148" i="1"/>
  <c r="AH148" i="1"/>
  <c r="AF149" i="1"/>
  <c r="AG149" i="1"/>
  <c r="AH149" i="1"/>
  <c r="AF150" i="1"/>
  <c r="AG150" i="1"/>
  <c r="AH150" i="1"/>
  <c r="AF151" i="1"/>
  <c r="AG151" i="1"/>
  <c r="AH151" i="1"/>
  <c r="AF152" i="1"/>
  <c r="AG152" i="1"/>
  <c r="AH152" i="1"/>
  <c r="AF153" i="1"/>
  <c r="AG153" i="1"/>
  <c r="AH153" i="1"/>
  <c r="AF154" i="1"/>
  <c r="AG154" i="1"/>
  <c r="AH154" i="1"/>
  <c r="AF155" i="1"/>
  <c r="AG155" i="1"/>
  <c r="AH155" i="1"/>
  <c r="AF156" i="1"/>
  <c r="AG156" i="1"/>
  <c r="AH156" i="1"/>
  <c r="AF157" i="1"/>
  <c r="AG157" i="1"/>
  <c r="AH157" i="1"/>
  <c r="AF158" i="1"/>
  <c r="AG158" i="1"/>
  <c r="AH158" i="1"/>
  <c r="AF159" i="1"/>
  <c r="AG159" i="1"/>
  <c r="AH159" i="1"/>
  <c r="AF160" i="1"/>
  <c r="AG160" i="1"/>
  <c r="AH160" i="1"/>
  <c r="AF161" i="1"/>
  <c r="AG161" i="1"/>
  <c r="AH161" i="1"/>
  <c r="AF162" i="1"/>
  <c r="AG162" i="1"/>
  <c r="AH162" i="1"/>
  <c r="AF163" i="1"/>
  <c r="AG163" i="1"/>
  <c r="AH163" i="1"/>
  <c r="AF164" i="1"/>
  <c r="AG164" i="1"/>
  <c r="AH164" i="1"/>
  <c r="AF165" i="1"/>
  <c r="AG165" i="1"/>
  <c r="AH165" i="1"/>
  <c r="AF166" i="1"/>
  <c r="AG166" i="1"/>
  <c r="AH166" i="1"/>
  <c r="AF167" i="1"/>
  <c r="AG167" i="1"/>
  <c r="AH167" i="1"/>
  <c r="AF168" i="1"/>
  <c r="AG168" i="1"/>
  <c r="AH168" i="1"/>
  <c r="AF169" i="1"/>
  <c r="AG169" i="1"/>
  <c r="AH169" i="1"/>
  <c r="AF170" i="1"/>
  <c r="AG170" i="1"/>
  <c r="AH170" i="1"/>
  <c r="AF171" i="1"/>
  <c r="AG171" i="1"/>
  <c r="AH171" i="1"/>
  <c r="AF172" i="1"/>
  <c r="AG172" i="1"/>
  <c r="AH172" i="1"/>
  <c r="AF173" i="1"/>
  <c r="AG173" i="1"/>
  <c r="AH173" i="1"/>
  <c r="AF174" i="1"/>
  <c r="AG174" i="1"/>
  <c r="AH174" i="1"/>
  <c r="AF175" i="1"/>
  <c r="AG175" i="1"/>
  <c r="AH175" i="1"/>
  <c r="AF176" i="1"/>
  <c r="AG176" i="1"/>
  <c r="AH176" i="1"/>
  <c r="AF177" i="1"/>
  <c r="AG177" i="1"/>
  <c r="AH177" i="1"/>
  <c r="AF178" i="1"/>
  <c r="AG178" i="1"/>
  <c r="AH178" i="1"/>
  <c r="AF179" i="1"/>
  <c r="AG179" i="1"/>
  <c r="AH179" i="1"/>
  <c r="AF180" i="1"/>
  <c r="AG180" i="1"/>
  <c r="AH180" i="1"/>
  <c r="AF181" i="1"/>
  <c r="AG181" i="1"/>
  <c r="AH181" i="1"/>
  <c r="AF182" i="1"/>
  <c r="AG182" i="1"/>
  <c r="AH182" i="1"/>
  <c r="AF183" i="1"/>
  <c r="AG183" i="1"/>
  <c r="AH183" i="1"/>
  <c r="AF184" i="1"/>
  <c r="AG184" i="1"/>
  <c r="AH184" i="1"/>
  <c r="AF185" i="1"/>
  <c r="AG185" i="1"/>
  <c r="AH185" i="1"/>
  <c r="AF186" i="1"/>
  <c r="AG186" i="1"/>
  <c r="AH186" i="1"/>
  <c r="AF187" i="1"/>
  <c r="AG187" i="1"/>
  <c r="AH187" i="1"/>
  <c r="AF188" i="1"/>
  <c r="AG188" i="1"/>
  <c r="AH188" i="1"/>
  <c r="AF189" i="1"/>
  <c r="AG189" i="1"/>
  <c r="AH189" i="1"/>
  <c r="AF190" i="1"/>
  <c r="AG190" i="1"/>
  <c r="AH190" i="1"/>
  <c r="AF191" i="1"/>
  <c r="AG191" i="1"/>
  <c r="AH191" i="1"/>
  <c r="AF192" i="1"/>
  <c r="AG192" i="1"/>
  <c r="AH192" i="1"/>
  <c r="AF193" i="1"/>
  <c r="AG193" i="1"/>
  <c r="AH193" i="1"/>
  <c r="AF194" i="1"/>
  <c r="AG194" i="1"/>
  <c r="AH194" i="1"/>
  <c r="AF195" i="1"/>
  <c r="AG195" i="1"/>
  <c r="AH195" i="1"/>
  <c r="AF196" i="1"/>
  <c r="AG196" i="1"/>
  <c r="AH196" i="1"/>
  <c r="AF197" i="1"/>
  <c r="AG197" i="1"/>
  <c r="AH197" i="1"/>
  <c r="AF198" i="1"/>
  <c r="AG198" i="1"/>
  <c r="AH198" i="1"/>
  <c r="AF199" i="1"/>
  <c r="AG199" i="1"/>
  <c r="AH199" i="1"/>
  <c r="AF200" i="1"/>
  <c r="AG200" i="1"/>
  <c r="AH200" i="1"/>
  <c r="AF201" i="1"/>
  <c r="AG201" i="1"/>
  <c r="AH201" i="1"/>
  <c r="AF202" i="1"/>
  <c r="AG202" i="1"/>
  <c r="AH202" i="1"/>
  <c r="AF3" i="1"/>
  <c r="AG3" i="1"/>
  <c r="AH3" i="1"/>
  <c r="AB4" i="1"/>
  <c r="AC4" i="1"/>
  <c r="AD4" i="1"/>
  <c r="AB5" i="1"/>
  <c r="AC5" i="1"/>
  <c r="AD5" i="1"/>
  <c r="AB6" i="1"/>
  <c r="AC6" i="1"/>
  <c r="AD6" i="1"/>
  <c r="AB7" i="1"/>
  <c r="AC7" i="1"/>
  <c r="AD7" i="1"/>
  <c r="AB8" i="1"/>
  <c r="AC8" i="1"/>
  <c r="AD8" i="1"/>
  <c r="AB9" i="1"/>
  <c r="AC9" i="1"/>
  <c r="AD9" i="1"/>
  <c r="AB10" i="1"/>
  <c r="AC10" i="1"/>
  <c r="AD10" i="1"/>
  <c r="AB11" i="1"/>
  <c r="AC11" i="1"/>
  <c r="AD11" i="1"/>
  <c r="AB12" i="1"/>
  <c r="AC12" i="1"/>
  <c r="AD12" i="1"/>
  <c r="AB13" i="1"/>
  <c r="AC13" i="1"/>
  <c r="AD13" i="1"/>
  <c r="AB14" i="1"/>
  <c r="AC14" i="1"/>
  <c r="AD14" i="1"/>
  <c r="AB15" i="1"/>
  <c r="AC15" i="1"/>
  <c r="AD15" i="1"/>
  <c r="AB16" i="1"/>
  <c r="AC16" i="1"/>
  <c r="AD16" i="1"/>
  <c r="AB17" i="1"/>
  <c r="AC17" i="1"/>
  <c r="AD17" i="1"/>
  <c r="AB18" i="1"/>
  <c r="AC18" i="1"/>
  <c r="AD18" i="1"/>
  <c r="AB19" i="1"/>
  <c r="AC19" i="1"/>
  <c r="AD19" i="1"/>
  <c r="AB20" i="1"/>
  <c r="AC20" i="1"/>
  <c r="AD20" i="1"/>
  <c r="AB21" i="1"/>
  <c r="AC21" i="1"/>
  <c r="AD21" i="1"/>
  <c r="AB22" i="1"/>
  <c r="AC22" i="1"/>
  <c r="AD22" i="1"/>
  <c r="AB23" i="1"/>
  <c r="AC23" i="1"/>
  <c r="AD23" i="1"/>
  <c r="AB24" i="1"/>
  <c r="AC24" i="1"/>
  <c r="AD24" i="1"/>
  <c r="AB25" i="1"/>
  <c r="AC25" i="1"/>
  <c r="AD25" i="1"/>
  <c r="AB26" i="1"/>
  <c r="AC26" i="1"/>
  <c r="AD26" i="1"/>
  <c r="AB27" i="1"/>
  <c r="AC27" i="1"/>
  <c r="AD27" i="1"/>
  <c r="AB28" i="1"/>
  <c r="AC28" i="1"/>
  <c r="AD28" i="1"/>
  <c r="AB29" i="1"/>
  <c r="AC29" i="1"/>
  <c r="AD29" i="1"/>
  <c r="AB30" i="1"/>
  <c r="AC30" i="1"/>
  <c r="AD30" i="1"/>
  <c r="AB31" i="1"/>
  <c r="AC31" i="1"/>
  <c r="AD31" i="1"/>
  <c r="AB32" i="1"/>
  <c r="AC32" i="1"/>
  <c r="AD32" i="1"/>
  <c r="AB33" i="1"/>
  <c r="AC33" i="1"/>
  <c r="AD33" i="1"/>
  <c r="AB34" i="1"/>
  <c r="AC34" i="1"/>
  <c r="AD34" i="1"/>
  <c r="AB35" i="1"/>
  <c r="AC35" i="1"/>
  <c r="AD35" i="1"/>
  <c r="AB36" i="1"/>
  <c r="AC36" i="1"/>
  <c r="AD36" i="1"/>
  <c r="AB37" i="1"/>
  <c r="AC37" i="1"/>
  <c r="AD37" i="1"/>
  <c r="AB38" i="1"/>
  <c r="AC38" i="1"/>
  <c r="AD38" i="1"/>
  <c r="AB39" i="1"/>
  <c r="AC39" i="1"/>
  <c r="AD39" i="1"/>
  <c r="AB40" i="1"/>
  <c r="AC40" i="1"/>
  <c r="AD40" i="1"/>
  <c r="AB41" i="1"/>
  <c r="AC41" i="1"/>
  <c r="AD41" i="1"/>
  <c r="AB42" i="1"/>
  <c r="AC42" i="1"/>
  <c r="AD42" i="1"/>
  <c r="AB43" i="1"/>
  <c r="AC43" i="1"/>
  <c r="AD43" i="1"/>
  <c r="AB44" i="1"/>
  <c r="AC44" i="1"/>
  <c r="AD44" i="1"/>
  <c r="AB45" i="1"/>
  <c r="AC45" i="1"/>
  <c r="AD45" i="1"/>
  <c r="AB46" i="1"/>
  <c r="AC46" i="1"/>
  <c r="AD46" i="1"/>
  <c r="AB47" i="1"/>
  <c r="AC47" i="1"/>
  <c r="AD47" i="1"/>
  <c r="AB48" i="1"/>
  <c r="AC48" i="1"/>
  <c r="AD48" i="1"/>
  <c r="AB49" i="1"/>
  <c r="AC49" i="1"/>
  <c r="AD49" i="1"/>
  <c r="AB50" i="1"/>
  <c r="AC50" i="1"/>
  <c r="AD50" i="1"/>
  <c r="AB51" i="1"/>
  <c r="AC51" i="1"/>
  <c r="AD51" i="1"/>
  <c r="AB52" i="1"/>
  <c r="AC52" i="1"/>
  <c r="AD52" i="1"/>
  <c r="AB53" i="1"/>
  <c r="AC53" i="1"/>
  <c r="AD53" i="1"/>
  <c r="AB54" i="1"/>
  <c r="AC54" i="1"/>
  <c r="AD54" i="1"/>
  <c r="AB55" i="1"/>
  <c r="AC55" i="1"/>
  <c r="AD55" i="1"/>
  <c r="AB56" i="1"/>
  <c r="AC56" i="1"/>
  <c r="AD56" i="1"/>
  <c r="AB57" i="1"/>
  <c r="AC57" i="1"/>
  <c r="AD57" i="1"/>
  <c r="AB58" i="1"/>
  <c r="AC58" i="1"/>
  <c r="AD58" i="1"/>
  <c r="AB59" i="1"/>
  <c r="AC59" i="1"/>
  <c r="AD59" i="1"/>
  <c r="AB60" i="1"/>
  <c r="AC60" i="1"/>
  <c r="AD60" i="1"/>
  <c r="AB61" i="1"/>
  <c r="AC61" i="1"/>
  <c r="AD61" i="1"/>
  <c r="AB62" i="1"/>
  <c r="AC62" i="1"/>
  <c r="AD62" i="1"/>
  <c r="AB63" i="1"/>
  <c r="AC63" i="1"/>
  <c r="AD63" i="1"/>
  <c r="AB64" i="1"/>
  <c r="AC64" i="1"/>
  <c r="AD64" i="1"/>
  <c r="AB65" i="1"/>
  <c r="AC65" i="1"/>
  <c r="AD65" i="1"/>
  <c r="AB66" i="1"/>
  <c r="AC66" i="1"/>
  <c r="AD66" i="1"/>
  <c r="AB67" i="1"/>
  <c r="AC67" i="1"/>
  <c r="AD67" i="1"/>
  <c r="AB68" i="1"/>
  <c r="AC68" i="1"/>
  <c r="AD68" i="1"/>
  <c r="AB69" i="1"/>
  <c r="AC69" i="1"/>
  <c r="AD69" i="1"/>
  <c r="AB70" i="1"/>
  <c r="AC70" i="1"/>
  <c r="AD70" i="1"/>
  <c r="AB71" i="1"/>
  <c r="AC71" i="1"/>
  <c r="AD71" i="1"/>
  <c r="AB72" i="1"/>
  <c r="AC72" i="1"/>
  <c r="AD72" i="1"/>
  <c r="AB73" i="1"/>
  <c r="AC73" i="1"/>
  <c r="AD73" i="1"/>
  <c r="AB74" i="1"/>
  <c r="AC74" i="1"/>
  <c r="AD74" i="1"/>
  <c r="AB75" i="1"/>
  <c r="AC75" i="1"/>
  <c r="AD75" i="1"/>
  <c r="AB76" i="1"/>
  <c r="AC76" i="1"/>
  <c r="AD76" i="1"/>
  <c r="AB77" i="1"/>
  <c r="AC77" i="1"/>
  <c r="AD77" i="1"/>
  <c r="AB78" i="1"/>
  <c r="AC78" i="1"/>
  <c r="AD78" i="1"/>
  <c r="AB79" i="1"/>
  <c r="AC79" i="1"/>
  <c r="AD79" i="1"/>
  <c r="AB80" i="1"/>
  <c r="AC80" i="1"/>
  <c r="AD80" i="1"/>
  <c r="AB81" i="1"/>
  <c r="AC81" i="1"/>
  <c r="AD81" i="1"/>
  <c r="AB82" i="1"/>
  <c r="AC82" i="1"/>
  <c r="AD82" i="1"/>
  <c r="AB83" i="1"/>
  <c r="AC83" i="1"/>
  <c r="AD83" i="1"/>
  <c r="AB84" i="1"/>
  <c r="AC84" i="1"/>
  <c r="AD84" i="1"/>
  <c r="AB85" i="1"/>
  <c r="AC85" i="1"/>
  <c r="AD85" i="1"/>
  <c r="AB86" i="1"/>
  <c r="AC86" i="1"/>
  <c r="AD86" i="1"/>
  <c r="AB87" i="1"/>
  <c r="AC87" i="1"/>
  <c r="AD87" i="1"/>
  <c r="AB88" i="1"/>
  <c r="AC88" i="1"/>
  <c r="AD88" i="1"/>
  <c r="AB89" i="1"/>
  <c r="AC89" i="1"/>
  <c r="AD89" i="1"/>
  <c r="AB90" i="1"/>
  <c r="AC90" i="1"/>
  <c r="AD90" i="1"/>
  <c r="AB91" i="1"/>
  <c r="AC91" i="1"/>
  <c r="AD91" i="1"/>
  <c r="AB92" i="1"/>
  <c r="AC92" i="1"/>
  <c r="AD92" i="1"/>
  <c r="AB93" i="1"/>
  <c r="AC93" i="1"/>
  <c r="AD93" i="1"/>
  <c r="AB94" i="1"/>
  <c r="AC94" i="1"/>
  <c r="AD94" i="1"/>
  <c r="AB95" i="1"/>
  <c r="AC95" i="1"/>
  <c r="AD95" i="1"/>
  <c r="AB96" i="1"/>
  <c r="AC96" i="1"/>
  <c r="AD96" i="1"/>
  <c r="AB97" i="1"/>
  <c r="AC97" i="1"/>
  <c r="AD97" i="1"/>
  <c r="AB98" i="1"/>
  <c r="AC98" i="1"/>
  <c r="AD98" i="1"/>
  <c r="AB99" i="1"/>
  <c r="AC99" i="1"/>
  <c r="AD99" i="1"/>
  <c r="AB100" i="1"/>
  <c r="AC100" i="1"/>
  <c r="AD100" i="1"/>
  <c r="AB101" i="1"/>
  <c r="AC101" i="1"/>
  <c r="AD101" i="1"/>
  <c r="AB102" i="1"/>
  <c r="AC102" i="1"/>
  <c r="AD102" i="1"/>
  <c r="AB103" i="1"/>
  <c r="AC103" i="1"/>
  <c r="AD103" i="1"/>
  <c r="AB104" i="1"/>
  <c r="AC104" i="1"/>
  <c r="AD104" i="1"/>
  <c r="AB105" i="1"/>
  <c r="AC105" i="1"/>
  <c r="AD105" i="1"/>
  <c r="AB106" i="1"/>
  <c r="AC106" i="1"/>
  <c r="AD106" i="1"/>
  <c r="AB107" i="1"/>
  <c r="AC107" i="1"/>
  <c r="AD107" i="1"/>
  <c r="AB108" i="1"/>
  <c r="AC108" i="1"/>
  <c r="AD108" i="1"/>
  <c r="AB109" i="1"/>
  <c r="AC109" i="1"/>
  <c r="AD109" i="1"/>
  <c r="AB110" i="1"/>
  <c r="AC110" i="1"/>
  <c r="AD110" i="1"/>
  <c r="AB111" i="1"/>
  <c r="AC111" i="1"/>
  <c r="AD111" i="1"/>
  <c r="AB112" i="1"/>
  <c r="AC112" i="1"/>
  <c r="AD112" i="1"/>
  <c r="AB113" i="1"/>
  <c r="AC113" i="1"/>
  <c r="AD113" i="1"/>
  <c r="AB114" i="1"/>
  <c r="AC114" i="1"/>
  <c r="AD114" i="1"/>
  <c r="AB115" i="1"/>
  <c r="AC115" i="1"/>
  <c r="AD115" i="1"/>
  <c r="AB116" i="1"/>
  <c r="AC116" i="1"/>
  <c r="AD116" i="1"/>
  <c r="AB117" i="1"/>
  <c r="AC117" i="1"/>
  <c r="AD117" i="1"/>
  <c r="AB118" i="1"/>
  <c r="AC118" i="1"/>
  <c r="AD118" i="1"/>
  <c r="AB119" i="1"/>
  <c r="AC119" i="1"/>
  <c r="AD119" i="1"/>
  <c r="AB120" i="1"/>
  <c r="AC120" i="1"/>
  <c r="AD120" i="1"/>
  <c r="AB121" i="1"/>
  <c r="AC121" i="1"/>
  <c r="AD121" i="1"/>
  <c r="AB122" i="1"/>
  <c r="AC122" i="1"/>
  <c r="AD122" i="1"/>
  <c r="AB123" i="1"/>
  <c r="AC123" i="1"/>
  <c r="AD123" i="1"/>
  <c r="AB124" i="1"/>
  <c r="AC124" i="1"/>
  <c r="AD124" i="1"/>
  <c r="AB125" i="1"/>
  <c r="AC125" i="1"/>
  <c r="AD125" i="1"/>
  <c r="AB126" i="1"/>
  <c r="AC126" i="1"/>
  <c r="AD126" i="1"/>
  <c r="AB127" i="1"/>
  <c r="AC127" i="1"/>
  <c r="AD127" i="1"/>
  <c r="AB128" i="1"/>
  <c r="AC128" i="1"/>
  <c r="AD128" i="1"/>
  <c r="AB129" i="1"/>
  <c r="AC129" i="1"/>
  <c r="AD129" i="1"/>
  <c r="AB130" i="1"/>
  <c r="AC130" i="1"/>
  <c r="AD130" i="1"/>
  <c r="AB131" i="1"/>
  <c r="AC131" i="1"/>
  <c r="AD131" i="1"/>
  <c r="AB132" i="1"/>
  <c r="AC132" i="1"/>
  <c r="AD132" i="1"/>
  <c r="AB133" i="1"/>
  <c r="AC133" i="1"/>
  <c r="AD133" i="1"/>
  <c r="AB134" i="1"/>
  <c r="AC134" i="1"/>
  <c r="AD134" i="1"/>
  <c r="AB135" i="1"/>
  <c r="AC135" i="1"/>
  <c r="AD135" i="1"/>
  <c r="AB136" i="1"/>
  <c r="AC136" i="1"/>
  <c r="AD136" i="1"/>
  <c r="AB137" i="1"/>
  <c r="AC137" i="1"/>
  <c r="AD137" i="1"/>
  <c r="AB138" i="1"/>
  <c r="AC138" i="1"/>
  <c r="AD138" i="1"/>
  <c r="AB139" i="1"/>
  <c r="AC139" i="1"/>
  <c r="AD139" i="1"/>
  <c r="AB140" i="1"/>
  <c r="AC140" i="1"/>
  <c r="AD140" i="1"/>
  <c r="AB141" i="1"/>
  <c r="AC141" i="1"/>
  <c r="AD141" i="1"/>
  <c r="AB142" i="1"/>
  <c r="AC142" i="1"/>
  <c r="AD142" i="1"/>
  <c r="AB143" i="1"/>
  <c r="AC143" i="1"/>
  <c r="AD143" i="1"/>
  <c r="AB144" i="1"/>
  <c r="AC144" i="1"/>
  <c r="AD144" i="1"/>
  <c r="AB145" i="1"/>
  <c r="AC145" i="1"/>
  <c r="AD145" i="1"/>
  <c r="AB146" i="1"/>
  <c r="AC146" i="1"/>
  <c r="AD146" i="1"/>
  <c r="AB147" i="1"/>
  <c r="AC147" i="1"/>
  <c r="AD147" i="1"/>
  <c r="AB148" i="1"/>
  <c r="AC148" i="1"/>
  <c r="AD148" i="1"/>
  <c r="AB149" i="1"/>
  <c r="AC149" i="1"/>
  <c r="AD149" i="1"/>
  <c r="AB150" i="1"/>
  <c r="AC150" i="1"/>
  <c r="AD150" i="1"/>
  <c r="AB151" i="1"/>
  <c r="AC151" i="1"/>
  <c r="AD151" i="1"/>
  <c r="AB152" i="1"/>
  <c r="AC152" i="1"/>
  <c r="AD152" i="1"/>
  <c r="AB153" i="1"/>
  <c r="AC153" i="1"/>
  <c r="AD153" i="1"/>
  <c r="AB154" i="1"/>
  <c r="AC154" i="1"/>
  <c r="AD154" i="1"/>
  <c r="AB155" i="1"/>
  <c r="AC155" i="1"/>
  <c r="AD155" i="1"/>
  <c r="AB156" i="1"/>
  <c r="AC156" i="1"/>
  <c r="AD156" i="1"/>
  <c r="AB157" i="1"/>
  <c r="AC157" i="1"/>
  <c r="AD157" i="1"/>
  <c r="AB158" i="1"/>
  <c r="AC158" i="1"/>
  <c r="AD158" i="1"/>
  <c r="AB159" i="1"/>
  <c r="AC159" i="1"/>
  <c r="AD159" i="1"/>
  <c r="AB160" i="1"/>
  <c r="AC160" i="1"/>
  <c r="AD160" i="1"/>
  <c r="AB161" i="1"/>
  <c r="AC161" i="1"/>
  <c r="AD161" i="1"/>
  <c r="AB162" i="1"/>
  <c r="AC162" i="1"/>
  <c r="AD162" i="1"/>
  <c r="AB163" i="1"/>
  <c r="AC163" i="1"/>
  <c r="AD163" i="1"/>
  <c r="AB164" i="1"/>
  <c r="AC164" i="1"/>
  <c r="AD164" i="1"/>
  <c r="AB165" i="1"/>
  <c r="AC165" i="1"/>
  <c r="AD165" i="1"/>
  <c r="AB166" i="1"/>
  <c r="AC166" i="1"/>
  <c r="AD166" i="1"/>
  <c r="AB167" i="1"/>
  <c r="AC167" i="1"/>
  <c r="AD167" i="1"/>
  <c r="AB168" i="1"/>
  <c r="AC168" i="1"/>
  <c r="AD168" i="1"/>
  <c r="AB169" i="1"/>
  <c r="AC169" i="1"/>
  <c r="AD169" i="1"/>
  <c r="AB170" i="1"/>
  <c r="AC170" i="1"/>
  <c r="AD170" i="1"/>
  <c r="AB171" i="1"/>
  <c r="AC171" i="1"/>
  <c r="AD171" i="1"/>
  <c r="AB172" i="1"/>
  <c r="AC172" i="1"/>
  <c r="AD172" i="1"/>
  <c r="AB173" i="1"/>
  <c r="AC173" i="1"/>
  <c r="AD173" i="1"/>
  <c r="AB174" i="1"/>
  <c r="AC174" i="1"/>
  <c r="AD174" i="1"/>
  <c r="AB175" i="1"/>
  <c r="AC175" i="1"/>
  <c r="AD175" i="1"/>
  <c r="AB176" i="1"/>
  <c r="AC176" i="1"/>
  <c r="AD176" i="1"/>
  <c r="AB177" i="1"/>
  <c r="AC177" i="1"/>
  <c r="AD177" i="1"/>
  <c r="AB178" i="1"/>
  <c r="AC178" i="1"/>
  <c r="AD178" i="1"/>
  <c r="AB179" i="1"/>
  <c r="AC179" i="1"/>
  <c r="AD179" i="1"/>
  <c r="AB180" i="1"/>
  <c r="AC180" i="1"/>
  <c r="AD180" i="1"/>
  <c r="AB181" i="1"/>
  <c r="AC181" i="1"/>
  <c r="AD181" i="1"/>
  <c r="AB182" i="1"/>
  <c r="AC182" i="1"/>
  <c r="AD182" i="1"/>
  <c r="AB183" i="1"/>
  <c r="AC183" i="1"/>
  <c r="AD183" i="1"/>
  <c r="AB184" i="1"/>
  <c r="AC184" i="1"/>
  <c r="AD184" i="1"/>
  <c r="AB185" i="1"/>
  <c r="AC185" i="1"/>
  <c r="AD185" i="1"/>
  <c r="AB186" i="1"/>
  <c r="AC186" i="1"/>
  <c r="AD186" i="1"/>
  <c r="AB187" i="1"/>
  <c r="AC187" i="1"/>
  <c r="AD187" i="1"/>
  <c r="AB188" i="1"/>
  <c r="AC188" i="1"/>
  <c r="AD188" i="1"/>
  <c r="AB189" i="1"/>
  <c r="AC189" i="1"/>
  <c r="AD189" i="1"/>
  <c r="AB190" i="1"/>
  <c r="AC190" i="1"/>
  <c r="AD190" i="1"/>
  <c r="AB191" i="1"/>
  <c r="AC191" i="1"/>
  <c r="AD191" i="1"/>
  <c r="AB192" i="1"/>
  <c r="AC192" i="1"/>
  <c r="AD192" i="1"/>
  <c r="AB193" i="1"/>
  <c r="AC193" i="1"/>
  <c r="AD193" i="1"/>
  <c r="AB194" i="1"/>
  <c r="AC194" i="1"/>
  <c r="AD194" i="1"/>
  <c r="AB195" i="1"/>
  <c r="AC195" i="1"/>
  <c r="AD195" i="1"/>
  <c r="AB196" i="1"/>
  <c r="AC196" i="1"/>
  <c r="AD196" i="1"/>
  <c r="AB197" i="1"/>
  <c r="AC197" i="1"/>
  <c r="AD197" i="1"/>
  <c r="AB198" i="1"/>
  <c r="AC198" i="1"/>
  <c r="AD198" i="1"/>
  <c r="AB199" i="1"/>
  <c r="AC199" i="1"/>
  <c r="AD199" i="1"/>
  <c r="AB200" i="1"/>
  <c r="AC200" i="1"/>
  <c r="AD200" i="1"/>
  <c r="AB201" i="1"/>
  <c r="AC201" i="1"/>
  <c r="AD201" i="1"/>
  <c r="AB202" i="1"/>
  <c r="AC202" i="1"/>
  <c r="AD202" i="1"/>
  <c r="AB3" i="1"/>
  <c r="AC3" i="1"/>
  <c r="AD3" i="1"/>
  <c r="J4" i="1"/>
  <c r="K4" i="1"/>
  <c r="L4" i="1"/>
  <c r="N4" i="1"/>
  <c r="O4" i="1"/>
  <c r="Q4" i="1"/>
  <c r="R4" i="1"/>
  <c r="T4" i="1"/>
  <c r="U4" i="1"/>
  <c r="V4" i="1"/>
  <c r="X4" i="1"/>
  <c r="Y4" i="1"/>
  <c r="Z4" i="1"/>
  <c r="J5" i="1"/>
  <c r="K5" i="1"/>
  <c r="L5" i="1"/>
  <c r="N5" i="1"/>
  <c r="O5" i="1"/>
  <c r="Q5" i="1"/>
  <c r="R5" i="1"/>
  <c r="T5" i="1"/>
  <c r="U5" i="1"/>
  <c r="V5" i="1"/>
  <c r="X5" i="1"/>
  <c r="Y5" i="1"/>
  <c r="Z5" i="1"/>
  <c r="J6" i="1"/>
  <c r="K6" i="1"/>
  <c r="L6" i="1"/>
  <c r="N6" i="1"/>
  <c r="O6" i="1"/>
  <c r="Q6" i="1"/>
  <c r="R6" i="1"/>
  <c r="T6" i="1"/>
  <c r="U6" i="1"/>
  <c r="V6" i="1"/>
  <c r="X6" i="1"/>
  <c r="Y6" i="1"/>
  <c r="Z6" i="1"/>
  <c r="J7" i="1"/>
  <c r="K7" i="1"/>
  <c r="L7" i="1"/>
  <c r="N7" i="1"/>
  <c r="O7" i="1"/>
  <c r="Q7" i="1"/>
  <c r="R7" i="1"/>
  <c r="T7" i="1"/>
  <c r="U7" i="1"/>
  <c r="V7" i="1"/>
  <c r="X7" i="1"/>
  <c r="Y7" i="1"/>
  <c r="Z7" i="1"/>
  <c r="J8" i="1"/>
  <c r="K8" i="1"/>
  <c r="L8" i="1"/>
  <c r="N8" i="1"/>
  <c r="O8" i="1"/>
  <c r="Q8" i="1"/>
  <c r="R8" i="1"/>
  <c r="T8" i="1"/>
  <c r="U8" i="1"/>
  <c r="V8" i="1"/>
  <c r="X8" i="1"/>
  <c r="Y8" i="1"/>
  <c r="Z8" i="1"/>
  <c r="J9" i="1"/>
  <c r="K9" i="1"/>
  <c r="L9" i="1"/>
  <c r="N9" i="1"/>
  <c r="O9" i="1"/>
  <c r="Q9" i="1"/>
  <c r="R9" i="1"/>
  <c r="T9" i="1"/>
  <c r="U9" i="1"/>
  <c r="V9" i="1"/>
  <c r="X9" i="1"/>
  <c r="Y9" i="1"/>
  <c r="Z9" i="1"/>
  <c r="J10" i="1"/>
  <c r="K10" i="1"/>
  <c r="L10" i="1"/>
  <c r="N10" i="1"/>
  <c r="O10" i="1"/>
  <c r="Q10" i="1"/>
  <c r="R10" i="1"/>
  <c r="T10" i="1"/>
  <c r="U10" i="1"/>
  <c r="V10" i="1"/>
  <c r="X10" i="1"/>
  <c r="Y10" i="1"/>
  <c r="Z10" i="1"/>
  <c r="J11" i="1"/>
  <c r="K11" i="1"/>
  <c r="L11" i="1"/>
  <c r="N11" i="1"/>
  <c r="O11" i="1"/>
  <c r="Q11" i="1"/>
  <c r="R11" i="1"/>
  <c r="T11" i="1"/>
  <c r="U11" i="1"/>
  <c r="V11" i="1"/>
  <c r="X11" i="1"/>
  <c r="Y11" i="1"/>
  <c r="Z11" i="1"/>
  <c r="J12" i="1"/>
  <c r="K12" i="1"/>
  <c r="L12" i="1"/>
  <c r="N12" i="1"/>
  <c r="O12" i="1"/>
  <c r="Q12" i="1"/>
  <c r="R12" i="1"/>
  <c r="T12" i="1"/>
  <c r="U12" i="1"/>
  <c r="V12" i="1"/>
  <c r="X12" i="1"/>
  <c r="Y12" i="1"/>
  <c r="Z12" i="1"/>
  <c r="J13" i="1"/>
  <c r="K13" i="1"/>
  <c r="L13" i="1"/>
  <c r="N13" i="1"/>
  <c r="O13" i="1"/>
  <c r="Q13" i="1"/>
  <c r="R13" i="1"/>
  <c r="T13" i="1"/>
  <c r="U13" i="1"/>
  <c r="V13" i="1"/>
  <c r="X13" i="1"/>
  <c r="Y13" i="1"/>
  <c r="Z13" i="1"/>
  <c r="J14" i="1"/>
  <c r="K14" i="1"/>
  <c r="L14" i="1"/>
  <c r="N14" i="1"/>
  <c r="O14" i="1"/>
  <c r="Q14" i="1"/>
  <c r="R14" i="1"/>
  <c r="T14" i="1"/>
  <c r="U14" i="1"/>
  <c r="V14" i="1"/>
  <c r="X14" i="1"/>
  <c r="Y14" i="1"/>
  <c r="Z14" i="1"/>
  <c r="J15" i="1"/>
  <c r="K15" i="1"/>
  <c r="L15" i="1"/>
  <c r="N15" i="1"/>
  <c r="O15" i="1"/>
  <c r="Q15" i="1"/>
  <c r="R15" i="1"/>
  <c r="T15" i="1"/>
  <c r="U15" i="1"/>
  <c r="V15" i="1"/>
  <c r="X15" i="1"/>
  <c r="Y15" i="1"/>
  <c r="Z15" i="1"/>
  <c r="J16" i="1"/>
  <c r="K16" i="1"/>
  <c r="L16" i="1"/>
  <c r="N16" i="1"/>
  <c r="O16" i="1"/>
  <c r="Q16" i="1"/>
  <c r="R16" i="1"/>
  <c r="T16" i="1"/>
  <c r="U16" i="1"/>
  <c r="V16" i="1"/>
  <c r="X16" i="1"/>
  <c r="Y16" i="1"/>
  <c r="Z16" i="1"/>
  <c r="J17" i="1"/>
  <c r="K17" i="1"/>
  <c r="L17" i="1"/>
  <c r="N17" i="1"/>
  <c r="O17" i="1"/>
  <c r="Q17" i="1"/>
  <c r="R17" i="1"/>
  <c r="T17" i="1"/>
  <c r="U17" i="1"/>
  <c r="V17" i="1"/>
  <c r="X17" i="1"/>
  <c r="Y17" i="1"/>
  <c r="Z17" i="1"/>
  <c r="J18" i="1"/>
  <c r="K18" i="1"/>
  <c r="L18" i="1"/>
  <c r="N18" i="1"/>
  <c r="O18" i="1"/>
  <c r="Q18" i="1"/>
  <c r="R18" i="1"/>
  <c r="T18" i="1"/>
  <c r="U18" i="1"/>
  <c r="V18" i="1"/>
  <c r="X18" i="1"/>
  <c r="Y18" i="1"/>
  <c r="Z18" i="1"/>
  <c r="J19" i="1"/>
  <c r="K19" i="1"/>
  <c r="L19" i="1"/>
  <c r="N19" i="1"/>
  <c r="O19" i="1"/>
  <c r="Q19" i="1"/>
  <c r="R19" i="1"/>
  <c r="T19" i="1"/>
  <c r="U19" i="1"/>
  <c r="V19" i="1"/>
  <c r="X19" i="1"/>
  <c r="Y19" i="1"/>
  <c r="Z19" i="1"/>
  <c r="J20" i="1"/>
  <c r="K20" i="1"/>
  <c r="L20" i="1"/>
  <c r="N20" i="1"/>
  <c r="O20" i="1"/>
  <c r="Q20" i="1"/>
  <c r="R20" i="1"/>
  <c r="T20" i="1"/>
  <c r="U20" i="1"/>
  <c r="V20" i="1"/>
  <c r="X20" i="1"/>
  <c r="Y20" i="1"/>
  <c r="Z20" i="1"/>
  <c r="J21" i="1"/>
  <c r="K21" i="1"/>
  <c r="L21" i="1"/>
  <c r="N21" i="1"/>
  <c r="O21" i="1"/>
  <c r="Q21" i="1"/>
  <c r="R21" i="1"/>
  <c r="T21" i="1"/>
  <c r="U21" i="1"/>
  <c r="V21" i="1"/>
  <c r="X21" i="1"/>
  <c r="Y21" i="1"/>
  <c r="Z21" i="1"/>
  <c r="J22" i="1"/>
  <c r="K22" i="1"/>
  <c r="L22" i="1"/>
  <c r="N22" i="1"/>
  <c r="O22" i="1"/>
  <c r="Q22" i="1"/>
  <c r="R22" i="1"/>
  <c r="T22" i="1"/>
  <c r="U22" i="1"/>
  <c r="V22" i="1"/>
  <c r="X22" i="1"/>
  <c r="Y22" i="1"/>
  <c r="Z22" i="1"/>
  <c r="J23" i="1"/>
  <c r="K23" i="1"/>
  <c r="L23" i="1"/>
  <c r="N23" i="1"/>
  <c r="O23" i="1"/>
  <c r="Q23" i="1"/>
  <c r="R23" i="1"/>
  <c r="T23" i="1"/>
  <c r="U23" i="1"/>
  <c r="V23" i="1"/>
  <c r="X23" i="1"/>
  <c r="Y23" i="1"/>
  <c r="Z23" i="1"/>
  <c r="J24" i="1"/>
  <c r="K24" i="1"/>
  <c r="L24" i="1"/>
  <c r="N24" i="1"/>
  <c r="O24" i="1"/>
  <c r="Q24" i="1"/>
  <c r="R24" i="1"/>
  <c r="T24" i="1"/>
  <c r="U24" i="1"/>
  <c r="V24" i="1"/>
  <c r="X24" i="1"/>
  <c r="Y24" i="1"/>
  <c r="Z24" i="1"/>
  <c r="J25" i="1"/>
  <c r="K25" i="1"/>
  <c r="L25" i="1"/>
  <c r="N25" i="1"/>
  <c r="O25" i="1"/>
  <c r="Q25" i="1"/>
  <c r="R25" i="1"/>
  <c r="T25" i="1"/>
  <c r="U25" i="1"/>
  <c r="V25" i="1"/>
  <c r="X25" i="1"/>
  <c r="Y25" i="1"/>
  <c r="Z25" i="1"/>
  <c r="J26" i="1"/>
  <c r="K26" i="1"/>
  <c r="L26" i="1"/>
  <c r="N26" i="1"/>
  <c r="O26" i="1"/>
  <c r="Q26" i="1"/>
  <c r="R26" i="1"/>
  <c r="T26" i="1"/>
  <c r="U26" i="1"/>
  <c r="V26" i="1"/>
  <c r="X26" i="1"/>
  <c r="Y26" i="1"/>
  <c r="Z26" i="1"/>
  <c r="J27" i="1"/>
  <c r="K27" i="1"/>
  <c r="L27" i="1"/>
  <c r="N27" i="1"/>
  <c r="O27" i="1"/>
  <c r="Q27" i="1"/>
  <c r="R27" i="1"/>
  <c r="T27" i="1"/>
  <c r="U27" i="1"/>
  <c r="V27" i="1"/>
  <c r="X27" i="1"/>
  <c r="Y27" i="1"/>
  <c r="Z27" i="1"/>
  <c r="J28" i="1"/>
  <c r="K28" i="1"/>
  <c r="L28" i="1"/>
  <c r="N28" i="1"/>
  <c r="O28" i="1"/>
  <c r="Q28" i="1"/>
  <c r="R28" i="1"/>
  <c r="T28" i="1"/>
  <c r="U28" i="1"/>
  <c r="V28" i="1"/>
  <c r="X28" i="1"/>
  <c r="Y28" i="1"/>
  <c r="Z28" i="1"/>
  <c r="J29" i="1"/>
  <c r="K29" i="1"/>
  <c r="L29" i="1"/>
  <c r="N29" i="1"/>
  <c r="O29" i="1"/>
  <c r="Q29" i="1"/>
  <c r="R29" i="1"/>
  <c r="T29" i="1"/>
  <c r="U29" i="1"/>
  <c r="V29" i="1"/>
  <c r="X29" i="1"/>
  <c r="Y29" i="1"/>
  <c r="Z29" i="1"/>
  <c r="J30" i="1"/>
  <c r="K30" i="1"/>
  <c r="L30" i="1"/>
  <c r="N30" i="1"/>
  <c r="O30" i="1"/>
  <c r="Q30" i="1"/>
  <c r="R30" i="1"/>
  <c r="T30" i="1"/>
  <c r="U30" i="1"/>
  <c r="V30" i="1"/>
  <c r="X30" i="1"/>
  <c r="Y30" i="1"/>
  <c r="Z30" i="1"/>
  <c r="J31" i="1"/>
  <c r="K31" i="1"/>
  <c r="L31" i="1"/>
  <c r="N31" i="1"/>
  <c r="O31" i="1"/>
  <c r="Q31" i="1"/>
  <c r="R31" i="1"/>
  <c r="T31" i="1"/>
  <c r="U31" i="1"/>
  <c r="V31" i="1"/>
  <c r="X31" i="1"/>
  <c r="Y31" i="1"/>
  <c r="Z31" i="1"/>
  <c r="J32" i="1"/>
  <c r="K32" i="1"/>
  <c r="L32" i="1"/>
  <c r="N32" i="1"/>
  <c r="O32" i="1"/>
  <c r="Q32" i="1"/>
  <c r="R32" i="1"/>
  <c r="T32" i="1"/>
  <c r="U32" i="1"/>
  <c r="V32" i="1"/>
  <c r="X32" i="1"/>
  <c r="Y32" i="1"/>
  <c r="Z32" i="1"/>
  <c r="J33" i="1"/>
  <c r="K33" i="1"/>
  <c r="L33" i="1"/>
  <c r="N33" i="1"/>
  <c r="O33" i="1"/>
  <c r="Q33" i="1"/>
  <c r="R33" i="1"/>
  <c r="T33" i="1"/>
  <c r="U33" i="1"/>
  <c r="V33" i="1"/>
  <c r="X33" i="1"/>
  <c r="Y33" i="1"/>
  <c r="Z33" i="1"/>
  <c r="J34" i="1"/>
  <c r="K34" i="1"/>
  <c r="L34" i="1"/>
  <c r="N34" i="1"/>
  <c r="O34" i="1"/>
  <c r="Q34" i="1"/>
  <c r="R34" i="1"/>
  <c r="T34" i="1"/>
  <c r="U34" i="1"/>
  <c r="V34" i="1"/>
  <c r="X34" i="1"/>
  <c r="Y34" i="1"/>
  <c r="Z34" i="1"/>
  <c r="J35" i="1"/>
  <c r="K35" i="1"/>
  <c r="L35" i="1"/>
  <c r="N35" i="1"/>
  <c r="O35" i="1"/>
  <c r="Q35" i="1"/>
  <c r="R35" i="1"/>
  <c r="T35" i="1"/>
  <c r="U35" i="1"/>
  <c r="V35" i="1"/>
  <c r="X35" i="1"/>
  <c r="Y35" i="1"/>
  <c r="Z35" i="1"/>
  <c r="J36" i="1"/>
  <c r="K36" i="1"/>
  <c r="L36" i="1"/>
  <c r="N36" i="1"/>
  <c r="O36" i="1"/>
  <c r="Q36" i="1"/>
  <c r="R36" i="1"/>
  <c r="T36" i="1"/>
  <c r="U36" i="1"/>
  <c r="V36" i="1"/>
  <c r="X36" i="1"/>
  <c r="Y36" i="1"/>
  <c r="Z36" i="1"/>
  <c r="J37" i="1"/>
  <c r="K37" i="1"/>
  <c r="L37" i="1"/>
  <c r="N37" i="1"/>
  <c r="O37" i="1"/>
  <c r="Q37" i="1"/>
  <c r="R37" i="1"/>
  <c r="T37" i="1"/>
  <c r="U37" i="1"/>
  <c r="V37" i="1"/>
  <c r="X37" i="1"/>
  <c r="Y37" i="1"/>
  <c r="Z37" i="1"/>
  <c r="J38" i="1"/>
  <c r="K38" i="1"/>
  <c r="L38" i="1"/>
  <c r="N38" i="1"/>
  <c r="O38" i="1"/>
  <c r="Q38" i="1"/>
  <c r="R38" i="1"/>
  <c r="T38" i="1"/>
  <c r="U38" i="1"/>
  <c r="V38" i="1"/>
  <c r="X38" i="1"/>
  <c r="Y38" i="1"/>
  <c r="Z38" i="1"/>
  <c r="J39" i="1"/>
  <c r="K39" i="1"/>
  <c r="L39" i="1"/>
  <c r="N39" i="1"/>
  <c r="O39" i="1"/>
  <c r="Q39" i="1"/>
  <c r="R39" i="1"/>
  <c r="T39" i="1"/>
  <c r="U39" i="1"/>
  <c r="V39" i="1"/>
  <c r="X39" i="1"/>
  <c r="Y39" i="1"/>
  <c r="Z39" i="1"/>
  <c r="J40" i="1"/>
  <c r="K40" i="1"/>
  <c r="L40" i="1"/>
  <c r="N40" i="1"/>
  <c r="O40" i="1"/>
  <c r="Q40" i="1"/>
  <c r="R40" i="1"/>
  <c r="T40" i="1"/>
  <c r="U40" i="1"/>
  <c r="V40" i="1"/>
  <c r="X40" i="1"/>
  <c r="Y40" i="1"/>
  <c r="Z40" i="1"/>
  <c r="J41" i="1"/>
  <c r="K41" i="1"/>
  <c r="L41" i="1"/>
  <c r="N41" i="1"/>
  <c r="O41" i="1"/>
  <c r="Q41" i="1"/>
  <c r="R41" i="1"/>
  <c r="T41" i="1"/>
  <c r="U41" i="1"/>
  <c r="V41" i="1"/>
  <c r="X41" i="1"/>
  <c r="Y41" i="1"/>
  <c r="Z41" i="1"/>
  <c r="J42" i="1"/>
  <c r="K42" i="1"/>
  <c r="L42" i="1"/>
  <c r="N42" i="1"/>
  <c r="O42" i="1"/>
  <c r="Q42" i="1"/>
  <c r="R42" i="1"/>
  <c r="T42" i="1"/>
  <c r="U42" i="1"/>
  <c r="V42" i="1"/>
  <c r="X42" i="1"/>
  <c r="Y42" i="1"/>
  <c r="Z42" i="1"/>
  <c r="J43" i="1"/>
  <c r="K43" i="1"/>
  <c r="L43" i="1"/>
  <c r="N43" i="1"/>
  <c r="O43" i="1"/>
  <c r="Q43" i="1"/>
  <c r="R43" i="1"/>
  <c r="T43" i="1"/>
  <c r="U43" i="1"/>
  <c r="V43" i="1"/>
  <c r="X43" i="1"/>
  <c r="Y43" i="1"/>
  <c r="Z43" i="1"/>
  <c r="J44" i="1"/>
  <c r="K44" i="1"/>
  <c r="L44" i="1"/>
  <c r="N44" i="1"/>
  <c r="O44" i="1"/>
  <c r="Q44" i="1"/>
  <c r="R44" i="1"/>
  <c r="T44" i="1"/>
  <c r="U44" i="1"/>
  <c r="V44" i="1"/>
  <c r="X44" i="1"/>
  <c r="Y44" i="1"/>
  <c r="Z44" i="1"/>
  <c r="J45" i="1"/>
  <c r="K45" i="1"/>
  <c r="L45" i="1"/>
  <c r="N45" i="1"/>
  <c r="O45" i="1"/>
  <c r="Q45" i="1"/>
  <c r="R45" i="1"/>
  <c r="T45" i="1"/>
  <c r="U45" i="1"/>
  <c r="V45" i="1"/>
  <c r="X45" i="1"/>
  <c r="Y45" i="1"/>
  <c r="Z45" i="1"/>
  <c r="J46" i="1"/>
  <c r="K46" i="1"/>
  <c r="L46" i="1"/>
  <c r="N46" i="1"/>
  <c r="O46" i="1"/>
  <c r="Q46" i="1"/>
  <c r="R46" i="1"/>
  <c r="T46" i="1"/>
  <c r="U46" i="1"/>
  <c r="V46" i="1"/>
  <c r="X46" i="1"/>
  <c r="Y46" i="1"/>
  <c r="Z46" i="1"/>
  <c r="J47" i="1"/>
  <c r="K47" i="1"/>
  <c r="L47" i="1"/>
  <c r="N47" i="1"/>
  <c r="O47" i="1"/>
  <c r="Q47" i="1"/>
  <c r="R47" i="1"/>
  <c r="T47" i="1"/>
  <c r="U47" i="1"/>
  <c r="V47" i="1"/>
  <c r="X47" i="1"/>
  <c r="Y47" i="1"/>
  <c r="Z47" i="1"/>
  <c r="J48" i="1"/>
  <c r="K48" i="1"/>
  <c r="L48" i="1"/>
  <c r="N48" i="1"/>
  <c r="O48" i="1"/>
  <c r="Q48" i="1"/>
  <c r="R48" i="1"/>
  <c r="T48" i="1"/>
  <c r="U48" i="1"/>
  <c r="V48" i="1"/>
  <c r="X48" i="1"/>
  <c r="Y48" i="1"/>
  <c r="Z48" i="1"/>
  <c r="J49" i="1"/>
  <c r="K49" i="1"/>
  <c r="L49" i="1"/>
  <c r="N49" i="1"/>
  <c r="O49" i="1"/>
  <c r="Q49" i="1"/>
  <c r="R49" i="1"/>
  <c r="T49" i="1"/>
  <c r="U49" i="1"/>
  <c r="V49" i="1"/>
  <c r="X49" i="1"/>
  <c r="Y49" i="1"/>
  <c r="Z49" i="1"/>
  <c r="J50" i="1"/>
  <c r="K50" i="1"/>
  <c r="L50" i="1"/>
  <c r="N50" i="1"/>
  <c r="O50" i="1"/>
  <c r="Q50" i="1"/>
  <c r="R50" i="1"/>
  <c r="T50" i="1"/>
  <c r="U50" i="1"/>
  <c r="V50" i="1"/>
  <c r="X50" i="1"/>
  <c r="Y50" i="1"/>
  <c r="Z50" i="1"/>
  <c r="J51" i="1"/>
  <c r="K51" i="1"/>
  <c r="L51" i="1"/>
  <c r="N51" i="1"/>
  <c r="O51" i="1"/>
  <c r="Q51" i="1"/>
  <c r="R51" i="1"/>
  <c r="T51" i="1"/>
  <c r="U51" i="1"/>
  <c r="V51" i="1"/>
  <c r="X51" i="1"/>
  <c r="Y51" i="1"/>
  <c r="Z51" i="1"/>
  <c r="J52" i="1"/>
  <c r="K52" i="1"/>
  <c r="L52" i="1"/>
  <c r="N52" i="1"/>
  <c r="O52" i="1"/>
  <c r="Q52" i="1"/>
  <c r="R52" i="1"/>
  <c r="T52" i="1"/>
  <c r="U52" i="1"/>
  <c r="V52" i="1"/>
  <c r="X52" i="1"/>
  <c r="Y52" i="1"/>
  <c r="Z52" i="1"/>
  <c r="J53" i="1"/>
  <c r="K53" i="1"/>
  <c r="L53" i="1"/>
  <c r="N53" i="1"/>
  <c r="O53" i="1"/>
  <c r="Q53" i="1"/>
  <c r="R53" i="1"/>
  <c r="T53" i="1"/>
  <c r="U53" i="1"/>
  <c r="V53" i="1"/>
  <c r="X53" i="1"/>
  <c r="Y53" i="1"/>
  <c r="Z53" i="1"/>
  <c r="J54" i="1"/>
  <c r="K54" i="1"/>
  <c r="L54" i="1"/>
  <c r="N54" i="1"/>
  <c r="O54" i="1"/>
  <c r="Q54" i="1"/>
  <c r="R54" i="1"/>
  <c r="T54" i="1"/>
  <c r="U54" i="1"/>
  <c r="V54" i="1"/>
  <c r="X54" i="1"/>
  <c r="Y54" i="1"/>
  <c r="Z54" i="1"/>
  <c r="J55" i="1"/>
  <c r="K55" i="1"/>
  <c r="L55" i="1"/>
  <c r="N55" i="1"/>
  <c r="O55" i="1"/>
  <c r="Q55" i="1"/>
  <c r="R55" i="1"/>
  <c r="T55" i="1"/>
  <c r="U55" i="1"/>
  <c r="V55" i="1"/>
  <c r="X55" i="1"/>
  <c r="Y55" i="1"/>
  <c r="Z55" i="1"/>
  <c r="J56" i="1"/>
  <c r="K56" i="1"/>
  <c r="L56" i="1"/>
  <c r="N56" i="1"/>
  <c r="O56" i="1"/>
  <c r="Q56" i="1"/>
  <c r="R56" i="1"/>
  <c r="T56" i="1"/>
  <c r="U56" i="1"/>
  <c r="V56" i="1"/>
  <c r="X56" i="1"/>
  <c r="Y56" i="1"/>
  <c r="Z56" i="1"/>
  <c r="J57" i="1"/>
  <c r="K57" i="1"/>
  <c r="L57" i="1"/>
  <c r="N57" i="1"/>
  <c r="O57" i="1"/>
  <c r="Q57" i="1"/>
  <c r="R57" i="1"/>
  <c r="T57" i="1"/>
  <c r="U57" i="1"/>
  <c r="V57" i="1"/>
  <c r="X57" i="1"/>
  <c r="Y57" i="1"/>
  <c r="Z57" i="1"/>
  <c r="J58" i="1"/>
  <c r="K58" i="1"/>
  <c r="L58" i="1"/>
  <c r="N58" i="1"/>
  <c r="O58" i="1"/>
  <c r="Q58" i="1"/>
  <c r="R58" i="1"/>
  <c r="T58" i="1"/>
  <c r="U58" i="1"/>
  <c r="V58" i="1"/>
  <c r="X58" i="1"/>
  <c r="Y58" i="1"/>
  <c r="Z58" i="1"/>
  <c r="J59" i="1"/>
  <c r="K59" i="1"/>
  <c r="L59" i="1"/>
  <c r="N59" i="1"/>
  <c r="O59" i="1"/>
  <c r="Q59" i="1"/>
  <c r="R59" i="1"/>
  <c r="T59" i="1"/>
  <c r="U59" i="1"/>
  <c r="V59" i="1"/>
  <c r="X59" i="1"/>
  <c r="Y59" i="1"/>
  <c r="Z59" i="1"/>
  <c r="J60" i="1"/>
  <c r="K60" i="1"/>
  <c r="L60" i="1"/>
  <c r="N60" i="1"/>
  <c r="O60" i="1"/>
  <c r="Q60" i="1"/>
  <c r="R60" i="1"/>
  <c r="T60" i="1"/>
  <c r="U60" i="1"/>
  <c r="V60" i="1"/>
  <c r="X60" i="1"/>
  <c r="Y60" i="1"/>
  <c r="Z60" i="1"/>
  <c r="J61" i="1"/>
  <c r="K61" i="1"/>
  <c r="L61" i="1"/>
  <c r="N61" i="1"/>
  <c r="O61" i="1"/>
  <c r="Q61" i="1"/>
  <c r="R61" i="1"/>
  <c r="T61" i="1"/>
  <c r="U61" i="1"/>
  <c r="V61" i="1"/>
  <c r="X61" i="1"/>
  <c r="Y61" i="1"/>
  <c r="Z61" i="1"/>
  <c r="J62" i="1"/>
  <c r="K62" i="1"/>
  <c r="L62" i="1"/>
  <c r="N62" i="1"/>
  <c r="O62" i="1"/>
  <c r="Q62" i="1"/>
  <c r="R62" i="1"/>
  <c r="T62" i="1"/>
  <c r="U62" i="1"/>
  <c r="V62" i="1"/>
  <c r="X62" i="1"/>
  <c r="Y62" i="1"/>
  <c r="Z62" i="1"/>
  <c r="J63" i="1"/>
  <c r="K63" i="1"/>
  <c r="L63" i="1"/>
  <c r="N63" i="1"/>
  <c r="O63" i="1"/>
  <c r="Q63" i="1"/>
  <c r="R63" i="1"/>
  <c r="T63" i="1"/>
  <c r="U63" i="1"/>
  <c r="V63" i="1"/>
  <c r="X63" i="1"/>
  <c r="Y63" i="1"/>
  <c r="Z63" i="1"/>
  <c r="J64" i="1"/>
  <c r="K64" i="1"/>
  <c r="L64" i="1"/>
  <c r="N64" i="1"/>
  <c r="O64" i="1"/>
  <c r="Q64" i="1"/>
  <c r="R64" i="1"/>
  <c r="T64" i="1"/>
  <c r="U64" i="1"/>
  <c r="V64" i="1"/>
  <c r="X64" i="1"/>
  <c r="Y64" i="1"/>
  <c r="Z64" i="1"/>
  <c r="J65" i="1"/>
  <c r="K65" i="1"/>
  <c r="L65" i="1"/>
  <c r="N65" i="1"/>
  <c r="O65" i="1"/>
  <c r="Q65" i="1"/>
  <c r="R65" i="1"/>
  <c r="T65" i="1"/>
  <c r="U65" i="1"/>
  <c r="V65" i="1"/>
  <c r="X65" i="1"/>
  <c r="Y65" i="1"/>
  <c r="Z65" i="1"/>
  <c r="J66" i="1"/>
  <c r="K66" i="1"/>
  <c r="L66" i="1"/>
  <c r="N66" i="1"/>
  <c r="O66" i="1"/>
  <c r="Q66" i="1"/>
  <c r="R66" i="1"/>
  <c r="T66" i="1"/>
  <c r="U66" i="1"/>
  <c r="V66" i="1"/>
  <c r="X66" i="1"/>
  <c r="Y66" i="1"/>
  <c r="Z66" i="1"/>
  <c r="J67" i="1"/>
  <c r="K67" i="1"/>
  <c r="L67" i="1"/>
  <c r="N67" i="1"/>
  <c r="O67" i="1"/>
  <c r="Q67" i="1"/>
  <c r="R67" i="1"/>
  <c r="T67" i="1"/>
  <c r="U67" i="1"/>
  <c r="V67" i="1"/>
  <c r="X67" i="1"/>
  <c r="Y67" i="1"/>
  <c r="Z67" i="1"/>
  <c r="J68" i="1"/>
  <c r="K68" i="1"/>
  <c r="L68" i="1"/>
  <c r="N68" i="1"/>
  <c r="O68" i="1"/>
  <c r="Q68" i="1"/>
  <c r="R68" i="1"/>
  <c r="T68" i="1"/>
  <c r="U68" i="1"/>
  <c r="V68" i="1"/>
  <c r="X68" i="1"/>
  <c r="Y68" i="1"/>
  <c r="Z68" i="1"/>
  <c r="J69" i="1"/>
  <c r="K69" i="1"/>
  <c r="L69" i="1"/>
  <c r="N69" i="1"/>
  <c r="O69" i="1"/>
  <c r="Q69" i="1"/>
  <c r="R69" i="1"/>
  <c r="T69" i="1"/>
  <c r="U69" i="1"/>
  <c r="V69" i="1"/>
  <c r="X69" i="1"/>
  <c r="Y69" i="1"/>
  <c r="Z69" i="1"/>
  <c r="J70" i="1"/>
  <c r="K70" i="1"/>
  <c r="L70" i="1"/>
  <c r="N70" i="1"/>
  <c r="O70" i="1"/>
  <c r="Q70" i="1"/>
  <c r="R70" i="1"/>
  <c r="T70" i="1"/>
  <c r="U70" i="1"/>
  <c r="V70" i="1"/>
  <c r="X70" i="1"/>
  <c r="Y70" i="1"/>
  <c r="Z70" i="1"/>
  <c r="J71" i="1"/>
  <c r="K71" i="1"/>
  <c r="L71" i="1"/>
  <c r="N71" i="1"/>
  <c r="O71" i="1"/>
  <c r="Q71" i="1"/>
  <c r="R71" i="1"/>
  <c r="T71" i="1"/>
  <c r="U71" i="1"/>
  <c r="V71" i="1"/>
  <c r="X71" i="1"/>
  <c r="Y71" i="1"/>
  <c r="Z71" i="1"/>
  <c r="J72" i="1"/>
  <c r="K72" i="1"/>
  <c r="L72" i="1"/>
  <c r="N72" i="1"/>
  <c r="O72" i="1"/>
  <c r="Q72" i="1"/>
  <c r="R72" i="1"/>
  <c r="T72" i="1"/>
  <c r="U72" i="1"/>
  <c r="V72" i="1"/>
  <c r="X72" i="1"/>
  <c r="Y72" i="1"/>
  <c r="Z72" i="1"/>
  <c r="J73" i="1"/>
  <c r="K73" i="1"/>
  <c r="L73" i="1"/>
  <c r="N73" i="1"/>
  <c r="O73" i="1"/>
  <c r="Q73" i="1"/>
  <c r="R73" i="1"/>
  <c r="T73" i="1"/>
  <c r="U73" i="1"/>
  <c r="V73" i="1"/>
  <c r="X73" i="1"/>
  <c r="Y73" i="1"/>
  <c r="Z73" i="1"/>
  <c r="J74" i="1"/>
  <c r="K74" i="1"/>
  <c r="L74" i="1"/>
  <c r="N74" i="1"/>
  <c r="O74" i="1"/>
  <c r="Q74" i="1"/>
  <c r="R74" i="1"/>
  <c r="T74" i="1"/>
  <c r="U74" i="1"/>
  <c r="V74" i="1"/>
  <c r="X74" i="1"/>
  <c r="Y74" i="1"/>
  <c r="Z74" i="1"/>
  <c r="J75" i="1"/>
  <c r="K75" i="1"/>
  <c r="L75" i="1"/>
  <c r="N75" i="1"/>
  <c r="O75" i="1"/>
  <c r="Q75" i="1"/>
  <c r="R75" i="1"/>
  <c r="T75" i="1"/>
  <c r="U75" i="1"/>
  <c r="V75" i="1"/>
  <c r="X75" i="1"/>
  <c r="Y75" i="1"/>
  <c r="Z75" i="1"/>
  <c r="J76" i="1"/>
  <c r="K76" i="1"/>
  <c r="L76" i="1"/>
  <c r="N76" i="1"/>
  <c r="O76" i="1"/>
  <c r="Q76" i="1"/>
  <c r="R76" i="1"/>
  <c r="T76" i="1"/>
  <c r="U76" i="1"/>
  <c r="V76" i="1"/>
  <c r="X76" i="1"/>
  <c r="Y76" i="1"/>
  <c r="Z76" i="1"/>
  <c r="J77" i="1"/>
  <c r="K77" i="1"/>
  <c r="L77" i="1"/>
  <c r="N77" i="1"/>
  <c r="O77" i="1"/>
  <c r="Q77" i="1"/>
  <c r="R77" i="1"/>
  <c r="T77" i="1"/>
  <c r="U77" i="1"/>
  <c r="V77" i="1"/>
  <c r="X77" i="1"/>
  <c r="Y77" i="1"/>
  <c r="Z77" i="1"/>
  <c r="J78" i="1"/>
  <c r="K78" i="1"/>
  <c r="L78" i="1"/>
  <c r="N78" i="1"/>
  <c r="O78" i="1"/>
  <c r="Q78" i="1"/>
  <c r="R78" i="1"/>
  <c r="T78" i="1"/>
  <c r="U78" i="1"/>
  <c r="V78" i="1"/>
  <c r="X78" i="1"/>
  <c r="Y78" i="1"/>
  <c r="Z78" i="1"/>
  <c r="J79" i="1"/>
  <c r="K79" i="1"/>
  <c r="L79" i="1"/>
  <c r="N79" i="1"/>
  <c r="O79" i="1"/>
  <c r="Q79" i="1"/>
  <c r="R79" i="1"/>
  <c r="T79" i="1"/>
  <c r="U79" i="1"/>
  <c r="V79" i="1"/>
  <c r="X79" i="1"/>
  <c r="Y79" i="1"/>
  <c r="Z79" i="1"/>
  <c r="J80" i="1"/>
  <c r="K80" i="1"/>
  <c r="L80" i="1"/>
  <c r="N80" i="1"/>
  <c r="O80" i="1"/>
  <c r="Q80" i="1"/>
  <c r="R80" i="1"/>
  <c r="T80" i="1"/>
  <c r="U80" i="1"/>
  <c r="V80" i="1"/>
  <c r="X80" i="1"/>
  <c r="Y80" i="1"/>
  <c r="Z80" i="1"/>
  <c r="J81" i="1"/>
  <c r="K81" i="1"/>
  <c r="L81" i="1"/>
  <c r="N81" i="1"/>
  <c r="O81" i="1"/>
  <c r="Q81" i="1"/>
  <c r="R81" i="1"/>
  <c r="T81" i="1"/>
  <c r="U81" i="1"/>
  <c r="V81" i="1"/>
  <c r="X81" i="1"/>
  <c r="Y81" i="1"/>
  <c r="Z81" i="1"/>
  <c r="J82" i="1"/>
  <c r="K82" i="1"/>
  <c r="L82" i="1"/>
  <c r="N82" i="1"/>
  <c r="O82" i="1"/>
  <c r="Q82" i="1"/>
  <c r="R82" i="1"/>
  <c r="T82" i="1"/>
  <c r="U82" i="1"/>
  <c r="V82" i="1"/>
  <c r="X82" i="1"/>
  <c r="Y82" i="1"/>
  <c r="Z82" i="1"/>
  <c r="J83" i="1"/>
  <c r="K83" i="1"/>
  <c r="L83" i="1"/>
  <c r="N83" i="1"/>
  <c r="O83" i="1"/>
  <c r="Q83" i="1"/>
  <c r="R83" i="1"/>
  <c r="T83" i="1"/>
  <c r="U83" i="1"/>
  <c r="V83" i="1"/>
  <c r="X83" i="1"/>
  <c r="Y83" i="1"/>
  <c r="Z83" i="1"/>
  <c r="J84" i="1"/>
  <c r="K84" i="1"/>
  <c r="L84" i="1"/>
  <c r="N84" i="1"/>
  <c r="O84" i="1"/>
  <c r="Q84" i="1"/>
  <c r="R84" i="1"/>
  <c r="T84" i="1"/>
  <c r="U84" i="1"/>
  <c r="V84" i="1"/>
  <c r="X84" i="1"/>
  <c r="Y84" i="1"/>
  <c r="Z84" i="1"/>
  <c r="J85" i="1"/>
  <c r="K85" i="1"/>
  <c r="L85" i="1"/>
  <c r="N85" i="1"/>
  <c r="O85" i="1"/>
  <c r="Q85" i="1"/>
  <c r="R85" i="1"/>
  <c r="T85" i="1"/>
  <c r="U85" i="1"/>
  <c r="V85" i="1"/>
  <c r="X85" i="1"/>
  <c r="Y85" i="1"/>
  <c r="Z85" i="1"/>
  <c r="J86" i="1"/>
  <c r="K86" i="1"/>
  <c r="L86" i="1"/>
  <c r="N86" i="1"/>
  <c r="O86" i="1"/>
  <c r="Q86" i="1"/>
  <c r="R86" i="1"/>
  <c r="T86" i="1"/>
  <c r="U86" i="1"/>
  <c r="V86" i="1"/>
  <c r="X86" i="1"/>
  <c r="Y86" i="1"/>
  <c r="Z86" i="1"/>
  <c r="J87" i="1"/>
  <c r="K87" i="1"/>
  <c r="L87" i="1"/>
  <c r="N87" i="1"/>
  <c r="O87" i="1"/>
  <c r="Q87" i="1"/>
  <c r="R87" i="1"/>
  <c r="T87" i="1"/>
  <c r="U87" i="1"/>
  <c r="V87" i="1"/>
  <c r="X87" i="1"/>
  <c r="Y87" i="1"/>
  <c r="Z87" i="1"/>
  <c r="J88" i="1"/>
  <c r="K88" i="1"/>
  <c r="L88" i="1"/>
  <c r="N88" i="1"/>
  <c r="O88" i="1"/>
  <c r="Q88" i="1"/>
  <c r="R88" i="1"/>
  <c r="T88" i="1"/>
  <c r="U88" i="1"/>
  <c r="V88" i="1"/>
  <c r="X88" i="1"/>
  <c r="Y88" i="1"/>
  <c r="Z88" i="1"/>
  <c r="J89" i="1"/>
  <c r="K89" i="1"/>
  <c r="L89" i="1"/>
  <c r="N89" i="1"/>
  <c r="O89" i="1"/>
  <c r="Q89" i="1"/>
  <c r="R89" i="1"/>
  <c r="T89" i="1"/>
  <c r="U89" i="1"/>
  <c r="V89" i="1"/>
  <c r="X89" i="1"/>
  <c r="Y89" i="1"/>
  <c r="Z89" i="1"/>
  <c r="J90" i="1"/>
  <c r="K90" i="1"/>
  <c r="L90" i="1"/>
  <c r="N90" i="1"/>
  <c r="O90" i="1"/>
  <c r="Q90" i="1"/>
  <c r="R90" i="1"/>
  <c r="T90" i="1"/>
  <c r="U90" i="1"/>
  <c r="V90" i="1"/>
  <c r="X90" i="1"/>
  <c r="Y90" i="1"/>
  <c r="Z90" i="1"/>
  <c r="J91" i="1"/>
  <c r="K91" i="1"/>
  <c r="L91" i="1"/>
  <c r="N91" i="1"/>
  <c r="O91" i="1"/>
  <c r="Q91" i="1"/>
  <c r="R91" i="1"/>
  <c r="T91" i="1"/>
  <c r="U91" i="1"/>
  <c r="V91" i="1"/>
  <c r="X91" i="1"/>
  <c r="Y91" i="1"/>
  <c r="Z91" i="1"/>
  <c r="J92" i="1"/>
  <c r="K92" i="1"/>
  <c r="L92" i="1"/>
  <c r="N92" i="1"/>
  <c r="O92" i="1"/>
  <c r="Q92" i="1"/>
  <c r="R92" i="1"/>
  <c r="T92" i="1"/>
  <c r="U92" i="1"/>
  <c r="V92" i="1"/>
  <c r="X92" i="1"/>
  <c r="Y92" i="1"/>
  <c r="Z92" i="1"/>
  <c r="J93" i="1"/>
  <c r="K93" i="1"/>
  <c r="L93" i="1"/>
  <c r="N93" i="1"/>
  <c r="O93" i="1"/>
  <c r="Q93" i="1"/>
  <c r="R93" i="1"/>
  <c r="T93" i="1"/>
  <c r="U93" i="1"/>
  <c r="V93" i="1"/>
  <c r="X93" i="1"/>
  <c r="Y93" i="1"/>
  <c r="Z93" i="1"/>
  <c r="J94" i="1"/>
  <c r="K94" i="1"/>
  <c r="L94" i="1"/>
  <c r="N94" i="1"/>
  <c r="O94" i="1"/>
  <c r="Q94" i="1"/>
  <c r="R94" i="1"/>
  <c r="T94" i="1"/>
  <c r="U94" i="1"/>
  <c r="V94" i="1"/>
  <c r="X94" i="1"/>
  <c r="Y94" i="1"/>
  <c r="Z94" i="1"/>
  <c r="J95" i="1"/>
  <c r="K95" i="1"/>
  <c r="L95" i="1"/>
  <c r="N95" i="1"/>
  <c r="O95" i="1"/>
  <c r="Q95" i="1"/>
  <c r="R95" i="1"/>
  <c r="T95" i="1"/>
  <c r="U95" i="1"/>
  <c r="V95" i="1"/>
  <c r="X95" i="1"/>
  <c r="Y95" i="1"/>
  <c r="Z95" i="1"/>
  <c r="J96" i="1"/>
  <c r="K96" i="1"/>
  <c r="L96" i="1"/>
  <c r="N96" i="1"/>
  <c r="O96" i="1"/>
  <c r="Q96" i="1"/>
  <c r="R96" i="1"/>
  <c r="T96" i="1"/>
  <c r="U96" i="1"/>
  <c r="V96" i="1"/>
  <c r="X96" i="1"/>
  <c r="Y96" i="1"/>
  <c r="Z96" i="1"/>
  <c r="J97" i="1"/>
  <c r="K97" i="1"/>
  <c r="L97" i="1"/>
  <c r="N97" i="1"/>
  <c r="O97" i="1"/>
  <c r="Q97" i="1"/>
  <c r="R97" i="1"/>
  <c r="T97" i="1"/>
  <c r="U97" i="1"/>
  <c r="V97" i="1"/>
  <c r="X97" i="1"/>
  <c r="Y97" i="1"/>
  <c r="Z97" i="1"/>
  <c r="J98" i="1"/>
  <c r="K98" i="1"/>
  <c r="L98" i="1"/>
  <c r="N98" i="1"/>
  <c r="O98" i="1"/>
  <c r="Q98" i="1"/>
  <c r="R98" i="1"/>
  <c r="T98" i="1"/>
  <c r="U98" i="1"/>
  <c r="V98" i="1"/>
  <c r="X98" i="1"/>
  <c r="Y98" i="1"/>
  <c r="Z98" i="1"/>
  <c r="J99" i="1"/>
  <c r="K99" i="1"/>
  <c r="L99" i="1"/>
  <c r="N99" i="1"/>
  <c r="O99" i="1"/>
  <c r="Q99" i="1"/>
  <c r="R99" i="1"/>
  <c r="T99" i="1"/>
  <c r="U99" i="1"/>
  <c r="V99" i="1"/>
  <c r="X99" i="1"/>
  <c r="Y99" i="1"/>
  <c r="Z99" i="1"/>
  <c r="J100" i="1"/>
  <c r="K100" i="1"/>
  <c r="L100" i="1"/>
  <c r="N100" i="1"/>
  <c r="O100" i="1"/>
  <c r="Q100" i="1"/>
  <c r="R100" i="1"/>
  <c r="T100" i="1"/>
  <c r="U100" i="1"/>
  <c r="V100" i="1"/>
  <c r="X100" i="1"/>
  <c r="Y100" i="1"/>
  <c r="Z100" i="1"/>
  <c r="J101" i="1"/>
  <c r="K101" i="1"/>
  <c r="L101" i="1"/>
  <c r="N101" i="1"/>
  <c r="O101" i="1"/>
  <c r="Q101" i="1"/>
  <c r="R101" i="1"/>
  <c r="T101" i="1"/>
  <c r="U101" i="1"/>
  <c r="V101" i="1"/>
  <c r="X101" i="1"/>
  <c r="Y101" i="1"/>
  <c r="Z101" i="1"/>
  <c r="J102" i="1"/>
  <c r="K102" i="1"/>
  <c r="L102" i="1"/>
  <c r="N102" i="1"/>
  <c r="O102" i="1"/>
  <c r="Q102" i="1"/>
  <c r="R102" i="1"/>
  <c r="T102" i="1"/>
  <c r="U102" i="1"/>
  <c r="V102" i="1"/>
  <c r="X102" i="1"/>
  <c r="Y102" i="1"/>
  <c r="Z102" i="1"/>
  <c r="J103" i="1"/>
  <c r="K103" i="1"/>
  <c r="L103" i="1"/>
  <c r="N103" i="1"/>
  <c r="O103" i="1"/>
  <c r="Q103" i="1"/>
  <c r="R103" i="1"/>
  <c r="T103" i="1"/>
  <c r="U103" i="1"/>
  <c r="V103" i="1"/>
  <c r="X103" i="1"/>
  <c r="Y103" i="1"/>
  <c r="Z103" i="1"/>
  <c r="J104" i="1"/>
  <c r="K104" i="1"/>
  <c r="L104" i="1"/>
  <c r="N104" i="1"/>
  <c r="O104" i="1"/>
  <c r="Q104" i="1"/>
  <c r="R104" i="1"/>
  <c r="T104" i="1"/>
  <c r="U104" i="1"/>
  <c r="V104" i="1"/>
  <c r="X104" i="1"/>
  <c r="Y104" i="1"/>
  <c r="Z104" i="1"/>
  <c r="J105" i="1"/>
  <c r="K105" i="1"/>
  <c r="L105" i="1"/>
  <c r="N105" i="1"/>
  <c r="O105" i="1"/>
  <c r="Q105" i="1"/>
  <c r="R105" i="1"/>
  <c r="T105" i="1"/>
  <c r="U105" i="1"/>
  <c r="V105" i="1"/>
  <c r="X105" i="1"/>
  <c r="Y105" i="1"/>
  <c r="Z105" i="1"/>
  <c r="J106" i="1"/>
  <c r="K106" i="1"/>
  <c r="L106" i="1"/>
  <c r="N106" i="1"/>
  <c r="O106" i="1"/>
  <c r="Q106" i="1"/>
  <c r="R106" i="1"/>
  <c r="T106" i="1"/>
  <c r="U106" i="1"/>
  <c r="V106" i="1"/>
  <c r="X106" i="1"/>
  <c r="Y106" i="1"/>
  <c r="Z106" i="1"/>
  <c r="J107" i="1"/>
  <c r="K107" i="1"/>
  <c r="L107" i="1"/>
  <c r="N107" i="1"/>
  <c r="O107" i="1"/>
  <c r="Q107" i="1"/>
  <c r="R107" i="1"/>
  <c r="T107" i="1"/>
  <c r="U107" i="1"/>
  <c r="V107" i="1"/>
  <c r="X107" i="1"/>
  <c r="Y107" i="1"/>
  <c r="Z107" i="1"/>
  <c r="J108" i="1"/>
  <c r="K108" i="1"/>
  <c r="L108" i="1"/>
  <c r="N108" i="1"/>
  <c r="O108" i="1"/>
  <c r="Q108" i="1"/>
  <c r="R108" i="1"/>
  <c r="T108" i="1"/>
  <c r="U108" i="1"/>
  <c r="V108" i="1"/>
  <c r="X108" i="1"/>
  <c r="Y108" i="1"/>
  <c r="Z108" i="1"/>
  <c r="J109" i="1"/>
  <c r="K109" i="1"/>
  <c r="L109" i="1"/>
  <c r="N109" i="1"/>
  <c r="O109" i="1"/>
  <c r="Q109" i="1"/>
  <c r="R109" i="1"/>
  <c r="T109" i="1"/>
  <c r="U109" i="1"/>
  <c r="V109" i="1"/>
  <c r="X109" i="1"/>
  <c r="Y109" i="1"/>
  <c r="Z109" i="1"/>
  <c r="J110" i="1"/>
  <c r="K110" i="1"/>
  <c r="L110" i="1"/>
  <c r="N110" i="1"/>
  <c r="O110" i="1"/>
  <c r="Q110" i="1"/>
  <c r="R110" i="1"/>
  <c r="T110" i="1"/>
  <c r="U110" i="1"/>
  <c r="V110" i="1"/>
  <c r="X110" i="1"/>
  <c r="Y110" i="1"/>
  <c r="Z110" i="1"/>
  <c r="J111" i="1"/>
  <c r="K111" i="1"/>
  <c r="L111" i="1"/>
  <c r="N111" i="1"/>
  <c r="O111" i="1"/>
  <c r="Q111" i="1"/>
  <c r="R111" i="1"/>
  <c r="T111" i="1"/>
  <c r="U111" i="1"/>
  <c r="V111" i="1"/>
  <c r="X111" i="1"/>
  <c r="Y111" i="1"/>
  <c r="Z111" i="1"/>
  <c r="J112" i="1"/>
  <c r="K112" i="1"/>
  <c r="L112" i="1"/>
  <c r="N112" i="1"/>
  <c r="O112" i="1"/>
  <c r="Q112" i="1"/>
  <c r="R112" i="1"/>
  <c r="T112" i="1"/>
  <c r="U112" i="1"/>
  <c r="V112" i="1"/>
  <c r="X112" i="1"/>
  <c r="Y112" i="1"/>
  <c r="Z112" i="1"/>
  <c r="J113" i="1"/>
  <c r="K113" i="1"/>
  <c r="L113" i="1"/>
  <c r="N113" i="1"/>
  <c r="O113" i="1"/>
  <c r="Q113" i="1"/>
  <c r="R113" i="1"/>
  <c r="T113" i="1"/>
  <c r="U113" i="1"/>
  <c r="V113" i="1"/>
  <c r="X113" i="1"/>
  <c r="Y113" i="1"/>
  <c r="Z113" i="1"/>
  <c r="J114" i="1"/>
  <c r="K114" i="1"/>
  <c r="L114" i="1"/>
  <c r="N114" i="1"/>
  <c r="O114" i="1"/>
  <c r="Q114" i="1"/>
  <c r="R114" i="1"/>
  <c r="T114" i="1"/>
  <c r="U114" i="1"/>
  <c r="V114" i="1"/>
  <c r="X114" i="1"/>
  <c r="Y114" i="1"/>
  <c r="Z114" i="1"/>
  <c r="J115" i="1"/>
  <c r="K115" i="1"/>
  <c r="L115" i="1"/>
  <c r="N115" i="1"/>
  <c r="O115" i="1"/>
  <c r="Q115" i="1"/>
  <c r="R115" i="1"/>
  <c r="T115" i="1"/>
  <c r="U115" i="1"/>
  <c r="V115" i="1"/>
  <c r="X115" i="1"/>
  <c r="Y115" i="1"/>
  <c r="Z115" i="1"/>
  <c r="J116" i="1"/>
  <c r="K116" i="1"/>
  <c r="L116" i="1"/>
  <c r="N116" i="1"/>
  <c r="O116" i="1"/>
  <c r="Q116" i="1"/>
  <c r="R116" i="1"/>
  <c r="T116" i="1"/>
  <c r="U116" i="1"/>
  <c r="V116" i="1"/>
  <c r="X116" i="1"/>
  <c r="Y116" i="1"/>
  <c r="Z116" i="1"/>
  <c r="J117" i="1"/>
  <c r="K117" i="1"/>
  <c r="L117" i="1"/>
  <c r="N117" i="1"/>
  <c r="O117" i="1"/>
  <c r="Q117" i="1"/>
  <c r="R117" i="1"/>
  <c r="T117" i="1"/>
  <c r="U117" i="1"/>
  <c r="V117" i="1"/>
  <c r="X117" i="1"/>
  <c r="Y117" i="1"/>
  <c r="Z117" i="1"/>
  <c r="J118" i="1"/>
  <c r="K118" i="1"/>
  <c r="L118" i="1"/>
  <c r="N118" i="1"/>
  <c r="O118" i="1"/>
  <c r="Q118" i="1"/>
  <c r="R118" i="1"/>
  <c r="T118" i="1"/>
  <c r="U118" i="1"/>
  <c r="V118" i="1"/>
  <c r="X118" i="1"/>
  <c r="Y118" i="1"/>
  <c r="Z118" i="1"/>
  <c r="J119" i="1"/>
  <c r="K119" i="1"/>
  <c r="L119" i="1"/>
  <c r="N119" i="1"/>
  <c r="O119" i="1"/>
  <c r="Q119" i="1"/>
  <c r="R119" i="1"/>
  <c r="T119" i="1"/>
  <c r="U119" i="1"/>
  <c r="V119" i="1"/>
  <c r="X119" i="1"/>
  <c r="Y119" i="1"/>
  <c r="Z119" i="1"/>
  <c r="J120" i="1"/>
  <c r="K120" i="1"/>
  <c r="L120" i="1"/>
  <c r="N120" i="1"/>
  <c r="O120" i="1"/>
  <c r="Q120" i="1"/>
  <c r="R120" i="1"/>
  <c r="T120" i="1"/>
  <c r="U120" i="1"/>
  <c r="V120" i="1"/>
  <c r="X120" i="1"/>
  <c r="Y120" i="1"/>
  <c r="Z120" i="1"/>
  <c r="J121" i="1"/>
  <c r="K121" i="1"/>
  <c r="L121" i="1"/>
  <c r="N121" i="1"/>
  <c r="O121" i="1"/>
  <c r="Q121" i="1"/>
  <c r="R121" i="1"/>
  <c r="T121" i="1"/>
  <c r="U121" i="1"/>
  <c r="V121" i="1"/>
  <c r="X121" i="1"/>
  <c r="Y121" i="1"/>
  <c r="Z121" i="1"/>
  <c r="J122" i="1"/>
  <c r="K122" i="1"/>
  <c r="L122" i="1"/>
  <c r="N122" i="1"/>
  <c r="O122" i="1"/>
  <c r="Q122" i="1"/>
  <c r="R122" i="1"/>
  <c r="T122" i="1"/>
  <c r="U122" i="1"/>
  <c r="V122" i="1"/>
  <c r="X122" i="1"/>
  <c r="Y122" i="1"/>
  <c r="Z122" i="1"/>
  <c r="J123" i="1"/>
  <c r="K123" i="1"/>
  <c r="L123" i="1"/>
  <c r="N123" i="1"/>
  <c r="O123" i="1"/>
  <c r="Q123" i="1"/>
  <c r="R123" i="1"/>
  <c r="T123" i="1"/>
  <c r="U123" i="1"/>
  <c r="V123" i="1"/>
  <c r="X123" i="1"/>
  <c r="Y123" i="1"/>
  <c r="Z123" i="1"/>
  <c r="J124" i="1"/>
  <c r="K124" i="1"/>
  <c r="L124" i="1"/>
  <c r="N124" i="1"/>
  <c r="O124" i="1"/>
  <c r="Q124" i="1"/>
  <c r="R124" i="1"/>
  <c r="T124" i="1"/>
  <c r="U124" i="1"/>
  <c r="V124" i="1"/>
  <c r="X124" i="1"/>
  <c r="Y124" i="1"/>
  <c r="Z124" i="1"/>
  <c r="J125" i="1"/>
  <c r="K125" i="1"/>
  <c r="L125" i="1"/>
  <c r="N125" i="1"/>
  <c r="O125" i="1"/>
  <c r="Q125" i="1"/>
  <c r="R125" i="1"/>
  <c r="T125" i="1"/>
  <c r="U125" i="1"/>
  <c r="V125" i="1"/>
  <c r="X125" i="1"/>
  <c r="Y125" i="1"/>
  <c r="Z125" i="1"/>
  <c r="J126" i="1"/>
  <c r="K126" i="1"/>
  <c r="L126" i="1"/>
  <c r="N126" i="1"/>
  <c r="O126" i="1"/>
  <c r="Q126" i="1"/>
  <c r="R126" i="1"/>
  <c r="T126" i="1"/>
  <c r="U126" i="1"/>
  <c r="V126" i="1"/>
  <c r="X126" i="1"/>
  <c r="Y126" i="1"/>
  <c r="Z126" i="1"/>
  <c r="J127" i="1"/>
  <c r="K127" i="1"/>
  <c r="L127" i="1"/>
  <c r="N127" i="1"/>
  <c r="O127" i="1"/>
  <c r="Q127" i="1"/>
  <c r="R127" i="1"/>
  <c r="T127" i="1"/>
  <c r="U127" i="1"/>
  <c r="V127" i="1"/>
  <c r="X127" i="1"/>
  <c r="Y127" i="1"/>
  <c r="Z127" i="1"/>
  <c r="J128" i="1"/>
  <c r="K128" i="1"/>
  <c r="L128" i="1"/>
  <c r="N128" i="1"/>
  <c r="O128" i="1"/>
  <c r="Q128" i="1"/>
  <c r="R128" i="1"/>
  <c r="T128" i="1"/>
  <c r="U128" i="1"/>
  <c r="V128" i="1"/>
  <c r="X128" i="1"/>
  <c r="Y128" i="1"/>
  <c r="Z128" i="1"/>
  <c r="J129" i="1"/>
  <c r="K129" i="1"/>
  <c r="L129" i="1"/>
  <c r="N129" i="1"/>
  <c r="O129" i="1"/>
  <c r="Q129" i="1"/>
  <c r="R129" i="1"/>
  <c r="T129" i="1"/>
  <c r="U129" i="1"/>
  <c r="V129" i="1"/>
  <c r="X129" i="1"/>
  <c r="Y129" i="1"/>
  <c r="Z129" i="1"/>
  <c r="J130" i="1"/>
  <c r="K130" i="1"/>
  <c r="L130" i="1"/>
  <c r="N130" i="1"/>
  <c r="O130" i="1"/>
  <c r="Q130" i="1"/>
  <c r="R130" i="1"/>
  <c r="T130" i="1"/>
  <c r="U130" i="1"/>
  <c r="V130" i="1"/>
  <c r="X130" i="1"/>
  <c r="Y130" i="1"/>
  <c r="Z130" i="1"/>
  <c r="J131" i="1"/>
  <c r="K131" i="1"/>
  <c r="L131" i="1"/>
  <c r="N131" i="1"/>
  <c r="O131" i="1"/>
  <c r="Q131" i="1"/>
  <c r="R131" i="1"/>
  <c r="T131" i="1"/>
  <c r="U131" i="1"/>
  <c r="V131" i="1"/>
  <c r="X131" i="1"/>
  <c r="Y131" i="1"/>
  <c r="Z131" i="1"/>
  <c r="J132" i="1"/>
  <c r="K132" i="1"/>
  <c r="L132" i="1"/>
  <c r="N132" i="1"/>
  <c r="O132" i="1"/>
  <c r="Q132" i="1"/>
  <c r="R132" i="1"/>
  <c r="T132" i="1"/>
  <c r="U132" i="1"/>
  <c r="V132" i="1"/>
  <c r="X132" i="1"/>
  <c r="Y132" i="1"/>
  <c r="Z132" i="1"/>
  <c r="J133" i="1"/>
  <c r="K133" i="1"/>
  <c r="L133" i="1"/>
  <c r="N133" i="1"/>
  <c r="O133" i="1"/>
  <c r="Q133" i="1"/>
  <c r="R133" i="1"/>
  <c r="T133" i="1"/>
  <c r="U133" i="1"/>
  <c r="V133" i="1"/>
  <c r="X133" i="1"/>
  <c r="Y133" i="1"/>
  <c r="Z133" i="1"/>
  <c r="J134" i="1"/>
  <c r="K134" i="1"/>
  <c r="L134" i="1"/>
  <c r="N134" i="1"/>
  <c r="O134" i="1"/>
  <c r="Q134" i="1"/>
  <c r="R134" i="1"/>
  <c r="T134" i="1"/>
  <c r="U134" i="1"/>
  <c r="V134" i="1"/>
  <c r="X134" i="1"/>
  <c r="Y134" i="1"/>
  <c r="Z134" i="1"/>
  <c r="J135" i="1"/>
  <c r="K135" i="1"/>
  <c r="L135" i="1"/>
  <c r="N135" i="1"/>
  <c r="O135" i="1"/>
  <c r="Q135" i="1"/>
  <c r="R135" i="1"/>
  <c r="T135" i="1"/>
  <c r="U135" i="1"/>
  <c r="V135" i="1"/>
  <c r="X135" i="1"/>
  <c r="Y135" i="1"/>
  <c r="Z135" i="1"/>
  <c r="J136" i="1"/>
  <c r="K136" i="1"/>
  <c r="L136" i="1"/>
  <c r="N136" i="1"/>
  <c r="O136" i="1"/>
  <c r="Q136" i="1"/>
  <c r="R136" i="1"/>
  <c r="T136" i="1"/>
  <c r="U136" i="1"/>
  <c r="V136" i="1"/>
  <c r="X136" i="1"/>
  <c r="Y136" i="1"/>
  <c r="Z136" i="1"/>
  <c r="J137" i="1"/>
  <c r="K137" i="1"/>
  <c r="L137" i="1"/>
  <c r="N137" i="1"/>
  <c r="O137" i="1"/>
  <c r="Q137" i="1"/>
  <c r="R137" i="1"/>
  <c r="T137" i="1"/>
  <c r="U137" i="1"/>
  <c r="V137" i="1"/>
  <c r="X137" i="1"/>
  <c r="Y137" i="1"/>
  <c r="Z137" i="1"/>
  <c r="J138" i="1"/>
  <c r="K138" i="1"/>
  <c r="L138" i="1"/>
  <c r="N138" i="1"/>
  <c r="O138" i="1"/>
  <c r="Q138" i="1"/>
  <c r="R138" i="1"/>
  <c r="T138" i="1"/>
  <c r="U138" i="1"/>
  <c r="V138" i="1"/>
  <c r="X138" i="1"/>
  <c r="Y138" i="1"/>
  <c r="Z138" i="1"/>
  <c r="J139" i="1"/>
  <c r="K139" i="1"/>
  <c r="L139" i="1"/>
  <c r="N139" i="1"/>
  <c r="O139" i="1"/>
  <c r="Q139" i="1"/>
  <c r="R139" i="1"/>
  <c r="T139" i="1"/>
  <c r="U139" i="1"/>
  <c r="V139" i="1"/>
  <c r="X139" i="1"/>
  <c r="Y139" i="1"/>
  <c r="Z139" i="1"/>
  <c r="J140" i="1"/>
  <c r="K140" i="1"/>
  <c r="L140" i="1"/>
  <c r="N140" i="1"/>
  <c r="O140" i="1"/>
  <c r="Q140" i="1"/>
  <c r="R140" i="1"/>
  <c r="T140" i="1"/>
  <c r="U140" i="1"/>
  <c r="V140" i="1"/>
  <c r="X140" i="1"/>
  <c r="Y140" i="1"/>
  <c r="Z140" i="1"/>
  <c r="J141" i="1"/>
  <c r="K141" i="1"/>
  <c r="L141" i="1"/>
  <c r="N141" i="1"/>
  <c r="O141" i="1"/>
  <c r="Q141" i="1"/>
  <c r="R141" i="1"/>
  <c r="T141" i="1"/>
  <c r="U141" i="1"/>
  <c r="V141" i="1"/>
  <c r="X141" i="1"/>
  <c r="Y141" i="1"/>
  <c r="Z141" i="1"/>
  <c r="J142" i="1"/>
  <c r="K142" i="1"/>
  <c r="L142" i="1"/>
  <c r="N142" i="1"/>
  <c r="O142" i="1"/>
  <c r="Q142" i="1"/>
  <c r="R142" i="1"/>
  <c r="T142" i="1"/>
  <c r="U142" i="1"/>
  <c r="V142" i="1"/>
  <c r="X142" i="1"/>
  <c r="Y142" i="1"/>
  <c r="Z142" i="1"/>
  <c r="J143" i="1"/>
  <c r="K143" i="1"/>
  <c r="L143" i="1"/>
  <c r="N143" i="1"/>
  <c r="O143" i="1"/>
  <c r="Q143" i="1"/>
  <c r="R143" i="1"/>
  <c r="T143" i="1"/>
  <c r="U143" i="1"/>
  <c r="V143" i="1"/>
  <c r="X143" i="1"/>
  <c r="Y143" i="1"/>
  <c r="Z143" i="1"/>
  <c r="J144" i="1"/>
  <c r="K144" i="1"/>
  <c r="L144" i="1"/>
  <c r="N144" i="1"/>
  <c r="O144" i="1"/>
  <c r="Q144" i="1"/>
  <c r="R144" i="1"/>
  <c r="T144" i="1"/>
  <c r="U144" i="1"/>
  <c r="V144" i="1"/>
  <c r="X144" i="1"/>
  <c r="Y144" i="1"/>
  <c r="Z144" i="1"/>
  <c r="J145" i="1"/>
  <c r="K145" i="1"/>
  <c r="L145" i="1"/>
  <c r="N145" i="1"/>
  <c r="O145" i="1"/>
  <c r="Q145" i="1"/>
  <c r="R145" i="1"/>
  <c r="T145" i="1"/>
  <c r="U145" i="1"/>
  <c r="V145" i="1"/>
  <c r="X145" i="1"/>
  <c r="Y145" i="1"/>
  <c r="Z145" i="1"/>
  <c r="J146" i="1"/>
  <c r="K146" i="1"/>
  <c r="L146" i="1"/>
  <c r="N146" i="1"/>
  <c r="O146" i="1"/>
  <c r="Q146" i="1"/>
  <c r="R146" i="1"/>
  <c r="T146" i="1"/>
  <c r="U146" i="1"/>
  <c r="V146" i="1"/>
  <c r="X146" i="1"/>
  <c r="Y146" i="1"/>
  <c r="Z146" i="1"/>
  <c r="J147" i="1"/>
  <c r="K147" i="1"/>
  <c r="L147" i="1"/>
  <c r="N147" i="1"/>
  <c r="O147" i="1"/>
  <c r="Q147" i="1"/>
  <c r="R147" i="1"/>
  <c r="T147" i="1"/>
  <c r="U147" i="1"/>
  <c r="V147" i="1"/>
  <c r="X147" i="1"/>
  <c r="Y147" i="1"/>
  <c r="Z147" i="1"/>
  <c r="J148" i="1"/>
  <c r="K148" i="1"/>
  <c r="L148" i="1"/>
  <c r="N148" i="1"/>
  <c r="O148" i="1"/>
  <c r="Q148" i="1"/>
  <c r="R148" i="1"/>
  <c r="T148" i="1"/>
  <c r="U148" i="1"/>
  <c r="V148" i="1"/>
  <c r="X148" i="1"/>
  <c r="Y148" i="1"/>
  <c r="Z148" i="1"/>
  <c r="J149" i="1"/>
  <c r="K149" i="1"/>
  <c r="L149" i="1"/>
  <c r="N149" i="1"/>
  <c r="O149" i="1"/>
  <c r="Q149" i="1"/>
  <c r="R149" i="1"/>
  <c r="T149" i="1"/>
  <c r="U149" i="1"/>
  <c r="V149" i="1"/>
  <c r="X149" i="1"/>
  <c r="Y149" i="1"/>
  <c r="Z149" i="1"/>
  <c r="J150" i="1"/>
  <c r="K150" i="1"/>
  <c r="L150" i="1"/>
  <c r="N150" i="1"/>
  <c r="O150" i="1"/>
  <c r="Q150" i="1"/>
  <c r="R150" i="1"/>
  <c r="T150" i="1"/>
  <c r="U150" i="1"/>
  <c r="V150" i="1"/>
  <c r="X150" i="1"/>
  <c r="Y150" i="1"/>
  <c r="Z150" i="1"/>
  <c r="J151" i="1"/>
  <c r="K151" i="1"/>
  <c r="L151" i="1"/>
  <c r="N151" i="1"/>
  <c r="O151" i="1"/>
  <c r="Q151" i="1"/>
  <c r="R151" i="1"/>
  <c r="T151" i="1"/>
  <c r="U151" i="1"/>
  <c r="V151" i="1"/>
  <c r="X151" i="1"/>
  <c r="Y151" i="1"/>
  <c r="Z151" i="1"/>
  <c r="J152" i="1"/>
  <c r="K152" i="1"/>
  <c r="L152" i="1"/>
  <c r="N152" i="1"/>
  <c r="O152" i="1"/>
  <c r="Q152" i="1"/>
  <c r="R152" i="1"/>
  <c r="T152" i="1"/>
  <c r="U152" i="1"/>
  <c r="V152" i="1"/>
  <c r="X152" i="1"/>
  <c r="Y152" i="1"/>
  <c r="Z152" i="1"/>
  <c r="J153" i="1"/>
  <c r="K153" i="1"/>
  <c r="L153" i="1"/>
  <c r="N153" i="1"/>
  <c r="O153" i="1"/>
  <c r="Q153" i="1"/>
  <c r="R153" i="1"/>
  <c r="T153" i="1"/>
  <c r="U153" i="1"/>
  <c r="V153" i="1"/>
  <c r="X153" i="1"/>
  <c r="Y153" i="1"/>
  <c r="Z153" i="1"/>
  <c r="J154" i="1"/>
  <c r="K154" i="1"/>
  <c r="L154" i="1"/>
  <c r="N154" i="1"/>
  <c r="O154" i="1"/>
  <c r="Q154" i="1"/>
  <c r="R154" i="1"/>
  <c r="T154" i="1"/>
  <c r="U154" i="1"/>
  <c r="V154" i="1"/>
  <c r="X154" i="1"/>
  <c r="Y154" i="1"/>
  <c r="Z154" i="1"/>
  <c r="J155" i="1"/>
  <c r="K155" i="1"/>
  <c r="L155" i="1"/>
  <c r="N155" i="1"/>
  <c r="O155" i="1"/>
  <c r="Q155" i="1"/>
  <c r="R155" i="1"/>
  <c r="T155" i="1"/>
  <c r="U155" i="1"/>
  <c r="V155" i="1"/>
  <c r="X155" i="1"/>
  <c r="Y155" i="1"/>
  <c r="Z155" i="1"/>
  <c r="J156" i="1"/>
  <c r="K156" i="1"/>
  <c r="L156" i="1"/>
  <c r="N156" i="1"/>
  <c r="O156" i="1"/>
  <c r="Q156" i="1"/>
  <c r="R156" i="1"/>
  <c r="T156" i="1"/>
  <c r="U156" i="1"/>
  <c r="V156" i="1"/>
  <c r="X156" i="1"/>
  <c r="Y156" i="1"/>
  <c r="Z156" i="1"/>
  <c r="J157" i="1"/>
  <c r="K157" i="1"/>
  <c r="L157" i="1"/>
  <c r="N157" i="1"/>
  <c r="O157" i="1"/>
  <c r="Q157" i="1"/>
  <c r="R157" i="1"/>
  <c r="T157" i="1"/>
  <c r="U157" i="1"/>
  <c r="V157" i="1"/>
  <c r="X157" i="1"/>
  <c r="Y157" i="1"/>
  <c r="Z157" i="1"/>
  <c r="J158" i="1"/>
  <c r="K158" i="1"/>
  <c r="L158" i="1"/>
  <c r="N158" i="1"/>
  <c r="O158" i="1"/>
  <c r="Q158" i="1"/>
  <c r="R158" i="1"/>
  <c r="T158" i="1"/>
  <c r="U158" i="1"/>
  <c r="V158" i="1"/>
  <c r="X158" i="1"/>
  <c r="Y158" i="1"/>
  <c r="Z158" i="1"/>
  <c r="J159" i="1"/>
  <c r="K159" i="1"/>
  <c r="L159" i="1"/>
  <c r="N159" i="1"/>
  <c r="O159" i="1"/>
  <c r="Q159" i="1"/>
  <c r="R159" i="1"/>
  <c r="T159" i="1"/>
  <c r="U159" i="1"/>
  <c r="V159" i="1"/>
  <c r="X159" i="1"/>
  <c r="Y159" i="1"/>
  <c r="Z159" i="1"/>
  <c r="J160" i="1"/>
  <c r="K160" i="1"/>
  <c r="L160" i="1"/>
  <c r="N160" i="1"/>
  <c r="O160" i="1"/>
  <c r="Q160" i="1"/>
  <c r="R160" i="1"/>
  <c r="T160" i="1"/>
  <c r="U160" i="1"/>
  <c r="V160" i="1"/>
  <c r="X160" i="1"/>
  <c r="Y160" i="1"/>
  <c r="Z160" i="1"/>
  <c r="J161" i="1"/>
  <c r="K161" i="1"/>
  <c r="L161" i="1"/>
  <c r="N161" i="1"/>
  <c r="O161" i="1"/>
  <c r="Q161" i="1"/>
  <c r="R161" i="1"/>
  <c r="T161" i="1"/>
  <c r="U161" i="1"/>
  <c r="V161" i="1"/>
  <c r="X161" i="1"/>
  <c r="Y161" i="1"/>
  <c r="Z161" i="1"/>
  <c r="J162" i="1"/>
  <c r="K162" i="1"/>
  <c r="L162" i="1"/>
  <c r="N162" i="1"/>
  <c r="O162" i="1"/>
  <c r="Q162" i="1"/>
  <c r="R162" i="1"/>
  <c r="T162" i="1"/>
  <c r="U162" i="1"/>
  <c r="V162" i="1"/>
  <c r="X162" i="1"/>
  <c r="Y162" i="1"/>
  <c r="Z162" i="1"/>
  <c r="J163" i="1"/>
  <c r="K163" i="1"/>
  <c r="L163" i="1"/>
  <c r="N163" i="1"/>
  <c r="O163" i="1"/>
  <c r="Q163" i="1"/>
  <c r="R163" i="1"/>
  <c r="T163" i="1"/>
  <c r="U163" i="1"/>
  <c r="V163" i="1"/>
  <c r="X163" i="1"/>
  <c r="Y163" i="1"/>
  <c r="Z163" i="1"/>
  <c r="J164" i="1"/>
  <c r="K164" i="1"/>
  <c r="L164" i="1"/>
  <c r="N164" i="1"/>
  <c r="O164" i="1"/>
  <c r="Q164" i="1"/>
  <c r="R164" i="1"/>
  <c r="T164" i="1"/>
  <c r="U164" i="1"/>
  <c r="V164" i="1"/>
  <c r="X164" i="1"/>
  <c r="Y164" i="1"/>
  <c r="Z164" i="1"/>
  <c r="J165" i="1"/>
  <c r="K165" i="1"/>
  <c r="L165" i="1"/>
  <c r="N165" i="1"/>
  <c r="O165" i="1"/>
  <c r="Q165" i="1"/>
  <c r="R165" i="1"/>
  <c r="T165" i="1"/>
  <c r="U165" i="1"/>
  <c r="V165" i="1"/>
  <c r="X165" i="1"/>
  <c r="Y165" i="1"/>
  <c r="Z165" i="1"/>
  <c r="J166" i="1"/>
  <c r="K166" i="1"/>
  <c r="L166" i="1"/>
  <c r="N166" i="1"/>
  <c r="O166" i="1"/>
  <c r="Q166" i="1"/>
  <c r="R166" i="1"/>
  <c r="T166" i="1"/>
  <c r="U166" i="1"/>
  <c r="V166" i="1"/>
  <c r="X166" i="1"/>
  <c r="Y166" i="1"/>
  <c r="Z166" i="1"/>
  <c r="J167" i="1"/>
  <c r="K167" i="1"/>
  <c r="L167" i="1"/>
  <c r="N167" i="1"/>
  <c r="O167" i="1"/>
  <c r="Q167" i="1"/>
  <c r="R167" i="1"/>
  <c r="T167" i="1"/>
  <c r="U167" i="1"/>
  <c r="V167" i="1"/>
  <c r="X167" i="1"/>
  <c r="Y167" i="1"/>
  <c r="Z167" i="1"/>
  <c r="J168" i="1"/>
  <c r="K168" i="1"/>
  <c r="L168" i="1"/>
  <c r="N168" i="1"/>
  <c r="O168" i="1"/>
  <c r="Q168" i="1"/>
  <c r="R168" i="1"/>
  <c r="T168" i="1"/>
  <c r="U168" i="1"/>
  <c r="V168" i="1"/>
  <c r="X168" i="1"/>
  <c r="Y168" i="1"/>
  <c r="Z168" i="1"/>
  <c r="J169" i="1"/>
  <c r="K169" i="1"/>
  <c r="L169" i="1"/>
  <c r="N169" i="1"/>
  <c r="O169" i="1"/>
  <c r="Q169" i="1"/>
  <c r="R169" i="1"/>
  <c r="T169" i="1"/>
  <c r="U169" i="1"/>
  <c r="V169" i="1"/>
  <c r="X169" i="1"/>
  <c r="Y169" i="1"/>
  <c r="Z169" i="1"/>
  <c r="J170" i="1"/>
  <c r="K170" i="1"/>
  <c r="L170" i="1"/>
  <c r="N170" i="1"/>
  <c r="O170" i="1"/>
  <c r="Q170" i="1"/>
  <c r="R170" i="1"/>
  <c r="T170" i="1"/>
  <c r="U170" i="1"/>
  <c r="V170" i="1"/>
  <c r="X170" i="1"/>
  <c r="Y170" i="1"/>
  <c r="Z170" i="1"/>
  <c r="J171" i="1"/>
  <c r="K171" i="1"/>
  <c r="L171" i="1"/>
  <c r="N171" i="1"/>
  <c r="O171" i="1"/>
  <c r="Q171" i="1"/>
  <c r="R171" i="1"/>
  <c r="T171" i="1"/>
  <c r="U171" i="1"/>
  <c r="V171" i="1"/>
  <c r="X171" i="1"/>
  <c r="Y171" i="1"/>
  <c r="Z171" i="1"/>
  <c r="J172" i="1"/>
  <c r="K172" i="1"/>
  <c r="L172" i="1"/>
  <c r="N172" i="1"/>
  <c r="O172" i="1"/>
  <c r="Q172" i="1"/>
  <c r="R172" i="1"/>
  <c r="T172" i="1"/>
  <c r="U172" i="1"/>
  <c r="V172" i="1"/>
  <c r="X172" i="1"/>
  <c r="Y172" i="1"/>
  <c r="Z172" i="1"/>
  <c r="J173" i="1"/>
  <c r="K173" i="1"/>
  <c r="L173" i="1"/>
  <c r="N173" i="1"/>
  <c r="O173" i="1"/>
  <c r="Q173" i="1"/>
  <c r="R173" i="1"/>
  <c r="T173" i="1"/>
  <c r="U173" i="1"/>
  <c r="V173" i="1"/>
  <c r="X173" i="1"/>
  <c r="Y173" i="1"/>
  <c r="Z173" i="1"/>
  <c r="J174" i="1"/>
  <c r="K174" i="1"/>
  <c r="L174" i="1"/>
  <c r="N174" i="1"/>
  <c r="O174" i="1"/>
  <c r="Q174" i="1"/>
  <c r="R174" i="1"/>
  <c r="T174" i="1"/>
  <c r="U174" i="1"/>
  <c r="V174" i="1"/>
  <c r="X174" i="1"/>
  <c r="Y174" i="1"/>
  <c r="Z174" i="1"/>
  <c r="J175" i="1"/>
  <c r="K175" i="1"/>
  <c r="L175" i="1"/>
  <c r="N175" i="1"/>
  <c r="O175" i="1"/>
  <c r="Q175" i="1"/>
  <c r="R175" i="1"/>
  <c r="T175" i="1"/>
  <c r="U175" i="1"/>
  <c r="V175" i="1"/>
  <c r="X175" i="1"/>
  <c r="Y175" i="1"/>
  <c r="Z175" i="1"/>
  <c r="J176" i="1"/>
  <c r="K176" i="1"/>
  <c r="L176" i="1"/>
  <c r="N176" i="1"/>
  <c r="O176" i="1"/>
  <c r="Q176" i="1"/>
  <c r="R176" i="1"/>
  <c r="T176" i="1"/>
  <c r="U176" i="1"/>
  <c r="V176" i="1"/>
  <c r="X176" i="1"/>
  <c r="Y176" i="1"/>
  <c r="Z176" i="1"/>
  <c r="J177" i="1"/>
  <c r="K177" i="1"/>
  <c r="L177" i="1"/>
  <c r="N177" i="1"/>
  <c r="O177" i="1"/>
  <c r="Q177" i="1"/>
  <c r="R177" i="1"/>
  <c r="T177" i="1"/>
  <c r="U177" i="1"/>
  <c r="V177" i="1"/>
  <c r="X177" i="1"/>
  <c r="Y177" i="1"/>
  <c r="Z177" i="1"/>
  <c r="J178" i="1"/>
  <c r="K178" i="1"/>
  <c r="L178" i="1"/>
  <c r="N178" i="1"/>
  <c r="O178" i="1"/>
  <c r="Q178" i="1"/>
  <c r="R178" i="1"/>
  <c r="T178" i="1"/>
  <c r="U178" i="1"/>
  <c r="V178" i="1"/>
  <c r="X178" i="1"/>
  <c r="Y178" i="1"/>
  <c r="Z178" i="1"/>
  <c r="J179" i="1"/>
  <c r="K179" i="1"/>
  <c r="L179" i="1"/>
  <c r="N179" i="1"/>
  <c r="O179" i="1"/>
  <c r="Q179" i="1"/>
  <c r="R179" i="1"/>
  <c r="T179" i="1"/>
  <c r="U179" i="1"/>
  <c r="V179" i="1"/>
  <c r="X179" i="1"/>
  <c r="Y179" i="1"/>
  <c r="Z179" i="1"/>
  <c r="J180" i="1"/>
  <c r="K180" i="1"/>
  <c r="L180" i="1"/>
  <c r="N180" i="1"/>
  <c r="O180" i="1"/>
  <c r="Q180" i="1"/>
  <c r="R180" i="1"/>
  <c r="T180" i="1"/>
  <c r="U180" i="1"/>
  <c r="V180" i="1"/>
  <c r="X180" i="1"/>
  <c r="Y180" i="1"/>
  <c r="Z180" i="1"/>
  <c r="J181" i="1"/>
  <c r="K181" i="1"/>
  <c r="L181" i="1"/>
  <c r="N181" i="1"/>
  <c r="O181" i="1"/>
  <c r="Q181" i="1"/>
  <c r="R181" i="1"/>
  <c r="T181" i="1"/>
  <c r="U181" i="1"/>
  <c r="V181" i="1"/>
  <c r="X181" i="1"/>
  <c r="Y181" i="1"/>
  <c r="Z181" i="1"/>
  <c r="J182" i="1"/>
  <c r="K182" i="1"/>
  <c r="L182" i="1"/>
  <c r="N182" i="1"/>
  <c r="O182" i="1"/>
  <c r="Q182" i="1"/>
  <c r="R182" i="1"/>
  <c r="T182" i="1"/>
  <c r="U182" i="1"/>
  <c r="V182" i="1"/>
  <c r="X182" i="1"/>
  <c r="Y182" i="1"/>
  <c r="Z182" i="1"/>
  <c r="J183" i="1"/>
  <c r="K183" i="1"/>
  <c r="L183" i="1"/>
  <c r="N183" i="1"/>
  <c r="O183" i="1"/>
  <c r="Q183" i="1"/>
  <c r="R183" i="1"/>
  <c r="T183" i="1"/>
  <c r="U183" i="1"/>
  <c r="V183" i="1"/>
  <c r="X183" i="1"/>
  <c r="Y183" i="1"/>
  <c r="Z183" i="1"/>
  <c r="J184" i="1"/>
  <c r="K184" i="1"/>
  <c r="L184" i="1"/>
  <c r="N184" i="1"/>
  <c r="O184" i="1"/>
  <c r="Q184" i="1"/>
  <c r="R184" i="1"/>
  <c r="T184" i="1"/>
  <c r="U184" i="1"/>
  <c r="V184" i="1"/>
  <c r="X184" i="1"/>
  <c r="Y184" i="1"/>
  <c r="Z184" i="1"/>
  <c r="J185" i="1"/>
  <c r="K185" i="1"/>
  <c r="L185" i="1"/>
  <c r="N185" i="1"/>
  <c r="O185" i="1"/>
  <c r="Q185" i="1"/>
  <c r="R185" i="1"/>
  <c r="T185" i="1"/>
  <c r="U185" i="1"/>
  <c r="V185" i="1"/>
  <c r="X185" i="1"/>
  <c r="Y185" i="1"/>
  <c r="Z185" i="1"/>
  <c r="J186" i="1"/>
  <c r="K186" i="1"/>
  <c r="L186" i="1"/>
  <c r="N186" i="1"/>
  <c r="O186" i="1"/>
  <c r="Q186" i="1"/>
  <c r="R186" i="1"/>
  <c r="T186" i="1"/>
  <c r="U186" i="1"/>
  <c r="V186" i="1"/>
  <c r="X186" i="1"/>
  <c r="Y186" i="1"/>
  <c r="Z186" i="1"/>
  <c r="J187" i="1"/>
  <c r="K187" i="1"/>
  <c r="L187" i="1"/>
  <c r="N187" i="1"/>
  <c r="O187" i="1"/>
  <c r="Q187" i="1"/>
  <c r="R187" i="1"/>
  <c r="T187" i="1"/>
  <c r="U187" i="1"/>
  <c r="V187" i="1"/>
  <c r="X187" i="1"/>
  <c r="Y187" i="1"/>
  <c r="Z187" i="1"/>
  <c r="J188" i="1"/>
  <c r="K188" i="1"/>
  <c r="L188" i="1"/>
  <c r="N188" i="1"/>
  <c r="O188" i="1"/>
  <c r="Q188" i="1"/>
  <c r="R188" i="1"/>
  <c r="T188" i="1"/>
  <c r="U188" i="1"/>
  <c r="V188" i="1"/>
  <c r="X188" i="1"/>
  <c r="Y188" i="1"/>
  <c r="Z188" i="1"/>
  <c r="J189" i="1"/>
  <c r="K189" i="1"/>
  <c r="L189" i="1"/>
  <c r="N189" i="1"/>
  <c r="O189" i="1"/>
  <c r="Q189" i="1"/>
  <c r="R189" i="1"/>
  <c r="T189" i="1"/>
  <c r="U189" i="1"/>
  <c r="V189" i="1"/>
  <c r="X189" i="1"/>
  <c r="Y189" i="1"/>
  <c r="Z189" i="1"/>
  <c r="J190" i="1"/>
  <c r="K190" i="1"/>
  <c r="L190" i="1"/>
  <c r="N190" i="1"/>
  <c r="O190" i="1"/>
  <c r="Q190" i="1"/>
  <c r="R190" i="1"/>
  <c r="T190" i="1"/>
  <c r="U190" i="1"/>
  <c r="V190" i="1"/>
  <c r="X190" i="1"/>
  <c r="Y190" i="1"/>
  <c r="Z190" i="1"/>
  <c r="J191" i="1"/>
  <c r="K191" i="1"/>
  <c r="L191" i="1"/>
  <c r="N191" i="1"/>
  <c r="O191" i="1"/>
  <c r="Q191" i="1"/>
  <c r="R191" i="1"/>
  <c r="T191" i="1"/>
  <c r="U191" i="1"/>
  <c r="V191" i="1"/>
  <c r="X191" i="1"/>
  <c r="Y191" i="1"/>
  <c r="Z191" i="1"/>
  <c r="J192" i="1"/>
  <c r="K192" i="1"/>
  <c r="L192" i="1"/>
  <c r="N192" i="1"/>
  <c r="O192" i="1"/>
  <c r="Q192" i="1"/>
  <c r="R192" i="1"/>
  <c r="T192" i="1"/>
  <c r="U192" i="1"/>
  <c r="V192" i="1"/>
  <c r="X192" i="1"/>
  <c r="Y192" i="1"/>
  <c r="Z192" i="1"/>
  <c r="J193" i="1"/>
  <c r="K193" i="1"/>
  <c r="L193" i="1"/>
  <c r="N193" i="1"/>
  <c r="O193" i="1"/>
  <c r="Q193" i="1"/>
  <c r="R193" i="1"/>
  <c r="T193" i="1"/>
  <c r="U193" i="1"/>
  <c r="V193" i="1"/>
  <c r="X193" i="1"/>
  <c r="Y193" i="1"/>
  <c r="Z193" i="1"/>
  <c r="J194" i="1"/>
  <c r="K194" i="1"/>
  <c r="L194" i="1"/>
  <c r="N194" i="1"/>
  <c r="O194" i="1"/>
  <c r="Q194" i="1"/>
  <c r="R194" i="1"/>
  <c r="T194" i="1"/>
  <c r="U194" i="1"/>
  <c r="V194" i="1"/>
  <c r="X194" i="1"/>
  <c r="Y194" i="1"/>
  <c r="Z194" i="1"/>
  <c r="J195" i="1"/>
  <c r="K195" i="1"/>
  <c r="L195" i="1"/>
  <c r="N195" i="1"/>
  <c r="O195" i="1"/>
  <c r="Q195" i="1"/>
  <c r="R195" i="1"/>
  <c r="T195" i="1"/>
  <c r="U195" i="1"/>
  <c r="V195" i="1"/>
  <c r="X195" i="1"/>
  <c r="Y195" i="1"/>
  <c r="Z195" i="1"/>
  <c r="J196" i="1"/>
  <c r="K196" i="1"/>
  <c r="L196" i="1"/>
  <c r="N196" i="1"/>
  <c r="O196" i="1"/>
  <c r="Q196" i="1"/>
  <c r="R196" i="1"/>
  <c r="T196" i="1"/>
  <c r="U196" i="1"/>
  <c r="V196" i="1"/>
  <c r="X196" i="1"/>
  <c r="Y196" i="1"/>
  <c r="Z196" i="1"/>
  <c r="J197" i="1"/>
  <c r="K197" i="1"/>
  <c r="L197" i="1"/>
  <c r="N197" i="1"/>
  <c r="O197" i="1"/>
  <c r="Q197" i="1"/>
  <c r="R197" i="1"/>
  <c r="T197" i="1"/>
  <c r="U197" i="1"/>
  <c r="V197" i="1"/>
  <c r="X197" i="1"/>
  <c r="Y197" i="1"/>
  <c r="Z197" i="1"/>
  <c r="J198" i="1"/>
  <c r="K198" i="1"/>
  <c r="L198" i="1"/>
  <c r="N198" i="1"/>
  <c r="O198" i="1"/>
  <c r="Q198" i="1"/>
  <c r="R198" i="1"/>
  <c r="T198" i="1"/>
  <c r="U198" i="1"/>
  <c r="V198" i="1"/>
  <c r="X198" i="1"/>
  <c r="Y198" i="1"/>
  <c r="Z198" i="1"/>
  <c r="J199" i="1"/>
  <c r="K199" i="1"/>
  <c r="L199" i="1"/>
  <c r="N199" i="1"/>
  <c r="O199" i="1"/>
  <c r="Q199" i="1"/>
  <c r="R199" i="1"/>
  <c r="T199" i="1"/>
  <c r="U199" i="1"/>
  <c r="V199" i="1"/>
  <c r="X199" i="1"/>
  <c r="Y199" i="1"/>
  <c r="Z199" i="1"/>
  <c r="J200" i="1"/>
  <c r="K200" i="1"/>
  <c r="L200" i="1"/>
  <c r="N200" i="1"/>
  <c r="O200" i="1"/>
  <c r="Q200" i="1"/>
  <c r="R200" i="1"/>
  <c r="T200" i="1"/>
  <c r="U200" i="1"/>
  <c r="V200" i="1"/>
  <c r="X200" i="1"/>
  <c r="Y200" i="1"/>
  <c r="Z200" i="1"/>
  <c r="J201" i="1"/>
  <c r="K201" i="1"/>
  <c r="L201" i="1"/>
  <c r="N201" i="1"/>
  <c r="O201" i="1"/>
  <c r="Q201" i="1"/>
  <c r="R201" i="1"/>
  <c r="T201" i="1"/>
  <c r="U201" i="1"/>
  <c r="V201" i="1"/>
  <c r="X201" i="1"/>
  <c r="Y201" i="1"/>
  <c r="Z201" i="1"/>
  <c r="J202" i="1"/>
  <c r="K202" i="1"/>
  <c r="L202" i="1"/>
  <c r="N202" i="1"/>
  <c r="O202" i="1"/>
  <c r="Q202" i="1"/>
  <c r="R202" i="1"/>
  <c r="T202" i="1"/>
  <c r="U202" i="1"/>
  <c r="V202" i="1"/>
  <c r="X202" i="1"/>
  <c r="Y202" i="1"/>
  <c r="Z202" i="1"/>
  <c r="Z3" i="1"/>
  <c r="Y3" i="1"/>
  <c r="X3" i="1"/>
  <c r="R3" i="1"/>
  <c r="Q3" i="1"/>
  <c r="O3" i="1"/>
  <c r="N3" i="1"/>
  <c r="L3" i="1"/>
  <c r="K3" i="1"/>
  <c r="J3" i="1"/>
  <c r="F4" i="1"/>
  <c r="G4" i="1"/>
  <c r="H4" i="1"/>
  <c r="F5" i="1"/>
  <c r="G5" i="1"/>
  <c r="H5" i="1"/>
  <c r="F6" i="1"/>
  <c r="G6" i="1"/>
  <c r="H6" i="1"/>
  <c r="F7" i="1"/>
  <c r="G7" i="1"/>
  <c r="H7" i="1"/>
  <c r="F8" i="1"/>
  <c r="G8" i="1"/>
  <c r="H8" i="1"/>
  <c r="F9" i="1"/>
  <c r="G9" i="1"/>
  <c r="H9" i="1"/>
  <c r="F10" i="1"/>
  <c r="G10" i="1"/>
  <c r="H10" i="1"/>
  <c r="F11" i="1"/>
  <c r="G11" i="1"/>
  <c r="H11" i="1"/>
  <c r="F12" i="1"/>
  <c r="G12" i="1"/>
  <c r="H12" i="1"/>
  <c r="F13" i="1"/>
  <c r="G13" i="1"/>
  <c r="H13" i="1"/>
  <c r="F14" i="1"/>
  <c r="G14" i="1"/>
  <c r="H14" i="1"/>
  <c r="F15" i="1"/>
  <c r="G15" i="1"/>
  <c r="H15" i="1"/>
  <c r="F16" i="1"/>
  <c r="G16" i="1"/>
  <c r="H16" i="1"/>
  <c r="F17" i="1"/>
  <c r="G17" i="1"/>
  <c r="H17" i="1"/>
  <c r="F18" i="1"/>
  <c r="G18" i="1"/>
  <c r="H18" i="1"/>
  <c r="F19" i="1"/>
  <c r="G19" i="1"/>
  <c r="H19" i="1"/>
  <c r="F20" i="1"/>
  <c r="G20" i="1"/>
  <c r="H20" i="1"/>
  <c r="F21" i="1"/>
  <c r="G21" i="1"/>
  <c r="H21" i="1"/>
  <c r="F22" i="1"/>
  <c r="G22" i="1"/>
  <c r="H22" i="1"/>
  <c r="F23" i="1"/>
  <c r="G23" i="1"/>
  <c r="H23" i="1"/>
  <c r="F24" i="1"/>
  <c r="G24" i="1"/>
  <c r="H24" i="1"/>
  <c r="F25" i="1"/>
  <c r="G25" i="1"/>
  <c r="H25" i="1"/>
  <c r="F26" i="1"/>
  <c r="G26" i="1"/>
  <c r="H26" i="1"/>
  <c r="F27" i="1"/>
  <c r="G27" i="1"/>
  <c r="H27" i="1"/>
  <c r="F28" i="1"/>
  <c r="G28" i="1"/>
  <c r="H28" i="1"/>
  <c r="F29" i="1"/>
  <c r="G29" i="1"/>
  <c r="H29" i="1"/>
  <c r="F30" i="1"/>
  <c r="G30" i="1"/>
  <c r="H30" i="1"/>
  <c r="F31" i="1"/>
  <c r="G31" i="1"/>
  <c r="H31" i="1"/>
  <c r="F32" i="1"/>
  <c r="G32" i="1"/>
  <c r="H32" i="1"/>
  <c r="F33" i="1"/>
  <c r="G33" i="1"/>
  <c r="H33" i="1"/>
  <c r="F34" i="1"/>
  <c r="G34" i="1"/>
  <c r="H34" i="1"/>
  <c r="F35" i="1"/>
  <c r="G35" i="1"/>
  <c r="H35" i="1"/>
  <c r="F36" i="1"/>
  <c r="G36" i="1"/>
  <c r="H36" i="1"/>
  <c r="F37" i="1"/>
  <c r="G37" i="1"/>
  <c r="H37" i="1"/>
  <c r="F38" i="1"/>
  <c r="G38" i="1"/>
  <c r="H38" i="1"/>
  <c r="F39" i="1"/>
  <c r="G39" i="1"/>
  <c r="H39" i="1"/>
  <c r="F40" i="1"/>
  <c r="G40" i="1"/>
  <c r="H40" i="1"/>
  <c r="F41" i="1"/>
  <c r="G41" i="1"/>
  <c r="H41" i="1"/>
  <c r="F42" i="1"/>
  <c r="G42" i="1"/>
  <c r="H42" i="1"/>
  <c r="F43" i="1"/>
  <c r="G43" i="1"/>
  <c r="H43" i="1"/>
  <c r="F44" i="1"/>
  <c r="G44" i="1"/>
  <c r="H44" i="1"/>
  <c r="F45" i="1"/>
  <c r="G45" i="1"/>
  <c r="H45" i="1"/>
  <c r="F46" i="1"/>
  <c r="G46" i="1"/>
  <c r="H46" i="1"/>
  <c r="F47" i="1"/>
  <c r="G47" i="1"/>
  <c r="H47" i="1"/>
  <c r="F48" i="1"/>
  <c r="G48" i="1"/>
  <c r="H48" i="1"/>
  <c r="F49" i="1"/>
  <c r="G49" i="1"/>
  <c r="H49" i="1"/>
  <c r="F50" i="1"/>
  <c r="G50" i="1"/>
  <c r="H50" i="1"/>
  <c r="F51" i="1"/>
  <c r="G51" i="1"/>
  <c r="H51" i="1"/>
  <c r="F52" i="1"/>
  <c r="G52" i="1"/>
  <c r="H52" i="1"/>
  <c r="F53" i="1"/>
  <c r="G53" i="1"/>
  <c r="H53" i="1"/>
  <c r="F54" i="1"/>
  <c r="G54" i="1"/>
  <c r="H54" i="1"/>
  <c r="F55" i="1"/>
  <c r="G55" i="1"/>
  <c r="H55" i="1"/>
  <c r="F56" i="1"/>
  <c r="G56" i="1"/>
  <c r="H56" i="1"/>
  <c r="F57" i="1"/>
  <c r="G57" i="1"/>
  <c r="H57" i="1"/>
  <c r="F58" i="1"/>
  <c r="G58" i="1"/>
  <c r="H58" i="1"/>
  <c r="F59" i="1"/>
  <c r="G59" i="1"/>
  <c r="H59" i="1"/>
  <c r="F60" i="1"/>
  <c r="G60" i="1"/>
  <c r="H60" i="1"/>
  <c r="F61" i="1"/>
  <c r="G61" i="1"/>
  <c r="H61" i="1"/>
  <c r="F62" i="1"/>
  <c r="G62" i="1"/>
  <c r="H62" i="1"/>
  <c r="F63" i="1"/>
  <c r="G63" i="1"/>
  <c r="H63" i="1"/>
  <c r="F64" i="1"/>
  <c r="G64" i="1"/>
  <c r="H64" i="1"/>
  <c r="F65" i="1"/>
  <c r="G65" i="1"/>
  <c r="H65" i="1"/>
  <c r="F66" i="1"/>
  <c r="G66" i="1"/>
  <c r="H66" i="1"/>
  <c r="F67" i="1"/>
  <c r="G67" i="1"/>
  <c r="H67" i="1"/>
  <c r="F68" i="1"/>
  <c r="G68" i="1"/>
  <c r="H68" i="1"/>
  <c r="F69" i="1"/>
  <c r="G69" i="1"/>
  <c r="H69" i="1"/>
  <c r="F70" i="1"/>
  <c r="G70" i="1"/>
  <c r="H70" i="1"/>
  <c r="F71" i="1"/>
  <c r="G71" i="1"/>
  <c r="H71" i="1"/>
  <c r="F72" i="1"/>
  <c r="G72" i="1"/>
  <c r="H72" i="1"/>
  <c r="F73" i="1"/>
  <c r="G73" i="1"/>
  <c r="H73" i="1"/>
  <c r="F74" i="1"/>
  <c r="G74" i="1"/>
  <c r="H74" i="1"/>
  <c r="F75" i="1"/>
  <c r="G75" i="1"/>
  <c r="H75" i="1"/>
  <c r="F76" i="1"/>
  <c r="G76" i="1"/>
  <c r="H76" i="1"/>
  <c r="F77" i="1"/>
  <c r="G77" i="1"/>
  <c r="H77" i="1"/>
  <c r="F78" i="1"/>
  <c r="G78" i="1"/>
  <c r="H78" i="1"/>
  <c r="F79" i="1"/>
  <c r="G79" i="1"/>
  <c r="H79" i="1"/>
  <c r="F80" i="1"/>
  <c r="G80" i="1"/>
  <c r="H80" i="1"/>
  <c r="F81" i="1"/>
  <c r="G81" i="1"/>
  <c r="H81" i="1"/>
  <c r="F82" i="1"/>
  <c r="G82" i="1"/>
  <c r="H82" i="1"/>
  <c r="F83" i="1"/>
  <c r="G83" i="1"/>
  <c r="H83" i="1"/>
  <c r="F84" i="1"/>
  <c r="G84" i="1"/>
  <c r="H84" i="1"/>
  <c r="F85" i="1"/>
  <c r="G85" i="1"/>
  <c r="H85" i="1"/>
  <c r="F86" i="1"/>
  <c r="G86" i="1"/>
  <c r="H86" i="1"/>
  <c r="F87" i="1"/>
  <c r="G87" i="1"/>
  <c r="H87" i="1"/>
  <c r="F88" i="1"/>
  <c r="G88" i="1"/>
  <c r="H88" i="1"/>
  <c r="F89" i="1"/>
  <c r="G89" i="1"/>
  <c r="H89" i="1"/>
  <c r="F90" i="1"/>
  <c r="G90" i="1"/>
  <c r="H90" i="1"/>
  <c r="F91" i="1"/>
  <c r="G91" i="1"/>
  <c r="H91" i="1"/>
  <c r="F92" i="1"/>
  <c r="G92" i="1"/>
  <c r="H92" i="1"/>
  <c r="F93" i="1"/>
  <c r="G93" i="1"/>
  <c r="H93" i="1"/>
  <c r="F94" i="1"/>
  <c r="G94" i="1"/>
  <c r="H94" i="1"/>
  <c r="F95" i="1"/>
  <c r="G95" i="1"/>
  <c r="H95" i="1"/>
  <c r="F96" i="1"/>
  <c r="G96" i="1"/>
  <c r="H96" i="1"/>
  <c r="F97" i="1"/>
  <c r="G97" i="1"/>
  <c r="H97" i="1"/>
  <c r="F98" i="1"/>
  <c r="G98" i="1"/>
  <c r="H98" i="1"/>
  <c r="F99" i="1"/>
  <c r="G99" i="1"/>
  <c r="H99" i="1"/>
  <c r="F100" i="1"/>
  <c r="G100" i="1"/>
  <c r="H100" i="1"/>
  <c r="F101" i="1"/>
  <c r="G101" i="1"/>
  <c r="H101" i="1"/>
  <c r="F102" i="1"/>
  <c r="G102" i="1"/>
  <c r="H102" i="1"/>
  <c r="F103" i="1"/>
  <c r="G103" i="1"/>
  <c r="H103" i="1"/>
  <c r="F104" i="1"/>
  <c r="G104" i="1"/>
  <c r="H104" i="1"/>
  <c r="F105" i="1"/>
  <c r="G105" i="1"/>
  <c r="H105" i="1"/>
  <c r="F106" i="1"/>
  <c r="G106" i="1"/>
  <c r="H106" i="1"/>
  <c r="F107" i="1"/>
  <c r="G107" i="1"/>
  <c r="H107" i="1"/>
  <c r="F108" i="1"/>
  <c r="G108" i="1"/>
  <c r="H108" i="1"/>
  <c r="F109" i="1"/>
  <c r="G109" i="1"/>
  <c r="H109" i="1"/>
  <c r="F110" i="1"/>
  <c r="G110" i="1"/>
  <c r="H110" i="1"/>
  <c r="F111" i="1"/>
  <c r="G111" i="1"/>
  <c r="H111" i="1"/>
  <c r="F112" i="1"/>
  <c r="G112" i="1"/>
  <c r="H112" i="1"/>
  <c r="F113" i="1"/>
  <c r="G113" i="1"/>
  <c r="H113" i="1"/>
  <c r="F114" i="1"/>
  <c r="G114" i="1"/>
  <c r="H114" i="1"/>
  <c r="F115" i="1"/>
  <c r="G115" i="1"/>
  <c r="H115" i="1"/>
  <c r="F116" i="1"/>
  <c r="G116" i="1"/>
  <c r="H116" i="1"/>
  <c r="F117" i="1"/>
  <c r="G117" i="1"/>
  <c r="H117" i="1"/>
  <c r="F118" i="1"/>
  <c r="G118" i="1"/>
  <c r="H118" i="1"/>
  <c r="F119" i="1"/>
  <c r="G119" i="1"/>
  <c r="H119" i="1"/>
  <c r="F120" i="1"/>
  <c r="G120" i="1"/>
  <c r="H120" i="1"/>
  <c r="F121" i="1"/>
  <c r="G121" i="1"/>
  <c r="H121" i="1"/>
  <c r="F122" i="1"/>
  <c r="G122" i="1"/>
  <c r="H122" i="1"/>
  <c r="F123" i="1"/>
  <c r="G123" i="1"/>
  <c r="H123" i="1"/>
  <c r="F124" i="1"/>
  <c r="G124" i="1"/>
  <c r="H124" i="1"/>
  <c r="F125" i="1"/>
  <c r="G125" i="1"/>
  <c r="H125" i="1"/>
  <c r="F126" i="1"/>
  <c r="G126" i="1"/>
  <c r="H126" i="1"/>
  <c r="F127" i="1"/>
  <c r="G127" i="1"/>
  <c r="H127" i="1"/>
  <c r="F128" i="1"/>
  <c r="G128" i="1"/>
  <c r="H128" i="1"/>
  <c r="F129" i="1"/>
  <c r="G129" i="1"/>
  <c r="H129" i="1"/>
  <c r="F130" i="1"/>
  <c r="G130" i="1"/>
  <c r="H130" i="1"/>
  <c r="F131" i="1"/>
  <c r="G131" i="1"/>
  <c r="H131" i="1"/>
  <c r="F132" i="1"/>
  <c r="G132" i="1"/>
  <c r="H132" i="1"/>
  <c r="F133" i="1"/>
  <c r="G133" i="1"/>
  <c r="H133" i="1"/>
  <c r="F134" i="1"/>
  <c r="G134" i="1"/>
  <c r="H134" i="1"/>
  <c r="F135" i="1"/>
  <c r="G135" i="1"/>
  <c r="H135" i="1"/>
  <c r="F136" i="1"/>
  <c r="G136" i="1"/>
  <c r="H136" i="1"/>
  <c r="F137" i="1"/>
  <c r="G137" i="1"/>
  <c r="H137" i="1"/>
  <c r="F138" i="1"/>
  <c r="G138" i="1"/>
  <c r="H138" i="1"/>
  <c r="F139" i="1"/>
  <c r="G139" i="1"/>
  <c r="H139" i="1"/>
  <c r="F140" i="1"/>
  <c r="G140" i="1"/>
  <c r="H140" i="1"/>
  <c r="F141" i="1"/>
  <c r="G141" i="1"/>
  <c r="H141" i="1"/>
  <c r="F142" i="1"/>
  <c r="G142" i="1"/>
  <c r="H142" i="1"/>
  <c r="F143" i="1"/>
  <c r="G143" i="1"/>
  <c r="H143" i="1"/>
  <c r="F144" i="1"/>
  <c r="G144" i="1"/>
  <c r="H144" i="1"/>
  <c r="F145" i="1"/>
  <c r="G145" i="1"/>
  <c r="H145" i="1"/>
  <c r="F146" i="1"/>
  <c r="G146" i="1"/>
  <c r="H146" i="1"/>
  <c r="F147" i="1"/>
  <c r="G147" i="1"/>
  <c r="H147" i="1"/>
  <c r="F148" i="1"/>
  <c r="G148" i="1"/>
  <c r="H148" i="1"/>
  <c r="F149" i="1"/>
  <c r="G149" i="1"/>
  <c r="H149" i="1"/>
  <c r="F150" i="1"/>
  <c r="G150" i="1"/>
  <c r="H150" i="1"/>
  <c r="F151" i="1"/>
  <c r="G151" i="1"/>
  <c r="H151" i="1"/>
  <c r="F152" i="1"/>
  <c r="G152" i="1"/>
  <c r="H152" i="1"/>
  <c r="F153" i="1"/>
  <c r="G153" i="1"/>
  <c r="H153" i="1"/>
  <c r="F154" i="1"/>
  <c r="G154" i="1"/>
  <c r="H154" i="1"/>
  <c r="F155" i="1"/>
  <c r="G155" i="1"/>
  <c r="H155" i="1"/>
  <c r="F156" i="1"/>
  <c r="G156" i="1"/>
  <c r="H156" i="1"/>
  <c r="F157" i="1"/>
  <c r="G157" i="1"/>
  <c r="H157" i="1"/>
  <c r="F158" i="1"/>
  <c r="G158" i="1"/>
  <c r="H158" i="1"/>
  <c r="F159" i="1"/>
  <c r="G159" i="1"/>
  <c r="H159" i="1"/>
  <c r="F160" i="1"/>
  <c r="G160" i="1"/>
  <c r="H160" i="1"/>
  <c r="F161" i="1"/>
  <c r="G161" i="1"/>
  <c r="H161" i="1"/>
  <c r="F162" i="1"/>
  <c r="G162" i="1"/>
  <c r="H162" i="1"/>
  <c r="F163" i="1"/>
  <c r="G163" i="1"/>
  <c r="H163" i="1"/>
  <c r="F164" i="1"/>
  <c r="G164" i="1"/>
  <c r="H164" i="1"/>
  <c r="F165" i="1"/>
  <c r="G165" i="1"/>
  <c r="H165" i="1"/>
  <c r="F166" i="1"/>
  <c r="G166" i="1"/>
  <c r="H166" i="1"/>
  <c r="F167" i="1"/>
  <c r="G167" i="1"/>
  <c r="H167" i="1"/>
  <c r="F168" i="1"/>
  <c r="G168" i="1"/>
  <c r="H168" i="1"/>
  <c r="F169" i="1"/>
  <c r="G169" i="1"/>
  <c r="H169" i="1"/>
  <c r="F170" i="1"/>
  <c r="G170" i="1"/>
  <c r="H170" i="1"/>
  <c r="F171" i="1"/>
  <c r="G171" i="1"/>
  <c r="H171" i="1"/>
  <c r="F172" i="1"/>
  <c r="G172" i="1"/>
  <c r="H172" i="1"/>
  <c r="F173" i="1"/>
  <c r="G173" i="1"/>
  <c r="H173" i="1"/>
  <c r="F174" i="1"/>
  <c r="G174" i="1"/>
  <c r="H174" i="1"/>
  <c r="F175" i="1"/>
  <c r="G175" i="1"/>
  <c r="H175" i="1"/>
  <c r="F176" i="1"/>
  <c r="G176" i="1"/>
  <c r="H176" i="1"/>
  <c r="F177" i="1"/>
  <c r="G177" i="1"/>
  <c r="H177" i="1"/>
  <c r="F178" i="1"/>
  <c r="G178" i="1"/>
  <c r="H178" i="1"/>
  <c r="F179" i="1"/>
  <c r="G179" i="1"/>
  <c r="H179" i="1"/>
  <c r="F180" i="1"/>
  <c r="G180" i="1"/>
  <c r="H180" i="1"/>
  <c r="F181" i="1"/>
  <c r="G181" i="1"/>
  <c r="H181" i="1"/>
  <c r="F182" i="1"/>
  <c r="G182" i="1"/>
  <c r="H182" i="1"/>
  <c r="F183" i="1"/>
  <c r="G183" i="1"/>
  <c r="H183" i="1"/>
  <c r="F184" i="1"/>
  <c r="G184" i="1"/>
  <c r="H184" i="1"/>
  <c r="F185" i="1"/>
  <c r="G185" i="1"/>
  <c r="H185" i="1"/>
  <c r="F186" i="1"/>
  <c r="G186" i="1"/>
  <c r="H186" i="1"/>
  <c r="F187" i="1"/>
  <c r="G187" i="1"/>
  <c r="H187" i="1"/>
  <c r="F188" i="1"/>
  <c r="G188" i="1"/>
  <c r="H188" i="1"/>
  <c r="F189" i="1"/>
  <c r="G189" i="1"/>
  <c r="H189" i="1"/>
  <c r="F190" i="1"/>
  <c r="G190" i="1"/>
  <c r="H190" i="1"/>
  <c r="F191" i="1"/>
  <c r="G191" i="1"/>
  <c r="H191" i="1"/>
  <c r="F192" i="1"/>
  <c r="G192" i="1"/>
  <c r="H192" i="1"/>
  <c r="F193" i="1"/>
  <c r="G193" i="1"/>
  <c r="H193" i="1"/>
  <c r="F194" i="1"/>
  <c r="G194" i="1"/>
  <c r="H194" i="1"/>
  <c r="F195" i="1"/>
  <c r="G195" i="1"/>
  <c r="H195" i="1"/>
  <c r="F196" i="1"/>
  <c r="G196" i="1"/>
  <c r="H196" i="1"/>
  <c r="F197" i="1"/>
  <c r="G197" i="1"/>
  <c r="H197" i="1"/>
  <c r="F198" i="1"/>
  <c r="G198" i="1"/>
  <c r="H198" i="1"/>
  <c r="F199" i="1"/>
  <c r="G199" i="1"/>
  <c r="H199" i="1"/>
  <c r="F200" i="1"/>
  <c r="G200" i="1"/>
  <c r="H200" i="1"/>
  <c r="F201" i="1"/>
  <c r="G201" i="1"/>
  <c r="H201" i="1"/>
  <c r="F202" i="1"/>
  <c r="G202" i="1"/>
  <c r="H202" i="1"/>
  <c r="H3" i="1"/>
  <c r="G3" i="1"/>
  <c r="F3" i="1"/>
  <c r="B26" i="1"/>
  <c r="C26" i="1"/>
  <c r="D26" i="1"/>
  <c r="B27" i="1"/>
  <c r="C27" i="1"/>
  <c r="D27" i="1"/>
  <c r="B28" i="1"/>
  <c r="C28" i="1"/>
  <c r="D28" i="1"/>
  <c r="B29" i="1"/>
  <c r="C29" i="1"/>
  <c r="D29" i="1"/>
  <c r="B30" i="1"/>
  <c r="C30" i="1"/>
  <c r="D30" i="1"/>
  <c r="B31" i="1"/>
  <c r="C31" i="1"/>
  <c r="D31" i="1"/>
  <c r="B32" i="1"/>
  <c r="C32" i="1"/>
  <c r="D32" i="1"/>
  <c r="B33" i="1"/>
  <c r="C33" i="1"/>
  <c r="D33" i="1"/>
  <c r="B34" i="1"/>
  <c r="C34" i="1"/>
  <c r="D34" i="1"/>
  <c r="B35" i="1"/>
  <c r="C35" i="1"/>
  <c r="D35" i="1"/>
  <c r="B36" i="1"/>
  <c r="C36" i="1"/>
  <c r="D36" i="1"/>
  <c r="B37" i="1"/>
  <c r="C37" i="1"/>
  <c r="D37" i="1"/>
  <c r="B38" i="1"/>
  <c r="C38" i="1"/>
  <c r="D38" i="1"/>
  <c r="B39" i="1"/>
  <c r="C39" i="1"/>
  <c r="D39" i="1"/>
  <c r="B40" i="1"/>
  <c r="C40" i="1"/>
  <c r="D40" i="1"/>
  <c r="B41" i="1"/>
  <c r="C41" i="1"/>
  <c r="D41" i="1"/>
  <c r="B42" i="1"/>
  <c r="C42" i="1"/>
  <c r="D42" i="1"/>
  <c r="B43" i="1"/>
  <c r="C43" i="1"/>
  <c r="D43" i="1"/>
  <c r="B44" i="1"/>
  <c r="C44" i="1"/>
  <c r="D44" i="1"/>
  <c r="B45" i="1"/>
  <c r="C45" i="1"/>
  <c r="D45" i="1"/>
  <c r="B46" i="1"/>
  <c r="C46" i="1"/>
  <c r="D46" i="1"/>
  <c r="B47" i="1"/>
  <c r="C47" i="1"/>
  <c r="D47" i="1"/>
  <c r="B48" i="1"/>
  <c r="C48" i="1"/>
  <c r="D48" i="1"/>
  <c r="B49" i="1"/>
  <c r="C49" i="1"/>
  <c r="D49" i="1"/>
  <c r="B50" i="1"/>
  <c r="C50" i="1"/>
  <c r="D50" i="1"/>
  <c r="B51" i="1"/>
  <c r="C51" i="1"/>
  <c r="D51" i="1"/>
  <c r="B52" i="1"/>
  <c r="C52" i="1"/>
  <c r="D52" i="1"/>
  <c r="B53" i="1"/>
  <c r="C53" i="1"/>
  <c r="D53" i="1"/>
  <c r="B54" i="1"/>
  <c r="C54" i="1"/>
  <c r="D54" i="1"/>
  <c r="B55" i="1"/>
  <c r="C55" i="1"/>
  <c r="D55" i="1"/>
  <c r="B56" i="1"/>
  <c r="C56" i="1"/>
  <c r="D56" i="1"/>
  <c r="B57" i="1"/>
  <c r="C57" i="1"/>
  <c r="D57" i="1"/>
  <c r="B58" i="1"/>
  <c r="C58" i="1"/>
  <c r="D58" i="1"/>
  <c r="B59" i="1"/>
  <c r="C59" i="1"/>
  <c r="D59" i="1"/>
  <c r="B60" i="1"/>
  <c r="C60" i="1"/>
  <c r="D60" i="1"/>
  <c r="B61" i="1"/>
  <c r="C61" i="1"/>
  <c r="D61" i="1"/>
  <c r="B62" i="1"/>
  <c r="C62" i="1"/>
  <c r="D62" i="1"/>
  <c r="B63" i="1"/>
  <c r="C63" i="1"/>
  <c r="D63" i="1"/>
  <c r="B64" i="1"/>
  <c r="C64" i="1"/>
  <c r="D64" i="1"/>
  <c r="B65" i="1"/>
  <c r="C65" i="1"/>
  <c r="D65" i="1"/>
  <c r="B66" i="1"/>
  <c r="C66" i="1"/>
  <c r="D66" i="1"/>
  <c r="B67" i="1"/>
  <c r="C67" i="1"/>
  <c r="D67" i="1"/>
  <c r="B68" i="1"/>
  <c r="C68" i="1"/>
  <c r="D68" i="1"/>
  <c r="B69" i="1"/>
  <c r="C69" i="1"/>
  <c r="D69" i="1"/>
  <c r="B70" i="1"/>
  <c r="C70" i="1"/>
  <c r="D70" i="1"/>
  <c r="B71" i="1"/>
  <c r="C71" i="1"/>
  <c r="D71" i="1"/>
  <c r="B72" i="1"/>
  <c r="C72" i="1"/>
  <c r="D72" i="1"/>
  <c r="B73" i="1"/>
  <c r="C73" i="1"/>
  <c r="D73" i="1"/>
  <c r="B74" i="1"/>
  <c r="C74" i="1"/>
  <c r="D74" i="1"/>
  <c r="B75" i="1"/>
  <c r="C75" i="1"/>
  <c r="D75" i="1"/>
  <c r="B76" i="1"/>
  <c r="C76" i="1"/>
  <c r="D76" i="1"/>
  <c r="B77" i="1"/>
  <c r="C77" i="1"/>
  <c r="D77" i="1"/>
  <c r="B78" i="1"/>
  <c r="C78" i="1"/>
  <c r="D78" i="1"/>
  <c r="B79" i="1"/>
  <c r="C79" i="1"/>
  <c r="D79" i="1"/>
  <c r="B80" i="1"/>
  <c r="C80" i="1"/>
  <c r="D80" i="1"/>
  <c r="B81" i="1"/>
  <c r="C81" i="1"/>
  <c r="D81" i="1"/>
  <c r="B82" i="1"/>
  <c r="C82" i="1"/>
  <c r="D82" i="1"/>
  <c r="B83" i="1"/>
  <c r="C83" i="1"/>
  <c r="D83" i="1"/>
  <c r="B84" i="1"/>
  <c r="C84" i="1"/>
  <c r="D84" i="1"/>
  <c r="B85" i="1"/>
  <c r="C85" i="1"/>
  <c r="D85" i="1"/>
  <c r="B86" i="1"/>
  <c r="C86" i="1"/>
  <c r="D86" i="1"/>
  <c r="B87" i="1"/>
  <c r="C87" i="1"/>
  <c r="D87" i="1"/>
  <c r="B88" i="1"/>
  <c r="C88" i="1"/>
  <c r="D88" i="1"/>
  <c r="B89" i="1"/>
  <c r="C89" i="1"/>
  <c r="D89" i="1"/>
  <c r="B90" i="1"/>
  <c r="C90" i="1"/>
  <c r="D90" i="1"/>
  <c r="B91" i="1"/>
  <c r="C91" i="1"/>
  <c r="D91" i="1"/>
  <c r="B92" i="1"/>
  <c r="C92" i="1"/>
  <c r="D92" i="1"/>
  <c r="B93" i="1"/>
  <c r="C93" i="1"/>
  <c r="D93" i="1"/>
  <c r="B94" i="1"/>
  <c r="C94" i="1"/>
  <c r="D94" i="1"/>
  <c r="B95" i="1"/>
  <c r="C95" i="1"/>
  <c r="D95" i="1"/>
  <c r="B96" i="1"/>
  <c r="C96" i="1"/>
  <c r="D96" i="1"/>
  <c r="B97" i="1"/>
  <c r="C97" i="1"/>
  <c r="D97" i="1"/>
  <c r="B98" i="1"/>
  <c r="C98" i="1"/>
  <c r="D98" i="1"/>
  <c r="B99" i="1"/>
  <c r="C99" i="1"/>
  <c r="D99" i="1"/>
  <c r="B100" i="1"/>
  <c r="C100" i="1"/>
  <c r="D100" i="1"/>
  <c r="B101" i="1"/>
  <c r="C101" i="1"/>
  <c r="D101" i="1"/>
  <c r="B102" i="1"/>
  <c r="C102" i="1"/>
  <c r="D102" i="1"/>
  <c r="B103" i="1"/>
  <c r="C103" i="1"/>
  <c r="D103" i="1"/>
  <c r="B104" i="1"/>
  <c r="C104" i="1"/>
  <c r="D104" i="1"/>
  <c r="B105" i="1"/>
  <c r="C105" i="1"/>
  <c r="D105" i="1"/>
  <c r="B106" i="1"/>
  <c r="C106" i="1"/>
  <c r="D106" i="1"/>
  <c r="B107" i="1"/>
  <c r="C107" i="1"/>
  <c r="D107" i="1"/>
  <c r="B108" i="1"/>
  <c r="C108" i="1"/>
  <c r="D108" i="1"/>
  <c r="B109" i="1"/>
  <c r="C109" i="1"/>
  <c r="D109" i="1"/>
  <c r="B110" i="1"/>
  <c r="C110" i="1"/>
  <c r="D110" i="1"/>
  <c r="B111" i="1"/>
  <c r="C111" i="1"/>
  <c r="D111" i="1"/>
  <c r="B112" i="1"/>
  <c r="C112" i="1"/>
  <c r="D112" i="1"/>
  <c r="B113" i="1"/>
  <c r="C113" i="1"/>
  <c r="D113" i="1"/>
  <c r="B114" i="1"/>
  <c r="C114" i="1"/>
  <c r="D114" i="1"/>
  <c r="B115" i="1"/>
  <c r="C115" i="1"/>
  <c r="D115" i="1"/>
  <c r="B116" i="1"/>
  <c r="C116" i="1"/>
  <c r="D116" i="1"/>
  <c r="B117" i="1"/>
  <c r="C117" i="1"/>
  <c r="D117" i="1"/>
  <c r="B118" i="1"/>
  <c r="C118" i="1"/>
  <c r="D118" i="1"/>
  <c r="B119" i="1"/>
  <c r="C119" i="1"/>
  <c r="D119" i="1"/>
  <c r="B120" i="1"/>
  <c r="C120" i="1"/>
  <c r="D120" i="1"/>
  <c r="B121" i="1"/>
  <c r="C121" i="1"/>
  <c r="D121" i="1"/>
  <c r="B122" i="1"/>
  <c r="C122" i="1"/>
  <c r="D122" i="1"/>
  <c r="B123" i="1"/>
  <c r="C123" i="1"/>
  <c r="D123" i="1"/>
  <c r="B124" i="1"/>
  <c r="C124" i="1"/>
  <c r="D124" i="1"/>
  <c r="B125" i="1"/>
  <c r="C125" i="1"/>
  <c r="D125" i="1"/>
  <c r="B126" i="1"/>
  <c r="C126" i="1"/>
  <c r="D126" i="1"/>
  <c r="B127" i="1"/>
  <c r="C127" i="1"/>
  <c r="D127" i="1"/>
  <c r="B128" i="1"/>
  <c r="C128" i="1"/>
  <c r="D128" i="1"/>
  <c r="B129" i="1"/>
  <c r="C129" i="1"/>
  <c r="D129" i="1"/>
  <c r="B130" i="1"/>
  <c r="C130" i="1"/>
  <c r="D130" i="1"/>
  <c r="B131" i="1"/>
  <c r="C131" i="1"/>
  <c r="D131" i="1"/>
  <c r="B132" i="1"/>
  <c r="C132" i="1"/>
  <c r="D132" i="1"/>
  <c r="B133" i="1"/>
  <c r="C133" i="1"/>
  <c r="D133" i="1"/>
  <c r="B134" i="1"/>
  <c r="C134" i="1"/>
  <c r="D134" i="1"/>
  <c r="B135" i="1"/>
  <c r="C135" i="1"/>
  <c r="D135" i="1"/>
  <c r="B136" i="1"/>
  <c r="C136" i="1"/>
  <c r="D136" i="1"/>
  <c r="B137" i="1"/>
  <c r="C137" i="1"/>
  <c r="D137" i="1"/>
  <c r="B138" i="1"/>
  <c r="C138" i="1"/>
  <c r="D138" i="1"/>
  <c r="B139" i="1"/>
  <c r="C139" i="1"/>
  <c r="D139" i="1"/>
  <c r="B140" i="1"/>
  <c r="C140" i="1"/>
  <c r="D140" i="1"/>
  <c r="B141" i="1"/>
  <c r="C141" i="1"/>
  <c r="D141" i="1"/>
  <c r="B142" i="1"/>
  <c r="C142" i="1"/>
  <c r="D142" i="1"/>
  <c r="B143" i="1"/>
  <c r="C143" i="1"/>
  <c r="D143" i="1"/>
  <c r="B144" i="1"/>
  <c r="C144" i="1"/>
  <c r="D144" i="1"/>
  <c r="B145" i="1"/>
  <c r="C145" i="1"/>
  <c r="D145" i="1"/>
  <c r="B146" i="1"/>
  <c r="C146" i="1"/>
  <c r="D146" i="1"/>
  <c r="B147" i="1"/>
  <c r="C147" i="1"/>
  <c r="D147" i="1"/>
  <c r="B148" i="1"/>
  <c r="C148" i="1"/>
  <c r="D148" i="1"/>
  <c r="B149" i="1"/>
  <c r="C149" i="1"/>
  <c r="D149" i="1"/>
  <c r="B150" i="1"/>
  <c r="C150" i="1"/>
  <c r="D150" i="1"/>
  <c r="B151" i="1"/>
  <c r="C151" i="1"/>
  <c r="D151" i="1"/>
  <c r="B152" i="1"/>
  <c r="C152" i="1"/>
  <c r="D152" i="1"/>
  <c r="B153" i="1"/>
  <c r="C153" i="1"/>
  <c r="D153" i="1"/>
  <c r="B154" i="1"/>
  <c r="C154" i="1"/>
  <c r="D154" i="1"/>
  <c r="B155" i="1"/>
  <c r="C155" i="1"/>
  <c r="D155" i="1"/>
  <c r="B156" i="1"/>
  <c r="C156" i="1"/>
  <c r="D156" i="1"/>
  <c r="B157" i="1"/>
  <c r="C157" i="1"/>
  <c r="D157" i="1"/>
  <c r="B158" i="1"/>
  <c r="C158" i="1"/>
  <c r="D158" i="1"/>
  <c r="B159" i="1"/>
  <c r="C159" i="1"/>
  <c r="D159" i="1"/>
  <c r="B160" i="1"/>
  <c r="C160" i="1"/>
  <c r="D160" i="1"/>
  <c r="B161" i="1"/>
  <c r="C161" i="1"/>
  <c r="D161" i="1"/>
  <c r="B162" i="1"/>
  <c r="C162" i="1"/>
  <c r="D162" i="1"/>
  <c r="B163" i="1"/>
  <c r="C163" i="1"/>
  <c r="D163" i="1"/>
  <c r="B164" i="1"/>
  <c r="C164" i="1"/>
  <c r="D164" i="1"/>
  <c r="B165" i="1"/>
  <c r="C165" i="1"/>
  <c r="D165" i="1"/>
  <c r="B166" i="1"/>
  <c r="C166" i="1"/>
  <c r="D166" i="1"/>
  <c r="B167" i="1"/>
  <c r="C167" i="1"/>
  <c r="D167" i="1"/>
  <c r="B168" i="1"/>
  <c r="C168" i="1"/>
  <c r="D168" i="1"/>
  <c r="B169" i="1"/>
  <c r="C169" i="1"/>
  <c r="D169" i="1"/>
  <c r="B170" i="1"/>
  <c r="C170" i="1"/>
  <c r="D170" i="1"/>
  <c r="B171" i="1"/>
  <c r="C171" i="1"/>
  <c r="D171" i="1"/>
  <c r="B172" i="1"/>
  <c r="C172" i="1"/>
  <c r="D172" i="1"/>
  <c r="B173" i="1"/>
  <c r="C173" i="1"/>
  <c r="D173" i="1"/>
  <c r="B174" i="1"/>
  <c r="C174" i="1"/>
  <c r="D174" i="1"/>
  <c r="B175" i="1"/>
  <c r="C175" i="1"/>
  <c r="D175" i="1"/>
  <c r="B176" i="1"/>
  <c r="C176" i="1"/>
  <c r="D176" i="1"/>
  <c r="B177" i="1"/>
  <c r="C177" i="1"/>
  <c r="D177" i="1"/>
  <c r="B178" i="1"/>
  <c r="C178" i="1"/>
  <c r="D178" i="1"/>
  <c r="B179" i="1"/>
  <c r="C179" i="1"/>
  <c r="D179" i="1"/>
  <c r="B180" i="1"/>
  <c r="C180" i="1"/>
  <c r="D180" i="1"/>
  <c r="B181" i="1"/>
  <c r="C181" i="1"/>
  <c r="D181" i="1"/>
  <c r="B182" i="1"/>
  <c r="C182" i="1"/>
  <c r="D182" i="1"/>
  <c r="B183" i="1"/>
  <c r="C183" i="1"/>
  <c r="D183" i="1"/>
  <c r="B184" i="1"/>
  <c r="C184" i="1"/>
  <c r="D184" i="1"/>
  <c r="B185" i="1"/>
  <c r="C185" i="1"/>
  <c r="D185" i="1"/>
  <c r="B186" i="1"/>
  <c r="C186" i="1"/>
  <c r="D186" i="1"/>
  <c r="B187" i="1"/>
  <c r="C187" i="1"/>
  <c r="D187" i="1"/>
  <c r="B188" i="1"/>
  <c r="C188" i="1"/>
  <c r="D188" i="1"/>
  <c r="B189" i="1"/>
  <c r="C189" i="1"/>
  <c r="D189" i="1"/>
  <c r="B190" i="1"/>
  <c r="C190" i="1"/>
  <c r="D190" i="1"/>
  <c r="B191" i="1"/>
  <c r="C191" i="1"/>
  <c r="D191" i="1"/>
  <c r="B192" i="1"/>
  <c r="C192" i="1"/>
  <c r="D192" i="1"/>
  <c r="B193" i="1"/>
  <c r="C193" i="1"/>
  <c r="D193" i="1"/>
  <c r="B194" i="1"/>
  <c r="C194" i="1"/>
  <c r="D194" i="1"/>
  <c r="B195" i="1"/>
  <c r="C195" i="1"/>
  <c r="D195" i="1"/>
  <c r="B196" i="1"/>
  <c r="C196" i="1"/>
  <c r="D196" i="1"/>
  <c r="B197" i="1"/>
  <c r="C197" i="1"/>
  <c r="D197" i="1"/>
  <c r="B198" i="1"/>
  <c r="C198" i="1"/>
  <c r="D198" i="1"/>
  <c r="B199" i="1"/>
  <c r="C199" i="1"/>
  <c r="D199" i="1"/>
  <c r="B200" i="1"/>
  <c r="C200" i="1"/>
  <c r="D200" i="1"/>
  <c r="B201" i="1"/>
  <c r="C201" i="1"/>
  <c r="D201" i="1"/>
  <c r="B202" i="1"/>
  <c r="C202" i="1"/>
  <c r="D202" i="1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D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B24" i="1"/>
  <c r="C24" i="1"/>
  <c r="D24" i="1"/>
  <c r="B25" i="1"/>
  <c r="C25" i="1"/>
  <c r="D25" i="1"/>
  <c r="D3" i="1"/>
  <c r="C3" i="1"/>
  <c r="B3" i="1"/>
  <c r="U3" i="1"/>
  <c r="V3" i="1"/>
  <c r="T3" i="1"/>
</calcChain>
</file>

<file path=xl/sharedStrings.xml><?xml version="1.0" encoding="utf-8"?>
<sst xmlns="http://schemas.openxmlformats.org/spreadsheetml/2006/main" count="129" uniqueCount="68">
  <si>
    <t>n_estimators</t>
  </si>
  <si>
    <t>max_depth</t>
  </si>
  <si>
    <t>learning_rate</t>
  </si>
  <si>
    <t>XGB</t>
  </si>
  <si>
    <t>min_samples_split</t>
  </si>
  <si>
    <t>min_samples_leaf</t>
  </si>
  <si>
    <t>KNNC</t>
  </si>
  <si>
    <t>n_neighbors</t>
  </si>
  <si>
    <t>p</t>
  </si>
  <si>
    <t>leaf_size</t>
  </si>
  <si>
    <t>RFC</t>
  </si>
  <si>
    <t>LR</t>
  </si>
  <si>
    <t>C</t>
  </si>
  <si>
    <t>max_iter</t>
  </si>
  <si>
    <t>DTC/DTR</t>
  </si>
  <si>
    <t>HGBR</t>
  </si>
  <si>
    <t>SVC</t>
  </si>
  <si>
    <t>gamma</t>
  </si>
  <si>
    <t>alpha</t>
  </si>
  <si>
    <t>tol</t>
  </si>
  <si>
    <t>Lasso</t>
  </si>
  <si>
    <t>q</t>
  </si>
  <si>
    <t>QR</t>
  </si>
  <si>
    <t>reg_param</t>
  </si>
  <si>
    <t>QDA</t>
  </si>
  <si>
    <t>num_leaves</t>
  </si>
  <si>
    <t>LGBC</t>
  </si>
  <si>
    <t>max_iter_predict</t>
  </si>
  <si>
    <t>n_restarts_optimizer</t>
  </si>
  <si>
    <t>random_state</t>
  </si>
  <si>
    <t>GPC</t>
  </si>
  <si>
    <t>SGB/GBR/GBC</t>
  </si>
  <si>
    <t>epsilon</t>
  </si>
  <si>
    <t>HR</t>
  </si>
  <si>
    <t>kernel</t>
  </si>
  <si>
    <t>KRR</t>
  </si>
  <si>
    <t>l1_ratio</t>
  </si>
  <si>
    <t>ENR</t>
  </si>
  <si>
    <t>iterations</t>
  </si>
  <si>
    <t>depth</t>
  </si>
  <si>
    <t>CATR</t>
  </si>
  <si>
    <t>GPR</t>
  </si>
  <si>
    <t>alpha_1</t>
  </si>
  <si>
    <t>lambda_1</t>
  </si>
  <si>
    <t>SBR</t>
  </si>
  <si>
    <t>eta0</t>
  </si>
  <si>
    <t>subsample</t>
  </si>
  <si>
    <t>colsample_bytree</t>
  </si>
  <si>
    <t>quantile</t>
  </si>
  <si>
    <t>fit_intercept</t>
  </si>
  <si>
    <t>XGBR</t>
  </si>
  <si>
    <t>degree</t>
  </si>
  <si>
    <t>SVR</t>
  </si>
  <si>
    <t>shrinkage</t>
  </si>
  <si>
    <t>LDA</t>
  </si>
  <si>
    <t>MLR</t>
  </si>
  <si>
    <t>loss</t>
  </si>
  <si>
    <t>ADAR</t>
  </si>
  <si>
    <t>LSSVC</t>
  </si>
  <si>
    <t>ADAC</t>
  </si>
  <si>
    <t>Parameter</t>
  </si>
  <si>
    <t>Type</t>
  </si>
  <si>
    <t>Search Space</t>
  </si>
  <si>
    <t>float</t>
  </si>
  <si>
    <t>0.01, 0.20</t>
  </si>
  <si>
    <t>int</t>
  </si>
  <si>
    <t>50, 300</t>
  </si>
  <si>
    <t>1, 10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</si>
</sst>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0"/>
      <color theme="1"/>
      <name val="Arial Unicode MS"/>
      <family val="2"/>
    </font>
    <font>
      <b/>
      <sz val="1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A9D08E"/>
        <bgColor rgb="FFA9D08E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</borders>
  <cellStyleXfs count="4">
    <xf numFmtId="0" fontId="0" fillId="0" borderId="0"/>
    <xf numFmtId="0" fontId="3" fillId="4" borderId="1" applyNumberFormat="0" applyAlignment="0" applyProtection="0"/>
    <xf numFmtId="0" fontId="1" fillId="2" borderId="0"/>
    <xf numFmtId="0" fontId="2" fillId="3" borderId="0"/>
  </cellStyleXfs>
  <cellXfs count="10">
    <xf numFmtId="0" fontId="0" fillId="0" borderId="0" xfId="0"/>
    <xf numFmtId="0" fontId="4" fillId="0" borderId="0" xfId="0" applyFont="1" applyAlignment="1">
      <alignment vertical="center" wrapText="1"/>
    </xf>
    <xf numFmtId="0" fontId="5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4" borderId="1" xfId="1" applyAlignment="1">
      <alignment horizontal="center"/>
    </xf>
    <xf numFmtId="0" fontId="3" fillId="4" borderId="5" xfId="1" applyBorder="1" applyAlignment="1">
      <alignment horizontal="center"/>
    </xf>
    <xf numFmtId="0" fontId="3" fillId="4" borderId="0" xfId="1" applyBorder="1" applyAlignment="1">
      <alignment horizontal="center"/>
    </xf>
    <xf numFmtId="0" fontId="3" fillId="4" borderId="2" xfId="1" applyBorder="1" applyAlignment="1">
      <alignment horizontal="center"/>
    </xf>
    <xf numFmtId="0" fontId="3" fillId="4" borderId="4" xfId="1" applyBorder="1" applyAlignment="1">
      <alignment horizontal="center"/>
    </xf>
    <xf numFmtId="0" fontId="3" fillId="4" borderId="3" xfId="1" applyBorder="1" applyAlignment="1">
      <alignment horizontal="center"/>
    </xf>
  </cellXfs>
  <cellStyles count="4">
    <cellStyle name="Calculation" xfId="1" builtinId="22"/>
    <cellStyle name="Good 2" xfId="2" xr:uid="{ADA26BFB-D622-446A-91DE-FAA7BF09EC7E}"/>
    <cellStyle name="Neutral 2" xfId="3" xr:uid="{5727AFA4-E9D0-48FA-A088-E47DA4341A0E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Q202"/>
  <sheetViews>
    <sheetView tabSelected="1" topLeftCell="CE34" zoomScale="70" zoomScaleNormal="70" workbookViewId="0">
      <selection activeCell="CR41" sqref="CR41"/>
    </sheetView>
  </sheetViews>
  <sheetFormatPr defaultRowHeight="15" x14ac:dyDescent="0.25"/>
  <cols>
    <col min="43" max="43" width="23.85546875" customWidth="1"/>
    <col min="44" max="44" width="25.7109375" customWidth="1"/>
    <col min="102" max="102" width="13" bestFit="1" customWidth="1"/>
  </cols>
  <sheetData>
    <row r="1" spans="2:121" x14ac:dyDescent="0.25">
      <c r="B1" s="4" t="s">
        <v>3</v>
      </c>
      <c r="C1" s="4"/>
      <c r="D1" s="4"/>
      <c r="F1" s="4" t="s">
        <v>14</v>
      </c>
      <c r="G1" s="4"/>
      <c r="H1" s="4"/>
      <c r="I1" s="1"/>
      <c r="J1" s="4" t="s">
        <v>6</v>
      </c>
      <c r="K1" s="4"/>
      <c r="L1" s="4"/>
      <c r="M1" s="1"/>
      <c r="N1" s="7" t="s">
        <v>10</v>
      </c>
      <c r="O1" s="9"/>
      <c r="P1" s="1"/>
      <c r="Q1" s="7" t="s">
        <v>11</v>
      </c>
      <c r="R1" s="9"/>
      <c r="S1" s="1"/>
      <c r="T1" s="4" t="s">
        <v>15</v>
      </c>
      <c r="U1" s="4"/>
      <c r="V1" s="4"/>
      <c r="W1" s="1"/>
      <c r="X1" s="4" t="s">
        <v>16</v>
      </c>
      <c r="Y1" s="4"/>
      <c r="Z1" s="4"/>
      <c r="AB1" s="4" t="s">
        <v>20</v>
      </c>
      <c r="AC1" s="4"/>
      <c r="AD1" s="4"/>
      <c r="AE1" s="1"/>
      <c r="AF1" s="4" t="s">
        <v>22</v>
      </c>
      <c r="AG1" s="4"/>
      <c r="AH1" s="4"/>
      <c r="AJ1" s="7" t="s">
        <v>24</v>
      </c>
      <c r="AK1" s="9"/>
      <c r="AM1" s="7" t="s">
        <v>26</v>
      </c>
      <c r="AN1" s="8"/>
      <c r="AO1" s="8"/>
      <c r="AQ1" s="7" t="s">
        <v>30</v>
      </c>
      <c r="AR1" s="8"/>
      <c r="AS1" s="8"/>
      <c r="AU1" s="7" t="s">
        <v>31</v>
      </c>
      <c r="AV1" s="8"/>
      <c r="AW1" s="8"/>
      <c r="AY1" s="4" t="s">
        <v>33</v>
      </c>
      <c r="AZ1" s="4"/>
      <c r="BA1" s="4"/>
      <c r="BC1" s="4" t="s">
        <v>35</v>
      </c>
      <c r="BD1" s="4"/>
      <c r="BE1" s="4"/>
      <c r="BG1" s="4" t="s">
        <v>37</v>
      </c>
      <c r="BH1" s="4"/>
      <c r="BI1" s="4"/>
      <c r="BK1" s="4" t="s">
        <v>40</v>
      </c>
      <c r="BL1" s="4"/>
      <c r="BM1" s="4"/>
      <c r="BO1" s="7" t="s">
        <v>41</v>
      </c>
      <c r="BP1" s="9"/>
      <c r="BR1" s="4" t="s">
        <v>44</v>
      </c>
      <c r="BS1" s="4"/>
      <c r="BT1" s="4"/>
      <c r="BV1" s="5" t="s">
        <v>37</v>
      </c>
      <c r="BW1" s="6"/>
      <c r="BX1" s="6"/>
      <c r="BY1" s="6"/>
      <c r="BZ1" s="6"/>
      <c r="CB1" s="5" t="s">
        <v>50</v>
      </c>
      <c r="CC1" s="6"/>
      <c r="CD1" s="6"/>
      <c r="CE1" s="6"/>
      <c r="CF1" s="6"/>
      <c r="CH1" s="5" t="s">
        <v>22</v>
      </c>
      <c r="CI1" s="6"/>
      <c r="CJ1" s="6"/>
      <c r="CK1" s="6"/>
      <c r="CL1" s="6"/>
      <c r="CM1" s="3"/>
      <c r="CN1" s="4" t="s">
        <v>52</v>
      </c>
      <c r="CO1" s="4"/>
      <c r="CP1" s="4"/>
      <c r="CR1" s="4" t="s">
        <v>54</v>
      </c>
      <c r="CS1" s="4"/>
      <c r="CT1" s="4"/>
      <c r="CV1" s="4" t="s">
        <v>55</v>
      </c>
      <c r="CW1" s="4"/>
      <c r="CX1" s="4"/>
      <c r="CZ1" s="4" t="s">
        <v>57</v>
      </c>
      <c r="DA1" s="4"/>
      <c r="DB1" s="4"/>
      <c r="DD1" s="4" t="s">
        <v>58</v>
      </c>
      <c r="DE1" s="4"/>
      <c r="DF1" s="4"/>
      <c r="DH1" s="4" t="s">
        <v>59</v>
      </c>
      <c r="DI1" s="4"/>
      <c r="DJ1" s="4"/>
      <c r="DL1" s="4" t="s">
        <v>15</v>
      </c>
      <c r="DM1" s="4"/>
      <c r="DN1" s="4"/>
    </row>
    <row r="2" spans="2:121" x14ac:dyDescent="0.25">
      <c r="B2" s="2" t="s">
        <v>0</v>
      </c>
      <c r="C2" s="2" t="s">
        <v>1</v>
      </c>
      <c r="D2" s="2" t="s">
        <v>2</v>
      </c>
      <c r="F2" s="2" t="s">
        <v>1</v>
      </c>
      <c r="G2" s="2" t="s">
        <v>4</v>
      </c>
      <c r="H2" s="2" t="s">
        <v>5</v>
      </c>
      <c r="I2" s="1"/>
      <c r="J2" s="2" t="s">
        <v>7</v>
      </c>
      <c r="K2" s="2" t="s">
        <v>8</v>
      </c>
      <c r="L2" s="2" t="s">
        <v>9</v>
      </c>
      <c r="M2" s="1"/>
      <c r="N2" s="2" t="s">
        <v>0</v>
      </c>
      <c r="O2" s="2" t="s">
        <v>1</v>
      </c>
      <c r="P2" s="1"/>
      <c r="Q2" s="2" t="s">
        <v>12</v>
      </c>
      <c r="R2" s="2" t="s">
        <v>13</v>
      </c>
      <c r="S2" s="1"/>
      <c r="T2" s="2" t="s">
        <v>2</v>
      </c>
      <c r="U2" s="2" t="s">
        <v>13</v>
      </c>
      <c r="V2" s="2" t="s">
        <v>1</v>
      </c>
      <c r="W2" s="1"/>
      <c r="X2" s="2" t="s">
        <v>12</v>
      </c>
      <c r="Y2" s="2" t="s">
        <v>17</v>
      </c>
      <c r="Z2" s="2" t="s">
        <v>13</v>
      </c>
      <c r="AB2" s="2" t="s">
        <v>18</v>
      </c>
      <c r="AC2" s="2" t="s">
        <v>13</v>
      </c>
      <c r="AD2" s="2" t="s">
        <v>19</v>
      </c>
      <c r="AE2" s="1"/>
      <c r="AF2" s="2" t="s">
        <v>21</v>
      </c>
      <c r="AG2" s="2" t="s">
        <v>13</v>
      </c>
      <c r="AH2" s="2" t="s">
        <v>19</v>
      </c>
      <c r="AJ2" s="2" t="s">
        <v>23</v>
      </c>
      <c r="AK2" s="2" t="s">
        <v>19</v>
      </c>
      <c r="AM2" s="2" t="s">
        <v>2</v>
      </c>
      <c r="AN2" s="2" t="s">
        <v>25</v>
      </c>
      <c r="AO2" s="2" t="s">
        <v>1</v>
      </c>
      <c r="AQ2" s="2" t="s">
        <v>27</v>
      </c>
      <c r="AR2" s="2" t="s">
        <v>28</v>
      </c>
      <c r="AS2" s="2" t="s">
        <v>29</v>
      </c>
      <c r="AU2" s="2" t="s">
        <v>0</v>
      </c>
      <c r="AV2" s="2" t="s">
        <v>1</v>
      </c>
      <c r="AW2" s="2" t="s">
        <v>2</v>
      </c>
      <c r="AY2" s="2" t="s">
        <v>32</v>
      </c>
      <c r="AZ2" s="2" t="s">
        <v>13</v>
      </c>
      <c r="BA2" s="2" t="s">
        <v>18</v>
      </c>
      <c r="BC2" s="2" t="s">
        <v>18</v>
      </c>
      <c r="BD2" s="2" t="s">
        <v>17</v>
      </c>
      <c r="BE2" s="2" t="s">
        <v>34</v>
      </c>
      <c r="BG2" s="2" t="s">
        <v>18</v>
      </c>
      <c r="BH2" s="2" t="s">
        <v>36</v>
      </c>
      <c r="BI2" s="2" t="s">
        <v>13</v>
      </c>
      <c r="BK2" s="2" t="s">
        <v>38</v>
      </c>
      <c r="BL2" s="2" t="s">
        <v>39</v>
      </c>
      <c r="BM2" s="2" t="s">
        <v>2</v>
      </c>
      <c r="BO2" s="2" t="s">
        <v>18</v>
      </c>
      <c r="BP2" s="2" t="s">
        <v>28</v>
      </c>
      <c r="BR2" s="2" t="s">
        <v>42</v>
      </c>
      <c r="BS2" s="2" t="s">
        <v>43</v>
      </c>
      <c r="BT2" s="2" t="s">
        <v>13</v>
      </c>
      <c r="BV2" s="2" t="s">
        <v>18</v>
      </c>
      <c r="BW2" s="2" t="s">
        <v>13</v>
      </c>
      <c r="BX2" s="2" t="s">
        <v>19</v>
      </c>
      <c r="BY2" s="2" t="s">
        <v>45</v>
      </c>
      <c r="BZ2" s="2" t="s">
        <v>36</v>
      </c>
      <c r="CB2" s="2" t="s">
        <v>0</v>
      </c>
      <c r="CC2" s="2" t="s">
        <v>1</v>
      </c>
      <c r="CD2" s="2" t="s">
        <v>2</v>
      </c>
      <c r="CE2" s="2" t="s">
        <v>46</v>
      </c>
      <c r="CF2" s="2" t="s">
        <v>47</v>
      </c>
      <c r="CH2" s="2" t="s">
        <v>18</v>
      </c>
      <c r="CI2" s="2" t="s">
        <v>48</v>
      </c>
      <c r="CJ2" s="2" t="s">
        <v>13</v>
      </c>
      <c r="CK2" s="2" t="s">
        <v>19</v>
      </c>
      <c r="CL2" s="2" t="s">
        <v>49</v>
      </c>
      <c r="CM2" s="3"/>
      <c r="CN2" s="2" t="s">
        <v>12</v>
      </c>
      <c r="CO2" s="2" t="s">
        <v>32</v>
      </c>
      <c r="CP2" s="2" t="s">
        <v>51</v>
      </c>
      <c r="CR2" s="2"/>
      <c r="CS2" s="2" t="s">
        <v>53</v>
      </c>
      <c r="CT2" s="2" t="s">
        <v>19</v>
      </c>
      <c r="CV2" s="2" t="s">
        <v>12</v>
      </c>
      <c r="CW2" s="2" t="s">
        <v>13</v>
      </c>
      <c r="CX2" s="2" t="s">
        <v>19</v>
      </c>
      <c r="CZ2" s="2" t="s">
        <v>0</v>
      </c>
      <c r="DA2" s="2" t="s">
        <v>2</v>
      </c>
      <c r="DB2" s="2" t="s">
        <v>56</v>
      </c>
      <c r="DD2" s="2" t="s">
        <v>12</v>
      </c>
      <c r="DE2" s="2" t="s">
        <v>17</v>
      </c>
      <c r="DF2" s="2" t="s">
        <v>19</v>
      </c>
      <c r="DH2" s="2" t="s">
        <v>0</v>
      </c>
      <c r="DI2" s="2" t="s">
        <v>2</v>
      </c>
      <c r="DJ2" s="2" t="s">
        <v>1</v>
      </c>
      <c r="DL2" s="2" t="s">
        <v>2</v>
      </c>
      <c r="DM2" s="2" t="s">
        <v>13</v>
      </c>
      <c r="DN2" s="2" t="s">
        <v>1</v>
      </c>
      <c r="DO2" s="2" t="s">
        <v>60</v>
      </c>
      <c r="DP2" s="2" t="s">
        <v>61</v>
      </c>
      <c r="DQ2" s="2" t="s">
        <v>62</v>
      </c>
    </row>
    <row r="3" spans="2:121" x14ac:dyDescent="0.25">
      <c r="B3">
        <f ca="1">RANDBETWEEN(15,1000)</f>
        <v>664</v>
      </c>
      <c r="C3">
        <f ca="1">RANDBETWEEN(2,52)</f>
        <v>41</v>
      </c>
      <c r="D3">
        <f ca="1">RAND()*(0.3-0.01)+0.01</f>
        <v>0.23974714864948879</v>
      </c>
      <c r="F3" s="1">
        <f ca="1">RANDBETWEEN(2,52)</f>
        <v>6</v>
      </c>
      <c r="G3" s="1">
        <f ca="1">RANDBETWEEN(2,30)</f>
        <v>23</v>
      </c>
      <c r="H3" s="1">
        <f ca="1">RANDBETWEEN(1,15)</f>
        <v>4</v>
      </c>
      <c r="I3" s="1"/>
      <c r="J3" s="1">
        <f ca="1">RANDBETWEEN(1,39)</f>
        <v>12</v>
      </c>
      <c r="K3" s="1">
        <f ca="1">RAND()*(3-1)+1</f>
        <v>2.4697402588305071</v>
      </c>
      <c r="L3" s="1">
        <f ca="1">RANDBETWEEN(2,35)</f>
        <v>30</v>
      </c>
      <c r="M3" s="1"/>
      <c r="N3" s="1">
        <f ca="1">RANDBETWEEN(15,1000)</f>
        <v>734</v>
      </c>
      <c r="O3" s="1">
        <f ca="1">RANDBETWEEN(2,52)</f>
        <v>21</v>
      </c>
      <c r="P3" s="1"/>
      <c r="Q3" s="1">
        <f ca="1">RAND()*(5-0.01)+0.01</f>
        <v>0.43149402223804945</v>
      </c>
      <c r="R3" s="1">
        <f ca="1">RANDBETWEEN(200,1200)</f>
        <v>429</v>
      </c>
      <c r="S3" s="1"/>
      <c r="T3" s="1">
        <f ca="1">RAND()*(0.2-0.01)+0.01</f>
        <v>3.2013138188669368E-2</v>
      </c>
      <c r="U3" s="1">
        <f ca="1">RANDBETWEEN(50,450)</f>
        <v>285</v>
      </c>
      <c r="V3" s="1">
        <f ca="1">RANDBETWEEN(2,52)</f>
        <v>47</v>
      </c>
      <c r="W3" s="1"/>
      <c r="X3" s="1">
        <f ca="1">RAND()*(10-0.01)+0.01</f>
        <v>6.0657232627585058</v>
      </c>
      <c r="Y3" s="1">
        <f ca="1">RAND()*(1-0.0001)+0.0001</f>
        <v>0.22907088173812507</v>
      </c>
      <c r="Z3" s="1">
        <f ca="1">RANDBETWEEN(100,2000)</f>
        <v>1406</v>
      </c>
      <c r="AB3" s="1">
        <f ca="1">RAND()*(1-0.0001)+0.0001</f>
        <v>0.87629451118157153</v>
      </c>
      <c r="AC3" s="1">
        <f ca="1">RANDBETWEEN(100,1000)</f>
        <v>591</v>
      </c>
      <c r="AD3" s="1">
        <f ca="1">RAND()*(0.01-0.00001)+0.00001</f>
        <v>7.1687332805810142E-3</v>
      </c>
      <c r="AE3" s="1"/>
      <c r="AF3" s="1">
        <f ca="1">RAND()*(0.9-0.1)+0.1</f>
        <v>0.7206164736296492</v>
      </c>
      <c r="AG3" s="1">
        <f ca="1">RANDBETWEEN(100,1000)</f>
        <v>545</v>
      </c>
      <c r="AH3" s="1">
        <f ca="1">RAND()*(0.01-0.00001)+0.00001</f>
        <v>3.0262221180191997E-3</v>
      </c>
      <c r="AJ3" s="1">
        <f ca="1">RAND()*(1-0)+0</f>
        <v>0.77357510008639108</v>
      </c>
      <c r="AK3" s="1">
        <f ca="1">RAND()*(0.01-0.00001)+0.00001</f>
        <v>2.6671397315784131E-3</v>
      </c>
      <c r="AM3" s="1">
        <f ca="1">RAND()*(0.2-0.005)+0.005</f>
        <v>0.16512294138322478</v>
      </c>
      <c r="AN3" s="1">
        <f ca="1">RANDBETWEEN(10,80)</f>
        <v>49</v>
      </c>
      <c r="AO3" s="1">
        <f ca="1">RANDBETWEEN(-1,20)</f>
        <v>16</v>
      </c>
      <c r="AQ3" s="1">
        <f ca="1">RANDBETWEEN(10,200)</f>
        <v>44</v>
      </c>
      <c r="AR3" s="1">
        <f ca="1">RANDBETWEEN(0,10)</f>
        <v>3</v>
      </c>
      <c r="AS3" s="1">
        <f ca="1">RANDBETWEEN(1,100)</f>
        <v>35</v>
      </c>
      <c r="AU3" s="1">
        <f ca="1">RANDBETWEEN(50,400)</f>
        <v>295</v>
      </c>
      <c r="AV3" s="1">
        <f ca="1">RANDBETWEEN(2,10)</f>
        <v>4</v>
      </c>
      <c r="AW3" s="1">
        <f ca="1">RAND()*(0.2-0.01)+0.01</f>
        <v>7.748977493741796E-2</v>
      </c>
      <c r="AY3" s="1">
        <f ca="1">RAND()*(2-1.1)+1.1</f>
        <v>1.8895789643786089</v>
      </c>
      <c r="AZ3" s="1">
        <f ca="1">RANDBETWEEN(50,500)</f>
        <v>495</v>
      </c>
      <c r="BA3" s="1">
        <f ca="1">RAND()*(0.01-0.00001)+0.00001</f>
        <v>8.8603937571708428E-3</v>
      </c>
      <c r="BC3" s="1">
        <f ca="1">RAND()*(1-0.0001)+0.0001</f>
        <v>0.45778338270071239</v>
      </c>
      <c r="BD3" s="1">
        <f ca="1">RAND()*(1-0.0001)+0.0001</f>
        <v>0.40070255128246063</v>
      </c>
      <c r="BE3" s="1">
        <f ca="1">RANDBETWEEN(0,2)</f>
        <v>1</v>
      </c>
      <c r="BG3" s="1">
        <f ca="1">RAND()*(1-0.0001)+0.0001</f>
        <v>0.5227642915098184</v>
      </c>
      <c r="BH3" s="1">
        <f ca="1">RAND()*(1-0)+0</f>
        <v>0.43968982648361887</v>
      </c>
      <c r="BI3" s="1">
        <f ca="1">RANDBETWEEN(100,1000)</f>
        <v>827</v>
      </c>
      <c r="BK3" s="1">
        <f ca="1">RANDBETWEEN(100,600)</f>
        <v>425</v>
      </c>
      <c r="BL3" s="1">
        <f ca="1">RANDBETWEEN(3,10)</f>
        <v>3</v>
      </c>
      <c r="BM3" s="1">
        <f ca="1">RAND()*(0.3-0.01)+0.01</f>
        <v>7.1465965236352541E-2</v>
      </c>
      <c r="BO3" s="1">
        <f ca="1">RAND()*(0.1-0.000001)+0.000001</f>
        <v>2.5388225663369492E-2</v>
      </c>
      <c r="BP3" s="1">
        <f ca="1">RANDBETWEEN(0,15)</f>
        <v>6</v>
      </c>
      <c r="BR3" s="1">
        <f ca="1">RAND()*(0.01-0.000001)+0.000001</f>
        <v>3.8924893175393536E-3</v>
      </c>
      <c r="BS3" s="1">
        <f ca="1">RAND()*(0.01-0.000001)+0.000001</f>
        <v>3.8115319619965544E-3</v>
      </c>
      <c r="BT3" s="1">
        <f ca="1">RANDBETWEEN(100,1000)</f>
        <v>745</v>
      </c>
      <c r="BV3" s="1">
        <f ca="1">RAND()*(1-0.0001)+0.0001</f>
        <v>0.69004511325861684</v>
      </c>
      <c r="BW3" s="1">
        <f ca="1">RANDBETWEEN(100,1000)</f>
        <v>804</v>
      </c>
      <c r="BX3" s="1">
        <f ca="1">RAND()*(0.01-0.00001)+0.00001</f>
        <v>7.584465260095331E-3</v>
      </c>
      <c r="BY3" s="1">
        <f ca="1">RAND()*(0.1-0.0001)+0.0001</f>
        <v>8.5259083784084089E-2</v>
      </c>
      <c r="BZ3" s="1">
        <f ca="1">RAND()*(1-0)+0</f>
        <v>5.7752145354163287E-2</v>
      </c>
      <c r="CB3" s="1">
        <f ca="1">RANDBETWEEN(50,500)</f>
        <v>76</v>
      </c>
      <c r="CC3" s="1">
        <f ca="1">RANDBETWEEN(3,15)</f>
        <v>14</v>
      </c>
      <c r="CD3" s="1">
        <f ca="1">RAND()*(0.3-0.01)+0.01</f>
        <v>5.0629669612274414E-2</v>
      </c>
      <c r="CE3" s="1">
        <f ca="1">RAND()*(1-0.5)+0.5</f>
        <v>0.66739563380188804</v>
      </c>
      <c r="CF3" s="1">
        <f ca="1">RAND()*(1-0.5)+0.5</f>
        <v>0.87065387685465234</v>
      </c>
      <c r="CH3" s="3">
        <f ca="1">RAND()*(1-0.0001)+0.0001</f>
        <v>0.63529843590712354</v>
      </c>
      <c r="CI3" s="3">
        <f ca="1">RAND()*(0.99-0.01)+0.01</f>
        <v>0.13351730065933534</v>
      </c>
      <c r="CJ3" s="3">
        <f ca="1">RANDBETWEEN(100,2000)</f>
        <v>1340</v>
      </c>
      <c r="CK3" s="3">
        <f ca="1">RAND()*(0.01-0.000001)+0.000001</f>
        <v>6.5819998548661439E-3</v>
      </c>
      <c r="CL3" s="3">
        <f ca="1">RANDBETWEEN(0,1)</f>
        <v>1</v>
      </c>
      <c r="CM3" s="3"/>
      <c r="CN3" s="1">
        <f ca="1">RAND()*(20-0.1)+0.1</f>
        <v>18.536209745492755</v>
      </c>
      <c r="CO3" s="1">
        <f ca="1">RAND()*(0.5-0.001)+0.001</f>
        <v>9.5669004251802553E-2</v>
      </c>
      <c r="CP3" s="1">
        <f ca="1">RANDBETWEEN(1,5)</f>
        <v>2</v>
      </c>
      <c r="CR3" s="1"/>
      <c r="CS3" s="1">
        <f ca="1">RAND()*(1-0)+0</f>
        <v>0.39259182060890907</v>
      </c>
      <c r="CT3" s="1">
        <f ca="1">RAND()*(0.01-0.000001)+0.000001</f>
        <v>9.8232899897267925E-3</v>
      </c>
      <c r="CV3" s="1">
        <f ca="1">RAND()*(10-0.0001)+0.0001</f>
        <v>6.6403017805347062</v>
      </c>
      <c r="CW3" s="1">
        <f ca="1">RANDBETWEEN(100,2000)</f>
        <v>646</v>
      </c>
      <c r="CX3" s="1">
        <f ca="1">RAND()*(0.01-0.000001)+0.000001</f>
        <v>1.2642653077381014E-3</v>
      </c>
      <c r="CZ3" s="1">
        <f ca="1">RANDBETWEEN(10,500)</f>
        <v>190</v>
      </c>
      <c r="DA3" s="1">
        <f ca="1">RAND()*(1-0.001)+0.001</f>
        <v>6.9850818825619582E-2</v>
      </c>
      <c r="DB3" s="1">
        <f ca="1">RANDBETWEEN(0,2)</f>
        <v>0</v>
      </c>
      <c r="DD3" s="1">
        <f ca="1">RAND()*(10-0.01)+0.01</f>
        <v>3.6915505613768724</v>
      </c>
      <c r="DE3" s="1">
        <f ca="1">RAND()*(1-0.0001)+0.0001</f>
        <v>0.95989425536862694</v>
      </c>
      <c r="DF3" s="1">
        <f ca="1">RAND()*(0.01-0.000001)+0.000001</f>
        <v>7.0169187086378641E-3</v>
      </c>
      <c r="DH3" s="1">
        <f ca="1">RANDBETWEEN(10,900)</f>
        <v>311</v>
      </c>
      <c r="DI3" s="1">
        <f ca="1">RAND()*(1-0.001)+0.001</f>
        <v>0.70565164064397001</v>
      </c>
      <c r="DJ3" s="1">
        <f ca="1">RANDBETWEEN(1,30)</f>
        <v>9</v>
      </c>
      <c r="DL3" s="1">
        <f ca="1">RAND()*(0.2-0.01)+0.01</f>
        <v>0.18525327403172356</v>
      </c>
      <c r="DM3" s="1">
        <f ca="1">RANDBETWEEN(50,300)</f>
        <v>273</v>
      </c>
      <c r="DN3" s="1">
        <f ca="1">RANDBETWEEN(1,10)</f>
        <v>1</v>
      </c>
      <c r="DO3" t="s">
        <v>2</v>
      </c>
      <c r="DP3" t="s">
        <v>63</v>
      </c>
      <c r="DQ3" t="s">
        <v>64</v>
      </c>
    </row>
    <row r="4" spans="2:121" x14ac:dyDescent="0.25">
      <c r="B4">
        <f t="shared" ref="B4:B67" ca="1" si="0">RANDBETWEEN(15,1000)</f>
        <v>806</v>
      </c>
      <c r="C4">
        <f t="shared" ref="C4:C67" ca="1" si="1">RANDBETWEEN(2,52)</f>
        <v>16</v>
      </c>
      <c r="D4">
        <f t="shared" ref="D4:D67" ca="1" si="2">RAND()*(0.3-0.01)+0.01</f>
        <v>2.5737903100833029E-2</v>
      </c>
      <c r="F4" s="1">
        <f t="shared" ref="F4:F67" ca="1" si="3">RANDBETWEEN(2,52)</f>
        <v>31</v>
      </c>
      <c r="G4" s="1">
        <f t="shared" ref="G4:G67" ca="1" si="4">RANDBETWEEN(2,30)</f>
        <v>15</v>
      </c>
      <c r="H4" s="1">
        <f t="shared" ref="H4:H67" ca="1" si="5">RANDBETWEEN(1,15)</f>
        <v>6</v>
      </c>
      <c r="I4" s="1"/>
      <c r="J4" s="1">
        <f t="shared" ref="J4:J67" ca="1" si="6">RANDBETWEEN(1,39)</f>
        <v>38</v>
      </c>
      <c r="K4" s="1">
        <f t="shared" ref="K4:K67" ca="1" si="7">RAND()*(3-1)+1</f>
        <v>2.5684499076423206</v>
      </c>
      <c r="L4" s="1">
        <f t="shared" ref="L4:L67" ca="1" si="8">RANDBETWEEN(2,35)</f>
        <v>31</v>
      </c>
      <c r="M4" s="1"/>
      <c r="N4" s="1">
        <f t="shared" ref="N4:N67" ca="1" si="9">RANDBETWEEN(15,1000)</f>
        <v>438</v>
      </c>
      <c r="O4" s="1">
        <f t="shared" ref="O4:O67" ca="1" si="10">RANDBETWEEN(2,52)</f>
        <v>26</v>
      </c>
      <c r="P4" s="1"/>
      <c r="Q4" s="1">
        <f t="shared" ref="Q4:Q67" ca="1" si="11">RAND()*(5-0.01)+0.01</f>
        <v>2.3387159990811424</v>
      </c>
      <c r="R4" s="1">
        <f t="shared" ref="R4:R67" ca="1" si="12">RANDBETWEEN(200,1200)</f>
        <v>637</v>
      </c>
      <c r="S4" s="1"/>
      <c r="T4" s="1">
        <f t="shared" ref="T4:T67" ca="1" si="13">RAND()*(0.2-0.01)+0.01</f>
        <v>0.14801017818745871</v>
      </c>
      <c r="U4" s="1">
        <f t="shared" ref="U4:U67" ca="1" si="14">RANDBETWEEN(50,450)</f>
        <v>386</v>
      </c>
      <c r="V4" s="1">
        <f t="shared" ref="V4:V67" ca="1" si="15">RANDBETWEEN(2,52)</f>
        <v>2</v>
      </c>
      <c r="W4" s="1"/>
      <c r="X4" s="1">
        <f t="shared" ref="X4:X67" ca="1" si="16">RAND()*(10-0.01)+0.01</f>
        <v>7.2450225102316468</v>
      </c>
      <c r="Y4" s="1">
        <f t="shared" ref="Y4:Y67" ca="1" si="17">RAND()*(1-0.0001)+0.0001</f>
        <v>0.37128705659613265</v>
      </c>
      <c r="Z4" s="1">
        <f t="shared" ref="Z4:Z67" ca="1" si="18">RANDBETWEEN(100,2000)</f>
        <v>1563</v>
      </c>
      <c r="AB4" s="1">
        <f t="shared" ref="AB4:AB67" ca="1" si="19">RAND()*(1-0.0001)+0.0001</f>
        <v>0.45279151675929219</v>
      </c>
      <c r="AC4" s="1">
        <f t="shared" ref="AC4:AC67" ca="1" si="20">RANDBETWEEN(100,1000)</f>
        <v>431</v>
      </c>
      <c r="AD4" s="1">
        <f t="shared" ref="AD4:AD67" ca="1" si="21">RAND()*(0.01-0.00001)+0.00001</f>
        <v>3.4947037998833085E-3</v>
      </c>
      <c r="AE4" s="1"/>
      <c r="AF4" s="1">
        <f t="shared" ref="AF4:AF67" ca="1" si="22">RAND()*(0.9-0.1)+0.1</f>
        <v>0.56767592879080631</v>
      </c>
      <c r="AG4" s="1">
        <f t="shared" ref="AG4:AG67" ca="1" si="23">RANDBETWEEN(100,1000)</f>
        <v>718</v>
      </c>
      <c r="AH4" s="1">
        <f t="shared" ref="AH4:AH67" ca="1" si="24">RAND()*(0.01-0.00001)+0.00001</f>
        <v>1.8088105540591385E-3</v>
      </c>
      <c r="AJ4" s="1">
        <f t="shared" ref="AJ4:AJ67" ca="1" si="25">RAND()*(1-0)+0</f>
        <v>0.9718923579541322</v>
      </c>
      <c r="AK4" s="1">
        <f t="shared" ref="AK4:AK67" ca="1" si="26">RAND()*(0.01-0.00001)+0.00001</f>
        <v>1.441189818600331E-3</v>
      </c>
      <c r="AL4" s="1"/>
      <c r="AM4" s="1">
        <f t="shared" ref="AM4:AM67" ca="1" si="27">RAND()*(0.2-0.005)+0.005</f>
        <v>0.1693862886022931</v>
      </c>
      <c r="AN4" s="1">
        <f t="shared" ref="AN4:AN67" ca="1" si="28">RANDBETWEEN(10,80)</f>
        <v>78</v>
      </c>
      <c r="AO4" s="1">
        <f t="shared" ref="AO4:AO67" ca="1" si="29">RANDBETWEEN(-1,20)</f>
        <v>13</v>
      </c>
      <c r="AQ4" s="1">
        <f t="shared" ref="AQ4:AQ67" ca="1" si="30">RANDBETWEEN(10,200)</f>
        <v>177</v>
      </c>
      <c r="AR4" s="1">
        <f t="shared" ref="AR4:AR67" ca="1" si="31">RANDBETWEEN(0,10)</f>
        <v>0</v>
      </c>
      <c r="AS4" s="1">
        <f t="shared" ref="AS4:AS67" ca="1" si="32">RANDBETWEEN(1,100)</f>
        <v>67</v>
      </c>
      <c r="AU4" s="1">
        <f t="shared" ref="AU4:AU67" ca="1" si="33">RANDBETWEEN(50,400)</f>
        <v>50</v>
      </c>
      <c r="AV4" s="1">
        <f t="shared" ref="AV4:AV67" ca="1" si="34">RANDBETWEEN(2,10)</f>
        <v>8</v>
      </c>
      <c r="AW4" s="1">
        <f t="shared" ref="AW4:AW67" ca="1" si="35">RAND()*(0.2-0.01)+0.01</f>
        <v>2.7587915556628186E-2</v>
      </c>
      <c r="AY4" s="1">
        <f t="shared" ref="AY4:AY67" ca="1" si="36">RAND()*(2-1.1)+1.1</f>
        <v>1.7911009526531578</v>
      </c>
      <c r="AZ4" s="1">
        <f t="shared" ref="AZ4:AZ67" ca="1" si="37">RANDBETWEEN(50,500)</f>
        <v>398</v>
      </c>
      <c r="BA4" s="1">
        <f t="shared" ref="BA4:BA67" ca="1" si="38">RAND()*(0.01-0.00001)+0.00001</f>
        <v>8.0153530961555291E-3</v>
      </c>
      <c r="BG4" s="1">
        <f t="shared" ref="BG4:BG67" ca="1" si="39">RAND()*(1-0.0001)+0.0001</f>
        <v>1.6419914534699424E-2</v>
      </c>
      <c r="BH4" s="1">
        <f t="shared" ref="BH4:BH67" ca="1" si="40">RAND()*(1-0)+0</f>
        <v>0.21378689675137486</v>
      </c>
      <c r="BI4" s="1">
        <f t="shared" ref="BI4:BI67" ca="1" si="41">RANDBETWEEN(100,1000)</f>
        <v>432</v>
      </c>
      <c r="BV4" s="1">
        <f t="shared" ref="BV4:BV67" ca="1" si="42">RAND()*(1-0.0001)+0.0001</f>
        <v>1.8127283153955894E-2</v>
      </c>
      <c r="BW4" s="1">
        <f t="shared" ref="BW4:BW67" ca="1" si="43">RANDBETWEEN(100,1000)</f>
        <v>158</v>
      </c>
      <c r="BX4" s="1">
        <f t="shared" ref="BX4:BX67" ca="1" si="44">RAND()*(0.01-0.00001)+0.00001</f>
        <v>1.4739152826981005E-3</v>
      </c>
      <c r="BY4" s="1">
        <f t="shared" ref="BY4:BY67" ca="1" si="45">RAND()*(0.1-0.0001)+0.0001</f>
        <v>3.8440835693464945E-2</v>
      </c>
      <c r="BZ4" s="1">
        <f t="shared" ref="BZ4:BZ67" ca="1" si="46">RAND()*(1-0)+0</f>
        <v>0.20967623478563191</v>
      </c>
      <c r="CB4" s="1">
        <f t="shared" ref="CB4:CB67" ca="1" si="47">RANDBETWEEN(50,500)</f>
        <v>75</v>
      </c>
      <c r="CC4" s="1">
        <f t="shared" ref="CC4:CC67" ca="1" si="48">RANDBETWEEN(3,15)</f>
        <v>4</v>
      </c>
      <c r="CD4" s="1">
        <f t="shared" ref="CD4:CD67" ca="1" si="49">RAND()*(0.3-0.01)+0.01</f>
        <v>8.2976036735082151E-2</v>
      </c>
      <c r="CE4" s="1">
        <f t="shared" ref="CE4:CF35" ca="1" si="50">RAND()*(1-0.5)+0.5</f>
        <v>0.5283507196886098</v>
      </c>
      <c r="CF4" s="1">
        <f t="shared" ca="1" si="50"/>
        <v>0.61146505816483265</v>
      </c>
      <c r="CH4" s="3">
        <f t="shared" ref="CH4:CH67" ca="1" si="51">RAND()*(1-0.0001)+0.0001</f>
        <v>0.45719425387384421</v>
      </c>
      <c r="CI4" s="3">
        <f t="shared" ref="CI4:CI67" ca="1" si="52">RAND()*(0.99-0.01)+0.01</f>
        <v>0.45739586075404898</v>
      </c>
      <c r="CJ4" s="3">
        <f t="shared" ref="CJ4:CJ67" ca="1" si="53">RANDBETWEEN(100,2000)</f>
        <v>1089</v>
      </c>
      <c r="CK4" s="3">
        <f t="shared" ref="CK4:CK67" ca="1" si="54">RAND()*(0.01-0.000001)+0.000001</f>
        <v>6.5453240880890902E-4</v>
      </c>
      <c r="CL4" s="3">
        <f t="shared" ref="CL4:CL67" ca="1" si="55">RANDBETWEEN(0,1)</f>
        <v>1</v>
      </c>
      <c r="CM4" s="3"/>
      <c r="CN4" s="1">
        <f t="shared" ref="CN4:CN67" ca="1" si="56">RAND()*(20-0.1)+0.1</f>
        <v>9.9482200497432345</v>
      </c>
      <c r="CO4" s="1">
        <f t="shared" ref="CO4:CO67" ca="1" si="57">RAND()*(0.5-0.001)+0.001</f>
        <v>0.18176725509868985</v>
      </c>
      <c r="CP4" s="1">
        <f t="shared" ref="CP4:CP67" ca="1" si="58">RANDBETWEEN(1,5)</f>
        <v>4</v>
      </c>
      <c r="CV4" s="1">
        <f t="shared" ref="CV4:CV67" ca="1" si="59">RAND()*(10-0.0001)+0.0001</f>
        <v>9.0482376674509357</v>
      </c>
      <c r="CW4" s="1">
        <f t="shared" ref="CW4:CW67" ca="1" si="60">RANDBETWEEN(100,2000)</f>
        <v>505</v>
      </c>
      <c r="CX4" s="1">
        <f t="shared" ref="CX4:CX67" ca="1" si="61">RAND()*(0.01-0.000001)+0.000001</f>
        <v>4.5816204304299718E-3</v>
      </c>
      <c r="DH4" s="1">
        <f t="shared" ref="DH4:DH67" ca="1" si="62">RANDBETWEEN(10,900)</f>
        <v>213</v>
      </c>
      <c r="DI4" s="1">
        <f t="shared" ref="DI4:DI67" ca="1" si="63">RAND()*(1-0.001)+0.001</f>
        <v>0.75353975685526753</v>
      </c>
      <c r="DJ4" s="1">
        <f t="shared" ref="DJ4:DJ67" ca="1" si="64">RANDBETWEEN(1,30)</f>
        <v>2</v>
      </c>
      <c r="DL4" s="1">
        <f t="shared" ref="DL4:DL67" ca="1" si="65">RAND()*(0.2-0.01)+0.01</f>
        <v>0.1301307844343369</v>
      </c>
      <c r="DM4" s="1">
        <f t="shared" ref="DM4:DM67" ca="1" si="66">RANDBETWEEN(50,300)</f>
        <v>180</v>
      </c>
      <c r="DN4" s="1">
        <f t="shared" ref="DN4:DN67" ca="1" si="67">RANDBETWEEN(1,10)</f>
        <v>3</v>
      </c>
      <c r="DO4" t="s">
        <v>13</v>
      </c>
      <c r="DP4" t="s">
        <v>65</v>
      </c>
      <c r="DQ4" t="s">
        <v>66</v>
      </c>
    </row>
    <row r="5" spans="2:121" x14ac:dyDescent="0.25">
      <c r="B5">
        <f t="shared" ca="1" si="0"/>
        <v>936</v>
      </c>
      <c r="C5">
        <f t="shared" ca="1" si="1"/>
        <v>28</v>
      </c>
      <c r="D5">
        <f t="shared" ca="1" si="2"/>
        <v>0.29572919735257691</v>
      </c>
      <c r="F5" s="1">
        <f t="shared" ca="1" si="3"/>
        <v>34</v>
      </c>
      <c r="G5" s="1">
        <f t="shared" ca="1" si="4"/>
        <v>15</v>
      </c>
      <c r="H5" s="1">
        <f t="shared" ca="1" si="5"/>
        <v>4</v>
      </c>
      <c r="I5" s="1"/>
      <c r="J5" s="1">
        <f t="shared" ca="1" si="6"/>
        <v>31</v>
      </c>
      <c r="K5" s="1">
        <f t="shared" ca="1" si="7"/>
        <v>1.4776515968959352</v>
      </c>
      <c r="L5" s="1">
        <f t="shared" ca="1" si="8"/>
        <v>26</v>
      </c>
      <c r="M5" s="1"/>
      <c r="N5" s="1">
        <f t="shared" ca="1" si="9"/>
        <v>59</v>
      </c>
      <c r="O5" s="1">
        <f t="shared" ca="1" si="10"/>
        <v>50</v>
      </c>
      <c r="P5" s="1"/>
      <c r="Q5" s="1">
        <f t="shared" ca="1" si="11"/>
        <v>3.9155886561502484</v>
      </c>
      <c r="R5" s="1">
        <f t="shared" ca="1" si="12"/>
        <v>732</v>
      </c>
      <c r="S5" s="1"/>
      <c r="T5" s="1">
        <f t="shared" ca="1" si="13"/>
        <v>0.15491075758664291</v>
      </c>
      <c r="U5" s="1">
        <f t="shared" ca="1" si="14"/>
        <v>218</v>
      </c>
      <c r="V5" s="1">
        <f t="shared" ca="1" si="15"/>
        <v>10</v>
      </c>
      <c r="W5" s="1"/>
      <c r="X5" s="1">
        <f t="shared" ca="1" si="16"/>
        <v>5.9708824624702554</v>
      </c>
      <c r="Y5" s="1">
        <f t="shared" ca="1" si="17"/>
        <v>0.62615549225537492</v>
      </c>
      <c r="Z5" s="1">
        <f t="shared" ca="1" si="18"/>
        <v>803</v>
      </c>
      <c r="AB5" s="1">
        <f t="shared" ca="1" si="19"/>
        <v>0.16754903475933294</v>
      </c>
      <c r="AC5" s="1">
        <f t="shared" ca="1" si="20"/>
        <v>277</v>
      </c>
      <c r="AD5" s="1">
        <f t="shared" ca="1" si="21"/>
        <v>1.4907887581779313E-3</v>
      </c>
      <c r="AE5" s="1"/>
      <c r="AF5" s="1">
        <f t="shared" ca="1" si="22"/>
        <v>0.89869349004181376</v>
      </c>
      <c r="AG5" s="1">
        <f t="shared" ca="1" si="23"/>
        <v>244</v>
      </c>
      <c r="AH5" s="1">
        <f t="shared" ca="1" si="24"/>
        <v>4.6587763633928183E-3</v>
      </c>
      <c r="AJ5" s="1">
        <f t="shared" ca="1" si="25"/>
        <v>0.40873174037631033</v>
      </c>
      <c r="AK5" s="1">
        <f t="shared" ca="1" si="26"/>
        <v>5.0793231799138097E-3</v>
      </c>
      <c r="AL5" s="1"/>
      <c r="AM5" s="1">
        <f t="shared" ca="1" si="27"/>
        <v>0.11419772870727579</v>
      </c>
      <c r="AN5" s="1">
        <f t="shared" ca="1" si="28"/>
        <v>32</v>
      </c>
      <c r="AO5" s="1">
        <f t="shared" ca="1" si="29"/>
        <v>12</v>
      </c>
      <c r="AQ5" s="1">
        <f t="shared" ca="1" si="30"/>
        <v>145</v>
      </c>
      <c r="AR5" s="1">
        <f t="shared" ca="1" si="31"/>
        <v>5</v>
      </c>
      <c r="AS5" s="1">
        <f t="shared" ca="1" si="32"/>
        <v>97</v>
      </c>
      <c r="AU5" s="1">
        <f t="shared" ca="1" si="33"/>
        <v>214</v>
      </c>
      <c r="AV5" s="1">
        <f t="shared" ca="1" si="34"/>
        <v>10</v>
      </c>
      <c r="AW5" s="1">
        <f t="shared" ca="1" si="35"/>
        <v>0.11897041109164018</v>
      </c>
      <c r="AY5" s="1">
        <f t="shared" ca="1" si="36"/>
        <v>1.5581963372717296</v>
      </c>
      <c r="AZ5" s="1">
        <f t="shared" ca="1" si="37"/>
        <v>313</v>
      </c>
      <c r="BA5" s="1">
        <f t="shared" ca="1" si="38"/>
        <v>2.6669031198136932E-3</v>
      </c>
      <c r="BG5" s="1">
        <f t="shared" ca="1" si="39"/>
        <v>0.73301114441372528</v>
      </c>
      <c r="BH5" s="1">
        <f t="shared" ca="1" si="40"/>
        <v>0.23282487720430922</v>
      </c>
      <c r="BI5" s="1">
        <f t="shared" ca="1" si="41"/>
        <v>435</v>
      </c>
      <c r="BV5" s="1">
        <f t="shared" ca="1" si="42"/>
        <v>0.88564887608846765</v>
      </c>
      <c r="BW5" s="1">
        <f t="shared" ca="1" si="43"/>
        <v>240</v>
      </c>
      <c r="BX5" s="1">
        <f t="shared" ca="1" si="44"/>
        <v>2.0631375526174289E-3</v>
      </c>
      <c r="BY5" s="1">
        <f t="shared" ca="1" si="45"/>
        <v>4.9252218593749869E-2</v>
      </c>
      <c r="BZ5" s="1">
        <f t="shared" ca="1" si="46"/>
        <v>0.53812202457173797</v>
      </c>
      <c r="CB5" s="1">
        <f t="shared" ca="1" si="47"/>
        <v>369</v>
      </c>
      <c r="CC5" s="1">
        <f t="shared" ca="1" si="48"/>
        <v>7</v>
      </c>
      <c r="CD5" s="1">
        <f t="shared" ca="1" si="49"/>
        <v>5.6152037127959187E-2</v>
      </c>
      <c r="CE5" s="1">
        <f t="shared" ca="1" si="50"/>
        <v>0.731679087105362</v>
      </c>
      <c r="CF5" s="1">
        <f t="shared" ca="1" si="50"/>
        <v>0.76418889270780177</v>
      </c>
      <c r="CH5" s="3">
        <f t="shared" ca="1" si="51"/>
        <v>0.96133303416766724</v>
      </c>
      <c r="CI5" s="3">
        <f t="shared" ca="1" si="52"/>
        <v>0.69827252163447662</v>
      </c>
      <c r="CJ5" s="3">
        <f t="shared" ca="1" si="53"/>
        <v>325</v>
      </c>
      <c r="CK5" s="3">
        <f t="shared" ca="1" si="54"/>
        <v>5.7672061132577404E-3</v>
      </c>
      <c r="CL5" s="3">
        <f t="shared" ca="1" si="55"/>
        <v>0</v>
      </c>
      <c r="CM5" s="3"/>
      <c r="CN5" s="1">
        <f t="shared" ca="1" si="56"/>
        <v>19.570328780153684</v>
      </c>
      <c r="CO5" s="1">
        <f t="shared" ca="1" si="57"/>
        <v>0.47326994280251533</v>
      </c>
      <c r="CP5" s="1">
        <f t="shared" ca="1" si="58"/>
        <v>2</v>
      </c>
      <c r="CV5" s="1">
        <f t="shared" ca="1" si="59"/>
        <v>4.2698708602569546</v>
      </c>
      <c r="CW5" s="1">
        <f t="shared" ca="1" si="60"/>
        <v>403</v>
      </c>
      <c r="CX5" s="1">
        <f t="shared" ca="1" si="61"/>
        <v>7.1709217206657799E-3</v>
      </c>
      <c r="DH5" s="1">
        <f t="shared" ca="1" si="62"/>
        <v>448</v>
      </c>
      <c r="DI5" s="1">
        <f t="shared" ca="1" si="63"/>
        <v>0.9332848149196995</v>
      </c>
      <c r="DJ5" s="1">
        <f t="shared" ca="1" si="64"/>
        <v>29</v>
      </c>
      <c r="DL5" s="1">
        <f t="shared" ca="1" si="65"/>
        <v>0.18791372199651005</v>
      </c>
      <c r="DM5" s="1">
        <f t="shared" ca="1" si="66"/>
        <v>278</v>
      </c>
      <c r="DN5" s="1">
        <f t="shared" ca="1" si="67"/>
        <v>8</v>
      </c>
      <c r="DO5" t="s">
        <v>1</v>
      </c>
      <c r="DP5" t="s">
        <v>65</v>
      </c>
      <c r="DQ5" t="s">
        <v>67</v>
      </c>
    </row>
    <row r="6" spans="2:121" x14ac:dyDescent="0.25">
      <c r="B6">
        <f t="shared" ca="1" si="0"/>
        <v>842</v>
      </c>
      <c r="C6">
        <f t="shared" ca="1" si="1"/>
        <v>32</v>
      </c>
      <c r="D6">
        <f t="shared" ca="1" si="2"/>
        <v>0.1486018900508968</v>
      </c>
      <c r="F6" s="1">
        <f t="shared" ca="1" si="3"/>
        <v>48</v>
      </c>
      <c r="G6" s="1">
        <f t="shared" ca="1" si="4"/>
        <v>27</v>
      </c>
      <c r="H6" s="1">
        <f t="shared" ca="1" si="5"/>
        <v>13</v>
      </c>
      <c r="I6" s="1"/>
      <c r="J6" s="1">
        <f t="shared" ca="1" si="6"/>
        <v>18</v>
      </c>
      <c r="K6" s="1">
        <f t="shared" ca="1" si="7"/>
        <v>1.4807260741502146</v>
      </c>
      <c r="L6" s="1">
        <f t="shared" ca="1" si="8"/>
        <v>8</v>
      </c>
      <c r="M6" s="1"/>
      <c r="N6" s="1">
        <f t="shared" ca="1" si="9"/>
        <v>957</v>
      </c>
      <c r="O6" s="1">
        <f t="shared" ca="1" si="10"/>
        <v>52</v>
      </c>
      <c r="P6" s="1"/>
      <c r="Q6" s="1">
        <f t="shared" ca="1" si="11"/>
        <v>2.4962163887658595</v>
      </c>
      <c r="R6" s="1">
        <f t="shared" ca="1" si="12"/>
        <v>1025</v>
      </c>
      <c r="S6" s="1"/>
      <c r="T6" s="1">
        <f t="shared" ca="1" si="13"/>
        <v>0.16290566728008329</v>
      </c>
      <c r="U6" s="1">
        <f t="shared" ca="1" si="14"/>
        <v>317</v>
      </c>
      <c r="V6" s="1">
        <f t="shared" ca="1" si="15"/>
        <v>39</v>
      </c>
      <c r="W6" s="1"/>
      <c r="X6" s="1">
        <f t="shared" ca="1" si="16"/>
        <v>4.4497524261704431</v>
      </c>
      <c r="Y6" s="1">
        <f t="shared" ca="1" si="17"/>
        <v>0.51043168617849444</v>
      </c>
      <c r="Z6" s="1">
        <f t="shared" ca="1" si="18"/>
        <v>1549</v>
      </c>
      <c r="AB6" s="1">
        <f t="shared" ca="1" si="19"/>
        <v>6.9427049938127261E-2</v>
      </c>
      <c r="AC6" s="1">
        <f t="shared" ca="1" si="20"/>
        <v>188</v>
      </c>
      <c r="AD6" s="1">
        <f t="shared" ca="1" si="21"/>
        <v>7.5309338803804179E-3</v>
      </c>
      <c r="AE6" s="1"/>
      <c r="AF6" s="1">
        <f t="shared" ca="1" si="22"/>
        <v>0.78249080860384124</v>
      </c>
      <c r="AG6" s="1">
        <f t="shared" ca="1" si="23"/>
        <v>402</v>
      </c>
      <c r="AH6" s="1">
        <f t="shared" ca="1" si="24"/>
        <v>2.9236539730783883E-3</v>
      </c>
      <c r="AJ6" s="1">
        <f t="shared" ca="1" si="25"/>
        <v>0.28484519507744943</v>
      </c>
      <c r="AK6" s="1">
        <f t="shared" ca="1" si="26"/>
        <v>3.1726803917903165E-3</v>
      </c>
      <c r="AL6" s="1"/>
      <c r="AM6" s="1">
        <f t="shared" ca="1" si="27"/>
        <v>0.11336932873749572</v>
      </c>
      <c r="AN6" s="1">
        <f t="shared" ca="1" si="28"/>
        <v>52</v>
      </c>
      <c r="AO6" s="1">
        <f t="shared" ca="1" si="29"/>
        <v>-1</v>
      </c>
      <c r="AQ6" s="1">
        <f t="shared" ca="1" si="30"/>
        <v>121</v>
      </c>
      <c r="AR6" s="1">
        <f t="shared" ca="1" si="31"/>
        <v>1</v>
      </c>
      <c r="AS6" s="1">
        <f t="shared" ca="1" si="32"/>
        <v>8</v>
      </c>
      <c r="AU6" s="1">
        <f t="shared" ca="1" si="33"/>
        <v>177</v>
      </c>
      <c r="AV6" s="1">
        <f t="shared" ca="1" si="34"/>
        <v>2</v>
      </c>
      <c r="AW6" s="1">
        <f t="shared" ca="1" si="35"/>
        <v>5.5851041175807747E-2</v>
      </c>
      <c r="AY6" s="1">
        <f t="shared" ca="1" si="36"/>
        <v>1.4277365549056347</v>
      </c>
      <c r="AZ6" s="1">
        <f t="shared" ca="1" si="37"/>
        <v>69</v>
      </c>
      <c r="BA6" s="1">
        <f t="shared" ca="1" si="38"/>
        <v>9.2656272004130024E-3</v>
      </c>
      <c r="BG6" s="1">
        <f t="shared" ca="1" si="39"/>
        <v>0.93792120603221507</v>
      </c>
      <c r="BH6" s="1">
        <f t="shared" ca="1" si="40"/>
        <v>0.22396470392081391</v>
      </c>
      <c r="BI6" s="1">
        <f t="shared" ca="1" si="41"/>
        <v>185</v>
      </c>
      <c r="BV6" s="1">
        <f t="shared" ca="1" si="42"/>
        <v>0.31607071421433863</v>
      </c>
      <c r="BW6" s="1">
        <f t="shared" ca="1" si="43"/>
        <v>735</v>
      </c>
      <c r="BX6" s="1">
        <f t="shared" ca="1" si="44"/>
        <v>4.8130262859898652E-3</v>
      </c>
      <c r="BY6" s="1">
        <f t="shared" ca="1" si="45"/>
        <v>1.7242891851517183E-2</v>
      </c>
      <c r="BZ6" s="1">
        <f t="shared" ca="1" si="46"/>
        <v>0.8837100434194799</v>
      </c>
      <c r="CB6" s="1">
        <f t="shared" ca="1" si="47"/>
        <v>386</v>
      </c>
      <c r="CC6" s="1">
        <f t="shared" ca="1" si="48"/>
        <v>9</v>
      </c>
      <c r="CD6" s="1">
        <f t="shared" ca="1" si="49"/>
        <v>0.19481830201967154</v>
      </c>
      <c r="CE6" s="1">
        <f t="shared" ca="1" si="50"/>
        <v>0.95048327882509098</v>
      </c>
      <c r="CF6" s="1">
        <f t="shared" ca="1" si="50"/>
        <v>0.90260626891839446</v>
      </c>
      <c r="CH6" s="3">
        <f t="shared" ca="1" si="51"/>
        <v>3.7542728828789555E-2</v>
      </c>
      <c r="CI6" s="3">
        <f t="shared" ca="1" si="52"/>
        <v>0.20673071495649692</v>
      </c>
      <c r="CJ6" s="3">
        <f t="shared" ca="1" si="53"/>
        <v>180</v>
      </c>
      <c r="CK6" s="3">
        <f t="shared" ca="1" si="54"/>
        <v>3.1676920237938676E-3</v>
      </c>
      <c r="CL6" s="3">
        <f t="shared" ca="1" si="55"/>
        <v>0</v>
      </c>
      <c r="CM6" s="3"/>
      <c r="CN6" s="1">
        <f t="shared" ca="1" si="56"/>
        <v>11.778113630105111</v>
      </c>
      <c r="CO6" s="1">
        <f t="shared" ca="1" si="57"/>
        <v>0.28325982428102381</v>
      </c>
      <c r="CP6" s="1">
        <f t="shared" ca="1" si="58"/>
        <v>3</v>
      </c>
      <c r="CV6" s="1">
        <f t="shared" ca="1" si="59"/>
        <v>3.3219645680581911</v>
      </c>
      <c r="CW6" s="1">
        <f t="shared" ca="1" si="60"/>
        <v>1861</v>
      </c>
      <c r="CX6" s="1">
        <f t="shared" ca="1" si="61"/>
        <v>9.633094777996256E-3</v>
      </c>
      <c r="DH6" s="1">
        <f t="shared" ca="1" si="62"/>
        <v>488</v>
      </c>
      <c r="DI6" s="1">
        <f t="shared" ca="1" si="63"/>
        <v>0.1854650709441952</v>
      </c>
      <c r="DJ6" s="1">
        <f t="shared" ca="1" si="64"/>
        <v>16</v>
      </c>
      <c r="DL6" s="1">
        <f t="shared" ca="1" si="65"/>
        <v>9.9388546688560966E-2</v>
      </c>
      <c r="DM6" s="1">
        <f t="shared" ca="1" si="66"/>
        <v>58</v>
      </c>
      <c r="DN6" s="1">
        <f t="shared" ca="1" si="67"/>
        <v>6</v>
      </c>
    </row>
    <row r="7" spans="2:121" x14ac:dyDescent="0.25">
      <c r="B7">
        <f t="shared" ca="1" si="0"/>
        <v>642</v>
      </c>
      <c r="C7">
        <f t="shared" ca="1" si="1"/>
        <v>50</v>
      </c>
      <c r="D7">
        <f t="shared" ca="1" si="2"/>
        <v>0.21347304399058575</v>
      </c>
      <c r="F7" s="1">
        <f t="shared" ca="1" si="3"/>
        <v>5</v>
      </c>
      <c r="G7" s="1">
        <f t="shared" ca="1" si="4"/>
        <v>18</v>
      </c>
      <c r="H7" s="1">
        <f t="shared" ca="1" si="5"/>
        <v>15</v>
      </c>
      <c r="I7" s="1"/>
      <c r="J7" s="1">
        <f t="shared" ca="1" si="6"/>
        <v>36</v>
      </c>
      <c r="K7" s="1">
        <f t="shared" ca="1" si="7"/>
        <v>1.1556690962563694</v>
      </c>
      <c r="L7" s="1">
        <f t="shared" ca="1" si="8"/>
        <v>3</v>
      </c>
      <c r="M7" s="1"/>
      <c r="N7" s="1">
        <f t="shared" ca="1" si="9"/>
        <v>995</v>
      </c>
      <c r="O7" s="1">
        <f t="shared" ca="1" si="10"/>
        <v>40</v>
      </c>
      <c r="P7" s="1"/>
      <c r="Q7" s="1">
        <f t="shared" ca="1" si="11"/>
        <v>1.2318410391050278</v>
      </c>
      <c r="R7" s="1">
        <f t="shared" ca="1" si="12"/>
        <v>499</v>
      </c>
      <c r="S7" s="1"/>
      <c r="T7" s="1">
        <f t="shared" ca="1" si="13"/>
        <v>6.2464518961425283E-2</v>
      </c>
      <c r="U7" s="1">
        <f t="shared" ca="1" si="14"/>
        <v>90</v>
      </c>
      <c r="V7" s="1">
        <f t="shared" ca="1" si="15"/>
        <v>32</v>
      </c>
      <c r="W7" s="1"/>
      <c r="X7" s="1">
        <f t="shared" ca="1" si="16"/>
        <v>3.2529519114436556</v>
      </c>
      <c r="Y7" s="1">
        <f t="shared" ca="1" si="17"/>
        <v>0.21782674327281357</v>
      </c>
      <c r="Z7" s="1">
        <f t="shared" ca="1" si="18"/>
        <v>784</v>
      </c>
      <c r="AB7" s="1">
        <f t="shared" ca="1" si="19"/>
        <v>0.46140812017069532</v>
      </c>
      <c r="AC7" s="1">
        <f t="shared" ca="1" si="20"/>
        <v>933</v>
      </c>
      <c r="AD7" s="1">
        <f t="shared" ca="1" si="21"/>
        <v>1.90168262526165E-3</v>
      </c>
      <c r="AE7" s="1"/>
      <c r="AF7" s="1">
        <f t="shared" ca="1" si="22"/>
        <v>0.84147966431958776</v>
      </c>
      <c r="AG7" s="1">
        <f t="shared" ca="1" si="23"/>
        <v>192</v>
      </c>
      <c r="AH7" s="1">
        <f t="shared" ca="1" si="24"/>
        <v>7.8679944846304119E-3</v>
      </c>
      <c r="AJ7" s="1">
        <f t="shared" ca="1" si="25"/>
        <v>0.15508585240355377</v>
      </c>
      <c r="AK7" s="1">
        <f t="shared" ca="1" si="26"/>
        <v>2.2409183930480296E-3</v>
      </c>
      <c r="AL7" s="1"/>
      <c r="AM7" s="1">
        <f t="shared" ca="1" si="27"/>
        <v>2.1841009683720779E-2</v>
      </c>
      <c r="AN7" s="1">
        <f t="shared" ca="1" si="28"/>
        <v>25</v>
      </c>
      <c r="AO7" s="1">
        <f t="shared" ca="1" si="29"/>
        <v>0</v>
      </c>
      <c r="AQ7" s="1">
        <f t="shared" ca="1" si="30"/>
        <v>40</v>
      </c>
      <c r="AR7" s="1">
        <f t="shared" ca="1" si="31"/>
        <v>5</v>
      </c>
      <c r="AS7" s="1">
        <f t="shared" ca="1" si="32"/>
        <v>5</v>
      </c>
      <c r="AU7" s="1">
        <f t="shared" ca="1" si="33"/>
        <v>210</v>
      </c>
      <c r="AV7" s="1">
        <f t="shared" ca="1" si="34"/>
        <v>9</v>
      </c>
      <c r="AW7" s="1">
        <f t="shared" ca="1" si="35"/>
        <v>0.16191290646219333</v>
      </c>
      <c r="AY7" s="1">
        <f t="shared" ca="1" si="36"/>
        <v>1.453435355031272</v>
      </c>
      <c r="AZ7" s="1">
        <f t="shared" ca="1" si="37"/>
        <v>388</v>
      </c>
      <c r="BA7" s="1">
        <f t="shared" ca="1" si="38"/>
        <v>8.1830724327892727E-3</v>
      </c>
      <c r="BG7" s="1">
        <f t="shared" ca="1" si="39"/>
        <v>0.97475999940763713</v>
      </c>
      <c r="BH7" s="1">
        <f t="shared" ca="1" si="40"/>
        <v>0.39593886902886133</v>
      </c>
      <c r="BI7" s="1">
        <f t="shared" ca="1" si="41"/>
        <v>286</v>
      </c>
      <c r="BV7" s="1">
        <f t="shared" ca="1" si="42"/>
        <v>0.12708088782285701</v>
      </c>
      <c r="BW7" s="1">
        <f t="shared" ca="1" si="43"/>
        <v>404</v>
      </c>
      <c r="BX7" s="1">
        <f t="shared" ca="1" si="44"/>
        <v>6.4483605721063052E-3</v>
      </c>
      <c r="BY7" s="1">
        <f t="shared" ca="1" si="45"/>
        <v>6.0427346674112335E-2</v>
      </c>
      <c r="BZ7" s="1">
        <f t="shared" ca="1" si="46"/>
        <v>0.77799295449659356</v>
      </c>
      <c r="CB7" s="1">
        <f t="shared" ca="1" si="47"/>
        <v>399</v>
      </c>
      <c r="CC7" s="1">
        <f t="shared" ca="1" si="48"/>
        <v>11</v>
      </c>
      <c r="CD7" s="1">
        <f t="shared" ca="1" si="49"/>
        <v>0.25393911287653653</v>
      </c>
      <c r="CE7" s="1">
        <f t="shared" ca="1" si="50"/>
        <v>0.89496827115355959</v>
      </c>
      <c r="CF7" s="1">
        <f t="shared" ca="1" si="50"/>
        <v>0.70212569041414041</v>
      </c>
      <c r="CH7" s="3">
        <f t="shared" ca="1" si="51"/>
        <v>0.11371366256526107</v>
      </c>
      <c r="CI7" s="3">
        <f t="shared" ca="1" si="52"/>
        <v>0.98480493516740375</v>
      </c>
      <c r="CJ7" s="3">
        <f t="shared" ca="1" si="53"/>
        <v>1796</v>
      </c>
      <c r="CK7" s="3">
        <f t="shared" ca="1" si="54"/>
        <v>1.9134362158306048E-3</v>
      </c>
      <c r="CL7" s="3">
        <f t="shared" ca="1" si="55"/>
        <v>1</v>
      </c>
      <c r="CM7" s="3"/>
      <c r="CN7" s="1">
        <f t="shared" ca="1" si="56"/>
        <v>10.049663233424763</v>
      </c>
      <c r="CO7" s="1">
        <f t="shared" ca="1" si="57"/>
        <v>0.48306304090666419</v>
      </c>
      <c r="CP7" s="1">
        <f t="shared" ca="1" si="58"/>
        <v>1</v>
      </c>
      <c r="CV7" s="1">
        <f t="shared" ca="1" si="59"/>
        <v>5.510429379266176</v>
      </c>
      <c r="CW7" s="1">
        <f t="shared" ca="1" si="60"/>
        <v>1514</v>
      </c>
      <c r="CX7" s="1">
        <f t="shared" ca="1" si="61"/>
        <v>4.2708838758291059E-4</v>
      </c>
      <c r="DH7" s="1">
        <f t="shared" ca="1" si="62"/>
        <v>807</v>
      </c>
      <c r="DI7" s="1">
        <f t="shared" ca="1" si="63"/>
        <v>0.71680400325443805</v>
      </c>
      <c r="DJ7" s="1">
        <f t="shared" ca="1" si="64"/>
        <v>20</v>
      </c>
      <c r="DL7" s="1">
        <f t="shared" ca="1" si="65"/>
        <v>0.11208424050101544</v>
      </c>
      <c r="DM7" s="1">
        <f t="shared" ca="1" si="66"/>
        <v>88</v>
      </c>
      <c r="DN7" s="1">
        <f t="shared" ca="1" si="67"/>
        <v>6</v>
      </c>
    </row>
    <row r="8" spans="2:121" x14ac:dyDescent="0.25">
      <c r="B8">
        <f t="shared" ca="1" si="0"/>
        <v>731</v>
      </c>
      <c r="C8">
        <f t="shared" ca="1" si="1"/>
        <v>50</v>
      </c>
      <c r="D8">
        <f t="shared" ca="1" si="2"/>
        <v>6.2975887827874499E-2</v>
      </c>
      <c r="F8" s="1">
        <f t="shared" ca="1" si="3"/>
        <v>31</v>
      </c>
      <c r="G8" s="1">
        <f t="shared" ca="1" si="4"/>
        <v>3</v>
      </c>
      <c r="H8" s="1">
        <f t="shared" ca="1" si="5"/>
        <v>9</v>
      </c>
      <c r="I8" s="1"/>
      <c r="J8" s="1">
        <f t="shared" ca="1" si="6"/>
        <v>6</v>
      </c>
      <c r="K8" s="1">
        <f t="shared" ca="1" si="7"/>
        <v>2.3750858570110203</v>
      </c>
      <c r="L8" s="1">
        <f t="shared" ca="1" si="8"/>
        <v>18</v>
      </c>
      <c r="M8" s="1"/>
      <c r="N8" s="1">
        <f t="shared" ca="1" si="9"/>
        <v>780</v>
      </c>
      <c r="O8" s="1">
        <f t="shared" ca="1" si="10"/>
        <v>4</v>
      </c>
      <c r="P8" s="1"/>
      <c r="Q8" s="1">
        <f t="shared" ca="1" si="11"/>
        <v>4.9309884693018331</v>
      </c>
      <c r="R8" s="1">
        <f t="shared" ca="1" si="12"/>
        <v>494</v>
      </c>
      <c r="S8" s="1"/>
      <c r="T8" s="1">
        <f t="shared" ca="1" si="13"/>
        <v>7.8650410454463041E-2</v>
      </c>
      <c r="U8" s="1">
        <f t="shared" ca="1" si="14"/>
        <v>124</v>
      </c>
      <c r="V8" s="1">
        <f t="shared" ca="1" si="15"/>
        <v>20</v>
      </c>
      <c r="W8" s="1"/>
      <c r="X8" s="1">
        <f t="shared" ca="1" si="16"/>
        <v>1.9139398678151558</v>
      </c>
      <c r="Y8" s="1">
        <f t="shared" ca="1" si="17"/>
        <v>0.46178038837263846</v>
      </c>
      <c r="Z8" s="1">
        <f t="shared" ca="1" si="18"/>
        <v>842</v>
      </c>
      <c r="AB8" s="1">
        <f t="shared" ca="1" si="19"/>
        <v>0.76847228248310473</v>
      </c>
      <c r="AC8" s="1">
        <f t="shared" ca="1" si="20"/>
        <v>167</v>
      </c>
      <c r="AD8" s="1">
        <f t="shared" ca="1" si="21"/>
        <v>8.4196964531386867E-4</v>
      </c>
      <c r="AE8" s="1"/>
      <c r="AF8" s="1">
        <f t="shared" ca="1" si="22"/>
        <v>0.17814221746889133</v>
      </c>
      <c r="AG8" s="1">
        <f t="shared" ca="1" si="23"/>
        <v>984</v>
      </c>
      <c r="AH8" s="1">
        <f t="shared" ca="1" si="24"/>
        <v>5.3890604570923407E-3</v>
      </c>
      <c r="AJ8" s="1">
        <f t="shared" ca="1" si="25"/>
        <v>0.58211011886974118</v>
      </c>
      <c r="AK8" s="1">
        <f t="shared" ca="1" si="26"/>
        <v>8.0652724473103832E-3</v>
      </c>
      <c r="AL8" s="1"/>
      <c r="AM8" s="1">
        <f t="shared" ca="1" si="27"/>
        <v>4.1308490626280218E-2</v>
      </c>
      <c r="AN8" s="1">
        <f t="shared" ca="1" si="28"/>
        <v>60</v>
      </c>
      <c r="AO8" s="1">
        <f t="shared" ca="1" si="29"/>
        <v>3</v>
      </c>
      <c r="AQ8" s="1">
        <f t="shared" ca="1" si="30"/>
        <v>187</v>
      </c>
      <c r="AR8" s="1">
        <f t="shared" ca="1" si="31"/>
        <v>9</v>
      </c>
      <c r="AS8" s="1">
        <f t="shared" ca="1" si="32"/>
        <v>7</v>
      </c>
      <c r="AU8" s="1">
        <f t="shared" ca="1" si="33"/>
        <v>78</v>
      </c>
      <c r="AV8" s="1">
        <f t="shared" ca="1" si="34"/>
        <v>10</v>
      </c>
      <c r="AW8" s="1">
        <f t="shared" ca="1" si="35"/>
        <v>0.11828130758398232</v>
      </c>
      <c r="AY8" s="1">
        <f t="shared" ca="1" si="36"/>
        <v>1.253025300202355</v>
      </c>
      <c r="AZ8" s="1">
        <f t="shared" ca="1" si="37"/>
        <v>443</v>
      </c>
      <c r="BA8" s="1">
        <f t="shared" ca="1" si="38"/>
        <v>4.7553580792088863E-3</v>
      </c>
      <c r="BG8" s="1">
        <f t="shared" ca="1" si="39"/>
        <v>0.72793233554636994</v>
      </c>
      <c r="BH8" s="1">
        <f t="shared" ca="1" si="40"/>
        <v>0.28209644981704696</v>
      </c>
      <c r="BI8" s="1">
        <f t="shared" ca="1" si="41"/>
        <v>808</v>
      </c>
      <c r="BV8" s="1">
        <f t="shared" ca="1" si="42"/>
        <v>6.6439287964719738E-3</v>
      </c>
      <c r="BW8" s="1">
        <f t="shared" ca="1" si="43"/>
        <v>463</v>
      </c>
      <c r="BX8" s="1">
        <f t="shared" ca="1" si="44"/>
        <v>5.9935574805456641E-3</v>
      </c>
      <c r="BY8" s="1">
        <f t="shared" ca="1" si="45"/>
        <v>7.2192268531707765E-2</v>
      </c>
      <c r="BZ8" s="1">
        <f t="shared" ca="1" si="46"/>
        <v>0.92520824087207865</v>
      </c>
      <c r="CB8" s="1">
        <f t="shared" ca="1" si="47"/>
        <v>378</v>
      </c>
      <c r="CC8" s="1">
        <f t="shared" ca="1" si="48"/>
        <v>15</v>
      </c>
      <c r="CD8" s="1">
        <f t="shared" ca="1" si="49"/>
        <v>3.8592684469053208E-2</v>
      </c>
      <c r="CE8" s="1">
        <f t="shared" ca="1" si="50"/>
        <v>0.81706957335250063</v>
      </c>
      <c r="CF8" s="1">
        <f t="shared" ca="1" si="50"/>
        <v>0.56902055768839876</v>
      </c>
      <c r="CH8" s="3">
        <f t="shared" ca="1" si="51"/>
        <v>0.90072132528809512</v>
      </c>
      <c r="CI8" s="3">
        <f t="shared" ca="1" si="52"/>
        <v>0.13856472859982982</v>
      </c>
      <c r="CJ8" s="3">
        <f t="shared" ca="1" si="53"/>
        <v>1167</v>
      </c>
      <c r="CK8" s="3">
        <f t="shared" ca="1" si="54"/>
        <v>4.3390120433615372E-3</v>
      </c>
      <c r="CL8" s="3">
        <f t="shared" ca="1" si="55"/>
        <v>1</v>
      </c>
      <c r="CM8" s="3"/>
      <c r="CN8" s="1">
        <f t="shared" ca="1" si="56"/>
        <v>0.17357570243189691</v>
      </c>
      <c r="CO8" s="1">
        <f t="shared" ca="1" si="57"/>
        <v>0.24947584480099463</v>
      </c>
      <c r="CP8" s="1">
        <f t="shared" ca="1" si="58"/>
        <v>2</v>
      </c>
      <c r="CV8" s="1">
        <f t="shared" ca="1" si="59"/>
        <v>5.3428915027618888</v>
      </c>
      <c r="CW8" s="1">
        <f t="shared" ca="1" si="60"/>
        <v>1264</v>
      </c>
      <c r="CX8" s="1">
        <f t="shared" ca="1" si="61"/>
        <v>9.2284104330293273E-4</v>
      </c>
      <c r="DH8" s="1">
        <f t="shared" ca="1" si="62"/>
        <v>529</v>
      </c>
      <c r="DI8" s="1">
        <f t="shared" ca="1" si="63"/>
        <v>0.64800245419462565</v>
      </c>
      <c r="DJ8" s="1">
        <f t="shared" ca="1" si="64"/>
        <v>1</v>
      </c>
      <c r="DL8" s="1">
        <f t="shared" ca="1" si="65"/>
        <v>5.1762256687712352E-2</v>
      </c>
      <c r="DM8" s="1">
        <f t="shared" ca="1" si="66"/>
        <v>190</v>
      </c>
      <c r="DN8" s="1">
        <f t="shared" ca="1" si="67"/>
        <v>7</v>
      </c>
    </row>
    <row r="9" spans="2:121" x14ac:dyDescent="0.25">
      <c r="B9">
        <f t="shared" ca="1" si="0"/>
        <v>168</v>
      </c>
      <c r="C9">
        <f t="shared" ca="1" si="1"/>
        <v>40</v>
      </c>
      <c r="D9">
        <f t="shared" ca="1" si="2"/>
        <v>1.7271262040376423E-2</v>
      </c>
      <c r="F9" s="1">
        <f t="shared" ca="1" si="3"/>
        <v>10</v>
      </c>
      <c r="G9" s="1">
        <f t="shared" ca="1" si="4"/>
        <v>18</v>
      </c>
      <c r="H9" s="1">
        <f t="shared" ca="1" si="5"/>
        <v>10</v>
      </c>
      <c r="I9" s="1"/>
      <c r="J9" s="1">
        <f t="shared" ca="1" si="6"/>
        <v>5</v>
      </c>
      <c r="K9" s="1">
        <f t="shared" ca="1" si="7"/>
        <v>1.9002275034409319</v>
      </c>
      <c r="L9" s="1">
        <f t="shared" ca="1" si="8"/>
        <v>27</v>
      </c>
      <c r="M9" s="1"/>
      <c r="N9" s="1">
        <f t="shared" ca="1" si="9"/>
        <v>774</v>
      </c>
      <c r="O9" s="1">
        <f t="shared" ca="1" si="10"/>
        <v>26</v>
      </c>
      <c r="P9" s="1"/>
      <c r="Q9" s="1">
        <f t="shared" ca="1" si="11"/>
        <v>4.8248875129070194</v>
      </c>
      <c r="R9" s="1">
        <f t="shared" ca="1" si="12"/>
        <v>714</v>
      </c>
      <c r="S9" s="1"/>
      <c r="T9" s="1">
        <f t="shared" ca="1" si="13"/>
        <v>3.5934274196065666E-2</v>
      </c>
      <c r="U9" s="1">
        <f t="shared" ca="1" si="14"/>
        <v>399</v>
      </c>
      <c r="V9" s="1">
        <f t="shared" ca="1" si="15"/>
        <v>7</v>
      </c>
      <c r="W9" s="1"/>
      <c r="X9" s="1">
        <f t="shared" ca="1" si="16"/>
        <v>7.8478195356285214</v>
      </c>
      <c r="Y9" s="1">
        <f t="shared" ca="1" si="17"/>
        <v>0.99940095602109469</v>
      </c>
      <c r="Z9" s="1">
        <f t="shared" ca="1" si="18"/>
        <v>1662</v>
      </c>
      <c r="AB9" s="1">
        <f t="shared" ca="1" si="19"/>
        <v>0.5873490253366993</v>
      </c>
      <c r="AC9" s="1">
        <f t="shared" ca="1" si="20"/>
        <v>938</v>
      </c>
      <c r="AD9" s="1">
        <f t="shared" ca="1" si="21"/>
        <v>9.3675153583462137E-3</v>
      </c>
      <c r="AE9" s="1"/>
      <c r="AF9" s="1">
        <f t="shared" ca="1" si="22"/>
        <v>0.1576889641039049</v>
      </c>
      <c r="AG9" s="1">
        <f t="shared" ca="1" si="23"/>
        <v>800</v>
      </c>
      <c r="AH9" s="1">
        <f t="shared" ca="1" si="24"/>
        <v>9.4379360071752544E-3</v>
      </c>
      <c r="AJ9" s="1">
        <f t="shared" ca="1" si="25"/>
        <v>0.28046035553822668</v>
      </c>
      <c r="AK9" s="1">
        <f t="shared" ca="1" si="26"/>
        <v>5.7717463137385901E-3</v>
      </c>
      <c r="AL9" s="1"/>
      <c r="AM9" s="1">
        <f t="shared" ca="1" si="27"/>
        <v>6.3297809991337814E-2</v>
      </c>
      <c r="AN9" s="1">
        <f t="shared" ca="1" si="28"/>
        <v>18</v>
      </c>
      <c r="AO9" s="1">
        <f t="shared" ca="1" si="29"/>
        <v>18</v>
      </c>
      <c r="AQ9" s="1">
        <f t="shared" ca="1" si="30"/>
        <v>50</v>
      </c>
      <c r="AR9" s="1">
        <f t="shared" ca="1" si="31"/>
        <v>6</v>
      </c>
      <c r="AS9" s="1">
        <f t="shared" ca="1" si="32"/>
        <v>66</v>
      </c>
      <c r="AU9" s="1">
        <f t="shared" ca="1" si="33"/>
        <v>232</v>
      </c>
      <c r="AV9" s="1">
        <f t="shared" ca="1" si="34"/>
        <v>2</v>
      </c>
      <c r="AW9" s="1">
        <f t="shared" ca="1" si="35"/>
        <v>0.19348150812458295</v>
      </c>
      <c r="AY9" s="1">
        <f t="shared" ca="1" si="36"/>
        <v>1.9898820377955726</v>
      </c>
      <c r="AZ9" s="1">
        <f t="shared" ca="1" si="37"/>
        <v>392</v>
      </c>
      <c r="BA9" s="1">
        <f t="shared" ca="1" si="38"/>
        <v>9.6782156435480764E-3</v>
      </c>
      <c r="BG9" s="1">
        <f t="shared" ca="1" si="39"/>
        <v>0.42398073471257369</v>
      </c>
      <c r="BH9" s="1">
        <f t="shared" ca="1" si="40"/>
        <v>0.23644616736883761</v>
      </c>
      <c r="BI9" s="1">
        <f t="shared" ca="1" si="41"/>
        <v>622</v>
      </c>
      <c r="BV9" s="1">
        <f t="shared" ca="1" si="42"/>
        <v>0.17266994817367934</v>
      </c>
      <c r="BW9" s="1">
        <f t="shared" ca="1" si="43"/>
        <v>257</v>
      </c>
      <c r="BX9" s="1">
        <f t="shared" ca="1" si="44"/>
        <v>2.3888144464548015E-3</v>
      </c>
      <c r="BY9" s="1">
        <f t="shared" ca="1" si="45"/>
        <v>8.0295733383265927E-2</v>
      </c>
      <c r="BZ9" s="1">
        <f t="shared" ca="1" si="46"/>
        <v>0.47305482830521672</v>
      </c>
      <c r="CB9" s="1">
        <f t="shared" ca="1" si="47"/>
        <v>168</v>
      </c>
      <c r="CC9" s="1">
        <f t="shared" ca="1" si="48"/>
        <v>5</v>
      </c>
      <c r="CD9" s="1">
        <f t="shared" ca="1" si="49"/>
        <v>2.9387364665022328E-2</v>
      </c>
      <c r="CE9" s="1">
        <f t="shared" ca="1" si="50"/>
        <v>0.67545080322398188</v>
      </c>
      <c r="CF9" s="1">
        <f t="shared" ca="1" si="50"/>
        <v>0.55753973776119148</v>
      </c>
      <c r="CH9" s="3">
        <f t="shared" ca="1" si="51"/>
        <v>0.60857553387786234</v>
      </c>
      <c r="CI9" s="3">
        <f t="shared" ca="1" si="52"/>
        <v>0.50300840426391524</v>
      </c>
      <c r="CJ9" s="3">
        <f t="shared" ca="1" si="53"/>
        <v>1794</v>
      </c>
      <c r="CK9" s="3">
        <f t="shared" ca="1" si="54"/>
        <v>8.4055874458190266E-3</v>
      </c>
      <c r="CL9" s="3">
        <f t="shared" ca="1" si="55"/>
        <v>1</v>
      </c>
      <c r="CM9" s="3"/>
      <c r="CN9" s="1">
        <f t="shared" ca="1" si="56"/>
        <v>12.358196536319957</v>
      </c>
      <c r="CO9" s="1">
        <f t="shared" ca="1" si="57"/>
        <v>0.42640139473790239</v>
      </c>
      <c r="CP9" s="1">
        <f t="shared" ca="1" si="58"/>
        <v>1</v>
      </c>
      <c r="CV9" s="1">
        <f t="shared" ca="1" si="59"/>
        <v>2.0825060153507309</v>
      </c>
      <c r="CW9" s="1">
        <f t="shared" ca="1" si="60"/>
        <v>1954</v>
      </c>
      <c r="CX9" s="1">
        <f t="shared" ca="1" si="61"/>
        <v>4.898478283411725E-3</v>
      </c>
      <c r="DH9" s="1">
        <f t="shared" ca="1" si="62"/>
        <v>332</v>
      </c>
      <c r="DI9" s="1">
        <f t="shared" ca="1" si="63"/>
        <v>0.12709666652976828</v>
      </c>
      <c r="DJ9" s="1">
        <f t="shared" ca="1" si="64"/>
        <v>5</v>
      </c>
      <c r="DL9" s="1">
        <f t="shared" ca="1" si="65"/>
        <v>0.18026382398498467</v>
      </c>
      <c r="DM9" s="1">
        <f t="shared" ca="1" si="66"/>
        <v>151</v>
      </c>
      <c r="DN9" s="1">
        <f t="shared" ca="1" si="67"/>
        <v>2</v>
      </c>
    </row>
    <row r="10" spans="2:121" x14ac:dyDescent="0.25">
      <c r="B10">
        <f t="shared" ca="1" si="0"/>
        <v>869</v>
      </c>
      <c r="C10">
        <f t="shared" ca="1" si="1"/>
        <v>16</v>
      </c>
      <c r="D10">
        <f t="shared" ca="1" si="2"/>
        <v>0.11277873825519757</v>
      </c>
      <c r="F10" s="1">
        <f t="shared" ca="1" si="3"/>
        <v>43</v>
      </c>
      <c r="G10" s="1">
        <f t="shared" ca="1" si="4"/>
        <v>21</v>
      </c>
      <c r="H10" s="1">
        <f t="shared" ca="1" si="5"/>
        <v>1</v>
      </c>
      <c r="I10" s="1"/>
      <c r="J10" s="1">
        <f t="shared" ca="1" si="6"/>
        <v>2</v>
      </c>
      <c r="K10" s="1">
        <f t="shared" ca="1" si="7"/>
        <v>2.6135143361311939</v>
      </c>
      <c r="L10" s="1">
        <f t="shared" ca="1" si="8"/>
        <v>21</v>
      </c>
      <c r="M10" s="1"/>
      <c r="N10" s="1">
        <f t="shared" ca="1" si="9"/>
        <v>460</v>
      </c>
      <c r="O10" s="1">
        <f t="shared" ca="1" si="10"/>
        <v>33</v>
      </c>
      <c r="P10" s="1"/>
      <c r="Q10" s="1">
        <f t="shared" ca="1" si="11"/>
        <v>0.13659665959129427</v>
      </c>
      <c r="R10" s="1">
        <f t="shared" ca="1" si="12"/>
        <v>319</v>
      </c>
      <c r="S10" s="1"/>
      <c r="T10" s="1">
        <f t="shared" ca="1" si="13"/>
        <v>0.13607337829705116</v>
      </c>
      <c r="U10" s="1">
        <f t="shared" ca="1" si="14"/>
        <v>315</v>
      </c>
      <c r="V10" s="1">
        <f t="shared" ca="1" si="15"/>
        <v>24</v>
      </c>
      <c r="W10" s="1"/>
      <c r="X10" s="1">
        <f t="shared" ca="1" si="16"/>
        <v>1.6868755233065076</v>
      </c>
      <c r="Y10" s="1">
        <f t="shared" ca="1" si="17"/>
        <v>0.71418488410427439</v>
      </c>
      <c r="Z10" s="1">
        <f t="shared" ca="1" si="18"/>
        <v>338</v>
      </c>
      <c r="AB10" s="1">
        <f t="shared" ca="1" si="19"/>
        <v>0.38645320452340104</v>
      </c>
      <c r="AC10" s="1">
        <f t="shared" ca="1" si="20"/>
        <v>593</v>
      </c>
      <c r="AD10" s="1">
        <f t="shared" ca="1" si="21"/>
        <v>1.0679627552572992E-3</v>
      </c>
      <c r="AE10" s="1"/>
      <c r="AF10" s="1">
        <f t="shared" ca="1" si="22"/>
        <v>0.62916839298904259</v>
      </c>
      <c r="AG10" s="1">
        <f t="shared" ca="1" si="23"/>
        <v>233</v>
      </c>
      <c r="AH10" s="1">
        <f t="shared" ca="1" si="24"/>
        <v>4.7484257451854846E-4</v>
      </c>
      <c r="AJ10" s="1">
        <f t="shared" ca="1" si="25"/>
        <v>0.50708691784714466</v>
      </c>
      <c r="AK10" s="1">
        <f t="shared" ca="1" si="26"/>
        <v>2.3740686583147518E-4</v>
      </c>
      <c r="AL10" s="1"/>
      <c r="AM10" s="1">
        <f t="shared" ca="1" si="27"/>
        <v>1.9295716690197657E-2</v>
      </c>
      <c r="AN10" s="1">
        <f t="shared" ca="1" si="28"/>
        <v>33</v>
      </c>
      <c r="AO10" s="1">
        <f t="shared" ca="1" si="29"/>
        <v>13</v>
      </c>
      <c r="AQ10" s="1">
        <f t="shared" ca="1" si="30"/>
        <v>141</v>
      </c>
      <c r="AR10" s="1">
        <f t="shared" ca="1" si="31"/>
        <v>10</v>
      </c>
      <c r="AS10" s="1">
        <f t="shared" ca="1" si="32"/>
        <v>72</v>
      </c>
      <c r="AU10" s="1">
        <f t="shared" ca="1" si="33"/>
        <v>153</v>
      </c>
      <c r="AV10" s="1">
        <f t="shared" ca="1" si="34"/>
        <v>3</v>
      </c>
      <c r="AW10" s="1">
        <f t="shared" ca="1" si="35"/>
        <v>0.14276942727999678</v>
      </c>
      <c r="AY10" s="1">
        <f t="shared" ca="1" si="36"/>
        <v>1.9125476371964487</v>
      </c>
      <c r="AZ10" s="1">
        <f t="shared" ca="1" si="37"/>
        <v>264</v>
      </c>
      <c r="BA10" s="1">
        <f t="shared" ca="1" si="38"/>
        <v>6.1939131024950581E-3</v>
      </c>
      <c r="BG10" s="1">
        <f t="shared" ca="1" si="39"/>
        <v>0.7017341444614843</v>
      </c>
      <c r="BH10" s="1">
        <f t="shared" ca="1" si="40"/>
        <v>0.38884292229755479</v>
      </c>
      <c r="BI10" s="1">
        <f t="shared" ca="1" si="41"/>
        <v>864</v>
      </c>
      <c r="BV10" s="1">
        <f t="shared" ca="1" si="42"/>
        <v>0.3563552394429339</v>
      </c>
      <c r="BW10" s="1">
        <f t="shared" ca="1" si="43"/>
        <v>373</v>
      </c>
      <c r="BX10" s="1">
        <f t="shared" ca="1" si="44"/>
        <v>1.7405448345578648E-4</v>
      </c>
      <c r="BY10" s="1">
        <f t="shared" ca="1" si="45"/>
        <v>2.9560742092746901E-2</v>
      </c>
      <c r="BZ10" s="1">
        <f t="shared" ca="1" si="46"/>
        <v>0.3544949169403232</v>
      </c>
      <c r="CB10" s="1">
        <f t="shared" ca="1" si="47"/>
        <v>185</v>
      </c>
      <c r="CC10" s="1">
        <f t="shared" ca="1" si="48"/>
        <v>7</v>
      </c>
      <c r="CD10" s="1">
        <f t="shared" ca="1" si="49"/>
        <v>0.2667607284697433</v>
      </c>
      <c r="CE10" s="1">
        <f t="shared" ca="1" si="50"/>
        <v>0.5837836734666435</v>
      </c>
      <c r="CF10" s="1">
        <f t="shared" ca="1" si="50"/>
        <v>0.61754176047905474</v>
      </c>
      <c r="CH10" s="3">
        <f t="shared" ca="1" si="51"/>
        <v>0.29840017717586365</v>
      </c>
      <c r="CI10" s="3">
        <f t="shared" ca="1" si="52"/>
        <v>0.76608990624991025</v>
      </c>
      <c r="CJ10" s="3">
        <f t="shared" ca="1" si="53"/>
        <v>353</v>
      </c>
      <c r="CK10" s="3">
        <f t="shared" ca="1" si="54"/>
        <v>4.8276995775342639E-3</v>
      </c>
      <c r="CL10" s="3">
        <f t="shared" ca="1" si="55"/>
        <v>1</v>
      </c>
      <c r="CM10" s="3"/>
      <c r="CN10" s="1">
        <f t="shared" ca="1" si="56"/>
        <v>13.851766103994375</v>
      </c>
      <c r="CO10" s="1">
        <f t="shared" ca="1" si="57"/>
        <v>5.6941090921321359E-2</v>
      </c>
      <c r="CP10" s="1">
        <f t="shared" ca="1" si="58"/>
        <v>2</v>
      </c>
      <c r="CV10" s="1">
        <f t="shared" ca="1" si="59"/>
        <v>4.1169008354566499</v>
      </c>
      <c r="CW10" s="1">
        <f t="shared" ca="1" si="60"/>
        <v>433</v>
      </c>
      <c r="CX10" s="1">
        <f t="shared" ca="1" si="61"/>
        <v>9.0265970569019163E-3</v>
      </c>
      <c r="DH10" s="1">
        <f t="shared" ca="1" si="62"/>
        <v>740</v>
      </c>
      <c r="DI10" s="1">
        <f t="shared" ca="1" si="63"/>
        <v>0.43021475852292373</v>
      </c>
      <c r="DJ10" s="1">
        <f t="shared" ca="1" si="64"/>
        <v>10</v>
      </c>
      <c r="DL10" s="1">
        <f t="shared" ca="1" si="65"/>
        <v>1.4257146128472389E-2</v>
      </c>
      <c r="DM10" s="1">
        <f t="shared" ca="1" si="66"/>
        <v>263</v>
      </c>
      <c r="DN10" s="1">
        <f t="shared" ca="1" si="67"/>
        <v>4</v>
      </c>
    </row>
    <row r="11" spans="2:121" x14ac:dyDescent="0.25">
      <c r="B11">
        <f t="shared" ca="1" si="0"/>
        <v>793</v>
      </c>
      <c r="C11">
        <f t="shared" ca="1" si="1"/>
        <v>47</v>
      </c>
      <c r="D11">
        <f t="shared" ca="1" si="2"/>
        <v>0.29755341310949079</v>
      </c>
      <c r="F11" s="1">
        <f t="shared" ca="1" si="3"/>
        <v>28</v>
      </c>
      <c r="G11" s="1">
        <f t="shared" ca="1" si="4"/>
        <v>30</v>
      </c>
      <c r="H11" s="1">
        <f t="shared" ca="1" si="5"/>
        <v>7</v>
      </c>
      <c r="I11" s="1"/>
      <c r="J11" s="1">
        <f t="shared" ca="1" si="6"/>
        <v>3</v>
      </c>
      <c r="K11" s="1">
        <f t="shared" ca="1" si="7"/>
        <v>1.4912445082677697</v>
      </c>
      <c r="L11" s="1">
        <f t="shared" ca="1" si="8"/>
        <v>21</v>
      </c>
      <c r="M11" s="1"/>
      <c r="N11" s="1">
        <f t="shared" ca="1" si="9"/>
        <v>461</v>
      </c>
      <c r="O11" s="1">
        <f t="shared" ca="1" si="10"/>
        <v>24</v>
      </c>
      <c r="P11" s="1"/>
      <c r="Q11" s="1">
        <f t="shared" ca="1" si="11"/>
        <v>0.33995907422658328</v>
      </c>
      <c r="R11" s="1">
        <f t="shared" ca="1" si="12"/>
        <v>845</v>
      </c>
      <c r="S11" s="1"/>
      <c r="T11" s="1">
        <f t="shared" ca="1" si="13"/>
        <v>7.4087771789472678E-2</v>
      </c>
      <c r="U11" s="1">
        <f t="shared" ca="1" si="14"/>
        <v>135</v>
      </c>
      <c r="V11" s="1">
        <f t="shared" ca="1" si="15"/>
        <v>39</v>
      </c>
      <c r="W11" s="1"/>
      <c r="X11" s="1">
        <f t="shared" ca="1" si="16"/>
        <v>2.9328248390551064</v>
      </c>
      <c r="Y11" s="1">
        <f t="shared" ca="1" si="17"/>
        <v>0.80560472451163179</v>
      </c>
      <c r="Z11" s="1">
        <f t="shared" ca="1" si="18"/>
        <v>783</v>
      </c>
      <c r="AB11" s="1">
        <f t="shared" ca="1" si="19"/>
        <v>0.28005756332025533</v>
      </c>
      <c r="AC11" s="1">
        <f t="shared" ca="1" si="20"/>
        <v>715</v>
      </c>
      <c r="AD11" s="1">
        <f t="shared" ca="1" si="21"/>
        <v>8.0701853888167643E-4</v>
      </c>
      <c r="AE11" s="1"/>
      <c r="AF11" s="1">
        <f t="shared" ca="1" si="22"/>
        <v>0.28851219081992641</v>
      </c>
      <c r="AG11" s="1">
        <f t="shared" ca="1" si="23"/>
        <v>693</v>
      </c>
      <c r="AH11" s="1">
        <f t="shared" ca="1" si="24"/>
        <v>6.9756197561445347E-3</v>
      </c>
      <c r="AJ11" s="1">
        <f t="shared" ca="1" si="25"/>
        <v>0.36180279976796104</v>
      </c>
      <c r="AK11" s="1">
        <f t="shared" ca="1" si="26"/>
        <v>9.970616537742481E-4</v>
      </c>
      <c r="AL11" s="1"/>
      <c r="AM11" s="1">
        <f t="shared" ca="1" si="27"/>
        <v>0.10385255900873691</v>
      </c>
      <c r="AN11" s="1">
        <f t="shared" ca="1" si="28"/>
        <v>45</v>
      </c>
      <c r="AO11" s="1">
        <f t="shared" ca="1" si="29"/>
        <v>-1</v>
      </c>
      <c r="AQ11" s="1">
        <f t="shared" ca="1" si="30"/>
        <v>12</v>
      </c>
      <c r="AR11" s="1">
        <f t="shared" ca="1" si="31"/>
        <v>2</v>
      </c>
      <c r="AS11" s="1">
        <f t="shared" ca="1" si="32"/>
        <v>78</v>
      </c>
      <c r="AU11" s="1">
        <f t="shared" ca="1" si="33"/>
        <v>82</v>
      </c>
      <c r="AV11" s="1">
        <f t="shared" ca="1" si="34"/>
        <v>2</v>
      </c>
      <c r="AW11" s="1">
        <f t="shared" ca="1" si="35"/>
        <v>0.14897210123218632</v>
      </c>
      <c r="AY11" s="1">
        <f t="shared" ca="1" si="36"/>
        <v>1.3583131532138255</v>
      </c>
      <c r="AZ11" s="1">
        <f t="shared" ca="1" si="37"/>
        <v>88</v>
      </c>
      <c r="BA11" s="1">
        <f t="shared" ca="1" si="38"/>
        <v>2.7193059795076858E-4</v>
      </c>
      <c r="BG11" s="1">
        <f t="shared" ca="1" si="39"/>
        <v>0.1720208474314309</v>
      </c>
      <c r="BH11" s="1">
        <f t="shared" ca="1" si="40"/>
        <v>0.57009255587107055</v>
      </c>
      <c r="BI11" s="1">
        <f t="shared" ca="1" si="41"/>
        <v>134</v>
      </c>
      <c r="BV11" s="1">
        <f t="shared" ca="1" si="42"/>
        <v>0.7454961998731886</v>
      </c>
      <c r="BW11" s="1">
        <f t="shared" ca="1" si="43"/>
        <v>692</v>
      </c>
      <c r="BX11" s="1">
        <f t="shared" ca="1" si="44"/>
        <v>7.7043047472192842E-3</v>
      </c>
      <c r="BY11" s="1">
        <f t="shared" ca="1" si="45"/>
        <v>2.0823131619815648E-2</v>
      </c>
      <c r="BZ11" s="1">
        <f t="shared" ca="1" si="46"/>
        <v>4.4357487059514256E-2</v>
      </c>
      <c r="CB11" s="1">
        <f t="shared" ca="1" si="47"/>
        <v>89</v>
      </c>
      <c r="CC11" s="1">
        <f t="shared" ca="1" si="48"/>
        <v>5</v>
      </c>
      <c r="CD11" s="1">
        <f t="shared" ca="1" si="49"/>
        <v>1.8673508337753945E-2</v>
      </c>
      <c r="CE11" s="1">
        <f t="shared" ca="1" si="50"/>
        <v>0.89246121876920703</v>
      </c>
      <c r="CF11" s="1">
        <f t="shared" ca="1" si="50"/>
        <v>0.64877967215512666</v>
      </c>
      <c r="CH11" s="3">
        <f t="shared" ca="1" si="51"/>
        <v>4.7769955413757746E-2</v>
      </c>
      <c r="CI11" s="3">
        <f t="shared" ca="1" si="52"/>
        <v>0.95344094656829992</v>
      </c>
      <c r="CJ11" s="3">
        <f t="shared" ca="1" si="53"/>
        <v>1311</v>
      </c>
      <c r="CK11" s="3">
        <f t="shared" ca="1" si="54"/>
        <v>1.2282258729655669E-3</v>
      </c>
      <c r="CL11" s="3">
        <f t="shared" ca="1" si="55"/>
        <v>0</v>
      </c>
      <c r="CM11" s="3"/>
      <c r="CN11" s="1">
        <f t="shared" ca="1" si="56"/>
        <v>15.555272559115744</v>
      </c>
      <c r="CO11" s="1">
        <f t="shared" ca="1" si="57"/>
        <v>0.29578196142943353</v>
      </c>
      <c r="CP11" s="1">
        <f t="shared" ca="1" si="58"/>
        <v>4</v>
      </c>
      <c r="CV11" s="1">
        <f t="shared" ca="1" si="59"/>
        <v>0.20603189940155164</v>
      </c>
      <c r="CW11" s="1">
        <f t="shared" ca="1" si="60"/>
        <v>1877</v>
      </c>
      <c r="CX11" s="1">
        <f t="shared" ca="1" si="61"/>
        <v>2.2307747668490019E-3</v>
      </c>
      <c r="DH11" s="1">
        <f t="shared" ca="1" si="62"/>
        <v>612</v>
      </c>
      <c r="DI11" s="1">
        <f t="shared" ca="1" si="63"/>
        <v>0.11979053949991204</v>
      </c>
      <c r="DJ11" s="1">
        <f t="shared" ca="1" si="64"/>
        <v>28</v>
      </c>
      <c r="DL11" s="1">
        <f t="shared" ca="1" si="65"/>
        <v>0.17393551418260494</v>
      </c>
      <c r="DM11" s="1">
        <f t="shared" ca="1" si="66"/>
        <v>286</v>
      </c>
      <c r="DN11" s="1">
        <f t="shared" ca="1" si="67"/>
        <v>2</v>
      </c>
    </row>
    <row r="12" spans="2:121" x14ac:dyDescent="0.25">
      <c r="B12">
        <f t="shared" ca="1" si="0"/>
        <v>17</v>
      </c>
      <c r="C12">
        <f t="shared" ca="1" si="1"/>
        <v>18</v>
      </c>
      <c r="D12">
        <f t="shared" ca="1" si="2"/>
        <v>0.18863878287279781</v>
      </c>
      <c r="F12" s="1">
        <f t="shared" ca="1" si="3"/>
        <v>12</v>
      </c>
      <c r="G12" s="1">
        <f t="shared" ca="1" si="4"/>
        <v>23</v>
      </c>
      <c r="H12" s="1">
        <f t="shared" ca="1" si="5"/>
        <v>12</v>
      </c>
      <c r="I12" s="1"/>
      <c r="J12" s="1">
        <f t="shared" ca="1" si="6"/>
        <v>37</v>
      </c>
      <c r="K12" s="1">
        <f t="shared" ca="1" si="7"/>
        <v>1.4767322107167196</v>
      </c>
      <c r="L12" s="1">
        <f t="shared" ca="1" si="8"/>
        <v>23</v>
      </c>
      <c r="M12" s="1"/>
      <c r="N12" s="1">
        <f t="shared" ca="1" si="9"/>
        <v>229</v>
      </c>
      <c r="O12" s="1">
        <f t="shared" ca="1" si="10"/>
        <v>34</v>
      </c>
      <c r="P12" s="1"/>
      <c r="Q12" s="1">
        <f t="shared" ca="1" si="11"/>
        <v>3.0713830859076015</v>
      </c>
      <c r="R12" s="1">
        <f t="shared" ca="1" si="12"/>
        <v>421</v>
      </c>
      <c r="S12" s="1"/>
      <c r="T12" s="1">
        <f t="shared" ca="1" si="13"/>
        <v>0.1569581963990043</v>
      </c>
      <c r="U12" s="1">
        <f t="shared" ca="1" si="14"/>
        <v>325</v>
      </c>
      <c r="V12" s="1">
        <f t="shared" ca="1" si="15"/>
        <v>46</v>
      </c>
      <c r="W12" s="1"/>
      <c r="X12" s="1">
        <f t="shared" ca="1" si="16"/>
        <v>2.368250363445958</v>
      </c>
      <c r="Y12" s="1">
        <f t="shared" ca="1" si="17"/>
        <v>0.94199639821527736</v>
      </c>
      <c r="Z12" s="1">
        <f t="shared" ca="1" si="18"/>
        <v>1963</v>
      </c>
      <c r="AB12" s="1">
        <f t="shared" ca="1" si="19"/>
        <v>0.58454595832183676</v>
      </c>
      <c r="AC12" s="1">
        <f t="shared" ca="1" si="20"/>
        <v>993</v>
      </c>
      <c r="AD12" s="1">
        <f t="shared" ca="1" si="21"/>
        <v>6.7547236128111124E-3</v>
      </c>
      <c r="AE12" s="1"/>
      <c r="AF12" s="1">
        <f t="shared" ca="1" si="22"/>
        <v>0.59478948997126646</v>
      </c>
      <c r="AG12" s="1">
        <f t="shared" ca="1" si="23"/>
        <v>444</v>
      </c>
      <c r="AH12" s="1">
        <f t="shared" ca="1" si="24"/>
        <v>3.1121355625614348E-3</v>
      </c>
      <c r="AJ12" s="1">
        <f t="shared" ca="1" si="25"/>
        <v>0.16746852125951983</v>
      </c>
      <c r="AK12" s="1">
        <f t="shared" ca="1" si="26"/>
        <v>5.5645557670343619E-3</v>
      </c>
      <c r="AL12" s="1"/>
      <c r="AM12" s="1">
        <f t="shared" ca="1" si="27"/>
        <v>5.7928668342960524E-2</v>
      </c>
      <c r="AN12" s="1">
        <f t="shared" ca="1" si="28"/>
        <v>25</v>
      </c>
      <c r="AO12" s="1">
        <f t="shared" ca="1" si="29"/>
        <v>9</v>
      </c>
      <c r="AQ12" s="1">
        <f t="shared" ca="1" si="30"/>
        <v>113</v>
      </c>
      <c r="AR12" s="1">
        <f t="shared" ca="1" si="31"/>
        <v>5</v>
      </c>
      <c r="AS12" s="1">
        <f t="shared" ca="1" si="32"/>
        <v>31</v>
      </c>
      <c r="AU12" s="1">
        <f t="shared" ca="1" si="33"/>
        <v>107</v>
      </c>
      <c r="AV12" s="1">
        <f t="shared" ca="1" si="34"/>
        <v>4</v>
      </c>
      <c r="AW12" s="1">
        <f t="shared" ca="1" si="35"/>
        <v>9.6404409243714628E-2</v>
      </c>
      <c r="AY12" s="1">
        <f t="shared" ca="1" si="36"/>
        <v>1.7674216387174466</v>
      </c>
      <c r="AZ12" s="1">
        <f t="shared" ca="1" si="37"/>
        <v>132</v>
      </c>
      <c r="BA12" s="1">
        <f t="shared" ca="1" si="38"/>
        <v>5.9770811722210737E-3</v>
      </c>
      <c r="BG12" s="1">
        <f t="shared" ca="1" si="39"/>
        <v>2.1821177936676962E-2</v>
      </c>
      <c r="BH12" s="1">
        <f t="shared" ca="1" si="40"/>
        <v>0.98690715859007194</v>
      </c>
      <c r="BI12" s="1">
        <f t="shared" ca="1" si="41"/>
        <v>498</v>
      </c>
      <c r="BV12" s="1">
        <f t="shared" ca="1" si="42"/>
        <v>0.46745875430286016</v>
      </c>
      <c r="BW12" s="1">
        <f t="shared" ca="1" si="43"/>
        <v>335</v>
      </c>
      <c r="BX12" s="1">
        <f t="shared" ca="1" si="44"/>
        <v>5.6490671583274196E-3</v>
      </c>
      <c r="BY12" s="1">
        <f t="shared" ca="1" si="45"/>
        <v>6.0871455838881545E-2</v>
      </c>
      <c r="BZ12" s="1">
        <f t="shared" ca="1" si="46"/>
        <v>0.11844848482261439</v>
      </c>
      <c r="CB12" s="1">
        <f t="shared" ca="1" si="47"/>
        <v>441</v>
      </c>
      <c r="CC12" s="1">
        <f t="shared" ca="1" si="48"/>
        <v>15</v>
      </c>
      <c r="CD12" s="1">
        <f t="shared" ca="1" si="49"/>
        <v>0.21516069076840544</v>
      </c>
      <c r="CE12" s="1">
        <f t="shared" ca="1" si="50"/>
        <v>0.71045403707046439</v>
      </c>
      <c r="CF12" s="1">
        <f t="shared" ca="1" si="50"/>
        <v>0.68904497177171486</v>
      </c>
      <c r="CH12" s="3">
        <f t="shared" ca="1" si="51"/>
        <v>0.59317062754258165</v>
      </c>
      <c r="CI12" s="3">
        <f t="shared" ca="1" si="52"/>
        <v>9.5285921133188456E-2</v>
      </c>
      <c r="CJ12" s="3">
        <f t="shared" ca="1" si="53"/>
        <v>1383</v>
      </c>
      <c r="CK12" s="3">
        <f t="shared" ca="1" si="54"/>
        <v>1.1566051226973453E-3</v>
      </c>
      <c r="CL12" s="3">
        <f t="shared" ca="1" si="55"/>
        <v>1</v>
      </c>
      <c r="CM12" s="3"/>
      <c r="CN12" s="1">
        <f t="shared" ca="1" si="56"/>
        <v>3.7056085605347477</v>
      </c>
      <c r="CO12" s="1">
        <f t="shared" ca="1" si="57"/>
        <v>7.183543371217853E-3</v>
      </c>
      <c r="CP12" s="1">
        <f t="shared" ca="1" si="58"/>
        <v>3</v>
      </c>
      <c r="CV12" s="1">
        <f t="shared" ca="1" si="59"/>
        <v>3.7017027483644216</v>
      </c>
      <c r="CW12" s="1">
        <f t="shared" ca="1" si="60"/>
        <v>589</v>
      </c>
      <c r="CX12" s="1">
        <f t="shared" ca="1" si="61"/>
        <v>5.628609422570683E-3</v>
      </c>
      <c r="DH12" s="1">
        <f t="shared" ca="1" si="62"/>
        <v>830</v>
      </c>
      <c r="DI12" s="1">
        <f t="shared" ca="1" si="63"/>
        <v>0.86548180612887016</v>
      </c>
      <c r="DJ12" s="1">
        <f t="shared" ca="1" si="64"/>
        <v>3</v>
      </c>
      <c r="DL12" s="1">
        <f t="shared" ca="1" si="65"/>
        <v>4.458678835309874E-2</v>
      </c>
      <c r="DM12" s="1">
        <f t="shared" ca="1" si="66"/>
        <v>177</v>
      </c>
      <c r="DN12" s="1">
        <f t="shared" ca="1" si="67"/>
        <v>1</v>
      </c>
    </row>
    <row r="13" spans="2:121" x14ac:dyDescent="0.25">
      <c r="B13">
        <f t="shared" ca="1" si="0"/>
        <v>301</v>
      </c>
      <c r="C13">
        <f t="shared" ca="1" si="1"/>
        <v>46</v>
      </c>
      <c r="D13">
        <f t="shared" ca="1" si="2"/>
        <v>6.9054651219016591E-2</v>
      </c>
      <c r="F13" s="1">
        <f t="shared" ca="1" si="3"/>
        <v>11</v>
      </c>
      <c r="G13" s="1">
        <f t="shared" ca="1" si="4"/>
        <v>22</v>
      </c>
      <c r="H13" s="1">
        <f t="shared" ca="1" si="5"/>
        <v>12</v>
      </c>
      <c r="I13" s="1"/>
      <c r="J13" s="1">
        <f t="shared" ca="1" si="6"/>
        <v>3</v>
      </c>
      <c r="K13" s="1">
        <f t="shared" ca="1" si="7"/>
        <v>1.221255579625885</v>
      </c>
      <c r="L13" s="1">
        <f t="shared" ca="1" si="8"/>
        <v>21</v>
      </c>
      <c r="M13" s="1"/>
      <c r="N13" s="1">
        <f t="shared" ca="1" si="9"/>
        <v>172</v>
      </c>
      <c r="O13" s="1">
        <f t="shared" ca="1" si="10"/>
        <v>16</v>
      </c>
      <c r="P13" s="1"/>
      <c r="Q13" s="1">
        <f t="shared" ca="1" si="11"/>
        <v>2.3060275947010553</v>
      </c>
      <c r="R13" s="1">
        <f t="shared" ca="1" si="12"/>
        <v>905</v>
      </c>
      <c r="S13" s="1"/>
      <c r="T13" s="1">
        <f t="shared" ca="1" si="13"/>
        <v>0.137434037390292</v>
      </c>
      <c r="U13" s="1">
        <f t="shared" ca="1" si="14"/>
        <v>71</v>
      </c>
      <c r="V13" s="1">
        <f t="shared" ca="1" si="15"/>
        <v>15</v>
      </c>
      <c r="W13" s="1"/>
      <c r="X13" s="1">
        <f t="shared" ca="1" si="16"/>
        <v>4.5700820806611331</v>
      </c>
      <c r="Y13" s="1">
        <f t="shared" ca="1" si="17"/>
        <v>0.68709832605053034</v>
      </c>
      <c r="Z13" s="1">
        <f t="shared" ca="1" si="18"/>
        <v>483</v>
      </c>
      <c r="AB13" s="1">
        <f t="shared" ca="1" si="19"/>
        <v>0.31045513242494294</v>
      </c>
      <c r="AC13" s="1">
        <f t="shared" ca="1" si="20"/>
        <v>925</v>
      </c>
      <c r="AD13" s="1">
        <f t="shared" ca="1" si="21"/>
        <v>8.2241830787602287E-3</v>
      </c>
      <c r="AE13" s="1"/>
      <c r="AF13" s="1">
        <f t="shared" ca="1" si="22"/>
        <v>0.439193965834348</v>
      </c>
      <c r="AG13" s="1">
        <f t="shared" ca="1" si="23"/>
        <v>740</v>
      </c>
      <c r="AH13" s="1">
        <f t="shared" ca="1" si="24"/>
        <v>1.0083969682207678E-3</v>
      </c>
      <c r="AJ13" s="1">
        <f t="shared" ca="1" si="25"/>
        <v>0.2892128459205765</v>
      </c>
      <c r="AK13" s="1">
        <f t="shared" ca="1" si="26"/>
        <v>2.9876982845430515E-3</v>
      </c>
      <c r="AL13" s="1"/>
      <c r="AM13" s="1">
        <f t="shared" ca="1" si="27"/>
        <v>6.494195187452452E-2</v>
      </c>
      <c r="AN13" s="1">
        <f t="shared" ca="1" si="28"/>
        <v>71</v>
      </c>
      <c r="AO13" s="1">
        <f t="shared" ca="1" si="29"/>
        <v>6</v>
      </c>
      <c r="AQ13" s="1">
        <f t="shared" ca="1" si="30"/>
        <v>123</v>
      </c>
      <c r="AR13" s="1">
        <f t="shared" ca="1" si="31"/>
        <v>8</v>
      </c>
      <c r="AS13" s="1">
        <f t="shared" ca="1" si="32"/>
        <v>31</v>
      </c>
      <c r="AU13" s="1">
        <f t="shared" ca="1" si="33"/>
        <v>281</v>
      </c>
      <c r="AV13" s="1">
        <f t="shared" ca="1" si="34"/>
        <v>5</v>
      </c>
      <c r="AW13" s="1">
        <f t="shared" ca="1" si="35"/>
        <v>0.17634416004520853</v>
      </c>
      <c r="AY13" s="1">
        <f t="shared" ca="1" si="36"/>
        <v>1.8092797302576304</v>
      </c>
      <c r="AZ13" s="1">
        <f t="shared" ca="1" si="37"/>
        <v>121</v>
      </c>
      <c r="BA13" s="1">
        <f t="shared" ca="1" si="38"/>
        <v>8.9631175983629213E-3</v>
      </c>
      <c r="BG13" s="1">
        <f t="shared" ca="1" si="39"/>
        <v>0.19945280419376105</v>
      </c>
      <c r="BH13" s="1">
        <f t="shared" ca="1" si="40"/>
        <v>0.76364029849310455</v>
      </c>
      <c r="BI13" s="1">
        <f t="shared" ca="1" si="41"/>
        <v>124</v>
      </c>
      <c r="BV13" s="1">
        <f t="shared" ca="1" si="42"/>
        <v>0.3677729008917241</v>
      </c>
      <c r="BW13" s="1">
        <f t="shared" ca="1" si="43"/>
        <v>481</v>
      </c>
      <c r="BX13" s="1">
        <f t="shared" ca="1" si="44"/>
        <v>1.1770636214162241E-3</v>
      </c>
      <c r="BY13" s="1">
        <f t="shared" ca="1" si="45"/>
        <v>7.5820153639067828E-2</v>
      </c>
      <c r="BZ13" s="1">
        <f t="shared" ca="1" si="46"/>
        <v>0.20642727736713651</v>
      </c>
      <c r="CB13" s="1">
        <f t="shared" ca="1" si="47"/>
        <v>136</v>
      </c>
      <c r="CC13" s="1">
        <f t="shared" ca="1" si="48"/>
        <v>9</v>
      </c>
      <c r="CD13" s="1">
        <f t="shared" ca="1" si="49"/>
        <v>0.18618648161684012</v>
      </c>
      <c r="CE13" s="1">
        <f t="shared" ca="1" si="50"/>
        <v>0.93172262612242296</v>
      </c>
      <c r="CF13" s="1">
        <f t="shared" ca="1" si="50"/>
        <v>0.53835041887523227</v>
      </c>
      <c r="CH13" s="3">
        <f t="shared" ca="1" si="51"/>
        <v>0.56240483232629301</v>
      </c>
      <c r="CI13" s="3">
        <f t="shared" ca="1" si="52"/>
        <v>0.78765461460214936</v>
      </c>
      <c r="CJ13" s="3">
        <f t="shared" ca="1" si="53"/>
        <v>262</v>
      </c>
      <c r="CK13" s="3">
        <f t="shared" ca="1" si="54"/>
        <v>5.1526969667901783E-3</v>
      </c>
      <c r="CL13" s="3">
        <f t="shared" ca="1" si="55"/>
        <v>1</v>
      </c>
      <c r="CM13" s="3"/>
      <c r="CN13" s="1">
        <f t="shared" ca="1" si="56"/>
        <v>0.78102185519725886</v>
      </c>
      <c r="CO13" s="1">
        <f t="shared" ca="1" si="57"/>
        <v>0.46864326748757612</v>
      </c>
      <c r="CP13" s="1">
        <f t="shared" ca="1" si="58"/>
        <v>2</v>
      </c>
      <c r="CV13" s="1">
        <f t="shared" ca="1" si="59"/>
        <v>5.5882542807345477</v>
      </c>
      <c r="CW13" s="1">
        <f t="shared" ca="1" si="60"/>
        <v>207</v>
      </c>
      <c r="CX13" s="1">
        <f t="shared" ca="1" si="61"/>
        <v>7.1993573314474456E-4</v>
      </c>
      <c r="DH13" s="1">
        <f t="shared" ca="1" si="62"/>
        <v>585</v>
      </c>
      <c r="DI13" s="1">
        <f t="shared" ca="1" si="63"/>
        <v>0.61568233021961516</v>
      </c>
      <c r="DJ13" s="1">
        <f t="shared" ca="1" si="64"/>
        <v>27</v>
      </c>
      <c r="DL13" s="1">
        <f t="shared" ca="1" si="65"/>
        <v>4.5070920851306567E-2</v>
      </c>
      <c r="DM13" s="1">
        <f t="shared" ca="1" si="66"/>
        <v>267</v>
      </c>
      <c r="DN13" s="1">
        <f t="shared" ca="1" si="67"/>
        <v>8</v>
      </c>
    </row>
    <row r="14" spans="2:121" x14ac:dyDescent="0.25">
      <c r="B14">
        <f t="shared" ca="1" si="0"/>
        <v>164</v>
      </c>
      <c r="C14">
        <f t="shared" ca="1" si="1"/>
        <v>11</v>
      </c>
      <c r="D14">
        <f t="shared" ca="1" si="2"/>
        <v>1.9757066497318322E-2</v>
      </c>
      <c r="F14" s="1">
        <f t="shared" ca="1" si="3"/>
        <v>9</v>
      </c>
      <c r="G14" s="1">
        <f t="shared" ca="1" si="4"/>
        <v>9</v>
      </c>
      <c r="H14" s="1">
        <f t="shared" ca="1" si="5"/>
        <v>15</v>
      </c>
      <c r="I14" s="1"/>
      <c r="J14" s="1">
        <f t="shared" ca="1" si="6"/>
        <v>22</v>
      </c>
      <c r="K14" s="1">
        <f t="shared" ca="1" si="7"/>
        <v>1.0797741244620855</v>
      </c>
      <c r="L14" s="1">
        <f t="shared" ca="1" si="8"/>
        <v>30</v>
      </c>
      <c r="M14" s="1"/>
      <c r="N14" s="1">
        <f t="shared" ca="1" si="9"/>
        <v>928</v>
      </c>
      <c r="O14" s="1">
        <f t="shared" ca="1" si="10"/>
        <v>35</v>
      </c>
      <c r="P14" s="1"/>
      <c r="Q14" s="1">
        <f t="shared" ca="1" si="11"/>
        <v>1.3804985842786002</v>
      </c>
      <c r="R14" s="1">
        <f t="shared" ca="1" si="12"/>
        <v>563</v>
      </c>
      <c r="S14" s="1"/>
      <c r="T14" s="1">
        <f t="shared" ca="1" si="13"/>
        <v>0.11181758479761389</v>
      </c>
      <c r="U14" s="1">
        <f t="shared" ca="1" si="14"/>
        <v>323</v>
      </c>
      <c r="V14" s="1">
        <f t="shared" ca="1" si="15"/>
        <v>18</v>
      </c>
      <c r="W14" s="1"/>
      <c r="X14" s="1">
        <f t="shared" ca="1" si="16"/>
        <v>7.4499072349849085</v>
      </c>
      <c r="Y14" s="1">
        <f t="shared" ca="1" si="17"/>
        <v>0.51073323045260077</v>
      </c>
      <c r="Z14" s="1">
        <f t="shared" ca="1" si="18"/>
        <v>630</v>
      </c>
      <c r="AB14" s="1">
        <f t="shared" ca="1" si="19"/>
        <v>0.14829086054181326</v>
      </c>
      <c r="AC14" s="1">
        <f t="shared" ca="1" si="20"/>
        <v>868</v>
      </c>
      <c r="AD14" s="1">
        <f t="shared" ca="1" si="21"/>
        <v>7.536208075606554E-3</v>
      </c>
      <c r="AE14" s="1"/>
      <c r="AF14" s="1">
        <f t="shared" ca="1" si="22"/>
        <v>0.75758844045782181</v>
      </c>
      <c r="AG14" s="1">
        <f t="shared" ca="1" si="23"/>
        <v>642</v>
      </c>
      <c r="AH14" s="1">
        <f t="shared" ca="1" si="24"/>
        <v>9.0070282487519429E-3</v>
      </c>
      <c r="AJ14" s="1">
        <f t="shared" ca="1" si="25"/>
        <v>0.40217323636865532</v>
      </c>
      <c r="AK14" s="1">
        <f t="shared" ca="1" si="26"/>
        <v>1.5415644025031025E-3</v>
      </c>
      <c r="AL14" s="1"/>
      <c r="AM14" s="1">
        <f t="shared" ca="1" si="27"/>
        <v>0.18440641576204839</v>
      </c>
      <c r="AN14" s="1">
        <f t="shared" ca="1" si="28"/>
        <v>21</v>
      </c>
      <c r="AO14" s="1">
        <f t="shared" ca="1" si="29"/>
        <v>6</v>
      </c>
      <c r="AQ14" s="1">
        <f t="shared" ca="1" si="30"/>
        <v>180</v>
      </c>
      <c r="AR14" s="1">
        <f t="shared" ca="1" si="31"/>
        <v>5</v>
      </c>
      <c r="AS14" s="1">
        <f t="shared" ca="1" si="32"/>
        <v>20</v>
      </c>
      <c r="AU14" s="1">
        <f t="shared" ca="1" si="33"/>
        <v>341</v>
      </c>
      <c r="AV14" s="1">
        <f t="shared" ca="1" si="34"/>
        <v>8</v>
      </c>
      <c r="AW14" s="1">
        <f t="shared" ca="1" si="35"/>
        <v>0.18753661238652161</v>
      </c>
      <c r="AY14" s="1">
        <f t="shared" ca="1" si="36"/>
        <v>1.9551104808512481</v>
      </c>
      <c r="AZ14" s="1">
        <f t="shared" ca="1" si="37"/>
        <v>475</v>
      </c>
      <c r="BA14" s="1">
        <f t="shared" ca="1" si="38"/>
        <v>4.9915373305851355E-3</v>
      </c>
      <c r="BG14" s="1">
        <f t="shared" ca="1" si="39"/>
        <v>0.70651642259195579</v>
      </c>
      <c r="BH14" s="1">
        <f t="shared" ca="1" si="40"/>
        <v>0.24794880379061635</v>
      </c>
      <c r="BI14" s="1">
        <f t="shared" ca="1" si="41"/>
        <v>424</v>
      </c>
      <c r="BV14" s="1">
        <f t="shared" ca="1" si="42"/>
        <v>1.050112539406373E-2</v>
      </c>
      <c r="BW14" s="1">
        <f t="shared" ca="1" si="43"/>
        <v>816</v>
      </c>
      <c r="BX14" s="1">
        <f t="shared" ca="1" si="44"/>
        <v>3.7287683840146911E-3</v>
      </c>
      <c r="BY14" s="1">
        <f t="shared" ca="1" si="45"/>
        <v>8.6363997969835349E-2</v>
      </c>
      <c r="BZ14" s="1">
        <f t="shared" ca="1" si="46"/>
        <v>0.60024425342100463</v>
      </c>
      <c r="CB14" s="1">
        <f t="shared" ca="1" si="47"/>
        <v>319</v>
      </c>
      <c r="CC14" s="1">
        <f t="shared" ca="1" si="48"/>
        <v>13</v>
      </c>
      <c r="CD14" s="1">
        <f t="shared" ca="1" si="49"/>
        <v>0.18974807864487636</v>
      </c>
      <c r="CE14" s="1">
        <f t="shared" ca="1" si="50"/>
        <v>0.9573504091536118</v>
      </c>
      <c r="CF14" s="1">
        <f t="shared" ca="1" si="50"/>
        <v>0.89490490457925465</v>
      </c>
      <c r="CH14" s="3">
        <f t="shared" ca="1" si="51"/>
        <v>9.8270954032156771E-2</v>
      </c>
      <c r="CI14" s="3">
        <f t="shared" ca="1" si="52"/>
        <v>0.96431457046103963</v>
      </c>
      <c r="CJ14" s="3">
        <f t="shared" ca="1" si="53"/>
        <v>459</v>
      </c>
      <c r="CK14" s="3">
        <f t="shared" ca="1" si="54"/>
        <v>4.0100936779212167E-3</v>
      </c>
      <c r="CL14" s="3">
        <f t="shared" ca="1" si="55"/>
        <v>1</v>
      </c>
      <c r="CM14" s="3"/>
      <c r="CN14" s="1">
        <f t="shared" ca="1" si="56"/>
        <v>17.74958682920618</v>
      </c>
      <c r="CO14" s="1">
        <f t="shared" ca="1" si="57"/>
        <v>0.3803281857940205</v>
      </c>
      <c r="CP14" s="1">
        <f t="shared" ca="1" si="58"/>
        <v>2</v>
      </c>
      <c r="CV14" s="1">
        <f t="shared" ca="1" si="59"/>
        <v>6.7184273978845734</v>
      </c>
      <c r="CW14" s="1">
        <f t="shared" ca="1" si="60"/>
        <v>1127</v>
      </c>
      <c r="CX14" s="1">
        <f t="shared" ca="1" si="61"/>
        <v>2.0515486654109614E-3</v>
      </c>
      <c r="DH14" s="1">
        <f t="shared" ca="1" si="62"/>
        <v>619</v>
      </c>
      <c r="DI14" s="1">
        <f t="shared" ca="1" si="63"/>
        <v>0.42258091570251277</v>
      </c>
      <c r="DJ14" s="1">
        <f t="shared" ca="1" si="64"/>
        <v>29</v>
      </c>
      <c r="DL14" s="1">
        <f t="shared" ca="1" si="65"/>
        <v>0.18575038590528542</v>
      </c>
      <c r="DM14" s="1">
        <f t="shared" ca="1" si="66"/>
        <v>105</v>
      </c>
      <c r="DN14" s="1">
        <f t="shared" ca="1" si="67"/>
        <v>6</v>
      </c>
    </row>
    <row r="15" spans="2:121" x14ac:dyDescent="0.25">
      <c r="B15">
        <f t="shared" ca="1" si="0"/>
        <v>929</v>
      </c>
      <c r="C15">
        <f t="shared" ca="1" si="1"/>
        <v>17</v>
      </c>
      <c r="D15">
        <f t="shared" ca="1" si="2"/>
        <v>0.26819516693364792</v>
      </c>
      <c r="F15" s="1">
        <f t="shared" ca="1" si="3"/>
        <v>10</v>
      </c>
      <c r="G15" s="1">
        <f t="shared" ca="1" si="4"/>
        <v>8</v>
      </c>
      <c r="H15" s="1">
        <f t="shared" ca="1" si="5"/>
        <v>8</v>
      </c>
      <c r="I15" s="1"/>
      <c r="J15" s="1">
        <f t="shared" ca="1" si="6"/>
        <v>18</v>
      </c>
      <c r="K15" s="1">
        <f t="shared" ca="1" si="7"/>
        <v>1.7852150906094368</v>
      </c>
      <c r="L15" s="1">
        <f t="shared" ca="1" si="8"/>
        <v>31</v>
      </c>
      <c r="M15" s="1"/>
      <c r="N15" s="1">
        <f t="shared" ca="1" si="9"/>
        <v>629</v>
      </c>
      <c r="O15" s="1">
        <f t="shared" ca="1" si="10"/>
        <v>47</v>
      </c>
      <c r="P15" s="1"/>
      <c r="Q15" s="1">
        <f t="shared" ca="1" si="11"/>
        <v>4.6256675855313709</v>
      </c>
      <c r="R15" s="1">
        <f t="shared" ca="1" si="12"/>
        <v>617</v>
      </c>
      <c r="S15" s="1"/>
      <c r="T15" s="1">
        <f t="shared" ca="1" si="13"/>
        <v>1.9746373423329237E-2</v>
      </c>
      <c r="U15" s="1">
        <f t="shared" ca="1" si="14"/>
        <v>449</v>
      </c>
      <c r="V15" s="1">
        <f t="shared" ca="1" si="15"/>
        <v>3</v>
      </c>
      <c r="W15" s="1"/>
      <c r="X15" s="1">
        <f t="shared" ca="1" si="16"/>
        <v>3.8114117238375371</v>
      </c>
      <c r="Y15" s="1">
        <f t="shared" ca="1" si="17"/>
        <v>0.1735039369442975</v>
      </c>
      <c r="Z15" s="1">
        <f t="shared" ca="1" si="18"/>
        <v>1050</v>
      </c>
      <c r="AB15" s="1">
        <f t="shared" ca="1" si="19"/>
        <v>0.22398469530696175</v>
      </c>
      <c r="AC15" s="1">
        <f t="shared" ca="1" si="20"/>
        <v>981</v>
      </c>
      <c r="AD15" s="1">
        <f t="shared" ca="1" si="21"/>
        <v>6.8818824814335221E-3</v>
      </c>
      <c r="AE15" s="1"/>
      <c r="AF15" s="1">
        <f t="shared" ca="1" si="22"/>
        <v>0.12173938621020658</v>
      </c>
      <c r="AG15" s="1">
        <f t="shared" ca="1" si="23"/>
        <v>792</v>
      </c>
      <c r="AH15" s="1">
        <f t="shared" ca="1" si="24"/>
        <v>7.6914935153019701E-3</v>
      </c>
      <c r="AJ15" s="1">
        <f t="shared" ca="1" si="25"/>
        <v>0.43682149242618074</v>
      </c>
      <c r="AK15" s="1">
        <f t="shared" ca="1" si="26"/>
        <v>2.4712232711214303E-3</v>
      </c>
      <c r="AL15" s="1"/>
      <c r="AM15" s="1">
        <f t="shared" ca="1" si="27"/>
        <v>4.9803956465448523E-2</v>
      </c>
      <c r="AN15" s="1">
        <f t="shared" ca="1" si="28"/>
        <v>44</v>
      </c>
      <c r="AO15" s="1">
        <f t="shared" ca="1" si="29"/>
        <v>3</v>
      </c>
      <c r="AQ15" s="1">
        <f t="shared" ca="1" si="30"/>
        <v>147</v>
      </c>
      <c r="AR15" s="1">
        <f t="shared" ca="1" si="31"/>
        <v>9</v>
      </c>
      <c r="AS15" s="1">
        <f t="shared" ca="1" si="32"/>
        <v>32</v>
      </c>
      <c r="AU15" s="1">
        <f t="shared" ca="1" si="33"/>
        <v>325</v>
      </c>
      <c r="AV15" s="1">
        <f t="shared" ca="1" si="34"/>
        <v>10</v>
      </c>
      <c r="AW15" s="1">
        <f t="shared" ca="1" si="35"/>
        <v>0.18780914026083056</v>
      </c>
      <c r="AY15" s="1">
        <f t="shared" ca="1" si="36"/>
        <v>1.2828968020507865</v>
      </c>
      <c r="AZ15" s="1">
        <f t="shared" ca="1" si="37"/>
        <v>346</v>
      </c>
      <c r="BA15" s="1">
        <f t="shared" ca="1" si="38"/>
        <v>2.5103336873004006E-3</v>
      </c>
      <c r="BG15" s="1">
        <f t="shared" ca="1" si="39"/>
        <v>0.18804212150381464</v>
      </c>
      <c r="BH15" s="1">
        <f t="shared" ca="1" si="40"/>
        <v>0.10992656141946167</v>
      </c>
      <c r="BI15" s="1">
        <f t="shared" ca="1" si="41"/>
        <v>996</v>
      </c>
      <c r="BV15" s="1">
        <f t="shared" ca="1" si="42"/>
        <v>0.8238829392026803</v>
      </c>
      <c r="BW15" s="1">
        <f t="shared" ca="1" si="43"/>
        <v>365</v>
      </c>
      <c r="BX15" s="1">
        <f t="shared" ca="1" si="44"/>
        <v>3.1569500760226616E-3</v>
      </c>
      <c r="BY15" s="1">
        <f t="shared" ca="1" si="45"/>
        <v>8.082405611851122E-2</v>
      </c>
      <c r="BZ15" s="1">
        <f t="shared" ca="1" si="46"/>
        <v>0.62912792194239719</v>
      </c>
      <c r="CB15" s="1">
        <f t="shared" ca="1" si="47"/>
        <v>413</v>
      </c>
      <c r="CC15" s="1">
        <f t="shared" ca="1" si="48"/>
        <v>12</v>
      </c>
      <c r="CD15" s="1">
        <f t="shared" ca="1" si="49"/>
        <v>0.20935680667915876</v>
      </c>
      <c r="CE15" s="1">
        <f t="shared" ca="1" si="50"/>
        <v>0.51759317871910215</v>
      </c>
      <c r="CF15" s="1">
        <f t="shared" ca="1" si="50"/>
        <v>0.66484533929738077</v>
      </c>
      <c r="CH15" s="3">
        <f t="shared" ca="1" si="51"/>
        <v>0.92014979626426685</v>
      </c>
      <c r="CI15" s="3">
        <f t="shared" ca="1" si="52"/>
        <v>0.63504249422470638</v>
      </c>
      <c r="CJ15" s="3">
        <f t="shared" ca="1" si="53"/>
        <v>699</v>
      </c>
      <c r="CK15" s="3">
        <f t="shared" ca="1" si="54"/>
        <v>7.863627186337244E-3</v>
      </c>
      <c r="CL15" s="3">
        <f t="shared" ca="1" si="55"/>
        <v>0</v>
      </c>
      <c r="CM15" s="3"/>
      <c r="CN15" s="1">
        <f t="shared" ca="1" si="56"/>
        <v>9.5432577458551613</v>
      </c>
      <c r="CO15" s="1">
        <f t="shared" ca="1" si="57"/>
        <v>0.25504921911519546</v>
      </c>
      <c r="CP15" s="1">
        <f t="shared" ca="1" si="58"/>
        <v>3</v>
      </c>
      <c r="CV15" s="1">
        <f t="shared" ca="1" si="59"/>
        <v>2.6547224894768999</v>
      </c>
      <c r="CW15" s="1">
        <f t="shared" ca="1" si="60"/>
        <v>227</v>
      </c>
      <c r="CX15" s="1">
        <f t="shared" ca="1" si="61"/>
        <v>2.0983296355319048E-3</v>
      </c>
      <c r="DH15" s="1">
        <f t="shared" ca="1" si="62"/>
        <v>775</v>
      </c>
      <c r="DI15" s="1">
        <f t="shared" ca="1" si="63"/>
        <v>4.7201594755192457E-2</v>
      </c>
      <c r="DJ15" s="1">
        <f t="shared" ca="1" si="64"/>
        <v>24</v>
      </c>
      <c r="DL15" s="1">
        <f t="shared" ca="1" si="65"/>
        <v>8.8727545262011265E-2</v>
      </c>
      <c r="DM15" s="1">
        <f t="shared" ca="1" si="66"/>
        <v>246</v>
      </c>
      <c r="DN15" s="1">
        <f t="shared" ca="1" si="67"/>
        <v>3</v>
      </c>
    </row>
    <row r="16" spans="2:121" x14ac:dyDescent="0.25">
      <c r="B16">
        <f t="shared" ca="1" si="0"/>
        <v>22</v>
      </c>
      <c r="C16">
        <f t="shared" ca="1" si="1"/>
        <v>50</v>
      </c>
      <c r="D16">
        <f t="shared" ca="1" si="2"/>
        <v>0.16072484725178987</v>
      </c>
      <c r="F16" s="1">
        <f t="shared" ca="1" si="3"/>
        <v>37</v>
      </c>
      <c r="G16" s="1">
        <f t="shared" ca="1" si="4"/>
        <v>11</v>
      </c>
      <c r="H16" s="1">
        <f t="shared" ca="1" si="5"/>
        <v>6</v>
      </c>
      <c r="I16" s="1"/>
      <c r="J16" s="1">
        <f t="shared" ca="1" si="6"/>
        <v>1</v>
      </c>
      <c r="K16" s="1">
        <f t="shared" ca="1" si="7"/>
        <v>2.2442790154478125</v>
      </c>
      <c r="L16" s="1">
        <f t="shared" ca="1" si="8"/>
        <v>32</v>
      </c>
      <c r="M16" s="1"/>
      <c r="N16" s="1">
        <f t="shared" ca="1" si="9"/>
        <v>428</v>
      </c>
      <c r="O16" s="1">
        <f t="shared" ca="1" si="10"/>
        <v>27</v>
      </c>
      <c r="P16" s="1"/>
      <c r="Q16" s="1">
        <f t="shared" ca="1" si="11"/>
        <v>3.1312556132717537</v>
      </c>
      <c r="R16" s="1">
        <f t="shared" ca="1" si="12"/>
        <v>525</v>
      </c>
      <c r="S16" s="1"/>
      <c r="T16" s="1">
        <f t="shared" ca="1" si="13"/>
        <v>1.9533264179971806E-2</v>
      </c>
      <c r="U16" s="1">
        <f t="shared" ca="1" si="14"/>
        <v>282</v>
      </c>
      <c r="V16" s="1">
        <f t="shared" ca="1" si="15"/>
        <v>43</v>
      </c>
      <c r="W16" s="1"/>
      <c r="X16" s="1">
        <f t="shared" ca="1" si="16"/>
        <v>0.54023411827586709</v>
      </c>
      <c r="Y16" s="1">
        <f t="shared" ca="1" si="17"/>
        <v>0.94457236564023972</v>
      </c>
      <c r="Z16" s="1">
        <f t="shared" ca="1" si="18"/>
        <v>247</v>
      </c>
      <c r="AB16" s="1">
        <f t="shared" ca="1" si="19"/>
        <v>0.87507920277026463</v>
      </c>
      <c r="AC16" s="1">
        <f t="shared" ca="1" si="20"/>
        <v>552</v>
      </c>
      <c r="AD16" s="1">
        <f t="shared" ca="1" si="21"/>
        <v>7.6556217847777676E-3</v>
      </c>
      <c r="AE16" s="1"/>
      <c r="AF16" s="1">
        <f t="shared" ca="1" si="22"/>
        <v>0.39898313900198079</v>
      </c>
      <c r="AG16" s="1">
        <f t="shared" ca="1" si="23"/>
        <v>993</v>
      </c>
      <c r="AH16" s="1">
        <f t="shared" ca="1" si="24"/>
        <v>8.9725079903680803E-3</v>
      </c>
      <c r="AJ16" s="1">
        <f t="shared" ca="1" si="25"/>
        <v>0.85773908518355291</v>
      </c>
      <c r="AK16" s="1">
        <f t="shared" ca="1" si="26"/>
        <v>8.8224641386664224E-3</v>
      </c>
      <c r="AL16" s="1"/>
      <c r="AM16" s="1">
        <f t="shared" ca="1" si="27"/>
        <v>0.14348742009132673</v>
      </c>
      <c r="AN16" s="1">
        <f t="shared" ca="1" si="28"/>
        <v>48</v>
      </c>
      <c r="AO16" s="1">
        <f t="shared" ca="1" si="29"/>
        <v>11</v>
      </c>
      <c r="AQ16" s="1">
        <f t="shared" ca="1" si="30"/>
        <v>124</v>
      </c>
      <c r="AR16" s="1">
        <f t="shared" ca="1" si="31"/>
        <v>8</v>
      </c>
      <c r="AS16" s="1">
        <f t="shared" ca="1" si="32"/>
        <v>14</v>
      </c>
      <c r="AU16" s="1">
        <f t="shared" ca="1" si="33"/>
        <v>228</v>
      </c>
      <c r="AV16" s="1">
        <f t="shared" ca="1" si="34"/>
        <v>4</v>
      </c>
      <c r="AW16" s="1">
        <f t="shared" ca="1" si="35"/>
        <v>1.8570687837941385E-2</v>
      </c>
      <c r="AY16" s="1">
        <f t="shared" ca="1" si="36"/>
        <v>1.9619322271241861</v>
      </c>
      <c r="AZ16" s="1">
        <f t="shared" ca="1" si="37"/>
        <v>149</v>
      </c>
      <c r="BA16" s="1">
        <f t="shared" ca="1" si="38"/>
        <v>3.1188426718945332E-3</v>
      </c>
      <c r="BG16" s="1">
        <f t="shared" ca="1" si="39"/>
        <v>0.19969371976691658</v>
      </c>
      <c r="BH16" s="1">
        <f t="shared" ca="1" si="40"/>
        <v>0.22966182127770551</v>
      </c>
      <c r="BI16" s="1">
        <f t="shared" ca="1" si="41"/>
        <v>125</v>
      </c>
      <c r="BV16" s="1">
        <f t="shared" ca="1" si="42"/>
        <v>0.57106081207685855</v>
      </c>
      <c r="BW16" s="1">
        <f t="shared" ca="1" si="43"/>
        <v>757</v>
      </c>
      <c r="BX16" s="1">
        <f t="shared" ca="1" si="44"/>
        <v>9.543093437642931E-5</v>
      </c>
      <c r="BY16" s="1">
        <f t="shared" ca="1" si="45"/>
        <v>3.7772395941028894E-2</v>
      </c>
      <c r="BZ16" s="1">
        <f t="shared" ca="1" si="46"/>
        <v>0.28077710566095626</v>
      </c>
      <c r="CB16" s="1">
        <f t="shared" ca="1" si="47"/>
        <v>223</v>
      </c>
      <c r="CC16" s="1">
        <f t="shared" ca="1" si="48"/>
        <v>14</v>
      </c>
      <c r="CD16" s="1">
        <f t="shared" ca="1" si="49"/>
        <v>9.1243488220998106E-2</v>
      </c>
      <c r="CE16" s="1">
        <f t="shared" ca="1" si="50"/>
        <v>0.61911973620695493</v>
      </c>
      <c r="CF16" s="1">
        <f t="shared" ca="1" si="50"/>
        <v>0.77184822684403032</v>
      </c>
      <c r="CH16" s="3">
        <f t="shared" ca="1" si="51"/>
        <v>9.659178426389177E-2</v>
      </c>
      <c r="CI16" s="3">
        <f t="shared" ca="1" si="52"/>
        <v>0.6616892781793553</v>
      </c>
      <c r="CJ16" s="3">
        <f t="shared" ca="1" si="53"/>
        <v>414</v>
      </c>
      <c r="CK16" s="3">
        <f t="shared" ca="1" si="54"/>
        <v>3.1683600005284586E-3</v>
      </c>
      <c r="CL16" s="3">
        <f t="shared" ca="1" si="55"/>
        <v>0</v>
      </c>
      <c r="CM16" s="3"/>
      <c r="CN16" s="1">
        <f t="shared" ca="1" si="56"/>
        <v>19.999109956120371</v>
      </c>
      <c r="CO16" s="1">
        <f t="shared" ca="1" si="57"/>
        <v>5.0919228654826607E-2</v>
      </c>
      <c r="CP16" s="1">
        <f t="shared" ca="1" si="58"/>
        <v>3</v>
      </c>
      <c r="CV16" s="1">
        <f t="shared" ca="1" si="59"/>
        <v>3.1986943177739722</v>
      </c>
      <c r="CW16" s="1">
        <f t="shared" ca="1" si="60"/>
        <v>1268</v>
      </c>
      <c r="CX16" s="1">
        <f t="shared" ca="1" si="61"/>
        <v>2.6533525416936321E-3</v>
      </c>
      <c r="DH16" s="1">
        <f t="shared" ca="1" si="62"/>
        <v>327</v>
      </c>
      <c r="DI16" s="1">
        <f t="shared" ca="1" si="63"/>
        <v>0.94093891007179964</v>
      </c>
      <c r="DJ16" s="1">
        <f t="shared" ca="1" si="64"/>
        <v>2</v>
      </c>
      <c r="DL16" s="1">
        <f t="shared" ca="1" si="65"/>
        <v>0.14145251616568927</v>
      </c>
      <c r="DM16" s="1">
        <f t="shared" ca="1" si="66"/>
        <v>139</v>
      </c>
      <c r="DN16" s="1">
        <f t="shared" ca="1" si="67"/>
        <v>5</v>
      </c>
    </row>
    <row r="17" spans="2:118" x14ac:dyDescent="0.25">
      <c r="B17">
        <f t="shared" ca="1" si="0"/>
        <v>923</v>
      </c>
      <c r="C17">
        <f t="shared" ca="1" si="1"/>
        <v>32</v>
      </c>
      <c r="D17">
        <f t="shared" ca="1" si="2"/>
        <v>9.4807078344664356E-2</v>
      </c>
      <c r="F17" s="1">
        <f t="shared" ca="1" si="3"/>
        <v>43</v>
      </c>
      <c r="G17" s="1">
        <f t="shared" ca="1" si="4"/>
        <v>24</v>
      </c>
      <c r="H17" s="1">
        <f t="shared" ca="1" si="5"/>
        <v>14</v>
      </c>
      <c r="I17" s="1"/>
      <c r="J17" s="1">
        <f t="shared" ca="1" si="6"/>
        <v>20</v>
      </c>
      <c r="K17" s="1">
        <f t="shared" ca="1" si="7"/>
        <v>1.0639593210662956</v>
      </c>
      <c r="L17" s="1">
        <f t="shared" ca="1" si="8"/>
        <v>14</v>
      </c>
      <c r="M17" s="1"/>
      <c r="N17" s="1">
        <f t="shared" ca="1" si="9"/>
        <v>427</v>
      </c>
      <c r="O17" s="1">
        <f t="shared" ca="1" si="10"/>
        <v>31</v>
      </c>
      <c r="P17" s="1"/>
      <c r="Q17" s="1">
        <f t="shared" ca="1" si="11"/>
        <v>2.4632941307912484</v>
      </c>
      <c r="R17" s="1">
        <f t="shared" ca="1" si="12"/>
        <v>739</v>
      </c>
      <c r="S17" s="1"/>
      <c r="T17" s="1">
        <f t="shared" ca="1" si="13"/>
        <v>9.3494010680205561E-2</v>
      </c>
      <c r="U17" s="1">
        <f t="shared" ca="1" si="14"/>
        <v>375</v>
      </c>
      <c r="V17" s="1">
        <f t="shared" ca="1" si="15"/>
        <v>23</v>
      </c>
      <c r="W17" s="1"/>
      <c r="X17" s="1">
        <f t="shared" ca="1" si="16"/>
        <v>9.8759516903625926</v>
      </c>
      <c r="Y17" s="1">
        <f t="shared" ca="1" si="17"/>
        <v>0.92225926442227391</v>
      </c>
      <c r="Z17" s="1">
        <f t="shared" ca="1" si="18"/>
        <v>1089</v>
      </c>
      <c r="AB17" s="1">
        <f t="shared" ca="1" si="19"/>
        <v>0.77608175345258212</v>
      </c>
      <c r="AC17" s="1">
        <f t="shared" ca="1" si="20"/>
        <v>565</v>
      </c>
      <c r="AD17" s="1">
        <f t="shared" ca="1" si="21"/>
        <v>8.3495382255522194E-3</v>
      </c>
      <c r="AE17" s="1"/>
      <c r="AF17" s="1">
        <f t="shared" ca="1" si="22"/>
        <v>0.68149598241272646</v>
      </c>
      <c r="AG17" s="1">
        <f t="shared" ca="1" si="23"/>
        <v>725</v>
      </c>
      <c r="AH17" s="1">
        <f t="shared" ca="1" si="24"/>
        <v>4.7328568622009301E-3</v>
      </c>
      <c r="AJ17" s="1">
        <f t="shared" ca="1" si="25"/>
        <v>0.37610035720961643</v>
      </c>
      <c r="AK17" s="1">
        <f t="shared" ca="1" si="26"/>
        <v>2.9094034282535009E-3</v>
      </c>
      <c r="AL17" s="1"/>
      <c r="AM17" s="1">
        <f t="shared" ca="1" si="27"/>
        <v>9.1131642863177577E-3</v>
      </c>
      <c r="AN17" s="1">
        <f t="shared" ca="1" si="28"/>
        <v>66</v>
      </c>
      <c r="AO17" s="1">
        <f t="shared" ca="1" si="29"/>
        <v>14</v>
      </c>
      <c r="AQ17" s="1">
        <f t="shared" ca="1" si="30"/>
        <v>149</v>
      </c>
      <c r="AR17" s="1">
        <f t="shared" ca="1" si="31"/>
        <v>3</v>
      </c>
      <c r="AS17" s="1">
        <f t="shared" ca="1" si="32"/>
        <v>71</v>
      </c>
      <c r="AU17" s="1">
        <f t="shared" ca="1" si="33"/>
        <v>359</v>
      </c>
      <c r="AV17" s="1">
        <f t="shared" ca="1" si="34"/>
        <v>5</v>
      </c>
      <c r="AW17" s="1">
        <f t="shared" ca="1" si="35"/>
        <v>0.15840943103500141</v>
      </c>
      <c r="AY17" s="1">
        <f t="shared" ca="1" si="36"/>
        <v>1.9447378741453702</v>
      </c>
      <c r="AZ17" s="1">
        <f t="shared" ca="1" si="37"/>
        <v>133</v>
      </c>
      <c r="BA17" s="1">
        <f t="shared" ca="1" si="38"/>
        <v>6.6248493746025074E-3</v>
      </c>
      <c r="BG17" s="1">
        <f t="shared" ca="1" si="39"/>
        <v>0.78230485467400113</v>
      </c>
      <c r="BH17" s="1">
        <f t="shared" ca="1" si="40"/>
        <v>0.4970500073972508</v>
      </c>
      <c r="BI17" s="1">
        <f t="shared" ca="1" si="41"/>
        <v>514</v>
      </c>
      <c r="BV17" s="1">
        <f t="shared" ca="1" si="42"/>
        <v>0.5900529817097746</v>
      </c>
      <c r="BW17" s="1">
        <f t="shared" ca="1" si="43"/>
        <v>753</v>
      </c>
      <c r="BX17" s="1">
        <f t="shared" ca="1" si="44"/>
        <v>3.5465301295955847E-3</v>
      </c>
      <c r="BY17" s="1">
        <f t="shared" ca="1" si="45"/>
        <v>3.4626183213144752E-3</v>
      </c>
      <c r="BZ17" s="1">
        <f t="shared" ca="1" si="46"/>
        <v>0.53310132282862677</v>
      </c>
      <c r="CB17" s="1">
        <f t="shared" ca="1" si="47"/>
        <v>296</v>
      </c>
      <c r="CC17" s="1">
        <f t="shared" ca="1" si="48"/>
        <v>10</v>
      </c>
      <c r="CD17" s="1">
        <f t="shared" ca="1" si="49"/>
        <v>0.22566899145294239</v>
      </c>
      <c r="CE17" s="1">
        <f t="shared" ca="1" si="50"/>
        <v>0.50571180137659422</v>
      </c>
      <c r="CF17" s="1">
        <f t="shared" ca="1" si="50"/>
        <v>0.97399826061862316</v>
      </c>
      <c r="CH17" s="3">
        <f t="shared" ca="1" si="51"/>
        <v>0.10315436673224297</v>
      </c>
      <c r="CI17" s="3">
        <f t="shared" ca="1" si="52"/>
        <v>0.20822629397797462</v>
      </c>
      <c r="CJ17" s="3">
        <f t="shared" ca="1" si="53"/>
        <v>1102</v>
      </c>
      <c r="CK17" s="3">
        <f t="shared" ca="1" si="54"/>
        <v>9.6810034233687386E-4</v>
      </c>
      <c r="CL17" s="3">
        <f t="shared" ca="1" si="55"/>
        <v>1</v>
      </c>
      <c r="CM17" s="3"/>
      <c r="CN17" s="1">
        <f t="shared" ca="1" si="56"/>
        <v>14.516185050045783</v>
      </c>
      <c r="CO17" s="1">
        <f t="shared" ca="1" si="57"/>
        <v>0.40682290095336493</v>
      </c>
      <c r="CP17" s="1">
        <f t="shared" ca="1" si="58"/>
        <v>2</v>
      </c>
      <c r="CV17" s="1">
        <f t="shared" ca="1" si="59"/>
        <v>7.8742270578691382</v>
      </c>
      <c r="CW17" s="1">
        <f t="shared" ca="1" si="60"/>
        <v>429</v>
      </c>
      <c r="CX17" s="1">
        <f t="shared" ca="1" si="61"/>
        <v>8.8906573491689816E-3</v>
      </c>
      <c r="DH17" s="1">
        <f t="shared" ca="1" si="62"/>
        <v>837</v>
      </c>
      <c r="DI17" s="1">
        <f t="shared" ca="1" si="63"/>
        <v>0.13969190417952554</v>
      </c>
      <c r="DJ17" s="1">
        <f t="shared" ca="1" si="64"/>
        <v>19</v>
      </c>
      <c r="DL17" s="1">
        <f t="shared" ca="1" si="65"/>
        <v>5.2594242924507185E-2</v>
      </c>
      <c r="DM17" s="1">
        <f t="shared" ca="1" si="66"/>
        <v>166</v>
      </c>
      <c r="DN17" s="1">
        <f t="shared" ca="1" si="67"/>
        <v>9</v>
      </c>
    </row>
    <row r="18" spans="2:118" x14ac:dyDescent="0.25">
      <c r="B18">
        <f t="shared" ca="1" si="0"/>
        <v>76</v>
      </c>
      <c r="C18">
        <f t="shared" ca="1" si="1"/>
        <v>12</v>
      </c>
      <c r="D18">
        <f t="shared" ca="1" si="2"/>
        <v>0.28838129168268073</v>
      </c>
      <c r="F18" s="1">
        <f t="shared" ca="1" si="3"/>
        <v>21</v>
      </c>
      <c r="G18" s="1">
        <f t="shared" ca="1" si="4"/>
        <v>13</v>
      </c>
      <c r="H18" s="1">
        <f t="shared" ca="1" si="5"/>
        <v>7</v>
      </c>
      <c r="I18" s="1"/>
      <c r="J18" s="1">
        <f t="shared" ca="1" si="6"/>
        <v>32</v>
      </c>
      <c r="K18" s="1">
        <f t="shared" ca="1" si="7"/>
        <v>1.9055115494894455</v>
      </c>
      <c r="L18" s="1">
        <f t="shared" ca="1" si="8"/>
        <v>19</v>
      </c>
      <c r="M18" s="1"/>
      <c r="N18" s="1">
        <f t="shared" ca="1" si="9"/>
        <v>811</v>
      </c>
      <c r="O18" s="1">
        <f t="shared" ca="1" si="10"/>
        <v>37</v>
      </c>
      <c r="P18" s="1"/>
      <c r="Q18" s="1">
        <f t="shared" ca="1" si="11"/>
        <v>4.7831145192585502</v>
      </c>
      <c r="R18" s="1">
        <f t="shared" ca="1" si="12"/>
        <v>817</v>
      </c>
      <c r="S18" s="1"/>
      <c r="T18" s="1">
        <f t="shared" ca="1" si="13"/>
        <v>0.1863978872845061</v>
      </c>
      <c r="U18" s="1">
        <f t="shared" ca="1" si="14"/>
        <v>121</v>
      </c>
      <c r="V18" s="1">
        <f t="shared" ca="1" si="15"/>
        <v>14</v>
      </c>
      <c r="W18" s="1"/>
      <c r="X18" s="1">
        <f t="shared" ca="1" si="16"/>
        <v>5.2227100221034277</v>
      </c>
      <c r="Y18" s="1">
        <f t="shared" ca="1" si="17"/>
        <v>0.94812718925019146</v>
      </c>
      <c r="Z18" s="1">
        <f t="shared" ca="1" si="18"/>
        <v>906</v>
      </c>
      <c r="AB18" s="1">
        <f t="shared" ca="1" si="19"/>
        <v>0.57531430016333174</v>
      </c>
      <c r="AC18" s="1">
        <f t="shared" ca="1" si="20"/>
        <v>604</v>
      </c>
      <c r="AD18" s="1">
        <f t="shared" ca="1" si="21"/>
        <v>8.1285882599925561E-3</v>
      </c>
      <c r="AE18" s="1"/>
      <c r="AF18" s="1">
        <f t="shared" ca="1" si="22"/>
        <v>0.27263604338418668</v>
      </c>
      <c r="AG18" s="1">
        <f t="shared" ca="1" si="23"/>
        <v>105</v>
      </c>
      <c r="AH18" s="1">
        <f t="shared" ca="1" si="24"/>
        <v>9.4619070629034161E-4</v>
      </c>
      <c r="AJ18" s="1">
        <f t="shared" ca="1" si="25"/>
        <v>0.90496378391595589</v>
      </c>
      <c r="AK18" s="1">
        <f t="shared" ca="1" si="26"/>
        <v>6.035094097128409E-3</v>
      </c>
      <c r="AL18" s="1"/>
      <c r="AM18" s="1">
        <f t="shared" ca="1" si="27"/>
        <v>0.12313723626964837</v>
      </c>
      <c r="AN18" s="1">
        <f t="shared" ca="1" si="28"/>
        <v>43</v>
      </c>
      <c r="AO18" s="1">
        <f t="shared" ca="1" si="29"/>
        <v>5</v>
      </c>
      <c r="AQ18" s="1">
        <f t="shared" ca="1" si="30"/>
        <v>33</v>
      </c>
      <c r="AR18" s="1">
        <f t="shared" ca="1" si="31"/>
        <v>2</v>
      </c>
      <c r="AS18" s="1">
        <f t="shared" ca="1" si="32"/>
        <v>35</v>
      </c>
      <c r="AU18" s="1">
        <f t="shared" ca="1" si="33"/>
        <v>91</v>
      </c>
      <c r="AV18" s="1">
        <f t="shared" ca="1" si="34"/>
        <v>8</v>
      </c>
      <c r="AW18" s="1">
        <f t="shared" ca="1" si="35"/>
        <v>0.16574140421501021</v>
      </c>
      <c r="AY18" s="1">
        <f t="shared" ca="1" si="36"/>
        <v>1.587706457735568</v>
      </c>
      <c r="AZ18" s="1">
        <f t="shared" ca="1" si="37"/>
        <v>245</v>
      </c>
      <c r="BA18" s="1">
        <f t="shared" ca="1" si="38"/>
        <v>2.8466645245344407E-3</v>
      </c>
      <c r="BG18" s="1">
        <f t="shared" ca="1" si="39"/>
        <v>0.62824904396455872</v>
      </c>
      <c r="BH18" s="1">
        <f t="shared" ca="1" si="40"/>
        <v>0.54144531025096387</v>
      </c>
      <c r="BI18" s="1">
        <f t="shared" ca="1" si="41"/>
        <v>907</v>
      </c>
      <c r="BV18" s="1">
        <f t="shared" ca="1" si="42"/>
        <v>0.67414755593484055</v>
      </c>
      <c r="BW18" s="1">
        <f t="shared" ca="1" si="43"/>
        <v>600</v>
      </c>
      <c r="BX18" s="1">
        <f t="shared" ca="1" si="44"/>
        <v>4.7164726359194362E-3</v>
      </c>
      <c r="BY18" s="1">
        <f t="shared" ca="1" si="45"/>
        <v>3.6209009889388348E-2</v>
      </c>
      <c r="BZ18" s="1">
        <f t="shared" ca="1" si="46"/>
        <v>0.77512507593284297</v>
      </c>
      <c r="CB18" s="1">
        <f t="shared" ca="1" si="47"/>
        <v>326</v>
      </c>
      <c r="CC18" s="1">
        <f t="shared" ca="1" si="48"/>
        <v>14</v>
      </c>
      <c r="CD18" s="1">
        <f t="shared" ca="1" si="49"/>
        <v>0.21347517391201351</v>
      </c>
      <c r="CE18" s="1">
        <f t="shared" ca="1" si="50"/>
        <v>0.66590850238451393</v>
      </c>
      <c r="CF18" s="1">
        <f t="shared" ca="1" si="50"/>
        <v>0.98305082391960397</v>
      </c>
      <c r="CH18" s="3">
        <f t="shared" ca="1" si="51"/>
        <v>0.26499161459868342</v>
      </c>
      <c r="CI18" s="3">
        <f t="shared" ca="1" si="52"/>
        <v>0.48384142211008369</v>
      </c>
      <c r="CJ18" s="3">
        <f t="shared" ca="1" si="53"/>
        <v>1734</v>
      </c>
      <c r="CK18" s="3">
        <f t="shared" ca="1" si="54"/>
        <v>9.9342806395999253E-3</v>
      </c>
      <c r="CL18" s="3">
        <f t="shared" ca="1" si="55"/>
        <v>0</v>
      </c>
      <c r="CM18" s="3"/>
      <c r="CN18" s="1">
        <f t="shared" ca="1" si="56"/>
        <v>10.255546125974902</v>
      </c>
      <c r="CO18" s="1">
        <f t="shared" ca="1" si="57"/>
        <v>1.5916942313831547E-2</v>
      </c>
      <c r="CP18" s="1">
        <f t="shared" ca="1" si="58"/>
        <v>3</v>
      </c>
      <c r="CV18" s="1">
        <f t="shared" ca="1" si="59"/>
        <v>5.5484010443306042</v>
      </c>
      <c r="CW18" s="1">
        <f t="shared" ca="1" si="60"/>
        <v>882</v>
      </c>
      <c r="CX18" s="1">
        <f t="shared" ca="1" si="61"/>
        <v>9.9051978388305286E-3</v>
      </c>
      <c r="DH18" s="1">
        <f t="shared" ca="1" si="62"/>
        <v>722</v>
      </c>
      <c r="DI18" s="1">
        <f t="shared" ca="1" si="63"/>
        <v>0.99947830368890334</v>
      </c>
      <c r="DJ18" s="1">
        <f t="shared" ca="1" si="64"/>
        <v>20</v>
      </c>
      <c r="DL18" s="1">
        <f t="shared" ca="1" si="65"/>
        <v>1.9541420347683573E-2</v>
      </c>
      <c r="DM18" s="1">
        <f t="shared" ca="1" si="66"/>
        <v>212</v>
      </c>
      <c r="DN18" s="1">
        <f t="shared" ca="1" si="67"/>
        <v>9</v>
      </c>
    </row>
    <row r="19" spans="2:118" x14ac:dyDescent="0.25">
      <c r="B19">
        <f t="shared" ca="1" si="0"/>
        <v>446</v>
      </c>
      <c r="C19">
        <f t="shared" ca="1" si="1"/>
        <v>5</v>
      </c>
      <c r="D19">
        <f t="shared" ca="1" si="2"/>
        <v>0.2683555614556839</v>
      </c>
      <c r="F19" s="1">
        <f t="shared" ca="1" si="3"/>
        <v>45</v>
      </c>
      <c r="G19" s="1">
        <f t="shared" ca="1" si="4"/>
        <v>28</v>
      </c>
      <c r="H19" s="1">
        <f t="shared" ca="1" si="5"/>
        <v>5</v>
      </c>
      <c r="I19" s="1"/>
      <c r="J19" s="1">
        <f t="shared" ca="1" si="6"/>
        <v>21</v>
      </c>
      <c r="K19" s="1">
        <f t="shared" ca="1" si="7"/>
        <v>2.1326132170841472</v>
      </c>
      <c r="L19" s="1">
        <f t="shared" ca="1" si="8"/>
        <v>23</v>
      </c>
      <c r="M19" s="1"/>
      <c r="N19" s="1">
        <f t="shared" ca="1" si="9"/>
        <v>873</v>
      </c>
      <c r="O19" s="1">
        <f t="shared" ca="1" si="10"/>
        <v>4</v>
      </c>
      <c r="P19" s="1"/>
      <c r="Q19" s="1">
        <f t="shared" ca="1" si="11"/>
        <v>3.3646913429856142</v>
      </c>
      <c r="R19" s="1">
        <f t="shared" ca="1" si="12"/>
        <v>1040</v>
      </c>
      <c r="S19" s="1"/>
      <c r="T19" s="1">
        <f t="shared" ca="1" si="13"/>
        <v>0.1200372377671607</v>
      </c>
      <c r="U19" s="1">
        <f t="shared" ca="1" si="14"/>
        <v>317</v>
      </c>
      <c r="V19" s="1">
        <f t="shared" ca="1" si="15"/>
        <v>6</v>
      </c>
      <c r="W19" s="1"/>
      <c r="X19" s="1">
        <f t="shared" ca="1" si="16"/>
        <v>9.1050342852951154</v>
      </c>
      <c r="Y19" s="1">
        <f t="shared" ca="1" si="17"/>
        <v>0.23646831317393929</v>
      </c>
      <c r="Z19" s="1">
        <f t="shared" ca="1" si="18"/>
        <v>204</v>
      </c>
      <c r="AB19" s="1">
        <f t="shared" ca="1" si="19"/>
        <v>0.64259033311930858</v>
      </c>
      <c r="AC19" s="1">
        <f t="shared" ca="1" si="20"/>
        <v>819</v>
      </c>
      <c r="AD19" s="1">
        <f t="shared" ca="1" si="21"/>
        <v>8.865507961032877E-5</v>
      </c>
      <c r="AE19" s="1"/>
      <c r="AF19" s="1">
        <f t="shared" ca="1" si="22"/>
        <v>0.5813707927503815</v>
      </c>
      <c r="AG19" s="1">
        <f t="shared" ca="1" si="23"/>
        <v>867</v>
      </c>
      <c r="AH19" s="1">
        <f t="shared" ca="1" si="24"/>
        <v>5.2684202445762119E-3</v>
      </c>
      <c r="AJ19" s="1">
        <f t="shared" ca="1" si="25"/>
        <v>0.31294381562328999</v>
      </c>
      <c r="AK19" s="1">
        <f t="shared" ca="1" si="26"/>
        <v>2.1509524052873092E-3</v>
      </c>
      <c r="AL19" s="1"/>
      <c r="AM19" s="1">
        <f t="shared" ca="1" si="27"/>
        <v>1.0534898584914605E-2</v>
      </c>
      <c r="AN19" s="1">
        <f t="shared" ca="1" si="28"/>
        <v>50</v>
      </c>
      <c r="AO19" s="1">
        <f t="shared" ca="1" si="29"/>
        <v>11</v>
      </c>
      <c r="AQ19" s="1">
        <f t="shared" ca="1" si="30"/>
        <v>137</v>
      </c>
      <c r="AR19" s="1">
        <f t="shared" ca="1" si="31"/>
        <v>0</v>
      </c>
      <c r="AS19" s="1">
        <f t="shared" ca="1" si="32"/>
        <v>22</v>
      </c>
      <c r="AU19" s="1">
        <f t="shared" ca="1" si="33"/>
        <v>150</v>
      </c>
      <c r="AV19" s="1">
        <f t="shared" ca="1" si="34"/>
        <v>8</v>
      </c>
      <c r="AW19" s="1">
        <f t="shared" ca="1" si="35"/>
        <v>9.7737226789253187E-2</v>
      </c>
      <c r="AY19" s="1">
        <f t="shared" ca="1" si="36"/>
        <v>1.411734455333179</v>
      </c>
      <c r="AZ19" s="1">
        <f t="shared" ca="1" si="37"/>
        <v>464</v>
      </c>
      <c r="BA19" s="1">
        <f t="shared" ca="1" si="38"/>
        <v>2.855287647657705E-3</v>
      </c>
      <c r="BG19" s="1">
        <f t="shared" ca="1" si="39"/>
        <v>0.35800593765718863</v>
      </c>
      <c r="BH19" s="1">
        <f t="shared" ca="1" si="40"/>
        <v>1.7956569628226671E-2</v>
      </c>
      <c r="BI19" s="1">
        <f t="shared" ca="1" si="41"/>
        <v>904</v>
      </c>
      <c r="BV19" s="1">
        <f t="shared" ca="1" si="42"/>
        <v>0.10802555452577467</v>
      </c>
      <c r="BW19" s="1">
        <f t="shared" ca="1" si="43"/>
        <v>734</v>
      </c>
      <c r="BX19" s="1">
        <f t="shared" ca="1" si="44"/>
        <v>5.7080847856596471E-3</v>
      </c>
      <c r="BY19" s="1">
        <f t="shared" ca="1" si="45"/>
        <v>2.2109754556203766E-2</v>
      </c>
      <c r="BZ19" s="1">
        <f t="shared" ca="1" si="46"/>
        <v>0.17747300227997198</v>
      </c>
      <c r="CB19" s="1">
        <f t="shared" ca="1" si="47"/>
        <v>257</v>
      </c>
      <c r="CC19" s="1">
        <f t="shared" ca="1" si="48"/>
        <v>11</v>
      </c>
      <c r="CD19" s="1">
        <f t="shared" ca="1" si="49"/>
        <v>7.6449386954242762E-2</v>
      </c>
      <c r="CE19" s="1">
        <f t="shared" ca="1" si="50"/>
        <v>0.54344379457223169</v>
      </c>
      <c r="CF19" s="1">
        <f t="shared" ca="1" si="50"/>
        <v>0.59087672851131445</v>
      </c>
      <c r="CH19" s="3">
        <f t="shared" ca="1" si="51"/>
        <v>0.46068744898444236</v>
      </c>
      <c r="CI19" s="3">
        <f t="shared" ca="1" si="52"/>
        <v>0.27903907164142638</v>
      </c>
      <c r="CJ19" s="3">
        <f t="shared" ca="1" si="53"/>
        <v>605</v>
      </c>
      <c r="CK19" s="3">
        <f t="shared" ca="1" si="54"/>
        <v>1.8259230880182929E-3</v>
      </c>
      <c r="CL19" s="3">
        <f t="shared" ca="1" si="55"/>
        <v>1</v>
      </c>
      <c r="CM19" s="3"/>
      <c r="CN19" s="1">
        <f t="shared" ca="1" si="56"/>
        <v>5.1862469995056149</v>
      </c>
      <c r="CO19" s="1">
        <f t="shared" ca="1" si="57"/>
        <v>0.25157045464116989</v>
      </c>
      <c r="CP19" s="1">
        <f t="shared" ca="1" si="58"/>
        <v>4</v>
      </c>
      <c r="CV19" s="1">
        <f t="shared" ca="1" si="59"/>
        <v>5.5776531371076814</v>
      </c>
      <c r="CW19" s="1">
        <f t="shared" ca="1" si="60"/>
        <v>573</v>
      </c>
      <c r="CX19" s="1">
        <f t="shared" ca="1" si="61"/>
        <v>8.1332090581703667E-3</v>
      </c>
      <c r="DH19" s="1">
        <f t="shared" ca="1" si="62"/>
        <v>440</v>
      </c>
      <c r="DI19" s="1">
        <f t="shared" ca="1" si="63"/>
        <v>0.18699377799021019</v>
      </c>
      <c r="DJ19" s="1">
        <f t="shared" ca="1" si="64"/>
        <v>3</v>
      </c>
      <c r="DL19" s="1">
        <f t="shared" ca="1" si="65"/>
        <v>7.0597735861279279E-2</v>
      </c>
      <c r="DM19" s="1">
        <f t="shared" ca="1" si="66"/>
        <v>52</v>
      </c>
      <c r="DN19" s="1">
        <f t="shared" ca="1" si="67"/>
        <v>4</v>
      </c>
    </row>
    <row r="20" spans="2:118" x14ac:dyDescent="0.25">
      <c r="B20">
        <f t="shared" ca="1" si="0"/>
        <v>252</v>
      </c>
      <c r="C20">
        <f t="shared" ca="1" si="1"/>
        <v>6</v>
      </c>
      <c r="D20">
        <f t="shared" ca="1" si="2"/>
        <v>0.10479904537131766</v>
      </c>
      <c r="F20" s="1">
        <f t="shared" ca="1" si="3"/>
        <v>52</v>
      </c>
      <c r="G20" s="1">
        <f t="shared" ca="1" si="4"/>
        <v>29</v>
      </c>
      <c r="H20" s="1">
        <f t="shared" ca="1" si="5"/>
        <v>8</v>
      </c>
      <c r="I20" s="1"/>
      <c r="J20" s="1">
        <f t="shared" ca="1" si="6"/>
        <v>34</v>
      </c>
      <c r="K20" s="1">
        <f t="shared" ca="1" si="7"/>
        <v>2.6418620400959032</v>
      </c>
      <c r="L20" s="1">
        <f t="shared" ca="1" si="8"/>
        <v>28</v>
      </c>
      <c r="M20" s="1"/>
      <c r="N20" s="1">
        <f t="shared" ca="1" si="9"/>
        <v>775</v>
      </c>
      <c r="O20" s="1">
        <f t="shared" ca="1" si="10"/>
        <v>21</v>
      </c>
      <c r="P20" s="1"/>
      <c r="Q20" s="1">
        <f t="shared" ca="1" si="11"/>
        <v>1.1486187262340404</v>
      </c>
      <c r="R20" s="1">
        <f t="shared" ca="1" si="12"/>
        <v>1168</v>
      </c>
      <c r="S20" s="1"/>
      <c r="T20" s="1">
        <f t="shared" ca="1" si="13"/>
        <v>2.2962162198432029E-2</v>
      </c>
      <c r="U20" s="1">
        <f t="shared" ca="1" si="14"/>
        <v>145</v>
      </c>
      <c r="V20" s="1">
        <f t="shared" ca="1" si="15"/>
        <v>42</v>
      </c>
      <c r="W20" s="1"/>
      <c r="X20" s="1">
        <f t="shared" ca="1" si="16"/>
        <v>4.089492867999204</v>
      </c>
      <c r="Y20" s="1">
        <f t="shared" ca="1" si="17"/>
        <v>0.3486152489387897</v>
      </c>
      <c r="Z20" s="1">
        <f t="shared" ca="1" si="18"/>
        <v>1313</v>
      </c>
      <c r="AB20" s="1">
        <f t="shared" ca="1" si="19"/>
        <v>0.62820767566738689</v>
      </c>
      <c r="AC20" s="1">
        <f t="shared" ca="1" si="20"/>
        <v>673</v>
      </c>
      <c r="AD20" s="1">
        <f t="shared" ca="1" si="21"/>
        <v>6.7019386847532144E-3</v>
      </c>
      <c r="AE20" s="1"/>
      <c r="AF20" s="1">
        <f t="shared" ca="1" si="22"/>
        <v>0.23228476541722698</v>
      </c>
      <c r="AG20" s="1">
        <f t="shared" ca="1" si="23"/>
        <v>770</v>
      </c>
      <c r="AH20" s="1">
        <f t="shared" ca="1" si="24"/>
        <v>7.0667980697463433E-3</v>
      </c>
      <c r="AJ20" s="1">
        <f t="shared" ca="1" si="25"/>
        <v>0.23417039906875881</v>
      </c>
      <c r="AK20" s="1">
        <f t="shared" ca="1" si="26"/>
        <v>6.3318635199906843E-3</v>
      </c>
      <c r="AL20" s="1"/>
      <c r="AM20" s="1">
        <f t="shared" ca="1" si="27"/>
        <v>0.11001037089570077</v>
      </c>
      <c r="AN20" s="1">
        <f t="shared" ca="1" si="28"/>
        <v>17</v>
      </c>
      <c r="AO20" s="1">
        <f t="shared" ca="1" si="29"/>
        <v>19</v>
      </c>
      <c r="AQ20" s="1">
        <f t="shared" ca="1" si="30"/>
        <v>86</v>
      </c>
      <c r="AR20" s="1">
        <f t="shared" ca="1" si="31"/>
        <v>3</v>
      </c>
      <c r="AS20" s="1">
        <f t="shared" ca="1" si="32"/>
        <v>43</v>
      </c>
      <c r="AU20" s="1">
        <f t="shared" ca="1" si="33"/>
        <v>390</v>
      </c>
      <c r="AV20" s="1">
        <f t="shared" ca="1" si="34"/>
        <v>2</v>
      </c>
      <c r="AW20" s="1">
        <f t="shared" ca="1" si="35"/>
        <v>4.0637618645566559E-2</v>
      </c>
      <c r="AY20" s="1">
        <f t="shared" ca="1" si="36"/>
        <v>1.1475423922412977</v>
      </c>
      <c r="AZ20" s="1">
        <f t="shared" ca="1" si="37"/>
        <v>437</v>
      </c>
      <c r="BA20" s="1">
        <f t="shared" ca="1" si="38"/>
        <v>8.6338718051336728E-3</v>
      </c>
      <c r="BG20" s="1">
        <f t="shared" ca="1" si="39"/>
        <v>0.5678524036291237</v>
      </c>
      <c r="BH20" s="1">
        <f t="shared" ca="1" si="40"/>
        <v>4.7008840140582819E-2</v>
      </c>
      <c r="BI20" s="1">
        <f t="shared" ca="1" si="41"/>
        <v>770</v>
      </c>
      <c r="BV20" s="1">
        <f t="shared" ca="1" si="42"/>
        <v>0.41567277812809816</v>
      </c>
      <c r="BW20" s="1">
        <f t="shared" ca="1" si="43"/>
        <v>941</v>
      </c>
      <c r="BX20" s="1">
        <f t="shared" ca="1" si="44"/>
        <v>1.652049275850226E-3</v>
      </c>
      <c r="BY20" s="1">
        <f t="shared" ca="1" si="45"/>
        <v>3.5266971193588909E-3</v>
      </c>
      <c r="BZ20" s="1">
        <f t="shared" ca="1" si="46"/>
        <v>0.35960674601635978</v>
      </c>
      <c r="CB20" s="1">
        <f t="shared" ca="1" si="47"/>
        <v>217</v>
      </c>
      <c r="CC20" s="1">
        <f t="shared" ca="1" si="48"/>
        <v>8</v>
      </c>
      <c r="CD20" s="1">
        <f t="shared" ca="1" si="49"/>
        <v>4.8100029202779664E-2</v>
      </c>
      <c r="CE20" s="1">
        <f t="shared" ca="1" si="50"/>
        <v>0.52390212109573742</v>
      </c>
      <c r="CF20" s="1">
        <f t="shared" ca="1" si="50"/>
        <v>0.89741976343559948</v>
      </c>
      <c r="CH20" s="3">
        <f t="shared" ca="1" si="51"/>
        <v>0.19004053191905748</v>
      </c>
      <c r="CI20" s="3">
        <f t="shared" ca="1" si="52"/>
        <v>0.53136144989473899</v>
      </c>
      <c r="CJ20" s="3">
        <f t="shared" ca="1" si="53"/>
        <v>1178</v>
      </c>
      <c r="CK20" s="3">
        <f t="shared" ca="1" si="54"/>
        <v>8.9548058136824614E-3</v>
      </c>
      <c r="CL20" s="3">
        <f t="shared" ca="1" si="55"/>
        <v>0</v>
      </c>
      <c r="CM20" s="3"/>
      <c r="CN20" s="1">
        <f t="shared" ca="1" si="56"/>
        <v>5.9159115588678404</v>
      </c>
      <c r="CO20" s="1">
        <f t="shared" ca="1" si="57"/>
        <v>0.34143293765897742</v>
      </c>
      <c r="CP20" s="1">
        <f t="shared" ca="1" si="58"/>
        <v>4</v>
      </c>
      <c r="CV20" s="1">
        <f t="shared" ca="1" si="59"/>
        <v>0.83814467136190007</v>
      </c>
      <c r="CW20" s="1">
        <f t="shared" ca="1" si="60"/>
        <v>443</v>
      </c>
      <c r="CX20" s="1">
        <f t="shared" ca="1" si="61"/>
        <v>2.5756628045809591E-4</v>
      </c>
      <c r="DH20" s="1">
        <f t="shared" ca="1" si="62"/>
        <v>371</v>
      </c>
      <c r="DI20" s="1">
        <f t="shared" ca="1" si="63"/>
        <v>0.83423090557855517</v>
      </c>
      <c r="DJ20" s="1">
        <f t="shared" ca="1" si="64"/>
        <v>3</v>
      </c>
      <c r="DL20" s="1">
        <f t="shared" ca="1" si="65"/>
        <v>0.10602227893350126</v>
      </c>
      <c r="DM20" s="1">
        <f t="shared" ca="1" si="66"/>
        <v>68</v>
      </c>
      <c r="DN20" s="1">
        <f t="shared" ca="1" si="67"/>
        <v>4</v>
      </c>
    </row>
    <row r="21" spans="2:118" x14ac:dyDescent="0.25">
      <c r="B21">
        <f t="shared" ca="1" si="0"/>
        <v>699</v>
      </c>
      <c r="C21">
        <f t="shared" ca="1" si="1"/>
        <v>52</v>
      </c>
      <c r="D21">
        <f t="shared" ca="1" si="2"/>
        <v>0.15234042804922349</v>
      </c>
      <c r="F21" s="1">
        <f t="shared" ca="1" si="3"/>
        <v>28</v>
      </c>
      <c r="G21" s="1">
        <f t="shared" ca="1" si="4"/>
        <v>30</v>
      </c>
      <c r="H21" s="1">
        <f t="shared" ca="1" si="5"/>
        <v>13</v>
      </c>
      <c r="I21" s="1"/>
      <c r="J21" s="1">
        <f t="shared" ca="1" si="6"/>
        <v>22</v>
      </c>
      <c r="K21" s="1">
        <f t="shared" ca="1" si="7"/>
        <v>1.2125402784554828</v>
      </c>
      <c r="L21" s="1">
        <f t="shared" ca="1" si="8"/>
        <v>18</v>
      </c>
      <c r="M21" s="1"/>
      <c r="N21" s="1">
        <f t="shared" ca="1" si="9"/>
        <v>357</v>
      </c>
      <c r="O21" s="1">
        <f t="shared" ca="1" si="10"/>
        <v>16</v>
      </c>
      <c r="P21" s="1"/>
      <c r="Q21" s="1">
        <f t="shared" ca="1" si="11"/>
        <v>3.3969872967147423</v>
      </c>
      <c r="R21" s="1">
        <f t="shared" ca="1" si="12"/>
        <v>482</v>
      </c>
      <c r="S21" s="1"/>
      <c r="T21" s="1">
        <f t="shared" ca="1" si="13"/>
        <v>0.1547603247251256</v>
      </c>
      <c r="U21" s="1">
        <f t="shared" ca="1" si="14"/>
        <v>367</v>
      </c>
      <c r="V21" s="1">
        <f t="shared" ca="1" si="15"/>
        <v>23</v>
      </c>
      <c r="W21" s="1"/>
      <c r="X21" s="1">
        <f t="shared" ca="1" si="16"/>
        <v>7.1502570265180632</v>
      </c>
      <c r="Y21" s="1">
        <f t="shared" ca="1" si="17"/>
        <v>0.35134981342255595</v>
      </c>
      <c r="Z21" s="1">
        <f t="shared" ca="1" si="18"/>
        <v>650</v>
      </c>
      <c r="AB21" s="1">
        <f t="shared" ca="1" si="19"/>
        <v>0.21420988501003832</v>
      </c>
      <c r="AC21" s="1">
        <f t="shared" ca="1" si="20"/>
        <v>442</v>
      </c>
      <c r="AD21" s="1">
        <f t="shared" ca="1" si="21"/>
        <v>8.7503922468324304E-3</v>
      </c>
      <c r="AE21" s="1"/>
      <c r="AF21" s="1">
        <f t="shared" ca="1" si="22"/>
        <v>0.59744480993860927</v>
      </c>
      <c r="AG21" s="1">
        <f t="shared" ca="1" si="23"/>
        <v>455</v>
      </c>
      <c r="AH21" s="1">
        <f t="shared" ca="1" si="24"/>
        <v>2.566362425171984E-3</v>
      </c>
      <c r="AJ21" s="1">
        <f t="shared" ca="1" si="25"/>
        <v>0.39276462598054362</v>
      </c>
      <c r="AK21" s="1">
        <f t="shared" ca="1" si="26"/>
        <v>9.8147569403502239E-3</v>
      </c>
      <c r="AL21" s="1"/>
      <c r="AM21" s="1">
        <f t="shared" ca="1" si="27"/>
        <v>0.19122276225626109</v>
      </c>
      <c r="AN21" s="1">
        <f t="shared" ca="1" si="28"/>
        <v>76</v>
      </c>
      <c r="AO21" s="1">
        <f t="shared" ca="1" si="29"/>
        <v>15</v>
      </c>
      <c r="AQ21" s="1">
        <f t="shared" ca="1" si="30"/>
        <v>10</v>
      </c>
      <c r="AR21" s="1">
        <f t="shared" ca="1" si="31"/>
        <v>1</v>
      </c>
      <c r="AS21" s="1">
        <f t="shared" ca="1" si="32"/>
        <v>39</v>
      </c>
      <c r="AU21" s="1">
        <f t="shared" ca="1" si="33"/>
        <v>398</v>
      </c>
      <c r="AV21" s="1">
        <f t="shared" ca="1" si="34"/>
        <v>9</v>
      </c>
      <c r="AW21" s="1">
        <f t="shared" ca="1" si="35"/>
        <v>8.8817405220775789E-2</v>
      </c>
      <c r="AY21" s="1">
        <f t="shared" ca="1" si="36"/>
        <v>1.1504526566787778</v>
      </c>
      <c r="AZ21" s="1">
        <f t="shared" ca="1" si="37"/>
        <v>320</v>
      </c>
      <c r="BA21" s="1">
        <f t="shared" ca="1" si="38"/>
        <v>7.1717283699975658E-4</v>
      </c>
      <c r="BG21" s="1">
        <f t="shared" ca="1" si="39"/>
        <v>0.63991428310468812</v>
      </c>
      <c r="BH21" s="1">
        <f t="shared" ca="1" si="40"/>
        <v>0.51064298927610707</v>
      </c>
      <c r="BI21" s="1">
        <f t="shared" ca="1" si="41"/>
        <v>558</v>
      </c>
      <c r="BV21" s="1">
        <f t="shared" ca="1" si="42"/>
        <v>0.412149215315672</v>
      </c>
      <c r="BW21" s="1">
        <f t="shared" ca="1" si="43"/>
        <v>453</v>
      </c>
      <c r="BX21" s="1">
        <f t="shared" ca="1" si="44"/>
        <v>7.1636201784480418E-3</v>
      </c>
      <c r="BY21" s="1">
        <f t="shared" ca="1" si="45"/>
        <v>8.4195286104489314E-2</v>
      </c>
      <c r="BZ21" s="1">
        <f t="shared" ca="1" si="46"/>
        <v>0.32204195070913666</v>
      </c>
      <c r="CB21" s="1">
        <f t="shared" ca="1" si="47"/>
        <v>402</v>
      </c>
      <c r="CC21" s="1">
        <f t="shared" ca="1" si="48"/>
        <v>5</v>
      </c>
      <c r="CD21" s="1">
        <f t="shared" ca="1" si="49"/>
        <v>1.3936293268844472E-2</v>
      </c>
      <c r="CE21" s="1">
        <f t="shared" ca="1" si="50"/>
        <v>0.69424107392969758</v>
      </c>
      <c r="CF21" s="1">
        <f t="shared" ca="1" si="50"/>
        <v>0.87819947950815402</v>
      </c>
      <c r="CH21" s="3">
        <f t="shared" ca="1" si="51"/>
        <v>0.61131766587372616</v>
      </c>
      <c r="CI21" s="3">
        <f t="shared" ca="1" si="52"/>
        <v>0.66217293004143574</v>
      </c>
      <c r="CJ21" s="3">
        <f t="shared" ca="1" si="53"/>
        <v>1186</v>
      </c>
      <c r="CK21" s="3">
        <f t="shared" ca="1" si="54"/>
        <v>6.3880281298036147E-4</v>
      </c>
      <c r="CL21" s="3">
        <f t="shared" ca="1" si="55"/>
        <v>1</v>
      </c>
      <c r="CM21" s="3"/>
      <c r="CN21" s="1">
        <f t="shared" ca="1" si="56"/>
        <v>3.5423992084217493</v>
      </c>
      <c r="CO21" s="1">
        <f t="shared" ca="1" si="57"/>
        <v>0.33946627473144569</v>
      </c>
      <c r="CP21" s="1">
        <f t="shared" ca="1" si="58"/>
        <v>2</v>
      </c>
      <c r="CV21" s="1">
        <f t="shared" ca="1" si="59"/>
        <v>7.9611968938120743</v>
      </c>
      <c r="CW21" s="1">
        <f t="shared" ca="1" si="60"/>
        <v>249</v>
      </c>
      <c r="CX21" s="1">
        <f t="shared" ca="1" si="61"/>
        <v>7.4718744747912427E-3</v>
      </c>
      <c r="DH21" s="1">
        <f t="shared" ca="1" si="62"/>
        <v>32</v>
      </c>
      <c r="DI21" s="1">
        <f t="shared" ca="1" si="63"/>
        <v>0.56977123863345447</v>
      </c>
      <c r="DJ21" s="1">
        <f t="shared" ca="1" si="64"/>
        <v>19</v>
      </c>
      <c r="DL21" s="1">
        <f t="shared" ca="1" si="65"/>
        <v>0.12015948766030099</v>
      </c>
      <c r="DM21" s="1">
        <f t="shared" ca="1" si="66"/>
        <v>240</v>
      </c>
      <c r="DN21" s="1">
        <f t="shared" ca="1" si="67"/>
        <v>4</v>
      </c>
    </row>
    <row r="22" spans="2:118" x14ac:dyDescent="0.25">
      <c r="B22">
        <f t="shared" ca="1" si="0"/>
        <v>824</v>
      </c>
      <c r="C22">
        <f t="shared" ca="1" si="1"/>
        <v>10</v>
      </c>
      <c r="D22">
        <f t="shared" ca="1" si="2"/>
        <v>0.17376601711055994</v>
      </c>
      <c r="F22" s="1">
        <f t="shared" ca="1" si="3"/>
        <v>52</v>
      </c>
      <c r="G22" s="1">
        <f t="shared" ca="1" si="4"/>
        <v>30</v>
      </c>
      <c r="H22" s="1">
        <f t="shared" ca="1" si="5"/>
        <v>3</v>
      </c>
      <c r="I22" s="1"/>
      <c r="J22" s="1">
        <f t="shared" ca="1" si="6"/>
        <v>8</v>
      </c>
      <c r="K22" s="1">
        <f t="shared" ca="1" si="7"/>
        <v>1.4305169964686499</v>
      </c>
      <c r="L22" s="1">
        <f t="shared" ca="1" si="8"/>
        <v>2</v>
      </c>
      <c r="M22" s="1"/>
      <c r="N22" s="1">
        <f t="shared" ca="1" si="9"/>
        <v>767</v>
      </c>
      <c r="O22" s="1">
        <f t="shared" ca="1" si="10"/>
        <v>10</v>
      </c>
      <c r="P22" s="1"/>
      <c r="Q22" s="1">
        <f t="shared" ca="1" si="11"/>
        <v>3.8707831525804881</v>
      </c>
      <c r="R22" s="1">
        <f t="shared" ca="1" si="12"/>
        <v>282</v>
      </c>
      <c r="S22" s="1"/>
      <c r="T22" s="1">
        <f t="shared" ca="1" si="13"/>
        <v>0.14101112486735151</v>
      </c>
      <c r="U22" s="1">
        <f t="shared" ca="1" si="14"/>
        <v>174</v>
      </c>
      <c r="V22" s="1">
        <f t="shared" ca="1" si="15"/>
        <v>18</v>
      </c>
      <c r="W22" s="1"/>
      <c r="X22" s="1">
        <f t="shared" ca="1" si="16"/>
        <v>6.0209491697991098</v>
      </c>
      <c r="Y22" s="1">
        <f t="shared" ca="1" si="17"/>
        <v>0.32262771244054367</v>
      </c>
      <c r="Z22" s="1">
        <f t="shared" ca="1" si="18"/>
        <v>1684</v>
      </c>
      <c r="AB22" s="1">
        <f t="shared" ca="1" si="19"/>
        <v>0.80786176129493714</v>
      </c>
      <c r="AC22" s="1">
        <f t="shared" ca="1" si="20"/>
        <v>288</v>
      </c>
      <c r="AD22" s="1">
        <f t="shared" ca="1" si="21"/>
        <v>5.8485955662721644E-3</v>
      </c>
      <c r="AE22" s="1"/>
      <c r="AF22" s="1">
        <f t="shared" ca="1" si="22"/>
        <v>0.35134529238061807</v>
      </c>
      <c r="AG22" s="1">
        <f t="shared" ca="1" si="23"/>
        <v>821</v>
      </c>
      <c r="AH22" s="1">
        <f t="shared" ca="1" si="24"/>
        <v>9.0737588417952612E-4</v>
      </c>
      <c r="AJ22" s="1">
        <f t="shared" ca="1" si="25"/>
        <v>0.82343745729107187</v>
      </c>
      <c r="AK22" s="1">
        <f t="shared" ca="1" si="26"/>
        <v>4.1030625104724891E-3</v>
      </c>
      <c r="AL22" s="1"/>
      <c r="AM22" s="1">
        <f t="shared" ca="1" si="27"/>
        <v>0.14242637565182412</v>
      </c>
      <c r="AN22" s="1">
        <f t="shared" ca="1" si="28"/>
        <v>74</v>
      </c>
      <c r="AO22" s="1">
        <f t="shared" ca="1" si="29"/>
        <v>20</v>
      </c>
      <c r="AQ22" s="1">
        <f t="shared" ca="1" si="30"/>
        <v>184</v>
      </c>
      <c r="AR22" s="1">
        <f t="shared" ca="1" si="31"/>
        <v>2</v>
      </c>
      <c r="AS22" s="1">
        <f t="shared" ca="1" si="32"/>
        <v>89</v>
      </c>
      <c r="AU22" s="1">
        <f t="shared" ca="1" si="33"/>
        <v>101</v>
      </c>
      <c r="AV22" s="1">
        <f t="shared" ca="1" si="34"/>
        <v>3</v>
      </c>
      <c r="AW22" s="1">
        <f t="shared" ca="1" si="35"/>
        <v>0.10868704364134375</v>
      </c>
      <c r="AY22" s="1">
        <f t="shared" ca="1" si="36"/>
        <v>1.3009073777877962</v>
      </c>
      <c r="AZ22" s="1">
        <f t="shared" ca="1" si="37"/>
        <v>132</v>
      </c>
      <c r="BA22" s="1">
        <f t="shared" ca="1" si="38"/>
        <v>3.80381255669404E-3</v>
      </c>
      <c r="BG22" s="1">
        <f t="shared" ca="1" si="39"/>
        <v>0.29102235016163452</v>
      </c>
      <c r="BH22" s="1">
        <f t="shared" ca="1" si="40"/>
        <v>0.96966576377118485</v>
      </c>
      <c r="BI22" s="1">
        <f t="shared" ca="1" si="41"/>
        <v>421</v>
      </c>
      <c r="BV22" s="1">
        <f t="shared" ca="1" si="42"/>
        <v>9.177274142916178E-2</v>
      </c>
      <c r="BW22" s="1">
        <f t="shared" ca="1" si="43"/>
        <v>909</v>
      </c>
      <c r="BX22" s="1">
        <f t="shared" ca="1" si="44"/>
        <v>4.6473616301835399E-3</v>
      </c>
      <c r="BY22" s="1">
        <f t="shared" ca="1" si="45"/>
        <v>8.7327323933344664E-2</v>
      </c>
      <c r="BZ22" s="1">
        <f t="shared" ca="1" si="46"/>
        <v>0.62576878428344307</v>
      </c>
      <c r="CB22" s="1">
        <f t="shared" ca="1" si="47"/>
        <v>223</v>
      </c>
      <c r="CC22" s="1">
        <f t="shared" ca="1" si="48"/>
        <v>15</v>
      </c>
      <c r="CD22" s="1">
        <f t="shared" ca="1" si="49"/>
        <v>0.14761681314024341</v>
      </c>
      <c r="CE22" s="1">
        <f t="shared" ca="1" si="50"/>
        <v>0.55753589732203079</v>
      </c>
      <c r="CF22" s="1">
        <f t="shared" ca="1" si="50"/>
        <v>0.63338764939777148</v>
      </c>
      <c r="CH22" s="3">
        <f t="shared" ca="1" si="51"/>
        <v>0.43709429443485337</v>
      </c>
      <c r="CI22" s="3">
        <f t="shared" ca="1" si="52"/>
        <v>0.97735192505537405</v>
      </c>
      <c r="CJ22" s="3">
        <f t="shared" ca="1" si="53"/>
        <v>531</v>
      </c>
      <c r="CK22" s="3">
        <f t="shared" ca="1" si="54"/>
        <v>6.2741527418380587E-3</v>
      </c>
      <c r="CL22" s="3">
        <f t="shared" ca="1" si="55"/>
        <v>0</v>
      </c>
      <c r="CM22" s="3"/>
      <c r="CN22" s="1">
        <f t="shared" ca="1" si="56"/>
        <v>4.3654977000418054</v>
      </c>
      <c r="CO22" s="1">
        <f t="shared" ca="1" si="57"/>
        <v>0.42731512971918806</v>
      </c>
      <c r="CP22" s="1">
        <f t="shared" ca="1" si="58"/>
        <v>4</v>
      </c>
      <c r="CV22" s="1">
        <f t="shared" ca="1" si="59"/>
        <v>7.3060737161035343</v>
      </c>
      <c r="CW22" s="1">
        <f t="shared" ca="1" si="60"/>
        <v>1018</v>
      </c>
      <c r="CX22" s="1">
        <f t="shared" ca="1" si="61"/>
        <v>9.6603668950372285E-3</v>
      </c>
      <c r="DH22" s="1">
        <f t="shared" ca="1" si="62"/>
        <v>17</v>
      </c>
      <c r="DI22" s="1">
        <f t="shared" ca="1" si="63"/>
        <v>0.35933151383611278</v>
      </c>
      <c r="DJ22" s="1">
        <f t="shared" ca="1" si="64"/>
        <v>24</v>
      </c>
      <c r="DL22" s="1">
        <f t="shared" ca="1" si="65"/>
        <v>0.11468463435623986</v>
      </c>
      <c r="DM22" s="1">
        <f t="shared" ca="1" si="66"/>
        <v>82</v>
      </c>
      <c r="DN22" s="1">
        <f t="shared" ca="1" si="67"/>
        <v>2</v>
      </c>
    </row>
    <row r="23" spans="2:118" x14ac:dyDescent="0.25">
      <c r="B23">
        <f t="shared" ca="1" si="0"/>
        <v>330</v>
      </c>
      <c r="C23">
        <f t="shared" ca="1" si="1"/>
        <v>16</v>
      </c>
      <c r="D23">
        <f t="shared" ca="1" si="2"/>
        <v>1.1251852367705831E-2</v>
      </c>
      <c r="F23" s="1">
        <f t="shared" ca="1" si="3"/>
        <v>33</v>
      </c>
      <c r="G23" s="1">
        <f t="shared" ca="1" si="4"/>
        <v>13</v>
      </c>
      <c r="H23" s="1">
        <f t="shared" ca="1" si="5"/>
        <v>2</v>
      </c>
      <c r="I23" s="1"/>
      <c r="J23" s="1">
        <f t="shared" ca="1" si="6"/>
        <v>36</v>
      </c>
      <c r="K23" s="1">
        <f t="shared" ca="1" si="7"/>
        <v>2.5201007464960092</v>
      </c>
      <c r="L23" s="1">
        <f t="shared" ca="1" si="8"/>
        <v>7</v>
      </c>
      <c r="M23" s="1"/>
      <c r="N23" s="1">
        <f t="shared" ca="1" si="9"/>
        <v>951</v>
      </c>
      <c r="O23" s="1">
        <f t="shared" ca="1" si="10"/>
        <v>4</v>
      </c>
      <c r="P23" s="1"/>
      <c r="Q23" s="1">
        <f t="shared" ca="1" si="11"/>
        <v>2.4774665643696538</v>
      </c>
      <c r="R23" s="1">
        <f t="shared" ca="1" si="12"/>
        <v>578</v>
      </c>
      <c r="S23" s="1"/>
      <c r="T23" s="1">
        <f t="shared" ca="1" si="13"/>
        <v>9.0323112337322528E-2</v>
      </c>
      <c r="U23" s="1">
        <f t="shared" ca="1" si="14"/>
        <v>52</v>
      </c>
      <c r="V23" s="1">
        <f t="shared" ca="1" si="15"/>
        <v>44</v>
      </c>
      <c r="W23" s="1"/>
      <c r="X23" s="1">
        <f t="shared" ca="1" si="16"/>
        <v>4.4969926222177818</v>
      </c>
      <c r="Y23" s="1">
        <f t="shared" ca="1" si="17"/>
        <v>9.6654882517385909E-2</v>
      </c>
      <c r="Z23" s="1">
        <f t="shared" ca="1" si="18"/>
        <v>1798</v>
      </c>
      <c r="AB23" s="1">
        <f t="shared" ca="1" si="19"/>
        <v>0.67480395578075814</v>
      </c>
      <c r="AC23" s="1">
        <f t="shared" ca="1" si="20"/>
        <v>397</v>
      </c>
      <c r="AD23" s="1">
        <f t="shared" ca="1" si="21"/>
        <v>4.4783956132236902E-4</v>
      </c>
      <c r="AE23" s="1"/>
      <c r="AF23" s="1">
        <f t="shared" ca="1" si="22"/>
        <v>0.43810896241243225</v>
      </c>
      <c r="AG23" s="1">
        <f t="shared" ca="1" si="23"/>
        <v>690</v>
      </c>
      <c r="AH23" s="1">
        <f t="shared" ca="1" si="24"/>
        <v>3.3605166309154614E-3</v>
      </c>
      <c r="AJ23" s="1">
        <f t="shared" ca="1" si="25"/>
        <v>0.69395930732044808</v>
      </c>
      <c r="AK23" s="1">
        <f t="shared" ca="1" si="26"/>
        <v>4.9488699463554192E-3</v>
      </c>
      <c r="AL23" s="1"/>
      <c r="AM23" s="1">
        <f t="shared" ca="1" si="27"/>
        <v>0.11741482566250416</v>
      </c>
      <c r="AN23" s="1">
        <f t="shared" ca="1" si="28"/>
        <v>64</v>
      </c>
      <c r="AO23" s="1">
        <f t="shared" ca="1" si="29"/>
        <v>19</v>
      </c>
      <c r="AQ23" s="1">
        <f t="shared" ca="1" si="30"/>
        <v>59</v>
      </c>
      <c r="AR23" s="1">
        <f t="shared" ca="1" si="31"/>
        <v>10</v>
      </c>
      <c r="AS23" s="1">
        <f t="shared" ca="1" si="32"/>
        <v>1</v>
      </c>
      <c r="AU23" s="1">
        <f t="shared" ca="1" si="33"/>
        <v>74</v>
      </c>
      <c r="AV23" s="1">
        <f t="shared" ca="1" si="34"/>
        <v>9</v>
      </c>
      <c r="AW23" s="1">
        <f t="shared" ca="1" si="35"/>
        <v>1.6529282541512213E-2</v>
      </c>
      <c r="AY23" s="1">
        <f t="shared" ca="1" si="36"/>
        <v>1.2712876361486907</v>
      </c>
      <c r="AZ23" s="1">
        <f t="shared" ca="1" si="37"/>
        <v>212</v>
      </c>
      <c r="BA23" s="1">
        <f t="shared" ca="1" si="38"/>
        <v>1.1730312560598636E-4</v>
      </c>
      <c r="BG23" s="1">
        <f t="shared" ca="1" si="39"/>
        <v>0.58595775209045675</v>
      </c>
      <c r="BH23" s="1">
        <f t="shared" ca="1" si="40"/>
        <v>0.82740524472603716</v>
      </c>
      <c r="BI23" s="1">
        <f t="shared" ca="1" si="41"/>
        <v>998</v>
      </c>
      <c r="BV23" s="1">
        <f t="shared" ca="1" si="42"/>
        <v>0.25975595877067031</v>
      </c>
      <c r="BW23" s="1">
        <f t="shared" ca="1" si="43"/>
        <v>406</v>
      </c>
      <c r="BX23" s="1">
        <f t="shared" ca="1" si="44"/>
        <v>9.7870447490975409E-3</v>
      </c>
      <c r="BY23" s="1">
        <f t="shared" ca="1" si="45"/>
        <v>4.2930721777931148E-2</v>
      </c>
      <c r="BZ23" s="1">
        <f t="shared" ca="1" si="46"/>
        <v>0.35934677907107848</v>
      </c>
      <c r="CB23" s="1">
        <f t="shared" ca="1" si="47"/>
        <v>269</v>
      </c>
      <c r="CC23" s="1">
        <f t="shared" ca="1" si="48"/>
        <v>15</v>
      </c>
      <c r="CD23" s="1">
        <f t="shared" ca="1" si="49"/>
        <v>9.3564108999446796E-2</v>
      </c>
      <c r="CE23" s="1">
        <f t="shared" ca="1" si="50"/>
        <v>0.50712963233049568</v>
      </c>
      <c r="CF23" s="1">
        <f t="shared" ca="1" si="50"/>
        <v>0.70194358310587224</v>
      </c>
      <c r="CH23" s="3">
        <f t="shared" ca="1" si="51"/>
        <v>0.40192008521666683</v>
      </c>
      <c r="CI23" s="3">
        <f t="shared" ca="1" si="52"/>
        <v>0.64426621840961906</v>
      </c>
      <c r="CJ23" s="3">
        <f t="shared" ca="1" si="53"/>
        <v>958</v>
      </c>
      <c r="CK23" s="3">
        <f t="shared" ca="1" si="54"/>
        <v>5.5165655080490327E-3</v>
      </c>
      <c r="CL23" s="3">
        <f t="shared" ca="1" si="55"/>
        <v>1</v>
      </c>
      <c r="CM23" s="3"/>
      <c r="CN23" s="1">
        <f t="shared" ca="1" si="56"/>
        <v>18.426703039780634</v>
      </c>
      <c r="CO23" s="1">
        <f t="shared" ca="1" si="57"/>
        <v>4.8340787568207491E-2</v>
      </c>
      <c r="CP23" s="1">
        <f t="shared" ca="1" si="58"/>
        <v>4</v>
      </c>
      <c r="CV23" s="1">
        <f t="shared" ca="1" si="59"/>
        <v>0.60867213788603902</v>
      </c>
      <c r="CW23" s="1">
        <f t="shared" ca="1" si="60"/>
        <v>451</v>
      </c>
      <c r="CX23" s="1">
        <f t="shared" ca="1" si="61"/>
        <v>8.5361991872028292E-3</v>
      </c>
      <c r="DH23" s="1">
        <f t="shared" ca="1" si="62"/>
        <v>345</v>
      </c>
      <c r="DI23" s="1">
        <f t="shared" ca="1" si="63"/>
        <v>0.42954022555177601</v>
      </c>
      <c r="DJ23" s="1">
        <f t="shared" ca="1" si="64"/>
        <v>21</v>
      </c>
      <c r="DL23" s="1">
        <f t="shared" ca="1" si="65"/>
        <v>0.18479297002599424</v>
      </c>
      <c r="DM23" s="1">
        <f t="shared" ca="1" si="66"/>
        <v>175</v>
      </c>
      <c r="DN23" s="1">
        <f t="shared" ca="1" si="67"/>
        <v>9</v>
      </c>
    </row>
    <row r="24" spans="2:118" x14ac:dyDescent="0.25">
      <c r="B24">
        <f t="shared" ca="1" si="0"/>
        <v>757</v>
      </c>
      <c r="C24">
        <f t="shared" ca="1" si="1"/>
        <v>26</v>
      </c>
      <c r="D24">
        <f t="shared" ca="1" si="2"/>
        <v>0.1295903502670894</v>
      </c>
      <c r="F24" s="1">
        <f t="shared" ca="1" si="3"/>
        <v>2</v>
      </c>
      <c r="G24" s="1">
        <f t="shared" ca="1" si="4"/>
        <v>27</v>
      </c>
      <c r="H24" s="1">
        <f t="shared" ca="1" si="5"/>
        <v>3</v>
      </c>
      <c r="I24" s="1"/>
      <c r="J24" s="1">
        <f t="shared" ca="1" si="6"/>
        <v>30</v>
      </c>
      <c r="K24" s="1">
        <f t="shared" ca="1" si="7"/>
        <v>1.2535520601400987</v>
      </c>
      <c r="L24" s="1">
        <f t="shared" ca="1" si="8"/>
        <v>8</v>
      </c>
      <c r="M24" s="1"/>
      <c r="N24" s="1">
        <f t="shared" ca="1" si="9"/>
        <v>596</v>
      </c>
      <c r="O24" s="1">
        <f t="shared" ca="1" si="10"/>
        <v>13</v>
      </c>
      <c r="P24" s="1"/>
      <c r="Q24" s="1">
        <f t="shared" ca="1" si="11"/>
        <v>3.2444961140530939</v>
      </c>
      <c r="R24" s="1">
        <f t="shared" ca="1" si="12"/>
        <v>763</v>
      </c>
      <c r="S24" s="1"/>
      <c r="T24" s="1">
        <f t="shared" ca="1" si="13"/>
        <v>0.11234385413066737</v>
      </c>
      <c r="U24" s="1">
        <f t="shared" ca="1" si="14"/>
        <v>320</v>
      </c>
      <c r="V24" s="1">
        <f t="shared" ca="1" si="15"/>
        <v>26</v>
      </c>
      <c r="W24" s="1"/>
      <c r="X24" s="1">
        <f t="shared" ca="1" si="16"/>
        <v>1.9299944662161719</v>
      </c>
      <c r="Y24" s="1">
        <f t="shared" ca="1" si="17"/>
        <v>3.2181034659821861E-2</v>
      </c>
      <c r="Z24" s="1">
        <f t="shared" ca="1" si="18"/>
        <v>580</v>
      </c>
      <c r="AB24" s="1">
        <f t="shared" ca="1" si="19"/>
        <v>0.84073856892597609</v>
      </c>
      <c r="AC24" s="1">
        <f t="shared" ca="1" si="20"/>
        <v>778</v>
      </c>
      <c r="AD24" s="1">
        <f t="shared" ca="1" si="21"/>
        <v>4.6767962636384127E-3</v>
      </c>
      <c r="AE24" s="1"/>
      <c r="AF24" s="1">
        <f t="shared" ca="1" si="22"/>
        <v>0.35141858043825913</v>
      </c>
      <c r="AG24" s="1">
        <f t="shared" ca="1" si="23"/>
        <v>820</v>
      </c>
      <c r="AH24" s="1">
        <f t="shared" ca="1" si="24"/>
        <v>1.3261242660982759E-3</v>
      </c>
      <c r="AJ24" s="1">
        <f t="shared" ca="1" si="25"/>
        <v>0.61298377029973861</v>
      </c>
      <c r="AK24" s="1">
        <f t="shared" ca="1" si="26"/>
        <v>6.0572529853437072E-4</v>
      </c>
      <c r="AL24" s="1"/>
      <c r="AM24" s="1">
        <f t="shared" ca="1" si="27"/>
        <v>0.18518428906263229</v>
      </c>
      <c r="AN24" s="1">
        <f t="shared" ca="1" si="28"/>
        <v>54</v>
      </c>
      <c r="AO24" s="1">
        <f t="shared" ca="1" si="29"/>
        <v>19</v>
      </c>
      <c r="AQ24" s="1">
        <f t="shared" ca="1" si="30"/>
        <v>58</v>
      </c>
      <c r="AR24" s="1">
        <f t="shared" ca="1" si="31"/>
        <v>2</v>
      </c>
      <c r="AS24" s="1">
        <f t="shared" ca="1" si="32"/>
        <v>60</v>
      </c>
      <c r="AU24" s="1">
        <f t="shared" ca="1" si="33"/>
        <v>52</v>
      </c>
      <c r="AV24" s="1">
        <f t="shared" ca="1" si="34"/>
        <v>6</v>
      </c>
      <c r="AW24" s="1">
        <f t="shared" ca="1" si="35"/>
        <v>8.3190165292877954E-2</v>
      </c>
      <c r="AY24" s="1">
        <f t="shared" ca="1" si="36"/>
        <v>1.7261332328068417</v>
      </c>
      <c r="AZ24" s="1">
        <f t="shared" ca="1" si="37"/>
        <v>417</v>
      </c>
      <c r="BA24" s="1">
        <f t="shared" ca="1" si="38"/>
        <v>7.9441417358798189E-3</v>
      </c>
      <c r="BG24" s="1">
        <f t="shared" ca="1" si="39"/>
        <v>1.1912685398627628E-2</v>
      </c>
      <c r="BH24" s="1">
        <f t="shared" ca="1" si="40"/>
        <v>0.18841624466408236</v>
      </c>
      <c r="BI24" s="1">
        <f t="shared" ca="1" si="41"/>
        <v>431</v>
      </c>
      <c r="BV24" s="1">
        <f t="shared" ca="1" si="42"/>
        <v>0.95997553733869256</v>
      </c>
      <c r="BW24" s="1">
        <f t="shared" ca="1" si="43"/>
        <v>130</v>
      </c>
      <c r="BX24" s="1">
        <f t="shared" ca="1" si="44"/>
        <v>6.2394547417847614E-3</v>
      </c>
      <c r="BY24" s="1">
        <f t="shared" ca="1" si="45"/>
        <v>6.0727241055096887E-2</v>
      </c>
      <c r="BZ24" s="1">
        <f t="shared" ca="1" si="46"/>
        <v>0.56700647958766581</v>
      </c>
      <c r="CB24" s="1">
        <f t="shared" ca="1" si="47"/>
        <v>364</v>
      </c>
      <c r="CC24" s="1">
        <f t="shared" ca="1" si="48"/>
        <v>5</v>
      </c>
      <c r="CD24" s="1">
        <f t="shared" ca="1" si="49"/>
        <v>0.20495441776800041</v>
      </c>
      <c r="CE24" s="1">
        <f t="shared" ca="1" si="50"/>
        <v>0.8701904949150141</v>
      </c>
      <c r="CF24" s="1">
        <f t="shared" ca="1" si="50"/>
        <v>0.76934992466924912</v>
      </c>
      <c r="CH24" s="3">
        <f t="shared" ca="1" si="51"/>
        <v>0.89217934385276809</v>
      </c>
      <c r="CI24" s="3">
        <f t="shared" ca="1" si="52"/>
        <v>0.62163788176527901</v>
      </c>
      <c r="CJ24" s="3">
        <f t="shared" ca="1" si="53"/>
        <v>1879</v>
      </c>
      <c r="CK24" s="3">
        <f t="shared" ca="1" si="54"/>
        <v>5.1645111592464469E-3</v>
      </c>
      <c r="CL24" s="3">
        <f t="shared" ca="1" si="55"/>
        <v>1</v>
      </c>
      <c r="CM24" s="3"/>
      <c r="CN24" s="1">
        <f t="shared" ca="1" si="56"/>
        <v>3.5333510622923123</v>
      </c>
      <c r="CO24" s="1">
        <f t="shared" ca="1" si="57"/>
        <v>0.48662422252799548</v>
      </c>
      <c r="CP24" s="1">
        <f t="shared" ca="1" si="58"/>
        <v>2</v>
      </c>
      <c r="CV24" s="1">
        <f t="shared" ca="1" si="59"/>
        <v>5.0526367333111963</v>
      </c>
      <c r="CW24" s="1">
        <f t="shared" ca="1" si="60"/>
        <v>1160</v>
      </c>
      <c r="CX24" s="1">
        <f t="shared" ca="1" si="61"/>
        <v>8.2184202814156986E-3</v>
      </c>
      <c r="DH24" s="1">
        <f t="shared" ca="1" si="62"/>
        <v>560</v>
      </c>
      <c r="DI24" s="1">
        <f t="shared" ca="1" si="63"/>
        <v>0.42442244202492158</v>
      </c>
      <c r="DJ24" s="1">
        <f t="shared" ca="1" si="64"/>
        <v>20</v>
      </c>
      <c r="DL24" s="1">
        <f t="shared" ca="1" si="65"/>
        <v>0.1716262666733315</v>
      </c>
      <c r="DM24" s="1">
        <f t="shared" ca="1" si="66"/>
        <v>156</v>
      </c>
      <c r="DN24" s="1">
        <f t="shared" ca="1" si="67"/>
        <v>2</v>
      </c>
    </row>
    <row r="25" spans="2:118" x14ac:dyDescent="0.25">
      <c r="B25">
        <f t="shared" ca="1" si="0"/>
        <v>325</v>
      </c>
      <c r="C25">
        <f t="shared" ca="1" si="1"/>
        <v>51</v>
      </c>
      <c r="D25">
        <f t="shared" ca="1" si="2"/>
        <v>0.18618377096952771</v>
      </c>
      <c r="F25" s="1">
        <f t="shared" ca="1" si="3"/>
        <v>19</v>
      </c>
      <c r="G25" s="1">
        <f t="shared" ca="1" si="4"/>
        <v>15</v>
      </c>
      <c r="H25" s="1">
        <f t="shared" ca="1" si="5"/>
        <v>5</v>
      </c>
      <c r="I25" s="1"/>
      <c r="J25" s="1">
        <f t="shared" ca="1" si="6"/>
        <v>20</v>
      </c>
      <c r="K25" s="1">
        <f t="shared" ca="1" si="7"/>
        <v>1.1186346957015914</v>
      </c>
      <c r="L25" s="1">
        <f t="shared" ca="1" si="8"/>
        <v>29</v>
      </c>
      <c r="M25" s="1"/>
      <c r="N25" s="1">
        <f t="shared" ca="1" si="9"/>
        <v>387</v>
      </c>
      <c r="O25" s="1">
        <f t="shared" ca="1" si="10"/>
        <v>42</v>
      </c>
      <c r="P25" s="1"/>
      <c r="Q25" s="1">
        <f t="shared" ca="1" si="11"/>
        <v>0.90981303415447345</v>
      </c>
      <c r="R25" s="1">
        <f t="shared" ca="1" si="12"/>
        <v>704</v>
      </c>
      <c r="S25" s="1"/>
      <c r="T25" s="1">
        <f t="shared" ca="1" si="13"/>
        <v>3.1521532372340032E-2</v>
      </c>
      <c r="U25" s="1">
        <f t="shared" ca="1" si="14"/>
        <v>88</v>
      </c>
      <c r="V25" s="1">
        <f t="shared" ca="1" si="15"/>
        <v>11</v>
      </c>
      <c r="W25" s="1"/>
      <c r="X25" s="1">
        <f t="shared" ca="1" si="16"/>
        <v>0.83989157906830447</v>
      </c>
      <c r="Y25" s="1">
        <f t="shared" ca="1" si="17"/>
        <v>0.48207579805069806</v>
      </c>
      <c r="Z25" s="1">
        <f t="shared" ca="1" si="18"/>
        <v>1878</v>
      </c>
      <c r="AB25" s="1">
        <f t="shared" ca="1" si="19"/>
        <v>0.43896206160120504</v>
      </c>
      <c r="AC25" s="1">
        <f t="shared" ca="1" si="20"/>
        <v>943</v>
      </c>
      <c r="AD25" s="1">
        <f t="shared" ca="1" si="21"/>
        <v>9.7217492800416843E-3</v>
      </c>
      <c r="AE25" s="1"/>
      <c r="AF25" s="1">
        <f t="shared" ca="1" si="22"/>
        <v>0.73808198024554916</v>
      </c>
      <c r="AG25" s="1">
        <f t="shared" ca="1" si="23"/>
        <v>537</v>
      </c>
      <c r="AH25" s="1">
        <f t="shared" ca="1" si="24"/>
        <v>2.0892878971008676E-3</v>
      </c>
      <c r="AJ25" s="1">
        <f t="shared" ca="1" si="25"/>
        <v>0.3206986358719498</v>
      </c>
      <c r="AK25" s="1">
        <f t="shared" ca="1" si="26"/>
        <v>9.250514269136579E-3</v>
      </c>
      <c r="AL25" s="1"/>
      <c r="AM25" s="1">
        <f t="shared" ca="1" si="27"/>
        <v>0.10066865012222206</v>
      </c>
      <c r="AN25" s="1">
        <f t="shared" ca="1" si="28"/>
        <v>11</v>
      </c>
      <c r="AO25" s="1">
        <f t="shared" ca="1" si="29"/>
        <v>9</v>
      </c>
      <c r="AQ25" s="1">
        <f t="shared" ca="1" si="30"/>
        <v>100</v>
      </c>
      <c r="AR25" s="1">
        <f t="shared" ca="1" si="31"/>
        <v>5</v>
      </c>
      <c r="AS25" s="1">
        <f t="shared" ca="1" si="32"/>
        <v>80</v>
      </c>
      <c r="AU25" s="1">
        <f t="shared" ca="1" si="33"/>
        <v>364</v>
      </c>
      <c r="AV25" s="1">
        <f t="shared" ca="1" si="34"/>
        <v>2</v>
      </c>
      <c r="AW25" s="1">
        <f t="shared" ca="1" si="35"/>
        <v>1.6101265977224243E-2</v>
      </c>
      <c r="AY25" s="1">
        <f t="shared" ca="1" si="36"/>
        <v>1.3886027128799698</v>
      </c>
      <c r="AZ25" s="1">
        <f t="shared" ca="1" si="37"/>
        <v>481</v>
      </c>
      <c r="BA25" s="1">
        <f t="shared" ca="1" si="38"/>
        <v>7.9575477696794909E-3</v>
      </c>
      <c r="BG25" s="1">
        <f t="shared" ca="1" si="39"/>
        <v>0.41808353984062452</v>
      </c>
      <c r="BH25" s="1">
        <f t="shared" ca="1" si="40"/>
        <v>2.5542607841947729E-2</v>
      </c>
      <c r="BI25" s="1">
        <f t="shared" ca="1" si="41"/>
        <v>160</v>
      </c>
      <c r="BV25" s="1">
        <f t="shared" ca="1" si="42"/>
        <v>0.19623564562404133</v>
      </c>
      <c r="BW25" s="1">
        <f t="shared" ca="1" si="43"/>
        <v>631</v>
      </c>
      <c r="BX25" s="1">
        <f t="shared" ca="1" si="44"/>
        <v>7.6847377651701812E-3</v>
      </c>
      <c r="BY25" s="1">
        <f t="shared" ca="1" si="45"/>
        <v>4.4620344061991446E-2</v>
      </c>
      <c r="BZ25" s="1">
        <f t="shared" ca="1" si="46"/>
        <v>0.22929254009915601</v>
      </c>
      <c r="CB25" s="1">
        <f t="shared" ca="1" si="47"/>
        <v>136</v>
      </c>
      <c r="CC25" s="1">
        <f t="shared" ca="1" si="48"/>
        <v>8</v>
      </c>
      <c r="CD25" s="1">
        <f t="shared" ca="1" si="49"/>
        <v>0.10263035370256415</v>
      </c>
      <c r="CE25" s="1">
        <f t="shared" ca="1" si="50"/>
        <v>0.85788281828088442</v>
      </c>
      <c r="CF25" s="1">
        <f t="shared" ca="1" si="50"/>
        <v>0.73838458364991522</v>
      </c>
      <c r="CH25" s="3">
        <f t="shared" ca="1" si="51"/>
        <v>0.25455564711156764</v>
      </c>
      <c r="CI25" s="3">
        <f t="shared" ca="1" si="52"/>
        <v>0.5118630627029247</v>
      </c>
      <c r="CJ25" s="3">
        <f t="shared" ca="1" si="53"/>
        <v>1926</v>
      </c>
      <c r="CK25" s="3">
        <f t="shared" ca="1" si="54"/>
        <v>7.0173344837960059E-3</v>
      </c>
      <c r="CL25" s="3">
        <f t="shared" ca="1" si="55"/>
        <v>1</v>
      </c>
      <c r="CM25" s="3"/>
      <c r="CN25" s="1">
        <f t="shared" ca="1" si="56"/>
        <v>13.205657305956885</v>
      </c>
      <c r="CO25" s="1">
        <f t="shared" ca="1" si="57"/>
        <v>0.44783325308446731</v>
      </c>
      <c r="CP25" s="1">
        <f t="shared" ca="1" si="58"/>
        <v>2</v>
      </c>
      <c r="CV25" s="1">
        <f t="shared" ca="1" si="59"/>
        <v>4.7816678216952608</v>
      </c>
      <c r="CW25" s="1">
        <f t="shared" ca="1" si="60"/>
        <v>457</v>
      </c>
      <c r="CX25" s="1">
        <f t="shared" ca="1" si="61"/>
        <v>1.399986766647675E-3</v>
      </c>
      <c r="DH25" s="1">
        <f t="shared" ca="1" si="62"/>
        <v>495</v>
      </c>
      <c r="DI25" s="1">
        <f t="shared" ca="1" si="63"/>
        <v>0.85841091168479255</v>
      </c>
      <c r="DJ25" s="1">
        <f t="shared" ca="1" si="64"/>
        <v>6</v>
      </c>
      <c r="DL25" s="1">
        <f t="shared" ca="1" si="65"/>
        <v>8.0251183348749699E-2</v>
      </c>
      <c r="DM25" s="1">
        <f t="shared" ca="1" si="66"/>
        <v>109</v>
      </c>
      <c r="DN25" s="1">
        <f t="shared" ca="1" si="67"/>
        <v>2</v>
      </c>
    </row>
    <row r="26" spans="2:118" x14ac:dyDescent="0.25">
      <c r="B26">
        <f t="shared" ca="1" si="0"/>
        <v>149</v>
      </c>
      <c r="C26">
        <f t="shared" ca="1" si="1"/>
        <v>29</v>
      </c>
      <c r="D26">
        <f t="shared" ca="1" si="2"/>
        <v>0.15997449515048479</v>
      </c>
      <c r="F26" s="1">
        <f t="shared" ca="1" si="3"/>
        <v>20</v>
      </c>
      <c r="G26" s="1">
        <f t="shared" ca="1" si="4"/>
        <v>5</v>
      </c>
      <c r="H26" s="1">
        <f t="shared" ca="1" si="5"/>
        <v>5</v>
      </c>
      <c r="I26" s="1"/>
      <c r="J26" s="1">
        <f t="shared" ca="1" si="6"/>
        <v>24</v>
      </c>
      <c r="K26" s="1">
        <f t="shared" ca="1" si="7"/>
        <v>1.0079357594944025</v>
      </c>
      <c r="L26" s="1">
        <f t="shared" ca="1" si="8"/>
        <v>26</v>
      </c>
      <c r="M26" s="1"/>
      <c r="N26" s="1">
        <f t="shared" ca="1" si="9"/>
        <v>889</v>
      </c>
      <c r="O26" s="1">
        <f t="shared" ca="1" si="10"/>
        <v>29</v>
      </c>
      <c r="P26" s="1"/>
      <c r="Q26" s="1">
        <f t="shared" ca="1" si="11"/>
        <v>3.8760427120060932</v>
      </c>
      <c r="R26" s="1">
        <f t="shared" ca="1" si="12"/>
        <v>291</v>
      </c>
      <c r="S26" s="1"/>
      <c r="T26" s="1">
        <f t="shared" ca="1" si="13"/>
        <v>0.19158042372128312</v>
      </c>
      <c r="U26" s="1">
        <f t="shared" ca="1" si="14"/>
        <v>148</v>
      </c>
      <c r="V26" s="1">
        <f t="shared" ca="1" si="15"/>
        <v>44</v>
      </c>
      <c r="W26" s="1"/>
      <c r="X26" s="1">
        <f t="shared" ca="1" si="16"/>
        <v>2.2998573804260638</v>
      </c>
      <c r="Y26" s="1">
        <f t="shared" ca="1" si="17"/>
        <v>0.45233170034722747</v>
      </c>
      <c r="Z26" s="1">
        <f t="shared" ca="1" si="18"/>
        <v>1466</v>
      </c>
      <c r="AB26" s="1">
        <f t="shared" ca="1" si="19"/>
        <v>0.58059609630059417</v>
      </c>
      <c r="AC26" s="1">
        <f t="shared" ca="1" si="20"/>
        <v>699</v>
      </c>
      <c r="AD26" s="1">
        <f t="shared" ca="1" si="21"/>
        <v>5.51453158715792E-3</v>
      </c>
      <c r="AE26" s="1"/>
      <c r="AF26" s="1">
        <f t="shared" ca="1" si="22"/>
        <v>0.42912528049463361</v>
      </c>
      <c r="AG26" s="1">
        <f t="shared" ca="1" si="23"/>
        <v>680</v>
      </c>
      <c r="AH26" s="1">
        <f t="shared" ca="1" si="24"/>
        <v>6.3625228305622941E-4</v>
      </c>
      <c r="AJ26" s="1">
        <f t="shared" ca="1" si="25"/>
        <v>0.46642791241156534</v>
      </c>
      <c r="AK26" s="1">
        <f t="shared" ca="1" si="26"/>
        <v>2.0305682700623513E-3</v>
      </c>
      <c r="AL26" s="1"/>
      <c r="AM26" s="1">
        <f t="shared" ca="1" si="27"/>
        <v>2.7752048103166897E-2</v>
      </c>
      <c r="AN26" s="1">
        <f t="shared" ca="1" si="28"/>
        <v>45</v>
      </c>
      <c r="AO26" s="1">
        <f t="shared" ca="1" si="29"/>
        <v>14</v>
      </c>
      <c r="AQ26" s="1">
        <f t="shared" ca="1" si="30"/>
        <v>119</v>
      </c>
      <c r="AR26" s="1">
        <f t="shared" ca="1" si="31"/>
        <v>2</v>
      </c>
      <c r="AS26" s="1">
        <f t="shared" ca="1" si="32"/>
        <v>95</v>
      </c>
      <c r="AU26" s="1">
        <f t="shared" ca="1" si="33"/>
        <v>82</v>
      </c>
      <c r="AV26" s="1">
        <f t="shared" ca="1" si="34"/>
        <v>6</v>
      </c>
      <c r="AW26" s="1">
        <f t="shared" ca="1" si="35"/>
        <v>0.10333463351271083</v>
      </c>
      <c r="AY26" s="1">
        <f t="shared" ca="1" si="36"/>
        <v>1.8599994490876837</v>
      </c>
      <c r="AZ26" s="1">
        <f t="shared" ca="1" si="37"/>
        <v>384</v>
      </c>
      <c r="BA26" s="1">
        <f t="shared" ca="1" si="38"/>
        <v>5.7458328880165329E-3</v>
      </c>
      <c r="BG26" s="1">
        <f t="shared" ca="1" si="39"/>
        <v>0.45057053089361521</v>
      </c>
      <c r="BH26" s="1">
        <f t="shared" ca="1" si="40"/>
        <v>0.22441728913569015</v>
      </c>
      <c r="BI26" s="1">
        <f t="shared" ca="1" si="41"/>
        <v>833</v>
      </c>
      <c r="BV26" s="1">
        <f t="shared" ca="1" si="42"/>
        <v>0.24903311492856645</v>
      </c>
      <c r="BW26" s="1">
        <f t="shared" ca="1" si="43"/>
        <v>594</v>
      </c>
      <c r="BX26" s="1">
        <f t="shared" ca="1" si="44"/>
        <v>4.7590938849215048E-3</v>
      </c>
      <c r="BY26" s="1">
        <f t="shared" ca="1" si="45"/>
        <v>9.5073132094978072E-2</v>
      </c>
      <c r="BZ26" s="1">
        <f t="shared" ca="1" si="46"/>
        <v>0.72088293285092775</v>
      </c>
      <c r="CB26" s="1">
        <f t="shared" ca="1" si="47"/>
        <v>437</v>
      </c>
      <c r="CC26" s="1">
        <f t="shared" ca="1" si="48"/>
        <v>9</v>
      </c>
      <c r="CD26" s="1">
        <f t="shared" ca="1" si="49"/>
        <v>0.22090358945087055</v>
      </c>
      <c r="CE26" s="1">
        <f t="shared" ca="1" si="50"/>
        <v>0.60693916624696953</v>
      </c>
      <c r="CF26" s="1">
        <f t="shared" ca="1" si="50"/>
        <v>0.57770549880910083</v>
      </c>
      <c r="CH26" s="3">
        <f t="shared" ca="1" si="51"/>
        <v>0.9123673787778962</v>
      </c>
      <c r="CI26" s="3">
        <f t="shared" ca="1" si="52"/>
        <v>0.68018907212236401</v>
      </c>
      <c r="CJ26" s="3">
        <f t="shared" ca="1" si="53"/>
        <v>388</v>
      </c>
      <c r="CK26" s="3">
        <f t="shared" ca="1" si="54"/>
        <v>1.8745199664568664E-3</v>
      </c>
      <c r="CL26" s="3">
        <f t="shared" ca="1" si="55"/>
        <v>0</v>
      </c>
      <c r="CM26" s="3"/>
      <c r="CN26" s="1">
        <f t="shared" ca="1" si="56"/>
        <v>10.126661096894086</v>
      </c>
      <c r="CO26" s="1">
        <f t="shared" ca="1" si="57"/>
        <v>0.45108884342975913</v>
      </c>
      <c r="CP26" s="1">
        <f t="shared" ca="1" si="58"/>
        <v>2</v>
      </c>
      <c r="CV26" s="1">
        <f t="shared" ca="1" si="59"/>
        <v>5.3825985586014449</v>
      </c>
      <c r="CW26" s="1">
        <f t="shared" ca="1" si="60"/>
        <v>1831</v>
      </c>
      <c r="CX26" s="1">
        <f t="shared" ca="1" si="61"/>
        <v>3.2461502906204463E-3</v>
      </c>
      <c r="DH26" s="1">
        <f t="shared" ca="1" si="62"/>
        <v>497</v>
      </c>
      <c r="DI26" s="1">
        <f t="shared" ca="1" si="63"/>
        <v>0.74747744354393031</v>
      </c>
      <c r="DJ26" s="1">
        <f t="shared" ca="1" si="64"/>
        <v>1</v>
      </c>
      <c r="DL26" s="1">
        <f t="shared" ca="1" si="65"/>
        <v>6.2398903582191349E-2</v>
      </c>
      <c r="DM26" s="1">
        <f t="shared" ca="1" si="66"/>
        <v>52</v>
      </c>
      <c r="DN26" s="1">
        <f t="shared" ca="1" si="67"/>
        <v>7</v>
      </c>
    </row>
    <row r="27" spans="2:118" x14ac:dyDescent="0.25">
      <c r="B27">
        <f t="shared" ca="1" si="0"/>
        <v>544</v>
      </c>
      <c r="C27">
        <f t="shared" ca="1" si="1"/>
        <v>38</v>
      </c>
      <c r="D27">
        <f t="shared" ca="1" si="2"/>
        <v>0.21532225471551522</v>
      </c>
      <c r="F27" s="1">
        <f t="shared" ca="1" si="3"/>
        <v>29</v>
      </c>
      <c r="G27" s="1">
        <f t="shared" ca="1" si="4"/>
        <v>23</v>
      </c>
      <c r="H27" s="1">
        <f t="shared" ca="1" si="5"/>
        <v>13</v>
      </c>
      <c r="I27" s="1"/>
      <c r="J27" s="1">
        <f t="shared" ca="1" si="6"/>
        <v>21</v>
      </c>
      <c r="K27" s="1">
        <f t="shared" ca="1" si="7"/>
        <v>1.2042625359761663</v>
      </c>
      <c r="L27" s="1">
        <f t="shared" ca="1" si="8"/>
        <v>31</v>
      </c>
      <c r="M27" s="1"/>
      <c r="N27" s="1">
        <f t="shared" ca="1" si="9"/>
        <v>342</v>
      </c>
      <c r="O27" s="1">
        <f t="shared" ca="1" si="10"/>
        <v>36</v>
      </c>
      <c r="P27" s="1"/>
      <c r="Q27" s="1">
        <f t="shared" ca="1" si="11"/>
        <v>4.9197872318367377</v>
      </c>
      <c r="R27" s="1">
        <f t="shared" ca="1" si="12"/>
        <v>726</v>
      </c>
      <c r="S27" s="1"/>
      <c r="T27" s="1">
        <f t="shared" ca="1" si="13"/>
        <v>5.1709356661843058E-2</v>
      </c>
      <c r="U27" s="1">
        <f t="shared" ca="1" si="14"/>
        <v>445</v>
      </c>
      <c r="V27" s="1">
        <f t="shared" ca="1" si="15"/>
        <v>22</v>
      </c>
      <c r="W27" s="1"/>
      <c r="X27" s="1">
        <f t="shared" ca="1" si="16"/>
        <v>8.0009651181367651</v>
      </c>
      <c r="Y27" s="1">
        <f t="shared" ca="1" si="17"/>
        <v>5.2068078092872484E-2</v>
      </c>
      <c r="Z27" s="1">
        <f t="shared" ca="1" si="18"/>
        <v>311</v>
      </c>
      <c r="AB27" s="1">
        <f t="shared" ca="1" si="19"/>
        <v>0.31776537413032369</v>
      </c>
      <c r="AC27" s="1">
        <f t="shared" ca="1" si="20"/>
        <v>168</v>
      </c>
      <c r="AD27" s="1">
        <f t="shared" ca="1" si="21"/>
        <v>4.9583678731032225E-3</v>
      </c>
      <c r="AE27" s="1"/>
      <c r="AF27" s="1">
        <f t="shared" ca="1" si="22"/>
        <v>0.59365909688242291</v>
      </c>
      <c r="AG27" s="1">
        <f t="shared" ca="1" si="23"/>
        <v>137</v>
      </c>
      <c r="AH27" s="1">
        <f t="shared" ca="1" si="24"/>
        <v>5.364594362460411E-3</v>
      </c>
      <c r="AJ27" s="1">
        <f t="shared" ca="1" si="25"/>
        <v>0.26180283442927732</v>
      </c>
      <c r="AK27" s="1">
        <f t="shared" ca="1" si="26"/>
        <v>3.1225531571209223E-3</v>
      </c>
      <c r="AL27" s="1"/>
      <c r="AM27" s="1">
        <f t="shared" ca="1" si="27"/>
        <v>0.17599655338432196</v>
      </c>
      <c r="AN27" s="1">
        <f t="shared" ca="1" si="28"/>
        <v>59</v>
      </c>
      <c r="AO27" s="1">
        <f t="shared" ca="1" si="29"/>
        <v>5</v>
      </c>
      <c r="AQ27" s="1">
        <f t="shared" ca="1" si="30"/>
        <v>21</v>
      </c>
      <c r="AR27" s="1">
        <f t="shared" ca="1" si="31"/>
        <v>4</v>
      </c>
      <c r="AS27" s="1">
        <f t="shared" ca="1" si="32"/>
        <v>42</v>
      </c>
      <c r="AU27" s="1">
        <f t="shared" ca="1" si="33"/>
        <v>216</v>
      </c>
      <c r="AV27" s="1">
        <f t="shared" ca="1" si="34"/>
        <v>9</v>
      </c>
      <c r="AW27" s="1">
        <f t="shared" ca="1" si="35"/>
        <v>0.117461516944845</v>
      </c>
      <c r="AY27" s="1">
        <f t="shared" ca="1" si="36"/>
        <v>1.1544264065538208</v>
      </c>
      <c r="AZ27" s="1">
        <f t="shared" ca="1" si="37"/>
        <v>231</v>
      </c>
      <c r="BA27" s="1">
        <f t="shared" ca="1" si="38"/>
        <v>7.1878351079687226E-3</v>
      </c>
      <c r="BG27" s="1">
        <f t="shared" ca="1" si="39"/>
        <v>0.80262120716080187</v>
      </c>
      <c r="BH27" s="1">
        <f t="shared" ca="1" si="40"/>
        <v>0.61072428228077957</v>
      </c>
      <c r="BI27" s="1">
        <f t="shared" ca="1" si="41"/>
        <v>121</v>
      </c>
      <c r="BV27" s="1">
        <f t="shared" ca="1" si="42"/>
        <v>0.23955978747140222</v>
      </c>
      <c r="BW27" s="1">
        <f t="shared" ca="1" si="43"/>
        <v>429</v>
      </c>
      <c r="BX27" s="1">
        <f t="shared" ca="1" si="44"/>
        <v>6.413962673759697E-3</v>
      </c>
      <c r="BY27" s="1">
        <f t="shared" ca="1" si="45"/>
        <v>7.6917886115053083E-2</v>
      </c>
      <c r="BZ27" s="1">
        <f t="shared" ca="1" si="46"/>
        <v>0.53323164120211741</v>
      </c>
      <c r="CB27" s="1">
        <f t="shared" ca="1" si="47"/>
        <v>181</v>
      </c>
      <c r="CC27" s="1">
        <f t="shared" ca="1" si="48"/>
        <v>3</v>
      </c>
      <c r="CD27" s="1">
        <f t="shared" ca="1" si="49"/>
        <v>0.15525399575106091</v>
      </c>
      <c r="CE27" s="1">
        <f t="shared" ca="1" si="50"/>
        <v>0.67176273484664628</v>
      </c>
      <c r="CF27" s="1">
        <f t="shared" ca="1" si="50"/>
        <v>0.59439074848259543</v>
      </c>
      <c r="CH27" s="3">
        <f t="shared" ca="1" si="51"/>
        <v>0.5783962335936722</v>
      </c>
      <c r="CI27" s="3">
        <f t="shared" ca="1" si="52"/>
        <v>0.63619247137784729</v>
      </c>
      <c r="CJ27" s="3">
        <f t="shared" ca="1" si="53"/>
        <v>913</v>
      </c>
      <c r="CK27" s="3">
        <f t="shared" ca="1" si="54"/>
        <v>7.9707954038300173E-3</v>
      </c>
      <c r="CL27" s="3">
        <f t="shared" ca="1" si="55"/>
        <v>1</v>
      </c>
      <c r="CM27" s="3"/>
      <c r="CN27" s="1">
        <f t="shared" ca="1" si="56"/>
        <v>2.4694643146099762</v>
      </c>
      <c r="CO27" s="1">
        <f t="shared" ca="1" si="57"/>
        <v>0.42110201829607014</v>
      </c>
      <c r="CP27" s="1">
        <f t="shared" ca="1" si="58"/>
        <v>5</v>
      </c>
      <c r="CV27" s="1">
        <f t="shared" ca="1" si="59"/>
        <v>8.6844654023555012</v>
      </c>
      <c r="CW27" s="1">
        <f t="shared" ca="1" si="60"/>
        <v>829</v>
      </c>
      <c r="CX27" s="1">
        <f t="shared" ca="1" si="61"/>
        <v>8.7327694417392038E-3</v>
      </c>
      <c r="DH27" s="1">
        <f t="shared" ca="1" si="62"/>
        <v>246</v>
      </c>
      <c r="DI27" s="1">
        <f t="shared" ca="1" si="63"/>
        <v>0.10306216481122774</v>
      </c>
      <c r="DJ27" s="1">
        <f t="shared" ca="1" si="64"/>
        <v>18</v>
      </c>
      <c r="DL27" s="1">
        <f t="shared" ca="1" si="65"/>
        <v>0.153442881702681</v>
      </c>
      <c r="DM27" s="1">
        <f t="shared" ca="1" si="66"/>
        <v>90</v>
      </c>
      <c r="DN27" s="1">
        <f t="shared" ca="1" si="67"/>
        <v>4</v>
      </c>
    </row>
    <row r="28" spans="2:118" x14ac:dyDescent="0.25">
      <c r="B28">
        <f t="shared" ca="1" si="0"/>
        <v>111</v>
      </c>
      <c r="C28">
        <f t="shared" ca="1" si="1"/>
        <v>23</v>
      </c>
      <c r="D28">
        <f t="shared" ca="1" si="2"/>
        <v>0.23066104174046334</v>
      </c>
      <c r="F28" s="1">
        <f t="shared" ca="1" si="3"/>
        <v>6</v>
      </c>
      <c r="G28" s="1">
        <f t="shared" ca="1" si="4"/>
        <v>2</v>
      </c>
      <c r="H28" s="1">
        <f t="shared" ca="1" si="5"/>
        <v>7</v>
      </c>
      <c r="I28" s="1"/>
      <c r="J28" s="1">
        <f t="shared" ca="1" si="6"/>
        <v>23</v>
      </c>
      <c r="K28" s="1">
        <f t="shared" ca="1" si="7"/>
        <v>1.1994064609075621</v>
      </c>
      <c r="L28" s="1">
        <f t="shared" ca="1" si="8"/>
        <v>18</v>
      </c>
      <c r="M28" s="1"/>
      <c r="N28" s="1">
        <f t="shared" ca="1" si="9"/>
        <v>456</v>
      </c>
      <c r="O28" s="1">
        <f t="shared" ca="1" si="10"/>
        <v>19</v>
      </c>
      <c r="P28" s="1"/>
      <c r="Q28" s="1">
        <f t="shared" ca="1" si="11"/>
        <v>3.848826906285411</v>
      </c>
      <c r="R28" s="1">
        <f t="shared" ca="1" si="12"/>
        <v>412</v>
      </c>
      <c r="S28" s="1"/>
      <c r="T28" s="1">
        <f t="shared" ca="1" si="13"/>
        <v>0.14678141472692824</v>
      </c>
      <c r="U28" s="1">
        <f t="shared" ca="1" si="14"/>
        <v>217</v>
      </c>
      <c r="V28" s="1">
        <f t="shared" ca="1" si="15"/>
        <v>31</v>
      </c>
      <c r="W28" s="1"/>
      <c r="X28" s="1">
        <f t="shared" ca="1" si="16"/>
        <v>4.3772251264614646</v>
      </c>
      <c r="Y28" s="1">
        <f t="shared" ca="1" si="17"/>
        <v>0.10823133560750324</v>
      </c>
      <c r="Z28" s="1">
        <f t="shared" ca="1" si="18"/>
        <v>1931</v>
      </c>
      <c r="AB28" s="1">
        <f t="shared" ca="1" si="19"/>
        <v>0.77672013134710949</v>
      </c>
      <c r="AC28" s="1">
        <f t="shared" ca="1" si="20"/>
        <v>400</v>
      </c>
      <c r="AD28" s="1">
        <f t="shared" ca="1" si="21"/>
        <v>6.3388353103756255E-3</v>
      </c>
      <c r="AE28" s="1"/>
      <c r="AF28" s="1">
        <f t="shared" ca="1" si="22"/>
        <v>0.32620762120209068</v>
      </c>
      <c r="AG28" s="1">
        <f t="shared" ca="1" si="23"/>
        <v>441</v>
      </c>
      <c r="AH28" s="1">
        <f t="shared" ca="1" si="24"/>
        <v>7.1033897579469542E-3</v>
      </c>
      <c r="AJ28" s="1">
        <f t="shared" ca="1" si="25"/>
        <v>5.5576298395788593E-2</v>
      </c>
      <c r="AK28" s="1">
        <f t="shared" ca="1" si="26"/>
        <v>8.7840964275853507E-3</v>
      </c>
      <c r="AL28" s="1"/>
      <c r="AM28" s="1">
        <f t="shared" ca="1" si="27"/>
        <v>8.6900864301037758E-2</v>
      </c>
      <c r="AN28" s="1">
        <f t="shared" ca="1" si="28"/>
        <v>25</v>
      </c>
      <c r="AO28" s="1">
        <f t="shared" ca="1" si="29"/>
        <v>5</v>
      </c>
      <c r="AQ28" s="1">
        <f t="shared" ca="1" si="30"/>
        <v>167</v>
      </c>
      <c r="AR28" s="1">
        <f t="shared" ca="1" si="31"/>
        <v>1</v>
      </c>
      <c r="AS28" s="1">
        <f t="shared" ca="1" si="32"/>
        <v>56</v>
      </c>
      <c r="AU28" s="1">
        <f t="shared" ca="1" si="33"/>
        <v>181</v>
      </c>
      <c r="AV28" s="1">
        <f t="shared" ca="1" si="34"/>
        <v>3</v>
      </c>
      <c r="AW28" s="1">
        <f t="shared" ca="1" si="35"/>
        <v>0.13158384611999574</v>
      </c>
      <c r="AY28" s="1">
        <f t="shared" ca="1" si="36"/>
        <v>1.5335881574902159</v>
      </c>
      <c r="AZ28" s="1">
        <f t="shared" ca="1" si="37"/>
        <v>92</v>
      </c>
      <c r="BA28" s="1">
        <f t="shared" ca="1" si="38"/>
        <v>2.5229486162022256E-3</v>
      </c>
      <c r="BG28" s="1">
        <f t="shared" ca="1" si="39"/>
        <v>0.3413198631599364</v>
      </c>
      <c r="BH28" s="1">
        <f t="shared" ca="1" si="40"/>
        <v>0.88999095772199344</v>
      </c>
      <c r="BI28" s="1">
        <f t="shared" ca="1" si="41"/>
        <v>606</v>
      </c>
      <c r="BV28" s="1">
        <f t="shared" ca="1" si="42"/>
        <v>0.37293435469135455</v>
      </c>
      <c r="BW28" s="1">
        <f t="shared" ca="1" si="43"/>
        <v>517</v>
      </c>
      <c r="BX28" s="1">
        <f t="shared" ca="1" si="44"/>
        <v>5.9341926226826082E-3</v>
      </c>
      <c r="BY28" s="1">
        <f t="shared" ca="1" si="45"/>
        <v>8.4801487059836533E-2</v>
      </c>
      <c r="BZ28" s="1">
        <f t="shared" ca="1" si="46"/>
        <v>0.35599667368435173</v>
      </c>
      <c r="CB28" s="1">
        <f t="shared" ca="1" si="47"/>
        <v>84</v>
      </c>
      <c r="CC28" s="1">
        <f t="shared" ca="1" si="48"/>
        <v>6</v>
      </c>
      <c r="CD28" s="1">
        <f t="shared" ca="1" si="49"/>
        <v>8.2513781401271205E-2</v>
      </c>
      <c r="CE28" s="1">
        <f t="shared" ca="1" si="50"/>
        <v>0.72376514278173976</v>
      </c>
      <c r="CF28" s="1">
        <f t="shared" ca="1" si="50"/>
        <v>0.68025914642954133</v>
      </c>
      <c r="CH28" s="3">
        <f t="shared" ca="1" si="51"/>
        <v>0.98864225332938349</v>
      </c>
      <c r="CI28" s="3">
        <f t="shared" ca="1" si="52"/>
        <v>0.69809585536858709</v>
      </c>
      <c r="CJ28" s="3">
        <f t="shared" ca="1" si="53"/>
        <v>1152</v>
      </c>
      <c r="CK28" s="3">
        <f t="shared" ca="1" si="54"/>
        <v>7.7538427841987974E-3</v>
      </c>
      <c r="CL28" s="3">
        <f t="shared" ca="1" si="55"/>
        <v>1</v>
      </c>
      <c r="CM28" s="3"/>
      <c r="CN28" s="1">
        <f t="shared" ca="1" si="56"/>
        <v>13.745866921595331</v>
      </c>
      <c r="CO28" s="1">
        <f t="shared" ca="1" si="57"/>
        <v>0.28701363456742701</v>
      </c>
      <c r="CP28" s="1">
        <f t="shared" ca="1" si="58"/>
        <v>4</v>
      </c>
      <c r="CV28" s="1">
        <f t="shared" ca="1" si="59"/>
        <v>2.7193048130240269</v>
      </c>
      <c r="CW28" s="1">
        <f t="shared" ca="1" si="60"/>
        <v>1184</v>
      </c>
      <c r="CX28" s="1">
        <f t="shared" ca="1" si="61"/>
        <v>4.3099554350069296E-3</v>
      </c>
      <c r="DH28" s="1">
        <f t="shared" ca="1" si="62"/>
        <v>734</v>
      </c>
      <c r="DI28" s="1">
        <f t="shared" ca="1" si="63"/>
        <v>0.83110134039816286</v>
      </c>
      <c r="DJ28" s="1">
        <f t="shared" ca="1" si="64"/>
        <v>1</v>
      </c>
      <c r="DL28" s="1">
        <f t="shared" ca="1" si="65"/>
        <v>3.0807049386017138E-2</v>
      </c>
      <c r="DM28" s="1">
        <f t="shared" ca="1" si="66"/>
        <v>193</v>
      </c>
      <c r="DN28" s="1">
        <f t="shared" ca="1" si="67"/>
        <v>9</v>
      </c>
    </row>
    <row r="29" spans="2:118" x14ac:dyDescent="0.25">
      <c r="B29">
        <f t="shared" ca="1" si="0"/>
        <v>817</v>
      </c>
      <c r="C29">
        <f t="shared" ca="1" si="1"/>
        <v>18</v>
      </c>
      <c r="D29">
        <f t="shared" ca="1" si="2"/>
        <v>0.29460333001987443</v>
      </c>
      <c r="F29" s="1">
        <f t="shared" ca="1" si="3"/>
        <v>51</v>
      </c>
      <c r="G29" s="1">
        <f t="shared" ca="1" si="4"/>
        <v>23</v>
      </c>
      <c r="H29" s="1">
        <f t="shared" ca="1" si="5"/>
        <v>10</v>
      </c>
      <c r="I29" s="1"/>
      <c r="J29" s="1">
        <f t="shared" ca="1" si="6"/>
        <v>31</v>
      </c>
      <c r="K29" s="1">
        <f t="shared" ca="1" si="7"/>
        <v>2.2315202285791012</v>
      </c>
      <c r="L29" s="1">
        <f t="shared" ca="1" si="8"/>
        <v>2</v>
      </c>
      <c r="M29" s="1"/>
      <c r="N29" s="1">
        <f t="shared" ca="1" si="9"/>
        <v>436</v>
      </c>
      <c r="O29" s="1">
        <f t="shared" ca="1" si="10"/>
        <v>43</v>
      </c>
      <c r="P29" s="1"/>
      <c r="Q29" s="1">
        <f t="shared" ca="1" si="11"/>
        <v>3.4147452472251913</v>
      </c>
      <c r="R29" s="1">
        <f t="shared" ca="1" si="12"/>
        <v>287</v>
      </c>
      <c r="S29" s="1"/>
      <c r="T29" s="1">
        <f t="shared" ca="1" si="13"/>
        <v>3.2207443236179883E-2</v>
      </c>
      <c r="U29" s="1">
        <f t="shared" ca="1" si="14"/>
        <v>54</v>
      </c>
      <c r="V29" s="1">
        <f t="shared" ca="1" si="15"/>
        <v>7</v>
      </c>
      <c r="W29" s="1"/>
      <c r="X29" s="1">
        <f t="shared" ca="1" si="16"/>
        <v>1.5390514839376714</v>
      </c>
      <c r="Y29" s="1">
        <f t="shared" ca="1" si="17"/>
        <v>0.8462234573806181</v>
      </c>
      <c r="Z29" s="1">
        <f t="shared" ca="1" si="18"/>
        <v>829</v>
      </c>
      <c r="AB29" s="1">
        <f t="shared" ca="1" si="19"/>
        <v>0.6482643698850129</v>
      </c>
      <c r="AC29" s="1">
        <f t="shared" ca="1" si="20"/>
        <v>361</v>
      </c>
      <c r="AD29" s="1">
        <f t="shared" ca="1" si="21"/>
        <v>5.361815198355927E-3</v>
      </c>
      <c r="AE29" s="1"/>
      <c r="AF29" s="1">
        <f t="shared" ca="1" si="22"/>
        <v>0.54613965260324449</v>
      </c>
      <c r="AG29" s="1">
        <f t="shared" ca="1" si="23"/>
        <v>384</v>
      </c>
      <c r="AH29" s="1">
        <f t="shared" ca="1" si="24"/>
        <v>5.195926049289608E-3</v>
      </c>
      <c r="AJ29" s="1">
        <f t="shared" ca="1" si="25"/>
        <v>0.53977076856366868</v>
      </c>
      <c r="AK29" s="1">
        <f t="shared" ca="1" si="26"/>
        <v>5.9748864701284704E-3</v>
      </c>
      <c r="AL29" s="1"/>
      <c r="AM29" s="1">
        <f t="shared" ca="1" si="27"/>
        <v>0.15155717751195533</v>
      </c>
      <c r="AN29" s="1">
        <f t="shared" ca="1" si="28"/>
        <v>30</v>
      </c>
      <c r="AO29" s="1">
        <f t="shared" ca="1" si="29"/>
        <v>13</v>
      </c>
      <c r="AQ29" s="1">
        <f t="shared" ca="1" si="30"/>
        <v>168</v>
      </c>
      <c r="AR29" s="1">
        <f t="shared" ca="1" si="31"/>
        <v>8</v>
      </c>
      <c r="AS29" s="1">
        <f t="shared" ca="1" si="32"/>
        <v>57</v>
      </c>
      <c r="AU29" s="1">
        <f t="shared" ca="1" si="33"/>
        <v>61</v>
      </c>
      <c r="AV29" s="1">
        <f t="shared" ca="1" si="34"/>
        <v>10</v>
      </c>
      <c r="AW29" s="1">
        <f t="shared" ca="1" si="35"/>
        <v>0.11677300194698999</v>
      </c>
      <c r="AY29" s="1">
        <f t="shared" ca="1" si="36"/>
        <v>1.286864308894309</v>
      </c>
      <c r="AZ29" s="1">
        <f t="shared" ca="1" si="37"/>
        <v>263</v>
      </c>
      <c r="BA29" s="1">
        <f t="shared" ca="1" si="38"/>
        <v>8.6528985047892616E-3</v>
      </c>
      <c r="BG29" s="1">
        <f t="shared" ca="1" si="39"/>
        <v>0.54576424860967132</v>
      </c>
      <c r="BH29" s="1">
        <f t="shared" ca="1" si="40"/>
        <v>0.54348989461424657</v>
      </c>
      <c r="BI29" s="1">
        <f t="shared" ca="1" si="41"/>
        <v>663</v>
      </c>
      <c r="BV29" s="1">
        <f t="shared" ca="1" si="42"/>
        <v>0.41084224009101389</v>
      </c>
      <c r="BW29" s="1">
        <f t="shared" ca="1" si="43"/>
        <v>406</v>
      </c>
      <c r="BX29" s="1">
        <f t="shared" ca="1" si="44"/>
        <v>3.3667777551539147E-3</v>
      </c>
      <c r="BY29" s="1">
        <f t="shared" ca="1" si="45"/>
        <v>8.5058530648817576E-2</v>
      </c>
      <c r="BZ29" s="1">
        <f t="shared" ca="1" si="46"/>
        <v>0.34978212122266883</v>
      </c>
      <c r="CB29" s="1">
        <f t="shared" ca="1" si="47"/>
        <v>341</v>
      </c>
      <c r="CC29" s="1">
        <f t="shared" ca="1" si="48"/>
        <v>13</v>
      </c>
      <c r="CD29" s="1">
        <f t="shared" ca="1" si="49"/>
        <v>7.9870230037284398E-2</v>
      </c>
      <c r="CE29" s="1">
        <f t="shared" ca="1" si="50"/>
        <v>0.50420234329164271</v>
      </c>
      <c r="CF29" s="1">
        <f t="shared" ca="1" si="50"/>
        <v>0.6227351693204628</v>
      </c>
      <c r="CH29" s="3">
        <f t="shared" ca="1" si="51"/>
        <v>0.69856310754761219</v>
      </c>
      <c r="CI29" s="3">
        <f t="shared" ca="1" si="52"/>
        <v>0.17278015169818903</v>
      </c>
      <c r="CJ29" s="3">
        <f t="shared" ca="1" si="53"/>
        <v>749</v>
      </c>
      <c r="CK29" s="3">
        <f t="shared" ca="1" si="54"/>
        <v>9.9055061452599028E-3</v>
      </c>
      <c r="CL29" s="3">
        <f t="shared" ca="1" si="55"/>
        <v>0</v>
      </c>
      <c r="CM29" s="3"/>
      <c r="CN29" s="1">
        <f t="shared" ca="1" si="56"/>
        <v>6.4083147326963283</v>
      </c>
      <c r="CO29" s="1">
        <f t="shared" ca="1" si="57"/>
        <v>0.11435286919724438</v>
      </c>
      <c r="CP29" s="1">
        <f t="shared" ca="1" si="58"/>
        <v>3</v>
      </c>
      <c r="CV29" s="1">
        <f t="shared" ca="1" si="59"/>
        <v>7.8181422448669506</v>
      </c>
      <c r="CW29" s="1">
        <f t="shared" ca="1" si="60"/>
        <v>283</v>
      </c>
      <c r="CX29" s="1">
        <f t="shared" ca="1" si="61"/>
        <v>2.4938833987486614E-3</v>
      </c>
      <c r="DH29" s="1">
        <f t="shared" ca="1" si="62"/>
        <v>547</v>
      </c>
      <c r="DI29" s="1">
        <f t="shared" ca="1" si="63"/>
        <v>0.44066635793855946</v>
      </c>
      <c r="DJ29" s="1">
        <f t="shared" ca="1" si="64"/>
        <v>4</v>
      </c>
      <c r="DL29" s="1">
        <f t="shared" ca="1" si="65"/>
        <v>1.4318895909506361E-2</v>
      </c>
      <c r="DM29" s="1">
        <f t="shared" ca="1" si="66"/>
        <v>297</v>
      </c>
      <c r="DN29" s="1">
        <f t="shared" ca="1" si="67"/>
        <v>7</v>
      </c>
    </row>
    <row r="30" spans="2:118" x14ac:dyDescent="0.25">
      <c r="B30">
        <f t="shared" ca="1" si="0"/>
        <v>494</v>
      </c>
      <c r="C30">
        <f t="shared" ca="1" si="1"/>
        <v>42</v>
      </c>
      <c r="D30">
        <f t="shared" ca="1" si="2"/>
        <v>0.23169074757772209</v>
      </c>
      <c r="F30" s="1">
        <f t="shared" ca="1" si="3"/>
        <v>25</v>
      </c>
      <c r="G30" s="1">
        <f t="shared" ca="1" si="4"/>
        <v>23</v>
      </c>
      <c r="H30" s="1">
        <f t="shared" ca="1" si="5"/>
        <v>11</v>
      </c>
      <c r="I30" s="1"/>
      <c r="J30" s="1">
        <f t="shared" ca="1" si="6"/>
        <v>19</v>
      </c>
      <c r="K30" s="1">
        <f t="shared" ca="1" si="7"/>
        <v>2.9446820590359173</v>
      </c>
      <c r="L30" s="1">
        <f t="shared" ca="1" si="8"/>
        <v>35</v>
      </c>
      <c r="M30" s="1"/>
      <c r="N30" s="1">
        <f t="shared" ca="1" si="9"/>
        <v>901</v>
      </c>
      <c r="O30" s="1">
        <f t="shared" ca="1" si="10"/>
        <v>17</v>
      </c>
      <c r="P30" s="1"/>
      <c r="Q30" s="1">
        <f t="shared" ca="1" si="11"/>
        <v>4.3131580850447975</v>
      </c>
      <c r="R30" s="1">
        <f t="shared" ca="1" si="12"/>
        <v>677</v>
      </c>
      <c r="S30" s="1"/>
      <c r="T30" s="1">
        <f t="shared" ca="1" si="13"/>
        <v>3.4644344223507831E-2</v>
      </c>
      <c r="U30" s="1">
        <f t="shared" ca="1" si="14"/>
        <v>341</v>
      </c>
      <c r="V30" s="1">
        <f t="shared" ca="1" si="15"/>
        <v>29</v>
      </c>
      <c r="W30" s="1"/>
      <c r="X30" s="1">
        <f t="shared" ca="1" si="16"/>
        <v>9.4762086227533082</v>
      </c>
      <c r="Y30" s="1">
        <f t="shared" ca="1" si="17"/>
        <v>0.9022952446688719</v>
      </c>
      <c r="Z30" s="1">
        <f t="shared" ca="1" si="18"/>
        <v>1427</v>
      </c>
      <c r="AB30" s="1">
        <f t="shared" ca="1" si="19"/>
        <v>0.51902348700762457</v>
      </c>
      <c r="AC30" s="1">
        <f t="shared" ca="1" si="20"/>
        <v>461</v>
      </c>
      <c r="AD30" s="1">
        <f t="shared" ca="1" si="21"/>
        <v>1.192775089113522E-3</v>
      </c>
      <c r="AE30" s="1"/>
      <c r="AF30" s="1">
        <f t="shared" ca="1" si="22"/>
        <v>0.32152563283772695</v>
      </c>
      <c r="AG30" s="1">
        <f t="shared" ca="1" si="23"/>
        <v>767</v>
      </c>
      <c r="AH30" s="1">
        <f t="shared" ca="1" si="24"/>
        <v>8.8542930270050762E-3</v>
      </c>
      <c r="AJ30" s="1">
        <f t="shared" ca="1" si="25"/>
        <v>0.344217421911171</v>
      </c>
      <c r="AK30" s="1">
        <f t="shared" ca="1" si="26"/>
        <v>5.909977297689357E-3</v>
      </c>
      <c r="AL30" s="1"/>
      <c r="AM30" s="1">
        <f t="shared" ca="1" si="27"/>
        <v>3.7064672893612045E-2</v>
      </c>
      <c r="AN30" s="1">
        <f t="shared" ca="1" si="28"/>
        <v>62</v>
      </c>
      <c r="AO30" s="1">
        <f t="shared" ca="1" si="29"/>
        <v>17</v>
      </c>
      <c r="AQ30" s="1">
        <f t="shared" ca="1" si="30"/>
        <v>42</v>
      </c>
      <c r="AR30" s="1">
        <f t="shared" ca="1" si="31"/>
        <v>10</v>
      </c>
      <c r="AS30" s="1">
        <f t="shared" ca="1" si="32"/>
        <v>14</v>
      </c>
      <c r="AU30" s="1">
        <f t="shared" ca="1" si="33"/>
        <v>332</v>
      </c>
      <c r="AV30" s="1">
        <f t="shared" ca="1" si="34"/>
        <v>5</v>
      </c>
      <c r="AW30" s="1">
        <f t="shared" ca="1" si="35"/>
        <v>0.19866347152856759</v>
      </c>
      <c r="AY30" s="1">
        <f t="shared" ca="1" si="36"/>
        <v>1.9094020535280167</v>
      </c>
      <c r="AZ30" s="1">
        <f t="shared" ca="1" si="37"/>
        <v>162</v>
      </c>
      <c r="BA30" s="1">
        <f t="shared" ca="1" si="38"/>
        <v>3.2795184854494176E-3</v>
      </c>
      <c r="BG30" s="1">
        <f t="shared" ca="1" si="39"/>
        <v>0.68512088183493858</v>
      </c>
      <c r="BH30" s="1">
        <f t="shared" ca="1" si="40"/>
        <v>0.89018842333063131</v>
      </c>
      <c r="BI30" s="1">
        <f t="shared" ca="1" si="41"/>
        <v>143</v>
      </c>
      <c r="BV30" s="1">
        <f t="shared" ca="1" si="42"/>
        <v>0.88418328037934801</v>
      </c>
      <c r="BW30" s="1">
        <f t="shared" ca="1" si="43"/>
        <v>292</v>
      </c>
      <c r="BX30" s="1">
        <f t="shared" ca="1" si="44"/>
        <v>2.1407190699261635E-3</v>
      </c>
      <c r="BY30" s="1">
        <f t="shared" ca="1" si="45"/>
        <v>6.6201949881354735E-2</v>
      </c>
      <c r="BZ30" s="1">
        <f t="shared" ca="1" si="46"/>
        <v>0.87500517208452699</v>
      </c>
      <c r="CB30" s="1">
        <f t="shared" ca="1" si="47"/>
        <v>478</v>
      </c>
      <c r="CC30" s="1">
        <f t="shared" ca="1" si="48"/>
        <v>13</v>
      </c>
      <c r="CD30" s="1">
        <f t="shared" ca="1" si="49"/>
        <v>0.27907597833586467</v>
      </c>
      <c r="CE30" s="1">
        <f t="shared" ca="1" si="50"/>
        <v>0.88452951191618157</v>
      </c>
      <c r="CF30" s="1">
        <f t="shared" ca="1" si="50"/>
        <v>0.50954153242835265</v>
      </c>
      <c r="CH30" s="3">
        <f t="shared" ca="1" si="51"/>
        <v>0.12966568113547977</v>
      </c>
      <c r="CI30" s="3">
        <f t="shared" ca="1" si="52"/>
        <v>0.26746064967414518</v>
      </c>
      <c r="CJ30" s="3">
        <f t="shared" ca="1" si="53"/>
        <v>1475</v>
      </c>
      <c r="CK30" s="3">
        <f t="shared" ca="1" si="54"/>
        <v>9.0077812147497677E-3</v>
      </c>
      <c r="CL30" s="3">
        <f t="shared" ca="1" si="55"/>
        <v>0</v>
      </c>
      <c r="CM30" s="3"/>
      <c r="CN30" s="1">
        <f t="shared" ca="1" si="56"/>
        <v>16.614309614087347</v>
      </c>
      <c r="CO30" s="1">
        <f t="shared" ca="1" si="57"/>
        <v>0.31009551584654416</v>
      </c>
      <c r="CP30" s="1">
        <f t="shared" ca="1" si="58"/>
        <v>4</v>
      </c>
      <c r="CV30" s="1">
        <f t="shared" ca="1" si="59"/>
        <v>3.6443888396387063</v>
      </c>
      <c r="CW30" s="1">
        <f t="shared" ca="1" si="60"/>
        <v>286</v>
      </c>
      <c r="CX30" s="1">
        <f t="shared" ca="1" si="61"/>
        <v>5.0293892025376676E-3</v>
      </c>
      <c r="DH30" s="1">
        <f t="shared" ca="1" si="62"/>
        <v>368</v>
      </c>
      <c r="DI30" s="1">
        <f t="shared" ca="1" si="63"/>
        <v>0.30176981165555511</v>
      </c>
      <c r="DJ30" s="1">
        <f t="shared" ca="1" si="64"/>
        <v>16</v>
      </c>
      <c r="DL30" s="1">
        <f t="shared" ca="1" si="65"/>
        <v>0.17335047507601756</v>
      </c>
      <c r="DM30" s="1">
        <f t="shared" ca="1" si="66"/>
        <v>161</v>
      </c>
      <c r="DN30" s="1">
        <f t="shared" ca="1" si="67"/>
        <v>3</v>
      </c>
    </row>
    <row r="31" spans="2:118" x14ac:dyDescent="0.25">
      <c r="B31">
        <f t="shared" ca="1" si="0"/>
        <v>591</v>
      </c>
      <c r="C31">
        <f t="shared" ca="1" si="1"/>
        <v>26</v>
      </c>
      <c r="D31">
        <f t="shared" ca="1" si="2"/>
        <v>0.21256925643438399</v>
      </c>
      <c r="F31" s="1">
        <f t="shared" ca="1" si="3"/>
        <v>17</v>
      </c>
      <c r="G31" s="1">
        <f t="shared" ca="1" si="4"/>
        <v>10</v>
      </c>
      <c r="H31" s="1">
        <f t="shared" ca="1" si="5"/>
        <v>15</v>
      </c>
      <c r="I31" s="1"/>
      <c r="J31" s="1">
        <f t="shared" ca="1" si="6"/>
        <v>9</v>
      </c>
      <c r="K31" s="1">
        <f t="shared" ca="1" si="7"/>
        <v>1.4293263195997183</v>
      </c>
      <c r="L31" s="1">
        <f t="shared" ca="1" si="8"/>
        <v>5</v>
      </c>
      <c r="M31" s="1"/>
      <c r="N31" s="1">
        <f t="shared" ca="1" si="9"/>
        <v>399</v>
      </c>
      <c r="O31" s="1">
        <f t="shared" ca="1" si="10"/>
        <v>25</v>
      </c>
      <c r="P31" s="1"/>
      <c r="Q31" s="1">
        <f t="shared" ca="1" si="11"/>
        <v>0.14829533594664185</v>
      </c>
      <c r="R31" s="1">
        <f t="shared" ca="1" si="12"/>
        <v>250</v>
      </c>
      <c r="S31" s="1"/>
      <c r="T31" s="1">
        <f t="shared" ca="1" si="13"/>
        <v>0.1828491508548849</v>
      </c>
      <c r="U31" s="1">
        <f t="shared" ca="1" si="14"/>
        <v>57</v>
      </c>
      <c r="V31" s="1">
        <f t="shared" ca="1" si="15"/>
        <v>30</v>
      </c>
      <c r="W31" s="1"/>
      <c r="X31" s="1">
        <f t="shared" ca="1" si="16"/>
        <v>6.8717169710428498</v>
      </c>
      <c r="Y31" s="1">
        <f t="shared" ca="1" si="17"/>
        <v>0.59058109743566978</v>
      </c>
      <c r="Z31" s="1">
        <f t="shared" ca="1" si="18"/>
        <v>1533</v>
      </c>
      <c r="AB31" s="1">
        <f t="shared" ca="1" si="19"/>
        <v>7.6615563659478006E-3</v>
      </c>
      <c r="AC31" s="1">
        <f t="shared" ca="1" si="20"/>
        <v>581</v>
      </c>
      <c r="AD31" s="1">
        <f t="shared" ca="1" si="21"/>
        <v>4.4447314614940161E-3</v>
      </c>
      <c r="AE31" s="1"/>
      <c r="AF31" s="1">
        <f t="shared" ca="1" si="22"/>
        <v>0.62375839348083484</v>
      </c>
      <c r="AG31" s="1">
        <f t="shared" ca="1" si="23"/>
        <v>452</v>
      </c>
      <c r="AH31" s="1">
        <f t="shared" ca="1" si="24"/>
        <v>2.634962299104357E-3</v>
      </c>
      <c r="AJ31" s="1">
        <f t="shared" ca="1" si="25"/>
        <v>0.10352461032127636</v>
      </c>
      <c r="AK31" s="1">
        <f t="shared" ca="1" si="26"/>
        <v>8.4905790722158408E-3</v>
      </c>
      <c r="AL31" s="1"/>
      <c r="AM31" s="1">
        <f t="shared" ca="1" si="27"/>
        <v>0.16396205181927054</v>
      </c>
      <c r="AN31" s="1">
        <f t="shared" ca="1" si="28"/>
        <v>41</v>
      </c>
      <c r="AO31" s="1">
        <f t="shared" ca="1" si="29"/>
        <v>18</v>
      </c>
      <c r="AQ31" s="1">
        <f t="shared" ca="1" si="30"/>
        <v>37</v>
      </c>
      <c r="AR31" s="1">
        <f t="shared" ca="1" si="31"/>
        <v>4</v>
      </c>
      <c r="AS31" s="1">
        <f t="shared" ca="1" si="32"/>
        <v>28</v>
      </c>
      <c r="AU31" s="1">
        <f t="shared" ca="1" si="33"/>
        <v>349</v>
      </c>
      <c r="AV31" s="1">
        <f t="shared" ca="1" si="34"/>
        <v>5</v>
      </c>
      <c r="AW31" s="1">
        <f t="shared" ca="1" si="35"/>
        <v>0.19150622478775689</v>
      </c>
      <c r="AY31" s="1">
        <f t="shared" ca="1" si="36"/>
        <v>1.5387967577233199</v>
      </c>
      <c r="AZ31" s="1">
        <f t="shared" ca="1" si="37"/>
        <v>192</v>
      </c>
      <c r="BA31" s="1">
        <f t="shared" ca="1" si="38"/>
        <v>2.18812455504794E-3</v>
      </c>
      <c r="BG31" s="1">
        <f t="shared" ca="1" si="39"/>
        <v>0.76368933626178481</v>
      </c>
      <c r="BH31" s="1">
        <f t="shared" ca="1" si="40"/>
        <v>0.77097467887840898</v>
      </c>
      <c r="BI31" s="1">
        <f t="shared" ca="1" si="41"/>
        <v>116</v>
      </c>
      <c r="BV31" s="1">
        <f t="shared" ca="1" si="42"/>
        <v>0.85416073210747734</v>
      </c>
      <c r="BW31" s="1">
        <f t="shared" ca="1" si="43"/>
        <v>924</v>
      </c>
      <c r="BX31" s="1">
        <f t="shared" ca="1" si="44"/>
        <v>7.8177029950919821E-3</v>
      </c>
      <c r="BY31" s="1">
        <f t="shared" ca="1" si="45"/>
        <v>5.3569724732842543E-2</v>
      </c>
      <c r="BZ31" s="1">
        <f t="shared" ca="1" si="46"/>
        <v>0.82825886515510883</v>
      </c>
      <c r="CB31" s="1">
        <f t="shared" ca="1" si="47"/>
        <v>496</v>
      </c>
      <c r="CC31" s="1">
        <f t="shared" ca="1" si="48"/>
        <v>6</v>
      </c>
      <c r="CD31" s="1">
        <f t="shared" ca="1" si="49"/>
        <v>0.10958824388973325</v>
      </c>
      <c r="CE31" s="1">
        <f t="shared" ca="1" si="50"/>
        <v>0.67096335356873638</v>
      </c>
      <c r="CF31" s="1">
        <f t="shared" ca="1" si="50"/>
        <v>0.85802748041284027</v>
      </c>
      <c r="CH31" s="3">
        <f t="shared" ca="1" si="51"/>
        <v>0.31445145320891993</v>
      </c>
      <c r="CI31" s="3">
        <f t="shared" ca="1" si="52"/>
        <v>0.76259881136787455</v>
      </c>
      <c r="CJ31" s="3">
        <f t="shared" ca="1" si="53"/>
        <v>1311</v>
      </c>
      <c r="CK31" s="3">
        <f t="shared" ca="1" si="54"/>
        <v>2.0009030955519913E-3</v>
      </c>
      <c r="CL31" s="3">
        <f t="shared" ca="1" si="55"/>
        <v>1</v>
      </c>
      <c r="CM31" s="3"/>
      <c r="CN31" s="1">
        <f t="shared" ca="1" si="56"/>
        <v>2.2749814329154661</v>
      </c>
      <c r="CO31" s="1">
        <f t="shared" ca="1" si="57"/>
        <v>0.32234785160931662</v>
      </c>
      <c r="CP31" s="1">
        <f t="shared" ca="1" si="58"/>
        <v>1</v>
      </c>
      <c r="CV31" s="1">
        <f t="shared" ca="1" si="59"/>
        <v>8.9469754723005632</v>
      </c>
      <c r="CW31" s="1">
        <f t="shared" ca="1" si="60"/>
        <v>1193</v>
      </c>
      <c r="CX31" s="1">
        <f t="shared" ca="1" si="61"/>
        <v>3.4917505347173442E-3</v>
      </c>
      <c r="DH31" s="1">
        <f t="shared" ca="1" si="62"/>
        <v>323</v>
      </c>
      <c r="DI31" s="1">
        <f t="shared" ca="1" si="63"/>
        <v>0.65311120794584965</v>
      </c>
      <c r="DJ31" s="1">
        <f t="shared" ca="1" si="64"/>
        <v>18</v>
      </c>
      <c r="DL31" s="1">
        <f t="shared" ca="1" si="65"/>
        <v>0.16704166570442158</v>
      </c>
      <c r="DM31" s="1">
        <f t="shared" ca="1" si="66"/>
        <v>77</v>
      </c>
      <c r="DN31" s="1">
        <f t="shared" ca="1" si="67"/>
        <v>10</v>
      </c>
    </row>
    <row r="32" spans="2:118" x14ac:dyDescent="0.25">
      <c r="B32">
        <f t="shared" ca="1" si="0"/>
        <v>604</v>
      </c>
      <c r="C32">
        <f t="shared" ca="1" si="1"/>
        <v>51</v>
      </c>
      <c r="D32">
        <f t="shared" ca="1" si="2"/>
        <v>0.20202230960980214</v>
      </c>
      <c r="F32" s="1">
        <f t="shared" ca="1" si="3"/>
        <v>39</v>
      </c>
      <c r="G32" s="1">
        <f t="shared" ca="1" si="4"/>
        <v>9</v>
      </c>
      <c r="H32" s="1">
        <f t="shared" ca="1" si="5"/>
        <v>12</v>
      </c>
      <c r="I32" s="1"/>
      <c r="J32" s="1">
        <f t="shared" ca="1" si="6"/>
        <v>3</v>
      </c>
      <c r="K32" s="1">
        <f t="shared" ca="1" si="7"/>
        <v>2.8618948734600127</v>
      </c>
      <c r="L32" s="1">
        <f t="shared" ca="1" si="8"/>
        <v>24</v>
      </c>
      <c r="M32" s="1"/>
      <c r="N32" s="1">
        <f t="shared" ca="1" si="9"/>
        <v>200</v>
      </c>
      <c r="O32" s="1">
        <f t="shared" ca="1" si="10"/>
        <v>43</v>
      </c>
      <c r="P32" s="1"/>
      <c r="Q32" s="1">
        <f t="shared" ca="1" si="11"/>
        <v>2.1868077526143233</v>
      </c>
      <c r="R32" s="1">
        <f t="shared" ca="1" si="12"/>
        <v>1017</v>
      </c>
      <c r="S32" s="1"/>
      <c r="T32" s="1">
        <f t="shared" ca="1" si="13"/>
        <v>1.272745906670374E-2</v>
      </c>
      <c r="U32" s="1">
        <f t="shared" ca="1" si="14"/>
        <v>398</v>
      </c>
      <c r="V32" s="1">
        <f t="shared" ca="1" si="15"/>
        <v>39</v>
      </c>
      <c r="W32" s="1"/>
      <c r="X32" s="1">
        <f t="shared" ca="1" si="16"/>
        <v>8.4513860740610198</v>
      </c>
      <c r="Y32" s="1">
        <f t="shared" ca="1" si="17"/>
        <v>1.1336210142430019E-2</v>
      </c>
      <c r="Z32" s="1">
        <f t="shared" ca="1" si="18"/>
        <v>533</v>
      </c>
      <c r="AB32" s="1">
        <f t="shared" ca="1" si="19"/>
        <v>0.19496697935941681</v>
      </c>
      <c r="AC32" s="1">
        <f t="shared" ca="1" si="20"/>
        <v>111</v>
      </c>
      <c r="AD32" s="1">
        <f t="shared" ca="1" si="21"/>
        <v>7.7399494345409539E-3</v>
      </c>
      <c r="AE32" s="1"/>
      <c r="AF32" s="1">
        <f t="shared" ca="1" si="22"/>
        <v>0.24529011272412893</v>
      </c>
      <c r="AG32" s="1">
        <f t="shared" ca="1" si="23"/>
        <v>255</v>
      </c>
      <c r="AH32" s="1">
        <f t="shared" ca="1" si="24"/>
        <v>8.8807165417422451E-3</v>
      </c>
      <c r="AJ32" s="1">
        <f t="shared" ca="1" si="25"/>
        <v>0.2387418175587932</v>
      </c>
      <c r="AK32" s="1">
        <f t="shared" ca="1" si="26"/>
        <v>6.2416711054644391E-3</v>
      </c>
      <c r="AL32" s="1"/>
      <c r="AM32" s="1">
        <f t="shared" ca="1" si="27"/>
        <v>0.13257149909665278</v>
      </c>
      <c r="AN32" s="1">
        <f t="shared" ca="1" si="28"/>
        <v>39</v>
      </c>
      <c r="AO32" s="1">
        <f t="shared" ca="1" si="29"/>
        <v>13</v>
      </c>
      <c r="AQ32" s="1">
        <f t="shared" ca="1" si="30"/>
        <v>86</v>
      </c>
      <c r="AR32" s="1">
        <f t="shared" ca="1" si="31"/>
        <v>0</v>
      </c>
      <c r="AS32" s="1">
        <f t="shared" ca="1" si="32"/>
        <v>54</v>
      </c>
      <c r="AU32" s="1">
        <f t="shared" ca="1" si="33"/>
        <v>209</v>
      </c>
      <c r="AV32" s="1">
        <f t="shared" ca="1" si="34"/>
        <v>5</v>
      </c>
      <c r="AW32" s="1">
        <f t="shared" ca="1" si="35"/>
        <v>3.3377635386762042E-2</v>
      </c>
      <c r="AY32" s="1">
        <f t="shared" ca="1" si="36"/>
        <v>1.1651670306344468</v>
      </c>
      <c r="AZ32" s="1">
        <f t="shared" ca="1" si="37"/>
        <v>124</v>
      </c>
      <c r="BA32" s="1">
        <f t="shared" ca="1" si="38"/>
        <v>3.8611605012706563E-3</v>
      </c>
      <c r="BG32" s="1">
        <f t="shared" ca="1" si="39"/>
        <v>0.76070033164390105</v>
      </c>
      <c r="BH32" s="1">
        <f t="shared" ca="1" si="40"/>
        <v>0.23708840008367738</v>
      </c>
      <c r="BI32" s="1">
        <f t="shared" ca="1" si="41"/>
        <v>124</v>
      </c>
      <c r="BV32" s="1">
        <f t="shared" ca="1" si="42"/>
        <v>0.24241975009197678</v>
      </c>
      <c r="BW32" s="1">
        <f t="shared" ca="1" si="43"/>
        <v>549</v>
      </c>
      <c r="BX32" s="1">
        <f t="shared" ca="1" si="44"/>
        <v>7.8884310190796125E-3</v>
      </c>
      <c r="BY32" s="1">
        <f t="shared" ca="1" si="45"/>
        <v>7.5466001168230185E-2</v>
      </c>
      <c r="BZ32" s="1">
        <f t="shared" ca="1" si="46"/>
        <v>0.27964651478448033</v>
      </c>
      <c r="CB32" s="1">
        <f t="shared" ca="1" si="47"/>
        <v>497</v>
      </c>
      <c r="CC32" s="1">
        <f t="shared" ca="1" si="48"/>
        <v>5</v>
      </c>
      <c r="CD32" s="1">
        <f t="shared" ca="1" si="49"/>
        <v>2.5887145812822948E-2</v>
      </c>
      <c r="CE32" s="1">
        <f t="shared" ca="1" si="50"/>
        <v>0.76206050031635642</v>
      </c>
      <c r="CF32" s="1">
        <f t="shared" ca="1" si="50"/>
        <v>0.76869856260220937</v>
      </c>
      <c r="CH32" s="3">
        <f t="shared" ca="1" si="51"/>
        <v>0.908150740401653</v>
      </c>
      <c r="CI32" s="3">
        <f t="shared" ca="1" si="52"/>
        <v>0.21658893428144746</v>
      </c>
      <c r="CJ32" s="3">
        <f t="shared" ca="1" si="53"/>
        <v>1072</v>
      </c>
      <c r="CK32" s="3">
        <f t="shared" ca="1" si="54"/>
        <v>4.7914287560280054E-5</v>
      </c>
      <c r="CL32" s="3">
        <f t="shared" ca="1" si="55"/>
        <v>1</v>
      </c>
      <c r="CM32" s="3"/>
      <c r="CN32" s="1">
        <f t="shared" ca="1" si="56"/>
        <v>12.877338855034285</v>
      </c>
      <c r="CO32" s="1">
        <f t="shared" ca="1" si="57"/>
        <v>0.22594769181509353</v>
      </c>
      <c r="CP32" s="1">
        <f t="shared" ca="1" si="58"/>
        <v>2</v>
      </c>
      <c r="CV32" s="1">
        <f t="shared" ca="1" si="59"/>
        <v>5.4311177288421675</v>
      </c>
      <c r="CW32" s="1">
        <f t="shared" ca="1" si="60"/>
        <v>1362</v>
      </c>
      <c r="CX32" s="1">
        <f t="shared" ca="1" si="61"/>
        <v>3.2803817331146317E-3</v>
      </c>
      <c r="DH32" s="1">
        <f t="shared" ca="1" si="62"/>
        <v>465</v>
      </c>
      <c r="DI32" s="1">
        <f t="shared" ca="1" si="63"/>
        <v>0.53410170286194447</v>
      </c>
      <c r="DJ32" s="1">
        <f t="shared" ca="1" si="64"/>
        <v>10</v>
      </c>
      <c r="DL32" s="1">
        <f t="shared" ca="1" si="65"/>
        <v>1.6765262220044402E-2</v>
      </c>
      <c r="DM32" s="1">
        <f t="shared" ca="1" si="66"/>
        <v>290</v>
      </c>
      <c r="DN32" s="1">
        <f t="shared" ca="1" si="67"/>
        <v>4</v>
      </c>
    </row>
    <row r="33" spans="2:118" x14ac:dyDescent="0.25">
      <c r="B33">
        <f t="shared" ca="1" si="0"/>
        <v>864</v>
      </c>
      <c r="C33">
        <f t="shared" ca="1" si="1"/>
        <v>27</v>
      </c>
      <c r="D33">
        <f t="shared" ca="1" si="2"/>
        <v>9.1438889533317538E-2</v>
      </c>
      <c r="F33" s="1">
        <f t="shared" ca="1" si="3"/>
        <v>7</v>
      </c>
      <c r="G33" s="1">
        <f t="shared" ca="1" si="4"/>
        <v>18</v>
      </c>
      <c r="H33" s="1">
        <f t="shared" ca="1" si="5"/>
        <v>6</v>
      </c>
      <c r="I33" s="1"/>
      <c r="J33" s="1">
        <f t="shared" ca="1" si="6"/>
        <v>14</v>
      </c>
      <c r="K33" s="1">
        <f t="shared" ca="1" si="7"/>
        <v>2.347956652182452</v>
      </c>
      <c r="L33" s="1">
        <f t="shared" ca="1" si="8"/>
        <v>12</v>
      </c>
      <c r="M33" s="1"/>
      <c r="N33" s="1">
        <f t="shared" ca="1" si="9"/>
        <v>757</v>
      </c>
      <c r="O33" s="1">
        <f t="shared" ca="1" si="10"/>
        <v>48</v>
      </c>
      <c r="P33" s="1"/>
      <c r="Q33" s="1">
        <f t="shared" ca="1" si="11"/>
        <v>1.7526555541199833</v>
      </c>
      <c r="R33" s="1">
        <f t="shared" ca="1" si="12"/>
        <v>306</v>
      </c>
      <c r="S33" s="1"/>
      <c r="T33" s="1">
        <f t="shared" ca="1" si="13"/>
        <v>0.10620090077063812</v>
      </c>
      <c r="U33" s="1">
        <f t="shared" ca="1" si="14"/>
        <v>272</v>
      </c>
      <c r="V33" s="1">
        <f t="shared" ca="1" si="15"/>
        <v>10</v>
      </c>
      <c r="W33" s="1"/>
      <c r="X33" s="1">
        <f t="shared" ca="1" si="16"/>
        <v>2.8176438898511558</v>
      </c>
      <c r="Y33" s="1">
        <f t="shared" ca="1" si="17"/>
        <v>0.55148194650871607</v>
      </c>
      <c r="Z33" s="1">
        <f t="shared" ca="1" si="18"/>
        <v>155</v>
      </c>
      <c r="AB33" s="1">
        <f t="shared" ca="1" si="19"/>
        <v>0.60357903922393752</v>
      </c>
      <c r="AC33" s="1">
        <f t="shared" ca="1" si="20"/>
        <v>641</v>
      </c>
      <c r="AD33" s="1">
        <f t="shared" ca="1" si="21"/>
        <v>4.0113132687488251E-3</v>
      </c>
      <c r="AE33" s="1"/>
      <c r="AF33" s="1">
        <f t="shared" ca="1" si="22"/>
        <v>0.40684404088169901</v>
      </c>
      <c r="AG33" s="1">
        <f t="shared" ca="1" si="23"/>
        <v>898</v>
      </c>
      <c r="AH33" s="1">
        <f t="shared" ca="1" si="24"/>
        <v>8.7544049002192502E-3</v>
      </c>
      <c r="AJ33" s="1">
        <f t="shared" ca="1" si="25"/>
        <v>0.7136062589215445</v>
      </c>
      <c r="AK33" s="1">
        <f t="shared" ca="1" si="26"/>
        <v>7.9417557282686242E-3</v>
      </c>
      <c r="AL33" s="1"/>
      <c r="AM33" s="1">
        <f t="shared" ca="1" si="27"/>
        <v>2.6337778241620369E-2</v>
      </c>
      <c r="AN33" s="1">
        <f t="shared" ca="1" si="28"/>
        <v>24</v>
      </c>
      <c r="AO33" s="1">
        <f t="shared" ca="1" si="29"/>
        <v>4</v>
      </c>
      <c r="AQ33" s="1">
        <f t="shared" ca="1" si="30"/>
        <v>171</v>
      </c>
      <c r="AR33" s="1">
        <f t="shared" ca="1" si="31"/>
        <v>6</v>
      </c>
      <c r="AS33" s="1">
        <f t="shared" ca="1" si="32"/>
        <v>38</v>
      </c>
      <c r="AU33" s="1">
        <f t="shared" ca="1" si="33"/>
        <v>254</v>
      </c>
      <c r="AV33" s="1">
        <f t="shared" ca="1" si="34"/>
        <v>2</v>
      </c>
      <c r="AW33" s="1">
        <f t="shared" ca="1" si="35"/>
        <v>0.18817525220260337</v>
      </c>
      <c r="AY33" s="1">
        <f t="shared" ca="1" si="36"/>
        <v>1.4050477688736185</v>
      </c>
      <c r="AZ33" s="1">
        <f t="shared" ca="1" si="37"/>
        <v>355</v>
      </c>
      <c r="BA33" s="1">
        <f t="shared" ca="1" si="38"/>
        <v>1.5613107316869823E-3</v>
      </c>
      <c r="BG33" s="1">
        <f t="shared" ca="1" si="39"/>
        <v>0.67899563417764319</v>
      </c>
      <c r="BH33" s="1">
        <f t="shared" ca="1" si="40"/>
        <v>0.37404199524274317</v>
      </c>
      <c r="BI33" s="1">
        <f t="shared" ca="1" si="41"/>
        <v>970</v>
      </c>
      <c r="BV33" s="1">
        <f t="shared" ca="1" si="42"/>
        <v>0.25370805246759193</v>
      </c>
      <c r="BW33" s="1">
        <f t="shared" ca="1" si="43"/>
        <v>570</v>
      </c>
      <c r="BX33" s="1">
        <f t="shared" ca="1" si="44"/>
        <v>4.7306664870901847E-3</v>
      </c>
      <c r="BY33" s="1">
        <f t="shared" ca="1" si="45"/>
        <v>6.0329040730416533E-2</v>
      </c>
      <c r="BZ33" s="1">
        <f t="shared" ca="1" si="46"/>
        <v>0.8144397471982382</v>
      </c>
      <c r="CB33" s="1">
        <f t="shared" ca="1" si="47"/>
        <v>254</v>
      </c>
      <c r="CC33" s="1">
        <f t="shared" ca="1" si="48"/>
        <v>5</v>
      </c>
      <c r="CD33" s="1">
        <f t="shared" ca="1" si="49"/>
        <v>0.1562732562824509</v>
      </c>
      <c r="CE33" s="1">
        <f t="shared" ca="1" si="50"/>
        <v>0.91390476885926208</v>
      </c>
      <c r="CF33" s="1">
        <f t="shared" ca="1" si="50"/>
        <v>0.68433396495954524</v>
      </c>
      <c r="CH33" s="3">
        <f t="shared" ca="1" si="51"/>
        <v>0.95371909002056288</v>
      </c>
      <c r="CI33" s="3">
        <f t="shared" ca="1" si="52"/>
        <v>0.35144059232925351</v>
      </c>
      <c r="CJ33" s="3">
        <f t="shared" ca="1" si="53"/>
        <v>551</v>
      </c>
      <c r="CK33" s="3">
        <f t="shared" ca="1" si="54"/>
        <v>7.4090673950881593E-3</v>
      </c>
      <c r="CL33" s="3">
        <f t="shared" ca="1" si="55"/>
        <v>0</v>
      </c>
      <c r="CM33" s="3"/>
      <c r="CN33" s="1">
        <f t="shared" ca="1" si="56"/>
        <v>11.942876373470446</v>
      </c>
      <c r="CO33" s="1">
        <f t="shared" ca="1" si="57"/>
        <v>0.48154400268782338</v>
      </c>
      <c r="CP33" s="1">
        <f t="shared" ca="1" si="58"/>
        <v>4</v>
      </c>
      <c r="CV33" s="1">
        <f t="shared" ca="1" si="59"/>
        <v>4.673081985953524</v>
      </c>
      <c r="CW33" s="1">
        <f t="shared" ca="1" si="60"/>
        <v>693</v>
      </c>
      <c r="CX33" s="1">
        <f t="shared" ca="1" si="61"/>
        <v>4.7799083987203296E-3</v>
      </c>
      <c r="DH33" s="1">
        <f t="shared" ca="1" si="62"/>
        <v>56</v>
      </c>
      <c r="DI33" s="1">
        <f t="shared" ca="1" si="63"/>
        <v>0.95746060262847632</v>
      </c>
      <c r="DJ33" s="1">
        <f t="shared" ca="1" si="64"/>
        <v>23</v>
      </c>
      <c r="DL33" s="1">
        <f t="shared" ca="1" si="65"/>
        <v>1.9886162644041656E-2</v>
      </c>
      <c r="DM33" s="1">
        <f t="shared" ca="1" si="66"/>
        <v>95</v>
      </c>
      <c r="DN33" s="1">
        <f t="shared" ca="1" si="67"/>
        <v>5</v>
      </c>
    </row>
    <row r="34" spans="2:118" x14ac:dyDescent="0.25">
      <c r="B34">
        <f t="shared" ca="1" si="0"/>
        <v>552</v>
      </c>
      <c r="C34">
        <f t="shared" ca="1" si="1"/>
        <v>12</v>
      </c>
      <c r="D34">
        <f t="shared" ca="1" si="2"/>
        <v>0.25822775451259172</v>
      </c>
      <c r="F34" s="1">
        <f t="shared" ca="1" si="3"/>
        <v>39</v>
      </c>
      <c r="G34" s="1">
        <f t="shared" ca="1" si="4"/>
        <v>29</v>
      </c>
      <c r="H34" s="1">
        <f t="shared" ca="1" si="5"/>
        <v>8</v>
      </c>
      <c r="I34" s="1"/>
      <c r="J34" s="1">
        <f t="shared" ca="1" si="6"/>
        <v>38</v>
      </c>
      <c r="K34" s="1">
        <f t="shared" ca="1" si="7"/>
        <v>1.0424874096659356</v>
      </c>
      <c r="L34" s="1">
        <f t="shared" ca="1" si="8"/>
        <v>27</v>
      </c>
      <c r="M34" s="1"/>
      <c r="N34" s="1">
        <f t="shared" ca="1" si="9"/>
        <v>68</v>
      </c>
      <c r="O34" s="1">
        <f t="shared" ca="1" si="10"/>
        <v>24</v>
      </c>
      <c r="P34" s="1"/>
      <c r="Q34" s="1">
        <f t="shared" ca="1" si="11"/>
        <v>4.2812315260291092</v>
      </c>
      <c r="R34" s="1">
        <f t="shared" ca="1" si="12"/>
        <v>1112</v>
      </c>
      <c r="S34" s="1"/>
      <c r="T34" s="1">
        <f t="shared" ca="1" si="13"/>
        <v>0.13119951093348953</v>
      </c>
      <c r="U34" s="1">
        <f t="shared" ca="1" si="14"/>
        <v>361</v>
      </c>
      <c r="V34" s="1">
        <f t="shared" ca="1" si="15"/>
        <v>7</v>
      </c>
      <c r="W34" s="1"/>
      <c r="X34" s="1">
        <f t="shared" ca="1" si="16"/>
        <v>9.5947346202536572</v>
      </c>
      <c r="Y34" s="1">
        <f t="shared" ca="1" si="17"/>
        <v>0.68871238401343782</v>
      </c>
      <c r="Z34" s="1">
        <f t="shared" ca="1" si="18"/>
        <v>264</v>
      </c>
      <c r="AB34" s="1">
        <f t="shared" ca="1" si="19"/>
        <v>6.6830425354108311E-2</v>
      </c>
      <c r="AC34" s="1">
        <f t="shared" ca="1" si="20"/>
        <v>422</v>
      </c>
      <c r="AD34" s="1">
        <f t="shared" ca="1" si="21"/>
        <v>2.0552037922665269E-3</v>
      </c>
      <c r="AE34" s="1"/>
      <c r="AF34" s="1">
        <f t="shared" ca="1" si="22"/>
        <v>0.71684025170561427</v>
      </c>
      <c r="AG34" s="1">
        <f t="shared" ca="1" si="23"/>
        <v>420</v>
      </c>
      <c r="AH34" s="1">
        <f t="shared" ca="1" si="24"/>
        <v>8.7171817318378152E-3</v>
      </c>
      <c r="AJ34" s="1">
        <f t="shared" ca="1" si="25"/>
        <v>0.50032699663154134</v>
      </c>
      <c r="AK34" s="1">
        <f t="shared" ca="1" si="26"/>
        <v>9.9590602859311156E-4</v>
      </c>
      <c r="AL34" s="1"/>
      <c r="AM34" s="1">
        <f t="shared" ca="1" si="27"/>
        <v>1.5942136373354919E-2</v>
      </c>
      <c r="AN34" s="1">
        <f t="shared" ca="1" si="28"/>
        <v>77</v>
      </c>
      <c r="AO34" s="1">
        <f t="shared" ca="1" si="29"/>
        <v>1</v>
      </c>
      <c r="AQ34" s="1">
        <f t="shared" ca="1" si="30"/>
        <v>147</v>
      </c>
      <c r="AR34" s="1">
        <f t="shared" ca="1" si="31"/>
        <v>4</v>
      </c>
      <c r="AS34" s="1">
        <f t="shared" ca="1" si="32"/>
        <v>37</v>
      </c>
      <c r="AU34" s="1">
        <f t="shared" ca="1" si="33"/>
        <v>204</v>
      </c>
      <c r="AV34" s="1">
        <f t="shared" ca="1" si="34"/>
        <v>6</v>
      </c>
      <c r="AW34" s="1">
        <f t="shared" ca="1" si="35"/>
        <v>3.3974553135406454E-2</v>
      </c>
      <c r="AY34" s="1">
        <f t="shared" ca="1" si="36"/>
        <v>1.8204326946481495</v>
      </c>
      <c r="AZ34" s="1">
        <f t="shared" ca="1" si="37"/>
        <v>299</v>
      </c>
      <c r="BA34" s="1">
        <f t="shared" ca="1" si="38"/>
        <v>1.5478507415045131E-3</v>
      </c>
      <c r="BG34" s="1">
        <f t="shared" ca="1" si="39"/>
        <v>0.6662356822528156</v>
      </c>
      <c r="BH34" s="1">
        <f t="shared" ca="1" si="40"/>
        <v>0.2381532095199681</v>
      </c>
      <c r="BI34" s="1">
        <f t="shared" ca="1" si="41"/>
        <v>225</v>
      </c>
      <c r="BV34" s="1">
        <f t="shared" ca="1" si="42"/>
        <v>0.66538029949019084</v>
      </c>
      <c r="BW34" s="1">
        <f t="shared" ca="1" si="43"/>
        <v>814</v>
      </c>
      <c r="BX34" s="1">
        <f t="shared" ca="1" si="44"/>
        <v>5.8528471721852439E-3</v>
      </c>
      <c r="BY34" s="1">
        <f t="shared" ca="1" si="45"/>
        <v>8.2290286216361114E-2</v>
      </c>
      <c r="BZ34" s="1">
        <f t="shared" ca="1" si="46"/>
        <v>0.97495182113785517</v>
      </c>
      <c r="CB34" s="1">
        <f t="shared" ca="1" si="47"/>
        <v>249</v>
      </c>
      <c r="CC34" s="1">
        <f t="shared" ca="1" si="48"/>
        <v>8</v>
      </c>
      <c r="CD34" s="1">
        <f t="shared" ca="1" si="49"/>
        <v>0.14619152921424333</v>
      </c>
      <c r="CE34" s="1">
        <f t="shared" ca="1" si="50"/>
        <v>0.75809547278134737</v>
      </c>
      <c r="CF34" s="1">
        <f t="shared" ca="1" si="50"/>
        <v>0.59028848349750529</v>
      </c>
      <c r="CH34" s="3">
        <f t="shared" ca="1" si="51"/>
        <v>5.9195803660230729E-2</v>
      </c>
      <c r="CI34" s="3">
        <f t="shared" ca="1" si="52"/>
        <v>0.58102920253378665</v>
      </c>
      <c r="CJ34" s="3">
        <f t="shared" ca="1" si="53"/>
        <v>1361</v>
      </c>
      <c r="CK34" s="3">
        <f t="shared" ca="1" si="54"/>
        <v>2.0724746958215587E-3</v>
      </c>
      <c r="CL34" s="3">
        <f t="shared" ca="1" si="55"/>
        <v>1</v>
      </c>
      <c r="CM34" s="3"/>
      <c r="CN34" s="1">
        <f t="shared" ca="1" si="56"/>
        <v>17.637500357886832</v>
      </c>
      <c r="CO34" s="1">
        <f t="shared" ca="1" si="57"/>
        <v>0.35171880716968318</v>
      </c>
      <c r="CP34" s="1">
        <f t="shared" ca="1" si="58"/>
        <v>5</v>
      </c>
      <c r="CV34" s="1">
        <f t="shared" ca="1" si="59"/>
        <v>8.9442254258592957</v>
      </c>
      <c r="CW34" s="1">
        <f t="shared" ca="1" si="60"/>
        <v>207</v>
      </c>
      <c r="CX34" s="1">
        <f t="shared" ca="1" si="61"/>
        <v>9.5405559073703031E-3</v>
      </c>
      <c r="DH34" s="1">
        <f t="shared" ca="1" si="62"/>
        <v>371</v>
      </c>
      <c r="DI34" s="1">
        <f t="shared" ca="1" si="63"/>
        <v>0.59782977501789847</v>
      </c>
      <c r="DJ34" s="1">
        <f t="shared" ca="1" si="64"/>
        <v>24</v>
      </c>
      <c r="DL34" s="1">
        <f t="shared" ca="1" si="65"/>
        <v>0.10239829110812355</v>
      </c>
      <c r="DM34" s="1">
        <f t="shared" ca="1" si="66"/>
        <v>275</v>
      </c>
      <c r="DN34" s="1">
        <f t="shared" ca="1" si="67"/>
        <v>5</v>
      </c>
    </row>
    <row r="35" spans="2:118" x14ac:dyDescent="0.25">
      <c r="B35">
        <f t="shared" ca="1" si="0"/>
        <v>204</v>
      </c>
      <c r="C35">
        <f t="shared" ca="1" si="1"/>
        <v>43</v>
      </c>
      <c r="D35">
        <f t="shared" ca="1" si="2"/>
        <v>0.14988224466299852</v>
      </c>
      <c r="F35" s="1">
        <f t="shared" ca="1" si="3"/>
        <v>4</v>
      </c>
      <c r="G35" s="1">
        <f t="shared" ca="1" si="4"/>
        <v>22</v>
      </c>
      <c r="H35" s="1">
        <f t="shared" ca="1" si="5"/>
        <v>1</v>
      </c>
      <c r="I35" s="1"/>
      <c r="J35" s="1">
        <f t="shared" ca="1" si="6"/>
        <v>38</v>
      </c>
      <c r="K35" s="1">
        <f t="shared" ca="1" si="7"/>
        <v>1.1059474499959139</v>
      </c>
      <c r="L35" s="1">
        <f t="shared" ca="1" si="8"/>
        <v>6</v>
      </c>
      <c r="M35" s="1"/>
      <c r="N35" s="1">
        <f t="shared" ca="1" si="9"/>
        <v>652</v>
      </c>
      <c r="O35" s="1">
        <f t="shared" ca="1" si="10"/>
        <v>38</v>
      </c>
      <c r="P35" s="1"/>
      <c r="Q35" s="1">
        <f t="shared" ca="1" si="11"/>
        <v>4.5171963249728515</v>
      </c>
      <c r="R35" s="1">
        <f t="shared" ca="1" si="12"/>
        <v>868</v>
      </c>
      <c r="S35" s="1"/>
      <c r="T35" s="1">
        <f t="shared" ca="1" si="13"/>
        <v>0.19679067544332454</v>
      </c>
      <c r="U35" s="1">
        <f t="shared" ca="1" si="14"/>
        <v>156</v>
      </c>
      <c r="V35" s="1">
        <f t="shared" ca="1" si="15"/>
        <v>38</v>
      </c>
      <c r="W35" s="1"/>
      <c r="X35" s="1">
        <f t="shared" ca="1" si="16"/>
        <v>6.0880107806657477</v>
      </c>
      <c r="Y35" s="1">
        <f t="shared" ca="1" si="17"/>
        <v>0.37259938201068887</v>
      </c>
      <c r="Z35" s="1">
        <f t="shared" ca="1" si="18"/>
        <v>1311</v>
      </c>
      <c r="AB35" s="1">
        <f t="shared" ca="1" si="19"/>
        <v>0.67067214320632118</v>
      </c>
      <c r="AC35" s="1">
        <f t="shared" ca="1" si="20"/>
        <v>294</v>
      </c>
      <c r="AD35" s="1">
        <f t="shared" ca="1" si="21"/>
        <v>6.9730152160475938E-3</v>
      </c>
      <c r="AE35" s="1"/>
      <c r="AF35" s="1">
        <f t="shared" ca="1" si="22"/>
        <v>0.34899617929811183</v>
      </c>
      <c r="AG35" s="1">
        <f t="shared" ca="1" si="23"/>
        <v>297</v>
      </c>
      <c r="AH35" s="1">
        <f t="shared" ca="1" si="24"/>
        <v>5.5098207650607781E-3</v>
      </c>
      <c r="AJ35" s="1">
        <f t="shared" ca="1" si="25"/>
        <v>0.74687127211859439</v>
      </c>
      <c r="AK35" s="1">
        <f t="shared" ca="1" si="26"/>
        <v>5.7655566933101175E-3</v>
      </c>
      <c r="AL35" s="1"/>
      <c r="AM35" s="1">
        <f t="shared" ca="1" si="27"/>
        <v>4.5175016621577413E-2</v>
      </c>
      <c r="AN35" s="1">
        <f t="shared" ca="1" si="28"/>
        <v>46</v>
      </c>
      <c r="AO35" s="1">
        <f t="shared" ca="1" si="29"/>
        <v>8</v>
      </c>
      <c r="AQ35" s="1">
        <f t="shared" ca="1" si="30"/>
        <v>141</v>
      </c>
      <c r="AR35" s="1">
        <f t="shared" ca="1" si="31"/>
        <v>6</v>
      </c>
      <c r="AS35" s="1">
        <f t="shared" ca="1" si="32"/>
        <v>33</v>
      </c>
      <c r="AU35" s="1">
        <f t="shared" ca="1" si="33"/>
        <v>168</v>
      </c>
      <c r="AV35" s="1">
        <f t="shared" ca="1" si="34"/>
        <v>9</v>
      </c>
      <c r="AW35" s="1">
        <f t="shared" ca="1" si="35"/>
        <v>8.3107864125042508E-2</v>
      </c>
      <c r="AY35" s="1">
        <f t="shared" ca="1" si="36"/>
        <v>1.5850609554534896</v>
      </c>
      <c r="AZ35" s="1">
        <f t="shared" ca="1" si="37"/>
        <v>490</v>
      </c>
      <c r="BA35" s="1">
        <f t="shared" ca="1" si="38"/>
        <v>8.3063350227885972E-3</v>
      </c>
      <c r="BG35" s="1">
        <f t="shared" ca="1" si="39"/>
        <v>2.3996659601668257E-2</v>
      </c>
      <c r="BH35" s="1">
        <f t="shared" ca="1" si="40"/>
        <v>0.8665883738687542</v>
      </c>
      <c r="BI35" s="1">
        <f t="shared" ca="1" si="41"/>
        <v>980</v>
      </c>
      <c r="BV35" s="1">
        <f t="shared" ca="1" si="42"/>
        <v>0.99092697554681541</v>
      </c>
      <c r="BW35" s="1">
        <f t="shared" ca="1" si="43"/>
        <v>544</v>
      </c>
      <c r="BX35" s="1">
        <f t="shared" ca="1" si="44"/>
        <v>5.9163562358003751E-3</v>
      </c>
      <c r="BY35" s="1">
        <f t="shared" ca="1" si="45"/>
        <v>2.4525173202329473E-2</v>
      </c>
      <c r="BZ35" s="1">
        <f t="shared" ca="1" si="46"/>
        <v>0.989720580703224</v>
      </c>
      <c r="CB35" s="1">
        <f t="shared" ca="1" si="47"/>
        <v>339</v>
      </c>
      <c r="CC35" s="1">
        <f t="shared" ca="1" si="48"/>
        <v>9</v>
      </c>
      <c r="CD35" s="1">
        <f t="shared" ca="1" si="49"/>
        <v>0.28677728418415166</v>
      </c>
      <c r="CE35" s="1">
        <f t="shared" ca="1" si="50"/>
        <v>0.96667771775270528</v>
      </c>
      <c r="CF35" s="1">
        <f t="shared" ca="1" si="50"/>
        <v>0.65303360486314699</v>
      </c>
      <c r="CH35" s="3">
        <f t="shared" ca="1" si="51"/>
        <v>9.4493276487748856E-2</v>
      </c>
      <c r="CI35" s="3">
        <f t="shared" ca="1" si="52"/>
        <v>5.805985137725489E-2</v>
      </c>
      <c r="CJ35" s="3">
        <f t="shared" ca="1" si="53"/>
        <v>1759</v>
      </c>
      <c r="CK35" s="3">
        <f t="shared" ca="1" si="54"/>
        <v>2.4140941966279378E-3</v>
      </c>
      <c r="CL35" s="3">
        <f t="shared" ca="1" si="55"/>
        <v>0</v>
      </c>
      <c r="CM35" s="3"/>
      <c r="CN35" s="1">
        <f t="shared" ca="1" si="56"/>
        <v>10.654773347738475</v>
      </c>
      <c r="CO35" s="1">
        <f t="shared" ca="1" si="57"/>
        <v>0.12614400529265207</v>
      </c>
      <c r="CP35" s="1">
        <f t="shared" ca="1" si="58"/>
        <v>3</v>
      </c>
      <c r="CV35" s="1">
        <f t="shared" ca="1" si="59"/>
        <v>7.9501664561470076</v>
      </c>
      <c r="CW35" s="1">
        <f t="shared" ca="1" si="60"/>
        <v>586</v>
      </c>
      <c r="CX35" s="1">
        <f t="shared" ca="1" si="61"/>
        <v>7.0436393037726546E-3</v>
      </c>
      <c r="DH35" s="1">
        <f t="shared" ca="1" si="62"/>
        <v>242</v>
      </c>
      <c r="DI35" s="1">
        <f t="shared" ca="1" si="63"/>
        <v>0.94886510286361825</v>
      </c>
      <c r="DJ35" s="1">
        <f t="shared" ca="1" si="64"/>
        <v>13</v>
      </c>
      <c r="DL35" s="1">
        <f t="shared" ca="1" si="65"/>
        <v>3.5825093192333742E-2</v>
      </c>
      <c r="DM35" s="1">
        <f t="shared" ca="1" si="66"/>
        <v>126</v>
      </c>
      <c r="DN35" s="1">
        <f t="shared" ca="1" si="67"/>
        <v>5</v>
      </c>
    </row>
    <row r="36" spans="2:118" x14ac:dyDescent="0.25">
      <c r="B36">
        <f t="shared" ca="1" si="0"/>
        <v>281</v>
      </c>
      <c r="C36">
        <f t="shared" ca="1" si="1"/>
        <v>38</v>
      </c>
      <c r="D36">
        <f t="shared" ca="1" si="2"/>
        <v>1.138562578773609E-2</v>
      </c>
      <c r="F36" s="1">
        <f t="shared" ca="1" si="3"/>
        <v>12</v>
      </c>
      <c r="G36" s="1">
        <f t="shared" ca="1" si="4"/>
        <v>15</v>
      </c>
      <c r="H36" s="1">
        <f t="shared" ca="1" si="5"/>
        <v>9</v>
      </c>
      <c r="I36" s="1"/>
      <c r="J36" s="1">
        <f t="shared" ca="1" si="6"/>
        <v>26</v>
      </c>
      <c r="K36" s="1">
        <f t="shared" ca="1" si="7"/>
        <v>1.2433578755195471</v>
      </c>
      <c r="L36" s="1">
        <f t="shared" ca="1" si="8"/>
        <v>6</v>
      </c>
      <c r="M36" s="1"/>
      <c r="N36" s="1">
        <f t="shared" ca="1" si="9"/>
        <v>939</v>
      </c>
      <c r="O36" s="1">
        <f t="shared" ca="1" si="10"/>
        <v>7</v>
      </c>
      <c r="P36" s="1"/>
      <c r="Q36" s="1">
        <f t="shared" ca="1" si="11"/>
        <v>3.47182100376429</v>
      </c>
      <c r="R36" s="1">
        <f t="shared" ca="1" si="12"/>
        <v>981</v>
      </c>
      <c r="S36" s="1"/>
      <c r="T36" s="1">
        <f t="shared" ca="1" si="13"/>
        <v>6.4420735876013463E-2</v>
      </c>
      <c r="U36" s="1">
        <f t="shared" ca="1" si="14"/>
        <v>185</v>
      </c>
      <c r="V36" s="1">
        <f t="shared" ca="1" si="15"/>
        <v>31</v>
      </c>
      <c r="W36" s="1"/>
      <c r="X36" s="1">
        <f t="shared" ca="1" si="16"/>
        <v>2.7964125325939309</v>
      </c>
      <c r="Y36" s="1">
        <f t="shared" ca="1" si="17"/>
        <v>2.0568433632373474E-3</v>
      </c>
      <c r="Z36" s="1">
        <f t="shared" ca="1" si="18"/>
        <v>1135</v>
      </c>
      <c r="AB36" s="1">
        <f t="shared" ca="1" si="19"/>
        <v>0.54016945282415385</v>
      </c>
      <c r="AC36" s="1">
        <f t="shared" ca="1" si="20"/>
        <v>247</v>
      </c>
      <c r="AD36" s="1">
        <f t="shared" ca="1" si="21"/>
        <v>5.2132203559988096E-4</v>
      </c>
      <c r="AE36" s="1"/>
      <c r="AF36" s="1">
        <f t="shared" ca="1" si="22"/>
        <v>0.26698928671472888</v>
      </c>
      <c r="AG36" s="1">
        <f t="shared" ca="1" si="23"/>
        <v>879</v>
      </c>
      <c r="AH36" s="1">
        <f t="shared" ca="1" si="24"/>
        <v>8.934552894631926E-3</v>
      </c>
      <c r="AJ36" s="1">
        <f t="shared" ca="1" si="25"/>
        <v>0.7377158803250361</v>
      </c>
      <c r="AK36" s="1">
        <f t="shared" ca="1" si="26"/>
        <v>6.0072518711705635E-3</v>
      </c>
      <c r="AL36" s="1"/>
      <c r="AM36" s="1">
        <f t="shared" ca="1" si="27"/>
        <v>2.7313740268347E-2</v>
      </c>
      <c r="AN36" s="1">
        <f t="shared" ca="1" si="28"/>
        <v>72</v>
      </c>
      <c r="AO36" s="1">
        <f t="shared" ca="1" si="29"/>
        <v>12</v>
      </c>
      <c r="AQ36" s="1">
        <f t="shared" ca="1" si="30"/>
        <v>24</v>
      </c>
      <c r="AR36" s="1">
        <f t="shared" ca="1" si="31"/>
        <v>1</v>
      </c>
      <c r="AS36" s="1">
        <f t="shared" ca="1" si="32"/>
        <v>61</v>
      </c>
      <c r="AU36" s="1">
        <f t="shared" ca="1" si="33"/>
        <v>124</v>
      </c>
      <c r="AV36" s="1">
        <f t="shared" ca="1" si="34"/>
        <v>9</v>
      </c>
      <c r="AW36" s="1">
        <f t="shared" ca="1" si="35"/>
        <v>4.7060706381443107E-2</v>
      </c>
      <c r="AY36" s="1">
        <f t="shared" ca="1" si="36"/>
        <v>1.627679200610048</v>
      </c>
      <c r="AZ36" s="1">
        <f t="shared" ca="1" si="37"/>
        <v>259</v>
      </c>
      <c r="BA36" s="1">
        <f t="shared" ca="1" si="38"/>
        <v>2.6349022979227929E-3</v>
      </c>
      <c r="BG36" s="1">
        <f t="shared" ca="1" si="39"/>
        <v>0.79834062675703765</v>
      </c>
      <c r="BH36" s="1">
        <f t="shared" ca="1" si="40"/>
        <v>0.91942784479234496</v>
      </c>
      <c r="BI36" s="1">
        <f t="shared" ca="1" si="41"/>
        <v>600</v>
      </c>
      <c r="BV36" s="1">
        <f t="shared" ca="1" si="42"/>
        <v>0.43178991056217447</v>
      </c>
      <c r="BW36" s="1">
        <f t="shared" ca="1" si="43"/>
        <v>535</v>
      </c>
      <c r="BX36" s="1">
        <f t="shared" ca="1" si="44"/>
        <v>2.1287126845224856E-3</v>
      </c>
      <c r="BY36" s="1">
        <f t="shared" ca="1" si="45"/>
        <v>7.6524762118676912E-2</v>
      </c>
      <c r="BZ36" s="1">
        <f t="shared" ca="1" si="46"/>
        <v>0.8691681875380024</v>
      </c>
      <c r="CB36" s="1">
        <f t="shared" ca="1" si="47"/>
        <v>287</v>
      </c>
      <c r="CC36" s="1">
        <f t="shared" ca="1" si="48"/>
        <v>7</v>
      </c>
      <c r="CD36" s="1">
        <f t="shared" ca="1" si="49"/>
        <v>0.20802004185432035</v>
      </c>
      <c r="CE36" s="1">
        <f t="shared" ref="CE36:CF67" ca="1" si="68">RAND()*(1-0.5)+0.5</f>
        <v>0.6784199322845037</v>
      </c>
      <c r="CF36" s="1">
        <f t="shared" ca="1" si="68"/>
        <v>0.77744921932723798</v>
      </c>
      <c r="CH36" s="3">
        <f t="shared" ca="1" si="51"/>
        <v>0.8274670013553318</v>
      </c>
      <c r="CI36" s="3">
        <f t="shared" ca="1" si="52"/>
        <v>0.1992282090649459</v>
      </c>
      <c r="CJ36" s="3">
        <f t="shared" ca="1" si="53"/>
        <v>952</v>
      </c>
      <c r="CK36" s="3">
        <f t="shared" ca="1" si="54"/>
        <v>9.2997502222735302E-3</v>
      </c>
      <c r="CL36" s="3">
        <f t="shared" ca="1" si="55"/>
        <v>0</v>
      </c>
      <c r="CM36" s="3"/>
      <c r="CN36" s="1">
        <f t="shared" ca="1" si="56"/>
        <v>6.7464375197760242</v>
      </c>
      <c r="CO36" s="1">
        <f t="shared" ca="1" si="57"/>
        <v>0.47244648115268112</v>
      </c>
      <c r="CP36" s="1">
        <f t="shared" ca="1" si="58"/>
        <v>5</v>
      </c>
      <c r="CV36" s="1">
        <f t="shared" ca="1" si="59"/>
        <v>2.1090768698046038</v>
      </c>
      <c r="CW36" s="1">
        <f t="shared" ca="1" si="60"/>
        <v>431</v>
      </c>
      <c r="CX36" s="1">
        <f t="shared" ca="1" si="61"/>
        <v>4.7991972215893431E-3</v>
      </c>
      <c r="DH36" s="1">
        <f t="shared" ca="1" si="62"/>
        <v>316</v>
      </c>
      <c r="DI36" s="1">
        <f t="shared" ca="1" si="63"/>
        <v>0.89668236545967894</v>
      </c>
      <c r="DJ36" s="1">
        <f t="shared" ca="1" si="64"/>
        <v>24</v>
      </c>
      <c r="DL36" s="1">
        <f t="shared" ca="1" si="65"/>
        <v>0.11647072972953586</v>
      </c>
      <c r="DM36" s="1">
        <f t="shared" ca="1" si="66"/>
        <v>249</v>
      </c>
      <c r="DN36" s="1">
        <f t="shared" ca="1" si="67"/>
        <v>9</v>
      </c>
    </row>
    <row r="37" spans="2:118" x14ac:dyDescent="0.25">
      <c r="B37">
        <f t="shared" ca="1" si="0"/>
        <v>560</v>
      </c>
      <c r="C37">
        <f t="shared" ca="1" si="1"/>
        <v>46</v>
      </c>
      <c r="D37">
        <f t="shared" ca="1" si="2"/>
        <v>4.2125843102181725E-2</v>
      </c>
      <c r="F37" s="1">
        <f t="shared" ca="1" si="3"/>
        <v>32</v>
      </c>
      <c r="G37" s="1">
        <f t="shared" ca="1" si="4"/>
        <v>30</v>
      </c>
      <c r="H37" s="1">
        <f t="shared" ca="1" si="5"/>
        <v>14</v>
      </c>
      <c r="I37" s="1"/>
      <c r="J37" s="1">
        <f t="shared" ca="1" si="6"/>
        <v>33</v>
      </c>
      <c r="K37" s="1">
        <f t="shared" ca="1" si="7"/>
        <v>2.8674264231324367</v>
      </c>
      <c r="L37" s="1">
        <f t="shared" ca="1" si="8"/>
        <v>12</v>
      </c>
      <c r="M37" s="1"/>
      <c r="N37" s="1">
        <f t="shared" ca="1" si="9"/>
        <v>572</v>
      </c>
      <c r="O37" s="1">
        <f t="shared" ca="1" si="10"/>
        <v>21</v>
      </c>
      <c r="P37" s="1"/>
      <c r="Q37" s="1">
        <f t="shared" ca="1" si="11"/>
        <v>3.1957239153761083</v>
      </c>
      <c r="R37" s="1">
        <f t="shared" ca="1" si="12"/>
        <v>451</v>
      </c>
      <c r="S37" s="1"/>
      <c r="T37" s="1">
        <f t="shared" ca="1" si="13"/>
        <v>6.9973842615110138E-2</v>
      </c>
      <c r="U37" s="1">
        <f t="shared" ca="1" si="14"/>
        <v>318</v>
      </c>
      <c r="V37" s="1">
        <f t="shared" ca="1" si="15"/>
        <v>37</v>
      </c>
      <c r="W37" s="1"/>
      <c r="X37" s="1">
        <f t="shared" ca="1" si="16"/>
        <v>9.7071430832704877</v>
      </c>
      <c r="Y37" s="1">
        <f t="shared" ca="1" si="17"/>
        <v>0.5374454515682352</v>
      </c>
      <c r="Z37" s="1">
        <f t="shared" ca="1" si="18"/>
        <v>1122</v>
      </c>
      <c r="AB37" s="1">
        <f t="shared" ca="1" si="19"/>
        <v>0.67598604530405604</v>
      </c>
      <c r="AC37" s="1">
        <f t="shared" ca="1" si="20"/>
        <v>771</v>
      </c>
      <c r="AD37" s="1">
        <f t="shared" ca="1" si="21"/>
        <v>8.9502207252891708E-3</v>
      </c>
      <c r="AE37" s="1"/>
      <c r="AF37" s="1">
        <f t="shared" ca="1" si="22"/>
        <v>0.41179370432195939</v>
      </c>
      <c r="AG37" s="1">
        <f t="shared" ca="1" si="23"/>
        <v>635</v>
      </c>
      <c r="AH37" s="1">
        <f t="shared" ca="1" si="24"/>
        <v>4.1668362868397891E-3</v>
      </c>
      <c r="AJ37" s="1">
        <f t="shared" ca="1" si="25"/>
        <v>0.3289788576557815</v>
      </c>
      <c r="AK37" s="1">
        <f t="shared" ca="1" si="26"/>
        <v>2.4212698559151376E-3</v>
      </c>
      <c r="AL37" s="1"/>
      <c r="AM37" s="1">
        <f t="shared" ca="1" si="27"/>
        <v>0.13159838285775752</v>
      </c>
      <c r="AN37" s="1">
        <f t="shared" ca="1" si="28"/>
        <v>77</v>
      </c>
      <c r="AO37" s="1">
        <f t="shared" ca="1" si="29"/>
        <v>12</v>
      </c>
      <c r="AQ37" s="1">
        <f t="shared" ca="1" si="30"/>
        <v>15</v>
      </c>
      <c r="AR37" s="1">
        <f t="shared" ca="1" si="31"/>
        <v>4</v>
      </c>
      <c r="AS37" s="1">
        <f t="shared" ca="1" si="32"/>
        <v>39</v>
      </c>
      <c r="AU37" s="1">
        <f t="shared" ca="1" si="33"/>
        <v>134</v>
      </c>
      <c r="AV37" s="1">
        <f t="shared" ca="1" si="34"/>
        <v>9</v>
      </c>
      <c r="AW37" s="1">
        <f t="shared" ca="1" si="35"/>
        <v>0.19297176936130589</v>
      </c>
      <c r="AY37" s="1">
        <f t="shared" ca="1" si="36"/>
        <v>1.7187651974372495</v>
      </c>
      <c r="AZ37" s="1">
        <f t="shared" ca="1" si="37"/>
        <v>79</v>
      </c>
      <c r="BA37" s="1">
        <f t="shared" ca="1" si="38"/>
        <v>6.5198094793040492E-3</v>
      </c>
      <c r="BG37" s="1">
        <f t="shared" ca="1" si="39"/>
        <v>0.3579140391638963</v>
      </c>
      <c r="BH37" s="1">
        <f t="shared" ca="1" si="40"/>
        <v>0.28701622778946301</v>
      </c>
      <c r="BI37" s="1">
        <f t="shared" ca="1" si="41"/>
        <v>158</v>
      </c>
      <c r="BV37" s="1">
        <f t="shared" ca="1" si="42"/>
        <v>0.32937256477357985</v>
      </c>
      <c r="BW37" s="1">
        <f t="shared" ca="1" si="43"/>
        <v>881</v>
      </c>
      <c r="BX37" s="1">
        <f t="shared" ca="1" si="44"/>
        <v>4.1189354000594988E-4</v>
      </c>
      <c r="BY37" s="1">
        <f t="shared" ca="1" si="45"/>
        <v>8.7062338832471997E-2</v>
      </c>
      <c r="BZ37" s="1">
        <f t="shared" ca="1" si="46"/>
        <v>0.5527662591198661</v>
      </c>
      <c r="CB37" s="1">
        <f t="shared" ca="1" si="47"/>
        <v>75</v>
      </c>
      <c r="CC37" s="1">
        <f t="shared" ca="1" si="48"/>
        <v>5</v>
      </c>
      <c r="CD37" s="1">
        <f t="shared" ca="1" si="49"/>
        <v>0.18581747374362667</v>
      </c>
      <c r="CE37" s="1">
        <f t="shared" ca="1" si="68"/>
        <v>0.94346311837351715</v>
      </c>
      <c r="CF37" s="1">
        <f t="shared" ca="1" si="68"/>
        <v>0.79366437221428121</v>
      </c>
      <c r="CH37" s="3">
        <f t="shared" ca="1" si="51"/>
        <v>0.33551833795991309</v>
      </c>
      <c r="CI37" s="3">
        <f t="shared" ca="1" si="52"/>
        <v>0.6615298578080141</v>
      </c>
      <c r="CJ37" s="3">
        <f t="shared" ca="1" si="53"/>
        <v>1354</v>
      </c>
      <c r="CK37" s="3">
        <f t="shared" ca="1" si="54"/>
        <v>9.7234265592337468E-5</v>
      </c>
      <c r="CL37" s="3">
        <f t="shared" ca="1" si="55"/>
        <v>0</v>
      </c>
      <c r="CM37" s="3"/>
      <c r="CN37" s="1">
        <f t="shared" ca="1" si="56"/>
        <v>9.9365692988099426</v>
      </c>
      <c r="CO37" s="1">
        <f t="shared" ca="1" si="57"/>
        <v>0.3443916320361825</v>
      </c>
      <c r="CP37" s="1">
        <f t="shared" ca="1" si="58"/>
        <v>2</v>
      </c>
      <c r="CV37" s="1">
        <f t="shared" ca="1" si="59"/>
        <v>3.2673606003902189</v>
      </c>
      <c r="CW37" s="1">
        <f t="shared" ca="1" si="60"/>
        <v>295</v>
      </c>
      <c r="CX37" s="1">
        <f t="shared" ca="1" si="61"/>
        <v>6.6157222811537679E-3</v>
      </c>
      <c r="DH37" s="1">
        <f t="shared" ca="1" si="62"/>
        <v>570</v>
      </c>
      <c r="DI37" s="1">
        <f t="shared" ca="1" si="63"/>
        <v>0.14593014155676076</v>
      </c>
      <c r="DJ37" s="1">
        <f t="shared" ca="1" si="64"/>
        <v>26</v>
      </c>
      <c r="DL37" s="1">
        <f t="shared" ca="1" si="65"/>
        <v>0.19054959336668728</v>
      </c>
      <c r="DM37" s="1">
        <f t="shared" ca="1" si="66"/>
        <v>181</v>
      </c>
      <c r="DN37" s="1">
        <f t="shared" ca="1" si="67"/>
        <v>3</v>
      </c>
    </row>
    <row r="38" spans="2:118" x14ac:dyDescent="0.25">
      <c r="B38">
        <f t="shared" ca="1" si="0"/>
        <v>164</v>
      </c>
      <c r="C38">
        <f t="shared" ca="1" si="1"/>
        <v>36</v>
      </c>
      <c r="D38">
        <f t="shared" ca="1" si="2"/>
        <v>0.18981892457855851</v>
      </c>
      <c r="F38" s="1">
        <f t="shared" ca="1" si="3"/>
        <v>11</v>
      </c>
      <c r="G38" s="1">
        <f t="shared" ca="1" si="4"/>
        <v>29</v>
      </c>
      <c r="H38" s="1">
        <f t="shared" ca="1" si="5"/>
        <v>3</v>
      </c>
      <c r="I38" s="1"/>
      <c r="J38" s="1">
        <f t="shared" ca="1" si="6"/>
        <v>25</v>
      </c>
      <c r="K38" s="1">
        <f t="shared" ca="1" si="7"/>
        <v>2.0245089743073938</v>
      </c>
      <c r="L38" s="1">
        <f t="shared" ca="1" si="8"/>
        <v>14</v>
      </c>
      <c r="M38" s="1"/>
      <c r="N38" s="1">
        <f t="shared" ca="1" si="9"/>
        <v>142</v>
      </c>
      <c r="O38" s="1">
        <f t="shared" ca="1" si="10"/>
        <v>39</v>
      </c>
      <c r="P38" s="1"/>
      <c r="Q38" s="1">
        <f t="shared" ca="1" si="11"/>
        <v>1.3204186138391243</v>
      </c>
      <c r="R38" s="1">
        <f t="shared" ca="1" si="12"/>
        <v>778</v>
      </c>
      <c r="S38" s="1"/>
      <c r="T38" s="1">
        <f t="shared" ca="1" si="13"/>
        <v>0.1304646370883295</v>
      </c>
      <c r="U38" s="1">
        <f t="shared" ca="1" si="14"/>
        <v>280</v>
      </c>
      <c r="V38" s="1">
        <f t="shared" ca="1" si="15"/>
        <v>3</v>
      </c>
      <c r="W38" s="1"/>
      <c r="X38" s="1">
        <f t="shared" ca="1" si="16"/>
        <v>6.1684908410929884</v>
      </c>
      <c r="Y38" s="1">
        <f t="shared" ca="1" si="17"/>
        <v>7.2720819295795339E-2</v>
      </c>
      <c r="Z38" s="1">
        <f t="shared" ca="1" si="18"/>
        <v>786</v>
      </c>
      <c r="AB38" s="1">
        <f t="shared" ca="1" si="19"/>
        <v>0.86612939424000535</v>
      </c>
      <c r="AC38" s="1">
        <f t="shared" ca="1" si="20"/>
        <v>790</v>
      </c>
      <c r="AD38" s="1">
        <f t="shared" ca="1" si="21"/>
        <v>8.6852757478107128E-4</v>
      </c>
      <c r="AE38" s="1"/>
      <c r="AF38" s="1">
        <f t="shared" ca="1" si="22"/>
        <v>0.66724168652907734</v>
      </c>
      <c r="AG38" s="1">
        <f t="shared" ca="1" si="23"/>
        <v>991</v>
      </c>
      <c r="AH38" s="1">
        <f t="shared" ca="1" si="24"/>
        <v>5.5266678687386677E-3</v>
      </c>
      <c r="AJ38" s="1">
        <f t="shared" ca="1" si="25"/>
        <v>0.84422694788399788</v>
      </c>
      <c r="AK38" s="1">
        <f t="shared" ca="1" si="26"/>
        <v>3.3725074137607373E-3</v>
      </c>
      <c r="AL38" s="1"/>
      <c r="AM38" s="1">
        <f t="shared" ca="1" si="27"/>
        <v>2.9221470674283129E-2</v>
      </c>
      <c r="AN38" s="1">
        <f t="shared" ca="1" si="28"/>
        <v>44</v>
      </c>
      <c r="AO38" s="1">
        <f t="shared" ca="1" si="29"/>
        <v>17</v>
      </c>
      <c r="AQ38" s="1">
        <f t="shared" ca="1" si="30"/>
        <v>30</v>
      </c>
      <c r="AR38" s="1">
        <f t="shared" ca="1" si="31"/>
        <v>8</v>
      </c>
      <c r="AS38" s="1">
        <f t="shared" ca="1" si="32"/>
        <v>55</v>
      </c>
      <c r="AU38" s="1">
        <f t="shared" ca="1" si="33"/>
        <v>296</v>
      </c>
      <c r="AV38" s="1">
        <f t="shared" ca="1" si="34"/>
        <v>2</v>
      </c>
      <c r="AW38" s="1">
        <f t="shared" ca="1" si="35"/>
        <v>0.19770279990073339</v>
      </c>
      <c r="AY38" s="1">
        <f t="shared" ca="1" si="36"/>
        <v>1.5714362846251573</v>
      </c>
      <c r="AZ38" s="1">
        <f t="shared" ca="1" si="37"/>
        <v>421</v>
      </c>
      <c r="BA38" s="1">
        <f t="shared" ca="1" si="38"/>
        <v>7.3787069997072402E-3</v>
      </c>
      <c r="BG38" s="1">
        <f t="shared" ca="1" si="39"/>
        <v>1.1994480643852922E-2</v>
      </c>
      <c r="BH38" s="1">
        <f t="shared" ca="1" si="40"/>
        <v>0.45354981876266287</v>
      </c>
      <c r="BI38" s="1">
        <f t="shared" ca="1" si="41"/>
        <v>781</v>
      </c>
      <c r="BV38" s="1">
        <f t="shared" ca="1" si="42"/>
        <v>0.33214793092063161</v>
      </c>
      <c r="BW38" s="1">
        <f t="shared" ca="1" si="43"/>
        <v>934</v>
      </c>
      <c r="BX38" s="1">
        <f t="shared" ca="1" si="44"/>
        <v>6.1735176620463861E-4</v>
      </c>
      <c r="BY38" s="1">
        <f t="shared" ca="1" si="45"/>
        <v>4.524452146428834E-2</v>
      </c>
      <c r="BZ38" s="1">
        <f t="shared" ca="1" si="46"/>
        <v>0.48319521942057042</v>
      </c>
      <c r="CB38" s="1">
        <f t="shared" ca="1" si="47"/>
        <v>232</v>
      </c>
      <c r="CC38" s="1">
        <f t="shared" ca="1" si="48"/>
        <v>14</v>
      </c>
      <c r="CD38" s="1">
        <f t="shared" ca="1" si="49"/>
        <v>0.24775056873178816</v>
      </c>
      <c r="CE38" s="1">
        <f t="shared" ca="1" si="68"/>
        <v>0.56740575641031266</v>
      </c>
      <c r="CF38" s="1">
        <f t="shared" ca="1" si="68"/>
        <v>0.76889310800291044</v>
      </c>
      <c r="CH38" s="3">
        <f t="shared" ca="1" si="51"/>
        <v>0.93449442400427074</v>
      </c>
      <c r="CI38" s="3">
        <f t="shared" ca="1" si="52"/>
        <v>0.77832109262929161</v>
      </c>
      <c r="CJ38" s="3">
        <f t="shared" ca="1" si="53"/>
        <v>378</v>
      </c>
      <c r="CK38" s="3">
        <f t="shared" ca="1" si="54"/>
        <v>9.0714481560589637E-3</v>
      </c>
      <c r="CL38" s="3">
        <f t="shared" ca="1" si="55"/>
        <v>0</v>
      </c>
      <c r="CM38" s="3"/>
      <c r="CN38" s="1">
        <f t="shared" ca="1" si="56"/>
        <v>8.9946078673200986</v>
      </c>
      <c r="CO38" s="1">
        <f t="shared" ca="1" si="57"/>
        <v>0.343454553088957</v>
      </c>
      <c r="CP38" s="1">
        <f t="shared" ca="1" si="58"/>
        <v>2</v>
      </c>
      <c r="CV38" s="1">
        <f t="shared" ca="1" si="59"/>
        <v>3.5482161440561844</v>
      </c>
      <c r="CW38" s="1">
        <f t="shared" ca="1" si="60"/>
        <v>1916</v>
      </c>
      <c r="CX38" s="1">
        <f t="shared" ca="1" si="61"/>
        <v>3.7799539738992815E-3</v>
      </c>
      <c r="DH38" s="1">
        <f t="shared" ca="1" si="62"/>
        <v>137</v>
      </c>
      <c r="DI38" s="1">
        <f t="shared" ca="1" si="63"/>
        <v>0.37458810206246168</v>
      </c>
      <c r="DJ38" s="1">
        <f t="shared" ca="1" si="64"/>
        <v>11</v>
      </c>
      <c r="DL38" s="1">
        <f t="shared" ca="1" si="65"/>
        <v>0.19014765945442044</v>
      </c>
      <c r="DM38" s="1">
        <f t="shared" ca="1" si="66"/>
        <v>202</v>
      </c>
      <c r="DN38" s="1">
        <f t="shared" ca="1" si="67"/>
        <v>9</v>
      </c>
    </row>
    <row r="39" spans="2:118" x14ac:dyDescent="0.25">
      <c r="B39">
        <f t="shared" ca="1" si="0"/>
        <v>146</v>
      </c>
      <c r="C39">
        <f t="shared" ca="1" si="1"/>
        <v>17</v>
      </c>
      <c r="D39">
        <f t="shared" ca="1" si="2"/>
        <v>0.16319228781253584</v>
      </c>
      <c r="F39" s="1">
        <f t="shared" ca="1" si="3"/>
        <v>19</v>
      </c>
      <c r="G39" s="1">
        <f t="shared" ca="1" si="4"/>
        <v>2</v>
      </c>
      <c r="H39" s="1">
        <f t="shared" ca="1" si="5"/>
        <v>12</v>
      </c>
      <c r="I39" s="1"/>
      <c r="J39" s="1">
        <f t="shared" ca="1" si="6"/>
        <v>29</v>
      </c>
      <c r="K39" s="1">
        <f t="shared" ca="1" si="7"/>
        <v>1.7655631484704237</v>
      </c>
      <c r="L39" s="1">
        <f t="shared" ca="1" si="8"/>
        <v>10</v>
      </c>
      <c r="M39" s="1"/>
      <c r="N39" s="1">
        <f t="shared" ca="1" si="9"/>
        <v>124</v>
      </c>
      <c r="O39" s="1">
        <f t="shared" ca="1" si="10"/>
        <v>40</v>
      </c>
      <c r="P39" s="1"/>
      <c r="Q39" s="1">
        <f t="shared" ca="1" si="11"/>
        <v>4.7615921858079195</v>
      </c>
      <c r="R39" s="1">
        <f t="shared" ca="1" si="12"/>
        <v>895</v>
      </c>
      <c r="S39" s="1"/>
      <c r="T39" s="1">
        <f t="shared" ca="1" si="13"/>
        <v>0.18599183828874416</v>
      </c>
      <c r="U39" s="1">
        <f t="shared" ca="1" si="14"/>
        <v>306</v>
      </c>
      <c r="V39" s="1">
        <f t="shared" ca="1" si="15"/>
        <v>46</v>
      </c>
      <c r="W39" s="1"/>
      <c r="X39" s="1">
        <f t="shared" ca="1" si="16"/>
        <v>8.4745017964529872</v>
      </c>
      <c r="Y39" s="1">
        <f t="shared" ca="1" si="17"/>
        <v>0.57917721541088196</v>
      </c>
      <c r="Z39" s="1">
        <f t="shared" ca="1" si="18"/>
        <v>398</v>
      </c>
      <c r="AB39" s="1">
        <f t="shared" ca="1" si="19"/>
        <v>0.89081503922925964</v>
      </c>
      <c r="AC39" s="1">
        <f t="shared" ca="1" si="20"/>
        <v>827</v>
      </c>
      <c r="AD39" s="1">
        <f t="shared" ca="1" si="21"/>
        <v>8.9171889953721349E-3</v>
      </c>
      <c r="AE39" s="1"/>
      <c r="AF39" s="1">
        <f t="shared" ca="1" si="22"/>
        <v>0.11724364822637234</v>
      </c>
      <c r="AG39" s="1">
        <f t="shared" ca="1" si="23"/>
        <v>533</v>
      </c>
      <c r="AH39" s="1">
        <f t="shared" ca="1" si="24"/>
        <v>5.2450815636991216E-3</v>
      </c>
      <c r="AJ39" s="1">
        <f t="shared" ca="1" si="25"/>
        <v>0.46460171320670829</v>
      </c>
      <c r="AK39" s="1">
        <f t="shared" ca="1" si="26"/>
        <v>6.5650039390680289E-3</v>
      </c>
      <c r="AL39" s="1"/>
      <c r="AM39" s="1">
        <f t="shared" ca="1" si="27"/>
        <v>1.9808221412027649E-2</v>
      </c>
      <c r="AN39" s="1">
        <f t="shared" ca="1" si="28"/>
        <v>69</v>
      </c>
      <c r="AO39" s="1">
        <f t="shared" ca="1" si="29"/>
        <v>0</v>
      </c>
      <c r="AQ39" s="1">
        <f t="shared" ca="1" si="30"/>
        <v>145</v>
      </c>
      <c r="AR39" s="1">
        <f t="shared" ca="1" si="31"/>
        <v>9</v>
      </c>
      <c r="AS39" s="1">
        <f t="shared" ca="1" si="32"/>
        <v>97</v>
      </c>
      <c r="AU39" s="1">
        <f t="shared" ca="1" si="33"/>
        <v>66</v>
      </c>
      <c r="AV39" s="1">
        <f t="shared" ca="1" si="34"/>
        <v>9</v>
      </c>
      <c r="AW39" s="1">
        <f t="shared" ca="1" si="35"/>
        <v>0.19725611512775817</v>
      </c>
      <c r="AY39" s="1">
        <f t="shared" ca="1" si="36"/>
        <v>1.4911790979576596</v>
      </c>
      <c r="AZ39" s="1">
        <f t="shared" ca="1" si="37"/>
        <v>442</v>
      </c>
      <c r="BA39" s="1">
        <f t="shared" ca="1" si="38"/>
        <v>3.4765841248279171E-3</v>
      </c>
      <c r="BG39" s="1">
        <f t="shared" ca="1" si="39"/>
        <v>0.38822249472563242</v>
      </c>
      <c r="BH39" s="1">
        <f t="shared" ca="1" si="40"/>
        <v>0.62608282927441405</v>
      </c>
      <c r="BI39" s="1">
        <f t="shared" ca="1" si="41"/>
        <v>721</v>
      </c>
      <c r="BV39" s="1">
        <f t="shared" ca="1" si="42"/>
        <v>0.81767109430585605</v>
      </c>
      <c r="BW39" s="1">
        <f t="shared" ca="1" si="43"/>
        <v>305</v>
      </c>
      <c r="BX39" s="1">
        <f t="shared" ca="1" si="44"/>
        <v>2.937577228348072E-3</v>
      </c>
      <c r="BY39" s="1">
        <f t="shared" ca="1" si="45"/>
        <v>4.5687896579670699E-2</v>
      </c>
      <c r="BZ39" s="1">
        <f t="shared" ca="1" si="46"/>
        <v>9.0208564086294407E-2</v>
      </c>
      <c r="CB39" s="1">
        <f t="shared" ca="1" si="47"/>
        <v>191</v>
      </c>
      <c r="CC39" s="1">
        <f t="shared" ca="1" si="48"/>
        <v>9</v>
      </c>
      <c r="CD39" s="1">
        <f t="shared" ca="1" si="49"/>
        <v>0.25742399397821325</v>
      </c>
      <c r="CE39" s="1">
        <f t="shared" ca="1" si="68"/>
        <v>0.87954209495766689</v>
      </c>
      <c r="CF39" s="1">
        <f t="shared" ca="1" si="68"/>
        <v>0.74826898922267759</v>
      </c>
      <c r="CH39" s="3">
        <f t="shared" ca="1" si="51"/>
        <v>0.51144887931401462</v>
      </c>
      <c r="CI39" s="3">
        <f t="shared" ca="1" si="52"/>
        <v>0.30304376857006604</v>
      </c>
      <c r="CJ39" s="3">
        <f t="shared" ca="1" si="53"/>
        <v>825</v>
      </c>
      <c r="CK39" s="3">
        <f t="shared" ca="1" si="54"/>
        <v>8.9445358445596358E-3</v>
      </c>
      <c r="CL39" s="3">
        <f t="shared" ca="1" si="55"/>
        <v>0</v>
      </c>
      <c r="CM39" s="3"/>
      <c r="CN39" s="1">
        <f t="shared" ca="1" si="56"/>
        <v>16.749930640745195</v>
      </c>
      <c r="CO39" s="1">
        <f t="shared" ca="1" si="57"/>
        <v>0.24319766721815064</v>
      </c>
      <c r="CP39" s="1">
        <f t="shared" ca="1" si="58"/>
        <v>5</v>
      </c>
      <c r="CV39" s="1">
        <f t="shared" ca="1" si="59"/>
        <v>0.72294635045790856</v>
      </c>
      <c r="CW39" s="1">
        <f t="shared" ca="1" si="60"/>
        <v>1318</v>
      </c>
      <c r="CX39" s="1">
        <f t="shared" ca="1" si="61"/>
        <v>3.7285197072518673E-3</v>
      </c>
      <c r="DH39" s="1">
        <f t="shared" ca="1" si="62"/>
        <v>487</v>
      </c>
      <c r="DI39" s="1">
        <f t="shared" ca="1" si="63"/>
        <v>0.92068871980927214</v>
      </c>
      <c r="DJ39" s="1">
        <f t="shared" ca="1" si="64"/>
        <v>12</v>
      </c>
      <c r="DL39" s="1">
        <f t="shared" ca="1" si="65"/>
        <v>0.19310647570905703</v>
      </c>
      <c r="DM39" s="1">
        <f t="shared" ca="1" si="66"/>
        <v>117</v>
      </c>
      <c r="DN39" s="1">
        <f t="shared" ca="1" si="67"/>
        <v>10</v>
      </c>
    </row>
    <row r="40" spans="2:118" x14ac:dyDescent="0.25">
      <c r="B40">
        <f t="shared" ca="1" si="0"/>
        <v>779</v>
      </c>
      <c r="C40">
        <f t="shared" ca="1" si="1"/>
        <v>19</v>
      </c>
      <c r="D40">
        <f t="shared" ca="1" si="2"/>
        <v>0.17851941707440352</v>
      </c>
      <c r="F40" s="1">
        <f t="shared" ca="1" si="3"/>
        <v>13</v>
      </c>
      <c r="G40" s="1">
        <f t="shared" ca="1" si="4"/>
        <v>7</v>
      </c>
      <c r="H40" s="1">
        <f t="shared" ca="1" si="5"/>
        <v>12</v>
      </c>
      <c r="I40" s="1"/>
      <c r="J40" s="1">
        <f t="shared" ca="1" si="6"/>
        <v>37</v>
      </c>
      <c r="K40" s="1">
        <f t="shared" ca="1" si="7"/>
        <v>1.3254786530981388</v>
      </c>
      <c r="L40" s="1">
        <f t="shared" ca="1" si="8"/>
        <v>2</v>
      </c>
      <c r="M40" s="1"/>
      <c r="N40" s="1">
        <f t="shared" ca="1" si="9"/>
        <v>695</v>
      </c>
      <c r="O40" s="1">
        <f t="shared" ca="1" si="10"/>
        <v>8</v>
      </c>
      <c r="P40" s="1"/>
      <c r="Q40" s="1">
        <f t="shared" ca="1" si="11"/>
        <v>3.6798951269797309</v>
      </c>
      <c r="R40" s="1">
        <f t="shared" ca="1" si="12"/>
        <v>591</v>
      </c>
      <c r="S40" s="1"/>
      <c r="T40" s="1">
        <f t="shared" ca="1" si="13"/>
        <v>1.2291558395103392E-2</v>
      </c>
      <c r="U40" s="1">
        <f t="shared" ca="1" si="14"/>
        <v>400</v>
      </c>
      <c r="V40" s="1">
        <f t="shared" ca="1" si="15"/>
        <v>7</v>
      </c>
      <c r="W40" s="1"/>
      <c r="X40" s="1">
        <f t="shared" ca="1" si="16"/>
        <v>3.2410283741822905</v>
      </c>
      <c r="Y40" s="1">
        <f t="shared" ca="1" si="17"/>
        <v>0.5744459102673094</v>
      </c>
      <c r="Z40" s="1">
        <f t="shared" ca="1" si="18"/>
        <v>595</v>
      </c>
      <c r="AB40" s="1">
        <f t="shared" ca="1" si="19"/>
        <v>0.71523906530646797</v>
      </c>
      <c r="AC40" s="1">
        <f t="shared" ca="1" si="20"/>
        <v>926</v>
      </c>
      <c r="AD40" s="1">
        <f t="shared" ca="1" si="21"/>
        <v>2.0829836068922141E-3</v>
      </c>
      <c r="AE40" s="1"/>
      <c r="AF40" s="1">
        <f t="shared" ca="1" si="22"/>
        <v>0.75314019898794782</v>
      </c>
      <c r="AG40" s="1">
        <f t="shared" ca="1" si="23"/>
        <v>232</v>
      </c>
      <c r="AH40" s="1">
        <f t="shared" ca="1" si="24"/>
        <v>3.4387381432410069E-3</v>
      </c>
      <c r="AJ40" s="1">
        <f t="shared" ca="1" si="25"/>
        <v>3.4321029991895902E-2</v>
      </c>
      <c r="AK40" s="1">
        <f t="shared" ca="1" si="26"/>
        <v>9.0829347947796076E-3</v>
      </c>
      <c r="AL40" s="1"/>
      <c r="AM40" s="1">
        <f t="shared" ca="1" si="27"/>
        <v>0.14169460207505519</v>
      </c>
      <c r="AN40" s="1">
        <f t="shared" ca="1" si="28"/>
        <v>44</v>
      </c>
      <c r="AO40" s="1">
        <f t="shared" ca="1" si="29"/>
        <v>1</v>
      </c>
      <c r="AQ40" s="1">
        <f t="shared" ca="1" si="30"/>
        <v>125</v>
      </c>
      <c r="AR40" s="1">
        <f t="shared" ca="1" si="31"/>
        <v>9</v>
      </c>
      <c r="AS40" s="1">
        <f t="shared" ca="1" si="32"/>
        <v>27</v>
      </c>
      <c r="AU40" s="1">
        <f t="shared" ca="1" si="33"/>
        <v>301</v>
      </c>
      <c r="AV40" s="1">
        <f t="shared" ca="1" si="34"/>
        <v>7</v>
      </c>
      <c r="AW40" s="1">
        <f t="shared" ca="1" si="35"/>
        <v>3.484381639063866E-2</v>
      </c>
      <c r="AY40" s="1">
        <f t="shared" ca="1" si="36"/>
        <v>1.4663439435864356</v>
      </c>
      <c r="AZ40" s="1">
        <f t="shared" ca="1" si="37"/>
        <v>459</v>
      </c>
      <c r="BA40" s="1">
        <f t="shared" ca="1" si="38"/>
        <v>5.4302025473898568E-3</v>
      </c>
      <c r="BG40" s="1">
        <f t="shared" ca="1" si="39"/>
        <v>0.85549050744252453</v>
      </c>
      <c r="BH40" s="1">
        <f t="shared" ca="1" si="40"/>
        <v>0.67269874427074339</v>
      </c>
      <c r="BI40" s="1">
        <f t="shared" ca="1" si="41"/>
        <v>666</v>
      </c>
      <c r="BV40" s="1">
        <f t="shared" ca="1" si="42"/>
        <v>0.65683272119346336</v>
      </c>
      <c r="BW40" s="1">
        <f t="shared" ca="1" si="43"/>
        <v>743</v>
      </c>
      <c r="BX40" s="1">
        <f t="shared" ca="1" si="44"/>
        <v>1.089021232950341E-3</v>
      </c>
      <c r="BY40" s="1">
        <f t="shared" ca="1" si="45"/>
        <v>9.5528754573634855E-2</v>
      </c>
      <c r="BZ40" s="1">
        <f t="shared" ca="1" si="46"/>
        <v>0.34908826180645158</v>
      </c>
      <c r="CB40" s="1">
        <f t="shared" ca="1" si="47"/>
        <v>295</v>
      </c>
      <c r="CC40" s="1">
        <f t="shared" ca="1" si="48"/>
        <v>3</v>
      </c>
      <c r="CD40" s="1">
        <f t="shared" ca="1" si="49"/>
        <v>0.15331894029289905</v>
      </c>
      <c r="CE40" s="1">
        <f t="shared" ca="1" si="68"/>
        <v>0.51729754231965697</v>
      </c>
      <c r="CF40" s="1">
        <f t="shared" ca="1" si="68"/>
        <v>0.53363075944988958</v>
      </c>
      <c r="CH40" s="3">
        <f t="shared" ca="1" si="51"/>
        <v>0.75154699989877016</v>
      </c>
      <c r="CI40" s="3">
        <f t="shared" ca="1" si="52"/>
        <v>0.62433999565171105</v>
      </c>
      <c r="CJ40" s="3">
        <f t="shared" ca="1" si="53"/>
        <v>1932</v>
      </c>
      <c r="CK40" s="3">
        <f t="shared" ca="1" si="54"/>
        <v>3.7670596008347306E-3</v>
      </c>
      <c r="CL40" s="3">
        <f t="shared" ca="1" si="55"/>
        <v>1</v>
      </c>
      <c r="CM40" s="3"/>
      <c r="CN40" s="1">
        <f t="shared" ca="1" si="56"/>
        <v>17.516163188217426</v>
      </c>
      <c r="CO40" s="1">
        <f t="shared" ca="1" si="57"/>
        <v>0.49992250654076875</v>
      </c>
      <c r="CP40" s="1">
        <f t="shared" ca="1" si="58"/>
        <v>5</v>
      </c>
      <c r="CV40" s="1">
        <f t="shared" ca="1" si="59"/>
        <v>1.6472983807759498</v>
      </c>
      <c r="CW40" s="1">
        <f t="shared" ca="1" si="60"/>
        <v>332</v>
      </c>
      <c r="CX40" s="1">
        <f t="shared" ca="1" si="61"/>
        <v>8.8154510402625712E-3</v>
      </c>
      <c r="DH40" s="1">
        <f t="shared" ca="1" si="62"/>
        <v>465</v>
      </c>
      <c r="DI40" s="1">
        <f t="shared" ca="1" si="63"/>
        <v>0.61897219425139138</v>
      </c>
      <c r="DJ40" s="1">
        <f t="shared" ca="1" si="64"/>
        <v>11</v>
      </c>
      <c r="DL40" s="1">
        <f t="shared" ca="1" si="65"/>
        <v>5.5048651873534853E-2</v>
      </c>
      <c r="DM40" s="1">
        <f t="shared" ca="1" si="66"/>
        <v>218</v>
      </c>
      <c r="DN40" s="1">
        <f t="shared" ca="1" si="67"/>
        <v>4</v>
      </c>
    </row>
    <row r="41" spans="2:118" x14ac:dyDescent="0.25">
      <c r="B41">
        <f t="shared" ca="1" si="0"/>
        <v>572</v>
      </c>
      <c r="C41">
        <f t="shared" ca="1" si="1"/>
        <v>37</v>
      </c>
      <c r="D41">
        <f t="shared" ca="1" si="2"/>
        <v>9.096102176096825E-2</v>
      </c>
      <c r="F41" s="1">
        <f t="shared" ca="1" si="3"/>
        <v>43</v>
      </c>
      <c r="G41" s="1">
        <f t="shared" ca="1" si="4"/>
        <v>16</v>
      </c>
      <c r="H41" s="1">
        <f t="shared" ca="1" si="5"/>
        <v>10</v>
      </c>
      <c r="I41" s="1"/>
      <c r="J41" s="1">
        <f t="shared" ca="1" si="6"/>
        <v>27</v>
      </c>
      <c r="K41" s="1">
        <f t="shared" ca="1" si="7"/>
        <v>2.3274237341913908</v>
      </c>
      <c r="L41" s="1">
        <f t="shared" ca="1" si="8"/>
        <v>29</v>
      </c>
      <c r="M41" s="1"/>
      <c r="N41" s="1">
        <f t="shared" ca="1" si="9"/>
        <v>386</v>
      </c>
      <c r="O41" s="1">
        <f t="shared" ca="1" si="10"/>
        <v>41</v>
      </c>
      <c r="P41" s="1"/>
      <c r="Q41" s="1">
        <f t="shared" ca="1" si="11"/>
        <v>3.0406984713702228</v>
      </c>
      <c r="R41" s="1">
        <f t="shared" ca="1" si="12"/>
        <v>386</v>
      </c>
      <c r="S41" s="1"/>
      <c r="T41" s="1">
        <f t="shared" ca="1" si="13"/>
        <v>0.15994709126598208</v>
      </c>
      <c r="U41" s="1">
        <f t="shared" ca="1" si="14"/>
        <v>240</v>
      </c>
      <c r="V41" s="1">
        <f t="shared" ca="1" si="15"/>
        <v>8</v>
      </c>
      <c r="W41" s="1"/>
      <c r="X41" s="1">
        <f t="shared" ca="1" si="16"/>
        <v>7.2993959609984591</v>
      </c>
      <c r="Y41" s="1">
        <f t="shared" ca="1" si="17"/>
        <v>0.51662398195101933</v>
      </c>
      <c r="Z41" s="1">
        <f t="shared" ca="1" si="18"/>
        <v>265</v>
      </c>
      <c r="AB41" s="1">
        <f t="shared" ca="1" si="19"/>
        <v>0.63469851776912523</v>
      </c>
      <c r="AC41" s="1">
        <f t="shared" ca="1" si="20"/>
        <v>577</v>
      </c>
      <c r="AD41" s="1">
        <f t="shared" ca="1" si="21"/>
        <v>6.4772589468771891E-3</v>
      </c>
      <c r="AE41" s="1"/>
      <c r="AF41" s="1">
        <f t="shared" ca="1" si="22"/>
        <v>0.44629218052520103</v>
      </c>
      <c r="AG41" s="1">
        <f t="shared" ca="1" si="23"/>
        <v>882</v>
      </c>
      <c r="AH41" s="1">
        <f t="shared" ca="1" si="24"/>
        <v>1.5709995003099014E-3</v>
      </c>
      <c r="AJ41" s="1">
        <f t="shared" ca="1" si="25"/>
        <v>8.0982066811009501E-2</v>
      </c>
      <c r="AK41" s="1">
        <f t="shared" ca="1" si="26"/>
        <v>7.585129237699874E-3</v>
      </c>
      <c r="AL41" s="1"/>
      <c r="AM41" s="1">
        <f t="shared" ca="1" si="27"/>
        <v>0.19884408094396425</v>
      </c>
      <c r="AN41" s="1">
        <f t="shared" ca="1" si="28"/>
        <v>78</v>
      </c>
      <c r="AO41" s="1">
        <f t="shared" ca="1" si="29"/>
        <v>11</v>
      </c>
      <c r="AQ41" s="1">
        <f t="shared" ca="1" si="30"/>
        <v>65</v>
      </c>
      <c r="AR41" s="1">
        <f t="shared" ca="1" si="31"/>
        <v>10</v>
      </c>
      <c r="AS41" s="1">
        <f t="shared" ca="1" si="32"/>
        <v>49</v>
      </c>
      <c r="AU41" s="1">
        <f t="shared" ca="1" si="33"/>
        <v>324</v>
      </c>
      <c r="AV41" s="1">
        <f t="shared" ca="1" si="34"/>
        <v>10</v>
      </c>
      <c r="AW41" s="1">
        <f t="shared" ca="1" si="35"/>
        <v>6.2545697980739293E-2</v>
      </c>
      <c r="AY41" s="1">
        <f t="shared" ca="1" si="36"/>
        <v>1.9202146930918316</v>
      </c>
      <c r="AZ41" s="1">
        <f t="shared" ca="1" si="37"/>
        <v>480</v>
      </c>
      <c r="BA41" s="1">
        <f t="shared" ca="1" si="38"/>
        <v>8.3546982117661348E-3</v>
      </c>
      <c r="BG41" s="1">
        <f t="shared" ca="1" si="39"/>
        <v>0.9028253177459914</v>
      </c>
      <c r="BH41" s="1">
        <f t="shared" ca="1" si="40"/>
        <v>0.77944116951403808</v>
      </c>
      <c r="BI41" s="1">
        <f t="shared" ca="1" si="41"/>
        <v>636</v>
      </c>
      <c r="BV41" s="1">
        <f t="shared" ca="1" si="42"/>
        <v>0.53566168594362984</v>
      </c>
      <c r="BW41" s="1">
        <f t="shared" ca="1" si="43"/>
        <v>669</v>
      </c>
      <c r="BX41" s="1">
        <f t="shared" ca="1" si="44"/>
        <v>9.5026378199398361E-3</v>
      </c>
      <c r="BY41" s="1">
        <f t="shared" ca="1" si="45"/>
        <v>7.7165351444775224E-2</v>
      </c>
      <c r="BZ41" s="1">
        <f t="shared" ca="1" si="46"/>
        <v>0.90993794576921261</v>
      </c>
      <c r="CB41" s="1">
        <f t="shared" ca="1" si="47"/>
        <v>389</v>
      </c>
      <c r="CC41" s="1">
        <f t="shared" ca="1" si="48"/>
        <v>9</v>
      </c>
      <c r="CD41" s="1">
        <f t="shared" ca="1" si="49"/>
        <v>9.1971018773300328E-2</v>
      </c>
      <c r="CE41" s="1">
        <f t="shared" ca="1" si="68"/>
        <v>0.88645877890182212</v>
      </c>
      <c r="CF41" s="1">
        <f t="shared" ca="1" si="68"/>
        <v>0.84559862973699329</v>
      </c>
      <c r="CH41" s="3">
        <f t="shared" ca="1" si="51"/>
        <v>0.22745952850980111</v>
      </c>
      <c r="CI41" s="3">
        <f t="shared" ca="1" si="52"/>
        <v>0.1143159754142251</v>
      </c>
      <c r="CJ41" s="3">
        <f t="shared" ca="1" si="53"/>
        <v>249</v>
      </c>
      <c r="CK41" s="3">
        <f t="shared" ca="1" si="54"/>
        <v>6.2616491144938564E-3</v>
      </c>
      <c r="CL41" s="3">
        <f t="shared" ca="1" si="55"/>
        <v>0</v>
      </c>
      <c r="CM41" s="3"/>
      <c r="CN41" s="1">
        <f t="shared" ca="1" si="56"/>
        <v>15.571958355829107</v>
      </c>
      <c r="CO41" s="1">
        <f t="shared" ca="1" si="57"/>
        <v>0.4184232959129881</v>
      </c>
      <c r="CP41" s="1">
        <f t="shared" ca="1" si="58"/>
        <v>5</v>
      </c>
      <c r="CV41" s="1">
        <f t="shared" ca="1" si="59"/>
        <v>3.3140691129309472</v>
      </c>
      <c r="CW41" s="1">
        <f t="shared" ca="1" si="60"/>
        <v>1954</v>
      </c>
      <c r="CX41" s="1">
        <f t="shared" ca="1" si="61"/>
        <v>4.538279984596774E-3</v>
      </c>
      <c r="DH41" s="1">
        <f t="shared" ca="1" si="62"/>
        <v>25</v>
      </c>
      <c r="DI41" s="1">
        <f t="shared" ca="1" si="63"/>
        <v>2.0672134347589209E-2</v>
      </c>
      <c r="DJ41" s="1">
        <f t="shared" ca="1" si="64"/>
        <v>7</v>
      </c>
      <c r="DL41" s="1">
        <f t="shared" ca="1" si="65"/>
        <v>7.9761486628898676E-2</v>
      </c>
      <c r="DM41" s="1">
        <f t="shared" ca="1" si="66"/>
        <v>275</v>
      </c>
      <c r="DN41" s="1">
        <f t="shared" ca="1" si="67"/>
        <v>10</v>
      </c>
    </row>
    <row r="42" spans="2:118" x14ac:dyDescent="0.25">
      <c r="B42">
        <f t="shared" ca="1" si="0"/>
        <v>569</v>
      </c>
      <c r="C42">
        <f t="shared" ca="1" si="1"/>
        <v>38</v>
      </c>
      <c r="D42">
        <f t="shared" ca="1" si="2"/>
        <v>5.1441393845169436E-2</v>
      </c>
      <c r="F42" s="1">
        <f t="shared" ca="1" si="3"/>
        <v>48</v>
      </c>
      <c r="G42" s="1">
        <f t="shared" ca="1" si="4"/>
        <v>29</v>
      </c>
      <c r="H42" s="1">
        <f t="shared" ca="1" si="5"/>
        <v>8</v>
      </c>
      <c r="I42" s="1"/>
      <c r="J42" s="1">
        <f t="shared" ca="1" si="6"/>
        <v>18</v>
      </c>
      <c r="K42" s="1">
        <f t="shared" ca="1" si="7"/>
        <v>2.5877555309630695</v>
      </c>
      <c r="L42" s="1">
        <f t="shared" ca="1" si="8"/>
        <v>3</v>
      </c>
      <c r="M42" s="1"/>
      <c r="N42" s="1">
        <f t="shared" ca="1" si="9"/>
        <v>876</v>
      </c>
      <c r="O42" s="1">
        <f t="shared" ca="1" si="10"/>
        <v>51</v>
      </c>
      <c r="P42" s="1"/>
      <c r="Q42" s="1">
        <f t="shared" ca="1" si="11"/>
        <v>1.8526698591085384</v>
      </c>
      <c r="R42" s="1">
        <f t="shared" ca="1" si="12"/>
        <v>608</v>
      </c>
      <c r="S42" s="1"/>
      <c r="T42" s="1">
        <f t="shared" ca="1" si="13"/>
        <v>4.7396518355021997E-2</v>
      </c>
      <c r="U42" s="1">
        <f t="shared" ca="1" si="14"/>
        <v>175</v>
      </c>
      <c r="V42" s="1">
        <f t="shared" ca="1" si="15"/>
        <v>42</v>
      </c>
      <c r="W42" s="1"/>
      <c r="X42" s="1">
        <f t="shared" ca="1" si="16"/>
        <v>9.0416808970058806</v>
      </c>
      <c r="Y42" s="1">
        <f t="shared" ca="1" si="17"/>
        <v>0.73996647232114243</v>
      </c>
      <c r="Z42" s="1">
        <f t="shared" ca="1" si="18"/>
        <v>566</v>
      </c>
      <c r="AB42" s="1">
        <f t="shared" ca="1" si="19"/>
        <v>0.77053658983320983</v>
      </c>
      <c r="AC42" s="1">
        <f t="shared" ca="1" si="20"/>
        <v>845</v>
      </c>
      <c r="AD42" s="1">
        <f t="shared" ca="1" si="21"/>
        <v>1.1737103621346054E-3</v>
      </c>
      <c r="AE42" s="1"/>
      <c r="AF42" s="1">
        <f t="shared" ca="1" si="22"/>
        <v>0.89061363698087759</v>
      </c>
      <c r="AG42" s="1">
        <f t="shared" ca="1" si="23"/>
        <v>384</v>
      </c>
      <c r="AH42" s="1">
        <f t="shared" ca="1" si="24"/>
        <v>5.6151154491305868E-4</v>
      </c>
      <c r="AJ42" s="1">
        <f t="shared" ca="1" si="25"/>
        <v>5.8335136586766811E-2</v>
      </c>
      <c r="AK42" s="1">
        <f t="shared" ca="1" si="26"/>
        <v>4.3110552239018713E-3</v>
      </c>
      <c r="AL42" s="1"/>
      <c r="AM42" s="1">
        <f t="shared" ca="1" si="27"/>
        <v>0.1864907041842645</v>
      </c>
      <c r="AN42" s="1">
        <f t="shared" ca="1" si="28"/>
        <v>28</v>
      </c>
      <c r="AO42" s="1">
        <f t="shared" ca="1" si="29"/>
        <v>11</v>
      </c>
      <c r="AQ42" s="1">
        <f t="shared" ca="1" si="30"/>
        <v>14</v>
      </c>
      <c r="AR42" s="1">
        <f t="shared" ca="1" si="31"/>
        <v>2</v>
      </c>
      <c r="AS42" s="1">
        <f t="shared" ca="1" si="32"/>
        <v>67</v>
      </c>
      <c r="AU42" s="1">
        <f t="shared" ca="1" si="33"/>
        <v>198</v>
      </c>
      <c r="AV42" s="1">
        <f t="shared" ca="1" si="34"/>
        <v>6</v>
      </c>
      <c r="AW42" s="1">
        <f t="shared" ca="1" si="35"/>
        <v>0.13420364571640325</v>
      </c>
      <c r="AY42" s="1">
        <f t="shared" ca="1" si="36"/>
        <v>1.6631408569908999</v>
      </c>
      <c r="AZ42" s="1">
        <f t="shared" ca="1" si="37"/>
        <v>308</v>
      </c>
      <c r="BA42" s="1">
        <f t="shared" ca="1" si="38"/>
        <v>3.0661836087918478E-3</v>
      </c>
      <c r="BG42" s="1">
        <f t="shared" ca="1" si="39"/>
        <v>0.76160145173929295</v>
      </c>
      <c r="BH42" s="1">
        <f t="shared" ca="1" si="40"/>
        <v>0.11069795175411212</v>
      </c>
      <c r="BI42" s="1">
        <f t="shared" ca="1" si="41"/>
        <v>247</v>
      </c>
      <c r="BV42" s="1">
        <f t="shared" ca="1" si="42"/>
        <v>0.36263020081084635</v>
      </c>
      <c r="BW42" s="1">
        <f t="shared" ca="1" si="43"/>
        <v>264</v>
      </c>
      <c r="BX42" s="1">
        <f t="shared" ca="1" si="44"/>
        <v>7.5928088447644064E-3</v>
      </c>
      <c r="BY42" s="1">
        <f t="shared" ca="1" si="45"/>
        <v>6.7072388723741369E-2</v>
      </c>
      <c r="BZ42" s="1">
        <f t="shared" ca="1" si="46"/>
        <v>0.21515635753038309</v>
      </c>
      <c r="CB42" s="1">
        <f t="shared" ca="1" si="47"/>
        <v>456</v>
      </c>
      <c r="CC42" s="1">
        <f t="shared" ca="1" si="48"/>
        <v>4</v>
      </c>
      <c r="CD42" s="1">
        <f t="shared" ca="1" si="49"/>
        <v>0.10221600293242911</v>
      </c>
      <c r="CE42" s="1">
        <f t="shared" ca="1" si="68"/>
        <v>0.8419192635159074</v>
      </c>
      <c r="CF42" s="1">
        <f t="shared" ca="1" si="68"/>
        <v>0.58078491844733038</v>
      </c>
      <c r="CH42" s="3">
        <f t="shared" ca="1" si="51"/>
        <v>0.62699783665711306</v>
      </c>
      <c r="CI42" s="3">
        <f t="shared" ca="1" si="52"/>
        <v>0.23781884237633261</v>
      </c>
      <c r="CJ42" s="3">
        <f t="shared" ca="1" si="53"/>
        <v>1819</v>
      </c>
      <c r="CK42" s="3">
        <f t="shared" ca="1" si="54"/>
        <v>2.0674917750379764E-3</v>
      </c>
      <c r="CL42" s="3">
        <f t="shared" ca="1" si="55"/>
        <v>1</v>
      </c>
      <c r="CM42" s="3"/>
      <c r="CN42" s="1">
        <f t="shared" ca="1" si="56"/>
        <v>14.294840704548081</v>
      </c>
      <c r="CO42" s="1">
        <f t="shared" ca="1" si="57"/>
        <v>3.394613233116648E-2</v>
      </c>
      <c r="CP42" s="1">
        <f t="shared" ca="1" si="58"/>
        <v>4</v>
      </c>
      <c r="CV42" s="1">
        <f t="shared" ca="1" si="59"/>
        <v>7.7375578571183565</v>
      </c>
      <c r="CW42" s="1">
        <f t="shared" ca="1" si="60"/>
        <v>1321</v>
      </c>
      <c r="CX42" s="1">
        <f t="shared" ca="1" si="61"/>
        <v>4.0046914920949823E-3</v>
      </c>
      <c r="DH42" s="1">
        <f t="shared" ca="1" si="62"/>
        <v>85</v>
      </c>
      <c r="DI42" s="1">
        <f t="shared" ca="1" si="63"/>
        <v>0.20056285879630645</v>
      </c>
      <c r="DJ42" s="1">
        <f t="shared" ca="1" si="64"/>
        <v>24</v>
      </c>
      <c r="DL42" s="1">
        <f t="shared" ca="1" si="65"/>
        <v>5.4193112543469618E-2</v>
      </c>
      <c r="DM42" s="1">
        <f t="shared" ca="1" si="66"/>
        <v>238</v>
      </c>
      <c r="DN42" s="1">
        <f t="shared" ca="1" si="67"/>
        <v>2</v>
      </c>
    </row>
    <row r="43" spans="2:118" x14ac:dyDescent="0.25">
      <c r="B43">
        <f t="shared" ca="1" si="0"/>
        <v>59</v>
      </c>
      <c r="C43">
        <f t="shared" ca="1" si="1"/>
        <v>5</v>
      </c>
      <c r="D43">
        <f t="shared" ca="1" si="2"/>
        <v>0.18969022400155139</v>
      </c>
      <c r="F43" s="1">
        <f t="shared" ca="1" si="3"/>
        <v>34</v>
      </c>
      <c r="G43" s="1">
        <f t="shared" ca="1" si="4"/>
        <v>8</v>
      </c>
      <c r="H43" s="1">
        <f t="shared" ca="1" si="5"/>
        <v>12</v>
      </c>
      <c r="I43" s="1"/>
      <c r="J43" s="1">
        <f t="shared" ca="1" si="6"/>
        <v>16</v>
      </c>
      <c r="K43" s="1">
        <f t="shared" ca="1" si="7"/>
        <v>1.3197490083927761</v>
      </c>
      <c r="L43" s="1">
        <f t="shared" ca="1" si="8"/>
        <v>27</v>
      </c>
      <c r="M43" s="1"/>
      <c r="N43" s="1">
        <f t="shared" ca="1" si="9"/>
        <v>175</v>
      </c>
      <c r="O43" s="1">
        <f t="shared" ca="1" si="10"/>
        <v>34</v>
      </c>
      <c r="P43" s="1"/>
      <c r="Q43" s="1">
        <f t="shared" ca="1" si="11"/>
        <v>3.0290709233544417</v>
      </c>
      <c r="R43" s="1">
        <f t="shared" ca="1" si="12"/>
        <v>1019</v>
      </c>
      <c r="S43" s="1"/>
      <c r="T43" s="1">
        <f t="shared" ca="1" si="13"/>
        <v>7.7331198713487162E-2</v>
      </c>
      <c r="U43" s="1">
        <f t="shared" ca="1" si="14"/>
        <v>342</v>
      </c>
      <c r="V43" s="1">
        <f t="shared" ca="1" si="15"/>
        <v>7</v>
      </c>
      <c r="W43" s="1"/>
      <c r="X43" s="1">
        <f t="shared" ca="1" si="16"/>
        <v>6.0031641439613566</v>
      </c>
      <c r="Y43" s="1">
        <f t="shared" ca="1" si="17"/>
        <v>0.96668144296630909</v>
      </c>
      <c r="Z43" s="1">
        <f t="shared" ca="1" si="18"/>
        <v>1557</v>
      </c>
      <c r="AB43" s="1">
        <f t="shared" ca="1" si="19"/>
        <v>0.71555866332120011</v>
      </c>
      <c r="AC43" s="1">
        <f t="shared" ca="1" si="20"/>
        <v>548</v>
      </c>
      <c r="AD43" s="1">
        <f t="shared" ca="1" si="21"/>
        <v>4.3806196704338721E-3</v>
      </c>
      <c r="AE43" s="1"/>
      <c r="AF43" s="1">
        <f t="shared" ca="1" si="22"/>
        <v>0.57953533156868575</v>
      </c>
      <c r="AG43" s="1">
        <f t="shared" ca="1" si="23"/>
        <v>546</v>
      </c>
      <c r="AH43" s="1">
        <f t="shared" ca="1" si="24"/>
        <v>7.312186653966316E-3</v>
      </c>
      <c r="AJ43" s="1">
        <f t="shared" ca="1" si="25"/>
        <v>0.21840180389057673</v>
      </c>
      <c r="AK43" s="1">
        <f t="shared" ca="1" si="26"/>
        <v>6.3917061034760624E-3</v>
      </c>
      <c r="AL43" s="1"/>
      <c r="AM43" s="1">
        <f t="shared" ca="1" si="27"/>
        <v>0.10770284159259798</v>
      </c>
      <c r="AN43" s="1">
        <f t="shared" ca="1" si="28"/>
        <v>28</v>
      </c>
      <c r="AO43" s="1">
        <f t="shared" ca="1" si="29"/>
        <v>-1</v>
      </c>
      <c r="AQ43" s="1">
        <f t="shared" ca="1" si="30"/>
        <v>41</v>
      </c>
      <c r="AR43" s="1">
        <f t="shared" ca="1" si="31"/>
        <v>2</v>
      </c>
      <c r="AS43" s="1">
        <f t="shared" ca="1" si="32"/>
        <v>11</v>
      </c>
      <c r="AU43" s="1">
        <f t="shared" ca="1" si="33"/>
        <v>272</v>
      </c>
      <c r="AV43" s="1">
        <f t="shared" ca="1" si="34"/>
        <v>9</v>
      </c>
      <c r="AW43" s="1">
        <f t="shared" ca="1" si="35"/>
        <v>0.17989371443866187</v>
      </c>
      <c r="AY43" s="1">
        <f t="shared" ca="1" si="36"/>
        <v>1.5053286242107469</v>
      </c>
      <c r="AZ43" s="1">
        <f t="shared" ca="1" si="37"/>
        <v>441</v>
      </c>
      <c r="BA43" s="1">
        <f t="shared" ca="1" si="38"/>
        <v>8.980782640007982E-3</v>
      </c>
      <c r="BG43" s="1">
        <f t="shared" ca="1" si="39"/>
        <v>0.64030306697284611</v>
      </c>
      <c r="BH43" s="1">
        <f t="shared" ca="1" si="40"/>
        <v>0.67506896207817835</v>
      </c>
      <c r="BI43" s="1">
        <f t="shared" ca="1" si="41"/>
        <v>682</v>
      </c>
      <c r="BV43" s="1">
        <f t="shared" ca="1" si="42"/>
        <v>0.99000713051060152</v>
      </c>
      <c r="BW43" s="1">
        <f t="shared" ca="1" si="43"/>
        <v>827</v>
      </c>
      <c r="BX43" s="1">
        <f t="shared" ca="1" si="44"/>
        <v>7.9148455030059826E-3</v>
      </c>
      <c r="BY43" s="1">
        <f t="shared" ca="1" si="45"/>
        <v>9.4157986633199381E-2</v>
      </c>
      <c r="BZ43" s="1">
        <f t="shared" ca="1" si="46"/>
        <v>0.4268087381636877</v>
      </c>
      <c r="CB43" s="1">
        <f t="shared" ca="1" si="47"/>
        <v>128</v>
      </c>
      <c r="CC43" s="1">
        <f t="shared" ca="1" si="48"/>
        <v>11</v>
      </c>
      <c r="CD43" s="1">
        <f t="shared" ca="1" si="49"/>
        <v>8.1124418392902284E-2</v>
      </c>
      <c r="CE43" s="1">
        <f t="shared" ca="1" si="68"/>
        <v>0.71490510833978038</v>
      </c>
      <c r="CF43" s="1">
        <f t="shared" ca="1" si="68"/>
        <v>0.99467137927643778</v>
      </c>
      <c r="CH43" s="3">
        <f t="shared" ca="1" si="51"/>
        <v>0.79981142175110198</v>
      </c>
      <c r="CI43" s="3">
        <f t="shared" ca="1" si="52"/>
        <v>0.52334880356629854</v>
      </c>
      <c r="CJ43" s="3">
        <f t="shared" ca="1" si="53"/>
        <v>863</v>
      </c>
      <c r="CK43" s="3">
        <f t="shared" ca="1" si="54"/>
        <v>8.5299619432417928E-3</v>
      </c>
      <c r="CL43" s="3">
        <f t="shared" ca="1" si="55"/>
        <v>0</v>
      </c>
      <c r="CM43" s="3"/>
      <c r="CN43" s="1">
        <f t="shared" ca="1" si="56"/>
        <v>2.2759197965730817</v>
      </c>
      <c r="CO43" s="1">
        <f t="shared" ca="1" si="57"/>
        <v>0.19162841449209644</v>
      </c>
      <c r="CP43" s="1">
        <f t="shared" ca="1" si="58"/>
        <v>4</v>
      </c>
      <c r="CV43" s="1">
        <f t="shared" ca="1" si="59"/>
        <v>4.5854964020186531</v>
      </c>
      <c r="CW43" s="1">
        <f t="shared" ca="1" si="60"/>
        <v>522</v>
      </c>
      <c r="CX43" s="1">
        <f t="shared" ca="1" si="61"/>
        <v>2.8325188722124889E-3</v>
      </c>
      <c r="DH43" s="1">
        <f t="shared" ca="1" si="62"/>
        <v>302</v>
      </c>
      <c r="DI43" s="1">
        <f t="shared" ca="1" si="63"/>
        <v>0.2133670738796794</v>
      </c>
      <c r="DJ43" s="1">
        <f t="shared" ca="1" si="64"/>
        <v>26</v>
      </c>
      <c r="DL43" s="1">
        <f t="shared" ca="1" si="65"/>
        <v>0.1471766315213871</v>
      </c>
      <c r="DM43" s="1">
        <f t="shared" ca="1" si="66"/>
        <v>251</v>
      </c>
      <c r="DN43" s="1">
        <f t="shared" ca="1" si="67"/>
        <v>8</v>
      </c>
    </row>
    <row r="44" spans="2:118" x14ac:dyDescent="0.25">
      <c r="B44">
        <f t="shared" ca="1" si="0"/>
        <v>950</v>
      </c>
      <c r="C44">
        <f t="shared" ca="1" si="1"/>
        <v>10</v>
      </c>
      <c r="D44">
        <f t="shared" ca="1" si="2"/>
        <v>0.17431764586927262</v>
      </c>
      <c r="F44" s="1">
        <f t="shared" ca="1" si="3"/>
        <v>48</v>
      </c>
      <c r="G44" s="1">
        <f t="shared" ca="1" si="4"/>
        <v>15</v>
      </c>
      <c r="H44" s="1">
        <f t="shared" ca="1" si="5"/>
        <v>13</v>
      </c>
      <c r="I44" s="1"/>
      <c r="J44" s="1">
        <f t="shared" ca="1" si="6"/>
        <v>38</v>
      </c>
      <c r="K44" s="1">
        <f t="shared" ca="1" si="7"/>
        <v>2.7904654706592384</v>
      </c>
      <c r="L44" s="1">
        <f t="shared" ca="1" si="8"/>
        <v>34</v>
      </c>
      <c r="M44" s="1"/>
      <c r="N44" s="1">
        <f t="shared" ca="1" si="9"/>
        <v>603</v>
      </c>
      <c r="O44" s="1">
        <f t="shared" ca="1" si="10"/>
        <v>34</v>
      </c>
      <c r="P44" s="1"/>
      <c r="Q44" s="1">
        <f t="shared" ca="1" si="11"/>
        <v>3.6705189144757848</v>
      </c>
      <c r="R44" s="1">
        <f t="shared" ca="1" si="12"/>
        <v>1057</v>
      </c>
      <c r="S44" s="1"/>
      <c r="T44" s="1">
        <f t="shared" ca="1" si="13"/>
        <v>4.1045651589924306E-2</v>
      </c>
      <c r="U44" s="1">
        <f t="shared" ca="1" si="14"/>
        <v>274</v>
      </c>
      <c r="V44" s="1">
        <f t="shared" ca="1" si="15"/>
        <v>13</v>
      </c>
      <c r="W44" s="1"/>
      <c r="X44" s="1">
        <f t="shared" ca="1" si="16"/>
        <v>9.5290027036448688</v>
      </c>
      <c r="Y44" s="1">
        <f t="shared" ca="1" si="17"/>
        <v>0.34187555286828419</v>
      </c>
      <c r="Z44" s="1">
        <f t="shared" ca="1" si="18"/>
        <v>1518</v>
      </c>
      <c r="AB44" s="1">
        <f t="shared" ca="1" si="19"/>
        <v>0.10475058769841539</v>
      </c>
      <c r="AC44" s="1">
        <f t="shared" ca="1" si="20"/>
        <v>612</v>
      </c>
      <c r="AD44" s="1">
        <f t="shared" ca="1" si="21"/>
        <v>3.131013144516602E-3</v>
      </c>
      <c r="AE44" s="1"/>
      <c r="AF44" s="1">
        <f t="shared" ca="1" si="22"/>
        <v>0.86746143386170704</v>
      </c>
      <c r="AG44" s="1">
        <f t="shared" ca="1" si="23"/>
        <v>241</v>
      </c>
      <c r="AH44" s="1">
        <f t="shared" ca="1" si="24"/>
        <v>5.3954565059661543E-4</v>
      </c>
      <c r="AJ44" s="1">
        <f t="shared" ca="1" si="25"/>
        <v>0.15864758044826444</v>
      </c>
      <c r="AK44" s="1">
        <f t="shared" ca="1" si="26"/>
        <v>3.2330154502134352E-3</v>
      </c>
      <c r="AL44" s="1"/>
      <c r="AM44" s="1">
        <f t="shared" ca="1" si="27"/>
        <v>2.7655834309715185E-2</v>
      </c>
      <c r="AN44" s="1">
        <f t="shared" ca="1" si="28"/>
        <v>47</v>
      </c>
      <c r="AO44" s="1">
        <f t="shared" ca="1" si="29"/>
        <v>2</v>
      </c>
      <c r="AQ44" s="1">
        <f t="shared" ca="1" si="30"/>
        <v>171</v>
      </c>
      <c r="AR44" s="1">
        <f t="shared" ca="1" si="31"/>
        <v>10</v>
      </c>
      <c r="AS44" s="1">
        <f t="shared" ca="1" si="32"/>
        <v>55</v>
      </c>
      <c r="AU44" s="1">
        <f t="shared" ca="1" si="33"/>
        <v>90</v>
      </c>
      <c r="AV44" s="1">
        <f t="shared" ca="1" si="34"/>
        <v>10</v>
      </c>
      <c r="AW44" s="1">
        <f t="shared" ca="1" si="35"/>
        <v>0.19227844570310099</v>
      </c>
      <c r="AY44" s="1">
        <f t="shared" ca="1" si="36"/>
        <v>1.8416024114930862</v>
      </c>
      <c r="AZ44" s="1">
        <f t="shared" ca="1" si="37"/>
        <v>241</v>
      </c>
      <c r="BA44" s="1">
        <f t="shared" ca="1" si="38"/>
        <v>4.2370710253655762E-3</v>
      </c>
      <c r="BG44" s="1">
        <f t="shared" ca="1" si="39"/>
        <v>0.91249141262787292</v>
      </c>
      <c r="BH44" s="1">
        <f t="shared" ca="1" si="40"/>
        <v>0.66420030978489875</v>
      </c>
      <c r="BI44" s="1">
        <f t="shared" ca="1" si="41"/>
        <v>470</v>
      </c>
      <c r="BV44" s="1">
        <f t="shared" ca="1" si="42"/>
        <v>0.58340762848891947</v>
      </c>
      <c r="BW44" s="1">
        <f t="shared" ca="1" si="43"/>
        <v>800</v>
      </c>
      <c r="BX44" s="1">
        <f t="shared" ca="1" si="44"/>
        <v>6.3012023160672467E-3</v>
      </c>
      <c r="BY44" s="1">
        <f t="shared" ca="1" si="45"/>
        <v>3.3506585244499912E-2</v>
      </c>
      <c r="BZ44" s="1">
        <f t="shared" ca="1" si="46"/>
        <v>0.25296961069436219</v>
      </c>
      <c r="CB44" s="1">
        <f t="shared" ca="1" si="47"/>
        <v>397</v>
      </c>
      <c r="CC44" s="1">
        <f t="shared" ca="1" si="48"/>
        <v>12</v>
      </c>
      <c r="CD44" s="1">
        <f t="shared" ca="1" si="49"/>
        <v>0.11717308571533734</v>
      </c>
      <c r="CE44" s="1">
        <f t="shared" ca="1" si="68"/>
        <v>0.92540045524070558</v>
      </c>
      <c r="CF44" s="1">
        <f t="shared" ca="1" si="68"/>
        <v>0.54513576365173277</v>
      </c>
      <c r="CH44" s="3">
        <f t="shared" ca="1" si="51"/>
        <v>0.12818564015424264</v>
      </c>
      <c r="CI44" s="3">
        <f t="shared" ca="1" si="52"/>
        <v>0.91374935690914416</v>
      </c>
      <c r="CJ44" s="3">
        <f t="shared" ca="1" si="53"/>
        <v>1571</v>
      </c>
      <c r="CK44" s="3">
        <f t="shared" ca="1" si="54"/>
        <v>2.5938274647942221E-3</v>
      </c>
      <c r="CL44" s="3">
        <f t="shared" ca="1" si="55"/>
        <v>1</v>
      </c>
      <c r="CM44" s="3"/>
      <c r="CN44" s="1">
        <f t="shared" ca="1" si="56"/>
        <v>15.180829662404992</v>
      </c>
      <c r="CO44" s="1">
        <f t="shared" ca="1" si="57"/>
        <v>0.3488790677365573</v>
      </c>
      <c r="CP44" s="1">
        <f t="shared" ca="1" si="58"/>
        <v>5</v>
      </c>
      <c r="CV44" s="1">
        <f t="shared" ca="1" si="59"/>
        <v>1.8103720401569989</v>
      </c>
      <c r="CW44" s="1">
        <f t="shared" ca="1" si="60"/>
        <v>801</v>
      </c>
      <c r="CX44" s="1">
        <f t="shared" ca="1" si="61"/>
        <v>2.8851029131704772E-3</v>
      </c>
      <c r="DH44" s="1">
        <f t="shared" ca="1" si="62"/>
        <v>312</v>
      </c>
      <c r="DI44" s="1">
        <f t="shared" ca="1" si="63"/>
        <v>0.10352432424639499</v>
      </c>
      <c r="DJ44" s="1">
        <f t="shared" ca="1" si="64"/>
        <v>6</v>
      </c>
      <c r="DL44" s="1">
        <f t="shared" ca="1" si="65"/>
        <v>0.10398058416860566</v>
      </c>
      <c r="DM44" s="1">
        <f t="shared" ca="1" si="66"/>
        <v>141</v>
      </c>
      <c r="DN44" s="1">
        <f t="shared" ca="1" si="67"/>
        <v>5</v>
      </c>
    </row>
    <row r="45" spans="2:118" x14ac:dyDescent="0.25">
      <c r="B45">
        <f t="shared" ca="1" si="0"/>
        <v>267</v>
      </c>
      <c r="C45">
        <f t="shared" ca="1" si="1"/>
        <v>46</v>
      </c>
      <c r="D45">
        <f t="shared" ca="1" si="2"/>
        <v>0.11761506362409348</v>
      </c>
      <c r="F45" s="1">
        <f t="shared" ca="1" si="3"/>
        <v>51</v>
      </c>
      <c r="G45" s="1">
        <f t="shared" ca="1" si="4"/>
        <v>21</v>
      </c>
      <c r="H45" s="1">
        <f t="shared" ca="1" si="5"/>
        <v>13</v>
      </c>
      <c r="I45" s="1"/>
      <c r="J45" s="1">
        <f t="shared" ca="1" si="6"/>
        <v>15</v>
      </c>
      <c r="K45" s="1">
        <f t="shared" ca="1" si="7"/>
        <v>2.1105949424567516</v>
      </c>
      <c r="L45" s="1">
        <f t="shared" ca="1" si="8"/>
        <v>27</v>
      </c>
      <c r="M45" s="1"/>
      <c r="N45" s="1">
        <f t="shared" ca="1" si="9"/>
        <v>795</v>
      </c>
      <c r="O45" s="1">
        <f t="shared" ca="1" si="10"/>
        <v>31</v>
      </c>
      <c r="P45" s="1"/>
      <c r="Q45" s="1">
        <f t="shared" ca="1" si="11"/>
        <v>2.3162382346635941</v>
      </c>
      <c r="R45" s="1">
        <f t="shared" ca="1" si="12"/>
        <v>481</v>
      </c>
      <c r="S45" s="1"/>
      <c r="T45" s="1">
        <f t="shared" ca="1" si="13"/>
        <v>2.5616316823497718E-2</v>
      </c>
      <c r="U45" s="1">
        <f t="shared" ca="1" si="14"/>
        <v>351</v>
      </c>
      <c r="V45" s="1">
        <f t="shared" ca="1" si="15"/>
        <v>7</v>
      </c>
      <c r="W45" s="1"/>
      <c r="X45" s="1">
        <f t="shared" ca="1" si="16"/>
        <v>0.38073409154701576</v>
      </c>
      <c r="Y45" s="1">
        <f t="shared" ca="1" si="17"/>
        <v>0.82783555801320208</v>
      </c>
      <c r="Z45" s="1">
        <f t="shared" ca="1" si="18"/>
        <v>1478</v>
      </c>
      <c r="AB45" s="1">
        <f t="shared" ca="1" si="19"/>
        <v>6.2901495011504688E-2</v>
      </c>
      <c r="AC45" s="1">
        <f t="shared" ca="1" si="20"/>
        <v>975</v>
      </c>
      <c r="AD45" s="1">
        <f t="shared" ca="1" si="21"/>
        <v>7.0977361639920486E-3</v>
      </c>
      <c r="AE45" s="1"/>
      <c r="AF45" s="1">
        <f t="shared" ca="1" si="22"/>
        <v>0.87968632283606929</v>
      </c>
      <c r="AG45" s="1">
        <f t="shared" ca="1" si="23"/>
        <v>462</v>
      </c>
      <c r="AH45" s="1">
        <f t="shared" ca="1" si="24"/>
        <v>1.5527840613704343E-3</v>
      </c>
      <c r="AJ45" s="1">
        <f t="shared" ca="1" si="25"/>
        <v>0.12910315692274776</v>
      </c>
      <c r="AK45" s="1">
        <f t="shared" ca="1" si="26"/>
        <v>7.9071208568821298E-4</v>
      </c>
      <c r="AL45" s="1"/>
      <c r="AM45" s="1">
        <f t="shared" ca="1" si="27"/>
        <v>0.16287316442175137</v>
      </c>
      <c r="AN45" s="1">
        <f t="shared" ca="1" si="28"/>
        <v>25</v>
      </c>
      <c r="AO45" s="1">
        <f t="shared" ca="1" si="29"/>
        <v>12</v>
      </c>
      <c r="AQ45" s="1">
        <f t="shared" ca="1" si="30"/>
        <v>160</v>
      </c>
      <c r="AR45" s="1">
        <f t="shared" ca="1" si="31"/>
        <v>0</v>
      </c>
      <c r="AS45" s="1">
        <f t="shared" ca="1" si="32"/>
        <v>58</v>
      </c>
      <c r="AU45" s="1">
        <f t="shared" ca="1" si="33"/>
        <v>318</v>
      </c>
      <c r="AV45" s="1">
        <f t="shared" ca="1" si="34"/>
        <v>2</v>
      </c>
      <c r="AW45" s="1">
        <f t="shared" ca="1" si="35"/>
        <v>0.16227470067858868</v>
      </c>
      <c r="AY45" s="1">
        <f t="shared" ca="1" si="36"/>
        <v>1.1770122171043171</v>
      </c>
      <c r="AZ45" s="1">
        <f t="shared" ca="1" si="37"/>
        <v>332</v>
      </c>
      <c r="BA45" s="1">
        <f t="shared" ca="1" si="38"/>
        <v>1.9548047643181193E-3</v>
      </c>
      <c r="BG45" s="1">
        <f t="shared" ca="1" si="39"/>
        <v>0.10272340629271272</v>
      </c>
      <c r="BH45" s="1">
        <f t="shared" ca="1" si="40"/>
        <v>0.64080171508182404</v>
      </c>
      <c r="BI45" s="1">
        <f t="shared" ca="1" si="41"/>
        <v>869</v>
      </c>
      <c r="BV45" s="1">
        <f t="shared" ca="1" si="42"/>
        <v>0.16856139591303629</v>
      </c>
      <c r="BW45" s="1">
        <f t="shared" ca="1" si="43"/>
        <v>116</v>
      </c>
      <c r="BX45" s="1">
        <f t="shared" ca="1" si="44"/>
        <v>6.1711151312213415E-3</v>
      </c>
      <c r="BY45" s="1">
        <f t="shared" ca="1" si="45"/>
        <v>8.2249836170883911E-2</v>
      </c>
      <c r="BZ45" s="1">
        <f t="shared" ca="1" si="46"/>
        <v>0.17231305317609014</v>
      </c>
      <c r="CB45" s="1">
        <f t="shared" ca="1" si="47"/>
        <v>491</v>
      </c>
      <c r="CC45" s="1">
        <f t="shared" ca="1" si="48"/>
        <v>3</v>
      </c>
      <c r="CD45" s="1">
        <f t="shared" ca="1" si="49"/>
        <v>0.22760980824094348</v>
      </c>
      <c r="CE45" s="1">
        <f t="shared" ca="1" si="68"/>
        <v>0.97287989797372787</v>
      </c>
      <c r="CF45" s="1">
        <f t="shared" ca="1" si="68"/>
        <v>0.77476653529950357</v>
      </c>
      <c r="CH45" s="3">
        <f t="shared" ca="1" si="51"/>
        <v>0.80098216279329626</v>
      </c>
      <c r="CI45" s="3">
        <f t="shared" ca="1" si="52"/>
        <v>5.4701681831019512E-2</v>
      </c>
      <c r="CJ45" s="3">
        <f t="shared" ca="1" si="53"/>
        <v>1419</v>
      </c>
      <c r="CK45" s="3">
        <f t="shared" ca="1" si="54"/>
        <v>2.368362793211403E-3</v>
      </c>
      <c r="CL45" s="3">
        <f t="shared" ca="1" si="55"/>
        <v>1</v>
      </c>
      <c r="CM45" s="3"/>
      <c r="CN45" s="1">
        <f t="shared" ca="1" si="56"/>
        <v>9.9730544299424704</v>
      </c>
      <c r="CO45" s="1">
        <f t="shared" ca="1" si="57"/>
        <v>0.34950130279137803</v>
      </c>
      <c r="CP45" s="1">
        <f t="shared" ca="1" si="58"/>
        <v>4</v>
      </c>
      <c r="CV45" s="1">
        <f t="shared" ca="1" si="59"/>
        <v>3.9473487064179924</v>
      </c>
      <c r="CW45" s="1">
        <f t="shared" ca="1" si="60"/>
        <v>1526</v>
      </c>
      <c r="CX45" s="1">
        <f t="shared" ca="1" si="61"/>
        <v>4.401196782716881E-4</v>
      </c>
      <c r="DH45" s="1">
        <f t="shared" ca="1" si="62"/>
        <v>141</v>
      </c>
      <c r="DI45" s="1">
        <f t="shared" ca="1" si="63"/>
        <v>0.96276627624021871</v>
      </c>
      <c r="DJ45" s="1">
        <f t="shared" ca="1" si="64"/>
        <v>26</v>
      </c>
      <c r="DL45" s="1">
        <f t="shared" ca="1" si="65"/>
        <v>3.8429392867976496E-2</v>
      </c>
      <c r="DM45" s="1">
        <f t="shared" ca="1" si="66"/>
        <v>158</v>
      </c>
      <c r="DN45" s="1">
        <f t="shared" ca="1" si="67"/>
        <v>9</v>
      </c>
    </row>
    <row r="46" spans="2:118" x14ac:dyDescent="0.25">
      <c r="B46">
        <f t="shared" ca="1" si="0"/>
        <v>241</v>
      </c>
      <c r="C46">
        <f t="shared" ca="1" si="1"/>
        <v>4</v>
      </c>
      <c r="D46">
        <f t="shared" ca="1" si="2"/>
        <v>0.23211951333108555</v>
      </c>
      <c r="F46" s="1">
        <f t="shared" ca="1" si="3"/>
        <v>15</v>
      </c>
      <c r="G46" s="1">
        <f t="shared" ca="1" si="4"/>
        <v>4</v>
      </c>
      <c r="H46" s="1">
        <f t="shared" ca="1" si="5"/>
        <v>7</v>
      </c>
      <c r="I46" s="1"/>
      <c r="J46" s="1">
        <f t="shared" ca="1" si="6"/>
        <v>30</v>
      </c>
      <c r="K46" s="1">
        <f t="shared" ca="1" si="7"/>
        <v>1.3111221017140533</v>
      </c>
      <c r="L46" s="1">
        <f t="shared" ca="1" si="8"/>
        <v>31</v>
      </c>
      <c r="M46" s="1"/>
      <c r="N46" s="1">
        <f t="shared" ca="1" si="9"/>
        <v>569</v>
      </c>
      <c r="O46" s="1">
        <f t="shared" ca="1" si="10"/>
        <v>22</v>
      </c>
      <c r="P46" s="1"/>
      <c r="Q46" s="1">
        <f t="shared" ca="1" si="11"/>
        <v>3.1172240183470095</v>
      </c>
      <c r="R46" s="1">
        <f t="shared" ca="1" si="12"/>
        <v>571</v>
      </c>
      <c r="S46" s="1"/>
      <c r="T46" s="1">
        <f t="shared" ca="1" si="13"/>
        <v>0.16848234114407001</v>
      </c>
      <c r="U46" s="1">
        <f t="shared" ca="1" si="14"/>
        <v>214</v>
      </c>
      <c r="V46" s="1">
        <f t="shared" ca="1" si="15"/>
        <v>36</v>
      </c>
      <c r="W46" s="1"/>
      <c r="X46" s="1">
        <f t="shared" ca="1" si="16"/>
        <v>1.2384098205018415</v>
      </c>
      <c r="Y46" s="1">
        <f t="shared" ca="1" si="17"/>
        <v>0.37045493876392888</v>
      </c>
      <c r="Z46" s="1">
        <f t="shared" ca="1" si="18"/>
        <v>1170</v>
      </c>
      <c r="AB46" s="1">
        <f t="shared" ca="1" si="19"/>
        <v>0.52599215017268386</v>
      </c>
      <c r="AC46" s="1">
        <f t="shared" ca="1" si="20"/>
        <v>300</v>
      </c>
      <c r="AD46" s="1">
        <f t="shared" ca="1" si="21"/>
        <v>6.7512698235939125E-3</v>
      </c>
      <c r="AE46" s="1"/>
      <c r="AF46" s="1">
        <f t="shared" ca="1" si="22"/>
        <v>0.21076178586883787</v>
      </c>
      <c r="AG46" s="1">
        <f t="shared" ca="1" si="23"/>
        <v>674</v>
      </c>
      <c r="AH46" s="1">
        <f t="shared" ca="1" si="24"/>
        <v>1.0426153303136308E-3</v>
      </c>
      <c r="AJ46" s="1">
        <f t="shared" ca="1" si="25"/>
        <v>0.3918222877179397</v>
      </c>
      <c r="AK46" s="1">
        <f t="shared" ca="1" si="26"/>
        <v>4.1058731075539912E-3</v>
      </c>
      <c r="AL46" s="1"/>
      <c r="AM46" s="1">
        <f t="shared" ca="1" si="27"/>
        <v>1.6427114555952624E-2</v>
      </c>
      <c r="AN46" s="1">
        <f t="shared" ca="1" si="28"/>
        <v>26</v>
      </c>
      <c r="AO46" s="1">
        <f t="shared" ca="1" si="29"/>
        <v>14</v>
      </c>
      <c r="AQ46" s="1">
        <f t="shared" ca="1" si="30"/>
        <v>108</v>
      </c>
      <c r="AR46" s="1">
        <f t="shared" ca="1" si="31"/>
        <v>5</v>
      </c>
      <c r="AS46" s="1">
        <f t="shared" ca="1" si="32"/>
        <v>17</v>
      </c>
      <c r="AU46" s="1">
        <f t="shared" ca="1" si="33"/>
        <v>184</v>
      </c>
      <c r="AV46" s="1">
        <f t="shared" ca="1" si="34"/>
        <v>5</v>
      </c>
      <c r="AW46" s="1">
        <f t="shared" ca="1" si="35"/>
        <v>3.6755975784395337E-2</v>
      </c>
      <c r="AY46" s="1">
        <f t="shared" ca="1" si="36"/>
        <v>1.9597179376733789</v>
      </c>
      <c r="AZ46" s="1">
        <f t="shared" ca="1" si="37"/>
        <v>313</v>
      </c>
      <c r="BA46" s="1">
        <f t="shared" ca="1" si="38"/>
        <v>8.4150427654834537E-3</v>
      </c>
      <c r="BG46" s="1">
        <f t="shared" ca="1" si="39"/>
        <v>0.44852712593916871</v>
      </c>
      <c r="BH46" s="1">
        <f t="shared" ca="1" si="40"/>
        <v>0.65190714627068436</v>
      </c>
      <c r="BI46" s="1">
        <f t="shared" ca="1" si="41"/>
        <v>197</v>
      </c>
      <c r="BV46" s="1">
        <f t="shared" ca="1" si="42"/>
        <v>0.25549037123218465</v>
      </c>
      <c r="BW46" s="1">
        <f t="shared" ca="1" si="43"/>
        <v>724</v>
      </c>
      <c r="BX46" s="1">
        <f t="shared" ca="1" si="44"/>
        <v>7.3143950744681326E-3</v>
      </c>
      <c r="BY46" s="1">
        <f t="shared" ca="1" si="45"/>
        <v>7.332088942230279E-2</v>
      </c>
      <c r="BZ46" s="1">
        <f t="shared" ca="1" si="46"/>
        <v>0.13385913821201367</v>
      </c>
      <c r="CB46" s="1">
        <f t="shared" ca="1" si="47"/>
        <v>434</v>
      </c>
      <c r="CC46" s="1">
        <f t="shared" ca="1" si="48"/>
        <v>9</v>
      </c>
      <c r="CD46" s="1">
        <f t="shared" ca="1" si="49"/>
        <v>8.4447225276054277E-2</v>
      </c>
      <c r="CE46" s="1">
        <f t="shared" ca="1" si="68"/>
        <v>0.82212403322078353</v>
      </c>
      <c r="CF46" s="1">
        <f t="shared" ca="1" si="68"/>
        <v>0.89551011822669158</v>
      </c>
      <c r="CH46" s="3">
        <f t="shared" ca="1" si="51"/>
        <v>0.23788456124551957</v>
      </c>
      <c r="CI46" s="3">
        <f t="shared" ca="1" si="52"/>
        <v>0.39445186833142742</v>
      </c>
      <c r="CJ46" s="3">
        <f t="shared" ca="1" si="53"/>
        <v>1378</v>
      </c>
      <c r="CK46" s="3">
        <f t="shared" ca="1" si="54"/>
        <v>7.5162666337148104E-3</v>
      </c>
      <c r="CL46" s="3">
        <f t="shared" ca="1" si="55"/>
        <v>1</v>
      </c>
      <c r="CM46" s="3"/>
      <c r="CN46" s="1">
        <f t="shared" ca="1" si="56"/>
        <v>10.73996631886031</v>
      </c>
      <c r="CO46" s="1">
        <f t="shared" ca="1" si="57"/>
        <v>8.4872136027032336E-2</v>
      </c>
      <c r="CP46" s="1">
        <f t="shared" ca="1" si="58"/>
        <v>2</v>
      </c>
      <c r="CV46" s="1">
        <f t="shared" ca="1" si="59"/>
        <v>2.2363426761842247</v>
      </c>
      <c r="CW46" s="1">
        <f t="shared" ca="1" si="60"/>
        <v>181</v>
      </c>
      <c r="CX46" s="1">
        <f t="shared" ca="1" si="61"/>
        <v>6.4265401302737745E-4</v>
      </c>
      <c r="DH46" s="1">
        <f t="shared" ca="1" si="62"/>
        <v>316</v>
      </c>
      <c r="DI46" s="1">
        <f t="shared" ca="1" si="63"/>
        <v>0.83196959059701114</v>
      </c>
      <c r="DJ46" s="1">
        <f t="shared" ca="1" si="64"/>
        <v>22</v>
      </c>
      <c r="DL46" s="1">
        <f t="shared" ca="1" si="65"/>
        <v>3.1405745569792157E-2</v>
      </c>
      <c r="DM46" s="1">
        <f t="shared" ca="1" si="66"/>
        <v>254</v>
      </c>
      <c r="DN46" s="1">
        <f t="shared" ca="1" si="67"/>
        <v>4</v>
      </c>
    </row>
    <row r="47" spans="2:118" x14ac:dyDescent="0.25">
      <c r="B47">
        <f t="shared" ca="1" si="0"/>
        <v>80</v>
      </c>
      <c r="C47">
        <f t="shared" ca="1" si="1"/>
        <v>28</v>
      </c>
      <c r="D47">
        <f t="shared" ca="1" si="2"/>
        <v>0.10097842239267084</v>
      </c>
      <c r="F47" s="1">
        <f t="shared" ca="1" si="3"/>
        <v>13</v>
      </c>
      <c r="G47" s="1">
        <f t="shared" ca="1" si="4"/>
        <v>2</v>
      </c>
      <c r="H47" s="1">
        <f t="shared" ca="1" si="5"/>
        <v>12</v>
      </c>
      <c r="I47" s="1"/>
      <c r="J47" s="1">
        <f t="shared" ca="1" si="6"/>
        <v>10</v>
      </c>
      <c r="K47" s="1">
        <f t="shared" ca="1" si="7"/>
        <v>1.5349365315634229</v>
      </c>
      <c r="L47" s="1">
        <f t="shared" ca="1" si="8"/>
        <v>5</v>
      </c>
      <c r="M47" s="1"/>
      <c r="N47" s="1">
        <f t="shared" ca="1" si="9"/>
        <v>981</v>
      </c>
      <c r="O47" s="1">
        <f t="shared" ca="1" si="10"/>
        <v>21</v>
      </c>
      <c r="P47" s="1"/>
      <c r="Q47" s="1">
        <f t="shared" ca="1" si="11"/>
        <v>4.2189404783598334</v>
      </c>
      <c r="R47" s="1">
        <f t="shared" ca="1" si="12"/>
        <v>927</v>
      </c>
      <c r="S47" s="1"/>
      <c r="T47" s="1">
        <f t="shared" ca="1" si="13"/>
        <v>0.11520313188674422</v>
      </c>
      <c r="U47" s="1">
        <f t="shared" ca="1" si="14"/>
        <v>239</v>
      </c>
      <c r="V47" s="1">
        <f t="shared" ca="1" si="15"/>
        <v>25</v>
      </c>
      <c r="W47" s="1"/>
      <c r="X47" s="1">
        <f t="shared" ca="1" si="16"/>
        <v>2.629529754463678</v>
      </c>
      <c r="Y47" s="1">
        <f t="shared" ca="1" si="17"/>
        <v>0.8037511076231677</v>
      </c>
      <c r="Z47" s="1">
        <f t="shared" ca="1" si="18"/>
        <v>1801</v>
      </c>
      <c r="AB47" s="1">
        <f t="shared" ca="1" si="19"/>
        <v>0.18853023376915662</v>
      </c>
      <c r="AC47" s="1">
        <f t="shared" ca="1" si="20"/>
        <v>506</v>
      </c>
      <c r="AD47" s="1">
        <f t="shared" ca="1" si="21"/>
        <v>2.0660329408551457E-3</v>
      </c>
      <c r="AE47" s="1"/>
      <c r="AF47" s="1">
        <f t="shared" ca="1" si="22"/>
        <v>0.27074904133561334</v>
      </c>
      <c r="AG47" s="1">
        <f t="shared" ca="1" si="23"/>
        <v>895</v>
      </c>
      <c r="AH47" s="1">
        <f t="shared" ca="1" si="24"/>
        <v>3.864349235690174E-3</v>
      </c>
      <c r="AJ47" s="1">
        <f t="shared" ca="1" si="25"/>
        <v>0.65951462715699571</v>
      </c>
      <c r="AK47" s="1">
        <f t="shared" ca="1" si="26"/>
        <v>5.9156384078549304E-3</v>
      </c>
      <c r="AL47" s="1"/>
      <c r="AM47" s="1">
        <f t="shared" ca="1" si="27"/>
        <v>0.18995201060108699</v>
      </c>
      <c r="AN47" s="1">
        <f t="shared" ca="1" si="28"/>
        <v>14</v>
      </c>
      <c r="AO47" s="1">
        <f t="shared" ca="1" si="29"/>
        <v>1</v>
      </c>
      <c r="AQ47" s="1">
        <f t="shared" ca="1" si="30"/>
        <v>134</v>
      </c>
      <c r="AR47" s="1">
        <f t="shared" ca="1" si="31"/>
        <v>7</v>
      </c>
      <c r="AS47" s="1">
        <f t="shared" ca="1" si="32"/>
        <v>63</v>
      </c>
      <c r="AU47" s="1">
        <f t="shared" ca="1" si="33"/>
        <v>73</v>
      </c>
      <c r="AV47" s="1">
        <f t="shared" ca="1" si="34"/>
        <v>4</v>
      </c>
      <c r="AW47" s="1">
        <f t="shared" ca="1" si="35"/>
        <v>7.44709888536257E-2</v>
      </c>
      <c r="AY47" s="1">
        <f t="shared" ca="1" si="36"/>
        <v>1.3133400006223468</v>
      </c>
      <c r="AZ47" s="1">
        <f t="shared" ca="1" si="37"/>
        <v>52</v>
      </c>
      <c r="BA47" s="1">
        <f t="shared" ca="1" si="38"/>
        <v>5.7873533839460705E-3</v>
      </c>
      <c r="BG47" s="1">
        <f t="shared" ca="1" si="39"/>
        <v>0.3873228083665371</v>
      </c>
      <c r="BH47" s="1">
        <f t="shared" ca="1" si="40"/>
        <v>0.60641517476564988</v>
      </c>
      <c r="BI47" s="1">
        <f t="shared" ca="1" si="41"/>
        <v>110</v>
      </c>
      <c r="BV47" s="1">
        <f t="shared" ca="1" si="42"/>
        <v>0.55801421284107289</v>
      </c>
      <c r="BW47" s="1">
        <f t="shared" ca="1" si="43"/>
        <v>557</v>
      </c>
      <c r="BX47" s="1">
        <f t="shared" ca="1" si="44"/>
        <v>4.6687456518269199E-3</v>
      </c>
      <c r="BY47" s="1">
        <f t="shared" ca="1" si="45"/>
        <v>1.841021076875176E-2</v>
      </c>
      <c r="BZ47" s="1">
        <f t="shared" ca="1" si="46"/>
        <v>5.1148033882318034E-2</v>
      </c>
      <c r="CB47" s="1">
        <f t="shared" ca="1" si="47"/>
        <v>290</v>
      </c>
      <c r="CC47" s="1">
        <f t="shared" ca="1" si="48"/>
        <v>11</v>
      </c>
      <c r="CD47" s="1">
        <f t="shared" ca="1" si="49"/>
        <v>0.26470098533917386</v>
      </c>
      <c r="CE47" s="1">
        <f t="shared" ca="1" si="68"/>
        <v>0.8561493855372514</v>
      </c>
      <c r="CF47" s="1">
        <f t="shared" ca="1" si="68"/>
        <v>0.70906076399291873</v>
      </c>
      <c r="CH47" s="3">
        <f t="shared" ca="1" si="51"/>
        <v>0.67985436886661321</v>
      </c>
      <c r="CI47" s="3">
        <f t="shared" ca="1" si="52"/>
        <v>0.63562561949353791</v>
      </c>
      <c r="CJ47" s="3">
        <f t="shared" ca="1" si="53"/>
        <v>308</v>
      </c>
      <c r="CK47" s="3">
        <f t="shared" ca="1" si="54"/>
        <v>7.3666689778088975E-4</v>
      </c>
      <c r="CL47" s="3">
        <f t="shared" ca="1" si="55"/>
        <v>0</v>
      </c>
      <c r="CM47" s="3"/>
      <c r="CN47" s="1">
        <f t="shared" ca="1" si="56"/>
        <v>9.3697872409084226</v>
      </c>
      <c r="CO47" s="1">
        <f t="shared" ca="1" si="57"/>
        <v>0.46413533848391669</v>
      </c>
      <c r="CP47" s="1">
        <f t="shared" ca="1" si="58"/>
        <v>4</v>
      </c>
      <c r="CV47" s="1">
        <f t="shared" ca="1" si="59"/>
        <v>0.50998225015083365</v>
      </c>
      <c r="CW47" s="1">
        <f t="shared" ca="1" si="60"/>
        <v>870</v>
      </c>
      <c r="CX47" s="1">
        <f t="shared" ca="1" si="61"/>
        <v>5.6933156518248077E-3</v>
      </c>
      <c r="DH47" s="1">
        <f t="shared" ca="1" si="62"/>
        <v>604</v>
      </c>
      <c r="DI47" s="1">
        <f t="shared" ca="1" si="63"/>
        <v>0.63794002580926812</v>
      </c>
      <c r="DJ47" s="1">
        <f t="shared" ca="1" si="64"/>
        <v>9</v>
      </c>
      <c r="DL47" s="1">
        <f t="shared" ca="1" si="65"/>
        <v>9.6487058253437452E-2</v>
      </c>
      <c r="DM47" s="1">
        <f t="shared" ca="1" si="66"/>
        <v>54</v>
      </c>
      <c r="DN47" s="1">
        <f t="shared" ca="1" si="67"/>
        <v>10</v>
      </c>
    </row>
    <row r="48" spans="2:118" x14ac:dyDescent="0.25">
      <c r="B48">
        <f t="shared" ca="1" si="0"/>
        <v>329</v>
      </c>
      <c r="C48">
        <f t="shared" ca="1" si="1"/>
        <v>41</v>
      </c>
      <c r="D48">
        <f t="shared" ca="1" si="2"/>
        <v>0.26707083712700747</v>
      </c>
      <c r="F48" s="1">
        <f t="shared" ca="1" si="3"/>
        <v>31</v>
      </c>
      <c r="G48" s="1">
        <f t="shared" ca="1" si="4"/>
        <v>13</v>
      </c>
      <c r="H48" s="1">
        <f t="shared" ca="1" si="5"/>
        <v>10</v>
      </c>
      <c r="I48" s="1"/>
      <c r="J48" s="1">
        <f t="shared" ca="1" si="6"/>
        <v>31</v>
      </c>
      <c r="K48" s="1">
        <f t="shared" ca="1" si="7"/>
        <v>2.4005718457425611</v>
      </c>
      <c r="L48" s="1">
        <f t="shared" ca="1" si="8"/>
        <v>8</v>
      </c>
      <c r="M48" s="1"/>
      <c r="N48" s="1">
        <f t="shared" ca="1" si="9"/>
        <v>876</v>
      </c>
      <c r="O48" s="1">
        <f t="shared" ca="1" si="10"/>
        <v>12</v>
      </c>
      <c r="P48" s="1"/>
      <c r="Q48" s="1">
        <f t="shared" ca="1" si="11"/>
        <v>3.2548187676849181</v>
      </c>
      <c r="R48" s="1">
        <f t="shared" ca="1" si="12"/>
        <v>695</v>
      </c>
      <c r="S48" s="1"/>
      <c r="T48" s="1">
        <f t="shared" ca="1" si="13"/>
        <v>9.5853731071542783E-2</v>
      </c>
      <c r="U48" s="1">
        <f t="shared" ca="1" si="14"/>
        <v>275</v>
      </c>
      <c r="V48" s="1">
        <f t="shared" ca="1" si="15"/>
        <v>48</v>
      </c>
      <c r="W48" s="1"/>
      <c r="X48" s="1">
        <f t="shared" ca="1" si="16"/>
        <v>4.7175637778976531</v>
      </c>
      <c r="Y48" s="1">
        <f t="shared" ca="1" si="17"/>
        <v>0.49103864319009255</v>
      </c>
      <c r="Z48" s="1">
        <f t="shared" ca="1" si="18"/>
        <v>1579</v>
      </c>
      <c r="AB48" s="1">
        <f t="shared" ca="1" si="19"/>
        <v>0.51367839536800919</v>
      </c>
      <c r="AC48" s="1">
        <f t="shared" ca="1" si="20"/>
        <v>611</v>
      </c>
      <c r="AD48" s="1">
        <f t="shared" ca="1" si="21"/>
        <v>8.8936960171504056E-3</v>
      </c>
      <c r="AE48" s="1"/>
      <c r="AF48" s="1">
        <f t="shared" ca="1" si="22"/>
        <v>0.25248020572756902</v>
      </c>
      <c r="AG48" s="1">
        <f t="shared" ca="1" si="23"/>
        <v>240</v>
      </c>
      <c r="AH48" s="1">
        <f t="shared" ca="1" si="24"/>
        <v>5.8184305419068921E-3</v>
      </c>
      <c r="AJ48" s="1">
        <f t="shared" ca="1" si="25"/>
        <v>0.12238103563195024</v>
      </c>
      <c r="AK48" s="1">
        <f t="shared" ca="1" si="26"/>
        <v>8.6309899348128299E-3</v>
      </c>
      <c r="AL48" s="1"/>
      <c r="AM48" s="1">
        <f t="shared" ca="1" si="27"/>
        <v>1.8371505383227769E-2</v>
      </c>
      <c r="AN48" s="1">
        <f t="shared" ca="1" si="28"/>
        <v>15</v>
      </c>
      <c r="AO48" s="1">
        <f t="shared" ca="1" si="29"/>
        <v>8</v>
      </c>
      <c r="AQ48" s="1">
        <f t="shared" ca="1" si="30"/>
        <v>59</v>
      </c>
      <c r="AR48" s="1">
        <f t="shared" ca="1" si="31"/>
        <v>8</v>
      </c>
      <c r="AS48" s="1">
        <f t="shared" ca="1" si="32"/>
        <v>3</v>
      </c>
      <c r="AU48" s="1">
        <f t="shared" ca="1" si="33"/>
        <v>163</v>
      </c>
      <c r="AV48" s="1">
        <f t="shared" ca="1" si="34"/>
        <v>3</v>
      </c>
      <c r="AW48" s="1">
        <f t="shared" ca="1" si="35"/>
        <v>0.14286989538844663</v>
      </c>
      <c r="AY48" s="1">
        <f t="shared" ca="1" si="36"/>
        <v>1.7565904375739256</v>
      </c>
      <c r="AZ48" s="1">
        <f t="shared" ca="1" si="37"/>
        <v>397</v>
      </c>
      <c r="BA48" s="1">
        <f t="shared" ca="1" si="38"/>
        <v>1.7408312870613939E-4</v>
      </c>
      <c r="BG48" s="1">
        <f t="shared" ca="1" si="39"/>
        <v>0.12232635828586172</v>
      </c>
      <c r="BH48" s="1">
        <f t="shared" ca="1" si="40"/>
        <v>0.96696769186950982</v>
      </c>
      <c r="BI48" s="1">
        <f t="shared" ca="1" si="41"/>
        <v>645</v>
      </c>
      <c r="BV48" s="1">
        <f t="shared" ca="1" si="42"/>
        <v>1.7581316701576696E-2</v>
      </c>
      <c r="BW48" s="1">
        <f t="shared" ca="1" si="43"/>
        <v>117</v>
      </c>
      <c r="BX48" s="1">
        <f t="shared" ca="1" si="44"/>
        <v>3.4576045189693969E-3</v>
      </c>
      <c r="BY48" s="1">
        <f t="shared" ca="1" si="45"/>
        <v>9.3999993678934274E-2</v>
      </c>
      <c r="BZ48" s="1">
        <f t="shared" ca="1" si="46"/>
        <v>0.65811803462598617</v>
      </c>
      <c r="CB48" s="1">
        <f t="shared" ca="1" si="47"/>
        <v>229</v>
      </c>
      <c r="CC48" s="1">
        <f t="shared" ca="1" si="48"/>
        <v>4</v>
      </c>
      <c r="CD48" s="1">
        <f t="shared" ca="1" si="49"/>
        <v>5.1151263369763375E-2</v>
      </c>
      <c r="CE48" s="1">
        <f t="shared" ca="1" si="68"/>
        <v>0.98950181591354514</v>
      </c>
      <c r="CF48" s="1">
        <f t="shared" ca="1" si="68"/>
        <v>0.97663030682868202</v>
      </c>
      <c r="CH48" s="3">
        <f t="shared" ca="1" si="51"/>
        <v>0.57926564297849148</v>
      </c>
      <c r="CI48" s="3">
        <f t="shared" ca="1" si="52"/>
        <v>0.83916964698503693</v>
      </c>
      <c r="CJ48" s="3">
        <f t="shared" ca="1" si="53"/>
        <v>430</v>
      </c>
      <c r="CK48" s="3">
        <f t="shared" ca="1" si="54"/>
        <v>5.6181070205369096E-3</v>
      </c>
      <c r="CL48" s="3">
        <f t="shared" ca="1" si="55"/>
        <v>1</v>
      </c>
      <c r="CM48" s="3"/>
      <c r="CN48" s="1">
        <f t="shared" ca="1" si="56"/>
        <v>17.247858667777397</v>
      </c>
      <c r="CO48" s="1">
        <f t="shared" ca="1" si="57"/>
        <v>0.26294586283442345</v>
      </c>
      <c r="CP48" s="1">
        <f t="shared" ca="1" si="58"/>
        <v>2</v>
      </c>
      <c r="CV48" s="1">
        <f t="shared" ca="1" si="59"/>
        <v>6.0832842521215884</v>
      </c>
      <c r="CW48" s="1">
        <f t="shared" ca="1" si="60"/>
        <v>1253</v>
      </c>
      <c r="CX48" s="1">
        <f t="shared" ca="1" si="61"/>
        <v>3.9615580632889405E-3</v>
      </c>
      <c r="DH48" s="1">
        <f t="shared" ca="1" si="62"/>
        <v>727</v>
      </c>
      <c r="DI48" s="1">
        <f t="shared" ca="1" si="63"/>
        <v>0.43550017466417529</v>
      </c>
      <c r="DJ48" s="1">
        <f t="shared" ca="1" si="64"/>
        <v>30</v>
      </c>
      <c r="DL48" s="1">
        <f t="shared" ca="1" si="65"/>
        <v>0.13286868068255267</v>
      </c>
      <c r="DM48" s="1">
        <f t="shared" ca="1" si="66"/>
        <v>66</v>
      </c>
      <c r="DN48" s="1">
        <f t="shared" ca="1" si="67"/>
        <v>9</v>
      </c>
    </row>
    <row r="49" spans="2:118" x14ac:dyDescent="0.25">
      <c r="B49">
        <f t="shared" ca="1" si="0"/>
        <v>644</v>
      </c>
      <c r="C49">
        <f t="shared" ca="1" si="1"/>
        <v>3</v>
      </c>
      <c r="D49">
        <f t="shared" ca="1" si="2"/>
        <v>7.3074117541872416E-2</v>
      </c>
      <c r="F49" s="1">
        <f t="shared" ca="1" si="3"/>
        <v>13</v>
      </c>
      <c r="G49" s="1">
        <f t="shared" ca="1" si="4"/>
        <v>27</v>
      </c>
      <c r="H49" s="1">
        <f t="shared" ca="1" si="5"/>
        <v>1</v>
      </c>
      <c r="I49" s="1"/>
      <c r="J49" s="1">
        <f t="shared" ca="1" si="6"/>
        <v>5</v>
      </c>
      <c r="K49" s="1">
        <f t="shared" ca="1" si="7"/>
        <v>2.227727947174146</v>
      </c>
      <c r="L49" s="1">
        <f t="shared" ca="1" si="8"/>
        <v>14</v>
      </c>
      <c r="M49" s="1"/>
      <c r="N49" s="1">
        <f t="shared" ca="1" si="9"/>
        <v>855</v>
      </c>
      <c r="O49" s="1">
        <f t="shared" ca="1" si="10"/>
        <v>2</v>
      </c>
      <c r="P49" s="1"/>
      <c r="Q49" s="1">
        <f t="shared" ca="1" si="11"/>
        <v>1.5011558146308797</v>
      </c>
      <c r="R49" s="1">
        <f t="shared" ca="1" si="12"/>
        <v>579</v>
      </c>
      <c r="S49" s="1"/>
      <c r="T49" s="1">
        <f t="shared" ca="1" si="13"/>
        <v>0.16803968690472781</v>
      </c>
      <c r="U49" s="1">
        <f t="shared" ca="1" si="14"/>
        <v>300</v>
      </c>
      <c r="V49" s="1">
        <f t="shared" ca="1" si="15"/>
        <v>52</v>
      </c>
      <c r="W49" s="1"/>
      <c r="X49" s="1">
        <f t="shared" ca="1" si="16"/>
        <v>8.6684164468026488</v>
      </c>
      <c r="Y49" s="1">
        <f t="shared" ca="1" si="17"/>
        <v>2.8630917562504341E-2</v>
      </c>
      <c r="Z49" s="1">
        <f t="shared" ca="1" si="18"/>
        <v>353</v>
      </c>
      <c r="AB49" s="1">
        <f t="shared" ca="1" si="19"/>
        <v>0.83343946174102068</v>
      </c>
      <c r="AC49" s="1">
        <f t="shared" ca="1" si="20"/>
        <v>844</v>
      </c>
      <c r="AD49" s="1">
        <f t="shared" ca="1" si="21"/>
        <v>1.7217272768819277E-3</v>
      </c>
      <c r="AE49" s="1"/>
      <c r="AF49" s="1">
        <f t="shared" ca="1" si="22"/>
        <v>0.78422023131652119</v>
      </c>
      <c r="AG49" s="1">
        <f t="shared" ca="1" si="23"/>
        <v>776</v>
      </c>
      <c r="AH49" s="1">
        <f t="shared" ca="1" si="24"/>
        <v>7.2268862348216353E-3</v>
      </c>
      <c r="AJ49" s="1">
        <f t="shared" ca="1" si="25"/>
        <v>0.43000608935084084</v>
      </c>
      <c r="AK49" s="1">
        <f t="shared" ca="1" si="26"/>
        <v>9.1165614659535384E-3</v>
      </c>
      <c r="AL49" s="1"/>
      <c r="AM49" s="1">
        <f t="shared" ca="1" si="27"/>
        <v>0.16736114107225666</v>
      </c>
      <c r="AN49" s="1">
        <f t="shared" ca="1" si="28"/>
        <v>68</v>
      </c>
      <c r="AO49" s="1">
        <f t="shared" ca="1" si="29"/>
        <v>13</v>
      </c>
      <c r="AQ49" s="1">
        <f t="shared" ca="1" si="30"/>
        <v>73</v>
      </c>
      <c r="AR49" s="1">
        <f t="shared" ca="1" si="31"/>
        <v>7</v>
      </c>
      <c r="AS49" s="1">
        <f t="shared" ca="1" si="32"/>
        <v>34</v>
      </c>
      <c r="AU49" s="1">
        <f t="shared" ca="1" si="33"/>
        <v>85</v>
      </c>
      <c r="AV49" s="1">
        <f t="shared" ca="1" si="34"/>
        <v>8</v>
      </c>
      <c r="AW49" s="1">
        <f t="shared" ca="1" si="35"/>
        <v>0.19773738902995533</v>
      </c>
      <c r="AY49" s="1">
        <f t="shared" ca="1" si="36"/>
        <v>1.9977137360071799</v>
      </c>
      <c r="AZ49" s="1">
        <f t="shared" ca="1" si="37"/>
        <v>243</v>
      </c>
      <c r="BA49" s="1">
        <f t="shared" ca="1" si="38"/>
        <v>9.1910621090587324E-3</v>
      </c>
      <c r="BG49" s="1">
        <f t="shared" ca="1" si="39"/>
        <v>0.64618956274495853</v>
      </c>
      <c r="BH49" s="1">
        <f t="shared" ca="1" si="40"/>
        <v>0.67426707132019403</v>
      </c>
      <c r="BI49" s="1">
        <f t="shared" ca="1" si="41"/>
        <v>832</v>
      </c>
      <c r="BV49" s="1">
        <f t="shared" ca="1" si="42"/>
        <v>0.48258710743289496</v>
      </c>
      <c r="BW49" s="1">
        <f t="shared" ca="1" si="43"/>
        <v>125</v>
      </c>
      <c r="BX49" s="1">
        <f t="shared" ca="1" si="44"/>
        <v>9.4599717935695583E-3</v>
      </c>
      <c r="BY49" s="1">
        <f t="shared" ca="1" si="45"/>
        <v>7.8423710716187797E-2</v>
      </c>
      <c r="BZ49" s="1">
        <f t="shared" ca="1" si="46"/>
        <v>0.89023829455478709</v>
      </c>
      <c r="CB49" s="1">
        <f t="shared" ca="1" si="47"/>
        <v>318</v>
      </c>
      <c r="CC49" s="1">
        <f t="shared" ca="1" si="48"/>
        <v>8</v>
      </c>
      <c r="CD49" s="1">
        <f t="shared" ca="1" si="49"/>
        <v>0.25532741961754607</v>
      </c>
      <c r="CE49" s="1">
        <f t="shared" ca="1" si="68"/>
        <v>0.61185269042493862</v>
      </c>
      <c r="CF49" s="1">
        <f t="shared" ca="1" si="68"/>
        <v>0.77655358524405016</v>
      </c>
      <c r="CH49" s="3">
        <f t="shared" ca="1" si="51"/>
        <v>0.99824471818167515</v>
      </c>
      <c r="CI49" s="3">
        <f t="shared" ca="1" si="52"/>
        <v>6.608745413114471E-2</v>
      </c>
      <c r="CJ49" s="3">
        <f t="shared" ca="1" si="53"/>
        <v>1575</v>
      </c>
      <c r="CK49" s="3">
        <f t="shared" ca="1" si="54"/>
        <v>7.046020812425351E-3</v>
      </c>
      <c r="CL49" s="3">
        <f t="shared" ca="1" si="55"/>
        <v>1</v>
      </c>
      <c r="CM49" s="3"/>
      <c r="CN49" s="1">
        <f t="shared" ca="1" si="56"/>
        <v>14.767165891799412</v>
      </c>
      <c r="CO49" s="1">
        <f t="shared" ca="1" si="57"/>
        <v>0.43556687876516992</v>
      </c>
      <c r="CP49" s="1">
        <f t="shared" ca="1" si="58"/>
        <v>5</v>
      </c>
      <c r="CV49" s="1">
        <f t="shared" ca="1" si="59"/>
        <v>2.5503629589001644</v>
      </c>
      <c r="CW49" s="1">
        <f t="shared" ca="1" si="60"/>
        <v>387</v>
      </c>
      <c r="CX49" s="1">
        <f t="shared" ca="1" si="61"/>
        <v>6.8022551064093831E-3</v>
      </c>
      <c r="DH49" s="1">
        <f t="shared" ca="1" si="62"/>
        <v>220</v>
      </c>
      <c r="DI49" s="1">
        <f t="shared" ca="1" si="63"/>
        <v>0.6166442175189405</v>
      </c>
      <c r="DJ49" s="1">
        <f t="shared" ca="1" si="64"/>
        <v>7</v>
      </c>
      <c r="DL49" s="1">
        <f t="shared" ca="1" si="65"/>
        <v>0.13492585323524964</v>
      </c>
      <c r="DM49" s="1">
        <f t="shared" ca="1" si="66"/>
        <v>228</v>
      </c>
      <c r="DN49" s="1">
        <f t="shared" ca="1" si="67"/>
        <v>1</v>
      </c>
    </row>
    <row r="50" spans="2:118" x14ac:dyDescent="0.25">
      <c r="B50">
        <f t="shared" ca="1" si="0"/>
        <v>906</v>
      </c>
      <c r="C50">
        <f t="shared" ca="1" si="1"/>
        <v>19</v>
      </c>
      <c r="D50">
        <f t="shared" ca="1" si="2"/>
        <v>5.2765978984880592E-2</v>
      </c>
      <c r="F50" s="1">
        <f t="shared" ca="1" si="3"/>
        <v>36</v>
      </c>
      <c r="G50" s="1">
        <f t="shared" ca="1" si="4"/>
        <v>22</v>
      </c>
      <c r="H50" s="1">
        <f t="shared" ca="1" si="5"/>
        <v>5</v>
      </c>
      <c r="I50" s="1"/>
      <c r="J50" s="1">
        <f t="shared" ca="1" si="6"/>
        <v>29</v>
      </c>
      <c r="K50" s="1">
        <f t="shared" ca="1" si="7"/>
        <v>2.0531984785420336</v>
      </c>
      <c r="L50" s="1">
        <f t="shared" ca="1" si="8"/>
        <v>15</v>
      </c>
      <c r="M50" s="1"/>
      <c r="N50" s="1">
        <f t="shared" ca="1" si="9"/>
        <v>979</v>
      </c>
      <c r="O50" s="1">
        <f t="shared" ca="1" si="10"/>
        <v>24</v>
      </c>
      <c r="P50" s="1"/>
      <c r="Q50" s="1">
        <f t="shared" ca="1" si="11"/>
        <v>0.94612076929898903</v>
      </c>
      <c r="R50" s="1">
        <f t="shared" ca="1" si="12"/>
        <v>670</v>
      </c>
      <c r="S50" s="1"/>
      <c r="T50" s="1">
        <f t="shared" ca="1" si="13"/>
        <v>3.3202191237636562E-2</v>
      </c>
      <c r="U50" s="1">
        <f t="shared" ca="1" si="14"/>
        <v>221</v>
      </c>
      <c r="V50" s="1">
        <f t="shared" ca="1" si="15"/>
        <v>32</v>
      </c>
      <c r="W50" s="1"/>
      <c r="X50" s="1">
        <f t="shared" ca="1" si="16"/>
        <v>3.1787975535536064</v>
      </c>
      <c r="Y50" s="1">
        <f t="shared" ca="1" si="17"/>
        <v>0.15305175067311946</v>
      </c>
      <c r="Z50" s="1">
        <f t="shared" ca="1" si="18"/>
        <v>1725</v>
      </c>
      <c r="AB50" s="1">
        <f t="shared" ca="1" si="19"/>
        <v>0.44554111503252597</v>
      </c>
      <c r="AC50" s="1">
        <f t="shared" ca="1" si="20"/>
        <v>396</v>
      </c>
      <c r="AD50" s="1">
        <f t="shared" ca="1" si="21"/>
        <v>2.9792381867069589E-3</v>
      </c>
      <c r="AE50" s="1"/>
      <c r="AF50" s="1">
        <f t="shared" ca="1" si="22"/>
        <v>0.47296136382439735</v>
      </c>
      <c r="AG50" s="1">
        <f t="shared" ca="1" si="23"/>
        <v>388</v>
      </c>
      <c r="AH50" s="1">
        <f t="shared" ca="1" si="24"/>
        <v>5.2857839134253914E-3</v>
      </c>
      <c r="AJ50" s="1">
        <f t="shared" ca="1" si="25"/>
        <v>0.46350964964315111</v>
      </c>
      <c r="AK50" s="1">
        <f t="shared" ca="1" si="26"/>
        <v>5.0296908430165358E-3</v>
      </c>
      <c r="AL50" s="1"/>
      <c r="AM50" s="1">
        <f t="shared" ca="1" si="27"/>
        <v>5.9002920047338037E-2</v>
      </c>
      <c r="AN50" s="1">
        <f t="shared" ca="1" si="28"/>
        <v>56</v>
      </c>
      <c r="AO50" s="1">
        <f t="shared" ca="1" si="29"/>
        <v>0</v>
      </c>
      <c r="AQ50" s="1">
        <f t="shared" ca="1" si="30"/>
        <v>119</v>
      </c>
      <c r="AR50" s="1">
        <f t="shared" ca="1" si="31"/>
        <v>4</v>
      </c>
      <c r="AS50" s="1">
        <f t="shared" ca="1" si="32"/>
        <v>68</v>
      </c>
      <c r="AU50" s="1">
        <f t="shared" ca="1" si="33"/>
        <v>363</v>
      </c>
      <c r="AV50" s="1">
        <f t="shared" ca="1" si="34"/>
        <v>6</v>
      </c>
      <c r="AW50" s="1">
        <f t="shared" ca="1" si="35"/>
        <v>2.8061554862768359E-2</v>
      </c>
      <c r="AY50" s="1">
        <f t="shared" ca="1" si="36"/>
        <v>1.8251579075204414</v>
      </c>
      <c r="AZ50" s="1">
        <f t="shared" ca="1" si="37"/>
        <v>193</v>
      </c>
      <c r="BA50" s="1">
        <f t="shared" ca="1" si="38"/>
        <v>2.7457433417308421E-3</v>
      </c>
      <c r="BG50" s="1">
        <f t="shared" ca="1" si="39"/>
        <v>0.32587865351521189</v>
      </c>
      <c r="BH50" s="1">
        <f t="shared" ca="1" si="40"/>
        <v>9.0657368669000205E-2</v>
      </c>
      <c r="BI50" s="1">
        <f t="shared" ca="1" si="41"/>
        <v>339</v>
      </c>
      <c r="BV50" s="1">
        <f t="shared" ca="1" si="42"/>
        <v>0.79040631893937741</v>
      </c>
      <c r="BW50" s="1">
        <f t="shared" ca="1" si="43"/>
        <v>967</v>
      </c>
      <c r="BX50" s="1">
        <f t="shared" ca="1" si="44"/>
        <v>4.4338624838875206E-3</v>
      </c>
      <c r="BY50" s="1">
        <f t="shared" ca="1" si="45"/>
        <v>2.455198436785436E-2</v>
      </c>
      <c r="BZ50" s="1">
        <f t="shared" ca="1" si="46"/>
        <v>0.53730286881409173</v>
      </c>
      <c r="CB50" s="1">
        <f t="shared" ca="1" si="47"/>
        <v>236</v>
      </c>
      <c r="CC50" s="1">
        <f t="shared" ca="1" si="48"/>
        <v>12</v>
      </c>
      <c r="CD50" s="1">
        <f t="shared" ca="1" si="49"/>
        <v>0.17107736879440869</v>
      </c>
      <c r="CE50" s="1">
        <f t="shared" ca="1" si="68"/>
        <v>0.52314548890648616</v>
      </c>
      <c r="CF50" s="1">
        <f t="shared" ca="1" si="68"/>
        <v>0.69541080617535145</v>
      </c>
      <c r="CH50" s="3">
        <f t="shared" ca="1" si="51"/>
        <v>6.5686365278170983E-2</v>
      </c>
      <c r="CI50" s="3">
        <f t="shared" ca="1" si="52"/>
        <v>0.97926739207706193</v>
      </c>
      <c r="CJ50" s="3">
        <f t="shared" ca="1" si="53"/>
        <v>1718</v>
      </c>
      <c r="CK50" s="3">
        <f t="shared" ca="1" si="54"/>
        <v>1.1342679183155631E-3</v>
      </c>
      <c r="CL50" s="3">
        <f t="shared" ca="1" si="55"/>
        <v>1</v>
      </c>
      <c r="CM50" s="3"/>
      <c r="CN50" s="1">
        <f t="shared" ca="1" si="56"/>
        <v>15.220032151355431</v>
      </c>
      <c r="CO50" s="1">
        <f t="shared" ca="1" si="57"/>
        <v>0.15202338151044417</v>
      </c>
      <c r="CP50" s="1">
        <f t="shared" ca="1" si="58"/>
        <v>5</v>
      </c>
      <c r="CV50" s="1">
        <f t="shared" ca="1" si="59"/>
        <v>4.887435008534049</v>
      </c>
      <c r="CW50" s="1">
        <f t="shared" ca="1" si="60"/>
        <v>740</v>
      </c>
      <c r="CX50" s="1">
        <f t="shared" ca="1" si="61"/>
        <v>6.2257828402235236E-3</v>
      </c>
      <c r="DH50" s="1">
        <f t="shared" ca="1" si="62"/>
        <v>573</v>
      </c>
      <c r="DI50" s="1">
        <f t="shared" ca="1" si="63"/>
        <v>0.66274658991179114</v>
      </c>
      <c r="DJ50" s="1">
        <f t="shared" ca="1" si="64"/>
        <v>30</v>
      </c>
      <c r="DL50" s="1">
        <f t="shared" ca="1" si="65"/>
        <v>7.9425062110650452E-2</v>
      </c>
      <c r="DM50" s="1">
        <f t="shared" ca="1" si="66"/>
        <v>157</v>
      </c>
      <c r="DN50" s="1">
        <f t="shared" ca="1" si="67"/>
        <v>10</v>
      </c>
    </row>
    <row r="51" spans="2:118" x14ac:dyDescent="0.25">
      <c r="B51">
        <f t="shared" ca="1" si="0"/>
        <v>441</v>
      </c>
      <c r="C51">
        <f t="shared" ca="1" si="1"/>
        <v>52</v>
      </c>
      <c r="D51">
        <f t="shared" ca="1" si="2"/>
        <v>0.28624819950482605</v>
      </c>
      <c r="F51" s="1">
        <f t="shared" ca="1" si="3"/>
        <v>47</v>
      </c>
      <c r="G51" s="1">
        <f t="shared" ca="1" si="4"/>
        <v>22</v>
      </c>
      <c r="H51" s="1">
        <f t="shared" ca="1" si="5"/>
        <v>11</v>
      </c>
      <c r="I51" s="1"/>
      <c r="J51" s="1">
        <f t="shared" ca="1" si="6"/>
        <v>14</v>
      </c>
      <c r="K51" s="1">
        <f t="shared" ca="1" si="7"/>
        <v>2.2104837928933563</v>
      </c>
      <c r="L51" s="1">
        <f t="shared" ca="1" si="8"/>
        <v>10</v>
      </c>
      <c r="M51" s="1"/>
      <c r="N51" s="1">
        <f t="shared" ca="1" si="9"/>
        <v>487</v>
      </c>
      <c r="O51" s="1">
        <f t="shared" ca="1" si="10"/>
        <v>30</v>
      </c>
      <c r="P51" s="1"/>
      <c r="Q51" s="1">
        <f t="shared" ca="1" si="11"/>
        <v>4.2771421033551542</v>
      </c>
      <c r="R51" s="1">
        <f t="shared" ca="1" si="12"/>
        <v>641</v>
      </c>
      <c r="S51" s="1"/>
      <c r="T51" s="1">
        <f t="shared" ca="1" si="13"/>
        <v>4.3137861613170909E-2</v>
      </c>
      <c r="U51" s="1">
        <f t="shared" ca="1" si="14"/>
        <v>448</v>
      </c>
      <c r="V51" s="1">
        <f t="shared" ca="1" si="15"/>
        <v>51</v>
      </c>
      <c r="W51" s="1"/>
      <c r="X51" s="1">
        <f t="shared" ca="1" si="16"/>
        <v>5.8521747808211808</v>
      </c>
      <c r="Y51" s="1">
        <f t="shared" ca="1" si="17"/>
        <v>0.66986819416076959</v>
      </c>
      <c r="Z51" s="1">
        <f t="shared" ca="1" si="18"/>
        <v>1665</v>
      </c>
      <c r="AB51" s="1">
        <f t="shared" ca="1" si="19"/>
        <v>0.21415927227298356</v>
      </c>
      <c r="AC51" s="1">
        <f t="shared" ca="1" si="20"/>
        <v>291</v>
      </c>
      <c r="AD51" s="1">
        <f t="shared" ca="1" si="21"/>
        <v>8.2552259710974053E-4</v>
      </c>
      <c r="AE51" s="1"/>
      <c r="AF51" s="1">
        <f t="shared" ca="1" si="22"/>
        <v>0.60023782436252104</v>
      </c>
      <c r="AG51" s="1">
        <f t="shared" ca="1" si="23"/>
        <v>600</v>
      </c>
      <c r="AH51" s="1">
        <f t="shared" ca="1" si="24"/>
        <v>9.4573602185396202E-3</v>
      </c>
      <c r="AJ51" s="1">
        <f t="shared" ca="1" si="25"/>
        <v>0.5941937548499876</v>
      </c>
      <c r="AK51" s="1">
        <f t="shared" ca="1" si="26"/>
        <v>5.1489473985338848E-3</v>
      </c>
      <c r="AL51" s="1"/>
      <c r="AM51" s="1">
        <f t="shared" ca="1" si="27"/>
        <v>8.9705932953517351E-2</v>
      </c>
      <c r="AN51" s="1">
        <f t="shared" ca="1" si="28"/>
        <v>62</v>
      </c>
      <c r="AO51" s="1">
        <f t="shared" ca="1" si="29"/>
        <v>14</v>
      </c>
      <c r="AQ51" s="1">
        <f t="shared" ca="1" si="30"/>
        <v>79</v>
      </c>
      <c r="AR51" s="1">
        <f t="shared" ca="1" si="31"/>
        <v>5</v>
      </c>
      <c r="AS51" s="1">
        <f t="shared" ca="1" si="32"/>
        <v>97</v>
      </c>
      <c r="AU51" s="1">
        <f t="shared" ca="1" si="33"/>
        <v>120</v>
      </c>
      <c r="AV51" s="1">
        <f t="shared" ca="1" si="34"/>
        <v>4</v>
      </c>
      <c r="AW51" s="1">
        <f t="shared" ca="1" si="35"/>
        <v>6.5503739693027169E-2</v>
      </c>
      <c r="AY51" s="1">
        <f t="shared" ca="1" si="36"/>
        <v>1.3836853964739162</v>
      </c>
      <c r="AZ51" s="1">
        <f t="shared" ca="1" si="37"/>
        <v>148</v>
      </c>
      <c r="BA51" s="1">
        <f t="shared" ca="1" si="38"/>
        <v>2.0702686721408795E-3</v>
      </c>
      <c r="BG51" s="1">
        <f t="shared" ca="1" si="39"/>
        <v>0.27013506551867711</v>
      </c>
      <c r="BH51" s="1">
        <f t="shared" ca="1" si="40"/>
        <v>9.6356364577179443E-2</v>
      </c>
      <c r="BI51" s="1">
        <f t="shared" ca="1" si="41"/>
        <v>943</v>
      </c>
      <c r="BV51" s="1">
        <f t="shared" ca="1" si="42"/>
        <v>2.8143280883801424E-2</v>
      </c>
      <c r="BW51" s="1">
        <f t="shared" ca="1" si="43"/>
        <v>474</v>
      </c>
      <c r="BX51" s="1">
        <f t="shared" ca="1" si="44"/>
        <v>3.5426395795717146E-3</v>
      </c>
      <c r="BY51" s="1">
        <f t="shared" ca="1" si="45"/>
        <v>8.3666101791356431E-2</v>
      </c>
      <c r="BZ51" s="1">
        <f t="shared" ca="1" si="46"/>
        <v>0.42502058781304219</v>
      </c>
      <c r="CB51" s="1">
        <f t="shared" ca="1" si="47"/>
        <v>336</v>
      </c>
      <c r="CC51" s="1">
        <f t="shared" ca="1" si="48"/>
        <v>15</v>
      </c>
      <c r="CD51" s="1">
        <f t="shared" ca="1" si="49"/>
        <v>0.17518634006288761</v>
      </c>
      <c r="CE51" s="1">
        <f t="shared" ca="1" si="68"/>
        <v>0.65552127845483465</v>
      </c>
      <c r="CF51" s="1">
        <f t="shared" ca="1" si="68"/>
        <v>0.53836308145177814</v>
      </c>
      <c r="CH51" s="3">
        <f t="shared" ca="1" si="51"/>
        <v>0.28037469849715668</v>
      </c>
      <c r="CI51" s="3">
        <f t="shared" ca="1" si="52"/>
        <v>0.26271766972408467</v>
      </c>
      <c r="CJ51" s="3">
        <f t="shared" ca="1" si="53"/>
        <v>1449</v>
      </c>
      <c r="CK51" s="3">
        <f t="shared" ca="1" si="54"/>
        <v>7.6452110963049127E-3</v>
      </c>
      <c r="CL51" s="3">
        <f t="shared" ca="1" si="55"/>
        <v>1</v>
      </c>
      <c r="CM51" s="3"/>
      <c r="CN51" s="1">
        <f t="shared" ca="1" si="56"/>
        <v>7.4943094495632785</v>
      </c>
      <c r="CO51" s="1">
        <f t="shared" ca="1" si="57"/>
        <v>0.1953766108050915</v>
      </c>
      <c r="CP51" s="1">
        <f t="shared" ca="1" si="58"/>
        <v>1</v>
      </c>
      <c r="CV51" s="1">
        <f t="shared" ca="1" si="59"/>
        <v>4.6347424313160035</v>
      </c>
      <c r="CW51" s="1">
        <f t="shared" ca="1" si="60"/>
        <v>1532</v>
      </c>
      <c r="CX51" s="1">
        <f t="shared" ca="1" si="61"/>
        <v>2.4483651101918537E-4</v>
      </c>
      <c r="DH51" s="1">
        <f t="shared" ca="1" si="62"/>
        <v>660</v>
      </c>
      <c r="DI51" s="1">
        <f t="shared" ca="1" si="63"/>
        <v>0.25738977131782154</v>
      </c>
      <c r="DJ51" s="1">
        <f t="shared" ca="1" si="64"/>
        <v>26</v>
      </c>
      <c r="DL51" s="1">
        <f t="shared" ca="1" si="65"/>
        <v>6.6181019934456922E-2</v>
      </c>
      <c r="DM51" s="1">
        <f t="shared" ca="1" si="66"/>
        <v>152</v>
      </c>
      <c r="DN51" s="1">
        <f t="shared" ca="1" si="67"/>
        <v>6</v>
      </c>
    </row>
    <row r="52" spans="2:118" x14ac:dyDescent="0.25">
      <c r="B52">
        <f t="shared" ca="1" si="0"/>
        <v>221</v>
      </c>
      <c r="C52">
        <f t="shared" ca="1" si="1"/>
        <v>20</v>
      </c>
      <c r="D52">
        <f t="shared" ca="1" si="2"/>
        <v>0.16345981266159823</v>
      </c>
      <c r="F52" s="1">
        <f t="shared" ca="1" si="3"/>
        <v>3</v>
      </c>
      <c r="G52" s="1">
        <f t="shared" ca="1" si="4"/>
        <v>26</v>
      </c>
      <c r="H52" s="1">
        <f t="shared" ca="1" si="5"/>
        <v>13</v>
      </c>
      <c r="I52" s="1"/>
      <c r="J52" s="1">
        <f t="shared" ca="1" si="6"/>
        <v>6</v>
      </c>
      <c r="K52" s="1">
        <f t="shared" ca="1" si="7"/>
        <v>2.2873232736703413</v>
      </c>
      <c r="L52" s="1">
        <f t="shared" ca="1" si="8"/>
        <v>11</v>
      </c>
      <c r="M52" s="1"/>
      <c r="N52" s="1">
        <f t="shared" ca="1" si="9"/>
        <v>380</v>
      </c>
      <c r="O52" s="1">
        <f t="shared" ca="1" si="10"/>
        <v>12</v>
      </c>
      <c r="P52" s="1"/>
      <c r="Q52" s="1">
        <f t="shared" ca="1" si="11"/>
        <v>0.2526045976230939</v>
      </c>
      <c r="R52" s="1">
        <f t="shared" ca="1" si="12"/>
        <v>351</v>
      </c>
      <c r="S52" s="1"/>
      <c r="T52" s="1">
        <f t="shared" ca="1" si="13"/>
        <v>1.93716059480422E-2</v>
      </c>
      <c r="U52" s="1">
        <f t="shared" ca="1" si="14"/>
        <v>70</v>
      </c>
      <c r="V52" s="1">
        <f t="shared" ca="1" si="15"/>
        <v>39</v>
      </c>
      <c r="W52" s="1"/>
      <c r="X52" s="1">
        <f t="shared" ca="1" si="16"/>
        <v>8.115160457750779</v>
      </c>
      <c r="Y52" s="1">
        <f t="shared" ca="1" si="17"/>
        <v>0.77959778178186667</v>
      </c>
      <c r="Z52" s="1">
        <f t="shared" ca="1" si="18"/>
        <v>1887</v>
      </c>
      <c r="AB52" s="1">
        <f t="shared" ca="1" si="19"/>
        <v>0.54762372312960539</v>
      </c>
      <c r="AC52" s="1">
        <f t="shared" ca="1" si="20"/>
        <v>765</v>
      </c>
      <c r="AD52" s="1">
        <f t="shared" ca="1" si="21"/>
        <v>2.691709405759708E-3</v>
      </c>
      <c r="AE52" s="1"/>
      <c r="AF52" s="1">
        <f t="shared" ca="1" si="22"/>
        <v>0.26317266017645996</v>
      </c>
      <c r="AG52" s="1">
        <f t="shared" ca="1" si="23"/>
        <v>526</v>
      </c>
      <c r="AH52" s="1">
        <f t="shared" ca="1" si="24"/>
        <v>2.2147089742999664E-3</v>
      </c>
      <c r="AJ52" s="1">
        <f t="shared" ca="1" si="25"/>
        <v>0.94114316394211939</v>
      </c>
      <c r="AK52" s="1">
        <f t="shared" ca="1" si="26"/>
        <v>5.8876147220522938E-4</v>
      </c>
      <c r="AL52" s="1"/>
      <c r="AM52" s="1">
        <f t="shared" ca="1" si="27"/>
        <v>0.10829017371166451</v>
      </c>
      <c r="AN52" s="1">
        <f t="shared" ca="1" si="28"/>
        <v>29</v>
      </c>
      <c r="AO52" s="1">
        <f t="shared" ca="1" si="29"/>
        <v>13</v>
      </c>
      <c r="AQ52" s="1">
        <f t="shared" ca="1" si="30"/>
        <v>161</v>
      </c>
      <c r="AR52" s="1">
        <f t="shared" ca="1" si="31"/>
        <v>1</v>
      </c>
      <c r="AS52" s="1">
        <f t="shared" ca="1" si="32"/>
        <v>49</v>
      </c>
      <c r="AU52" s="1">
        <f t="shared" ca="1" si="33"/>
        <v>303</v>
      </c>
      <c r="AV52" s="1">
        <f t="shared" ca="1" si="34"/>
        <v>9</v>
      </c>
      <c r="AW52" s="1">
        <f t="shared" ca="1" si="35"/>
        <v>0.16108393985568811</v>
      </c>
      <c r="AY52" s="1">
        <f t="shared" ca="1" si="36"/>
        <v>1.8027880015133002</v>
      </c>
      <c r="AZ52" s="1">
        <f t="shared" ca="1" si="37"/>
        <v>194</v>
      </c>
      <c r="BA52" s="1">
        <f t="shared" ca="1" si="38"/>
        <v>7.0315499858111426E-3</v>
      </c>
      <c r="BG52" s="1">
        <f t="shared" ca="1" si="39"/>
        <v>2.7668292833267712E-2</v>
      </c>
      <c r="BH52" s="1">
        <f t="shared" ca="1" si="40"/>
        <v>0.78980570218144475</v>
      </c>
      <c r="BI52" s="1">
        <f t="shared" ca="1" si="41"/>
        <v>208</v>
      </c>
      <c r="BV52" s="1">
        <f t="shared" ca="1" si="42"/>
        <v>0.48362258441833067</v>
      </c>
      <c r="BW52" s="1">
        <f t="shared" ca="1" si="43"/>
        <v>823</v>
      </c>
      <c r="BX52" s="1">
        <f t="shared" ca="1" si="44"/>
        <v>2.9212785746511559E-3</v>
      </c>
      <c r="BY52" s="1">
        <f t="shared" ca="1" si="45"/>
        <v>7.8664466258441618E-2</v>
      </c>
      <c r="BZ52" s="1">
        <f t="shared" ca="1" si="46"/>
        <v>4.258193537995747E-2</v>
      </c>
      <c r="CB52" s="1">
        <f t="shared" ca="1" si="47"/>
        <v>239</v>
      </c>
      <c r="CC52" s="1">
        <f t="shared" ca="1" si="48"/>
        <v>11</v>
      </c>
      <c r="CD52" s="1">
        <f t="shared" ca="1" si="49"/>
        <v>1.0040368672350338E-2</v>
      </c>
      <c r="CE52" s="1">
        <f t="shared" ca="1" si="68"/>
        <v>0.54611771160351386</v>
      </c>
      <c r="CF52" s="1">
        <f t="shared" ca="1" si="68"/>
        <v>0.51359374086929566</v>
      </c>
      <c r="CH52" s="3">
        <f t="shared" ca="1" si="51"/>
        <v>0.84940730891282601</v>
      </c>
      <c r="CI52" s="3">
        <f t="shared" ca="1" si="52"/>
        <v>0.16635669330753203</v>
      </c>
      <c r="CJ52" s="3">
        <f t="shared" ca="1" si="53"/>
        <v>119</v>
      </c>
      <c r="CK52" s="3">
        <f t="shared" ca="1" si="54"/>
        <v>6.9756094755838525E-3</v>
      </c>
      <c r="CL52" s="3">
        <f t="shared" ca="1" si="55"/>
        <v>0</v>
      </c>
      <c r="CM52" s="3"/>
      <c r="CN52" s="1">
        <f t="shared" ca="1" si="56"/>
        <v>9.696664005746193</v>
      </c>
      <c r="CO52" s="1">
        <f t="shared" ca="1" si="57"/>
        <v>0.22942903106414267</v>
      </c>
      <c r="CP52" s="1">
        <f t="shared" ca="1" si="58"/>
        <v>1</v>
      </c>
      <c r="CV52" s="1">
        <f t="shared" ca="1" si="59"/>
        <v>9.1900616908015351</v>
      </c>
      <c r="CW52" s="1">
        <f t="shared" ca="1" si="60"/>
        <v>1244</v>
      </c>
      <c r="CX52" s="1">
        <f t="shared" ca="1" si="61"/>
        <v>9.7249237426853229E-3</v>
      </c>
      <c r="DH52" s="1">
        <f t="shared" ca="1" si="62"/>
        <v>852</v>
      </c>
      <c r="DI52" s="1">
        <f t="shared" ca="1" si="63"/>
        <v>0.75478812106091964</v>
      </c>
      <c r="DJ52" s="1">
        <f t="shared" ca="1" si="64"/>
        <v>20</v>
      </c>
      <c r="DL52" s="1">
        <f t="shared" ca="1" si="65"/>
        <v>7.7173285693430432E-2</v>
      </c>
      <c r="DM52" s="1">
        <f t="shared" ca="1" si="66"/>
        <v>59</v>
      </c>
      <c r="DN52" s="1">
        <f t="shared" ca="1" si="67"/>
        <v>1</v>
      </c>
    </row>
    <row r="53" spans="2:118" x14ac:dyDescent="0.25">
      <c r="B53">
        <f t="shared" ca="1" si="0"/>
        <v>847</v>
      </c>
      <c r="C53">
        <f t="shared" ca="1" si="1"/>
        <v>4</v>
      </c>
      <c r="D53">
        <f t="shared" ca="1" si="2"/>
        <v>0.24962482825945359</v>
      </c>
      <c r="F53" s="1">
        <f t="shared" ca="1" si="3"/>
        <v>30</v>
      </c>
      <c r="G53" s="1">
        <f t="shared" ca="1" si="4"/>
        <v>12</v>
      </c>
      <c r="H53" s="1">
        <f t="shared" ca="1" si="5"/>
        <v>1</v>
      </c>
      <c r="I53" s="1"/>
      <c r="J53" s="1">
        <f t="shared" ca="1" si="6"/>
        <v>21</v>
      </c>
      <c r="K53" s="1">
        <f t="shared" ca="1" si="7"/>
        <v>2.4639816140036892</v>
      </c>
      <c r="L53" s="1">
        <f t="shared" ca="1" si="8"/>
        <v>3</v>
      </c>
      <c r="M53" s="1"/>
      <c r="N53" s="1">
        <f t="shared" ca="1" si="9"/>
        <v>989</v>
      </c>
      <c r="O53" s="1">
        <f t="shared" ca="1" si="10"/>
        <v>6</v>
      </c>
      <c r="P53" s="1"/>
      <c r="Q53" s="1">
        <f t="shared" ca="1" si="11"/>
        <v>0.99748577450891629</v>
      </c>
      <c r="R53" s="1">
        <f t="shared" ca="1" si="12"/>
        <v>1146</v>
      </c>
      <c r="S53" s="1"/>
      <c r="T53" s="1">
        <f t="shared" ca="1" si="13"/>
        <v>9.9244874644520753E-2</v>
      </c>
      <c r="U53" s="1">
        <f t="shared" ca="1" si="14"/>
        <v>316</v>
      </c>
      <c r="V53" s="1">
        <f t="shared" ca="1" si="15"/>
        <v>22</v>
      </c>
      <c r="W53" s="1"/>
      <c r="X53" s="1">
        <f t="shared" ca="1" si="16"/>
        <v>9.5056472460705184</v>
      </c>
      <c r="Y53" s="1">
        <f t="shared" ca="1" si="17"/>
        <v>6.8941981909090575E-3</v>
      </c>
      <c r="Z53" s="1">
        <f t="shared" ca="1" si="18"/>
        <v>1688</v>
      </c>
      <c r="AB53" s="1">
        <f t="shared" ca="1" si="19"/>
        <v>0.3930719384991529</v>
      </c>
      <c r="AC53" s="1">
        <f t="shared" ca="1" si="20"/>
        <v>895</v>
      </c>
      <c r="AD53" s="1">
        <f t="shared" ca="1" si="21"/>
        <v>9.1377336054219351E-3</v>
      </c>
      <c r="AE53" s="1"/>
      <c r="AF53" s="1">
        <f t="shared" ca="1" si="22"/>
        <v>0.12667390140737</v>
      </c>
      <c r="AG53" s="1">
        <f t="shared" ca="1" si="23"/>
        <v>139</v>
      </c>
      <c r="AH53" s="1">
        <f t="shared" ca="1" si="24"/>
        <v>6.0028373895852872E-3</v>
      </c>
      <c r="AJ53" s="1">
        <f t="shared" ca="1" si="25"/>
        <v>0.70038335192131629</v>
      </c>
      <c r="AK53" s="1">
        <f t="shared" ca="1" si="26"/>
        <v>7.4621127561522362E-3</v>
      </c>
      <c r="AL53" s="1"/>
      <c r="AM53" s="1">
        <f t="shared" ca="1" si="27"/>
        <v>9.97176879580184E-3</v>
      </c>
      <c r="AN53" s="1">
        <f t="shared" ca="1" si="28"/>
        <v>78</v>
      </c>
      <c r="AO53" s="1">
        <f t="shared" ca="1" si="29"/>
        <v>3</v>
      </c>
      <c r="AQ53" s="1">
        <f t="shared" ca="1" si="30"/>
        <v>108</v>
      </c>
      <c r="AR53" s="1">
        <f t="shared" ca="1" si="31"/>
        <v>10</v>
      </c>
      <c r="AS53" s="1">
        <f t="shared" ca="1" si="32"/>
        <v>96</v>
      </c>
      <c r="AU53" s="1">
        <f t="shared" ca="1" si="33"/>
        <v>253</v>
      </c>
      <c r="AV53" s="1">
        <f t="shared" ca="1" si="34"/>
        <v>8</v>
      </c>
      <c r="AW53" s="1">
        <f t="shared" ca="1" si="35"/>
        <v>3.6509269706246468E-2</v>
      </c>
      <c r="AY53" s="1">
        <f t="shared" ca="1" si="36"/>
        <v>1.8484938475010284</v>
      </c>
      <c r="AZ53" s="1">
        <f t="shared" ca="1" si="37"/>
        <v>275</v>
      </c>
      <c r="BA53" s="1">
        <f t="shared" ca="1" si="38"/>
        <v>4.4026283052496958E-3</v>
      </c>
      <c r="BG53" s="1">
        <f t="shared" ca="1" si="39"/>
        <v>0.87684039378895828</v>
      </c>
      <c r="BH53" s="1">
        <f t="shared" ca="1" si="40"/>
        <v>0.91667471086350427</v>
      </c>
      <c r="BI53" s="1">
        <f t="shared" ca="1" si="41"/>
        <v>872</v>
      </c>
      <c r="BV53" s="1">
        <f t="shared" ca="1" si="42"/>
        <v>0.45203579568907071</v>
      </c>
      <c r="BW53" s="1">
        <f t="shared" ca="1" si="43"/>
        <v>118</v>
      </c>
      <c r="BX53" s="1">
        <f t="shared" ca="1" si="44"/>
        <v>5.2576166534529321E-3</v>
      </c>
      <c r="BY53" s="1">
        <f t="shared" ca="1" si="45"/>
        <v>3.5855909080924633E-2</v>
      </c>
      <c r="BZ53" s="1">
        <f t="shared" ca="1" si="46"/>
        <v>0.2655262453799353</v>
      </c>
      <c r="CB53" s="1">
        <f t="shared" ca="1" si="47"/>
        <v>375</v>
      </c>
      <c r="CC53" s="1">
        <f t="shared" ca="1" si="48"/>
        <v>11</v>
      </c>
      <c r="CD53" s="1">
        <f t="shared" ca="1" si="49"/>
        <v>5.2841375179306475E-2</v>
      </c>
      <c r="CE53" s="1">
        <f t="shared" ca="1" si="68"/>
        <v>0.67613859489834516</v>
      </c>
      <c r="CF53" s="1">
        <f t="shared" ca="1" si="68"/>
        <v>0.80009910293797581</v>
      </c>
      <c r="CH53" s="3">
        <f t="shared" ca="1" si="51"/>
        <v>0.52201478868873097</v>
      </c>
      <c r="CI53" s="3">
        <f t="shared" ca="1" si="52"/>
        <v>0.63738665713215803</v>
      </c>
      <c r="CJ53" s="3">
        <f t="shared" ca="1" si="53"/>
        <v>1963</v>
      </c>
      <c r="CK53" s="3">
        <f t="shared" ca="1" si="54"/>
        <v>1.9857395438134416E-6</v>
      </c>
      <c r="CL53" s="3">
        <f t="shared" ca="1" si="55"/>
        <v>1</v>
      </c>
      <c r="CM53" s="3"/>
      <c r="CN53" s="1">
        <f t="shared" ca="1" si="56"/>
        <v>17.931254828029601</v>
      </c>
      <c r="CO53" s="1">
        <f t="shared" ca="1" si="57"/>
        <v>0.37918153270639016</v>
      </c>
      <c r="CP53" s="1">
        <f t="shared" ca="1" si="58"/>
        <v>2</v>
      </c>
      <c r="CV53" s="1">
        <f t="shared" ca="1" si="59"/>
        <v>3.0263065555662223</v>
      </c>
      <c r="CW53" s="1">
        <f t="shared" ca="1" si="60"/>
        <v>1176</v>
      </c>
      <c r="CX53" s="1">
        <f t="shared" ca="1" si="61"/>
        <v>4.8776957190321078E-3</v>
      </c>
      <c r="DH53" s="1">
        <f t="shared" ca="1" si="62"/>
        <v>553</v>
      </c>
      <c r="DI53" s="1">
        <f t="shared" ca="1" si="63"/>
        <v>0.2764722013807675</v>
      </c>
      <c r="DJ53" s="1">
        <f t="shared" ca="1" si="64"/>
        <v>12</v>
      </c>
      <c r="DL53" s="1">
        <f t="shared" ca="1" si="65"/>
        <v>1.0235128649885072E-2</v>
      </c>
      <c r="DM53" s="1">
        <f t="shared" ca="1" si="66"/>
        <v>284</v>
      </c>
      <c r="DN53" s="1">
        <f t="shared" ca="1" si="67"/>
        <v>6</v>
      </c>
    </row>
    <row r="54" spans="2:118" x14ac:dyDescent="0.25">
      <c r="B54">
        <f t="shared" ca="1" si="0"/>
        <v>739</v>
      </c>
      <c r="C54">
        <f t="shared" ca="1" si="1"/>
        <v>51</v>
      </c>
      <c r="D54">
        <f t="shared" ca="1" si="2"/>
        <v>1.272411049895846E-2</v>
      </c>
      <c r="F54" s="1">
        <f t="shared" ca="1" si="3"/>
        <v>6</v>
      </c>
      <c r="G54" s="1">
        <f t="shared" ca="1" si="4"/>
        <v>8</v>
      </c>
      <c r="H54" s="1">
        <f t="shared" ca="1" si="5"/>
        <v>6</v>
      </c>
      <c r="I54" s="1"/>
      <c r="J54" s="1">
        <f t="shared" ca="1" si="6"/>
        <v>14</v>
      </c>
      <c r="K54" s="1">
        <f t="shared" ca="1" si="7"/>
        <v>1.6530758838328603</v>
      </c>
      <c r="L54" s="1">
        <f t="shared" ca="1" si="8"/>
        <v>23</v>
      </c>
      <c r="M54" s="1"/>
      <c r="N54" s="1">
        <f t="shared" ca="1" si="9"/>
        <v>343</v>
      </c>
      <c r="O54" s="1">
        <f t="shared" ca="1" si="10"/>
        <v>15</v>
      </c>
      <c r="P54" s="1"/>
      <c r="Q54" s="1">
        <f t="shared" ca="1" si="11"/>
        <v>1.5638690618220685</v>
      </c>
      <c r="R54" s="1">
        <f t="shared" ca="1" si="12"/>
        <v>671</v>
      </c>
      <c r="S54" s="1"/>
      <c r="T54" s="1">
        <f t="shared" ca="1" si="13"/>
        <v>0.12266484741736734</v>
      </c>
      <c r="U54" s="1">
        <f t="shared" ca="1" si="14"/>
        <v>103</v>
      </c>
      <c r="V54" s="1">
        <f t="shared" ca="1" si="15"/>
        <v>28</v>
      </c>
      <c r="W54" s="1"/>
      <c r="X54" s="1">
        <f t="shared" ca="1" si="16"/>
        <v>2.8824785306965253</v>
      </c>
      <c r="Y54" s="1">
        <f t="shared" ca="1" si="17"/>
        <v>0.61829707804240408</v>
      </c>
      <c r="Z54" s="1">
        <f t="shared" ca="1" si="18"/>
        <v>345</v>
      </c>
      <c r="AB54" s="1">
        <f t="shared" ca="1" si="19"/>
        <v>0.20888128376770115</v>
      </c>
      <c r="AC54" s="1">
        <f t="shared" ca="1" si="20"/>
        <v>906</v>
      </c>
      <c r="AD54" s="1">
        <f t="shared" ca="1" si="21"/>
        <v>2.6220474524953725E-3</v>
      </c>
      <c r="AE54" s="1"/>
      <c r="AF54" s="1">
        <f t="shared" ca="1" si="22"/>
        <v>0.72351668141122782</v>
      </c>
      <c r="AG54" s="1">
        <f t="shared" ca="1" si="23"/>
        <v>794</v>
      </c>
      <c r="AH54" s="1">
        <f t="shared" ca="1" si="24"/>
        <v>1.3320891223106452E-3</v>
      </c>
      <c r="AJ54" s="1">
        <f t="shared" ca="1" si="25"/>
        <v>0.76673757449264557</v>
      </c>
      <c r="AK54" s="1">
        <f t="shared" ca="1" si="26"/>
        <v>7.6493945463883403E-3</v>
      </c>
      <c r="AL54" s="1"/>
      <c r="AM54" s="1">
        <f t="shared" ca="1" si="27"/>
        <v>0.1550712342460363</v>
      </c>
      <c r="AN54" s="1">
        <f t="shared" ca="1" si="28"/>
        <v>19</v>
      </c>
      <c r="AO54" s="1">
        <f t="shared" ca="1" si="29"/>
        <v>12</v>
      </c>
      <c r="AQ54" s="1">
        <f t="shared" ca="1" si="30"/>
        <v>60</v>
      </c>
      <c r="AR54" s="1">
        <f t="shared" ca="1" si="31"/>
        <v>6</v>
      </c>
      <c r="AS54" s="1">
        <f t="shared" ca="1" si="32"/>
        <v>51</v>
      </c>
      <c r="AU54" s="1">
        <f t="shared" ca="1" si="33"/>
        <v>226</v>
      </c>
      <c r="AV54" s="1">
        <f t="shared" ca="1" si="34"/>
        <v>7</v>
      </c>
      <c r="AW54" s="1">
        <f t="shared" ca="1" si="35"/>
        <v>2.8139388461294379E-2</v>
      </c>
      <c r="AY54" s="1">
        <f t="shared" ca="1" si="36"/>
        <v>1.4735177549450771</v>
      </c>
      <c r="AZ54" s="1">
        <f t="shared" ca="1" si="37"/>
        <v>483</v>
      </c>
      <c r="BA54" s="1">
        <f t="shared" ca="1" si="38"/>
        <v>6.8014958319439686E-4</v>
      </c>
      <c r="BG54" s="1">
        <f t="shared" ca="1" si="39"/>
        <v>0.67345078710494222</v>
      </c>
      <c r="BH54" s="1">
        <f t="shared" ca="1" si="40"/>
        <v>0.45918116665898701</v>
      </c>
      <c r="BI54" s="1">
        <f t="shared" ca="1" si="41"/>
        <v>858</v>
      </c>
      <c r="BV54" s="1">
        <f t="shared" ca="1" si="42"/>
        <v>0.98792791140236591</v>
      </c>
      <c r="BW54" s="1">
        <f t="shared" ca="1" si="43"/>
        <v>737</v>
      </c>
      <c r="BX54" s="1">
        <f t="shared" ca="1" si="44"/>
        <v>1.730096672827453E-3</v>
      </c>
      <c r="BY54" s="1">
        <f t="shared" ca="1" si="45"/>
        <v>8.0975624068635402E-3</v>
      </c>
      <c r="BZ54" s="1">
        <f t="shared" ca="1" si="46"/>
        <v>0.66520150943231726</v>
      </c>
      <c r="CB54" s="1">
        <f t="shared" ca="1" si="47"/>
        <v>124</v>
      </c>
      <c r="CC54" s="1">
        <f t="shared" ca="1" si="48"/>
        <v>6</v>
      </c>
      <c r="CD54" s="1">
        <f t="shared" ca="1" si="49"/>
        <v>0.18123936108510355</v>
      </c>
      <c r="CE54" s="1">
        <f t="shared" ca="1" si="68"/>
        <v>0.89404301261142138</v>
      </c>
      <c r="CF54" s="1">
        <f t="shared" ca="1" si="68"/>
        <v>0.71369376735505541</v>
      </c>
      <c r="CH54" s="3">
        <f t="shared" ca="1" si="51"/>
        <v>0.48469568074216141</v>
      </c>
      <c r="CI54" s="3">
        <f t="shared" ca="1" si="52"/>
        <v>0.62487311842726667</v>
      </c>
      <c r="CJ54" s="3">
        <f t="shared" ca="1" si="53"/>
        <v>1999</v>
      </c>
      <c r="CK54" s="3">
        <f t="shared" ca="1" si="54"/>
        <v>4.5654505826662776E-3</v>
      </c>
      <c r="CL54" s="3">
        <f t="shared" ca="1" si="55"/>
        <v>1</v>
      </c>
      <c r="CM54" s="3"/>
      <c r="CN54" s="1">
        <f t="shared" ca="1" si="56"/>
        <v>2.5808152165766338</v>
      </c>
      <c r="CO54" s="1">
        <f t="shared" ca="1" si="57"/>
        <v>0.39115589067064388</v>
      </c>
      <c r="CP54" s="1">
        <f t="shared" ca="1" si="58"/>
        <v>1</v>
      </c>
      <c r="CV54" s="1">
        <f t="shared" ca="1" si="59"/>
        <v>9.1516602477166629</v>
      </c>
      <c r="CW54" s="1">
        <f t="shared" ca="1" si="60"/>
        <v>493</v>
      </c>
      <c r="CX54" s="1">
        <f t="shared" ca="1" si="61"/>
        <v>2.5448996286715551E-3</v>
      </c>
      <c r="DH54" s="1">
        <f t="shared" ca="1" si="62"/>
        <v>116</v>
      </c>
      <c r="DI54" s="1">
        <f t="shared" ca="1" si="63"/>
        <v>0.11775798922315422</v>
      </c>
      <c r="DJ54" s="1">
        <f t="shared" ca="1" si="64"/>
        <v>12</v>
      </c>
      <c r="DL54" s="1">
        <f t="shared" ca="1" si="65"/>
        <v>0.19993635614504809</v>
      </c>
      <c r="DM54" s="1">
        <f t="shared" ca="1" si="66"/>
        <v>213</v>
      </c>
      <c r="DN54" s="1">
        <f t="shared" ca="1" si="67"/>
        <v>6</v>
      </c>
    </row>
    <row r="55" spans="2:118" x14ac:dyDescent="0.25">
      <c r="B55">
        <f t="shared" ca="1" si="0"/>
        <v>494</v>
      </c>
      <c r="C55">
        <f t="shared" ca="1" si="1"/>
        <v>11</v>
      </c>
      <c r="D55">
        <f t="shared" ca="1" si="2"/>
        <v>0.1055752639687849</v>
      </c>
      <c r="F55" s="1">
        <f t="shared" ca="1" si="3"/>
        <v>29</v>
      </c>
      <c r="G55" s="1">
        <f t="shared" ca="1" si="4"/>
        <v>22</v>
      </c>
      <c r="H55" s="1">
        <f t="shared" ca="1" si="5"/>
        <v>2</v>
      </c>
      <c r="I55" s="1"/>
      <c r="J55" s="1">
        <f t="shared" ca="1" si="6"/>
        <v>16</v>
      </c>
      <c r="K55" s="1">
        <f t="shared" ca="1" si="7"/>
        <v>1.0844879909211933</v>
      </c>
      <c r="L55" s="1">
        <f t="shared" ca="1" si="8"/>
        <v>35</v>
      </c>
      <c r="M55" s="1"/>
      <c r="N55" s="1">
        <f t="shared" ca="1" si="9"/>
        <v>63</v>
      </c>
      <c r="O55" s="1">
        <f t="shared" ca="1" si="10"/>
        <v>20</v>
      </c>
      <c r="P55" s="1"/>
      <c r="Q55" s="1">
        <f t="shared" ca="1" si="11"/>
        <v>4.5826278566838177</v>
      </c>
      <c r="R55" s="1">
        <f t="shared" ca="1" si="12"/>
        <v>1012</v>
      </c>
      <c r="S55" s="1"/>
      <c r="T55" s="1">
        <f t="shared" ca="1" si="13"/>
        <v>0.16856797024133521</v>
      </c>
      <c r="U55" s="1">
        <f t="shared" ca="1" si="14"/>
        <v>86</v>
      </c>
      <c r="V55" s="1">
        <f t="shared" ca="1" si="15"/>
        <v>31</v>
      </c>
      <c r="W55" s="1"/>
      <c r="X55" s="1">
        <f t="shared" ca="1" si="16"/>
        <v>2.9700961585321228</v>
      </c>
      <c r="Y55" s="1">
        <f t="shared" ca="1" si="17"/>
        <v>5.2197350504975697E-2</v>
      </c>
      <c r="Z55" s="1">
        <f t="shared" ca="1" si="18"/>
        <v>312</v>
      </c>
      <c r="AB55" s="1">
        <f t="shared" ca="1" si="19"/>
        <v>0.85738394583292366</v>
      </c>
      <c r="AC55" s="1">
        <f t="shared" ca="1" si="20"/>
        <v>747</v>
      </c>
      <c r="AD55" s="1">
        <f t="shared" ca="1" si="21"/>
        <v>4.7714806434327013E-4</v>
      </c>
      <c r="AE55" s="1"/>
      <c r="AF55" s="1">
        <f t="shared" ca="1" si="22"/>
        <v>0.67901696419723934</v>
      </c>
      <c r="AG55" s="1">
        <f t="shared" ca="1" si="23"/>
        <v>124</v>
      </c>
      <c r="AH55" s="1">
        <f t="shared" ca="1" si="24"/>
        <v>5.5791178914753039E-3</v>
      </c>
      <c r="AJ55" s="1">
        <f t="shared" ca="1" si="25"/>
        <v>0.26102203197530227</v>
      </c>
      <c r="AK55" s="1">
        <f t="shared" ca="1" si="26"/>
        <v>5.2299364434628967E-3</v>
      </c>
      <c r="AL55" s="1"/>
      <c r="AM55" s="1">
        <f t="shared" ca="1" si="27"/>
        <v>8.4059866641997813E-2</v>
      </c>
      <c r="AN55" s="1">
        <f t="shared" ca="1" si="28"/>
        <v>68</v>
      </c>
      <c r="AO55" s="1">
        <f t="shared" ca="1" si="29"/>
        <v>18</v>
      </c>
      <c r="AQ55" s="1">
        <f t="shared" ca="1" si="30"/>
        <v>118</v>
      </c>
      <c r="AR55" s="1">
        <f t="shared" ca="1" si="31"/>
        <v>1</v>
      </c>
      <c r="AS55" s="1">
        <f t="shared" ca="1" si="32"/>
        <v>1</v>
      </c>
      <c r="AU55" s="1">
        <f t="shared" ca="1" si="33"/>
        <v>300</v>
      </c>
      <c r="AV55" s="1">
        <f t="shared" ca="1" si="34"/>
        <v>4</v>
      </c>
      <c r="AW55" s="1">
        <f t="shared" ca="1" si="35"/>
        <v>0.16675566589001808</v>
      </c>
      <c r="AY55" s="1">
        <f t="shared" ca="1" si="36"/>
        <v>1.2904582939254661</v>
      </c>
      <c r="AZ55" s="1">
        <f t="shared" ca="1" si="37"/>
        <v>499</v>
      </c>
      <c r="BA55" s="1">
        <f t="shared" ca="1" si="38"/>
        <v>4.9824472376107038E-3</v>
      </c>
      <c r="BG55" s="1">
        <f t="shared" ca="1" si="39"/>
        <v>0.69309829281478974</v>
      </c>
      <c r="BH55" s="1">
        <f t="shared" ca="1" si="40"/>
        <v>0.29682575530210897</v>
      </c>
      <c r="BI55" s="1">
        <f t="shared" ca="1" si="41"/>
        <v>744</v>
      </c>
      <c r="BV55" s="1">
        <f t="shared" ca="1" si="42"/>
        <v>0.7411384660758108</v>
      </c>
      <c r="BW55" s="1">
        <f t="shared" ca="1" si="43"/>
        <v>167</v>
      </c>
      <c r="BX55" s="1">
        <f t="shared" ca="1" si="44"/>
        <v>6.0644029782318375E-3</v>
      </c>
      <c r="BY55" s="1">
        <f t="shared" ca="1" si="45"/>
        <v>3.7145442834533159E-2</v>
      </c>
      <c r="BZ55" s="1">
        <f t="shared" ca="1" si="46"/>
        <v>7.5908245620266435E-2</v>
      </c>
      <c r="CB55" s="1">
        <f t="shared" ca="1" si="47"/>
        <v>486</v>
      </c>
      <c r="CC55" s="1">
        <f t="shared" ca="1" si="48"/>
        <v>8</v>
      </c>
      <c r="CD55" s="1">
        <f t="shared" ca="1" si="49"/>
        <v>0.16393282608709586</v>
      </c>
      <c r="CE55" s="1">
        <f t="shared" ca="1" si="68"/>
        <v>0.81944410126185463</v>
      </c>
      <c r="CF55" s="1">
        <f t="shared" ca="1" si="68"/>
        <v>0.78828114637715707</v>
      </c>
      <c r="CH55" s="3">
        <f t="shared" ca="1" si="51"/>
        <v>0.82991287914042555</v>
      </c>
      <c r="CI55" s="3">
        <f t="shared" ca="1" si="52"/>
        <v>0.77821221748355152</v>
      </c>
      <c r="CJ55" s="3">
        <f t="shared" ca="1" si="53"/>
        <v>676</v>
      </c>
      <c r="CK55" s="3">
        <f t="shared" ca="1" si="54"/>
        <v>7.8096328368988978E-3</v>
      </c>
      <c r="CL55" s="3">
        <f t="shared" ca="1" si="55"/>
        <v>0</v>
      </c>
      <c r="CM55" s="3"/>
      <c r="CN55" s="1">
        <f t="shared" ca="1" si="56"/>
        <v>6.9301063901290991</v>
      </c>
      <c r="CO55" s="1">
        <f t="shared" ca="1" si="57"/>
        <v>0.3560202643239132</v>
      </c>
      <c r="CP55" s="1">
        <f t="shared" ca="1" si="58"/>
        <v>1</v>
      </c>
      <c r="CV55" s="1">
        <f t="shared" ca="1" si="59"/>
        <v>5.3809156629838393</v>
      </c>
      <c r="CW55" s="1">
        <f t="shared" ca="1" si="60"/>
        <v>653</v>
      </c>
      <c r="CX55" s="1">
        <f t="shared" ca="1" si="61"/>
        <v>9.6204246511916636E-5</v>
      </c>
      <c r="DH55" s="1">
        <f t="shared" ca="1" si="62"/>
        <v>311</v>
      </c>
      <c r="DI55" s="1">
        <f t="shared" ca="1" si="63"/>
        <v>0.25676422089345463</v>
      </c>
      <c r="DJ55" s="1">
        <f t="shared" ca="1" si="64"/>
        <v>6</v>
      </c>
      <c r="DL55" s="1">
        <f t="shared" ca="1" si="65"/>
        <v>0.1954756377466548</v>
      </c>
      <c r="DM55" s="1">
        <f t="shared" ca="1" si="66"/>
        <v>290</v>
      </c>
      <c r="DN55" s="1">
        <f t="shared" ca="1" si="67"/>
        <v>5</v>
      </c>
    </row>
    <row r="56" spans="2:118" x14ac:dyDescent="0.25">
      <c r="B56">
        <f t="shared" ca="1" si="0"/>
        <v>639</v>
      </c>
      <c r="C56">
        <f t="shared" ca="1" si="1"/>
        <v>45</v>
      </c>
      <c r="D56">
        <f t="shared" ca="1" si="2"/>
        <v>0.28812606517942535</v>
      </c>
      <c r="F56" s="1">
        <f t="shared" ca="1" si="3"/>
        <v>42</v>
      </c>
      <c r="G56" s="1">
        <f t="shared" ca="1" si="4"/>
        <v>24</v>
      </c>
      <c r="H56" s="1">
        <f t="shared" ca="1" si="5"/>
        <v>7</v>
      </c>
      <c r="I56" s="1"/>
      <c r="J56" s="1">
        <f t="shared" ca="1" si="6"/>
        <v>30</v>
      </c>
      <c r="K56" s="1">
        <f t="shared" ca="1" si="7"/>
        <v>1.0006799143362575</v>
      </c>
      <c r="L56" s="1">
        <f t="shared" ca="1" si="8"/>
        <v>26</v>
      </c>
      <c r="M56" s="1"/>
      <c r="N56" s="1">
        <f t="shared" ca="1" si="9"/>
        <v>941</v>
      </c>
      <c r="O56" s="1">
        <f t="shared" ca="1" si="10"/>
        <v>16</v>
      </c>
      <c r="P56" s="1"/>
      <c r="Q56" s="1">
        <f t="shared" ca="1" si="11"/>
        <v>4.1926908684212103</v>
      </c>
      <c r="R56" s="1">
        <f t="shared" ca="1" si="12"/>
        <v>1012</v>
      </c>
      <c r="S56" s="1"/>
      <c r="T56" s="1">
        <f t="shared" ca="1" si="13"/>
        <v>0.12686026999337066</v>
      </c>
      <c r="U56" s="1">
        <f t="shared" ca="1" si="14"/>
        <v>85</v>
      </c>
      <c r="V56" s="1">
        <f t="shared" ca="1" si="15"/>
        <v>13</v>
      </c>
      <c r="W56" s="1"/>
      <c r="X56" s="1">
        <f t="shared" ca="1" si="16"/>
        <v>5.5940280254760433</v>
      </c>
      <c r="Y56" s="1">
        <f t="shared" ca="1" si="17"/>
        <v>0.5189506184519298</v>
      </c>
      <c r="Z56" s="1">
        <f t="shared" ca="1" si="18"/>
        <v>333</v>
      </c>
      <c r="AB56" s="1">
        <f t="shared" ca="1" si="19"/>
        <v>0.29511945855678229</v>
      </c>
      <c r="AC56" s="1">
        <f t="shared" ca="1" si="20"/>
        <v>834</v>
      </c>
      <c r="AD56" s="1">
        <f t="shared" ca="1" si="21"/>
        <v>1.0378154371822941E-3</v>
      </c>
      <c r="AE56" s="1"/>
      <c r="AF56" s="1">
        <f t="shared" ca="1" si="22"/>
        <v>0.2409204219322704</v>
      </c>
      <c r="AG56" s="1">
        <f t="shared" ca="1" si="23"/>
        <v>686</v>
      </c>
      <c r="AH56" s="1">
        <f t="shared" ca="1" si="24"/>
        <v>7.4439229406837422E-3</v>
      </c>
      <c r="AJ56" s="1">
        <f t="shared" ca="1" si="25"/>
        <v>0.39460130073124211</v>
      </c>
      <c r="AK56" s="1">
        <f t="shared" ca="1" si="26"/>
        <v>7.8026476215975957E-3</v>
      </c>
      <c r="AL56" s="1"/>
      <c r="AM56" s="1">
        <f t="shared" ca="1" si="27"/>
        <v>0.14595390748985629</v>
      </c>
      <c r="AN56" s="1">
        <f t="shared" ca="1" si="28"/>
        <v>54</v>
      </c>
      <c r="AO56" s="1">
        <f t="shared" ca="1" si="29"/>
        <v>18</v>
      </c>
      <c r="AQ56" s="1">
        <f t="shared" ca="1" si="30"/>
        <v>65</v>
      </c>
      <c r="AR56" s="1">
        <f t="shared" ca="1" si="31"/>
        <v>7</v>
      </c>
      <c r="AS56" s="1">
        <f t="shared" ca="1" si="32"/>
        <v>10</v>
      </c>
      <c r="AU56" s="1">
        <f t="shared" ca="1" si="33"/>
        <v>372</v>
      </c>
      <c r="AV56" s="1">
        <f t="shared" ca="1" si="34"/>
        <v>8</v>
      </c>
      <c r="AW56" s="1">
        <f t="shared" ca="1" si="35"/>
        <v>0.19422666618487619</v>
      </c>
      <c r="AY56" s="1">
        <f t="shared" ca="1" si="36"/>
        <v>1.5595494651113671</v>
      </c>
      <c r="AZ56" s="1">
        <f t="shared" ca="1" si="37"/>
        <v>447</v>
      </c>
      <c r="BA56" s="1">
        <f t="shared" ca="1" si="38"/>
        <v>9.7594314326752869E-3</v>
      </c>
      <c r="BG56" s="1">
        <f t="shared" ca="1" si="39"/>
        <v>0.78045379874492571</v>
      </c>
      <c r="BH56" s="1">
        <f t="shared" ca="1" si="40"/>
        <v>0.16263449584549461</v>
      </c>
      <c r="BI56" s="1">
        <f t="shared" ca="1" si="41"/>
        <v>976</v>
      </c>
      <c r="BV56" s="1">
        <f t="shared" ca="1" si="42"/>
        <v>0.14813045606327327</v>
      </c>
      <c r="BW56" s="1">
        <f t="shared" ca="1" si="43"/>
        <v>966</v>
      </c>
      <c r="BX56" s="1">
        <f t="shared" ca="1" si="44"/>
        <v>1.2916801886848669E-3</v>
      </c>
      <c r="BY56" s="1">
        <f t="shared" ca="1" si="45"/>
        <v>2.1869517041378274E-2</v>
      </c>
      <c r="BZ56" s="1">
        <f t="shared" ca="1" si="46"/>
        <v>0.60253385838363094</v>
      </c>
      <c r="CB56" s="1">
        <f t="shared" ca="1" si="47"/>
        <v>233</v>
      </c>
      <c r="CC56" s="1">
        <f t="shared" ca="1" si="48"/>
        <v>11</v>
      </c>
      <c r="CD56" s="1">
        <f t="shared" ca="1" si="49"/>
        <v>0.10044225795259205</v>
      </c>
      <c r="CE56" s="1">
        <f t="shared" ca="1" si="68"/>
        <v>0.96884680789247646</v>
      </c>
      <c r="CF56" s="1">
        <f t="shared" ca="1" si="68"/>
        <v>0.65023123589316234</v>
      </c>
      <c r="CH56" s="3">
        <f t="shared" ca="1" si="51"/>
        <v>0.33419510906018662</v>
      </c>
      <c r="CI56" s="3">
        <f t="shared" ca="1" si="52"/>
        <v>0.35707869885881255</v>
      </c>
      <c r="CJ56" s="3">
        <f t="shared" ca="1" si="53"/>
        <v>738</v>
      </c>
      <c r="CK56" s="3">
        <f t="shared" ca="1" si="54"/>
        <v>5.1066521126615872E-3</v>
      </c>
      <c r="CL56" s="3">
        <f t="shared" ca="1" si="55"/>
        <v>1</v>
      </c>
      <c r="CM56" s="3"/>
      <c r="CN56" s="1">
        <f t="shared" ca="1" si="56"/>
        <v>15.448940058214726</v>
      </c>
      <c r="CO56" s="1">
        <f t="shared" ca="1" si="57"/>
        <v>0.25967557365560817</v>
      </c>
      <c r="CP56" s="1">
        <f t="shared" ca="1" si="58"/>
        <v>2</v>
      </c>
      <c r="CV56" s="1">
        <f t="shared" ca="1" si="59"/>
        <v>6.3534455756509928E-2</v>
      </c>
      <c r="CW56" s="1">
        <f t="shared" ca="1" si="60"/>
        <v>1403</v>
      </c>
      <c r="CX56" s="1">
        <f t="shared" ca="1" si="61"/>
        <v>1.1659311729336882E-3</v>
      </c>
      <c r="DH56" s="1">
        <f t="shared" ca="1" si="62"/>
        <v>296</v>
      </c>
      <c r="DI56" s="1">
        <f t="shared" ca="1" si="63"/>
        <v>0.75861511738596321</v>
      </c>
      <c r="DJ56" s="1">
        <f t="shared" ca="1" si="64"/>
        <v>8</v>
      </c>
      <c r="DL56" s="1">
        <f t="shared" ca="1" si="65"/>
        <v>1.037957177652301E-2</v>
      </c>
      <c r="DM56" s="1">
        <f t="shared" ca="1" si="66"/>
        <v>183</v>
      </c>
      <c r="DN56" s="1">
        <f t="shared" ca="1" si="67"/>
        <v>6</v>
      </c>
    </row>
    <row r="57" spans="2:118" x14ac:dyDescent="0.25">
      <c r="B57">
        <f t="shared" ca="1" si="0"/>
        <v>943</v>
      </c>
      <c r="C57">
        <f t="shared" ca="1" si="1"/>
        <v>19</v>
      </c>
      <c r="D57">
        <f t="shared" ca="1" si="2"/>
        <v>7.4838555684122121E-2</v>
      </c>
      <c r="F57" s="1">
        <f t="shared" ca="1" si="3"/>
        <v>28</v>
      </c>
      <c r="G57" s="1">
        <f t="shared" ca="1" si="4"/>
        <v>26</v>
      </c>
      <c r="H57" s="1">
        <f t="shared" ca="1" si="5"/>
        <v>4</v>
      </c>
      <c r="I57" s="1"/>
      <c r="J57" s="1">
        <f t="shared" ca="1" si="6"/>
        <v>12</v>
      </c>
      <c r="K57" s="1">
        <f t="shared" ca="1" si="7"/>
        <v>2.9399513736710228</v>
      </c>
      <c r="L57" s="1">
        <f t="shared" ca="1" si="8"/>
        <v>8</v>
      </c>
      <c r="M57" s="1"/>
      <c r="N57" s="1">
        <f t="shared" ca="1" si="9"/>
        <v>978</v>
      </c>
      <c r="O57" s="1">
        <f t="shared" ca="1" si="10"/>
        <v>51</v>
      </c>
      <c r="P57" s="1"/>
      <c r="Q57" s="1">
        <f t="shared" ca="1" si="11"/>
        <v>0.86445114563232761</v>
      </c>
      <c r="R57" s="1">
        <f t="shared" ca="1" si="12"/>
        <v>884</v>
      </c>
      <c r="S57" s="1"/>
      <c r="T57" s="1">
        <f t="shared" ca="1" si="13"/>
        <v>0.15934252953102143</v>
      </c>
      <c r="U57" s="1">
        <f t="shared" ca="1" si="14"/>
        <v>300</v>
      </c>
      <c r="V57" s="1">
        <f t="shared" ca="1" si="15"/>
        <v>20</v>
      </c>
      <c r="W57" s="1"/>
      <c r="X57" s="1">
        <f t="shared" ca="1" si="16"/>
        <v>1.3572068428292217</v>
      </c>
      <c r="Y57" s="1">
        <f t="shared" ca="1" si="17"/>
        <v>0.75050154355668597</v>
      </c>
      <c r="Z57" s="1">
        <f t="shared" ca="1" si="18"/>
        <v>1820</v>
      </c>
      <c r="AB57" s="1">
        <f t="shared" ca="1" si="19"/>
        <v>0.92259308632859283</v>
      </c>
      <c r="AC57" s="1">
        <f t="shared" ca="1" si="20"/>
        <v>916</v>
      </c>
      <c r="AD57" s="1">
        <f t="shared" ca="1" si="21"/>
        <v>1.9671963856498888E-3</v>
      </c>
      <c r="AE57" s="1"/>
      <c r="AF57" s="1">
        <f t="shared" ca="1" si="22"/>
        <v>0.44130349087764775</v>
      </c>
      <c r="AG57" s="1">
        <f t="shared" ca="1" si="23"/>
        <v>728</v>
      </c>
      <c r="AH57" s="1">
        <f t="shared" ca="1" si="24"/>
        <v>1.8205503389335557E-3</v>
      </c>
      <c r="AJ57" s="1">
        <f t="shared" ca="1" si="25"/>
        <v>0.3500629096262714</v>
      </c>
      <c r="AK57" s="1">
        <f t="shared" ca="1" si="26"/>
        <v>6.6583489592909103E-3</v>
      </c>
      <c r="AL57" s="1"/>
      <c r="AM57" s="1">
        <f t="shared" ca="1" si="27"/>
        <v>6.9434131818946018E-2</v>
      </c>
      <c r="AN57" s="1">
        <f t="shared" ca="1" si="28"/>
        <v>40</v>
      </c>
      <c r="AO57" s="1">
        <f t="shared" ca="1" si="29"/>
        <v>3</v>
      </c>
      <c r="AQ57" s="1">
        <f t="shared" ca="1" si="30"/>
        <v>84</v>
      </c>
      <c r="AR57" s="1">
        <f t="shared" ca="1" si="31"/>
        <v>2</v>
      </c>
      <c r="AS57" s="1">
        <f t="shared" ca="1" si="32"/>
        <v>58</v>
      </c>
      <c r="AU57" s="1">
        <f t="shared" ca="1" si="33"/>
        <v>170</v>
      </c>
      <c r="AV57" s="1">
        <f t="shared" ca="1" si="34"/>
        <v>4</v>
      </c>
      <c r="AW57" s="1">
        <f t="shared" ca="1" si="35"/>
        <v>0.17395450973492141</v>
      </c>
      <c r="AY57" s="1">
        <f t="shared" ca="1" si="36"/>
        <v>1.6918251306976626</v>
      </c>
      <c r="AZ57" s="1">
        <f t="shared" ca="1" si="37"/>
        <v>437</v>
      </c>
      <c r="BA57" s="1">
        <f t="shared" ca="1" si="38"/>
        <v>4.762489884647318E-3</v>
      </c>
      <c r="BG57" s="1">
        <f t="shared" ca="1" si="39"/>
        <v>0.25324342158422092</v>
      </c>
      <c r="BH57" s="1">
        <f t="shared" ca="1" si="40"/>
        <v>0.47857412026231361</v>
      </c>
      <c r="BI57" s="1">
        <f t="shared" ca="1" si="41"/>
        <v>468</v>
      </c>
      <c r="BV57" s="1">
        <f t="shared" ca="1" si="42"/>
        <v>0.78466243691192761</v>
      </c>
      <c r="BW57" s="1">
        <f t="shared" ca="1" si="43"/>
        <v>738</v>
      </c>
      <c r="BX57" s="1">
        <f t="shared" ca="1" si="44"/>
        <v>1.173808077374179E-3</v>
      </c>
      <c r="BY57" s="1">
        <f t="shared" ca="1" si="45"/>
        <v>9.0209009740809129E-2</v>
      </c>
      <c r="BZ57" s="1">
        <f t="shared" ca="1" si="46"/>
        <v>0.42671414982887967</v>
      </c>
      <c r="CB57" s="1">
        <f t="shared" ca="1" si="47"/>
        <v>56</v>
      </c>
      <c r="CC57" s="1">
        <f t="shared" ca="1" si="48"/>
        <v>15</v>
      </c>
      <c r="CD57" s="1">
        <f t="shared" ca="1" si="49"/>
        <v>0.25139676079392076</v>
      </c>
      <c r="CE57" s="1">
        <f t="shared" ca="1" si="68"/>
        <v>0.79371720957631497</v>
      </c>
      <c r="CF57" s="1">
        <f t="shared" ca="1" si="68"/>
        <v>0.93461587975569071</v>
      </c>
      <c r="CH57" s="3">
        <f t="shared" ca="1" si="51"/>
        <v>0.48610261816550421</v>
      </c>
      <c r="CI57" s="3">
        <f t="shared" ca="1" si="52"/>
        <v>0.70588276121846971</v>
      </c>
      <c r="CJ57" s="3">
        <f t="shared" ca="1" si="53"/>
        <v>921</v>
      </c>
      <c r="CK57" s="3">
        <f t="shared" ca="1" si="54"/>
        <v>6.9434870389265425E-4</v>
      </c>
      <c r="CL57" s="3">
        <f t="shared" ca="1" si="55"/>
        <v>1</v>
      </c>
      <c r="CM57" s="3"/>
      <c r="CN57" s="1">
        <f t="shared" ca="1" si="56"/>
        <v>6.4075882348139883</v>
      </c>
      <c r="CO57" s="1">
        <f t="shared" ca="1" si="57"/>
        <v>0.36758803703703863</v>
      </c>
      <c r="CP57" s="1">
        <f t="shared" ca="1" si="58"/>
        <v>5</v>
      </c>
      <c r="CV57" s="1">
        <f t="shared" ca="1" si="59"/>
        <v>4.3059671407730606</v>
      </c>
      <c r="CW57" s="1">
        <f t="shared" ca="1" si="60"/>
        <v>1328</v>
      </c>
      <c r="CX57" s="1">
        <f t="shared" ca="1" si="61"/>
        <v>9.8326588763214765E-3</v>
      </c>
      <c r="DH57" s="1">
        <f t="shared" ca="1" si="62"/>
        <v>154</v>
      </c>
      <c r="DI57" s="1">
        <f t="shared" ca="1" si="63"/>
        <v>0.23315124660798195</v>
      </c>
      <c r="DJ57" s="1">
        <f t="shared" ca="1" si="64"/>
        <v>1</v>
      </c>
      <c r="DL57" s="1">
        <f t="shared" ca="1" si="65"/>
        <v>2.2562621986511436E-2</v>
      </c>
      <c r="DM57" s="1">
        <f t="shared" ca="1" si="66"/>
        <v>195</v>
      </c>
      <c r="DN57" s="1">
        <f t="shared" ca="1" si="67"/>
        <v>5</v>
      </c>
    </row>
    <row r="58" spans="2:118" x14ac:dyDescent="0.25">
      <c r="B58">
        <f t="shared" ca="1" si="0"/>
        <v>539</v>
      </c>
      <c r="C58">
        <f t="shared" ca="1" si="1"/>
        <v>22</v>
      </c>
      <c r="D58">
        <f t="shared" ca="1" si="2"/>
        <v>0.20879700908350804</v>
      </c>
      <c r="F58" s="1">
        <f t="shared" ca="1" si="3"/>
        <v>6</v>
      </c>
      <c r="G58" s="1">
        <f t="shared" ca="1" si="4"/>
        <v>4</v>
      </c>
      <c r="H58" s="1">
        <f t="shared" ca="1" si="5"/>
        <v>5</v>
      </c>
      <c r="I58" s="1"/>
      <c r="J58" s="1">
        <f t="shared" ca="1" si="6"/>
        <v>5</v>
      </c>
      <c r="K58" s="1">
        <f t="shared" ca="1" si="7"/>
        <v>2.083121664948195</v>
      </c>
      <c r="L58" s="1">
        <f t="shared" ca="1" si="8"/>
        <v>13</v>
      </c>
      <c r="M58" s="1"/>
      <c r="N58" s="1">
        <f t="shared" ca="1" si="9"/>
        <v>972</v>
      </c>
      <c r="O58" s="1">
        <f t="shared" ca="1" si="10"/>
        <v>6</v>
      </c>
      <c r="P58" s="1"/>
      <c r="Q58" s="1">
        <f t="shared" ca="1" si="11"/>
        <v>4.1784241576260763</v>
      </c>
      <c r="R58" s="1">
        <f t="shared" ca="1" si="12"/>
        <v>686</v>
      </c>
      <c r="S58" s="1"/>
      <c r="T58" s="1">
        <f t="shared" ca="1" si="13"/>
        <v>5.060026153501631E-2</v>
      </c>
      <c r="U58" s="1">
        <f t="shared" ca="1" si="14"/>
        <v>445</v>
      </c>
      <c r="V58" s="1">
        <f t="shared" ca="1" si="15"/>
        <v>33</v>
      </c>
      <c r="W58" s="1"/>
      <c r="X58" s="1">
        <f t="shared" ca="1" si="16"/>
        <v>8.3494908600833746</v>
      </c>
      <c r="Y58" s="1">
        <f t="shared" ca="1" si="17"/>
        <v>0.62512482976561745</v>
      </c>
      <c r="Z58" s="1">
        <f t="shared" ca="1" si="18"/>
        <v>1531</v>
      </c>
      <c r="AB58" s="1">
        <f t="shared" ca="1" si="19"/>
        <v>0.38533826900429535</v>
      </c>
      <c r="AC58" s="1">
        <f t="shared" ca="1" si="20"/>
        <v>143</v>
      </c>
      <c r="AD58" s="1">
        <f t="shared" ca="1" si="21"/>
        <v>2.4947439090213454E-3</v>
      </c>
      <c r="AE58" s="1"/>
      <c r="AF58" s="1">
        <f t="shared" ca="1" si="22"/>
        <v>0.15099005556363743</v>
      </c>
      <c r="AG58" s="1">
        <f t="shared" ca="1" si="23"/>
        <v>320</v>
      </c>
      <c r="AH58" s="1">
        <f t="shared" ca="1" si="24"/>
        <v>4.9360938581230031E-3</v>
      </c>
      <c r="AJ58" s="1">
        <f t="shared" ca="1" si="25"/>
        <v>0.6776631255761586</v>
      </c>
      <c r="AK58" s="1">
        <f t="shared" ca="1" si="26"/>
        <v>9.1896370563033277E-5</v>
      </c>
      <c r="AL58" s="1"/>
      <c r="AM58" s="1">
        <f t="shared" ca="1" si="27"/>
        <v>0.10159776446439664</v>
      </c>
      <c r="AN58" s="1">
        <f t="shared" ca="1" si="28"/>
        <v>55</v>
      </c>
      <c r="AO58" s="1">
        <f t="shared" ca="1" si="29"/>
        <v>7</v>
      </c>
      <c r="AQ58" s="1">
        <f t="shared" ca="1" si="30"/>
        <v>83</v>
      </c>
      <c r="AR58" s="1">
        <f t="shared" ca="1" si="31"/>
        <v>1</v>
      </c>
      <c r="AS58" s="1">
        <f t="shared" ca="1" si="32"/>
        <v>75</v>
      </c>
      <c r="AU58" s="1">
        <f t="shared" ca="1" si="33"/>
        <v>355</v>
      </c>
      <c r="AV58" s="1">
        <f t="shared" ca="1" si="34"/>
        <v>9</v>
      </c>
      <c r="AW58" s="1">
        <f t="shared" ca="1" si="35"/>
        <v>7.413719343355106E-2</v>
      </c>
      <c r="AY58" s="1">
        <f t="shared" ca="1" si="36"/>
        <v>1.5583574468817072</v>
      </c>
      <c r="AZ58" s="1">
        <f t="shared" ca="1" si="37"/>
        <v>377</v>
      </c>
      <c r="BA58" s="1">
        <f t="shared" ca="1" si="38"/>
        <v>1.7837652553569991E-3</v>
      </c>
      <c r="BG58" s="1">
        <f t="shared" ca="1" si="39"/>
        <v>0.48838940395096259</v>
      </c>
      <c r="BH58" s="1">
        <f t="shared" ca="1" si="40"/>
        <v>0.96690010588623176</v>
      </c>
      <c r="BI58" s="1">
        <f t="shared" ca="1" si="41"/>
        <v>362</v>
      </c>
      <c r="BV58" s="1">
        <f t="shared" ca="1" si="42"/>
        <v>0.28671113019645289</v>
      </c>
      <c r="BW58" s="1">
        <f t="shared" ca="1" si="43"/>
        <v>464</v>
      </c>
      <c r="BX58" s="1">
        <f t="shared" ca="1" si="44"/>
        <v>9.0314165646000408E-3</v>
      </c>
      <c r="BY58" s="1">
        <f t="shared" ca="1" si="45"/>
        <v>3.1916132725672001E-2</v>
      </c>
      <c r="BZ58" s="1">
        <f t="shared" ca="1" si="46"/>
        <v>8.492711754803639E-2</v>
      </c>
      <c r="CB58" s="1">
        <f t="shared" ca="1" si="47"/>
        <v>109</v>
      </c>
      <c r="CC58" s="1">
        <f t="shared" ca="1" si="48"/>
        <v>6</v>
      </c>
      <c r="CD58" s="1">
        <f t="shared" ca="1" si="49"/>
        <v>0.26681854870516841</v>
      </c>
      <c r="CE58" s="1">
        <f t="shared" ca="1" si="68"/>
        <v>0.5086919941962138</v>
      </c>
      <c r="CF58" s="1">
        <f t="shared" ca="1" si="68"/>
        <v>0.77627011891632292</v>
      </c>
      <c r="CH58" s="3">
        <f t="shared" ca="1" si="51"/>
        <v>0.42750272011454554</v>
      </c>
      <c r="CI58" s="3">
        <f t="shared" ca="1" si="52"/>
        <v>0.96840257880913738</v>
      </c>
      <c r="CJ58" s="3">
        <f t="shared" ca="1" si="53"/>
        <v>210</v>
      </c>
      <c r="CK58" s="3">
        <f t="shared" ca="1" si="54"/>
        <v>1.6914814063140355E-3</v>
      </c>
      <c r="CL58" s="3">
        <f t="shared" ca="1" si="55"/>
        <v>1</v>
      </c>
      <c r="CM58" s="3"/>
      <c r="CN58" s="1">
        <f t="shared" ca="1" si="56"/>
        <v>7.7193289013482085</v>
      </c>
      <c r="CO58" s="1">
        <f t="shared" ca="1" si="57"/>
        <v>0.4448839704733295</v>
      </c>
      <c r="CP58" s="1">
        <f t="shared" ca="1" si="58"/>
        <v>2</v>
      </c>
      <c r="CV58" s="1">
        <f t="shared" ca="1" si="59"/>
        <v>4.2270722001190393</v>
      </c>
      <c r="CW58" s="1">
        <f t="shared" ca="1" si="60"/>
        <v>1317</v>
      </c>
      <c r="CX58" s="1">
        <f t="shared" ca="1" si="61"/>
        <v>9.4129097938910628E-3</v>
      </c>
      <c r="DH58" s="1">
        <f t="shared" ca="1" si="62"/>
        <v>613</v>
      </c>
      <c r="DI58" s="1">
        <f t="shared" ca="1" si="63"/>
        <v>0.20210535402127683</v>
      </c>
      <c r="DJ58" s="1">
        <f t="shared" ca="1" si="64"/>
        <v>4</v>
      </c>
      <c r="DL58" s="1">
        <f t="shared" ca="1" si="65"/>
        <v>5.0958416560098307E-2</v>
      </c>
      <c r="DM58" s="1">
        <f t="shared" ca="1" si="66"/>
        <v>279</v>
      </c>
      <c r="DN58" s="1">
        <f t="shared" ca="1" si="67"/>
        <v>4</v>
      </c>
    </row>
    <row r="59" spans="2:118" x14ac:dyDescent="0.25">
      <c r="B59">
        <f t="shared" ca="1" si="0"/>
        <v>662</v>
      </c>
      <c r="C59">
        <f t="shared" ca="1" si="1"/>
        <v>28</v>
      </c>
      <c r="D59">
        <f t="shared" ca="1" si="2"/>
        <v>0.26776400004206063</v>
      </c>
      <c r="F59" s="1">
        <f t="shared" ca="1" si="3"/>
        <v>45</v>
      </c>
      <c r="G59" s="1">
        <f t="shared" ca="1" si="4"/>
        <v>17</v>
      </c>
      <c r="H59" s="1">
        <f t="shared" ca="1" si="5"/>
        <v>3</v>
      </c>
      <c r="I59" s="1"/>
      <c r="J59" s="1">
        <f t="shared" ca="1" si="6"/>
        <v>18</v>
      </c>
      <c r="K59" s="1">
        <f t="shared" ca="1" si="7"/>
        <v>1.9938711134923748</v>
      </c>
      <c r="L59" s="1">
        <f t="shared" ca="1" si="8"/>
        <v>15</v>
      </c>
      <c r="M59" s="1"/>
      <c r="N59" s="1">
        <f t="shared" ca="1" si="9"/>
        <v>816</v>
      </c>
      <c r="O59" s="1">
        <f t="shared" ca="1" si="10"/>
        <v>52</v>
      </c>
      <c r="P59" s="1"/>
      <c r="Q59" s="1">
        <f t="shared" ca="1" si="11"/>
        <v>2.2517142826349699</v>
      </c>
      <c r="R59" s="1">
        <f t="shared" ca="1" si="12"/>
        <v>809</v>
      </c>
      <c r="S59" s="1"/>
      <c r="T59" s="1">
        <f t="shared" ca="1" si="13"/>
        <v>0.1013533800244277</v>
      </c>
      <c r="U59" s="1">
        <f t="shared" ca="1" si="14"/>
        <v>105</v>
      </c>
      <c r="V59" s="1">
        <f t="shared" ca="1" si="15"/>
        <v>9</v>
      </c>
      <c r="W59" s="1"/>
      <c r="X59" s="1">
        <f t="shared" ca="1" si="16"/>
        <v>5.1113248221917864</v>
      </c>
      <c r="Y59" s="1">
        <f t="shared" ca="1" si="17"/>
        <v>0.16802587697600568</v>
      </c>
      <c r="Z59" s="1">
        <f t="shared" ca="1" si="18"/>
        <v>1865</v>
      </c>
      <c r="AB59" s="1">
        <f t="shared" ca="1" si="19"/>
        <v>0.91309304789420465</v>
      </c>
      <c r="AC59" s="1">
        <f t="shared" ca="1" si="20"/>
        <v>359</v>
      </c>
      <c r="AD59" s="1">
        <f t="shared" ca="1" si="21"/>
        <v>8.7828428468629937E-3</v>
      </c>
      <c r="AE59" s="1"/>
      <c r="AF59" s="1">
        <f t="shared" ca="1" si="22"/>
        <v>0.71357715456184401</v>
      </c>
      <c r="AG59" s="1">
        <f t="shared" ca="1" si="23"/>
        <v>480</v>
      </c>
      <c r="AH59" s="1">
        <f t="shared" ca="1" si="24"/>
        <v>4.3156099558462491E-3</v>
      </c>
      <c r="AJ59" s="1">
        <f t="shared" ca="1" si="25"/>
        <v>0.44450770039520004</v>
      </c>
      <c r="AK59" s="1">
        <f t="shared" ca="1" si="26"/>
        <v>1.0683085206157935E-3</v>
      </c>
      <c r="AL59" s="1"/>
      <c r="AM59" s="1">
        <f t="shared" ca="1" si="27"/>
        <v>0.19948092677490947</v>
      </c>
      <c r="AN59" s="1">
        <f t="shared" ca="1" si="28"/>
        <v>14</v>
      </c>
      <c r="AO59" s="1">
        <f t="shared" ca="1" si="29"/>
        <v>10</v>
      </c>
      <c r="AQ59" s="1">
        <f t="shared" ca="1" si="30"/>
        <v>65</v>
      </c>
      <c r="AR59" s="1">
        <f t="shared" ca="1" si="31"/>
        <v>5</v>
      </c>
      <c r="AS59" s="1">
        <f t="shared" ca="1" si="32"/>
        <v>39</v>
      </c>
      <c r="AU59" s="1">
        <f t="shared" ca="1" si="33"/>
        <v>50</v>
      </c>
      <c r="AV59" s="1">
        <f t="shared" ca="1" si="34"/>
        <v>5</v>
      </c>
      <c r="AW59" s="1">
        <f t="shared" ca="1" si="35"/>
        <v>1.6750974996588768E-2</v>
      </c>
      <c r="AY59" s="1">
        <f t="shared" ca="1" si="36"/>
        <v>1.8781943964763617</v>
      </c>
      <c r="AZ59" s="1">
        <f t="shared" ca="1" si="37"/>
        <v>293</v>
      </c>
      <c r="BA59" s="1">
        <f t="shared" ca="1" si="38"/>
        <v>6.2618983885770509E-3</v>
      </c>
      <c r="BG59" s="1">
        <f t="shared" ca="1" si="39"/>
        <v>0.3942085958351299</v>
      </c>
      <c r="BH59" s="1">
        <f t="shared" ca="1" si="40"/>
        <v>0.40252308125781588</v>
      </c>
      <c r="BI59" s="1">
        <f t="shared" ca="1" si="41"/>
        <v>964</v>
      </c>
      <c r="BV59" s="1">
        <f t="shared" ca="1" si="42"/>
        <v>0.52885237024114995</v>
      </c>
      <c r="BW59" s="1">
        <f t="shared" ca="1" si="43"/>
        <v>910</v>
      </c>
      <c r="BX59" s="1">
        <f t="shared" ca="1" si="44"/>
        <v>4.2967583292373478E-3</v>
      </c>
      <c r="BY59" s="1">
        <f t="shared" ca="1" si="45"/>
        <v>8.5500637874490359E-2</v>
      </c>
      <c r="BZ59" s="1">
        <f t="shared" ca="1" si="46"/>
        <v>0.40294191909439281</v>
      </c>
      <c r="CB59" s="1">
        <f t="shared" ca="1" si="47"/>
        <v>451</v>
      </c>
      <c r="CC59" s="1">
        <f t="shared" ca="1" si="48"/>
        <v>5</v>
      </c>
      <c r="CD59" s="1">
        <f t="shared" ca="1" si="49"/>
        <v>0.27051323557460466</v>
      </c>
      <c r="CE59" s="1">
        <f t="shared" ca="1" si="68"/>
        <v>0.95655534660920316</v>
      </c>
      <c r="CF59" s="1">
        <f t="shared" ca="1" si="68"/>
        <v>0.54997635200576878</v>
      </c>
      <c r="CH59" s="3">
        <f t="shared" ca="1" si="51"/>
        <v>0.97817071454949722</v>
      </c>
      <c r="CI59" s="3">
        <f t="shared" ca="1" si="52"/>
        <v>0.64604701354340954</v>
      </c>
      <c r="CJ59" s="3">
        <f t="shared" ca="1" si="53"/>
        <v>560</v>
      </c>
      <c r="CK59" s="3">
        <f t="shared" ca="1" si="54"/>
        <v>3.027462719227512E-3</v>
      </c>
      <c r="CL59" s="3">
        <f t="shared" ca="1" si="55"/>
        <v>0</v>
      </c>
      <c r="CM59" s="3"/>
      <c r="CN59" s="1">
        <f t="shared" ca="1" si="56"/>
        <v>17.653738403585763</v>
      </c>
      <c r="CO59" s="1">
        <f t="shared" ca="1" si="57"/>
        <v>0.11486927775431301</v>
      </c>
      <c r="CP59" s="1">
        <f t="shared" ca="1" si="58"/>
        <v>5</v>
      </c>
      <c r="CV59" s="1">
        <f t="shared" ca="1" si="59"/>
        <v>4.5585729633491923</v>
      </c>
      <c r="CW59" s="1">
        <f t="shared" ca="1" si="60"/>
        <v>1111</v>
      </c>
      <c r="CX59" s="1">
        <f t="shared" ca="1" si="61"/>
        <v>6.5885523962233824E-3</v>
      </c>
      <c r="DH59" s="1">
        <f t="shared" ca="1" si="62"/>
        <v>535</v>
      </c>
      <c r="DI59" s="1">
        <f t="shared" ca="1" si="63"/>
        <v>0.51948579473637579</v>
      </c>
      <c r="DJ59" s="1">
        <f t="shared" ca="1" si="64"/>
        <v>16</v>
      </c>
      <c r="DL59" s="1">
        <f t="shared" ca="1" si="65"/>
        <v>6.2234979225302453E-2</v>
      </c>
      <c r="DM59" s="1">
        <f t="shared" ca="1" si="66"/>
        <v>197</v>
      </c>
      <c r="DN59" s="1">
        <f t="shared" ca="1" si="67"/>
        <v>9</v>
      </c>
    </row>
    <row r="60" spans="2:118" x14ac:dyDescent="0.25">
      <c r="B60">
        <f t="shared" ca="1" si="0"/>
        <v>190</v>
      </c>
      <c r="C60">
        <f t="shared" ca="1" si="1"/>
        <v>39</v>
      </c>
      <c r="D60">
        <f t="shared" ca="1" si="2"/>
        <v>0.12951800457406878</v>
      </c>
      <c r="F60" s="1">
        <f t="shared" ca="1" si="3"/>
        <v>47</v>
      </c>
      <c r="G60" s="1">
        <f t="shared" ca="1" si="4"/>
        <v>18</v>
      </c>
      <c r="H60" s="1">
        <f t="shared" ca="1" si="5"/>
        <v>3</v>
      </c>
      <c r="I60" s="1"/>
      <c r="J60" s="1">
        <f t="shared" ca="1" si="6"/>
        <v>29</v>
      </c>
      <c r="K60" s="1">
        <f t="shared" ca="1" si="7"/>
        <v>1.8878526276338858</v>
      </c>
      <c r="L60" s="1">
        <f t="shared" ca="1" si="8"/>
        <v>6</v>
      </c>
      <c r="M60" s="1"/>
      <c r="N60" s="1">
        <f t="shared" ca="1" si="9"/>
        <v>676</v>
      </c>
      <c r="O60" s="1">
        <f t="shared" ca="1" si="10"/>
        <v>42</v>
      </c>
      <c r="P60" s="1"/>
      <c r="Q60" s="1">
        <f t="shared" ca="1" si="11"/>
        <v>2.0763389787714566</v>
      </c>
      <c r="R60" s="1">
        <f t="shared" ca="1" si="12"/>
        <v>1129</v>
      </c>
      <c r="S60" s="1"/>
      <c r="T60" s="1">
        <f t="shared" ca="1" si="13"/>
        <v>0.13292331171492405</v>
      </c>
      <c r="U60" s="1">
        <f t="shared" ca="1" si="14"/>
        <v>429</v>
      </c>
      <c r="V60" s="1">
        <f t="shared" ca="1" si="15"/>
        <v>4</v>
      </c>
      <c r="W60" s="1"/>
      <c r="X60" s="1">
        <f t="shared" ca="1" si="16"/>
        <v>6.9862702035613342</v>
      </c>
      <c r="Y60" s="1">
        <f t="shared" ca="1" si="17"/>
        <v>0.16680295793218311</v>
      </c>
      <c r="Z60" s="1">
        <f t="shared" ca="1" si="18"/>
        <v>1346</v>
      </c>
      <c r="AB60" s="1">
        <f t="shared" ca="1" si="19"/>
        <v>0.63594793245630687</v>
      </c>
      <c r="AC60" s="1">
        <f t="shared" ca="1" si="20"/>
        <v>449</v>
      </c>
      <c r="AD60" s="1">
        <f t="shared" ca="1" si="21"/>
        <v>6.2984190145160847E-4</v>
      </c>
      <c r="AE60" s="1"/>
      <c r="AF60" s="1">
        <f t="shared" ca="1" si="22"/>
        <v>0.22963699428942405</v>
      </c>
      <c r="AG60" s="1">
        <f t="shared" ca="1" si="23"/>
        <v>577</v>
      </c>
      <c r="AH60" s="1">
        <f t="shared" ca="1" si="24"/>
        <v>7.7965101589601987E-3</v>
      </c>
      <c r="AJ60" s="1">
        <f t="shared" ca="1" si="25"/>
        <v>0.14409706144958578</v>
      </c>
      <c r="AK60" s="1">
        <f t="shared" ca="1" si="26"/>
        <v>7.2048229768476848E-4</v>
      </c>
      <c r="AL60" s="1"/>
      <c r="AM60" s="1">
        <f t="shared" ca="1" si="27"/>
        <v>0.16348527703258484</v>
      </c>
      <c r="AN60" s="1">
        <f t="shared" ca="1" si="28"/>
        <v>49</v>
      </c>
      <c r="AO60" s="1">
        <f t="shared" ca="1" si="29"/>
        <v>10</v>
      </c>
      <c r="AQ60" s="1">
        <f t="shared" ca="1" si="30"/>
        <v>139</v>
      </c>
      <c r="AR60" s="1">
        <f t="shared" ca="1" si="31"/>
        <v>2</v>
      </c>
      <c r="AS60" s="1">
        <f t="shared" ca="1" si="32"/>
        <v>72</v>
      </c>
      <c r="AU60" s="1">
        <f t="shared" ca="1" si="33"/>
        <v>209</v>
      </c>
      <c r="AV60" s="1">
        <f t="shared" ca="1" si="34"/>
        <v>4</v>
      </c>
      <c r="AW60" s="1">
        <f t="shared" ca="1" si="35"/>
        <v>1.9330238746736027E-2</v>
      </c>
      <c r="AY60" s="1">
        <f t="shared" ca="1" si="36"/>
        <v>1.4604672377220678</v>
      </c>
      <c r="AZ60" s="1">
        <f t="shared" ca="1" si="37"/>
        <v>443</v>
      </c>
      <c r="BA60" s="1">
        <f t="shared" ca="1" si="38"/>
        <v>2.2790963488168448E-3</v>
      </c>
      <c r="BG60" s="1">
        <f t="shared" ca="1" si="39"/>
        <v>0.79280093735748691</v>
      </c>
      <c r="BH60" s="1">
        <f t="shared" ca="1" si="40"/>
        <v>0.48896133713833334</v>
      </c>
      <c r="BI60" s="1">
        <f t="shared" ca="1" si="41"/>
        <v>603</v>
      </c>
      <c r="BV60" s="1">
        <f t="shared" ca="1" si="42"/>
        <v>4.2364009983053078E-2</v>
      </c>
      <c r="BW60" s="1">
        <f t="shared" ca="1" si="43"/>
        <v>556</v>
      </c>
      <c r="BX60" s="1">
        <f t="shared" ca="1" si="44"/>
        <v>3.3993532130773443E-3</v>
      </c>
      <c r="BY60" s="1">
        <f t="shared" ca="1" si="45"/>
        <v>4.664416037299958E-2</v>
      </c>
      <c r="BZ60" s="1">
        <f t="shared" ca="1" si="46"/>
        <v>0.47140804899505628</v>
      </c>
      <c r="CB60" s="1">
        <f t="shared" ca="1" si="47"/>
        <v>163</v>
      </c>
      <c r="CC60" s="1">
        <f t="shared" ca="1" si="48"/>
        <v>7</v>
      </c>
      <c r="CD60" s="1">
        <f t="shared" ca="1" si="49"/>
        <v>0.15153848712334655</v>
      </c>
      <c r="CE60" s="1">
        <f t="shared" ca="1" si="68"/>
        <v>0.97668105241696934</v>
      </c>
      <c r="CF60" s="1">
        <f t="shared" ca="1" si="68"/>
        <v>0.86864381046501604</v>
      </c>
      <c r="CH60" s="3">
        <f t="shared" ca="1" si="51"/>
        <v>0.55973505411960744</v>
      </c>
      <c r="CI60" s="3">
        <f t="shared" ca="1" si="52"/>
        <v>0.14485122269204417</v>
      </c>
      <c r="CJ60" s="3">
        <f t="shared" ca="1" si="53"/>
        <v>333</v>
      </c>
      <c r="CK60" s="3">
        <f t="shared" ca="1" si="54"/>
        <v>4.8613122225586664E-3</v>
      </c>
      <c r="CL60" s="3">
        <f t="shared" ca="1" si="55"/>
        <v>1</v>
      </c>
      <c r="CM60" s="3"/>
      <c r="CN60" s="1">
        <f t="shared" ca="1" si="56"/>
        <v>10.126850589687706</v>
      </c>
      <c r="CO60" s="1">
        <f t="shared" ca="1" si="57"/>
        <v>6.3655898011315618E-2</v>
      </c>
      <c r="CP60" s="1">
        <f t="shared" ca="1" si="58"/>
        <v>3</v>
      </c>
      <c r="CV60" s="1">
        <f t="shared" ca="1" si="59"/>
        <v>8.3232107564767084</v>
      </c>
      <c r="CW60" s="1">
        <f t="shared" ca="1" si="60"/>
        <v>1955</v>
      </c>
      <c r="CX60" s="1">
        <f t="shared" ca="1" si="61"/>
        <v>5.2665007885453648E-3</v>
      </c>
      <c r="DH60" s="1">
        <f t="shared" ca="1" si="62"/>
        <v>491</v>
      </c>
      <c r="DI60" s="1">
        <f t="shared" ca="1" si="63"/>
        <v>1.9881486700704502E-2</v>
      </c>
      <c r="DJ60" s="1">
        <f t="shared" ca="1" si="64"/>
        <v>3</v>
      </c>
      <c r="DL60" s="1">
        <f t="shared" ca="1" si="65"/>
        <v>0.16335808142712899</v>
      </c>
      <c r="DM60" s="1">
        <f t="shared" ca="1" si="66"/>
        <v>151</v>
      </c>
      <c r="DN60" s="1">
        <f t="shared" ca="1" si="67"/>
        <v>1</v>
      </c>
    </row>
    <row r="61" spans="2:118" x14ac:dyDescent="0.25">
      <c r="B61">
        <f t="shared" ca="1" si="0"/>
        <v>737</v>
      </c>
      <c r="C61">
        <f t="shared" ca="1" si="1"/>
        <v>40</v>
      </c>
      <c r="D61">
        <f t="shared" ca="1" si="2"/>
        <v>8.9758078412649309E-2</v>
      </c>
      <c r="F61" s="1">
        <f t="shared" ca="1" si="3"/>
        <v>21</v>
      </c>
      <c r="G61" s="1">
        <f t="shared" ca="1" si="4"/>
        <v>6</v>
      </c>
      <c r="H61" s="1">
        <f t="shared" ca="1" si="5"/>
        <v>2</v>
      </c>
      <c r="I61" s="1"/>
      <c r="J61" s="1">
        <f t="shared" ca="1" si="6"/>
        <v>25</v>
      </c>
      <c r="K61" s="1">
        <f t="shared" ca="1" si="7"/>
        <v>1.398779781922153</v>
      </c>
      <c r="L61" s="1">
        <f t="shared" ca="1" si="8"/>
        <v>27</v>
      </c>
      <c r="M61" s="1"/>
      <c r="N61" s="1">
        <f t="shared" ca="1" si="9"/>
        <v>642</v>
      </c>
      <c r="O61" s="1">
        <f t="shared" ca="1" si="10"/>
        <v>21</v>
      </c>
      <c r="P61" s="1"/>
      <c r="Q61" s="1">
        <f t="shared" ca="1" si="11"/>
        <v>1.010861323782472</v>
      </c>
      <c r="R61" s="1">
        <f t="shared" ca="1" si="12"/>
        <v>1026</v>
      </c>
      <c r="S61" s="1"/>
      <c r="T61" s="1">
        <f t="shared" ca="1" si="13"/>
        <v>0.17076370805276223</v>
      </c>
      <c r="U61" s="1">
        <f t="shared" ca="1" si="14"/>
        <v>154</v>
      </c>
      <c r="V61" s="1">
        <f t="shared" ca="1" si="15"/>
        <v>42</v>
      </c>
      <c r="W61" s="1"/>
      <c r="X61" s="1">
        <f t="shared" ca="1" si="16"/>
        <v>8.5498672534654432</v>
      </c>
      <c r="Y61" s="1">
        <f t="shared" ca="1" si="17"/>
        <v>0.54133367519423681</v>
      </c>
      <c r="Z61" s="1">
        <f t="shared" ca="1" si="18"/>
        <v>125</v>
      </c>
      <c r="AB61" s="1">
        <f t="shared" ca="1" si="19"/>
        <v>0.71108272223679891</v>
      </c>
      <c r="AC61" s="1">
        <f t="shared" ca="1" si="20"/>
        <v>759</v>
      </c>
      <c r="AD61" s="1">
        <f t="shared" ca="1" si="21"/>
        <v>8.7748596403409759E-3</v>
      </c>
      <c r="AE61" s="1"/>
      <c r="AF61" s="1">
        <f t="shared" ca="1" si="22"/>
        <v>0.2557751285157247</v>
      </c>
      <c r="AG61" s="1">
        <f t="shared" ca="1" si="23"/>
        <v>325</v>
      </c>
      <c r="AH61" s="1">
        <f t="shared" ca="1" si="24"/>
        <v>1.6780648576177727E-3</v>
      </c>
      <c r="AJ61" s="1">
        <f t="shared" ca="1" si="25"/>
        <v>0.23365872662529863</v>
      </c>
      <c r="AK61" s="1">
        <f t="shared" ca="1" si="26"/>
        <v>3.2075153415821091E-3</v>
      </c>
      <c r="AL61" s="1"/>
      <c r="AM61" s="1">
        <f t="shared" ca="1" si="27"/>
        <v>0.18017345385191694</v>
      </c>
      <c r="AN61" s="1">
        <f t="shared" ca="1" si="28"/>
        <v>76</v>
      </c>
      <c r="AO61" s="1">
        <f t="shared" ca="1" si="29"/>
        <v>11</v>
      </c>
      <c r="AQ61" s="1">
        <f t="shared" ca="1" si="30"/>
        <v>144</v>
      </c>
      <c r="AR61" s="1">
        <f t="shared" ca="1" si="31"/>
        <v>3</v>
      </c>
      <c r="AS61" s="1">
        <f t="shared" ca="1" si="32"/>
        <v>59</v>
      </c>
      <c r="AU61" s="1">
        <f t="shared" ca="1" si="33"/>
        <v>294</v>
      </c>
      <c r="AV61" s="1">
        <f t="shared" ca="1" si="34"/>
        <v>7</v>
      </c>
      <c r="AW61" s="1">
        <f t="shared" ca="1" si="35"/>
        <v>1.3100464821515655E-2</v>
      </c>
      <c r="AY61" s="1">
        <f t="shared" ca="1" si="36"/>
        <v>1.631604909573563</v>
      </c>
      <c r="AZ61" s="1">
        <f t="shared" ca="1" si="37"/>
        <v>380</v>
      </c>
      <c r="BA61" s="1">
        <f t="shared" ca="1" si="38"/>
        <v>6.1988766957573474E-3</v>
      </c>
      <c r="BG61" s="1">
        <f t="shared" ca="1" si="39"/>
        <v>0.82631314698444835</v>
      </c>
      <c r="BH61" s="1">
        <f t="shared" ca="1" si="40"/>
        <v>0.82829801056588126</v>
      </c>
      <c r="BI61" s="1">
        <f t="shared" ca="1" si="41"/>
        <v>818</v>
      </c>
      <c r="BV61" s="1">
        <f t="shared" ca="1" si="42"/>
        <v>0.20634232335781108</v>
      </c>
      <c r="BW61" s="1">
        <f t="shared" ca="1" si="43"/>
        <v>267</v>
      </c>
      <c r="BX61" s="1">
        <f t="shared" ca="1" si="44"/>
        <v>4.697484637633237E-3</v>
      </c>
      <c r="BY61" s="1">
        <f t="shared" ca="1" si="45"/>
        <v>6.0578491699637853E-2</v>
      </c>
      <c r="BZ61" s="1">
        <f t="shared" ca="1" si="46"/>
        <v>0.20423433235701427</v>
      </c>
      <c r="CB61" s="1">
        <f t="shared" ca="1" si="47"/>
        <v>499</v>
      </c>
      <c r="CC61" s="1">
        <f t="shared" ca="1" si="48"/>
        <v>6</v>
      </c>
      <c r="CD61" s="1">
        <f t="shared" ca="1" si="49"/>
        <v>6.9009628847759394E-2</v>
      </c>
      <c r="CE61" s="1">
        <f t="shared" ca="1" si="68"/>
        <v>0.66036655267451794</v>
      </c>
      <c r="CF61" s="1">
        <f t="shared" ca="1" si="68"/>
        <v>0.57248820168265202</v>
      </c>
      <c r="CH61" s="3">
        <f t="shared" ca="1" si="51"/>
        <v>0.90558519217097155</v>
      </c>
      <c r="CI61" s="3">
        <f t="shared" ca="1" si="52"/>
        <v>0.7352469450022926</v>
      </c>
      <c r="CJ61" s="3">
        <f t="shared" ca="1" si="53"/>
        <v>1977</v>
      </c>
      <c r="CK61" s="3">
        <f t="shared" ca="1" si="54"/>
        <v>2.5439664751523835E-3</v>
      </c>
      <c r="CL61" s="3">
        <f t="shared" ca="1" si="55"/>
        <v>1</v>
      </c>
      <c r="CM61" s="3"/>
      <c r="CN61" s="1">
        <f t="shared" ca="1" si="56"/>
        <v>19.978495638865933</v>
      </c>
      <c r="CO61" s="1">
        <f t="shared" ca="1" si="57"/>
        <v>0.29428228618147395</v>
      </c>
      <c r="CP61" s="1">
        <f t="shared" ca="1" si="58"/>
        <v>5</v>
      </c>
      <c r="CV61" s="1">
        <f t="shared" ca="1" si="59"/>
        <v>3.1818252155026503</v>
      </c>
      <c r="CW61" s="1">
        <f t="shared" ca="1" si="60"/>
        <v>309</v>
      </c>
      <c r="CX61" s="1">
        <f t="shared" ca="1" si="61"/>
        <v>1.3410843442892412E-3</v>
      </c>
      <c r="DH61" s="1">
        <f t="shared" ca="1" si="62"/>
        <v>507</v>
      </c>
      <c r="DI61" s="1">
        <f t="shared" ca="1" si="63"/>
        <v>0.41217012969458011</v>
      </c>
      <c r="DJ61" s="1">
        <f t="shared" ca="1" si="64"/>
        <v>29</v>
      </c>
      <c r="DL61" s="1">
        <f t="shared" ca="1" si="65"/>
        <v>0.19808656037847347</v>
      </c>
      <c r="DM61" s="1">
        <f t="shared" ca="1" si="66"/>
        <v>139</v>
      </c>
      <c r="DN61" s="1">
        <f t="shared" ca="1" si="67"/>
        <v>3</v>
      </c>
    </row>
    <row r="62" spans="2:118" x14ac:dyDescent="0.25">
      <c r="B62">
        <f t="shared" ca="1" si="0"/>
        <v>459</v>
      </c>
      <c r="C62">
        <f t="shared" ca="1" si="1"/>
        <v>46</v>
      </c>
      <c r="D62">
        <f t="shared" ca="1" si="2"/>
        <v>9.69477054449953E-2</v>
      </c>
      <c r="F62" s="1">
        <f t="shared" ca="1" si="3"/>
        <v>15</v>
      </c>
      <c r="G62" s="1">
        <f t="shared" ca="1" si="4"/>
        <v>19</v>
      </c>
      <c r="H62" s="1">
        <f t="shared" ca="1" si="5"/>
        <v>7</v>
      </c>
      <c r="I62" s="1"/>
      <c r="J62" s="1">
        <f t="shared" ca="1" si="6"/>
        <v>27</v>
      </c>
      <c r="K62" s="1">
        <f t="shared" ca="1" si="7"/>
        <v>1.4729684949499355</v>
      </c>
      <c r="L62" s="1">
        <f t="shared" ca="1" si="8"/>
        <v>17</v>
      </c>
      <c r="M62" s="1"/>
      <c r="N62" s="1">
        <f t="shared" ca="1" si="9"/>
        <v>188</v>
      </c>
      <c r="O62" s="1">
        <f t="shared" ca="1" si="10"/>
        <v>47</v>
      </c>
      <c r="P62" s="1"/>
      <c r="Q62" s="1">
        <f t="shared" ca="1" si="11"/>
        <v>2.0409730300376276</v>
      </c>
      <c r="R62" s="1">
        <f t="shared" ca="1" si="12"/>
        <v>429</v>
      </c>
      <c r="S62" s="1"/>
      <c r="T62" s="1">
        <f t="shared" ca="1" si="13"/>
        <v>0.16039931985837885</v>
      </c>
      <c r="U62" s="1">
        <f t="shared" ca="1" si="14"/>
        <v>264</v>
      </c>
      <c r="V62" s="1">
        <f t="shared" ca="1" si="15"/>
        <v>52</v>
      </c>
      <c r="W62" s="1"/>
      <c r="X62" s="1">
        <f t="shared" ca="1" si="16"/>
        <v>6.1724234624988821</v>
      </c>
      <c r="Y62" s="1">
        <f t="shared" ca="1" si="17"/>
        <v>0.66079521806338892</v>
      </c>
      <c r="Z62" s="1">
        <f t="shared" ca="1" si="18"/>
        <v>453</v>
      </c>
      <c r="AB62" s="1">
        <f t="shared" ca="1" si="19"/>
        <v>0.7023919988148063</v>
      </c>
      <c r="AC62" s="1">
        <f t="shared" ca="1" si="20"/>
        <v>595</v>
      </c>
      <c r="AD62" s="1">
        <f t="shared" ca="1" si="21"/>
        <v>2.2142307829742694E-3</v>
      </c>
      <c r="AE62" s="1"/>
      <c r="AF62" s="1">
        <f t="shared" ca="1" si="22"/>
        <v>0.68763325655233853</v>
      </c>
      <c r="AG62" s="1">
        <f t="shared" ca="1" si="23"/>
        <v>788</v>
      </c>
      <c r="AH62" s="1">
        <f t="shared" ca="1" si="24"/>
        <v>4.8940457487257494E-3</v>
      </c>
      <c r="AJ62" s="1">
        <f t="shared" ca="1" si="25"/>
        <v>0.84413037173313066</v>
      </c>
      <c r="AK62" s="1">
        <f t="shared" ca="1" si="26"/>
        <v>5.3436408751302818E-3</v>
      </c>
      <c r="AL62" s="1"/>
      <c r="AM62" s="1">
        <f t="shared" ca="1" si="27"/>
        <v>0.11150299328671102</v>
      </c>
      <c r="AN62" s="1">
        <f t="shared" ca="1" si="28"/>
        <v>41</v>
      </c>
      <c r="AO62" s="1">
        <f t="shared" ca="1" si="29"/>
        <v>15</v>
      </c>
      <c r="AQ62" s="1">
        <f t="shared" ca="1" si="30"/>
        <v>97</v>
      </c>
      <c r="AR62" s="1">
        <f t="shared" ca="1" si="31"/>
        <v>0</v>
      </c>
      <c r="AS62" s="1">
        <f t="shared" ca="1" si="32"/>
        <v>51</v>
      </c>
      <c r="AU62" s="1">
        <f t="shared" ca="1" si="33"/>
        <v>340</v>
      </c>
      <c r="AV62" s="1">
        <f t="shared" ca="1" si="34"/>
        <v>7</v>
      </c>
      <c r="AW62" s="1">
        <f t="shared" ca="1" si="35"/>
        <v>0.14935423607957701</v>
      </c>
      <c r="AY62" s="1">
        <f t="shared" ca="1" si="36"/>
        <v>1.2466840438571603</v>
      </c>
      <c r="AZ62" s="1">
        <f t="shared" ca="1" si="37"/>
        <v>73</v>
      </c>
      <c r="BA62" s="1">
        <f t="shared" ca="1" si="38"/>
        <v>3.1306754585089663E-3</v>
      </c>
      <c r="BG62" s="1">
        <f t="shared" ca="1" si="39"/>
        <v>1.0459050523287676E-2</v>
      </c>
      <c r="BH62" s="1">
        <f t="shared" ca="1" si="40"/>
        <v>7.7483211807101826E-2</v>
      </c>
      <c r="BI62" s="1">
        <f t="shared" ca="1" si="41"/>
        <v>803</v>
      </c>
      <c r="BV62" s="1">
        <f t="shared" ca="1" si="42"/>
        <v>4.2615247711629917E-2</v>
      </c>
      <c r="BW62" s="1">
        <f t="shared" ca="1" si="43"/>
        <v>313</v>
      </c>
      <c r="BX62" s="1">
        <f t="shared" ca="1" si="44"/>
        <v>2.3252199777805743E-3</v>
      </c>
      <c r="BY62" s="1">
        <f t="shared" ca="1" si="45"/>
        <v>1.2907039948860052E-2</v>
      </c>
      <c r="BZ62" s="1">
        <f t="shared" ca="1" si="46"/>
        <v>0.41707454435479707</v>
      </c>
      <c r="CB62" s="1">
        <f t="shared" ca="1" si="47"/>
        <v>316</v>
      </c>
      <c r="CC62" s="1">
        <f t="shared" ca="1" si="48"/>
        <v>14</v>
      </c>
      <c r="CD62" s="1">
        <f t="shared" ca="1" si="49"/>
        <v>4.9277183681658114E-2</v>
      </c>
      <c r="CE62" s="1">
        <f t="shared" ca="1" si="68"/>
        <v>0.53232319722868371</v>
      </c>
      <c r="CF62" s="1">
        <f t="shared" ca="1" si="68"/>
        <v>0.60389424059530317</v>
      </c>
      <c r="CH62" s="3">
        <f t="shared" ca="1" si="51"/>
        <v>0.61096101926120061</v>
      </c>
      <c r="CI62" s="3">
        <f t="shared" ca="1" si="52"/>
        <v>0.89797804052779873</v>
      </c>
      <c r="CJ62" s="3">
        <f t="shared" ca="1" si="53"/>
        <v>1724</v>
      </c>
      <c r="CK62" s="3">
        <f t="shared" ca="1" si="54"/>
        <v>6.8608408810243454E-6</v>
      </c>
      <c r="CL62" s="3">
        <f t="shared" ca="1" si="55"/>
        <v>0</v>
      </c>
      <c r="CM62" s="3"/>
      <c r="CN62" s="1">
        <f t="shared" ca="1" si="56"/>
        <v>10.682794003071185</v>
      </c>
      <c r="CO62" s="1">
        <f t="shared" ca="1" si="57"/>
        <v>0.29506345685385449</v>
      </c>
      <c r="CP62" s="1">
        <f t="shared" ca="1" si="58"/>
        <v>5</v>
      </c>
      <c r="CV62" s="1">
        <f t="shared" ca="1" si="59"/>
        <v>5.3017947691717975</v>
      </c>
      <c r="CW62" s="1">
        <f t="shared" ca="1" si="60"/>
        <v>721</v>
      </c>
      <c r="CX62" s="1">
        <f t="shared" ca="1" si="61"/>
        <v>4.7242645916327156E-3</v>
      </c>
      <c r="DH62" s="1">
        <f t="shared" ca="1" si="62"/>
        <v>768</v>
      </c>
      <c r="DI62" s="1">
        <f t="shared" ca="1" si="63"/>
        <v>0.17717837153614616</v>
      </c>
      <c r="DJ62" s="1">
        <f t="shared" ca="1" si="64"/>
        <v>13</v>
      </c>
      <c r="DL62" s="1">
        <f t="shared" ca="1" si="65"/>
        <v>1.3151045344516922E-2</v>
      </c>
      <c r="DM62" s="1">
        <f t="shared" ca="1" si="66"/>
        <v>188</v>
      </c>
      <c r="DN62" s="1">
        <f t="shared" ca="1" si="67"/>
        <v>2</v>
      </c>
    </row>
    <row r="63" spans="2:118" x14ac:dyDescent="0.25">
      <c r="B63">
        <f t="shared" ca="1" si="0"/>
        <v>784</v>
      </c>
      <c r="C63">
        <f t="shared" ca="1" si="1"/>
        <v>48</v>
      </c>
      <c r="D63">
        <f t="shared" ca="1" si="2"/>
        <v>1.8325456097238589E-2</v>
      </c>
      <c r="F63" s="1">
        <f t="shared" ca="1" si="3"/>
        <v>47</v>
      </c>
      <c r="G63" s="1">
        <f t="shared" ca="1" si="4"/>
        <v>15</v>
      </c>
      <c r="H63" s="1">
        <f t="shared" ca="1" si="5"/>
        <v>3</v>
      </c>
      <c r="I63" s="1"/>
      <c r="J63" s="1">
        <f t="shared" ca="1" si="6"/>
        <v>11</v>
      </c>
      <c r="K63" s="1">
        <f t="shared" ca="1" si="7"/>
        <v>1.3838024262735755</v>
      </c>
      <c r="L63" s="1">
        <f t="shared" ca="1" si="8"/>
        <v>33</v>
      </c>
      <c r="M63" s="1"/>
      <c r="N63" s="1">
        <f t="shared" ca="1" si="9"/>
        <v>211</v>
      </c>
      <c r="O63" s="1">
        <f t="shared" ca="1" si="10"/>
        <v>48</v>
      </c>
      <c r="P63" s="1"/>
      <c r="Q63" s="1">
        <f t="shared" ca="1" si="11"/>
        <v>0.78511639806066424</v>
      </c>
      <c r="R63" s="1">
        <f t="shared" ca="1" si="12"/>
        <v>308</v>
      </c>
      <c r="S63" s="1"/>
      <c r="T63" s="1">
        <f t="shared" ca="1" si="13"/>
        <v>1.6702526890705657E-2</v>
      </c>
      <c r="U63" s="1">
        <f t="shared" ca="1" si="14"/>
        <v>334</v>
      </c>
      <c r="V63" s="1">
        <f t="shared" ca="1" si="15"/>
        <v>14</v>
      </c>
      <c r="W63" s="1"/>
      <c r="X63" s="1">
        <f t="shared" ca="1" si="16"/>
        <v>5.9823800125869582</v>
      </c>
      <c r="Y63" s="1">
        <f t="shared" ca="1" si="17"/>
        <v>0.85732816880670426</v>
      </c>
      <c r="Z63" s="1">
        <f t="shared" ca="1" si="18"/>
        <v>960</v>
      </c>
      <c r="AB63" s="1">
        <f t="shared" ca="1" si="19"/>
        <v>0.56671389632040581</v>
      </c>
      <c r="AC63" s="1">
        <f t="shared" ca="1" si="20"/>
        <v>771</v>
      </c>
      <c r="AD63" s="1">
        <f t="shared" ca="1" si="21"/>
        <v>6.4312066762708623E-3</v>
      </c>
      <c r="AE63" s="1"/>
      <c r="AF63" s="1">
        <f t="shared" ca="1" si="22"/>
        <v>0.82925453181501785</v>
      </c>
      <c r="AG63" s="1">
        <f t="shared" ca="1" si="23"/>
        <v>684</v>
      </c>
      <c r="AH63" s="1">
        <f t="shared" ca="1" si="24"/>
        <v>3.5371821596854106E-3</v>
      </c>
      <c r="AJ63" s="1">
        <f t="shared" ca="1" si="25"/>
        <v>0.43422543407453296</v>
      </c>
      <c r="AK63" s="1">
        <f t="shared" ca="1" si="26"/>
        <v>9.5549871909654423E-3</v>
      </c>
      <c r="AL63" s="1"/>
      <c r="AM63" s="1">
        <f t="shared" ca="1" si="27"/>
        <v>8.7066553435413863E-2</v>
      </c>
      <c r="AN63" s="1">
        <f t="shared" ca="1" si="28"/>
        <v>32</v>
      </c>
      <c r="AO63" s="1">
        <f t="shared" ca="1" si="29"/>
        <v>4</v>
      </c>
      <c r="AQ63" s="1">
        <f t="shared" ca="1" si="30"/>
        <v>103</v>
      </c>
      <c r="AR63" s="1">
        <f t="shared" ca="1" si="31"/>
        <v>10</v>
      </c>
      <c r="AS63" s="1">
        <f t="shared" ca="1" si="32"/>
        <v>51</v>
      </c>
      <c r="AU63" s="1">
        <f t="shared" ca="1" si="33"/>
        <v>63</v>
      </c>
      <c r="AV63" s="1">
        <f t="shared" ca="1" si="34"/>
        <v>2</v>
      </c>
      <c r="AW63" s="1">
        <f t="shared" ca="1" si="35"/>
        <v>3.9057636778145277E-2</v>
      </c>
      <c r="AY63" s="1">
        <f t="shared" ca="1" si="36"/>
        <v>1.9432750015334948</v>
      </c>
      <c r="AZ63" s="1">
        <f t="shared" ca="1" si="37"/>
        <v>472</v>
      </c>
      <c r="BA63" s="1">
        <f t="shared" ca="1" si="38"/>
        <v>3.5678581713110137E-3</v>
      </c>
      <c r="BG63" s="1">
        <f t="shared" ca="1" si="39"/>
        <v>0.56958865230348743</v>
      </c>
      <c r="BH63" s="1">
        <f t="shared" ca="1" si="40"/>
        <v>7.6934969235203043E-2</v>
      </c>
      <c r="BI63" s="1">
        <f t="shared" ca="1" si="41"/>
        <v>849</v>
      </c>
      <c r="BV63" s="1">
        <f t="shared" ca="1" si="42"/>
        <v>3.335843354038151E-2</v>
      </c>
      <c r="BW63" s="1">
        <f t="shared" ca="1" si="43"/>
        <v>393</v>
      </c>
      <c r="BX63" s="1">
        <f t="shared" ca="1" si="44"/>
        <v>6.6130002019533464E-3</v>
      </c>
      <c r="BY63" s="1">
        <f t="shared" ca="1" si="45"/>
        <v>7.3059243682126518E-2</v>
      </c>
      <c r="BZ63" s="1">
        <f t="shared" ca="1" si="46"/>
        <v>0.52642874474812296</v>
      </c>
      <c r="CB63" s="1">
        <f t="shared" ca="1" si="47"/>
        <v>187</v>
      </c>
      <c r="CC63" s="1">
        <f t="shared" ca="1" si="48"/>
        <v>5</v>
      </c>
      <c r="CD63" s="1">
        <f t="shared" ca="1" si="49"/>
        <v>0.12983521271425738</v>
      </c>
      <c r="CE63" s="1">
        <f t="shared" ca="1" si="68"/>
        <v>0.8918052729292264</v>
      </c>
      <c r="CF63" s="1">
        <f t="shared" ca="1" si="68"/>
        <v>0.78206192084551507</v>
      </c>
      <c r="CH63" s="3">
        <f t="shared" ca="1" si="51"/>
        <v>0.3180683142272</v>
      </c>
      <c r="CI63" s="3">
        <f t="shared" ca="1" si="52"/>
        <v>0.65725192034854552</v>
      </c>
      <c r="CJ63" s="3">
        <f t="shared" ca="1" si="53"/>
        <v>1028</v>
      </c>
      <c r="CK63" s="3">
        <f t="shared" ca="1" si="54"/>
        <v>4.4424167293021909E-3</v>
      </c>
      <c r="CL63" s="3">
        <f t="shared" ca="1" si="55"/>
        <v>0</v>
      </c>
      <c r="CM63" s="3"/>
      <c r="CN63" s="1">
        <f t="shared" ca="1" si="56"/>
        <v>7.4909073417328846</v>
      </c>
      <c r="CO63" s="1">
        <f t="shared" ca="1" si="57"/>
        <v>0.42274141456410413</v>
      </c>
      <c r="CP63" s="1">
        <f t="shared" ca="1" si="58"/>
        <v>1</v>
      </c>
      <c r="CV63" s="1">
        <f t="shared" ca="1" si="59"/>
        <v>7.2784377967557266</v>
      </c>
      <c r="CW63" s="1">
        <f t="shared" ca="1" si="60"/>
        <v>1833</v>
      </c>
      <c r="CX63" s="1">
        <f t="shared" ca="1" si="61"/>
        <v>9.0582350435925007E-3</v>
      </c>
      <c r="DH63" s="1">
        <f t="shared" ca="1" si="62"/>
        <v>588</v>
      </c>
      <c r="DI63" s="1">
        <f t="shared" ca="1" si="63"/>
        <v>0.90101681702434577</v>
      </c>
      <c r="DJ63" s="1">
        <f t="shared" ca="1" si="64"/>
        <v>26</v>
      </c>
      <c r="DL63" s="1">
        <f t="shared" ca="1" si="65"/>
        <v>6.4849700487670525E-2</v>
      </c>
      <c r="DM63" s="1">
        <f t="shared" ca="1" si="66"/>
        <v>126</v>
      </c>
      <c r="DN63" s="1">
        <f t="shared" ca="1" si="67"/>
        <v>4</v>
      </c>
    </row>
    <row r="64" spans="2:118" x14ac:dyDescent="0.25">
      <c r="B64">
        <f t="shared" ca="1" si="0"/>
        <v>581</v>
      </c>
      <c r="C64">
        <f t="shared" ca="1" si="1"/>
        <v>43</v>
      </c>
      <c r="D64">
        <f t="shared" ca="1" si="2"/>
        <v>0.2708453897943619</v>
      </c>
      <c r="F64" s="1">
        <f t="shared" ca="1" si="3"/>
        <v>40</v>
      </c>
      <c r="G64" s="1">
        <f t="shared" ca="1" si="4"/>
        <v>10</v>
      </c>
      <c r="H64" s="1">
        <f t="shared" ca="1" si="5"/>
        <v>10</v>
      </c>
      <c r="I64" s="1"/>
      <c r="J64" s="1">
        <f t="shared" ca="1" si="6"/>
        <v>1</v>
      </c>
      <c r="K64" s="1">
        <f t="shared" ca="1" si="7"/>
        <v>2.0290891452880802</v>
      </c>
      <c r="L64" s="1">
        <f t="shared" ca="1" si="8"/>
        <v>27</v>
      </c>
      <c r="M64" s="1"/>
      <c r="N64" s="1">
        <f t="shared" ca="1" si="9"/>
        <v>67</v>
      </c>
      <c r="O64" s="1">
        <f t="shared" ca="1" si="10"/>
        <v>43</v>
      </c>
      <c r="P64" s="1"/>
      <c r="Q64" s="1">
        <f t="shared" ca="1" si="11"/>
        <v>0.59232811800957996</v>
      </c>
      <c r="R64" s="1">
        <f t="shared" ca="1" si="12"/>
        <v>574</v>
      </c>
      <c r="S64" s="1"/>
      <c r="T64" s="1">
        <f t="shared" ca="1" si="13"/>
        <v>4.5440216473753424E-2</v>
      </c>
      <c r="U64" s="1">
        <f t="shared" ca="1" si="14"/>
        <v>151</v>
      </c>
      <c r="V64" s="1">
        <f t="shared" ca="1" si="15"/>
        <v>37</v>
      </c>
      <c r="W64" s="1"/>
      <c r="X64" s="1">
        <f t="shared" ca="1" si="16"/>
        <v>6.7383399183806851</v>
      </c>
      <c r="Y64" s="1">
        <f t="shared" ca="1" si="17"/>
        <v>0.13196384029376498</v>
      </c>
      <c r="Z64" s="1">
        <f t="shared" ca="1" si="18"/>
        <v>555</v>
      </c>
      <c r="AB64" s="1">
        <f t="shared" ca="1" si="19"/>
        <v>0.75194631185227034</v>
      </c>
      <c r="AC64" s="1">
        <f t="shared" ca="1" si="20"/>
        <v>587</v>
      </c>
      <c r="AD64" s="1">
        <f t="shared" ca="1" si="21"/>
        <v>2.5724334565032083E-3</v>
      </c>
      <c r="AE64" s="1"/>
      <c r="AF64" s="1">
        <f t="shared" ca="1" si="22"/>
        <v>0.50726108664178315</v>
      </c>
      <c r="AG64" s="1">
        <f t="shared" ca="1" si="23"/>
        <v>812</v>
      </c>
      <c r="AH64" s="1">
        <f t="shared" ca="1" si="24"/>
        <v>9.1373509249313527E-3</v>
      </c>
      <c r="AJ64" s="1">
        <f t="shared" ca="1" si="25"/>
        <v>0.6246778275473247</v>
      </c>
      <c r="AK64" s="1">
        <f t="shared" ca="1" si="26"/>
        <v>7.930825630670487E-3</v>
      </c>
      <c r="AL64" s="1"/>
      <c r="AM64" s="1">
        <f t="shared" ca="1" si="27"/>
        <v>0.14339624276028151</v>
      </c>
      <c r="AN64" s="1">
        <f t="shared" ca="1" si="28"/>
        <v>14</v>
      </c>
      <c r="AO64" s="1">
        <f t="shared" ca="1" si="29"/>
        <v>16</v>
      </c>
      <c r="AQ64" s="1">
        <f t="shared" ca="1" si="30"/>
        <v>144</v>
      </c>
      <c r="AR64" s="1">
        <f t="shared" ca="1" si="31"/>
        <v>6</v>
      </c>
      <c r="AS64" s="1">
        <f t="shared" ca="1" si="32"/>
        <v>65</v>
      </c>
      <c r="AU64" s="1">
        <f t="shared" ca="1" si="33"/>
        <v>81</v>
      </c>
      <c r="AV64" s="1">
        <f t="shared" ca="1" si="34"/>
        <v>5</v>
      </c>
      <c r="AW64" s="1">
        <f t="shared" ca="1" si="35"/>
        <v>4.5997438147111991E-2</v>
      </c>
      <c r="AY64" s="1">
        <f t="shared" ca="1" si="36"/>
        <v>1.3124316959436644</v>
      </c>
      <c r="AZ64" s="1">
        <f t="shared" ca="1" si="37"/>
        <v>218</v>
      </c>
      <c r="BA64" s="1">
        <f t="shared" ca="1" si="38"/>
        <v>2.2647894736359761E-3</v>
      </c>
      <c r="BG64" s="1">
        <f t="shared" ca="1" si="39"/>
        <v>2.5313400019806975E-2</v>
      </c>
      <c r="BH64" s="1">
        <f t="shared" ca="1" si="40"/>
        <v>0.23153975221705481</v>
      </c>
      <c r="BI64" s="1">
        <f t="shared" ca="1" si="41"/>
        <v>613</v>
      </c>
      <c r="BV64" s="1">
        <f t="shared" ca="1" si="42"/>
        <v>7.7007614382574779E-2</v>
      </c>
      <c r="BW64" s="1">
        <f t="shared" ca="1" si="43"/>
        <v>183</v>
      </c>
      <c r="BX64" s="1">
        <f t="shared" ca="1" si="44"/>
        <v>8.3061613410837752E-3</v>
      </c>
      <c r="BY64" s="1">
        <f t="shared" ca="1" si="45"/>
        <v>3.1780937731549878E-2</v>
      </c>
      <c r="BZ64" s="1">
        <f t="shared" ca="1" si="46"/>
        <v>7.7489170582218048E-2</v>
      </c>
      <c r="CB64" s="1">
        <f t="shared" ca="1" si="47"/>
        <v>100</v>
      </c>
      <c r="CC64" s="1">
        <f t="shared" ca="1" si="48"/>
        <v>13</v>
      </c>
      <c r="CD64" s="1">
        <f t="shared" ca="1" si="49"/>
        <v>5.9782285328399028E-2</v>
      </c>
      <c r="CE64" s="1">
        <f t="shared" ca="1" si="68"/>
        <v>0.59370267898799323</v>
      </c>
      <c r="CF64" s="1">
        <f t="shared" ca="1" si="68"/>
        <v>0.88881516586142117</v>
      </c>
      <c r="CH64" s="3">
        <f t="shared" ca="1" si="51"/>
        <v>0.45736199233685443</v>
      </c>
      <c r="CI64" s="3">
        <f t="shared" ca="1" si="52"/>
        <v>0.67036965800020942</v>
      </c>
      <c r="CJ64" s="3">
        <f t="shared" ca="1" si="53"/>
        <v>793</v>
      </c>
      <c r="CK64" s="3">
        <f t="shared" ca="1" si="54"/>
        <v>1.1499917694706159E-3</v>
      </c>
      <c r="CL64" s="3">
        <f t="shared" ca="1" si="55"/>
        <v>1</v>
      </c>
      <c r="CM64" s="3"/>
      <c r="CN64" s="1">
        <f t="shared" ca="1" si="56"/>
        <v>9.1274987075932454</v>
      </c>
      <c r="CO64" s="1">
        <f t="shared" ca="1" si="57"/>
        <v>0.11702122297159293</v>
      </c>
      <c r="CP64" s="1">
        <f t="shared" ca="1" si="58"/>
        <v>2</v>
      </c>
      <c r="CV64" s="1">
        <f t="shared" ca="1" si="59"/>
        <v>1.5645544659659123</v>
      </c>
      <c r="CW64" s="1">
        <f t="shared" ca="1" si="60"/>
        <v>1492</v>
      </c>
      <c r="CX64" s="1">
        <f t="shared" ca="1" si="61"/>
        <v>7.1097100690932806E-3</v>
      </c>
      <c r="DH64" s="1">
        <f t="shared" ca="1" si="62"/>
        <v>65</v>
      </c>
      <c r="DI64" s="1">
        <f t="shared" ca="1" si="63"/>
        <v>0.21534278037279705</v>
      </c>
      <c r="DJ64" s="1">
        <f t="shared" ca="1" si="64"/>
        <v>14</v>
      </c>
      <c r="DL64" s="1">
        <f t="shared" ca="1" si="65"/>
        <v>0.12914231668260506</v>
      </c>
      <c r="DM64" s="1">
        <f t="shared" ca="1" si="66"/>
        <v>50</v>
      </c>
      <c r="DN64" s="1">
        <f t="shared" ca="1" si="67"/>
        <v>3</v>
      </c>
    </row>
    <row r="65" spans="2:118" x14ac:dyDescent="0.25">
      <c r="B65">
        <f t="shared" ca="1" si="0"/>
        <v>932</v>
      </c>
      <c r="C65">
        <f t="shared" ca="1" si="1"/>
        <v>28</v>
      </c>
      <c r="D65">
        <f t="shared" ca="1" si="2"/>
        <v>7.7655631884117005E-2</v>
      </c>
      <c r="F65" s="1">
        <f t="shared" ca="1" si="3"/>
        <v>37</v>
      </c>
      <c r="G65" s="1">
        <f t="shared" ca="1" si="4"/>
        <v>22</v>
      </c>
      <c r="H65" s="1">
        <f t="shared" ca="1" si="5"/>
        <v>15</v>
      </c>
      <c r="I65" s="1"/>
      <c r="J65" s="1">
        <f t="shared" ca="1" si="6"/>
        <v>29</v>
      </c>
      <c r="K65" s="1">
        <f t="shared" ca="1" si="7"/>
        <v>1.9724968285824178</v>
      </c>
      <c r="L65" s="1">
        <f t="shared" ca="1" si="8"/>
        <v>21</v>
      </c>
      <c r="M65" s="1"/>
      <c r="N65" s="1">
        <f t="shared" ca="1" si="9"/>
        <v>394</v>
      </c>
      <c r="O65" s="1">
        <f t="shared" ca="1" si="10"/>
        <v>24</v>
      </c>
      <c r="P65" s="1"/>
      <c r="Q65" s="1">
        <f t="shared" ca="1" si="11"/>
        <v>3.432744652362254</v>
      </c>
      <c r="R65" s="1">
        <f t="shared" ca="1" si="12"/>
        <v>491</v>
      </c>
      <c r="S65" s="1"/>
      <c r="T65" s="1">
        <f t="shared" ca="1" si="13"/>
        <v>3.9677208346563533E-2</v>
      </c>
      <c r="U65" s="1">
        <f t="shared" ca="1" si="14"/>
        <v>250</v>
      </c>
      <c r="V65" s="1">
        <f t="shared" ca="1" si="15"/>
        <v>26</v>
      </c>
      <c r="W65" s="1"/>
      <c r="X65" s="1">
        <f t="shared" ca="1" si="16"/>
        <v>0.66571235324274936</v>
      </c>
      <c r="Y65" s="1">
        <f t="shared" ca="1" si="17"/>
        <v>0.88160832927074739</v>
      </c>
      <c r="Z65" s="1">
        <f t="shared" ca="1" si="18"/>
        <v>819</v>
      </c>
      <c r="AB65" s="1">
        <f t="shared" ca="1" si="19"/>
        <v>0.34981777199547653</v>
      </c>
      <c r="AC65" s="1">
        <f t="shared" ca="1" si="20"/>
        <v>673</v>
      </c>
      <c r="AD65" s="1">
        <f t="shared" ca="1" si="21"/>
        <v>9.4334514372139047E-3</v>
      </c>
      <c r="AE65" s="1"/>
      <c r="AF65" s="1">
        <f t="shared" ca="1" si="22"/>
        <v>0.21635225021395207</v>
      </c>
      <c r="AG65" s="1">
        <f t="shared" ca="1" si="23"/>
        <v>745</v>
      </c>
      <c r="AH65" s="1">
        <f t="shared" ca="1" si="24"/>
        <v>5.9071508555678665E-3</v>
      </c>
      <c r="AJ65" s="1">
        <f t="shared" ca="1" si="25"/>
        <v>0.90897277224219331</v>
      </c>
      <c r="AK65" s="1">
        <f t="shared" ca="1" si="26"/>
        <v>8.2034072771370314E-3</v>
      </c>
      <c r="AL65" s="1"/>
      <c r="AM65" s="1">
        <f t="shared" ca="1" si="27"/>
        <v>1.30964985029462E-2</v>
      </c>
      <c r="AN65" s="1">
        <f t="shared" ca="1" si="28"/>
        <v>17</v>
      </c>
      <c r="AO65" s="1">
        <f t="shared" ca="1" si="29"/>
        <v>0</v>
      </c>
      <c r="AQ65" s="1">
        <f t="shared" ca="1" si="30"/>
        <v>96</v>
      </c>
      <c r="AR65" s="1">
        <f t="shared" ca="1" si="31"/>
        <v>4</v>
      </c>
      <c r="AS65" s="1">
        <f t="shared" ca="1" si="32"/>
        <v>71</v>
      </c>
      <c r="AU65" s="1">
        <f t="shared" ca="1" si="33"/>
        <v>277</v>
      </c>
      <c r="AV65" s="1">
        <f t="shared" ca="1" si="34"/>
        <v>7</v>
      </c>
      <c r="AW65" s="1">
        <f t="shared" ca="1" si="35"/>
        <v>0.10273515689564652</v>
      </c>
      <c r="AY65" s="1">
        <f t="shared" ca="1" si="36"/>
        <v>1.6847888943930016</v>
      </c>
      <c r="AZ65" s="1">
        <f t="shared" ca="1" si="37"/>
        <v>386</v>
      </c>
      <c r="BA65" s="1">
        <f t="shared" ca="1" si="38"/>
        <v>7.6402228222014913E-3</v>
      </c>
      <c r="BG65" s="1">
        <f t="shared" ca="1" si="39"/>
        <v>0.36394734001569079</v>
      </c>
      <c r="BH65" s="1">
        <f t="shared" ca="1" si="40"/>
        <v>0.4639683714404218</v>
      </c>
      <c r="BI65" s="1">
        <f t="shared" ca="1" si="41"/>
        <v>815</v>
      </c>
      <c r="BV65" s="1">
        <f t="shared" ca="1" si="42"/>
        <v>0.91894552673364627</v>
      </c>
      <c r="BW65" s="1">
        <f t="shared" ca="1" si="43"/>
        <v>618</v>
      </c>
      <c r="BX65" s="1">
        <f t="shared" ca="1" si="44"/>
        <v>8.9752221462539149E-3</v>
      </c>
      <c r="BY65" s="1">
        <f t="shared" ca="1" si="45"/>
        <v>6.834236706637499E-2</v>
      </c>
      <c r="BZ65" s="1">
        <f t="shared" ca="1" si="46"/>
        <v>0.69074174900762353</v>
      </c>
      <c r="CB65" s="1">
        <f t="shared" ca="1" si="47"/>
        <v>248</v>
      </c>
      <c r="CC65" s="1">
        <f t="shared" ca="1" si="48"/>
        <v>15</v>
      </c>
      <c r="CD65" s="1">
        <f t="shared" ca="1" si="49"/>
        <v>5.0146983512746782E-2</v>
      </c>
      <c r="CE65" s="1">
        <f t="shared" ca="1" si="68"/>
        <v>0.67411352563095317</v>
      </c>
      <c r="CF65" s="1">
        <f t="shared" ca="1" si="68"/>
        <v>0.83802873361489139</v>
      </c>
      <c r="CH65" s="3">
        <f t="shared" ca="1" si="51"/>
        <v>0.15593269763902515</v>
      </c>
      <c r="CI65" s="3">
        <f t="shared" ca="1" si="52"/>
        <v>0.26111682869265829</v>
      </c>
      <c r="CJ65" s="3">
        <f t="shared" ca="1" si="53"/>
        <v>1037</v>
      </c>
      <c r="CK65" s="3">
        <f t="shared" ca="1" si="54"/>
        <v>8.1067622468944719E-3</v>
      </c>
      <c r="CL65" s="3">
        <f t="shared" ca="1" si="55"/>
        <v>0</v>
      </c>
      <c r="CM65" s="3"/>
      <c r="CN65" s="1">
        <f t="shared" ca="1" si="56"/>
        <v>1.9689987320431819</v>
      </c>
      <c r="CO65" s="1">
        <f t="shared" ca="1" si="57"/>
        <v>0.23571643243815471</v>
      </c>
      <c r="CP65" s="1">
        <f t="shared" ca="1" si="58"/>
        <v>5</v>
      </c>
      <c r="CV65" s="1">
        <f t="shared" ca="1" si="59"/>
        <v>7.6356778366974494</v>
      </c>
      <c r="CW65" s="1">
        <f t="shared" ca="1" si="60"/>
        <v>986</v>
      </c>
      <c r="CX65" s="1">
        <f t="shared" ca="1" si="61"/>
        <v>1.1865312353446184E-5</v>
      </c>
      <c r="DH65" s="1">
        <f t="shared" ca="1" si="62"/>
        <v>299</v>
      </c>
      <c r="DI65" s="1">
        <f t="shared" ca="1" si="63"/>
        <v>7.2287861672096415E-2</v>
      </c>
      <c r="DJ65" s="1">
        <f t="shared" ca="1" si="64"/>
        <v>20</v>
      </c>
      <c r="DL65" s="1">
        <f t="shared" ca="1" si="65"/>
        <v>0.19375161331115973</v>
      </c>
      <c r="DM65" s="1">
        <f t="shared" ca="1" si="66"/>
        <v>61</v>
      </c>
      <c r="DN65" s="1">
        <f t="shared" ca="1" si="67"/>
        <v>8</v>
      </c>
    </row>
    <row r="66" spans="2:118" x14ac:dyDescent="0.25">
      <c r="B66">
        <f t="shared" ca="1" si="0"/>
        <v>696</v>
      </c>
      <c r="C66">
        <f t="shared" ca="1" si="1"/>
        <v>49</v>
      </c>
      <c r="D66">
        <f t="shared" ca="1" si="2"/>
        <v>3.3681224696792182E-2</v>
      </c>
      <c r="F66" s="1">
        <f t="shared" ca="1" si="3"/>
        <v>27</v>
      </c>
      <c r="G66" s="1">
        <f t="shared" ca="1" si="4"/>
        <v>29</v>
      </c>
      <c r="H66" s="1">
        <f t="shared" ca="1" si="5"/>
        <v>15</v>
      </c>
      <c r="I66" s="1"/>
      <c r="J66" s="1">
        <f t="shared" ca="1" si="6"/>
        <v>12</v>
      </c>
      <c r="K66" s="1">
        <f t="shared" ca="1" si="7"/>
        <v>2.3616243104756469</v>
      </c>
      <c r="L66" s="1">
        <f t="shared" ca="1" si="8"/>
        <v>13</v>
      </c>
      <c r="M66" s="1"/>
      <c r="N66" s="1">
        <f t="shared" ca="1" si="9"/>
        <v>411</v>
      </c>
      <c r="O66" s="1">
        <f t="shared" ca="1" si="10"/>
        <v>30</v>
      </c>
      <c r="P66" s="1"/>
      <c r="Q66" s="1">
        <f t="shared" ca="1" si="11"/>
        <v>4.7018210610714872</v>
      </c>
      <c r="R66" s="1">
        <f t="shared" ca="1" si="12"/>
        <v>391</v>
      </c>
      <c r="S66" s="1"/>
      <c r="T66" s="1">
        <f t="shared" ca="1" si="13"/>
        <v>7.5718736227593078E-2</v>
      </c>
      <c r="U66" s="1">
        <f t="shared" ca="1" si="14"/>
        <v>432</v>
      </c>
      <c r="V66" s="1">
        <f t="shared" ca="1" si="15"/>
        <v>10</v>
      </c>
      <c r="W66" s="1"/>
      <c r="X66" s="1">
        <f t="shared" ca="1" si="16"/>
        <v>4.6478116002015399</v>
      </c>
      <c r="Y66" s="1">
        <f t="shared" ca="1" si="17"/>
        <v>0.105038338369685</v>
      </c>
      <c r="Z66" s="1">
        <f t="shared" ca="1" si="18"/>
        <v>876</v>
      </c>
      <c r="AB66" s="1">
        <f t="shared" ca="1" si="19"/>
        <v>0.3911221192687992</v>
      </c>
      <c r="AC66" s="1">
        <f t="shared" ca="1" si="20"/>
        <v>805</v>
      </c>
      <c r="AD66" s="1">
        <f t="shared" ca="1" si="21"/>
        <v>6.6964766584425277E-3</v>
      </c>
      <c r="AE66" s="1"/>
      <c r="AF66" s="1">
        <f t="shared" ca="1" si="22"/>
        <v>0.11440900753729349</v>
      </c>
      <c r="AG66" s="1">
        <f t="shared" ca="1" si="23"/>
        <v>865</v>
      </c>
      <c r="AH66" s="1">
        <f t="shared" ca="1" si="24"/>
        <v>9.9476624627683682E-3</v>
      </c>
      <c r="AJ66" s="1">
        <f t="shared" ca="1" si="25"/>
        <v>0.5671312324161174</v>
      </c>
      <c r="AK66" s="1">
        <f t="shared" ca="1" si="26"/>
        <v>8.3608719112877473E-3</v>
      </c>
      <c r="AL66" s="1"/>
      <c r="AM66" s="1">
        <f t="shared" ca="1" si="27"/>
        <v>4.0125086197270753E-2</v>
      </c>
      <c r="AN66" s="1">
        <f t="shared" ca="1" si="28"/>
        <v>63</v>
      </c>
      <c r="AO66" s="1">
        <f t="shared" ca="1" si="29"/>
        <v>18</v>
      </c>
      <c r="AQ66" s="1">
        <f t="shared" ca="1" si="30"/>
        <v>18</v>
      </c>
      <c r="AR66" s="1">
        <f t="shared" ca="1" si="31"/>
        <v>9</v>
      </c>
      <c r="AS66" s="1">
        <f t="shared" ca="1" si="32"/>
        <v>25</v>
      </c>
      <c r="AU66" s="1">
        <f t="shared" ca="1" si="33"/>
        <v>315</v>
      </c>
      <c r="AV66" s="1">
        <f t="shared" ca="1" si="34"/>
        <v>3</v>
      </c>
      <c r="AW66" s="1">
        <f t="shared" ca="1" si="35"/>
        <v>4.0233721443422445E-2</v>
      </c>
      <c r="AY66" s="1">
        <f t="shared" ca="1" si="36"/>
        <v>1.4650017256755652</v>
      </c>
      <c r="AZ66" s="1">
        <f t="shared" ca="1" si="37"/>
        <v>169</v>
      </c>
      <c r="BA66" s="1">
        <f t="shared" ca="1" si="38"/>
        <v>4.2068092996878741E-3</v>
      </c>
      <c r="BG66" s="1">
        <f t="shared" ca="1" si="39"/>
        <v>0.71973152817057873</v>
      </c>
      <c r="BH66" s="1">
        <f t="shared" ca="1" si="40"/>
        <v>0.47037779729284601</v>
      </c>
      <c r="BI66" s="1">
        <f t="shared" ca="1" si="41"/>
        <v>757</v>
      </c>
      <c r="BV66" s="1">
        <f t="shared" ca="1" si="42"/>
        <v>1.3670771476548653E-2</v>
      </c>
      <c r="BW66" s="1">
        <f t="shared" ca="1" si="43"/>
        <v>894</v>
      </c>
      <c r="BX66" s="1">
        <f t="shared" ca="1" si="44"/>
        <v>1.6530498950312991E-5</v>
      </c>
      <c r="BY66" s="1">
        <f t="shared" ca="1" si="45"/>
        <v>3.0694638438339319E-2</v>
      </c>
      <c r="BZ66" s="1">
        <f t="shared" ca="1" si="46"/>
        <v>0.91190258217936493</v>
      </c>
      <c r="CB66" s="1">
        <f t="shared" ca="1" si="47"/>
        <v>179</v>
      </c>
      <c r="CC66" s="1">
        <f t="shared" ca="1" si="48"/>
        <v>15</v>
      </c>
      <c r="CD66" s="1">
        <f t="shared" ca="1" si="49"/>
        <v>0.24360962242540568</v>
      </c>
      <c r="CE66" s="1">
        <f t="shared" ca="1" si="68"/>
        <v>0.60123553715970823</v>
      </c>
      <c r="CF66" s="1">
        <f t="shared" ca="1" si="68"/>
        <v>0.8183015315883857</v>
      </c>
      <c r="CH66" s="3">
        <f t="shared" ca="1" si="51"/>
        <v>0.56313439270742049</v>
      </c>
      <c r="CI66" s="3">
        <f t="shared" ca="1" si="52"/>
        <v>0.13370966521556249</v>
      </c>
      <c r="CJ66" s="3">
        <f t="shared" ca="1" si="53"/>
        <v>279</v>
      </c>
      <c r="CK66" s="3">
        <f t="shared" ca="1" si="54"/>
        <v>7.7383017797158556E-3</v>
      </c>
      <c r="CL66" s="3">
        <f t="shared" ca="1" si="55"/>
        <v>1</v>
      </c>
      <c r="CM66" s="3"/>
      <c r="CN66" s="1">
        <f t="shared" ca="1" si="56"/>
        <v>13.119693040349397</v>
      </c>
      <c r="CO66" s="1">
        <f t="shared" ca="1" si="57"/>
        <v>0.39050085082241032</v>
      </c>
      <c r="CP66" s="1">
        <f t="shared" ca="1" si="58"/>
        <v>5</v>
      </c>
      <c r="CV66" s="1">
        <f t="shared" ca="1" si="59"/>
        <v>4.613988924251867</v>
      </c>
      <c r="CW66" s="1">
        <f t="shared" ca="1" si="60"/>
        <v>342</v>
      </c>
      <c r="CX66" s="1">
        <f t="shared" ca="1" si="61"/>
        <v>9.7196340614066675E-3</v>
      </c>
      <c r="DH66" s="1">
        <f t="shared" ca="1" si="62"/>
        <v>456</v>
      </c>
      <c r="DI66" s="1">
        <f t="shared" ca="1" si="63"/>
        <v>0.76149245611997329</v>
      </c>
      <c r="DJ66" s="1">
        <f t="shared" ca="1" si="64"/>
        <v>26</v>
      </c>
      <c r="DL66" s="1">
        <f t="shared" ca="1" si="65"/>
        <v>9.2878815318493846E-2</v>
      </c>
      <c r="DM66" s="1">
        <f t="shared" ca="1" si="66"/>
        <v>72</v>
      </c>
      <c r="DN66" s="1">
        <f t="shared" ca="1" si="67"/>
        <v>5</v>
      </c>
    </row>
    <row r="67" spans="2:118" x14ac:dyDescent="0.25">
      <c r="B67">
        <f t="shared" ca="1" si="0"/>
        <v>619</v>
      </c>
      <c r="C67">
        <f t="shared" ca="1" si="1"/>
        <v>27</v>
      </c>
      <c r="D67">
        <f t="shared" ca="1" si="2"/>
        <v>1.6712271369800788E-2</v>
      </c>
      <c r="F67" s="1">
        <f t="shared" ca="1" si="3"/>
        <v>7</v>
      </c>
      <c r="G67" s="1">
        <f t="shared" ca="1" si="4"/>
        <v>12</v>
      </c>
      <c r="H67" s="1">
        <f t="shared" ca="1" si="5"/>
        <v>13</v>
      </c>
      <c r="I67" s="1"/>
      <c r="J67" s="1">
        <f t="shared" ca="1" si="6"/>
        <v>5</v>
      </c>
      <c r="K67" s="1">
        <f t="shared" ca="1" si="7"/>
        <v>2.1068618913457327</v>
      </c>
      <c r="L67" s="1">
        <f t="shared" ca="1" si="8"/>
        <v>12</v>
      </c>
      <c r="M67" s="1"/>
      <c r="N67" s="1">
        <f t="shared" ca="1" si="9"/>
        <v>451</v>
      </c>
      <c r="O67" s="1">
        <f t="shared" ca="1" si="10"/>
        <v>26</v>
      </c>
      <c r="P67" s="1"/>
      <c r="Q67" s="1">
        <f t="shared" ca="1" si="11"/>
        <v>1.1394928616549316</v>
      </c>
      <c r="R67" s="1">
        <f t="shared" ca="1" si="12"/>
        <v>587</v>
      </c>
      <c r="S67" s="1"/>
      <c r="T67" s="1">
        <f t="shared" ca="1" si="13"/>
        <v>0.13011979056966508</v>
      </c>
      <c r="U67" s="1">
        <f t="shared" ca="1" si="14"/>
        <v>167</v>
      </c>
      <c r="V67" s="1">
        <f t="shared" ca="1" si="15"/>
        <v>13</v>
      </c>
      <c r="W67" s="1"/>
      <c r="X67" s="1">
        <f t="shared" ca="1" si="16"/>
        <v>4.6806710064675929</v>
      </c>
      <c r="Y67" s="1">
        <f t="shared" ca="1" si="17"/>
        <v>0.79612094653185028</v>
      </c>
      <c r="Z67" s="1">
        <f t="shared" ca="1" si="18"/>
        <v>838</v>
      </c>
      <c r="AB67" s="1">
        <f t="shared" ca="1" si="19"/>
        <v>8.3335870032278977E-2</v>
      </c>
      <c r="AC67" s="1">
        <f t="shared" ca="1" si="20"/>
        <v>754</v>
      </c>
      <c r="AD67" s="1">
        <f t="shared" ca="1" si="21"/>
        <v>1.9461813545576107E-3</v>
      </c>
      <c r="AE67" s="1"/>
      <c r="AF67" s="1">
        <f t="shared" ca="1" si="22"/>
        <v>0.63094518385088472</v>
      </c>
      <c r="AG67" s="1">
        <f t="shared" ca="1" si="23"/>
        <v>705</v>
      </c>
      <c r="AH67" s="1">
        <f t="shared" ca="1" si="24"/>
        <v>1.0860072367364824E-3</v>
      </c>
      <c r="AJ67" s="1">
        <f t="shared" ca="1" si="25"/>
        <v>0.42665753435183729</v>
      </c>
      <c r="AK67" s="1">
        <f t="shared" ca="1" si="26"/>
        <v>8.8305238423675176E-3</v>
      </c>
      <c r="AL67" s="1"/>
      <c r="AM67" s="1">
        <f t="shared" ca="1" si="27"/>
        <v>7.8505758170461085E-2</v>
      </c>
      <c r="AN67" s="1">
        <f t="shared" ca="1" si="28"/>
        <v>59</v>
      </c>
      <c r="AO67" s="1">
        <f t="shared" ca="1" si="29"/>
        <v>16</v>
      </c>
      <c r="AQ67" s="1">
        <f t="shared" ca="1" si="30"/>
        <v>160</v>
      </c>
      <c r="AR67" s="1">
        <f t="shared" ca="1" si="31"/>
        <v>5</v>
      </c>
      <c r="AS67" s="1">
        <f t="shared" ca="1" si="32"/>
        <v>87</v>
      </c>
      <c r="AU67" s="1">
        <f t="shared" ca="1" si="33"/>
        <v>80</v>
      </c>
      <c r="AV67" s="1">
        <f t="shared" ca="1" si="34"/>
        <v>2</v>
      </c>
      <c r="AW67" s="1">
        <f t="shared" ca="1" si="35"/>
        <v>0.18203419323497563</v>
      </c>
      <c r="AY67" s="1">
        <f t="shared" ca="1" si="36"/>
        <v>1.2875975323090554</v>
      </c>
      <c r="AZ67" s="1">
        <f t="shared" ca="1" si="37"/>
        <v>336</v>
      </c>
      <c r="BA67" s="1">
        <f t="shared" ca="1" si="38"/>
        <v>8.522447587893632E-3</v>
      </c>
      <c r="BG67" s="1">
        <f t="shared" ca="1" si="39"/>
        <v>9.8887250425870696E-2</v>
      </c>
      <c r="BH67" s="1">
        <f t="shared" ca="1" si="40"/>
        <v>4.0821080754182115E-2</v>
      </c>
      <c r="BI67" s="1">
        <f t="shared" ca="1" si="41"/>
        <v>229</v>
      </c>
      <c r="BV67" s="1">
        <f t="shared" ca="1" si="42"/>
        <v>0.76244927962955789</v>
      </c>
      <c r="BW67" s="1">
        <f t="shared" ca="1" si="43"/>
        <v>642</v>
      </c>
      <c r="BX67" s="1">
        <f t="shared" ca="1" si="44"/>
        <v>1.2760163166173229E-3</v>
      </c>
      <c r="BY67" s="1">
        <f t="shared" ca="1" si="45"/>
        <v>8.7183131491632648E-2</v>
      </c>
      <c r="BZ67" s="1">
        <f t="shared" ca="1" si="46"/>
        <v>0.88613546629023465</v>
      </c>
      <c r="CB67" s="1">
        <f t="shared" ca="1" si="47"/>
        <v>394</v>
      </c>
      <c r="CC67" s="1">
        <f t="shared" ca="1" si="48"/>
        <v>13</v>
      </c>
      <c r="CD67" s="1">
        <f t="shared" ca="1" si="49"/>
        <v>0.29809782168704796</v>
      </c>
      <c r="CE67" s="1">
        <f t="shared" ca="1" si="68"/>
        <v>0.89776045962167661</v>
      </c>
      <c r="CF67" s="1">
        <f t="shared" ca="1" si="68"/>
        <v>0.96509104191436157</v>
      </c>
      <c r="CH67" s="3">
        <f t="shared" ca="1" si="51"/>
        <v>0.7659425927272816</v>
      </c>
      <c r="CI67" s="3">
        <f t="shared" ca="1" si="52"/>
        <v>0.95596100885608071</v>
      </c>
      <c r="CJ67" s="3">
        <f t="shared" ca="1" si="53"/>
        <v>757</v>
      </c>
      <c r="CK67" s="3">
        <f t="shared" ca="1" si="54"/>
        <v>9.6897752247749307E-3</v>
      </c>
      <c r="CL67" s="3">
        <f t="shared" ca="1" si="55"/>
        <v>1</v>
      </c>
      <c r="CM67" s="3"/>
      <c r="CN67" s="1">
        <f t="shared" ca="1" si="56"/>
        <v>4.8054902149938181</v>
      </c>
      <c r="CO67" s="1">
        <f t="shared" ca="1" si="57"/>
        <v>0.24717269067602538</v>
      </c>
      <c r="CP67" s="1">
        <f t="shared" ca="1" si="58"/>
        <v>4</v>
      </c>
      <c r="CV67" s="1">
        <f t="shared" ca="1" si="59"/>
        <v>8.1534700246371106</v>
      </c>
      <c r="CW67" s="1">
        <f t="shared" ca="1" si="60"/>
        <v>1070</v>
      </c>
      <c r="CX67" s="1">
        <f t="shared" ca="1" si="61"/>
        <v>5.3753469111091278E-3</v>
      </c>
      <c r="DH67" s="1">
        <f t="shared" ca="1" si="62"/>
        <v>132</v>
      </c>
      <c r="DI67" s="1">
        <f t="shared" ca="1" si="63"/>
        <v>0.20908889779869025</v>
      </c>
      <c r="DJ67" s="1">
        <f t="shared" ca="1" si="64"/>
        <v>21</v>
      </c>
      <c r="DL67" s="1">
        <f t="shared" ca="1" si="65"/>
        <v>1.0467479385499651E-2</v>
      </c>
      <c r="DM67" s="1">
        <f t="shared" ca="1" si="66"/>
        <v>284</v>
      </c>
      <c r="DN67" s="1">
        <f t="shared" ca="1" si="67"/>
        <v>8</v>
      </c>
    </row>
    <row r="68" spans="2:118" x14ac:dyDescent="0.25">
      <c r="B68">
        <f t="shared" ref="B68:B131" ca="1" si="69">RANDBETWEEN(15,1000)</f>
        <v>511</v>
      </c>
      <c r="C68">
        <f t="shared" ref="C68:C131" ca="1" si="70">RANDBETWEEN(2,52)</f>
        <v>31</v>
      </c>
      <c r="D68">
        <f t="shared" ref="D68:D131" ca="1" si="71">RAND()*(0.3-0.01)+0.01</f>
        <v>0.2986683941299248</v>
      </c>
      <c r="F68" s="1">
        <f t="shared" ref="F68:F131" ca="1" si="72">RANDBETWEEN(2,52)</f>
        <v>4</v>
      </c>
      <c r="G68" s="1">
        <f t="shared" ref="G68:G131" ca="1" si="73">RANDBETWEEN(2,30)</f>
        <v>14</v>
      </c>
      <c r="H68" s="1">
        <f t="shared" ref="H68:H131" ca="1" si="74">RANDBETWEEN(1,15)</f>
        <v>4</v>
      </c>
      <c r="I68" s="1"/>
      <c r="J68" s="1">
        <f t="shared" ref="J68:J131" ca="1" si="75">RANDBETWEEN(1,39)</f>
        <v>24</v>
      </c>
      <c r="K68" s="1">
        <f t="shared" ref="K68:K131" ca="1" si="76">RAND()*(3-1)+1</f>
        <v>2.6576958242141351</v>
      </c>
      <c r="L68" s="1">
        <f t="shared" ref="L68:L131" ca="1" si="77">RANDBETWEEN(2,35)</f>
        <v>2</v>
      </c>
      <c r="M68" s="1"/>
      <c r="N68" s="1">
        <f t="shared" ref="N68:N131" ca="1" si="78">RANDBETWEEN(15,1000)</f>
        <v>169</v>
      </c>
      <c r="O68" s="1">
        <f t="shared" ref="O68:O131" ca="1" si="79">RANDBETWEEN(2,52)</f>
        <v>4</v>
      </c>
      <c r="P68" s="1"/>
      <c r="Q68" s="1">
        <f t="shared" ref="Q68:Q131" ca="1" si="80">RAND()*(5-0.01)+0.01</f>
        <v>1.9568610584448412</v>
      </c>
      <c r="R68" s="1">
        <f t="shared" ref="R68:R131" ca="1" si="81">RANDBETWEEN(200,1200)</f>
        <v>261</v>
      </c>
      <c r="S68" s="1"/>
      <c r="T68" s="1">
        <f t="shared" ref="T68:T131" ca="1" si="82">RAND()*(0.2-0.01)+0.01</f>
        <v>1.4327960887956997E-2</v>
      </c>
      <c r="U68" s="1">
        <f t="shared" ref="U68:U131" ca="1" si="83">RANDBETWEEN(50,450)</f>
        <v>125</v>
      </c>
      <c r="V68" s="1">
        <f t="shared" ref="V68:V131" ca="1" si="84">RANDBETWEEN(2,52)</f>
        <v>21</v>
      </c>
      <c r="W68" s="1"/>
      <c r="X68" s="1">
        <f t="shared" ref="X68:X131" ca="1" si="85">RAND()*(10-0.01)+0.01</f>
        <v>6.3572126224971326</v>
      </c>
      <c r="Y68" s="1">
        <f t="shared" ref="Y68:Y131" ca="1" si="86">RAND()*(1-0.0001)+0.0001</f>
        <v>0.41793235029005382</v>
      </c>
      <c r="Z68" s="1">
        <f t="shared" ref="Z68:Z131" ca="1" si="87">RANDBETWEEN(100,2000)</f>
        <v>1251</v>
      </c>
      <c r="AB68" s="1">
        <f t="shared" ref="AB68:AB131" ca="1" si="88">RAND()*(1-0.0001)+0.0001</f>
        <v>0.23702581223411395</v>
      </c>
      <c r="AC68" s="1">
        <f t="shared" ref="AC68:AC131" ca="1" si="89">RANDBETWEEN(100,1000)</f>
        <v>399</v>
      </c>
      <c r="AD68" s="1">
        <f t="shared" ref="AD68:AD131" ca="1" si="90">RAND()*(0.01-0.00001)+0.00001</f>
        <v>2.170950401093039E-3</v>
      </c>
      <c r="AE68" s="1"/>
      <c r="AF68" s="1">
        <f t="shared" ref="AF68:AF131" ca="1" si="91">RAND()*(0.9-0.1)+0.1</f>
        <v>0.3972363545276687</v>
      </c>
      <c r="AG68" s="1">
        <f t="shared" ref="AG68:AG131" ca="1" si="92">RANDBETWEEN(100,1000)</f>
        <v>759</v>
      </c>
      <c r="AH68" s="1">
        <f t="shared" ref="AH68:AH131" ca="1" si="93">RAND()*(0.01-0.00001)+0.00001</f>
        <v>2.8382025083766491E-3</v>
      </c>
      <c r="AJ68" s="1">
        <f t="shared" ref="AJ68:AJ131" ca="1" si="94">RAND()*(1-0)+0</f>
        <v>0.57962216162168867</v>
      </c>
      <c r="AK68" s="1">
        <f t="shared" ref="AK68:AK131" ca="1" si="95">RAND()*(0.01-0.00001)+0.00001</f>
        <v>1.9970194703777234E-3</v>
      </c>
      <c r="AL68" s="1"/>
      <c r="AM68" s="1">
        <f t="shared" ref="AM68:AM131" ca="1" si="96">RAND()*(0.2-0.005)+0.005</f>
        <v>4.1942637088406093E-2</v>
      </c>
      <c r="AN68" s="1">
        <f t="shared" ref="AN68:AN131" ca="1" si="97">RANDBETWEEN(10,80)</f>
        <v>23</v>
      </c>
      <c r="AO68" s="1">
        <f t="shared" ref="AO68:AO131" ca="1" si="98">RANDBETWEEN(-1,20)</f>
        <v>2</v>
      </c>
      <c r="AQ68" s="1">
        <f t="shared" ref="AQ68:AQ131" ca="1" si="99">RANDBETWEEN(10,200)</f>
        <v>105</v>
      </c>
      <c r="AR68" s="1">
        <f t="shared" ref="AR68:AR131" ca="1" si="100">RANDBETWEEN(0,10)</f>
        <v>8</v>
      </c>
      <c r="AS68" s="1">
        <f t="shared" ref="AS68:AS131" ca="1" si="101">RANDBETWEEN(1,100)</f>
        <v>64</v>
      </c>
      <c r="AU68" s="1">
        <f t="shared" ref="AU68:AU131" ca="1" si="102">RANDBETWEEN(50,400)</f>
        <v>381</v>
      </c>
      <c r="AV68" s="1">
        <f t="shared" ref="AV68:AV131" ca="1" si="103">RANDBETWEEN(2,10)</f>
        <v>7</v>
      </c>
      <c r="AW68" s="1">
        <f t="shared" ref="AW68:AW131" ca="1" si="104">RAND()*(0.2-0.01)+0.01</f>
        <v>1.0223538953914233E-2</v>
      </c>
      <c r="AY68" s="1">
        <f t="shared" ref="AY68:AY131" ca="1" si="105">RAND()*(2-1.1)+1.1</f>
        <v>1.7092218127655494</v>
      </c>
      <c r="AZ68" s="1">
        <f t="shared" ref="AZ68:AZ131" ca="1" si="106">RANDBETWEEN(50,500)</f>
        <v>355</v>
      </c>
      <c r="BA68" s="1">
        <f t="shared" ref="BA68:BA131" ca="1" si="107">RAND()*(0.01-0.00001)+0.00001</f>
        <v>1.6938970189093803E-3</v>
      </c>
      <c r="BG68" s="1">
        <f t="shared" ref="BG68:BG131" ca="1" si="108">RAND()*(1-0.0001)+0.0001</f>
        <v>0.76319125748168315</v>
      </c>
      <c r="BH68" s="1">
        <f t="shared" ref="BH68:BH131" ca="1" si="109">RAND()*(1-0)+0</f>
        <v>0.96906829359924818</v>
      </c>
      <c r="BI68" s="1">
        <f t="shared" ref="BI68:BI131" ca="1" si="110">RANDBETWEEN(100,1000)</f>
        <v>549</v>
      </c>
      <c r="BV68" s="1">
        <f t="shared" ref="BV68:BV131" ca="1" si="111">RAND()*(1-0.0001)+0.0001</f>
        <v>0.77056497337017293</v>
      </c>
      <c r="BW68" s="1">
        <f t="shared" ref="BW68:BW131" ca="1" si="112">RANDBETWEEN(100,1000)</f>
        <v>522</v>
      </c>
      <c r="BX68" s="1">
        <f t="shared" ref="BX68:BX131" ca="1" si="113">RAND()*(0.01-0.00001)+0.00001</f>
        <v>5.1345784654402574E-3</v>
      </c>
      <c r="BY68" s="1">
        <f t="shared" ref="BY68:BY131" ca="1" si="114">RAND()*(0.1-0.0001)+0.0001</f>
        <v>8.9151279216716436E-2</v>
      </c>
      <c r="BZ68" s="1">
        <f t="shared" ref="BZ68:BZ131" ca="1" si="115">RAND()*(1-0)+0</f>
        <v>0.44159113637126224</v>
      </c>
      <c r="CB68" s="1">
        <f t="shared" ref="CB68:CB131" ca="1" si="116">RANDBETWEEN(50,500)</f>
        <v>53</v>
      </c>
      <c r="CC68" s="1">
        <f t="shared" ref="CC68:CC131" ca="1" si="117">RANDBETWEEN(3,15)</f>
        <v>3</v>
      </c>
      <c r="CD68" s="1">
        <f t="shared" ref="CD68:CD131" ca="1" si="118">RAND()*(0.3-0.01)+0.01</f>
        <v>0.15289234484021028</v>
      </c>
      <c r="CE68" s="1">
        <f t="shared" ref="CE68:CF99" ca="1" si="119">RAND()*(1-0.5)+0.5</f>
        <v>0.69358181515872563</v>
      </c>
      <c r="CF68" s="1">
        <f t="shared" ca="1" si="119"/>
        <v>0.66476880645608394</v>
      </c>
      <c r="CH68" s="3">
        <f t="shared" ref="CH68:CH131" ca="1" si="120">RAND()*(1-0.0001)+0.0001</f>
        <v>0.56878039804279679</v>
      </c>
      <c r="CI68" s="3">
        <f t="shared" ref="CI68:CI131" ca="1" si="121">RAND()*(0.99-0.01)+0.01</f>
        <v>0.79587921834443376</v>
      </c>
      <c r="CJ68" s="3">
        <f t="shared" ref="CJ68:CJ131" ca="1" si="122">RANDBETWEEN(100,2000)</f>
        <v>105</v>
      </c>
      <c r="CK68" s="3">
        <f t="shared" ref="CK68:CK131" ca="1" si="123">RAND()*(0.01-0.000001)+0.000001</f>
        <v>6.884810852726431E-3</v>
      </c>
      <c r="CL68" s="3">
        <f t="shared" ref="CL68:CL131" ca="1" si="124">RANDBETWEEN(0,1)</f>
        <v>0</v>
      </c>
      <c r="CM68" s="3"/>
      <c r="CN68" s="1">
        <f t="shared" ref="CN68:CN131" ca="1" si="125">RAND()*(20-0.1)+0.1</f>
        <v>6.1756955820291424</v>
      </c>
      <c r="CO68" s="1">
        <f t="shared" ref="CO68:CO131" ca="1" si="126">RAND()*(0.5-0.001)+0.001</f>
        <v>0.29459089343005596</v>
      </c>
      <c r="CP68" s="1">
        <f t="shared" ref="CP68:CP131" ca="1" si="127">RANDBETWEEN(1,5)</f>
        <v>3</v>
      </c>
      <c r="CV68" s="1">
        <f t="shared" ref="CV68:CV131" ca="1" si="128">RAND()*(10-0.0001)+0.0001</f>
        <v>6.4860397452145593</v>
      </c>
      <c r="CW68" s="1">
        <f t="shared" ref="CW68:CW131" ca="1" si="129">RANDBETWEEN(100,2000)</f>
        <v>871</v>
      </c>
      <c r="CX68" s="1">
        <f t="shared" ref="CX68:CX131" ca="1" si="130">RAND()*(0.01-0.000001)+0.000001</f>
        <v>5.7636023956609819E-3</v>
      </c>
      <c r="DH68" s="1">
        <f t="shared" ref="DH68:DH131" ca="1" si="131">RANDBETWEEN(10,900)</f>
        <v>763</v>
      </c>
      <c r="DI68" s="1">
        <f t="shared" ref="DI68:DI131" ca="1" si="132">RAND()*(1-0.001)+0.001</f>
        <v>0.31795839049128882</v>
      </c>
      <c r="DJ68" s="1">
        <f t="shared" ref="DJ68:DJ131" ca="1" si="133">RANDBETWEEN(1,30)</f>
        <v>10</v>
      </c>
      <c r="DL68" s="1">
        <f t="shared" ref="DL68:DL131" ca="1" si="134">RAND()*(0.2-0.01)+0.01</f>
        <v>7.0906592686362402E-2</v>
      </c>
      <c r="DM68" s="1">
        <f t="shared" ref="DM68:DM131" ca="1" si="135">RANDBETWEEN(50,300)</f>
        <v>84</v>
      </c>
      <c r="DN68" s="1">
        <f t="shared" ref="DN68:DN131" ca="1" si="136">RANDBETWEEN(1,10)</f>
        <v>7</v>
      </c>
    </row>
    <row r="69" spans="2:118" x14ac:dyDescent="0.25">
      <c r="B69">
        <f t="shared" ca="1" si="69"/>
        <v>941</v>
      </c>
      <c r="C69">
        <f t="shared" ca="1" si="70"/>
        <v>43</v>
      </c>
      <c r="D69">
        <f t="shared" ca="1" si="71"/>
        <v>0.16240455614129704</v>
      </c>
      <c r="F69" s="1">
        <f t="shared" ca="1" si="72"/>
        <v>41</v>
      </c>
      <c r="G69" s="1">
        <f t="shared" ca="1" si="73"/>
        <v>2</v>
      </c>
      <c r="H69" s="1">
        <f t="shared" ca="1" si="74"/>
        <v>12</v>
      </c>
      <c r="I69" s="1"/>
      <c r="J69" s="1">
        <f t="shared" ca="1" si="75"/>
        <v>10</v>
      </c>
      <c r="K69" s="1">
        <f t="shared" ca="1" si="76"/>
        <v>2.52978424333998</v>
      </c>
      <c r="L69" s="1">
        <f t="shared" ca="1" si="77"/>
        <v>17</v>
      </c>
      <c r="M69" s="1"/>
      <c r="N69" s="1">
        <f t="shared" ca="1" si="78"/>
        <v>490</v>
      </c>
      <c r="O69" s="1">
        <f t="shared" ca="1" si="79"/>
        <v>6</v>
      </c>
      <c r="P69" s="1"/>
      <c r="Q69" s="1">
        <f t="shared" ca="1" si="80"/>
        <v>6.0952470960668206E-2</v>
      </c>
      <c r="R69" s="1">
        <f t="shared" ca="1" si="81"/>
        <v>1119</v>
      </c>
      <c r="S69" s="1"/>
      <c r="T69" s="1">
        <f t="shared" ca="1" si="82"/>
        <v>0.17381156582249471</v>
      </c>
      <c r="U69" s="1">
        <f t="shared" ca="1" si="83"/>
        <v>230</v>
      </c>
      <c r="V69" s="1">
        <f t="shared" ca="1" si="84"/>
        <v>35</v>
      </c>
      <c r="W69" s="1"/>
      <c r="X69" s="1">
        <f t="shared" ca="1" si="85"/>
        <v>8.4707879070279244</v>
      </c>
      <c r="Y69" s="1">
        <f t="shared" ca="1" si="86"/>
        <v>1.3124071112871569E-2</v>
      </c>
      <c r="Z69" s="1">
        <f t="shared" ca="1" si="87"/>
        <v>909</v>
      </c>
      <c r="AB69" s="1">
        <f t="shared" ca="1" si="88"/>
        <v>0.19030073970992795</v>
      </c>
      <c r="AC69" s="1">
        <f t="shared" ca="1" si="89"/>
        <v>304</v>
      </c>
      <c r="AD69" s="1">
        <f t="shared" ca="1" si="90"/>
        <v>2.0861189217675339E-3</v>
      </c>
      <c r="AE69" s="1"/>
      <c r="AF69" s="1">
        <f t="shared" ca="1" si="91"/>
        <v>0.59844563049283073</v>
      </c>
      <c r="AG69" s="1">
        <f t="shared" ca="1" si="92"/>
        <v>680</v>
      </c>
      <c r="AH69" s="1">
        <f t="shared" ca="1" si="93"/>
        <v>2.4746017295735091E-3</v>
      </c>
      <c r="AJ69" s="1">
        <f t="shared" ca="1" si="94"/>
        <v>4.238383381944999E-2</v>
      </c>
      <c r="AK69" s="1">
        <f t="shared" ca="1" si="95"/>
        <v>1.3297304869127834E-3</v>
      </c>
      <c r="AL69" s="1"/>
      <c r="AM69" s="1">
        <f t="shared" ca="1" si="96"/>
        <v>0.17553285794055315</v>
      </c>
      <c r="AN69" s="1">
        <f t="shared" ca="1" si="97"/>
        <v>55</v>
      </c>
      <c r="AO69" s="1">
        <f t="shared" ca="1" si="98"/>
        <v>10</v>
      </c>
      <c r="AQ69" s="1">
        <f t="shared" ca="1" si="99"/>
        <v>192</v>
      </c>
      <c r="AR69" s="1">
        <f t="shared" ca="1" si="100"/>
        <v>10</v>
      </c>
      <c r="AS69" s="1">
        <f t="shared" ca="1" si="101"/>
        <v>14</v>
      </c>
      <c r="AU69" s="1">
        <f t="shared" ca="1" si="102"/>
        <v>302</v>
      </c>
      <c r="AV69" s="1">
        <f t="shared" ca="1" si="103"/>
        <v>6</v>
      </c>
      <c r="AW69" s="1">
        <f t="shared" ca="1" si="104"/>
        <v>0.13599155526231618</v>
      </c>
      <c r="AY69" s="1">
        <f t="shared" ca="1" si="105"/>
        <v>1.7705149318766753</v>
      </c>
      <c r="AZ69" s="1">
        <f t="shared" ca="1" si="106"/>
        <v>347</v>
      </c>
      <c r="BA69" s="1">
        <f t="shared" ca="1" si="107"/>
        <v>6.7225537145835599E-3</v>
      </c>
      <c r="BG69" s="1">
        <f t="shared" ca="1" si="108"/>
        <v>0.27738691396116139</v>
      </c>
      <c r="BH69" s="1">
        <f t="shared" ca="1" si="109"/>
        <v>4.443466327008283E-2</v>
      </c>
      <c r="BI69" s="1">
        <f t="shared" ca="1" si="110"/>
        <v>705</v>
      </c>
      <c r="BV69" s="1">
        <f t="shared" ca="1" si="111"/>
        <v>0.32862345781298269</v>
      </c>
      <c r="BW69" s="1">
        <f t="shared" ca="1" si="112"/>
        <v>832</v>
      </c>
      <c r="BX69" s="1">
        <f t="shared" ca="1" si="113"/>
        <v>8.5921114767071698E-3</v>
      </c>
      <c r="BY69" s="1">
        <f t="shared" ca="1" si="114"/>
        <v>3.4903978920197566E-2</v>
      </c>
      <c r="BZ69" s="1">
        <f t="shared" ca="1" si="115"/>
        <v>0.3595414004877715</v>
      </c>
      <c r="CB69" s="1">
        <f t="shared" ca="1" si="116"/>
        <v>249</v>
      </c>
      <c r="CC69" s="1">
        <f t="shared" ca="1" si="117"/>
        <v>13</v>
      </c>
      <c r="CD69" s="1">
        <f t="shared" ca="1" si="118"/>
        <v>0.13470001599546014</v>
      </c>
      <c r="CE69" s="1">
        <f t="shared" ca="1" si="119"/>
        <v>0.54208499851087044</v>
      </c>
      <c r="CF69" s="1">
        <f t="shared" ca="1" si="119"/>
        <v>0.57463490064147726</v>
      </c>
      <c r="CH69" s="3">
        <f t="shared" ca="1" si="120"/>
        <v>0.31042644694736399</v>
      </c>
      <c r="CI69" s="3">
        <f t="shared" ca="1" si="121"/>
        <v>0.71177788419452104</v>
      </c>
      <c r="CJ69" s="3">
        <f t="shared" ca="1" si="122"/>
        <v>1232</v>
      </c>
      <c r="CK69" s="3">
        <f t="shared" ca="1" si="123"/>
        <v>6.9325604576367739E-3</v>
      </c>
      <c r="CL69" s="3">
        <f t="shared" ca="1" si="124"/>
        <v>1</v>
      </c>
      <c r="CM69" s="3"/>
      <c r="CN69" s="1">
        <f t="shared" ca="1" si="125"/>
        <v>19.048387087955113</v>
      </c>
      <c r="CO69" s="1">
        <f t="shared" ca="1" si="126"/>
        <v>0.48150725681234641</v>
      </c>
      <c r="CP69" s="1">
        <f t="shared" ca="1" si="127"/>
        <v>3</v>
      </c>
      <c r="CV69" s="1">
        <f t="shared" ca="1" si="128"/>
        <v>8.6027556597537664</v>
      </c>
      <c r="CW69" s="1">
        <f t="shared" ca="1" si="129"/>
        <v>340</v>
      </c>
      <c r="CX69" s="1">
        <f t="shared" ca="1" si="130"/>
        <v>2.7368812000657483E-3</v>
      </c>
      <c r="DH69" s="1">
        <f t="shared" ca="1" si="131"/>
        <v>432</v>
      </c>
      <c r="DI69" s="1">
        <f t="shared" ca="1" si="132"/>
        <v>0.6226275275304255</v>
      </c>
      <c r="DJ69" s="1">
        <f t="shared" ca="1" si="133"/>
        <v>12</v>
      </c>
      <c r="DL69" s="1">
        <f t="shared" ca="1" si="134"/>
        <v>8.3338765760172129E-2</v>
      </c>
      <c r="DM69" s="1">
        <f t="shared" ca="1" si="135"/>
        <v>54</v>
      </c>
      <c r="DN69" s="1">
        <f t="shared" ca="1" si="136"/>
        <v>9</v>
      </c>
    </row>
    <row r="70" spans="2:118" x14ac:dyDescent="0.25">
      <c r="B70">
        <f t="shared" ca="1" si="69"/>
        <v>65</v>
      </c>
      <c r="C70">
        <f t="shared" ca="1" si="70"/>
        <v>21</v>
      </c>
      <c r="D70">
        <f t="shared" ca="1" si="71"/>
        <v>0.15343756517164067</v>
      </c>
      <c r="F70" s="1">
        <f t="shared" ca="1" si="72"/>
        <v>23</v>
      </c>
      <c r="G70" s="1">
        <f t="shared" ca="1" si="73"/>
        <v>5</v>
      </c>
      <c r="H70" s="1">
        <f t="shared" ca="1" si="74"/>
        <v>5</v>
      </c>
      <c r="I70" s="1"/>
      <c r="J70" s="1">
        <f t="shared" ca="1" si="75"/>
        <v>25</v>
      </c>
      <c r="K70" s="1">
        <f t="shared" ca="1" si="76"/>
        <v>1.2085056206654916</v>
      </c>
      <c r="L70" s="1">
        <f t="shared" ca="1" si="77"/>
        <v>31</v>
      </c>
      <c r="M70" s="1"/>
      <c r="N70" s="1">
        <f t="shared" ca="1" si="78"/>
        <v>626</v>
      </c>
      <c r="O70" s="1">
        <f t="shared" ca="1" si="79"/>
        <v>14</v>
      </c>
      <c r="P70" s="1"/>
      <c r="Q70" s="1">
        <f t="shared" ca="1" si="80"/>
        <v>4.5498171066216715</v>
      </c>
      <c r="R70" s="1">
        <f t="shared" ca="1" si="81"/>
        <v>938</v>
      </c>
      <c r="S70" s="1"/>
      <c r="T70" s="1">
        <f t="shared" ca="1" si="82"/>
        <v>0.12896938228560673</v>
      </c>
      <c r="U70" s="1">
        <f t="shared" ca="1" si="83"/>
        <v>357</v>
      </c>
      <c r="V70" s="1">
        <f t="shared" ca="1" si="84"/>
        <v>44</v>
      </c>
      <c r="W70" s="1"/>
      <c r="X70" s="1">
        <f t="shared" ca="1" si="85"/>
        <v>8.6230084942011267</v>
      </c>
      <c r="Y70" s="1">
        <f t="shared" ca="1" si="86"/>
        <v>0.24758444283659709</v>
      </c>
      <c r="Z70" s="1">
        <f t="shared" ca="1" si="87"/>
        <v>1360</v>
      </c>
      <c r="AB70" s="1">
        <f t="shared" ca="1" si="88"/>
        <v>0.75300982624711954</v>
      </c>
      <c r="AC70" s="1">
        <f t="shared" ca="1" si="89"/>
        <v>375</v>
      </c>
      <c r="AD70" s="1">
        <f t="shared" ca="1" si="90"/>
        <v>6.3572791136577451E-4</v>
      </c>
      <c r="AE70" s="1"/>
      <c r="AF70" s="1">
        <f t="shared" ca="1" si="91"/>
        <v>0.62290619932956892</v>
      </c>
      <c r="AG70" s="1">
        <f t="shared" ca="1" si="92"/>
        <v>442</v>
      </c>
      <c r="AH70" s="1">
        <f t="shared" ca="1" si="93"/>
        <v>7.326917263375301E-4</v>
      </c>
      <c r="AJ70" s="1">
        <f t="shared" ca="1" si="94"/>
        <v>0.22752033887267908</v>
      </c>
      <c r="AK70" s="1">
        <f t="shared" ca="1" si="95"/>
        <v>7.0384016931421024E-3</v>
      </c>
      <c r="AL70" s="1"/>
      <c r="AM70" s="1">
        <f t="shared" ca="1" si="96"/>
        <v>0.18702426900049277</v>
      </c>
      <c r="AN70" s="1">
        <f t="shared" ca="1" si="97"/>
        <v>57</v>
      </c>
      <c r="AO70" s="1">
        <f t="shared" ca="1" si="98"/>
        <v>2</v>
      </c>
      <c r="AQ70" s="1">
        <f t="shared" ca="1" si="99"/>
        <v>132</v>
      </c>
      <c r="AR70" s="1">
        <f t="shared" ca="1" si="100"/>
        <v>7</v>
      </c>
      <c r="AS70" s="1">
        <f t="shared" ca="1" si="101"/>
        <v>25</v>
      </c>
      <c r="AU70" s="1">
        <f t="shared" ca="1" si="102"/>
        <v>328</v>
      </c>
      <c r="AV70" s="1">
        <f t="shared" ca="1" si="103"/>
        <v>9</v>
      </c>
      <c r="AW70" s="1">
        <f t="shared" ca="1" si="104"/>
        <v>0.10130518664959047</v>
      </c>
      <c r="AY70" s="1">
        <f t="shared" ca="1" si="105"/>
        <v>1.5245898850890005</v>
      </c>
      <c r="AZ70" s="1">
        <f t="shared" ca="1" si="106"/>
        <v>74</v>
      </c>
      <c r="BA70" s="1">
        <f t="shared" ca="1" si="107"/>
        <v>8.7537236707350176E-3</v>
      </c>
      <c r="BG70" s="1">
        <f t="shared" ca="1" si="108"/>
        <v>0.11768733311036435</v>
      </c>
      <c r="BH70" s="1">
        <f t="shared" ca="1" si="109"/>
        <v>0.51113746422754647</v>
      </c>
      <c r="BI70" s="1">
        <f t="shared" ca="1" si="110"/>
        <v>418</v>
      </c>
      <c r="BV70" s="1">
        <f t="shared" ca="1" si="111"/>
        <v>0.62490277635951352</v>
      </c>
      <c r="BW70" s="1">
        <f t="shared" ca="1" si="112"/>
        <v>490</v>
      </c>
      <c r="BX70" s="1">
        <f t="shared" ca="1" si="113"/>
        <v>5.6775439073404703E-3</v>
      </c>
      <c r="BY70" s="1">
        <f t="shared" ca="1" si="114"/>
        <v>7.646622535091141E-2</v>
      </c>
      <c r="BZ70" s="1">
        <f t="shared" ca="1" si="115"/>
        <v>0.32408028393920085</v>
      </c>
      <c r="CB70" s="1">
        <f t="shared" ca="1" si="116"/>
        <v>139</v>
      </c>
      <c r="CC70" s="1">
        <f t="shared" ca="1" si="117"/>
        <v>8</v>
      </c>
      <c r="CD70" s="1">
        <f t="shared" ca="1" si="118"/>
        <v>0.25680743752292823</v>
      </c>
      <c r="CE70" s="1">
        <f t="shared" ca="1" si="119"/>
        <v>0.6069687852095893</v>
      </c>
      <c r="CF70" s="1">
        <f t="shared" ca="1" si="119"/>
        <v>0.7774249412896963</v>
      </c>
      <c r="CH70" s="3">
        <f t="shared" ca="1" si="120"/>
        <v>0.49301125510641342</v>
      </c>
      <c r="CI70" s="3">
        <f t="shared" ca="1" si="121"/>
        <v>0.47625200952917079</v>
      </c>
      <c r="CJ70" s="3">
        <f t="shared" ca="1" si="122"/>
        <v>714</v>
      </c>
      <c r="CK70" s="3">
        <f t="shared" ca="1" si="123"/>
        <v>2.3485938862076736E-3</v>
      </c>
      <c r="CL70" s="3">
        <f t="shared" ca="1" si="124"/>
        <v>0</v>
      </c>
      <c r="CM70" s="3"/>
      <c r="CN70" s="1">
        <f t="shared" ca="1" si="125"/>
        <v>19.515696354077463</v>
      </c>
      <c r="CO70" s="1">
        <f t="shared" ca="1" si="126"/>
        <v>0.13478537225137152</v>
      </c>
      <c r="CP70" s="1">
        <f t="shared" ca="1" si="127"/>
        <v>3</v>
      </c>
      <c r="CV70" s="1">
        <f t="shared" ca="1" si="128"/>
        <v>1.5081359009555484</v>
      </c>
      <c r="CW70" s="1">
        <f t="shared" ca="1" si="129"/>
        <v>1881</v>
      </c>
      <c r="CX70" s="1">
        <f t="shared" ca="1" si="130"/>
        <v>2.4317043121686657E-3</v>
      </c>
      <c r="DH70" s="1">
        <f t="shared" ca="1" si="131"/>
        <v>710</v>
      </c>
      <c r="DI70" s="1">
        <f t="shared" ca="1" si="132"/>
        <v>9.9570968740698415E-2</v>
      </c>
      <c r="DJ70" s="1">
        <f t="shared" ca="1" si="133"/>
        <v>10</v>
      </c>
      <c r="DL70" s="1">
        <f t="shared" ca="1" si="134"/>
        <v>4.8777448729165507E-2</v>
      </c>
      <c r="DM70" s="1">
        <f t="shared" ca="1" si="135"/>
        <v>226</v>
      </c>
      <c r="DN70" s="1">
        <f t="shared" ca="1" si="136"/>
        <v>7</v>
      </c>
    </row>
    <row r="71" spans="2:118" x14ac:dyDescent="0.25">
      <c r="B71">
        <f t="shared" ca="1" si="69"/>
        <v>799</v>
      </c>
      <c r="C71">
        <f t="shared" ca="1" si="70"/>
        <v>10</v>
      </c>
      <c r="D71">
        <f t="shared" ca="1" si="71"/>
        <v>1.4030435716199479E-2</v>
      </c>
      <c r="F71" s="1">
        <f t="shared" ca="1" si="72"/>
        <v>29</v>
      </c>
      <c r="G71" s="1">
        <f t="shared" ca="1" si="73"/>
        <v>5</v>
      </c>
      <c r="H71" s="1">
        <f t="shared" ca="1" si="74"/>
        <v>12</v>
      </c>
      <c r="I71" s="1"/>
      <c r="J71" s="1">
        <f t="shared" ca="1" si="75"/>
        <v>16</v>
      </c>
      <c r="K71" s="1">
        <f t="shared" ca="1" si="76"/>
        <v>1.2869837078626645</v>
      </c>
      <c r="L71" s="1">
        <f t="shared" ca="1" si="77"/>
        <v>20</v>
      </c>
      <c r="M71" s="1"/>
      <c r="N71" s="1">
        <f t="shared" ca="1" si="78"/>
        <v>633</v>
      </c>
      <c r="O71" s="1">
        <f t="shared" ca="1" si="79"/>
        <v>49</v>
      </c>
      <c r="P71" s="1"/>
      <c r="Q71" s="1">
        <f t="shared" ca="1" si="80"/>
        <v>1.4662342317932711</v>
      </c>
      <c r="R71" s="1">
        <f t="shared" ca="1" si="81"/>
        <v>960</v>
      </c>
      <c r="S71" s="1"/>
      <c r="T71" s="1">
        <f t="shared" ca="1" si="82"/>
        <v>7.001837247741767E-2</v>
      </c>
      <c r="U71" s="1">
        <f t="shared" ca="1" si="83"/>
        <v>159</v>
      </c>
      <c r="V71" s="1">
        <f t="shared" ca="1" si="84"/>
        <v>22</v>
      </c>
      <c r="W71" s="1"/>
      <c r="X71" s="1">
        <f t="shared" ca="1" si="85"/>
        <v>8.4597977403253388</v>
      </c>
      <c r="Y71" s="1">
        <f t="shared" ca="1" si="86"/>
        <v>0.27610012285651769</v>
      </c>
      <c r="Z71" s="1">
        <f t="shared" ca="1" si="87"/>
        <v>957</v>
      </c>
      <c r="AB71" s="1">
        <f t="shared" ca="1" si="88"/>
        <v>0.15278827201988657</v>
      </c>
      <c r="AC71" s="1">
        <f t="shared" ca="1" si="89"/>
        <v>255</v>
      </c>
      <c r="AD71" s="1">
        <f t="shared" ca="1" si="90"/>
        <v>1.6458786509693682E-3</v>
      </c>
      <c r="AE71" s="1"/>
      <c r="AF71" s="1">
        <f t="shared" ca="1" si="91"/>
        <v>0.44347237557213359</v>
      </c>
      <c r="AG71" s="1">
        <f t="shared" ca="1" si="92"/>
        <v>754</v>
      </c>
      <c r="AH71" s="1">
        <f t="shared" ca="1" si="93"/>
        <v>2.5686993021491926E-3</v>
      </c>
      <c r="AJ71" s="1">
        <f t="shared" ca="1" si="94"/>
        <v>0.19108037317781335</v>
      </c>
      <c r="AK71" s="1">
        <f t="shared" ca="1" si="95"/>
        <v>9.3814710576651432E-4</v>
      </c>
      <c r="AL71" s="1"/>
      <c r="AM71" s="1">
        <f t="shared" ca="1" si="96"/>
        <v>7.3133137468622406E-2</v>
      </c>
      <c r="AN71" s="1">
        <f t="shared" ca="1" si="97"/>
        <v>17</v>
      </c>
      <c r="AO71" s="1">
        <f t="shared" ca="1" si="98"/>
        <v>5</v>
      </c>
      <c r="AQ71" s="1">
        <f t="shared" ca="1" si="99"/>
        <v>12</v>
      </c>
      <c r="AR71" s="1">
        <f t="shared" ca="1" si="100"/>
        <v>6</v>
      </c>
      <c r="AS71" s="1">
        <f t="shared" ca="1" si="101"/>
        <v>100</v>
      </c>
      <c r="AU71" s="1">
        <f t="shared" ca="1" si="102"/>
        <v>357</v>
      </c>
      <c r="AV71" s="1">
        <f t="shared" ca="1" si="103"/>
        <v>6</v>
      </c>
      <c r="AW71" s="1">
        <f t="shared" ca="1" si="104"/>
        <v>5.9239645262409997E-2</v>
      </c>
      <c r="AY71" s="1">
        <f t="shared" ca="1" si="105"/>
        <v>1.8660971075186956</v>
      </c>
      <c r="AZ71" s="1">
        <f t="shared" ca="1" si="106"/>
        <v>416</v>
      </c>
      <c r="BA71" s="1">
        <f t="shared" ca="1" si="107"/>
        <v>8.0217876949750227E-3</v>
      </c>
      <c r="BG71" s="1">
        <f t="shared" ca="1" si="108"/>
        <v>0.9384859840980031</v>
      </c>
      <c r="BH71" s="1">
        <f t="shared" ca="1" si="109"/>
        <v>0.92062615751337229</v>
      </c>
      <c r="BI71" s="1">
        <f t="shared" ca="1" si="110"/>
        <v>701</v>
      </c>
      <c r="BV71" s="1">
        <f t="shared" ca="1" si="111"/>
        <v>0.30757454215321089</v>
      </c>
      <c r="BW71" s="1">
        <f t="shared" ca="1" si="112"/>
        <v>316</v>
      </c>
      <c r="BX71" s="1">
        <f t="shared" ca="1" si="113"/>
        <v>9.708204482958319E-3</v>
      </c>
      <c r="BY71" s="1">
        <f t="shared" ca="1" si="114"/>
        <v>7.3002521391951083E-2</v>
      </c>
      <c r="BZ71" s="1">
        <f t="shared" ca="1" si="115"/>
        <v>9.1117658542777979E-2</v>
      </c>
      <c r="CB71" s="1">
        <f t="shared" ca="1" si="116"/>
        <v>410</v>
      </c>
      <c r="CC71" s="1">
        <f t="shared" ca="1" si="117"/>
        <v>9</v>
      </c>
      <c r="CD71" s="1">
        <f t="shared" ca="1" si="118"/>
        <v>4.9638222189669366E-2</v>
      </c>
      <c r="CE71" s="1">
        <f t="shared" ca="1" si="119"/>
        <v>0.84125820243663774</v>
      </c>
      <c r="CF71" s="1">
        <f t="shared" ca="1" si="119"/>
        <v>0.90903876753861368</v>
      </c>
      <c r="CH71" s="3">
        <f t="shared" ca="1" si="120"/>
        <v>0.27314579849055831</v>
      </c>
      <c r="CI71" s="3">
        <f t="shared" ca="1" si="121"/>
        <v>0.97620695527854029</v>
      </c>
      <c r="CJ71" s="3">
        <f t="shared" ca="1" si="122"/>
        <v>1978</v>
      </c>
      <c r="CK71" s="3">
        <f t="shared" ca="1" si="123"/>
        <v>6.4274199969920594E-3</v>
      </c>
      <c r="CL71" s="3">
        <f t="shared" ca="1" si="124"/>
        <v>0</v>
      </c>
      <c r="CM71" s="3"/>
      <c r="CN71" s="1">
        <f t="shared" ca="1" si="125"/>
        <v>5.9850389921505407</v>
      </c>
      <c r="CO71" s="1">
        <f t="shared" ca="1" si="126"/>
        <v>0.33194207219056326</v>
      </c>
      <c r="CP71" s="1">
        <f t="shared" ca="1" si="127"/>
        <v>2</v>
      </c>
      <c r="CV71" s="1">
        <f t="shared" ca="1" si="128"/>
        <v>7.5678897100655877</v>
      </c>
      <c r="CW71" s="1">
        <f t="shared" ca="1" si="129"/>
        <v>669</v>
      </c>
      <c r="CX71" s="1">
        <f t="shared" ca="1" si="130"/>
        <v>9.8939410194503891E-3</v>
      </c>
      <c r="DH71" s="1">
        <f t="shared" ca="1" si="131"/>
        <v>716</v>
      </c>
      <c r="DI71" s="1">
        <f t="shared" ca="1" si="132"/>
        <v>9.2367154391491041E-2</v>
      </c>
      <c r="DJ71" s="1">
        <f t="shared" ca="1" si="133"/>
        <v>11</v>
      </c>
      <c r="DL71" s="1">
        <f t="shared" ca="1" si="134"/>
        <v>0.17058998451769891</v>
      </c>
      <c r="DM71" s="1">
        <f t="shared" ca="1" si="135"/>
        <v>258</v>
      </c>
      <c r="DN71" s="1">
        <f t="shared" ca="1" si="136"/>
        <v>4</v>
      </c>
    </row>
    <row r="72" spans="2:118" x14ac:dyDescent="0.25">
      <c r="B72">
        <f t="shared" ca="1" si="69"/>
        <v>461</v>
      </c>
      <c r="C72">
        <f t="shared" ca="1" si="70"/>
        <v>52</v>
      </c>
      <c r="D72">
        <f t="shared" ca="1" si="71"/>
        <v>0.2895443284512893</v>
      </c>
      <c r="F72" s="1">
        <f t="shared" ca="1" si="72"/>
        <v>28</v>
      </c>
      <c r="G72" s="1">
        <f t="shared" ca="1" si="73"/>
        <v>23</v>
      </c>
      <c r="H72" s="1">
        <f t="shared" ca="1" si="74"/>
        <v>3</v>
      </c>
      <c r="I72" s="1"/>
      <c r="J72" s="1">
        <f t="shared" ca="1" si="75"/>
        <v>3</v>
      </c>
      <c r="K72" s="1">
        <f t="shared" ca="1" si="76"/>
        <v>1.7139735905197686</v>
      </c>
      <c r="L72" s="1">
        <f t="shared" ca="1" si="77"/>
        <v>34</v>
      </c>
      <c r="M72" s="1"/>
      <c r="N72" s="1">
        <f t="shared" ca="1" si="78"/>
        <v>718</v>
      </c>
      <c r="O72" s="1">
        <f t="shared" ca="1" si="79"/>
        <v>23</v>
      </c>
      <c r="P72" s="1"/>
      <c r="Q72" s="1">
        <f t="shared" ca="1" si="80"/>
        <v>1.462172414864888</v>
      </c>
      <c r="R72" s="1">
        <f t="shared" ca="1" si="81"/>
        <v>540</v>
      </c>
      <c r="S72" s="1"/>
      <c r="T72" s="1">
        <f t="shared" ca="1" si="82"/>
        <v>4.3120136043638117E-2</v>
      </c>
      <c r="U72" s="1">
        <f t="shared" ca="1" si="83"/>
        <v>203</v>
      </c>
      <c r="V72" s="1">
        <f t="shared" ca="1" si="84"/>
        <v>20</v>
      </c>
      <c r="W72" s="1"/>
      <c r="X72" s="1">
        <f t="shared" ca="1" si="85"/>
        <v>4.7614741035291628</v>
      </c>
      <c r="Y72" s="1">
        <f t="shared" ca="1" si="86"/>
        <v>0.80535659674385252</v>
      </c>
      <c r="Z72" s="1">
        <f t="shared" ca="1" si="87"/>
        <v>678</v>
      </c>
      <c r="AB72" s="1">
        <f t="shared" ca="1" si="88"/>
        <v>6.9379359010754663E-2</v>
      </c>
      <c r="AC72" s="1">
        <f t="shared" ca="1" si="89"/>
        <v>256</v>
      </c>
      <c r="AD72" s="1">
        <f t="shared" ca="1" si="90"/>
        <v>4.4022819060572337E-3</v>
      </c>
      <c r="AE72" s="1"/>
      <c r="AF72" s="1">
        <f t="shared" ca="1" si="91"/>
        <v>0.87256973300511054</v>
      </c>
      <c r="AG72" s="1">
        <f t="shared" ca="1" si="92"/>
        <v>144</v>
      </c>
      <c r="AH72" s="1">
        <f t="shared" ca="1" si="93"/>
        <v>9.6018757465724299E-3</v>
      </c>
      <c r="AJ72" s="1">
        <f t="shared" ca="1" si="94"/>
        <v>0.61913105710018557</v>
      </c>
      <c r="AK72" s="1">
        <f t="shared" ca="1" si="95"/>
        <v>8.7274270055321963E-4</v>
      </c>
      <c r="AL72" s="1"/>
      <c r="AM72" s="1">
        <f t="shared" ca="1" si="96"/>
        <v>8.9730177171351067E-2</v>
      </c>
      <c r="AN72" s="1">
        <f t="shared" ca="1" si="97"/>
        <v>52</v>
      </c>
      <c r="AO72" s="1">
        <f t="shared" ca="1" si="98"/>
        <v>5</v>
      </c>
      <c r="AQ72" s="1">
        <f t="shared" ca="1" si="99"/>
        <v>184</v>
      </c>
      <c r="AR72" s="1">
        <f t="shared" ca="1" si="100"/>
        <v>8</v>
      </c>
      <c r="AS72" s="1">
        <f t="shared" ca="1" si="101"/>
        <v>34</v>
      </c>
      <c r="AU72" s="1">
        <f t="shared" ca="1" si="102"/>
        <v>128</v>
      </c>
      <c r="AV72" s="1">
        <f t="shared" ca="1" si="103"/>
        <v>10</v>
      </c>
      <c r="AW72" s="1">
        <f t="shared" ca="1" si="104"/>
        <v>0.16577414160113049</v>
      </c>
      <c r="AY72" s="1">
        <f t="shared" ca="1" si="105"/>
        <v>1.7429431408091356</v>
      </c>
      <c r="AZ72" s="1">
        <f t="shared" ca="1" si="106"/>
        <v>273</v>
      </c>
      <c r="BA72" s="1">
        <f t="shared" ca="1" si="107"/>
        <v>5.9264500282396222E-3</v>
      </c>
      <c r="BG72" s="1">
        <f t="shared" ca="1" si="108"/>
        <v>0.46493604891486068</v>
      </c>
      <c r="BH72" s="1">
        <f t="shared" ca="1" si="109"/>
        <v>0.8196424038480129</v>
      </c>
      <c r="BI72" s="1">
        <f t="shared" ca="1" si="110"/>
        <v>687</v>
      </c>
      <c r="BV72" s="1">
        <f t="shared" ca="1" si="111"/>
        <v>0.9237515007977708</v>
      </c>
      <c r="BW72" s="1">
        <f t="shared" ca="1" si="112"/>
        <v>982</v>
      </c>
      <c r="BX72" s="1">
        <f t="shared" ca="1" si="113"/>
        <v>8.1776641221722318E-3</v>
      </c>
      <c r="BY72" s="1">
        <f t="shared" ca="1" si="114"/>
        <v>8.6451478775737209E-2</v>
      </c>
      <c r="BZ72" s="1">
        <f t="shared" ca="1" si="115"/>
        <v>0.52493962236265368</v>
      </c>
      <c r="CB72" s="1">
        <f t="shared" ca="1" si="116"/>
        <v>164</v>
      </c>
      <c r="CC72" s="1">
        <f t="shared" ca="1" si="117"/>
        <v>12</v>
      </c>
      <c r="CD72" s="1">
        <f t="shared" ca="1" si="118"/>
        <v>0.15536755413569414</v>
      </c>
      <c r="CE72" s="1">
        <f t="shared" ca="1" si="119"/>
        <v>0.86034283109779297</v>
      </c>
      <c r="CF72" s="1">
        <f t="shared" ca="1" si="119"/>
        <v>0.70114012800131698</v>
      </c>
      <c r="CH72" s="3">
        <f t="shared" ca="1" si="120"/>
        <v>0.52550615269934609</v>
      </c>
      <c r="CI72" s="3">
        <f t="shared" ca="1" si="121"/>
        <v>0.84252217875198387</v>
      </c>
      <c r="CJ72" s="3">
        <f t="shared" ca="1" si="122"/>
        <v>758</v>
      </c>
      <c r="CK72" s="3">
        <f t="shared" ca="1" si="123"/>
        <v>9.2645097613321178E-3</v>
      </c>
      <c r="CL72" s="3">
        <f t="shared" ca="1" si="124"/>
        <v>0</v>
      </c>
      <c r="CM72" s="3"/>
      <c r="CN72" s="1">
        <f t="shared" ca="1" si="125"/>
        <v>9.7629097511586576</v>
      </c>
      <c r="CO72" s="1">
        <f t="shared" ca="1" si="126"/>
        <v>0.27779189263148701</v>
      </c>
      <c r="CP72" s="1">
        <f t="shared" ca="1" si="127"/>
        <v>4</v>
      </c>
      <c r="CV72" s="1">
        <f t="shared" ca="1" si="128"/>
        <v>7.3557944254879981</v>
      </c>
      <c r="CW72" s="1">
        <f t="shared" ca="1" si="129"/>
        <v>1525</v>
      </c>
      <c r="CX72" s="1">
        <f t="shared" ca="1" si="130"/>
        <v>8.4888729029281174E-3</v>
      </c>
      <c r="DH72" s="1">
        <f t="shared" ca="1" si="131"/>
        <v>653</v>
      </c>
      <c r="DI72" s="1">
        <f t="shared" ca="1" si="132"/>
        <v>0.91550880647739485</v>
      </c>
      <c r="DJ72" s="1">
        <f t="shared" ca="1" si="133"/>
        <v>11</v>
      </c>
      <c r="DL72" s="1">
        <f t="shared" ca="1" si="134"/>
        <v>0.13122960519082483</v>
      </c>
      <c r="DM72" s="1">
        <f t="shared" ca="1" si="135"/>
        <v>282</v>
      </c>
      <c r="DN72" s="1">
        <f t="shared" ca="1" si="136"/>
        <v>6</v>
      </c>
    </row>
    <row r="73" spans="2:118" x14ac:dyDescent="0.25">
      <c r="B73">
        <f t="shared" ca="1" si="69"/>
        <v>936</v>
      </c>
      <c r="C73">
        <f t="shared" ca="1" si="70"/>
        <v>13</v>
      </c>
      <c r="D73">
        <f t="shared" ca="1" si="71"/>
        <v>0.17349385469694895</v>
      </c>
      <c r="F73" s="1">
        <f t="shared" ca="1" si="72"/>
        <v>24</v>
      </c>
      <c r="G73" s="1">
        <f t="shared" ca="1" si="73"/>
        <v>20</v>
      </c>
      <c r="H73" s="1">
        <f t="shared" ca="1" si="74"/>
        <v>8</v>
      </c>
      <c r="I73" s="1"/>
      <c r="J73" s="1">
        <f t="shared" ca="1" si="75"/>
        <v>22</v>
      </c>
      <c r="K73" s="1">
        <f t="shared" ca="1" si="76"/>
        <v>1.8530413450238821</v>
      </c>
      <c r="L73" s="1">
        <f t="shared" ca="1" si="77"/>
        <v>35</v>
      </c>
      <c r="M73" s="1"/>
      <c r="N73" s="1">
        <f t="shared" ca="1" si="78"/>
        <v>771</v>
      </c>
      <c r="O73" s="1">
        <f t="shared" ca="1" si="79"/>
        <v>27</v>
      </c>
      <c r="P73" s="1"/>
      <c r="Q73" s="1">
        <f t="shared" ca="1" si="80"/>
        <v>1.7225924435621611</v>
      </c>
      <c r="R73" s="1">
        <f t="shared" ca="1" si="81"/>
        <v>402</v>
      </c>
      <c r="S73" s="1"/>
      <c r="T73" s="1">
        <f t="shared" ca="1" si="82"/>
        <v>4.0246741194643887E-2</v>
      </c>
      <c r="U73" s="1">
        <f t="shared" ca="1" si="83"/>
        <v>208</v>
      </c>
      <c r="V73" s="1">
        <f t="shared" ca="1" si="84"/>
        <v>31</v>
      </c>
      <c r="W73" s="1"/>
      <c r="X73" s="1">
        <f t="shared" ca="1" si="85"/>
        <v>8.9925431711327235</v>
      </c>
      <c r="Y73" s="1">
        <f t="shared" ca="1" si="86"/>
        <v>6.5637952206265546E-2</v>
      </c>
      <c r="Z73" s="1">
        <f t="shared" ca="1" si="87"/>
        <v>591</v>
      </c>
      <c r="AB73" s="1">
        <f t="shared" ca="1" si="88"/>
        <v>0.80340441582621991</v>
      </c>
      <c r="AC73" s="1">
        <f t="shared" ca="1" si="89"/>
        <v>438</v>
      </c>
      <c r="AD73" s="1">
        <f t="shared" ca="1" si="90"/>
        <v>8.0633336793318952E-3</v>
      </c>
      <c r="AE73" s="1"/>
      <c r="AF73" s="1">
        <f t="shared" ca="1" si="91"/>
        <v>0.29463715220905129</v>
      </c>
      <c r="AG73" s="1">
        <f t="shared" ca="1" si="92"/>
        <v>918</v>
      </c>
      <c r="AH73" s="1">
        <f t="shared" ca="1" si="93"/>
        <v>5.506489098638068E-3</v>
      </c>
      <c r="AJ73" s="1">
        <f t="shared" ca="1" si="94"/>
        <v>0.18771158331816606</v>
      </c>
      <c r="AK73" s="1">
        <f t="shared" ca="1" si="95"/>
        <v>1.4791483090492183E-3</v>
      </c>
      <c r="AL73" s="1"/>
      <c r="AM73" s="1">
        <f t="shared" ca="1" si="96"/>
        <v>0.19268693388942948</v>
      </c>
      <c r="AN73" s="1">
        <f t="shared" ca="1" si="97"/>
        <v>24</v>
      </c>
      <c r="AO73" s="1">
        <f t="shared" ca="1" si="98"/>
        <v>17</v>
      </c>
      <c r="AQ73" s="1">
        <f t="shared" ca="1" si="99"/>
        <v>159</v>
      </c>
      <c r="AR73" s="1">
        <f t="shared" ca="1" si="100"/>
        <v>5</v>
      </c>
      <c r="AS73" s="1">
        <f t="shared" ca="1" si="101"/>
        <v>12</v>
      </c>
      <c r="AU73" s="1">
        <f t="shared" ca="1" si="102"/>
        <v>370</v>
      </c>
      <c r="AV73" s="1">
        <f t="shared" ca="1" si="103"/>
        <v>5</v>
      </c>
      <c r="AW73" s="1">
        <f t="shared" ca="1" si="104"/>
        <v>0.14562084842537068</v>
      </c>
      <c r="AY73" s="1">
        <f t="shared" ca="1" si="105"/>
        <v>1.673337721383459</v>
      </c>
      <c r="AZ73" s="1">
        <f t="shared" ca="1" si="106"/>
        <v>108</v>
      </c>
      <c r="BA73" s="1">
        <f t="shared" ca="1" si="107"/>
        <v>1.2154444130223262E-3</v>
      </c>
      <c r="BG73" s="1">
        <f t="shared" ca="1" si="108"/>
        <v>0.53381134261622998</v>
      </c>
      <c r="BH73" s="1">
        <f t="shared" ca="1" si="109"/>
        <v>0.67522065684394095</v>
      </c>
      <c r="BI73" s="1">
        <f t="shared" ca="1" si="110"/>
        <v>561</v>
      </c>
      <c r="BV73" s="1">
        <f t="shared" ca="1" si="111"/>
        <v>0.61272985750533293</v>
      </c>
      <c r="BW73" s="1">
        <f t="shared" ca="1" si="112"/>
        <v>638</v>
      </c>
      <c r="BX73" s="1">
        <f t="shared" ca="1" si="113"/>
        <v>7.400718400334151E-3</v>
      </c>
      <c r="BY73" s="1">
        <f t="shared" ca="1" si="114"/>
        <v>8.9913581826067734E-2</v>
      </c>
      <c r="BZ73" s="1">
        <f t="shared" ca="1" si="115"/>
        <v>0.72134171620597798</v>
      </c>
      <c r="CB73" s="1">
        <f t="shared" ca="1" si="116"/>
        <v>118</v>
      </c>
      <c r="CC73" s="1">
        <f t="shared" ca="1" si="117"/>
        <v>6</v>
      </c>
      <c r="CD73" s="1">
        <f t="shared" ca="1" si="118"/>
        <v>0.20200305620235443</v>
      </c>
      <c r="CE73" s="1">
        <f t="shared" ca="1" si="119"/>
        <v>0.74963605675348222</v>
      </c>
      <c r="CF73" s="1">
        <f t="shared" ca="1" si="119"/>
        <v>0.59229247926233453</v>
      </c>
      <c r="CH73" s="3">
        <f t="shared" ca="1" si="120"/>
        <v>0.13443272641846241</v>
      </c>
      <c r="CI73" s="3">
        <f t="shared" ca="1" si="121"/>
        <v>0.44043735285150909</v>
      </c>
      <c r="CJ73" s="3">
        <f t="shared" ca="1" si="122"/>
        <v>1754</v>
      </c>
      <c r="CK73" s="3">
        <f t="shared" ca="1" si="123"/>
        <v>4.3321613918622893E-3</v>
      </c>
      <c r="CL73" s="3">
        <f t="shared" ca="1" si="124"/>
        <v>1</v>
      </c>
      <c r="CM73" s="3"/>
      <c r="CN73" s="1">
        <f t="shared" ca="1" si="125"/>
        <v>18.974527700889279</v>
      </c>
      <c r="CO73" s="1">
        <f t="shared" ca="1" si="126"/>
        <v>0.10308088085974083</v>
      </c>
      <c r="CP73" s="1">
        <f t="shared" ca="1" si="127"/>
        <v>4</v>
      </c>
      <c r="CV73" s="1">
        <f t="shared" ca="1" si="128"/>
        <v>8.6954218838944115</v>
      </c>
      <c r="CW73" s="1">
        <f t="shared" ca="1" si="129"/>
        <v>905</v>
      </c>
      <c r="CX73" s="1">
        <f t="shared" ca="1" si="130"/>
        <v>5.5341752524072554E-3</v>
      </c>
      <c r="DH73" s="1">
        <f t="shared" ca="1" si="131"/>
        <v>16</v>
      </c>
      <c r="DI73" s="1">
        <f t="shared" ca="1" si="132"/>
        <v>0.38389756230806993</v>
      </c>
      <c r="DJ73" s="1">
        <f t="shared" ca="1" si="133"/>
        <v>26</v>
      </c>
      <c r="DL73" s="1">
        <f t="shared" ca="1" si="134"/>
        <v>0.16490197234528359</v>
      </c>
      <c r="DM73" s="1">
        <f t="shared" ca="1" si="135"/>
        <v>130</v>
      </c>
      <c r="DN73" s="1">
        <f t="shared" ca="1" si="136"/>
        <v>3</v>
      </c>
    </row>
    <row r="74" spans="2:118" x14ac:dyDescent="0.25">
      <c r="B74">
        <f t="shared" ca="1" si="69"/>
        <v>41</v>
      </c>
      <c r="C74">
        <f t="shared" ca="1" si="70"/>
        <v>21</v>
      </c>
      <c r="D74">
        <f t="shared" ca="1" si="71"/>
        <v>9.1882347561876118E-2</v>
      </c>
      <c r="F74" s="1">
        <f t="shared" ca="1" si="72"/>
        <v>52</v>
      </c>
      <c r="G74" s="1">
        <f t="shared" ca="1" si="73"/>
        <v>6</v>
      </c>
      <c r="H74" s="1">
        <f t="shared" ca="1" si="74"/>
        <v>3</v>
      </c>
      <c r="I74" s="1"/>
      <c r="J74" s="1">
        <f t="shared" ca="1" si="75"/>
        <v>14</v>
      </c>
      <c r="K74" s="1">
        <f t="shared" ca="1" si="76"/>
        <v>2.0808122407424365</v>
      </c>
      <c r="L74" s="1">
        <f t="shared" ca="1" si="77"/>
        <v>6</v>
      </c>
      <c r="M74" s="1"/>
      <c r="N74" s="1">
        <f t="shared" ca="1" si="78"/>
        <v>782</v>
      </c>
      <c r="O74" s="1">
        <f t="shared" ca="1" si="79"/>
        <v>41</v>
      </c>
      <c r="P74" s="1"/>
      <c r="Q74" s="1">
        <f t="shared" ca="1" si="80"/>
        <v>0.89500118127940786</v>
      </c>
      <c r="R74" s="1">
        <f t="shared" ca="1" si="81"/>
        <v>625</v>
      </c>
      <c r="S74" s="1"/>
      <c r="T74" s="1">
        <f t="shared" ca="1" si="82"/>
        <v>0.14756273478849097</v>
      </c>
      <c r="U74" s="1">
        <f t="shared" ca="1" si="83"/>
        <v>268</v>
      </c>
      <c r="V74" s="1">
        <f t="shared" ca="1" si="84"/>
        <v>6</v>
      </c>
      <c r="W74" s="1"/>
      <c r="X74" s="1">
        <f t="shared" ca="1" si="85"/>
        <v>6.7476627665929003</v>
      </c>
      <c r="Y74" s="1">
        <f t="shared" ca="1" si="86"/>
        <v>0.18698739296776298</v>
      </c>
      <c r="Z74" s="1">
        <f t="shared" ca="1" si="87"/>
        <v>1092</v>
      </c>
      <c r="AB74" s="1">
        <f t="shared" ca="1" si="88"/>
        <v>0.26891955582691685</v>
      </c>
      <c r="AC74" s="1">
        <f t="shared" ca="1" si="89"/>
        <v>847</v>
      </c>
      <c r="AD74" s="1">
        <f t="shared" ca="1" si="90"/>
        <v>8.5925916162080725E-3</v>
      </c>
      <c r="AE74" s="1"/>
      <c r="AF74" s="1">
        <f t="shared" ca="1" si="91"/>
        <v>0.14133754579904415</v>
      </c>
      <c r="AG74" s="1">
        <f t="shared" ca="1" si="92"/>
        <v>862</v>
      </c>
      <c r="AH74" s="1">
        <f t="shared" ca="1" si="93"/>
        <v>8.5161421196544781E-3</v>
      </c>
      <c r="AJ74" s="1">
        <f t="shared" ca="1" si="94"/>
        <v>4.0154214351972639E-2</v>
      </c>
      <c r="AK74" s="1">
        <f t="shared" ca="1" si="95"/>
        <v>2.0584539641643014E-3</v>
      </c>
      <c r="AL74" s="1"/>
      <c r="AM74" s="1">
        <f t="shared" ca="1" si="96"/>
        <v>0.1666785851423489</v>
      </c>
      <c r="AN74" s="1">
        <f t="shared" ca="1" si="97"/>
        <v>57</v>
      </c>
      <c r="AO74" s="1">
        <f t="shared" ca="1" si="98"/>
        <v>3</v>
      </c>
      <c r="AQ74" s="1">
        <f t="shared" ca="1" si="99"/>
        <v>85</v>
      </c>
      <c r="AR74" s="1">
        <f t="shared" ca="1" si="100"/>
        <v>4</v>
      </c>
      <c r="AS74" s="1">
        <f t="shared" ca="1" si="101"/>
        <v>40</v>
      </c>
      <c r="AU74" s="1">
        <f t="shared" ca="1" si="102"/>
        <v>117</v>
      </c>
      <c r="AV74" s="1">
        <f t="shared" ca="1" si="103"/>
        <v>9</v>
      </c>
      <c r="AW74" s="1">
        <f t="shared" ca="1" si="104"/>
        <v>4.8390234580252524E-2</v>
      </c>
      <c r="AY74" s="1">
        <f t="shared" ca="1" si="105"/>
        <v>1.9783718827628212</v>
      </c>
      <c r="AZ74" s="1">
        <f t="shared" ca="1" si="106"/>
        <v>179</v>
      </c>
      <c r="BA74" s="1">
        <f t="shared" ca="1" si="107"/>
        <v>6.2438286811615142E-3</v>
      </c>
      <c r="BG74" s="1">
        <f t="shared" ca="1" si="108"/>
        <v>0.43942510419930125</v>
      </c>
      <c r="BH74" s="1">
        <f t="shared" ca="1" si="109"/>
        <v>0.2165104231963868</v>
      </c>
      <c r="BI74" s="1">
        <f t="shared" ca="1" si="110"/>
        <v>136</v>
      </c>
      <c r="BV74" s="1">
        <f t="shared" ca="1" si="111"/>
        <v>0.50263767089754918</v>
      </c>
      <c r="BW74" s="1">
        <f t="shared" ca="1" si="112"/>
        <v>865</v>
      </c>
      <c r="BX74" s="1">
        <f t="shared" ca="1" si="113"/>
        <v>2.4211728998417754E-3</v>
      </c>
      <c r="BY74" s="1">
        <f t="shared" ca="1" si="114"/>
        <v>7.225881150493195E-2</v>
      </c>
      <c r="BZ74" s="1">
        <f t="shared" ca="1" si="115"/>
        <v>7.324850912862102E-2</v>
      </c>
      <c r="CB74" s="1">
        <f t="shared" ca="1" si="116"/>
        <v>126</v>
      </c>
      <c r="CC74" s="1">
        <f t="shared" ca="1" si="117"/>
        <v>11</v>
      </c>
      <c r="CD74" s="1">
        <f t="shared" ca="1" si="118"/>
        <v>0.28192992734811329</v>
      </c>
      <c r="CE74" s="1">
        <f t="shared" ca="1" si="119"/>
        <v>0.84940001494902218</v>
      </c>
      <c r="CF74" s="1">
        <f t="shared" ca="1" si="119"/>
        <v>0.76574812946646642</v>
      </c>
      <c r="CH74" s="3">
        <f t="shared" ca="1" si="120"/>
        <v>0.38883552647370562</v>
      </c>
      <c r="CI74" s="3">
        <f t="shared" ca="1" si="121"/>
        <v>0.43734898922979332</v>
      </c>
      <c r="CJ74" s="3">
        <f t="shared" ca="1" si="122"/>
        <v>1523</v>
      </c>
      <c r="CK74" s="3">
        <f t="shared" ca="1" si="123"/>
        <v>5.0338447996697952E-4</v>
      </c>
      <c r="CL74" s="3">
        <f t="shared" ca="1" si="124"/>
        <v>0</v>
      </c>
      <c r="CM74" s="3"/>
      <c r="CN74" s="1">
        <f t="shared" ca="1" si="125"/>
        <v>4.6664331540935162</v>
      </c>
      <c r="CO74" s="1">
        <f t="shared" ca="1" si="126"/>
        <v>1.4471228025917247E-2</v>
      </c>
      <c r="CP74" s="1">
        <f t="shared" ca="1" si="127"/>
        <v>2</v>
      </c>
      <c r="CV74" s="1">
        <f t="shared" ca="1" si="128"/>
        <v>6.0192526947239298</v>
      </c>
      <c r="CW74" s="1">
        <f t="shared" ca="1" si="129"/>
        <v>1461</v>
      </c>
      <c r="CX74" s="1">
        <f t="shared" ca="1" si="130"/>
        <v>5.3430232729241994E-3</v>
      </c>
      <c r="DH74" s="1">
        <f t="shared" ca="1" si="131"/>
        <v>106</v>
      </c>
      <c r="DI74" s="1">
        <f t="shared" ca="1" si="132"/>
        <v>7.5361757148062314E-2</v>
      </c>
      <c r="DJ74" s="1">
        <f t="shared" ca="1" si="133"/>
        <v>26</v>
      </c>
      <c r="DL74" s="1">
        <f t="shared" ca="1" si="134"/>
        <v>0.19710559819547588</v>
      </c>
      <c r="DM74" s="1">
        <f t="shared" ca="1" si="135"/>
        <v>237</v>
      </c>
      <c r="DN74" s="1">
        <f t="shared" ca="1" si="136"/>
        <v>2</v>
      </c>
    </row>
    <row r="75" spans="2:118" x14ac:dyDescent="0.25">
      <c r="B75">
        <f t="shared" ca="1" si="69"/>
        <v>534</v>
      </c>
      <c r="C75">
        <f t="shared" ca="1" si="70"/>
        <v>31</v>
      </c>
      <c r="D75">
        <f t="shared" ca="1" si="71"/>
        <v>0.11753501300533237</v>
      </c>
      <c r="F75" s="1">
        <f t="shared" ca="1" si="72"/>
        <v>50</v>
      </c>
      <c r="G75" s="1">
        <f t="shared" ca="1" si="73"/>
        <v>12</v>
      </c>
      <c r="H75" s="1">
        <f t="shared" ca="1" si="74"/>
        <v>15</v>
      </c>
      <c r="I75" s="1"/>
      <c r="J75" s="1">
        <f t="shared" ca="1" si="75"/>
        <v>37</v>
      </c>
      <c r="K75" s="1">
        <f t="shared" ca="1" si="76"/>
        <v>1.7473111598392694</v>
      </c>
      <c r="L75" s="1">
        <f t="shared" ca="1" si="77"/>
        <v>9</v>
      </c>
      <c r="M75" s="1"/>
      <c r="N75" s="1">
        <f t="shared" ca="1" si="78"/>
        <v>70</v>
      </c>
      <c r="O75" s="1">
        <f t="shared" ca="1" si="79"/>
        <v>34</v>
      </c>
      <c r="P75" s="1"/>
      <c r="Q75" s="1">
        <f t="shared" ca="1" si="80"/>
        <v>3.9259614737099362</v>
      </c>
      <c r="R75" s="1">
        <f t="shared" ca="1" si="81"/>
        <v>1133</v>
      </c>
      <c r="S75" s="1"/>
      <c r="T75" s="1">
        <f t="shared" ca="1" si="82"/>
        <v>0.17483962727284427</v>
      </c>
      <c r="U75" s="1">
        <f t="shared" ca="1" si="83"/>
        <v>347</v>
      </c>
      <c r="V75" s="1">
        <f t="shared" ca="1" si="84"/>
        <v>23</v>
      </c>
      <c r="W75" s="1"/>
      <c r="X75" s="1">
        <f t="shared" ca="1" si="85"/>
        <v>3.1256529365990819</v>
      </c>
      <c r="Y75" s="1">
        <f t="shared" ca="1" si="86"/>
        <v>0.19492404915631079</v>
      </c>
      <c r="Z75" s="1">
        <f t="shared" ca="1" si="87"/>
        <v>1210</v>
      </c>
      <c r="AB75" s="1">
        <f t="shared" ca="1" si="88"/>
        <v>0.26577154133064806</v>
      </c>
      <c r="AC75" s="1">
        <f t="shared" ca="1" si="89"/>
        <v>346</v>
      </c>
      <c r="AD75" s="1">
        <f t="shared" ca="1" si="90"/>
        <v>4.1340899000634236E-3</v>
      </c>
      <c r="AE75" s="1"/>
      <c r="AF75" s="1">
        <f t="shared" ca="1" si="91"/>
        <v>0.16778045418988546</v>
      </c>
      <c r="AG75" s="1">
        <f t="shared" ca="1" si="92"/>
        <v>878</v>
      </c>
      <c r="AH75" s="1">
        <f t="shared" ca="1" si="93"/>
        <v>4.9054963078214537E-3</v>
      </c>
      <c r="AJ75" s="1">
        <f t="shared" ca="1" si="94"/>
        <v>0.14096398456031922</v>
      </c>
      <c r="AK75" s="1">
        <f t="shared" ca="1" si="95"/>
        <v>7.7318375577523453E-3</v>
      </c>
      <c r="AL75" s="1"/>
      <c r="AM75" s="1">
        <f t="shared" ca="1" si="96"/>
        <v>8.7597908163672744E-2</v>
      </c>
      <c r="AN75" s="1">
        <f t="shared" ca="1" si="97"/>
        <v>36</v>
      </c>
      <c r="AO75" s="1">
        <f t="shared" ca="1" si="98"/>
        <v>18</v>
      </c>
      <c r="AQ75" s="1">
        <f t="shared" ca="1" si="99"/>
        <v>59</v>
      </c>
      <c r="AR75" s="1">
        <f t="shared" ca="1" si="100"/>
        <v>3</v>
      </c>
      <c r="AS75" s="1">
        <f t="shared" ca="1" si="101"/>
        <v>73</v>
      </c>
      <c r="AU75" s="1">
        <f t="shared" ca="1" si="102"/>
        <v>112</v>
      </c>
      <c r="AV75" s="1">
        <f t="shared" ca="1" si="103"/>
        <v>6</v>
      </c>
      <c r="AW75" s="1">
        <f t="shared" ca="1" si="104"/>
        <v>1.4396258001681421E-2</v>
      </c>
      <c r="AY75" s="1">
        <f t="shared" ca="1" si="105"/>
        <v>1.1910753307895505</v>
      </c>
      <c r="AZ75" s="1">
        <f t="shared" ca="1" si="106"/>
        <v>187</v>
      </c>
      <c r="BA75" s="1">
        <f t="shared" ca="1" si="107"/>
        <v>5.0108345286006897E-3</v>
      </c>
      <c r="BG75" s="1">
        <f t="shared" ca="1" si="108"/>
        <v>0.94588772141738287</v>
      </c>
      <c r="BH75" s="1">
        <f t="shared" ca="1" si="109"/>
        <v>0.32563091133274324</v>
      </c>
      <c r="BI75" s="1">
        <f t="shared" ca="1" si="110"/>
        <v>256</v>
      </c>
      <c r="BV75" s="1">
        <f t="shared" ca="1" si="111"/>
        <v>0.22022231024909814</v>
      </c>
      <c r="BW75" s="1">
        <f t="shared" ca="1" si="112"/>
        <v>908</v>
      </c>
      <c r="BX75" s="1">
        <f t="shared" ca="1" si="113"/>
        <v>2.2873370489455373E-3</v>
      </c>
      <c r="BY75" s="1">
        <f t="shared" ca="1" si="114"/>
        <v>4.2580798698691219E-2</v>
      </c>
      <c r="BZ75" s="1">
        <f t="shared" ca="1" si="115"/>
        <v>6.4165552965440464E-2</v>
      </c>
      <c r="CB75" s="1">
        <f t="shared" ca="1" si="116"/>
        <v>427</v>
      </c>
      <c r="CC75" s="1">
        <f t="shared" ca="1" si="117"/>
        <v>15</v>
      </c>
      <c r="CD75" s="1">
        <f t="shared" ca="1" si="118"/>
        <v>0.25743933058724194</v>
      </c>
      <c r="CE75" s="1">
        <f t="shared" ca="1" si="119"/>
        <v>0.68167903579979128</v>
      </c>
      <c r="CF75" s="1">
        <f t="shared" ca="1" si="119"/>
        <v>0.71899867306266407</v>
      </c>
      <c r="CH75" s="3">
        <f t="shared" ca="1" si="120"/>
        <v>0.46174930399022657</v>
      </c>
      <c r="CI75" s="3">
        <f t="shared" ca="1" si="121"/>
        <v>0.57791321398780759</v>
      </c>
      <c r="CJ75" s="3">
        <f t="shared" ca="1" si="122"/>
        <v>1022</v>
      </c>
      <c r="CK75" s="3">
        <f t="shared" ca="1" si="123"/>
        <v>9.9217547369248628E-3</v>
      </c>
      <c r="CL75" s="3">
        <f t="shared" ca="1" si="124"/>
        <v>1</v>
      </c>
      <c r="CM75" s="3"/>
      <c r="CN75" s="1">
        <f t="shared" ca="1" si="125"/>
        <v>16.446429096758077</v>
      </c>
      <c r="CO75" s="1">
        <f t="shared" ca="1" si="126"/>
        <v>0.26364527591085429</v>
      </c>
      <c r="CP75" s="1">
        <f t="shared" ca="1" si="127"/>
        <v>3</v>
      </c>
      <c r="CV75" s="1">
        <f t="shared" ca="1" si="128"/>
        <v>2.7203932382485383</v>
      </c>
      <c r="CW75" s="1">
        <f t="shared" ca="1" si="129"/>
        <v>1779</v>
      </c>
      <c r="CX75" s="1">
        <f t="shared" ca="1" si="130"/>
        <v>1.5502866075796326E-3</v>
      </c>
      <c r="DH75" s="1">
        <f t="shared" ca="1" si="131"/>
        <v>498</v>
      </c>
      <c r="DI75" s="1">
        <f t="shared" ca="1" si="132"/>
        <v>0.15780687047969105</v>
      </c>
      <c r="DJ75" s="1">
        <f t="shared" ca="1" si="133"/>
        <v>8</v>
      </c>
      <c r="DL75" s="1">
        <f t="shared" ca="1" si="134"/>
        <v>0.12604658038699365</v>
      </c>
      <c r="DM75" s="1">
        <f t="shared" ca="1" si="135"/>
        <v>259</v>
      </c>
      <c r="DN75" s="1">
        <f t="shared" ca="1" si="136"/>
        <v>7</v>
      </c>
    </row>
    <row r="76" spans="2:118" x14ac:dyDescent="0.25">
      <c r="B76">
        <f t="shared" ca="1" si="69"/>
        <v>473</v>
      </c>
      <c r="C76">
        <f t="shared" ca="1" si="70"/>
        <v>20</v>
      </c>
      <c r="D76">
        <f t="shared" ca="1" si="71"/>
        <v>3.0670385501017562E-2</v>
      </c>
      <c r="F76" s="1">
        <f t="shared" ca="1" si="72"/>
        <v>47</v>
      </c>
      <c r="G76" s="1">
        <f t="shared" ca="1" si="73"/>
        <v>9</v>
      </c>
      <c r="H76" s="1">
        <f t="shared" ca="1" si="74"/>
        <v>2</v>
      </c>
      <c r="I76" s="1"/>
      <c r="J76" s="1">
        <f t="shared" ca="1" si="75"/>
        <v>37</v>
      </c>
      <c r="K76" s="1">
        <f t="shared" ca="1" si="76"/>
        <v>2.9751721601394161</v>
      </c>
      <c r="L76" s="1">
        <f t="shared" ca="1" si="77"/>
        <v>26</v>
      </c>
      <c r="M76" s="1"/>
      <c r="N76" s="1">
        <f t="shared" ca="1" si="78"/>
        <v>387</v>
      </c>
      <c r="O76" s="1">
        <f t="shared" ca="1" si="79"/>
        <v>47</v>
      </c>
      <c r="P76" s="1"/>
      <c r="Q76" s="1">
        <f t="shared" ca="1" si="80"/>
        <v>0.52245249569220542</v>
      </c>
      <c r="R76" s="1">
        <f t="shared" ca="1" si="81"/>
        <v>821</v>
      </c>
      <c r="S76" s="1"/>
      <c r="T76" s="1">
        <f t="shared" ca="1" si="82"/>
        <v>7.4929776600599324E-2</v>
      </c>
      <c r="U76" s="1">
        <f t="shared" ca="1" si="83"/>
        <v>336</v>
      </c>
      <c r="V76" s="1">
        <f t="shared" ca="1" si="84"/>
        <v>10</v>
      </c>
      <c r="W76" s="1"/>
      <c r="X76" s="1">
        <f t="shared" ca="1" si="85"/>
        <v>7.1832950471188655</v>
      </c>
      <c r="Y76" s="1">
        <f t="shared" ca="1" si="86"/>
        <v>0.62329759837532228</v>
      </c>
      <c r="Z76" s="1">
        <f t="shared" ca="1" si="87"/>
        <v>1614</v>
      </c>
      <c r="AB76" s="1">
        <f t="shared" ca="1" si="88"/>
        <v>0.42107402251225112</v>
      </c>
      <c r="AC76" s="1">
        <f t="shared" ca="1" si="89"/>
        <v>102</v>
      </c>
      <c r="AD76" s="1">
        <f t="shared" ca="1" si="90"/>
        <v>4.7668774650798358E-3</v>
      </c>
      <c r="AE76" s="1"/>
      <c r="AF76" s="1">
        <f t="shared" ca="1" si="91"/>
        <v>0.52840352533174417</v>
      </c>
      <c r="AG76" s="1">
        <f t="shared" ca="1" si="92"/>
        <v>472</v>
      </c>
      <c r="AH76" s="1">
        <f t="shared" ca="1" si="93"/>
        <v>7.7470354304473811E-3</v>
      </c>
      <c r="AJ76" s="1">
        <f t="shared" ca="1" si="94"/>
        <v>2.7311877421633213E-2</v>
      </c>
      <c r="AK76" s="1">
        <f t="shared" ca="1" si="95"/>
        <v>6.5858088745685724E-3</v>
      </c>
      <c r="AL76" s="1"/>
      <c r="AM76" s="1">
        <f t="shared" ca="1" si="96"/>
        <v>0.13427199208718404</v>
      </c>
      <c r="AN76" s="1">
        <f t="shared" ca="1" si="97"/>
        <v>17</v>
      </c>
      <c r="AO76" s="1">
        <f t="shared" ca="1" si="98"/>
        <v>20</v>
      </c>
      <c r="AQ76" s="1">
        <f t="shared" ca="1" si="99"/>
        <v>185</v>
      </c>
      <c r="AR76" s="1">
        <f t="shared" ca="1" si="100"/>
        <v>10</v>
      </c>
      <c r="AS76" s="1">
        <f t="shared" ca="1" si="101"/>
        <v>12</v>
      </c>
      <c r="AU76" s="1">
        <f t="shared" ca="1" si="102"/>
        <v>214</v>
      </c>
      <c r="AV76" s="1">
        <f t="shared" ca="1" si="103"/>
        <v>5</v>
      </c>
      <c r="AW76" s="1">
        <f t="shared" ca="1" si="104"/>
        <v>2.111029995059812E-2</v>
      </c>
      <c r="AY76" s="1">
        <f t="shared" ca="1" si="105"/>
        <v>1.6628881442367582</v>
      </c>
      <c r="AZ76" s="1">
        <f t="shared" ca="1" si="106"/>
        <v>267</v>
      </c>
      <c r="BA76" s="1">
        <f t="shared" ca="1" si="107"/>
        <v>9.7546202839563674E-3</v>
      </c>
      <c r="BG76" s="1">
        <f t="shared" ca="1" si="108"/>
        <v>3.0600844907327247E-2</v>
      </c>
      <c r="BH76" s="1">
        <f t="shared" ca="1" si="109"/>
        <v>0.6706480643967645</v>
      </c>
      <c r="BI76" s="1">
        <f t="shared" ca="1" si="110"/>
        <v>214</v>
      </c>
      <c r="BV76" s="1">
        <f t="shared" ca="1" si="111"/>
        <v>0.8708579927615191</v>
      </c>
      <c r="BW76" s="1">
        <f t="shared" ca="1" si="112"/>
        <v>518</v>
      </c>
      <c r="BX76" s="1">
        <f t="shared" ca="1" si="113"/>
        <v>4.0815563734611536E-3</v>
      </c>
      <c r="BY76" s="1">
        <f t="shared" ca="1" si="114"/>
        <v>3.7099674446716469E-2</v>
      </c>
      <c r="BZ76" s="1">
        <f t="shared" ca="1" si="115"/>
        <v>0.86396566218435711</v>
      </c>
      <c r="CB76" s="1">
        <f t="shared" ca="1" si="116"/>
        <v>104</v>
      </c>
      <c r="CC76" s="1">
        <f t="shared" ca="1" si="117"/>
        <v>7</v>
      </c>
      <c r="CD76" s="1">
        <f t="shared" ca="1" si="118"/>
        <v>0.28607013900965977</v>
      </c>
      <c r="CE76" s="1">
        <f t="shared" ca="1" si="119"/>
        <v>0.9427298609143091</v>
      </c>
      <c r="CF76" s="1">
        <f t="shared" ca="1" si="119"/>
        <v>0.70239445217698315</v>
      </c>
      <c r="CH76" s="3">
        <f t="shared" ca="1" si="120"/>
        <v>0.25694780283341451</v>
      </c>
      <c r="CI76" s="3">
        <f t="shared" ca="1" si="121"/>
        <v>0.38425428543584045</v>
      </c>
      <c r="CJ76" s="3">
        <f t="shared" ca="1" si="122"/>
        <v>1710</v>
      </c>
      <c r="CK76" s="3">
        <f t="shared" ca="1" si="123"/>
        <v>8.0026975666531285E-3</v>
      </c>
      <c r="CL76" s="3">
        <f t="shared" ca="1" si="124"/>
        <v>1</v>
      </c>
      <c r="CM76" s="3"/>
      <c r="CN76" s="1">
        <f t="shared" ca="1" si="125"/>
        <v>2.0693422916626014</v>
      </c>
      <c r="CO76" s="1">
        <f t="shared" ca="1" si="126"/>
        <v>0.10609137332686108</v>
      </c>
      <c r="CP76" s="1">
        <f t="shared" ca="1" si="127"/>
        <v>3</v>
      </c>
      <c r="CV76" s="1">
        <f t="shared" ca="1" si="128"/>
        <v>3.2036287288841461</v>
      </c>
      <c r="CW76" s="1">
        <f t="shared" ca="1" si="129"/>
        <v>256</v>
      </c>
      <c r="CX76" s="1">
        <f t="shared" ca="1" si="130"/>
        <v>4.1621757001121642E-3</v>
      </c>
      <c r="DH76" s="1">
        <f t="shared" ca="1" si="131"/>
        <v>280</v>
      </c>
      <c r="DI76" s="1">
        <f t="shared" ca="1" si="132"/>
        <v>0.9398618319733939</v>
      </c>
      <c r="DJ76" s="1">
        <f t="shared" ca="1" si="133"/>
        <v>30</v>
      </c>
      <c r="DL76" s="1">
        <f t="shared" ca="1" si="134"/>
        <v>0.19858676814084777</v>
      </c>
      <c r="DM76" s="1">
        <f t="shared" ca="1" si="135"/>
        <v>160</v>
      </c>
      <c r="DN76" s="1">
        <f t="shared" ca="1" si="136"/>
        <v>1</v>
      </c>
    </row>
    <row r="77" spans="2:118" x14ac:dyDescent="0.25">
      <c r="B77">
        <f t="shared" ca="1" si="69"/>
        <v>412</v>
      </c>
      <c r="C77">
        <f t="shared" ca="1" si="70"/>
        <v>39</v>
      </c>
      <c r="D77">
        <f t="shared" ca="1" si="71"/>
        <v>0.24152451720748414</v>
      </c>
      <c r="F77" s="1">
        <f t="shared" ca="1" si="72"/>
        <v>25</v>
      </c>
      <c r="G77" s="1">
        <f t="shared" ca="1" si="73"/>
        <v>28</v>
      </c>
      <c r="H77" s="1">
        <f t="shared" ca="1" si="74"/>
        <v>2</v>
      </c>
      <c r="I77" s="1"/>
      <c r="J77" s="1">
        <f t="shared" ca="1" si="75"/>
        <v>8</v>
      </c>
      <c r="K77" s="1">
        <f t="shared" ca="1" si="76"/>
        <v>1.4540665062963896</v>
      </c>
      <c r="L77" s="1">
        <f t="shared" ca="1" si="77"/>
        <v>4</v>
      </c>
      <c r="M77" s="1"/>
      <c r="N77" s="1">
        <f t="shared" ca="1" si="78"/>
        <v>177</v>
      </c>
      <c r="O77" s="1">
        <f t="shared" ca="1" si="79"/>
        <v>2</v>
      </c>
      <c r="P77" s="1"/>
      <c r="Q77" s="1">
        <f t="shared" ca="1" si="80"/>
        <v>4.888019200727304</v>
      </c>
      <c r="R77" s="1">
        <f t="shared" ca="1" si="81"/>
        <v>428</v>
      </c>
      <c r="S77" s="1"/>
      <c r="T77" s="1">
        <f t="shared" ca="1" si="82"/>
        <v>1.7158703796672801E-2</v>
      </c>
      <c r="U77" s="1">
        <f t="shared" ca="1" si="83"/>
        <v>279</v>
      </c>
      <c r="V77" s="1">
        <f t="shared" ca="1" si="84"/>
        <v>48</v>
      </c>
      <c r="W77" s="1"/>
      <c r="X77" s="1">
        <f t="shared" ca="1" si="85"/>
        <v>8.7330695425189528</v>
      </c>
      <c r="Y77" s="1">
        <f t="shared" ca="1" si="86"/>
        <v>0.15154237024717432</v>
      </c>
      <c r="Z77" s="1">
        <f t="shared" ca="1" si="87"/>
        <v>1277</v>
      </c>
      <c r="AB77" s="1">
        <f t="shared" ca="1" si="88"/>
        <v>0.42573855393221754</v>
      </c>
      <c r="AC77" s="1">
        <f t="shared" ca="1" si="89"/>
        <v>576</v>
      </c>
      <c r="AD77" s="1">
        <f t="shared" ca="1" si="90"/>
        <v>5.4201321957427304E-3</v>
      </c>
      <c r="AE77" s="1"/>
      <c r="AF77" s="1">
        <f t="shared" ca="1" si="91"/>
        <v>0.87656445649144243</v>
      </c>
      <c r="AG77" s="1">
        <f t="shared" ca="1" si="92"/>
        <v>529</v>
      </c>
      <c r="AH77" s="1">
        <f t="shared" ca="1" si="93"/>
        <v>2.0979487213435319E-3</v>
      </c>
      <c r="AJ77" s="1">
        <f t="shared" ca="1" si="94"/>
        <v>0.13149092416983243</v>
      </c>
      <c r="AK77" s="1">
        <f t="shared" ca="1" si="95"/>
        <v>2.3883184620861224E-3</v>
      </c>
      <c r="AL77" s="1"/>
      <c r="AM77" s="1">
        <f t="shared" ca="1" si="96"/>
        <v>2.9758669376672389E-2</v>
      </c>
      <c r="AN77" s="1">
        <f t="shared" ca="1" si="97"/>
        <v>36</v>
      </c>
      <c r="AO77" s="1">
        <f t="shared" ca="1" si="98"/>
        <v>-1</v>
      </c>
      <c r="AQ77" s="1">
        <f t="shared" ca="1" si="99"/>
        <v>174</v>
      </c>
      <c r="AR77" s="1">
        <f t="shared" ca="1" si="100"/>
        <v>1</v>
      </c>
      <c r="AS77" s="1">
        <f t="shared" ca="1" si="101"/>
        <v>12</v>
      </c>
      <c r="AU77" s="1">
        <f t="shared" ca="1" si="102"/>
        <v>367</v>
      </c>
      <c r="AV77" s="1">
        <f t="shared" ca="1" si="103"/>
        <v>9</v>
      </c>
      <c r="AW77" s="1">
        <f t="shared" ca="1" si="104"/>
        <v>0.16106285470692375</v>
      </c>
      <c r="AY77" s="1">
        <f t="shared" ca="1" si="105"/>
        <v>1.6292040922597906</v>
      </c>
      <c r="AZ77" s="1">
        <f t="shared" ca="1" si="106"/>
        <v>128</v>
      </c>
      <c r="BA77" s="1">
        <f t="shared" ca="1" si="107"/>
        <v>1.7595989047699732E-4</v>
      </c>
      <c r="BG77" s="1">
        <f t="shared" ca="1" si="108"/>
        <v>0.3638785155008229</v>
      </c>
      <c r="BH77" s="1">
        <f t="shared" ca="1" si="109"/>
        <v>0.11634863395081951</v>
      </c>
      <c r="BI77" s="1">
        <f t="shared" ca="1" si="110"/>
        <v>108</v>
      </c>
      <c r="BV77" s="1">
        <f t="shared" ca="1" si="111"/>
        <v>0.49406074155245083</v>
      </c>
      <c r="BW77" s="1">
        <f t="shared" ca="1" si="112"/>
        <v>564</v>
      </c>
      <c r="BX77" s="1">
        <f t="shared" ca="1" si="113"/>
        <v>5.8463670615326964E-3</v>
      </c>
      <c r="BY77" s="1">
        <f t="shared" ca="1" si="114"/>
        <v>5.4720589621857253E-2</v>
      </c>
      <c r="BZ77" s="1">
        <f t="shared" ca="1" si="115"/>
        <v>0.66022895114305047</v>
      </c>
      <c r="CB77" s="1">
        <f t="shared" ca="1" si="116"/>
        <v>75</v>
      </c>
      <c r="CC77" s="1">
        <f t="shared" ca="1" si="117"/>
        <v>7</v>
      </c>
      <c r="CD77" s="1">
        <f t="shared" ca="1" si="118"/>
        <v>0.10277920846446706</v>
      </c>
      <c r="CE77" s="1">
        <f t="shared" ca="1" si="119"/>
        <v>0.96181000740580669</v>
      </c>
      <c r="CF77" s="1">
        <f t="shared" ca="1" si="119"/>
        <v>0.80904784772857052</v>
      </c>
      <c r="CH77" s="3">
        <f t="shared" ca="1" si="120"/>
        <v>0.64563090805261247</v>
      </c>
      <c r="CI77" s="3">
        <f t="shared" ca="1" si="121"/>
        <v>0.3763340966298212</v>
      </c>
      <c r="CJ77" s="3">
        <f t="shared" ca="1" si="122"/>
        <v>403</v>
      </c>
      <c r="CK77" s="3">
        <f t="shared" ca="1" si="123"/>
        <v>8.6007670411853369E-3</v>
      </c>
      <c r="CL77" s="3">
        <f t="shared" ca="1" si="124"/>
        <v>1</v>
      </c>
      <c r="CM77" s="3"/>
      <c r="CN77" s="1">
        <f t="shared" ca="1" si="125"/>
        <v>16.939744976797574</v>
      </c>
      <c r="CO77" s="1">
        <f t="shared" ca="1" si="126"/>
        <v>1.5655625764720311E-2</v>
      </c>
      <c r="CP77" s="1">
        <f t="shared" ca="1" si="127"/>
        <v>2</v>
      </c>
      <c r="CV77" s="1">
        <f t="shared" ca="1" si="128"/>
        <v>8.12747233034038</v>
      </c>
      <c r="CW77" s="1">
        <f t="shared" ca="1" si="129"/>
        <v>401</v>
      </c>
      <c r="CX77" s="1">
        <f t="shared" ca="1" si="130"/>
        <v>4.3300262029481414E-4</v>
      </c>
      <c r="DH77" s="1">
        <f t="shared" ca="1" si="131"/>
        <v>77</v>
      </c>
      <c r="DI77" s="1">
        <f t="shared" ca="1" si="132"/>
        <v>0.13571528604094971</v>
      </c>
      <c r="DJ77" s="1">
        <f t="shared" ca="1" si="133"/>
        <v>25</v>
      </c>
      <c r="DL77" s="1">
        <f t="shared" ca="1" si="134"/>
        <v>0.12483644225481913</v>
      </c>
      <c r="DM77" s="1">
        <f t="shared" ca="1" si="135"/>
        <v>121</v>
      </c>
      <c r="DN77" s="1">
        <f t="shared" ca="1" si="136"/>
        <v>9</v>
      </c>
    </row>
    <row r="78" spans="2:118" x14ac:dyDescent="0.25">
      <c r="B78">
        <f t="shared" ca="1" si="69"/>
        <v>415</v>
      </c>
      <c r="C78">
        <f t="shared" ca="1" si="70"/>
        <v>7</v>
      </c>
      <c r="D78">
        <f t="shared" ca="1" si="71"/>
        <v>0.21241469283452927</v>
      </c>
      <c r="F78" s="1">
        <f t="shared" ca="1" si="72"/>
        <v>48</v>
      </c>
      <c r="G78" s="1">
        <f t="shared" ca="1" si="73"/>
        <v>22</v>
      </c>
      <c r="H78" s="1">
        <f t="shared" ca="1" si="74"/>
        <v>15</v>
      </c>
      <c r="I78" s="1"/>
      <c r="J78" s="1">
        <f t="shared" ca="1" si="75"/>
        <v>3</v>
      </c>
      <c r="K78" s="1">
        <f t="shared" ca="1" si="76"/>
        <v>1.3045288001377993</v>
      </c>
      <c r="L78" s="1">
        <f t="shared" ca="1" si="77"/>
        <v>30</v>
      </c>
      <c r="M78" s="1"/>
      <c r="N78" s="1">
        <f t="shared" ca="1" si="78"/>
        <v>559</v>
      </c>
      <c r="O78" s="1">
        <f t="shared" ca="1" si="79"/>
        <v>16</v>
      </c>
      <c r="P78" s="1"/>
      <c r="Q78" s="1">
        <f t="shared" ca="1" si="80"/>
        <v>0.76182286295775259</v>
      </c>
      <c r="R78" s="1">
        <f t="shared" ca="1" si="81"/>
        <v>560</v>
      </c>
      <c r="S78" s="1"/>
      <c r="T78" s="1">
        <f t="shared" ca="1" si="82"/>
        <v>2.5076107515542172E-2</v>
      </c>
      <c r="U78" s="1">
        <f t="shared" ca="1" si="83"/>
        <v>248</v>
      </c>
      <c r="V78" s="1">
        <f t="shared" ca="1" si="84"/>
        <v>30</v>
      </c>
      <c r="W78" s="1"/>
      <c r="X78" s="1">
        <f t="shared" ca="1" si="85"/>
        <v>9.8736680632679654</v>
      </c>
      <c r="Y78" s="1">
        <f t="shared" ca="1" si="86"/>
        <v>0.35637534653933745</v>
      </c>
      <c r="Z78" s="1">
        <f t="shared" ca="1" si="87"/>
        <v>452</v>
      </c>
      <c r="AB78" s="1">
        <f t="shared" ca="1" si="88"/>
        <v>7.8823385218565536E-2</v>
      </c>
      <c r="AC78" s="1">
        <f t="shared" ca="1" si="89"/>
        <v>835</v>
      </c>
      <c r="AD78" s="1">
        <f t="shared" ca="1" si="90"/>
        <v>8.5850116591147645E-3</v>
      </c>
      <c r="AE78" s="1"/>
      <c r="AF78" s="1">
        <f t="shared" ca="1" si="91"/>
        <v>0.21764836754710659</v>
      </c>
      <c r="AG78" s="1">
        <f t="shared" ca="1" si="92"/>
        <v>347</v>
      </c>
      <c r="AH78" s="1">
        <f t="shared" ca="1" si="93"/>
        <v>3.7878541570709485E-3</v>
      </c>
      <c r="AJ78" s="1">
        <f t="shared" ca="1" si="94"/>
        <v>0.77478985070570217</v>
      </c>
      <c r="AK78" s="1">
        <f t="shared" ca="1" si="95"/>
        <v>1.4568061891717591E-3</v>
      </c>
      <c r="AL78" s="1"/>
      <c r="AM78" s="1">
        <f t="shared" ca="1" si="96"/>
        <v>5.2039177368801308E-2</v>
      </c>
      <c r="AN78" s="1">
        <f t="shared" ca="1" si="97"/>
        <v>21</v>
      </c>
      <c r="AO78" s="1">
        <f t="shared" ca="1" si="98"/>
        <v>7</v>
      </c>
      <c r="AQ78" s="1">
        <f t="shared" ca="1" si="99"/>
        <v>22</v>
      </c>
      <c r="AR78" s="1">
        <f t="shared" ca="1" si="100"/>
        <v>7</v>
      </c>
      <c r="AS78" s="1">
        <f t="shared" ca="1" si="101"/>
        <v>34</v>
      </c>
      <c r="AU78" s="1">
        <f t="shared" ca="1" si="102"/>
        <v>110</v>
      </c>
      <c r="AV78" s="1">
        <f t="shared" ca="1" si="103"/>
        <v>2</v>
      </c>
      <c r="AW78" s="1">
        <f t="shared" ca="1" si="104"/>
        <v>0.14369732894133597</v>
      </c>
      <c r="AY78" s="1">
        <f t="shared" ca="1" si="105"/>
        <v>1.1954862216258206</v>
      </c>
      <c r="AZ78" s="1">
        <f t="shared" ca="1" si="106"/>
        <v>324</v>
      </c>
      <c r="BA78" s="1">
        <f t="shared" ca="1" si="107"/>
        <v>4.4728347194321052E-3</v>
      </c>
      <c r="BG78" s="1">
        <f t="shared" ca="1" si="108"/>
        <v>0.14448842402617468</v>
      </c>
      <c r="BH78" s="1">
        <f t="shared" ca="1" si="109"/>
        <v>0.83094119063621819</v>
      </c>
      <c r="BI78" s="1">
        <f t="shared" ca="1" si="110"/>
        <v>860</v>
      </c>
      <c r="BV78" s="1">
        <f t="shared" ca="1" si="111"/>
        <v>0.97555793728079221</v>
      </c>
      <c r="BW78" s="1">
        <f t="shared" ca="1" si="112"/>
        <v>154</v>
      </c>
      <c r="BX78" s="1">
        <f t="shared" ca="1" si="113"/>
        <v>6.3321856908764166E-3</v>
      </c>
      <c r="BY78" s="1">
        <f t="shared" ca="1" si="114"/>
        <v>2.0812780360699942E-2</v>
      </c>
      <c r="BZ78" s="1">
        <f t="shared" ca="1" si="115"/>
        <v>0.85502704280895236</v>
      </c>
      <c r="CB78" s="1">
        <f t="shared" ca="1" si="116"/>
        <v>244</v>
      </c>
      <c r="CC78" s="1">
        <f t="shared" ca="1" si="117"/>
        <v>14</v>
      </c>
      <c r="CD78" s="1">
        <f t="shared" ca="1" si="118"/>
        <v>0.22307283162358671</v>
      </c>
      <c r="CE78" s="1">
        <f t="shared" ca="1" si="119"/>
        <v>0.77353439385853795</v>
      </c>
      <c r="CF78" s="1">
        <f t="shared" ca="1" si="119"/>
        <v>0.67019406299077811</v>
      </c>
      <c r="CH78" s="3">
        <f t="shared" ca="1" si="120"/>
        <v>0.70443255908455549</v>
      </c>
      <c r="CI78" s="3">
        <f t="shared" ca="1" si="121"/>
        <v>0.57662533301403263</v>
      </c>
      <c r="CJ78" s="3">
        <f t="shared" ca="1" si="122"/>
        <v>1091</v>
      </c>
      <c r="CK78" s="3">
        <f t="shared" ca="1" si="123"/>
        <v>6.421286671314275E-3</v>
      </c>
      <c r="CL78" s="3">
        <f t="shared" ca="1" si="124"/>
        <v>0</v>
      </c>
      <c r="CM78" s="3"/>
      <c r="CN78" s="1">
        <f t="shared" ca="1" si="125"/>
        <v>17.237266898501883</v>
      </c>
      <c r="CO78" s="1">
        <f t="shared" ca="1" si="126"/>
        <v>0.11081869652552501</v>
      </c>
      <c r="CP78" s="1">
        <f t="shared" ca="1" si="127"/>
        <v>1</v>
      </c>
      <c r="CV78" s="1">
        <f t="shared" ca="1" si="128"/>
        <v>2.9537000169204575</v>
      </c>
      <c r="CW78" s="1">
        <f t="shared" ca="1" si="129"/>
        <v>322</v>
      </c>
      <c r="CX78" s="1">
        <f t="shared" ca="1" si="130"/>
        <v>1.2717468074771032E-3</v>
      </c>
      <c r="DH78" s="1">
        <f t="shared" ca="1" si="131"/>
        <v>69</v>
      </c>
      <c r="DI78" s="1">
        <f t="shared" ca="1" si="132"/>
        <v>0.53073538387226471</v>
      </c>
      <c r="DJ78" s="1">
        <f t="shared" ca="1" si="133"/>
        <v>7</v>
      </c>
      <c r="DL78" s="1">
        <f t="shared" ca="1" si="134"/>
        <v>8.966946646829263E-2</v>
      </c>
      <c r="DM78" s="1">
        <f t="shared" ca="1" si="135"/>
        <v>167</v>
      </c>
      <c r="DN78" s="1">
        <f t="shared" ca="1" si="136"/>
        <v>9</v>
      </c>
    </row>
    <row r="79" spans="2:118" x14ac:dyDescent="0.25">
      <c r="B79">
        <f t="shared" ca="1" si="69"/>
        <v>802</v>
      </c>
      <c r="C79">
        <f t="shared" ca="1" si="70"/>
        <v>51</v>
      </c>
      <c r="D79">
        <f t="shared" ca="1" si="71"/>
        <v>2.3180379105678196E-2</v>
      </c>
      <c r="F79" s="1">
        <f t="shared" ca="1" si="72"/>
        <v>30</v>
      </c>
      <c r="G79" s="1">
        <f t="shared" ca="1" si="73"/>
        <v>9</v>
      </c>
      <c r="H79" s="1">
        <f t="shared" ca="1" si="74"/>
        <v>14</v>
      </c>
      <c r="I79" s="1"/>
      <c r="J79" s="1">
        <f t="shared" ca="1" si="75"/>
        <v>14</v>
      </c>
      <c r="K79" s="1">
        <f t="shared" ca="1" si="76"/>
        <v>2.7742642610370125</v>
      </c>
      <c r="L79" s="1">
        <f t="shared" ca="1" si="77"/>
        <v>14</v>
      </c>
      <c r="M79" s="1"/>
      <c r="N79" s="1">
        <f t="shared" ca="1" si="78"/>
        <v>361</v>
      </c>
      <c r="O79" s="1">
        <f t="shared" ca="1" si="79"/>
        <v>47</v>
      </c>
      <c r="P79" s="1"/>
      <c r="Q79" s="1">
        <f t="shared" ca="1" si="80"/>
        <v>4.5163600453422861</v>
      </c>
      <c r="R79" s="1">
        <f t="shared" ca="1" si="81"/>
        <v>644</v>
      </c>
      <c r="S79" s="1"/>
      <c r="T79" s="1">
        <f t="shared" ca="1" si="82"/>
        <v>7.5112113152723273E-2</v>
      </c>
      <c r="U79" s="1">
        <f t="shared" ca="1" si="83"/>
        <v>169</v>
      </c>
      <c r="V79" s="1">
        <f t="shared" ca="1" si="84"/>
        <v>27</v>
      </c>
      <c r="W79" s="1"/>
      <c r="X79" s="1">
        <f t="shared" ca="1" si="85"/>
        <v>8.1360459072710327</v>
      </c>
      <c r="Y79" s="1">
        <f t="shared" ca="1" si="86"/>
        <v>0.87773941298820268</v>
      </c>
      <c r="Z79" s="1">
        <f t="shared" ca="1" si="87"/>
        <v>128</v>
      </c>
      <c r="AB79" s="1">
        <f t="shared" ca="1" si="88"/>
        <v>7.1481449896382693E-2</v>
      </c>
      <c r="AC79" s="1">
        <f t="shared" ca="1" si="89"/>
        <v>616</v>
      </c>
      <c r="AD79" s="1">
        <f t="shared" ca="1" si="90"/>
        <v>6.4178958936992499E-3</v>
      </c>
      <c r="AE79" s="1"/>
      <c r="AF79" s="1">
        <f t="shared" ca="1" si="91"/>
        <v>0.87454397312327148</v>
      </c>
      <c r="AG79" s="1">
        <f t="shared" ca="1" si="92"/>
        <v>293</v>
      </c>
      <c r="AH79" s="1">
        <f t="shared" ca="1" si="93"/>
        <v>5.5799181950303206E-3</v>
      </c>
      <c r="AJ79" s="1">
        <f t="shared" ca="1" si="94"/>
        <v>0.8000363370005773</v>
      </c>
      <c r="AK79" s="1">
        <f t="shared" ca="1" si="95"/>
        <v>1.5282771147251037E-4</v>
      </c>
      <c r="AL79" s="1"/>
      <c r="AM79" s="1">
        <f t="shared" ca="1" si="96"/>
        <v>5.4505798312405776E-2</v>
      </c>
      <c r="AN79" s="1">
        <f t="shared" ca="1" si="97"/>
        <v>43</v>
      </c>
      <c r="AO79" s="1">
        <f t="shared" ca="1" si="98"/>
        <v>14</v>
      </c>
      <c r="AQ79" s="1">
        <f t="shared" ca="1" si="99"/>
        <v>183</v>
      </c>
      <c r="AR79" s="1">
        <f t="shared" ca="1" si="100"/>
        <v>7</v>
      </c>
      <c r="AS79" s="1">
        <f t="shared" ca="1" si="101"/>
        <v>81</v>
      </c>
      <c r="AU79" s="1">
        <f t="shared" ca="1" si="102"/>
        <v>318</v>
      </c>
      <c r="AV79" s="1">
        <f t="shared" ca="1" si="103"/>
        <v>4</v>
      </c>
      <c r="AW79" s="1">
        <f t="shared" ca="1" si="104"/>
        <v>9.3044114712161341E-2</v>
      </c>
      <c r="AY79" s="1">
        <f t="shared" ca="1" si="105"/>
        <v>1.3241722534003852</v>
      </c>
      <c r="AZ79" s="1">
        <f t="shared" ca="1" si="106"/>
        <v>441</v>
      </c>
      <c r="BA79" s="1">
        <f t="shared" ca="1" si="107"/>
        <v>7.1782808524807808E-3</v>
      </c>
      <c r="BG79" s="1">
        <f t="shared" ca="1" si="108"/>
        <v>0.75627680902393069</v>
      </c>
      <c r="BH79" s="1">
        <f t="shared" ca="1" si="109"/>
        <v>0.4884476410293267</v>
      </c>
      <c r="BI79" s="1">
        <f t="shared" ca="1" si="110"/>
        <v>288</v>
      </c>
      <c r="BV79" s="1">
        <f t="shared" ca="1" si="111"/>
        <v>0.49128430860628458</v>
      </c>
      <c r="BW79" s="1">
        <f t="shared" ca="1" si="112"/>
        <v>663</v>
      </c>
      <c r="BX79" s="1">
        <f t="shared" ca="1" si="113"/>
        <v>4.7480490526368366E-3</v>
      </c>
      <c r="BY79" s="1">
        <f t="shared" ca="1" si="114"/>
        <v>4.5255910097093482E-2</v>
      </c>
      <c r="BZ79" s="1">
        <f t="shared" ca="1" si="115"/>
        <v>0.42449256524129519</v>
      </c>
      <c r="CB79" s="1">
        <f t="shared" ca="1" si="116"/>
        <v>381</v>
      </c>
      <c r="CC79" s="1">
        <f t="shared" ca="1" si="117"/>
        <v>6</v>
      </c>
      <c r="CD79" s="1">
        <f t="shared" ca="1" si="118"/>
        <v>0.23694245388268187</v>
      </c>
      <c r="CE79" s="1">
        <f t="shared" ca="1" si="119"/>
        <v>0.54393376773025515</v>
      </c>
      <c r="CF79" s="1">
        <f t="shared" ca="1" si="119"/>
        <v>0.72444924574596881</v>
      </c>
      <c r="CH79" s="3">
        <f t="shared" ca="1" si="120"/>
        <v>0.20161897166131293</v>
      </c>
      <c r="CI79" s="3">
        <f t="shared" ca="1" si="121"/>
        <v>0.94744431091961412</v>
      </c>
      <c r="CJ79" s="3">
        <f t="shared" ca="1" si="122"/>
        <v>1840</v>
      </c>
      <c r="CK79" s="3">
        <f t="shared" ca="1" si="123"/>
        <v>5.6992086387535109E-3</v>
      </c>
      <c r="CL79" s="3">
        <f t="shared" ca="1" si="124"/>
        <v>1</v>
      </c>
      <c r="CM79" s="3"/>
      <c r="CN79" s="1">
        <f t="shared" ca="1" si="125"/>
        <v>0.18759294878265448</v>
      </c>
      <c r="CO79" s="1">
        <f t="shared" ca="1" si="126"/>
        <v>0.486565068898066</v>
      </c>
      <c r="CP79" s="1">
        <f t="shared" ca="1" si="127"/>
        <v>3</v>
      </c>
      <c r="CV79" s="1">
        <f t="shared" ca="1" si="128"/>
        <v>6.2908568574850685</v>
      </c>
      <c r="CW79" s="1">
        <f t="shared" ca="1" si="129"/>
        <v>543</v>
      </c>
      <c r="CX79" s="1">
        <f t="shared" ca="1" si="130"/>
        <v>8.0829147942489479E-3</v>
      </c>
      <c r="DH79" s="1">
        <f t="shared" ca="1" si="131"/>
        <v>85</v>
      </c>
      <c r="DI79" s="1">
        <f t="shared" ca="1" si="132"/>
        <v>0.10479213369724368</v>
      </c>
      <c r="DJ79" s="1">
        <f t="shared" ca="1" si="133"/>
        <v>22</v>
      </c>
      <c r="DL79" s="1">
        <f t="shared" ca="1" si="134"/>
        <v>6.462773647570709E-2</v>
      </c>
      <c r="DM79" s="1">
        <f t="shared" ca="1" si="135"/>
        <v>211</v>
      </c>
      <c r="DN79" s="1">
        <f t="shared" ca="1" si="136"/>
        <v>1</v>
      </c>
    </row>
    <row r="80" spans="2:118" x14ac:dyDescent="0.25">
      <c r="B80">
        <f t="shared" ca="1" si="69"/>
        <v>530</v>
      </c>
      <c r="C80">
        <f t="shared" ca="1" si="70"/>
        <v>2</v>
      </c>
      <c r="D80">
        <f t="shared" ca="1" si="71"/>
        <v>0.19133448405524822</v>
      </c>
      <c r="F80" s="1">
        <f t="shared" ca="1" si="72"/>
        <v>29</v>
      </c>
      <c r="G80" s="1">
        <f t="shared" ca="1" si="73"/>
        <v>6</v>
      </c>
      <c r="H80" s="1">
        <f t="shared" ca="1" si="74"/>
        <v>10</v>
      </c>
      <c r="I80" s="1"/>
      <c r="J80" s="1">
        <f t="shared" ca="1" si="75"/>
        <v>8</v>
      </c>
      <c r="K80" s="1">
        <f t="shared" ca="1" si="76"/>
        <v>1.5814941052945157</v>
      </c>
      <c r="L80" s="1">
        <f t="shared" ca="1" si="77"/>
        <v>11</v>
      </c>
      <c r="M80" s="1"/>
      <c r="N80" s="1">
        <f t="shared" ca="1" si="78"/>
        <v>828</v>
      </c>
      <c r="O80" s="1">
        <f t="shared" ca="1" si="79"/>
        <v>16</v>
      </c>
      <c r="P80" s="1"/>
      <c r="Q80" s="1">
        <f t="shared" ca="1" si="80"/>
        <v>2.2443349835145918</v>
      </c>
      <c r="R80" s="1">
        <f t="shared" ca="1" si="81"/>
        <v>1009</v>
      </c>
      <c r="S80" s="1"/>
      <c r="T80" s="1">
        <f t="shared" ca="1" si="82"/>
        <v>0.13213625093890835</v>
      </c>
      <c r="U80" s="1">
        <f t="shared" ca="1" si="83"/>
        <v>392</v>
      </c>
      <c r="V80" s="1">
        <f t="shared" ca="1" si="84"/>
        <v>29</v>
      </c>
      <c r="W80" s="1"/>
      <c r="X80" s="1">
        <f t="shared" ca="1" si="85"/>
        <v>3.7648654339065901</v>
      </c>
      <c r="Y80" s="1">
        <f t="shared" ca="1" si="86"/>
        <v>0.91156149980055257</v>
      </c>
      <c r="Z80" s="1">
        <f t="shared" ca="1" si="87"/>
        <v>895</v>
      </c>
      <c r="AB80" s="1">
        <f t="shared" ca="1" si="88"/>
        <v>0.98802651940483699</v>
      </c>
      <c r="AC80" s="1">
        <f t="shared" ca="1" si="89"/>
        <v>140</v>
      </c>
      <c r="AD80" s="1">
        <f t="shared" ca="1" si="90"/>
        <v>4.0803091502035274E-3</v>
      </c>
      <c r="AE80" s="1"/>
      <c r="AF80" s="1">
        <f t="shared" ca="1" si="91"/>
        <v>0.89408872458886257</v>
      </c>
      <c r="AG80" s="1">
        <f t="shared" ca="1" si="92"/>
        <v>809</v>
      </c>
      <c r="AH80" s="1">
        <f t="shared" ca="1" si="93"/>
        <v>1.6002460948046793E-3</v>
      </c>
      <c r="AJ80" s="1">
        <f t="shared" ca="1" si="94"/>
        <v>0.53019522556263321</v>
      </c>
      <c r="AK80" s="1">
        <f t="shared" ca="1" si="95"/>
        <v>9.4917436787717423E-3</v>
      </c>
      <c r="AL80" s="1"/>
      <c r="AM80" s="1">
        <f t="shared" ca="1" si="96"/>
        <v>6.465952100671872E-2</v>
      </c>
      <c r="AN80" s="1">
        <f t="shared" ca="1" si="97"/>
        <v>48</v>
      </c>
      <c r="AO80" s="1">
        <f t="shared" ca="1" si="98"/>
        <v>5</v>
      </c>
      <c r="AQ80" s="1">
        <f t="shared" ca="1" si="99"/>
        <v>55</v>
      </c>
      <c r="AR80" s="1">
        <f t="shared" ca="1" si="100"/>
        <v>0</v>
      </c>
      <c r="AS80" s="1">
        <f t="shared" ca="1" si="101"/>
        <v>1</v>
      </c>
      <c r="AU80" s="1">
        <f t="shared" ca="1" si="102"/>
        <v>361</v>
      </c>
      <c r="AV80" s="1">
        <f t="shared" ca="1" si="103"/>
        <v>10</v>
      </c>
      <c r="AW80" s="1">
        <f t="shared" ca="1" si="104"/>
        <v>7.3729552165621881E-2</v>
      </c>
      <c r="AY80" s="1">
        <f t="shared" ca="1" si="105"/>
        <v>1.2276189063197966</v>
      </c>
      <c r="AZ80" s="1">
        <f t="shared" ca="1" si="106"/>
        <v>323</v>
      </c>
      <c r="BA80" s="1">
        <f t="shared" ca="1" si="107"/>
        <v>7.246867488952557E-3</v>
      </c>
      <c r="BG80" s="1">
        <f t="shared" ca="1" si="108"/>
        <v>0.41411440627814933</v>
      </c>
      <c r="BH80" s="1">
        <f t="shared" ca="1" si="109"/>
        <v>0.5980020065724817</v>
      </c>
      <c r="BI80" s="1">
        <f t="shared" ca="1" si="110"/>
        <v>800</v>
      </c>
      <c r="BV80" s="1">
        <f t="shared" ca="1" si="111"/>
        <v>0.85012294959404</v>
      </c>
      <c r="BW80" s="1">
        <f t="shared" ca="1" si="112"/>
        <v>818</v>
      </c>
      <c r="BX80" s="1">
        <f t="shared" ca="1" si="113"/>
        <v>2.9954162822823757E-3</v>
      </c>
      <c r="BY80" s="1">
        <f t="shared" ca="1" si="114"/>
        <v>5.4822782358050312E-2</v>
      </c>
      <c r="BZ80" s="1">
        <f t="shared" ca="1" si="115"/>
        <v>0.43438483109974546</v>
      </c>
      <c r="CB80" s="1">
        <f t="shared" ca="1" si="116"/>
        <v>315</v>
      </c>
      <c r="CC80" s="1">
        <f t="shared" ca="1" si="117"/>
        <v>4</v>
      </c>
      <c r="CD80" s="1">
        <f t="shared" ca="1" si="118"/>
        <v>0.16998902654249601</v>
      </c>
      <c r="CE80" s="1">
        <f t="shared" ca="1" si="119"/>
        <v>0.96262708023578991</v>
      </c>
      <c r="CF80" s="1">
        <f t="shared" ca="1" si="119"/>
        <v>0.99895385715851348</v>
      </c>
      <c r="CH80" s="3">
        <f t="shared" ca="1" si="120"/>
        <v>8.7901562698531013E-2</v>
      </c>
      <c r="CI80" s="3">
        <f t="shared" ca="1" si="121"/>
        <v>0.38810544041870193</v>
      </c>
      <c r="CJ80" s="3">
        <f t="shared" ca="1" si="122"/>
        <v>447</v>
      </c>
      <c r="CK80" s="3">
        <f t="shared" ca="1" si="123"/>
        <v>6.9148929276913497E-3</v>
      </c>
      <c r="CL80" s="3">
        <f t="shared" ca="1" si="124"/>
        <v>0</v>
      </c>
      <c r="CM80" s="3"/>
      <c r="CN80" s="1">
        <f t="shared" ca="1" si="125"/>
        <v>6.9837424560692591</v>
      </c>
      <c r="CO80" s="1">
        <f t="shared" ca="1" si="126"/>
        <v>0.13738561717975167</v>
      </c>
      <c r="CP80" s="1">
        <f t="shared" ca="1" si="127"/>
        <v>2</v>
      </c>
      <c r="CV80" s="1">
        <f t="shared" ca="1" si="128"/>
        <v>4.8161509460063847</v>
      </c>
      <c r="CW80" s="1">
        <f t="shared" ca="1" si="129"/>
        <v>1522</v>
      </c>
      <c r="CX80" s="1">
        <f t="shared" ca="1" si="130"/>
        <v>1.6593064671032857E-3</v>
      </c>
      <c r="DH80" s="1">
        <f t="shared" ca="1" si="131"/>
        <v>632</v>
      </c>
      <c r="DI80" s="1">
        <f t="shared" ca="1" si="132"/>
        <v>0.49195781426458679</v>
      </c>
      <c r="DJ80" s="1">
        <f t="shared" ca="1" si="133"/>
        <v>30</v>
      </c>
      <c r="DL80" s="1">
        <f t="shared" ca="1" si="134"/>
        <v>0.10740340998856442</v>
      </c>
      <c r="DM80" s="1">
        <f t="shared" ca="1" si="135"/>
        <v>130</v>
      </c>
      <c r="DN80" s="1">
        <f t="shared" ca="1" si="136"/>
        <v>3</v>
      </c>
    </row>
    <row r="81" spans="2:118" x14ac:dyDescent="0.25">
      <c r="B81">
        <f t="shared" ca="1" si="69"/>
        <v>666</v>
      </c>
      <c r="C81">
        <f t="shared" ca="1" si="70"/>
        <v>33</v>
      </c>
      <c r="D81">
        <f t="shared" ca="1" si="71"/>
        <v>0.18304113947359385</v>
      </c>
      <c r="F81" s="1">
        <f t="shared" ca="1" si="72"/>
        <v>35</v>
      </c>
      <c r="G81" s="1">
        <f t="shared" ca="1" si="73"/>
        <v>22</v>
      </c>
      <c r="H81" s="1">
        <f t="shared" ca="1" si="74"/>
        <v>3</v>
      </c>
      <c r="I81" s="1"/>
      <c r="J81" s="1">
        <f t="shared" ca="1" si="75"/>
        <v>4</v>
      </c>
      <c r="K81" s="1">
        <f t="shared" ca="1" si="76"/>
        <v>2.1191112030159553</v>
      </c>
      <c r="L81" s="1">
        <f t="shared" ca="1" si="77"/>
        <v>20</v>
      </c>
      <c r="M81" s="1"/>
      <c r="N81" s="1">
        <f t="shared" ca="1" si="78"/>
        <v>907</v>
      </c>
      <c r="O81" s="1">
        <f t="shared" ca="1" si="79"/>
        <v>38</v>
      </c>
      <c r="P81" s="1"/>
      <c r="Q81" s="1">
        <f t="shared" ca="1" si="80"/>
        <v>0.96937410344359765</v>
      </c>
      <c r="R81" s="1">
        <f t="shared" ca="1" si="81"/>
        <v>882</v>
      </c>
      <c r="S81" s="1"/>
      <c r="T81" s="1">
        <f t="shared" ca="1" si="82"/>
        <v>9.8389889993441892E-2</v>
      </c>
      <c r="U81" s="1">
        <f t="shared" ca="1" si="83"/>
        <v>97</v>
      </c>
      <c r="V81" s="1">
        <f t="shared" ca="1" si="84"/>
        <v>34</v>
      </c>
      <c r="W81" s="1"/>
      <c r="X81" s="1">
        <f t="shared" ca="1" si="85"/>
        <v>7.7057703156804616</v>
      </c>
      <c r="Y81" s="1">
        <f t="shared" ca="1" si="86"/>
        <v>6.7752584124131793E-2</v>
      </c>
      <c r="Z81" s="1">
        <f t="shared" ca="1" si="87"/>
        <v>956</v>
      </c>
      <c r="AB81" s="1">
        <f t="shared" ca="1" si="88"/>
        <v>0.9881438895718756</v>
      </c>
      <c r="AC81" s="1">
        <f t="shared" ca="1" si="89"/>
        <v>176</v>
      </c>
      <c r="AD81" s="1">
        <f t="shared" ca="1" si="90"/>
        <v>8.1266656213420125E-3</v>
      </c>
      <c r="AE81" s="1"/>
      <c r="AF81" s="1">
        <f t="shared" ca="1" si="91"/>
        <v>0.17332758707497309</v>
      </c>
      <c r="AG81" s="1">
        <f t="shared" ca="1" si="92"/>
        <v>522</v>
      </c>
      <c r="AH81" s="1">
        <f t="shared" ca="1" si="93"/>
        <v>6.8802939926609968E-3</v>
      </c>
      <c r="AJ81" s="1">
        <f t="shared" ca="1" si="94"/>
        <v>4.8537006800403959E-2</v>
      </c>
      <c r="AK81" s="1">
        <f t="shared" ca="1" si="95"/>
        <v>7.4561813166395359E-3</v>
      </c>
      <c r="AL81" s="1"/>
      <c r="AM81" s="1">
        <f t="shared" ca="1" si="96"/>
        <v>0.12074436953533826</v>
      </c>
      <c r="AN81" s="1">
        <f t="shared" ca="1" si="97"/>
        <v>74</v>
      </c>
      <c r="AO81" s="1">
        <f t="shared" ca="1" si="98"/>
        <v>14</v>
      </c>
      <c r="AQ81" s="1">
        <f t="shared" ca="1" si="99"/>
        <v>45</v>
      </c>
      <c r="AR81" s="1">
        <f t="shared" ca="1" si="100"/>
        <v>10</v>
      </c>
      <c r="AS81" s="1">
        <f t="shared" ca="1" si="101"/>
        <v>78</v>
      </c>
      <c r="AU81" s="1">
        <f t="shared" ca="1" si="102"/>
        <v>130</v>
      </c>
      <c r="AV81" s="1">
        <f t="shared" ca="1" si="103"/>
        <v>2</v>
      </c>
      <c r="AW81" s="1">
        <f t="shared" ca="1" si="104"/>
        <v>4.3864741988949289E-2</v>
      </c>
      <c r="AY81" s="1">
        <f t="shared" ca="1" si="105"/>
        <v>1.4776407962057423</v>
      </c>
      <c r="AZ81" s="1">
        <f t="shared" ca="1" si="106"/>
        <v>68</v>
      </c>
      <c r="BA81" s="1">
        <f t="shared" ca="1" si="107"/>
        <v>3.822265399665879E-3</v>
      </c>
      <c r="BG81" s="1">
        <f t="shared" ca="1" si="108"/>
        <v>0.83928905979090618</v>
      </c>
      <c r="BH81" s="1">
        <f t="shared" ca="1" si="109"/>
        <v>0.22627829795864329</v>
      </c>
      <c r="BI81" s="1">
        <f t="shared" ca="1" si="110"/>
        <v>951</v>
      </c>
      <c r="BV81" s="1">
        <f t="shared" ca="1" si="111"/>
        <v>0.82022289769628887</v>
      </c>
      <c r="BW81" s="1">
        <f t="shared" ca="1" si="112"/>
        <v>823</v>
      </c>
      <c r="BX81" s="1">
        <f t="shared" ca="1" si="113"/>
        <v>5.5178392786291068E-3</v>
      </c>
      <c r="BY81" s="1">
        <f t="shared" ca="1" si="114"/>
        <v>7.5575277800992505E-2</v>
      </c>
      <c r="BZ81" s="1">
        <f t="shared" ca="1" si="115"/>
        <v>0.95463176139454187</v>
      </c>
      <c r="CB81" s="1">
        <f t="shared" ca="1" si="116"/>
        <v>318</v>
      </c>
      <c r="CC81" s="1">
        <f t="shared" ca="1" si="117"/>
        <v>6</v>
      </c>
      <c r="CD81" s="1">
        <f t="shared" ca="1" si="118"/>
        <v>0.28288610474870529</v>
      </c>
      <c r="CE81" s="1">
        <f t="shared" ca="1" si="119"/>
        <v>0.8537911613932464</v>
      </c>
      <c r="CF81" s="1">
        <f t="shared" ca="1" si="119"/>
        <v>0.66508006261558483</v>
      </c>
      <c r="CH81" s="3">
        <f t="shared" ca="1" si="120"/>
        <v>0.68294546390906385</v>
      </c>
      <c r="CI81" s="3">
        <f t="shared" ca="1" si="121"/>
        <v>0.53785150308482088</v>
      </c>
      <c r="CJ81" s="3">
        <f t="shared" ca="1" si="122"/>
        <v>1764</v>
      </c>
      <c r="CK81" s="3">
        <f t="shared" ca="1" si="123"/>
        <v>7.9672912229878361E-3</v>
      </c>
      <c r="CL81" s="3">
        <f t="shared" ca="1" si="124"/>
        <v>1</v>
      </c>
      <c r="CM81" s="3"/>
      <c r="CN81" s="1">
        <f t="shared" ca="1" si="125"/>
        <v>17.325426750460991</v>
      </c>
      <c r="CO81" s="1">
        <f t="shared" ca="1" si="126"/>
        <v>3.4470169656224896E-2</v>
      </c>
      <c r="CP81" s="1">
        <f t="shared" ca="1" si="127"/>
        <v>5</v>
      </c>
      <c r="CV81" s="1">
        <f t="shared" ca="1" si="128"/>
        <v>7.4958114046173581</v>
      </c>
      <c r="CW81" s="1">
        <f t="shared" ca="1" si="129"/>
        <v>1851</v>
      </c>
      <c r="CX81" s="1">
        <f t="shared" ca="1" si="130"/>
        <v>3.9597038735762757E-3</v>
      </c>
      <c r="DH81" s="1">
        <f t="shared" ca="1" si="131"/>
        <v>685</v>
      </c>
      <c r="DI81" s="1">
        <f t="shared" ca="1" si="132"/>
        <v>0.66034044730236563</v>
      </c>
      <c r="DJ81" s="1">
        <f t="shared" ca="1" si="133"/>
        <v>27</v>
      </c>
      <c r="DL81" s="1">
        <f t="shared" ca="1" si="134"/>
        <v>0.11085666745103202</v>
      </c>
      <c r="DM81" s="1">
        <f t="shared" ca="1" si="135"/>
        <v>71</v>
      </c>
      <c r="DN81" s="1">
        <f t="shared" ca="1" si="136"/>
        <v>6</v>
      </c>
    </row>
    <row r="82" spans="2:118" x14ac:dyDescent="0.25">
      <c r="B82">
        <f t="shared" ca="1" si="69"/>
        <v>199</v>
      </c>
      <c r="C82">
        <f t="shared" ca="1" si="70"/>
        <v>39</v>
      </c>
      <c r="D82">
        <f t="shared" ca="1" si="71"/>
        <v>0.19950820049244536</v>
      </c>
      <c r="F82" s="1">
        <f t="shared" ca="1" si="72"/>
        <v>17</v>
      </c>
      <c r="G82" s="1">
        <f t="shared" ca="1" si="73"/>
        <v>23</v>
      </c>
      <c r="H82" s="1">
        <f t="shared" ca="1" si="74"/>
        <v>6</v>
      </c>
      <c r="I82" s="1"/>
      <c r="J82" s="1">
        <f t="shared" ca="1" si="75"/>
        <v>30</v>
      </c>
      <c r="K82" s="1">
        <f t="shared" ca="1" si="76"/>
        <v>1.9319888341047688</v>
      </c>
      <c r="L82" s="1">
        <f t="shared" ca="1" si="77"/>
        <v>23</v>
      </c>
      <c r="M82" s="1"/>
      <c r="N82" s="1">
        <f t="shared" ca="1" si="78"/>
        <v>289</v>
      </c>
      <c r="O82" s="1">
        <f t="shared" ca="1" si="79"/>
        <v>14</v>
      </c>
      <c r="P82" s="1"/>
      <c r="Q82" s="1">
        <f t="shared" ca="1" si="80"/>
        <v>1.5759698677245764</v>
      </c>
      <c r="R82" s="1">
        <f t="shared" ca="1" si="81"/>
        <v>661</v>
      </c>
      <c r="S82" s="1"/>
      <c r="T82" s="1">
        <f t="shared" ca="1" si="82"/>
        <v>7.2221144262968343E-2</v>
      </c>
      <c r="U82" s="1">
        <f t="shared" ca="1" si="83"/>
        <v>210</v>
      </c>
      <c r="V82" s="1">
        <f t="shared" ca="1" si="84"/>
        <v>21</v>
      </c>
      <c r="W82" s="1"/>
      <c r="X82" s="1">
        <f t="shared" ca="1" si="85"/>
        <v>9.4941276909446675</v>
      </c>
      <c r="Y82" s="1">
        <f t="shared" ca="1" si="86"/>
        <v>0.70795116340989717</v>
      </c>
      <c r="Z82" s="1">
        <f t="shared" ca="1" si="87"/>
        <v>184</v>
      </c>
      <c r="AB82" s="1">
        <f t="shared" ca="1" si="88"/>
        <v>0.63972413242530801</v>
      </c>
      <c r="AC82" s="1">
        <f t="shared" ca="1" si="89"/>
        <v>979</v>
      </c>
      <c r="AD82" s="1">
        <f t="shared" ca="1" si="90"/>
        <v>4.2333243218707229E-3</v>
      </c>
      <c r="AE82" s="1"/>
      <c r="AF82" s="1">
        <f t="shared" ca="1" si="91"/>
        <v>0.28195468602321172</v>
      </c>
      <c r="AG82" s="1">
        <f t="shared" ca="1" si="92"/>
        <v>440</v>
      </c>
      <c r="AH82" s="1">
        <f t="shared" ca="1" si="93"/>
        <v>8.8317922051416361E-3</v>
      </c>
      <c r="AJ82" s="1">
        <f t="shared" ca="1" si="94"/>
        <v>0.77861187544855015</v>
      </c>
      <c r="AK82" s="1">
        <f t="shared" ca="1" si="95"/>
        <v>4.3722908446692885E-3</v>
      </c>
      <c r="AL82" s="1"/>
      <c r="AM82" s="1">
        <f t="shared" ca="1" si="96"/>
        <v>0.11181293211253969</v>
      </c>
      <c r="AN82" s="1">
        <f t="shared" ca="1" si="97"/>
        <v>42</v>
      </c>
      <c r="AO82" s="1">
        <f t="shared" ca="1" si="98"/>
        <v>2</v>
      </c>
      <c r="AQ82" s="1">
        <f t="shared" ca="1" si="99"/>
        <v>37</v>
      </c>
      <c r="AR82" s="1">
        <f t="shared" ca="1" si="100"/>
        <v>2</v>
      </c>
      <c r="AS82" s="1">
        <f t="shared" ca="1" si="101"/>
        <v>89</v>
      </c>
      <c r="AU82" s="1">
        <f t="shared" ca="1" si="102"/>
        <v>252</v>
      </c>
      <c r="AV82" s="1">
        <f t="shared" ca="1" si="103"/>
        <v>5</v>
      </c>
      <c r="AW82" s="1">
        <f t="shared" ca="1" si="104"/>
        <v>0.12581922647961782</v>
      </c>
      <c r="AY82" s="1">
        <f t="shared" ca="1" si="105"/>
        <v>1.371956287633433</v>
      </c>
      <c r="AZ82" s="1">
        <f t="shared" ca="1" si="106"/>
        <v>273</v>
      </c>
      <c r="BA82" s="1">
        <f t="shared" ca="1" si="107"/>
        <v>3.2921961926105901E-3</v>
      </c>
      <c r="BG82" s="1">
        <f t="shared" ca="1" si="108"/>
        <v>0.43756713957198973</v>
      </c>
      <c r="BH82" s="1">
        <f t="shared" ca="1" si="109"/>
        <v>0.54102014231783113</v>
      </c>
      <c r="BI82" s="1">
        <f t="shared" ca="1" si="110"/>
        <v>670</v>
      </c>
      <c r="BV82" s="1">
        <f t="shared" ca="1" si="111"/>
        <v>0.91096560135490168</v>
      </c>
      <c r="BW82" s="1">
        <f t="shared" ca="1" si="112"/>
        <v>148</v>
      </c>
      <c r="BX82" s="1">
        <f t="shared" ca="1" si="113"/>
        <v>1.5898345292009702E-3</v>
      </c>
      <c r="BY82" s="1">
        <f t="shared" ca="1" si="114"/>
        <v>3.7924681511569372E-2</v>
      </c>
      <c r="BZ82" s="1">
        <f t="shared" ca="1" si="115"/>
        <v>0.25788623322276683</v>
      </c>
      <c r="CB82" s="1">
        <f t="shared" ca="1" si="116"/>
        <v>175</v>
      </c>
      <c r="CC82" s="1">
        <f t="shared" ca="1" si="117"/>
        <v>9</v>
      </c>
      <c r="CD82" s="1">
        <f t="shared" ca="1" si="118"/>
        <v>0.17630508131723593</v>
      </c>
      <c r="CE82" s="1">
        <f t="shared" ca="1" si="119"/>
        <v>0.87527319517695612</v>
      </c>
      <c r="CF82" s="1">
        <f t="shared" ca="1" si="119"/>
        <v>0.7359177764930831</v>
      </c>
      <c r="CH82" s="3">
        <f t="shared" ca="1" si="120"/>
        <v>5.63956467798939E-3</v>
      </c>
      <c r="CI82" s="3">
        <f t="shared" ca="1" si="121"/>
        <v>1.4336204814078646E-2</v>
      </c>
      <c r="CJ82" s="3">
        <f t="shared" ca="1" si="122"/>
        <v>1457</v>
      </c>
      <c r="CK82" s="3">
        <f t="shared" ca="1" si="123"/>
        <v>8.7177689608827422E-3</v>
      </c>
      <c r="CL82" s="3">
        <f t="shared" ca="1" si="124"/>
        <v>0</v>
      </c>
      <c r="CM82" s="3"/>
      <c r="CN82" s="1">
        <f t="shared" ca="1" si="125"/>
        <v>6.5162447711120421</v>
      </c>
      <c r="CO82" s="1">
        <f t="shared" ca="1" si="126"/>
        <v>2.3028204742495725E-2</v>
      </c>
      <c r="CP82" s="1">
        <f t="shared" ca="1" si="127"/>
        <v>2</v>
      </c>
      <c r="CV82" s="1">
        <f t="shared" ca="1" si="128"/>
        <v>1.0679975891959106</v>
      </c>
      <c r="CW82" s="1">
        <f t="shared" ca="1" si="129"/>
        <v>1611</v>
      </c>
      <c r="CX82" s="1">
        <f t="shared" ca="1" si="130"/>
        <v>2.2190242090344174E-3</v>
      </c>
      <c r="DH82" s="1">
        <f t="shared" ca="1" si="131"/>
        <v>179</v>
      </c>
      <c r="DI82" s="1">
        <f t="shared" ca="1" si="132"/>
        <v>0.8988946128648414</v>
      </c>
      <c r="DJ82" s="1">
        <f t="shared" ca="1" si="133"/>
        <v>20</v>
      </c>
      <c r="DL82" s="1">
        <f t="shared" ca="1" si="134"/>
        <v>0.18741337927992413</v>
      </c>
      <c r="DM82" s="1">
        <f t="shared" ca="1" si="135"/>
        <v>143</v>
      </c>
      <c r="DN82" s="1">
        <f t="shared" ca="1" si="136"/>
        <v>6</v>
      </c>
    </row>
    <row r="83" spans="2:118" x14ac:dyDescent="0.25">
      <c r="B83">
        <f t="shared" ca="1" si="69"/>
        <v>77</v>
      </c>
      <c r="C83">
        <f t="shared" ca="1" si="70"/>
        <v>3</v>
      </c>
      <c r="D83">
        <f t="shared" ca="1" si="71"/>
        <v>0.23797635108302106</v>
      </c>
      <c r="F83" s="1">
        <f t="shared" ca="1" si="72"/>
        <v>10</v>
      </c>
      <c r="G83" s="1">
        <f t="shared" ca="1" si="73"/>
        <v>29</v>
      </c>
      <c r="H83" s="1">
        <f t="shared" ca="1" si="74"/>
        <v>6</v>
      </c>
      <c r="I83" s="1"/>
      <c r="J83" s="1">
        <f t="shared" ca="1" si="75"/>
        <v>30</v>
      </c>
      <c r="K83" s="1">
        <f t="shared" ca="1" si="76"/>
        <v>1.0303527640839301</v>
      </c>
      <c r="L83" s="1">
        <f t="shared" ca="1" si="77"/>
        <v>33</v>
      </c>
      <c r="M83" s="1"/>
      <c r="N83" s="1">
        <f t="shared" ca="1" si="78"/>
        <v>246</v>
      </c>
      <c r="O83" s="1">
        <f t="shared" ca="1" si="79"/>
        <v>13</v>
      </c>
      <c r="P83" s="1"/>
      <c r="Q83" s="1">
        <f t="shared" ca="1" si="80"/>
        <v>4.7847027063207852</v>
      </c>
      <c r="R83" s="1">
        <f t="shared" ca="1" si="81"/>
        <v>445</v>
      </c>
      <c r="S83" s="1"/>
      <c r="T83" s="1">
        <f t="shared" ca="1" si="82"/>
        <v>9.8177578815003594E-2</v>
      </c>
      <c r="U83" s="1">
        <f t="shared" ca="1" si="83"/>
        <v>310</v>
      </c>
      <c r="V83" s="1">
        <f t="shared" ca="1" si="84"/>
        <v>45</v>
      </c>
      <c r="W83" s="1"/>
      <c r="X83" s="1">
        <f t="shared" ca="1" si="85"/>
        <v>1.1286546564030835</v>
      </c>
      <c r="Y83" s="1">
        <f t="shared" ca="1" si="86"/>
        <v>4.4216832562358088E-2</v>
      </c>
      <c r="Z83" s="1">
        <f t="shared" ca="1" si="87"/>
        <v>1025</v>
      </c>
      <c r="AB83" s="1">
        <f t="shared" ca="1" si="88"/>
        <v>0.37079710131260241</v>
      </c>
      <c r="AC83" s="1">
        <f t="shared" ca="1" si="89"/>
        <v>442</v>
      </c>
      <c r="AD83" s="1">
        <f t="shared" ca="1" si="90"/>
        <v>4.9073141086192082E-5</v>
      </c>
      <c r="AE83" s="1"/>
      <c r="AF83" s="1">
        <f t="shared" ca="1" si="91"/>
        <v>0.37902671049675407</v>
      </c>
      <c r="AG83" s="1">
        <f t="shared" ca="1" si="92"/>
        <v>422</v>
      </c>
      <c r="AH83" s="1">
        <f t="shared" ca="1" si="93"/>
        <v>3.085436880884993E-3</v>
      </c>
      <c r="AJ83" s="1">
        <f t="shared" ca="1" si="94"/>
        <v>5.2342291062255963E-2</v>
      </c>
      <c r="AK83" s="1">
        <f t="shared" ca="1" si="95"/>
        <v>7.9826938975174622E-3</v>
      </c>
      <c r="AL83" s="1"/>
      <c r="AM83" s="1">
        <f t="shared" ca="1" si="96"/>
        <v>0.10115175430164787</v>
      </c>
      <c r="AN83" s="1">
        <f t="shared" ca="1" si="97"/>
        <v>79</v>
      </c>
      <c r="AO83" s="1">
        <f t="shared" ca="1" si="98"/>
        <v>-1</v>
      </c>
      <c r="AQ83" s="1">
        <f t="shared" ca="1" si="99"/>
        <v>170</v>
      </c>
      <c r="AR83" s="1">
        <f t="shared" ca="1" si="100"/>
        <v>1</v>
      </c>
      <c r="AS83" s="1">
        <f t="shared" ca="1" si="101"/>
        <v>40</v>
      </c>
      <c r="AU83" s="1">
        <f t="shared" ca="1" si="102"/>
        <v>379</v>
      </c>
      <c r="AV83" s="1">
        <f t="shared" ca="1" si="103"/>
        <v>4</v>
      </c>
      <c r="AW83" s="1">
        <f t="shared" ca="1" si="104"/>
        <v>0.1147977536199758</v>
      </c>
      <c r="AY83" s="1">
        <f t="shared" ca="1" si="105"/>
        <v>1.784106000433294</v>
      </c>
      <c r="AZ83" s="1">
        <f t="shared" ca="1" si="106"/>
        <v>265</v>
      </c>
      <c r="BA83" s="1">
        <f t="shared" ca="1" si="107"/>
        <v>6.7076541193805579E-3</v>
      </c>
      <c r="BG83" s="1">
        <f t="shared" ca="1" si="108"/>
        <v>0.32576595623138743</v>
      </c>
      <c r="BH83" s="1">
        <f t="shared" ca="1" si="109"/>
        <v>0.62474843038830452</v>
      </c>
      <c r="BI83" s="1">
        <f t="shared" ca="1" si="110"/>
        <v>802</v>
      </c>
      <c r="BV83" s="1">
        <f t="shared" ca="1" si="111"/>
        <v>0.95666908836982567</v>
      </c>
      <c r="BW83" s="1">
        <f t="shared" ca="1" si="112"/>
        <v>956</v>
      </c>
      <c r="BX83" s="1">
        <f t="shared" ca="1" si="113"/>
        <v>5.3379107143393632E-3</v>
      </c>
      <c r="BY83" s="1">
        <f t="shared" ca="1" si="114"/>
        <v>5.6565821369478693E-2</v>
      </c>
      <c r="BZ83" s="1">
        <f t="shared" ca="1" si="115"/>
        <v>3.3292643442868752E-2</v>
      </c>
      <c r="CB83" s="1">
        <f t="shared" ca="1" si="116"/>
        <v>302</v>
      </c>
      <c r="CC83" s="1">
        <f t="shared" ca="1" si="117"/>
        <v>15</v>
      </c>
      <c r="CD83" s="1">
        <f t="shared" ca="1" si="118"/>
        <v>9.715781013988474E-2</v>
      </c>
      <c r="CE83" s="1">
        <f t="shared" ca="1" si="119"/>
        <v>0.62550481972161986</v>
      </c>
      <c r="CF83" s="1">
        <f t="shared" ca="1" si="119"/>
        <v>0.51106981483342429</v>
      </c>
      <c r="CH83" s="3">
        <f t="shared" ca="1" si="120"/>
        <v>0.4539146572672047</v>
      </c>
      <c r="CI83" s="3">
        <f t="shared" ca="1" si="121"/>
        <v>0.16930098916821751</v>
      </c>
      <c r="CJ83" s="3">
        <f t="shared" ca="1" si="122"/>
        <v>491</v>
      </c>
      <c r="CK83" s="3">
        <f t="shared" ca="1" si="123"/>
        <v>7.4516742979862461E-3</v>
      </c>
      <c r="CL83" s="3">
        <f t="shared" ca="1" si="124"/>
        <v>0</v>
      </c>
      <c r="CM83" s="3"/>
      <c r="CN83" s="1">
        <f t="shared" ca="1" si="125"/>
        <v>11.5950184987946</v>
      </c>
      <c r="CO83" s="1">
        <f t="shared" ca="1" si="126"/>
        <v>0.11529188254519568</v>
      </c>
      <c r="CP83" s="1">
        <f t="shared" ca="1" si="127"/>
        <v>5</v>
      </c>
      <c r="CV83" s="1">
        <f t="shared" ca="1" si="128"/>
        <v>4.6549628208112388</v>
      </c>
      <c r="CW83" s="1">
        <f t="shared" ca="1" si="129"/>
        <v>831</v>
      </c>
      <c r="CX83" s="1">
        <f t="shared" ca="1" si="130"/>
        <v>1.372738677488219E-3</v>
      </c>
      <c r="DH83" s="1">
        <f t="shared" ca="1" si="131"/>
        <v>216</v>
      </c>
      <c r="DI83" s="1">
        <f t="shared" ca="1" si="132"/>
        <v>0.3340616727203819</v>
      </c>
      <c r="DJ83" s="1">
        <f t="shared" ca="1" si="133"/>
        <v>11</v>
      </c>
      <c r="DL83" s="1">
        <f t="shared" ca="1" si="134"/>
        <v>7.2069588041160995E-2</v>
      </c>
      <c r="DM83" s="1">
        <f t="shared" ca="1" si="135"/>
        <v>54</v>
      </c>
      <c r="DN83" s="1">
        <f t="shared" ca="1" si="136"/>
        <v>1</v>
      </c>
    </row>
    <row r="84" spans="2:118" x14ac:dyDescent="0.25">
      <c r="B84">
        <f t="shared" ca="1" si="69"/>
        <v>858</v>
      </c>
      <c r="C84">
        <f t="shared" ca="1" si="70"/>
        <v>20</v>
      </c>
      <c r="D84">
        <f t="shared" ca="1" si="71"/>
        <v>0.24403436211715726</v>
      </c>
      <c r="F84" s="1">
        <f t="shared" ca="1" si="72"/>
        <v>41</v>
      </c>
      <c r="G84" s="1">
        <f t="shared" ca="1" si="73"/>
        <v>23</v>
      </c>
      <c r="H84" s="1">
        <f t="shared" ca="1" si="74"/>
        <v>5</v>
      </c>
      <c r="I84" s="1"/>
      <c r="J84" s="1">
        <f t="shared" ca="1" si="75"/>
        <v>10</v>
      </c>
      <c r="K84" s="1">
        <f t="shared" ca="1" si="76"/>
        <v>2.5339346661956768</v>
      </c>
      <c r="L84" s="1">
        <f t="shared" ca="1" si="77"/>
        <v>24</v>
      </c>
      <c r="M84" s="1"/>
      <c r="N84" s="1">
        <f t="shared" ca="1" si="78"/>
        <v>556</v>
      </c>
      <c r="O84" s="1">
        <f t="shared" ca="1" si="79"/>
        <v>37</v>
      </c>
      <c r="P84" s="1"/>
      <c r="Q84" s="1">
        <f t="shared" ca="1" si="80"/>
        <v>1.2357931527231718</v>
      </c>
      <c r="R84" s="1">
        <f t="shared" ca="1" si="81"/>
        <v>437</v>
      </c>
      <c r="S84" s="1"/>
      <c r="T84" s="1">
        <f t="shared" ca="1" si="82"/>
        <v>0.16167886685874366</v>
      </c>
      <c r="U84" s="1">
        <f t="shared" ca="1" si="83"/>
        <v>399</v>
      </c>
      <c r="V84" s="1">
        <f t="shared" ca="1" si="84"/>
        <v>5</v>
      </c>
      <c r="W84" s="1"/>
      <c r="X84" s="1">
        <f t="shared" ca="1" si="85"/>
        <v>9.7749914637448576</v>
      </c>
      <c r="Y84" s="1">
        <f t="shared" ca="1" si="86"/>
        <v>0.72784272605632339</v>
      </c>
      <c r="Z84" s="1">
        <f t="shared" ca="1" si="87"/>
        <v>1729</v>
      </c>
      <c r="AB84" s="1">
        <f t="shared" ca="1" si="88"/>
        <v>0.25844731777100405</v>
      </c>
      <c r="AC84" s="1">
        <f t="shared" ca="1" si="89"/>
        <v>157</v>
      </c>
      <c r="AD84" s="1">
        <f t="shared" ca="1" si="90"/>
        <v>2.8231854540242147E-3</v>
      </c>
      <c r="AE84" s="1"/>
      <c r="AF84" s="1">
        <f t="shared" ca="1" si="91"/>
        <v>0.57838607490149763</v>
      </c>
      <c r="AG84" s="1">
        <f t="shared" ca="1" si="92"/>
        <v>586</v>
      </c>
      <c r="AH84" s="1">
        <f t="shared" ca="1" si="93"/>
        <v>1.8476732118709655E-4</v>
      </c>
      <c r="AJ84" s="1">
        <f t="shared" ca="1" si="94"/>
        <v>0.28561362423511782</v>
      </c>
      <c r="AK84" s="1">
        <f t="shared" ca="1" si="95"/>
        <v>6.3821302359066056E-3</v>
      </c>
      <c r="AL84" s="1"/>
      <c r="AM84" s="1">
        <f t="shared" ca="1" si="96"/>
        <v>0.17902703713302362</v>
      </c>
      <c r="AN84" s="1">
        <f t="shared" ca="1" si="97"/>
        <v>74</v>
      </c>
      <c r="AO84" s="1">
        <f t="shared" ca="1" si="98"/>
        <v>20</v>
      </c>
      <c r="AQ84" s="1">
        <f t="shared" ca="1" si="99"/>
        <v>181</v>
      </c>
      <c r="AR84" s="1">
        <f t="shared" ca="1" si="100"/>
        <v>1</v>
      </c>
      <c r="AS84" s="1">
        <f t="shared" ca="1" si="101"/>
        <v>67</v>
      </c>
      <c r="AU84" s="1">
        <f t="shared" ca="1" si="102"/>
        <v>313</v>
      </c>
      <c r="AV84" s="1">
        <f t="shared" ca="1" si="103"/>
        <v>6</v>
      </c>
      <c r="AW84" s="1">
        <f t="shared" ca="1" si="104"/>
        <v>8.6963403366824635E-2</v>
      </c>
      <c r="AY84" s="1">
        <f t="shared" ca="1" si="105"/>
        <v>1.169843876579689</v>
      </c>
      <c r="AZ84" s="1">
        <f t="shared" ca="1" si="106"/>
        <v>113</v>
      </c>
      <c r="BA84" s="1">
        <f t="shared" ca="1" si="107"/>
        <v>1.5745965704534192E-3</v>
      </c>
      <c r="BG84" s="1">
        <f t="shared" ca="1" si="108"/>
        <v>0.1068944642666529</v>
      </c>
      <c r="BH84" s="1">
        <f t="shared" ca="1" si="109"/>
        <v>0.8793130079730147</v>
      </c>
      <c r="BI84" s="1">
        <f t="shared" ca="1" si="110"/>
        <v>715</v>
      </c>
      <c r="BV84" s="1">
        <f t="shared" ca="1" si="111"/>
        <v>0.51285247504589582</v>
      </c>
      <c r="BW84" s="1">
        <f t="shared" ca="1" si="112"/>
        <v>322</v>
      </c>
      <c r="BX84" s="1">
        <f t="shared" ca="1" si="113"/>
        <v>8.5505149804232378E-3</v>
      </c>
      <c r="BY84" s="1">
        <f t="shared" ca="1" si="114"/>
        <v>6.2330511617729248E-2</v>
      </c>
      <c r="BZ84" s="1">
        <f t="shared" ca="1" si="115"/>
        <v>0.45805172278083184</v>
      </c>
      <c r="CB84" s="1">
        <f t="shared" ca="1" si="116"/>
        <v>390</v>
      </c>
      <c r="CC84" s="1">
        <f t="shared" ca="1" si="117"/>
        <v>13</v>
      </c>
      <c r="CD84" s="1">
        <f t="shared" ca="1" si="118"/>
        <v>0.13741702069769707</v>
      </c>
      <c r="CE84" s="1">
        <f t="shared" ca="1" si="119"/>
        <v>0.87571633540338711</v>
      </c>
      <c r="CF84" s="1">
        <f t="shared" ca="1" si="119"/>
        <v>0.66698631452061607</v>
      </c>
      <c r="CH84" s="3">
        <f t="shared" ca="1" si="120"/>
        <v>0.42956862920395056</v>
      </c>
      <c r="CI84" s="3">
        <f t="shared" ca="1" si="121"/>
        <v>0.20189219319977014</v>
      </c>
      <c r="CJ84" s="3">
        <f t="shared" ca="1" si="122"/>
        <v>1229</v>
      </c>
      <c r="CK84" s="3">
        <f t="shared" ca="1" si="123"/>
        <v>6.936526051291309E-3</v>
      </c>
      <c r="CL84" s="3">
        <f t="shared" ca="1" si="124"/>
        <v>0</v>
      </c>
      <c r="CM84" s="3"/>
      <c r="CN84" s="1">
        <f t="shared" ca="1" si="125"/>
        <v>2.8002569436831908</v>
      </c>
      <c r="CO84" s="1">
        <f t="shared" ca="1" si="126"/>
        <v>0.49204208242199726</v>
      </c>
      <c r="CP84" s="1">
        <f t="shared" ca="1" si="127"/>
        <v>1</v>
      </c>
      <c r="CV84" s="1">
        <f t="shared" ca="1" si="128"/>
        <v>6.2580610846654769</v>
      </c>
      <c r="CW84" s="1">
        <f t="shared" ca="1" si="129"/>
        <v>1043</v>
      </c>
      <c r="CX84" s="1">
        <f t="shared" ca="1" si="130"/>
        <v>6.4362813026024009E-3</v>
      </c>
      <c r="DH84" s="1">
        <f t="shared" ca="1" si="131"/>
        <v>820</v>
      </c>
      <c r="DI84" s="1">
        <f t="shared" ca="1" si="132"/>
        <v>0.77647322323281909</v>
      </c>
      <c r="DJ84" s="1">
        <f t="shared" ca="1" si="133"/>
        <v>3</v>
      </c>
      <c r="DL84" s="1">
        <f t="shared" ca="1" si="134"/>
        <v>8.4393764766900331E-2</v>
      </c>
      <c r="DM84" s="1">
        <f t="shared" ca="1" si="135"/>
        <v>76</v>
      </c>
      <c r="DN84" s="1">
        <f t="shared" ca="1" si="136"/>
        <v>5</v>
      </c>
    </row>
    <row r="85" spans="2:118" x14ac:dyDescent="0.25">
      <c r="B85">
        <f t="shared" ca="1" si="69"/>
        <v>136</v>
      </c>
      <c r="C85">
        <f t="shared" ca="1" si="70"/>
        <v>30</v>
      </c>
      <c r="D85">
        <f t="shared" ca="1" si="71"/>
        <v>4.5971701324950612E-2</v>
      </c>
      <c r="F85" s="1">
        <f t="shared" ca="1" si="72"/>
        <v>32</v>
      </c>
      <c r="G85" s="1">
        <f t="shared" ca="1" si="73"/>
        <v>30</v>
      </c>
      <c r="H85" s="1">
        <f t="shared" ca="1" si="74"/>
        <v>10</v>
      </c>
      <c r="I85" s="1"/>
      <c r="J85" s="1">
        <f t="shared" ca="1" si="75"/>
        <v>26</v>
      </c>
      <c r="K85" s="1">
        <f t="shared" ca="1" si="76"/>
        <v>2.1492092181171309</v>
      </c>
      <c r="L85" s="1">
        <f t="shared" ca="1" si="77"/>
        <v>22</v>
      </c>
      <c r="M85" s="1"/>
      <c r="N85" s="1">
        <f t="shared" ca="1" si="78"/>
        <v>19</v>
      </c>
      <c r="O85" s="1">
        <f t="shared" ca="1" si="79"/>
        <v>51</v>
      </c>
      <c r="P85" s="1"/>
      <c r="Q85" s="1">
        <f t="shared" ca="1" si="80"/>
        <v>3.4441970637395976</v>
      </c>
      <c r="R85" s="1">
        <f t="shared" ca="1" si="81"/>
        <v>1007</v>
      </c>
      <c r="S85" s="1"/>
      <c r="T85" s="1">
        <f t="shared" ca="1" si="82"/>
        <v>0.11015745324213279</v>
      </c>
      <c r="U85" s="1">
        <f t="shared" ca="1" si="83"/>
        <v>140</v>
      </c>
      <c r="V85" s="1">
        <f t="shared" ca="1" si="84"/>
        <v>26</v>
      </c>
      <c r="W85" s="1"/>
      <c r="X85" s="1">
        <f t="shared" ca="1" si="85"/>
        <v>4.8626122085908889</v>
      </c>
      <c r="Y85" s="1">
        <f t="shared" ca="1" si="86"/>
        <v>0.88673994649850729</v>
      </c>
      <c r="Z85" s="1">
        <f t="shared" ca="1" si="87"/>
        <v>995</v>
      </c>
      <c r="AB85" s="1">
        <f t="shared" ca="1" si="88"/>
        <v>0.88008902636132624</v>
      </c>
      <c r="AC85" s="1">
        <f t="shared" ca="1" si="89"/>
        <v>758</v>
      </c>
      <c r="AD85" s="1">
        <f t="shared" ca="1" si="90"/>
        <v>2.6865991514044602E-3</v>
      </c>
      <c r="AE85" s="1"/>
      <c r="AF85" s="1">
        <f t="shared" ca="1" si="91"/>
        <v>0.42972507441201169</v>
      </c>
      <c r="AG85" s="1">
        <f t="shared" ca="1" si="92"/>
        <v>562</v>
      </c>
      <c r="AH85" s="1">
        <f t="shared" ca="1" si="93"/>
        <v>2.695890193219645E-3</v>
      </c>
      <c r="AJ85" s="1">
        <f t="shared" ca="1" si="94"/>
        <v>0.53404230281422616</v>
      </c>
      <c r="AK85" s="1">
        <f t="shared" ca="1" si="95"/>
        <v>7.4240787836155047E-3</v>
      </c>
      <c r="AL85" s="1"/>
      <c r="AM85" s="1">
        <f t="shared" ca="1" si="96"/>
        <v>6.1735073635851567E-2</v>
      </c>
      <c r="AN85" s="1">
        <f t="shared" ca="1" si="97"/>
        <v>30</v>
      </c>
      <c r="AO85" s="1">
        <f t="shared" ca="1" si="98"/>
        <v>11</v>
      </c>
      <c r="AQ85" s="1">
        <f t="shared" ca="1" si="99"/>
        <v>114</v>
      </c>
      <c r="AR85" s="1">
        <f t="shared" ca="1" si="100"/>
        <v>7</v>
      </c>
      <c r="AS85" s="1">
        <f t="shared" ca="1" si="101"/>
        <v>36</v>
      </c>
      <c r="AU85" s="1">
        <f t="shared" ca="1" si="102"/>
        <v>261</v>
      </c>
      <c r="AV85" s="1">
        <f t="shared" ca="1" si="103"/>
        <v>2</v>
      </c>
      <c r="AW85" s="1">
        <f t="shared" ca="1" si="104"/>
        <v>7.6745573745954074E-2</v>
      </c>
      <c r="AY85" s="1">
        <f t="shared" ca="1" si="105"/>
        <v>1.9210182953110302</v>
      </c>
      <c r="AZ85" s="1">
        <f t="shared" ca="1" si="106"/>
        <v>257</v>
      </c>
      <c r="BA85" s="1">
        <f t="shared" ca="1" si="107"/>
        <v>8.0265846627157172E-3</v>
      </c>
      <c r="BG85" s="1">
        <f t="shared" ca="1" si="108"/>
        <v>0.33198969496801078</v>
      </c>
      <c r="BH85" s="1">
        <f t="shared" ca="1" si="109"/>
        <v>0.24797620132880638</v>
      </c>
      <c r="BI85" s="1">
        <f t="shared" ca="1" si="110"/>
        <v>249</v>
      </c>
      <c r="BV85" s="1">
        <f t="shared" ca="1" si="111"/>
        <v>0.25924288436707749</v>
      </c>
      <c r="BW85" s="1">
        <f t="shared" ca="1" si="112"/>
        <v>637</v>
      </c>
      <c r="BX85" s="1">
        <f t="shared" ca="1" si="113"/>
        <v>2.3043960729512976E-3</v>
      </c>
      <c r="BY85" s="1">
        <f t="shared" ca="1" si="114"/>
        <v>2.8811207245178282E-2</v>
      </c>
      <c r="BZ85" s="1">
        <f t="shared" ca="1" si="115"/>
        <v>0.5478722142834429</v>
      </c>
      <c r="CB85" s="1">
        <f t="shared" ca="1" si="116"/>
        <v>333</v>
      </c>
      <c r="CC85" s="1">
        <f t="shared" ca="1" si="117"/>
        <v>10</v>
      </c>
      <c r="CD85" s="1">
        <f t="shared" ca="1" si="118"/>
        <v>0.10270425908079348</v>
      </c>
      <c r="CE85" s="1">
        <f t="shared" ca="1" si="119"/>
        <v>0.82518401859529944</v>
      </c>
      <c r="CF85" s="1">
        <f t="shared" ca="1" si="119"/>
        <v>0.69681353875562935</v>
      </c>
      <c r="CH85" s="3">
        <f t="shared" ca="1" si="120"/>
        <v>0.79629924486773684</v>
      </c>
      <c r="CI85" s="3">
        <f t="shared" ca="1" si="121"/>
        <v>0.67540725253889067</v>
      </c>
      <c r="CJ85" s="3">
        <f t="shared" ca="1" si="122"/>
        <v>973</v>
      </c>
      <c r="CK85" s="3">
        <f t="shared" ca="1" si="123"/>
        <v>8.917463528745298E-3</v>
      </c>
      <c r="CL85" s="3">
        <f t="shared" ca="1" si="124"/>
        <v>1</v>
      </c>
      <c r="CM85" s="3"/>
      <c r="CN85" s="1">
        <f t="shared" ca="1" si="125"/>
        <v>7.545477297054938</v>
      </c>
      <c r="CO85" s="1">
        <f t="shared" ca="1" si="126"/>
        <v>0.46885187550442131</v>
      </c>
      <c r="CP85" s="1">
        <f t="shared" ca="1" si="127"/>
        <v>3</v>
      </c>
      <c r="CV85" s="1">
        <f t="shared" ca="1" si="128"/>
        <v>8.4952296806211578</v>
      </c>
      <c r="CW85" s="1">
        <f t="shared" ca="1" si="129"/>
        <v>1060</v>
      </c>
      <c r="CX85" s="1">
        <f t="shared" ca="1" si="130"/>
        <v>7.6634432215362232E-3</v>
      </c>
      <c r="DH85" s="1">
        <f t="shared" ca="1" si="131"/>
        <v>486</v>
      </c>
      <c r="DI85" s="1">
        <f t="shared" ca="1" si="132"/>
        <v>0.22751192573528881</v>
      </c>
      <c r="DJ85" s="1">
        <f t="shared" ca="1" si="133"/>
        <v>3</v>
      </c>
      <c r="DL85" s="1">
        <f t="shared" ca="1" si="134"/>
        <v>7.3573831625511982E-2</v>
      </c>
      <c r="DM85" s="1">
        <f t="shared" ca="1" si="135"/>
        <v>240</v>
      </c>
      <c r="DN85" s="1">
        <f t="shared" ca="1" si="136"/>
        <v>9</v>
      </c>
    </row>
    <row r="86" spans="2:118" x14ac:dyDescent="0.25">
      <c r="B86">
        <f t="shared" ca="1" si="69"/>
        <v>128</v>
      </c>
      <c r="C86">
        <f t="shared" ca="1" si="70"/>
        <v>3</v>
      </c>
      <c r="D86">
        <f t="shared" ca="1" si="71"/>
        <v>5.0971460292793397E-2</v>
      </c>
      <c r="F86" s="1">
        <f t="shared" ca="1" si="72"/>
        <v>41</v>
      </c>
      <c r="G86" s="1">
        <f t="shared" ca="1" si="73"/>
        <v>28</v>
      </c>
      <c r="H86" s="1">
        <f t="shared" ca="1" si="74"/>
        <v>14</v>
      </c>
      <c r="I86" s="1"/>
      <c r="J86" s="1">
        <f t="shared" ca="1" si="75"/>
        <v>19</v>
      </c>
      <c r="K86" s="1">
        <f t="shared" ca="1" si="76"/>
        <v>1.2432626895159025</v>
      </c>
      <c r="L86" s="1">
        <f t="shared" ca="1" si="77"/>
        <v>18</v>
      </c>
      <c r="M86" s="1"/>
      <c r="N86" s="1">
        <f t="shared" ca="1" si="78"/>
        <v>850</v>
      </c>
      <c r="O86" s="1">
        <f t="shared" ca="1" si="79"/>
        <v>33</v>
      </c>
      <c r="P86" s="1"/>
      <c r="Q86" s="1">
        <f t="shared" ca="1" si="80"/>
        <v>4.9945092854005937</v>
      </c>
      <c r="R86" s="1">
        <f t="shared" ca="1" si="81"/>
        <v>1049</v>
      </c>
      <c r="S86" s="1"/>
      <c r="T86" s="1">
        <f t="shared" ca="1" si="82"/>
        <v>0.19930208895336535</v>
      </c>
      <c r="U86" s="1">
        <f t="shared" ca="1" si="83"/>
        <v>375</v>
      </c>
      <c r="V86" s="1">
        <f t="shared" ca="1" si="84"/>
        <v>36</v>
      </c>
      <c r="W86" s="1"/>
      <c r="X86" s="1">
        <f t="shared" ca="1" si="85"/>
        <v>1.9932060891869026</v>
      </c>
      <c r="Y86" s="1">
        <f t="shared" ca="1" si="86"/>
        <v>0.20211000897181444</v>
      </c>
      <c r="Z86" s="1">
        <f t="shared" ca="1" si="87"/>
        <v>1419</v>
      </c>
      <c r="AB86" s="1">
        <f t="shared" ca="1" si="88"/>
        <v>0.34152993886421823</v>
      </c>
      <c r="AC86" s="1">
        <f t="shared" ca="1" si="89"/>
        <v>826</v>
      </c>
      <c r="AD86" s="1">
        <f t="shared" ca="1" si="90"/>
        <v>2.2047877575054708E-3</v>
      </c>
      <c r="AE86" s="1"/>
      <c r="AF86" s="1">
        <f t="shared" ca="1" si="91"/>
        <v>0.19131977466239647</v>
      </c>
      <c r="AG86" s="1">
        <f t="shared" ca="1" si="92"/>
        <v>411</v>
      </c>
      <c r="AH86" s="1">
        <f t="shared" ca="1" si="93"/>
        <v>6.6118370683957714E-3</v>
      </c>
      <c r="AJ86" s="1">
        <f t="shared" ca="1" si="94"/>
        <v>0.8698225915432678</v>
      </c>
      <c r="AK86" s="1">
        <f t="shared" ca="1" si="95"/>
        <v>5.221554532241858E-3</v>
      </c>
      <c r="AL86" s="1"/>
      <c r="AM86" s="1">
        <f t="shared" ca="1" si="96"/>
        <v>5.5239218800924396E-2</v>
      </c>
      <c r="AN86" s="1">
        <f t="shared" ca="1" si="97"/>
        <v>37</v>
      </c>
      <c r="AO86" s="1">
        <f t="shared" ca="1" si="98"/>
        <v>20</v>
      </c>
      <c r="AQ86" s="1">
        <f t="shared" ca="1" si="99"/>
        <v>77</v>
      </c>
      <c r="AR86" s="1">
        <f t="shared" ca="1" si="100"/>
        <v>6</v>
      </c>
      <c r="AS86" s="1">
        <f t="shared" ca="1" si="101"/>
        <v>23</v>
      </c>
      <c r="AU86" s="1">
        <f t="shared" ca="1" si="102"/>
        <v>370</v>
      </c>
      <c r="AV86" s="1">
        <f t="shared" ca="1" si="103"/>
        <v>7</v>
      </c>
      <c r="AW86" s="1">
        <f t="shared" ca="1" si="104"/>
        <v>1.8855610921515872E-2</v>
      </c>
      <c r="AY86" s="1">
        <f t="shared" ca="1" si="105"/>
        <v>1.4126614296514926</v>
      </c>
      <c r="AZ86" s="1">
        <f t="shared" ca="1" si="106"/>
        <v>367</v>
      </c>
      <c r="BA86" s="1">
        <f t="shared" ca="1" si="107"/>
        <v>1.6705442329736802E-3</v>
      </c>
      <c r="BG86" s="1">
        <f t="shared" ca="1" si="108"/>
        <v>0.84052859816623771</v>
      </c>
      <c r="BH86" s="1">
        <f t="shared" ca="1" si="109"/>
        <v>0.92180103748931852</v>
      </c>
      <c r="BI86" s="1">
        <f t="shared" ca="1" si="110"/>
        <v>312</v>
      </c>
      <c r="BV86" s="1">
        <f t="shared" ca="1" si="111"/>
        <v>0.78675920049349202</v>
      </c>
      <c r="BW86" s="1">
        <f t="shared" ca="1" si="112"/>
        <v>349</v>
      </c>
      <c r="BX86" s="1">
        <f t="shared" ca="1" si="113"/>
        <v>4.7654571500851126E-3</v>
      </c>
      <c r="BY86" s="1">
        <f t="shared" ca="1" si="114"/>
        <v>9.5120094066535696E-2</v>
      </c>
      <c r="BZ86" s="1">
        <f t="shared" ca="1" si="115"/>
        <v>0.26135660844427677</v>
      </c>
      <c r="CB86" s="1">
        <f t="shared" ca="1" si="116"/>
        <v>441</v>
      </c>
      <c r="CC86" s="1">
        <f t="shared" ca="1" si="117"/>
        <v>5</v>
      </c>
      <c r="CD86" s="1">
        <f t="shared" ca="1" si="118"/>
        <v>0.23233116158604369</v>
      </c>
      <c r="CE86" s="1">
        <f t="shared" ca="1" si="119"/>
        <v>0.57895690621820128</v>
      </c>
      <c r="CF86" s="1">
        <f t="shared" ca="1" si="119"/>
        <v>0.96213836341610648</v>
      </c>
      <c r="CH86" s="3">
        <f t="shared" ca="1" si="120"/>
        <v>0.83149085029775682</v>
      </c>
      <c r="CI86" s="3">
        <f t="shared" ca="1" si="121"/>
        <v>0.77154882955769588</v>
      </c>
      <c r="CJ86" s="3">
        <f t="shared" ca="1" si="122"/>
        <v>961</v>
      </c>
      <c r="CK86" s="3">
        <f t="shared" ca="1" si="123"/>
        <v>4.6907095108990535E-3</v>
      </c>
      <c r="CL86" s="3">
        <f t="shared" ca="1" si="124"/>
        <v>1</v>
      </c>
      <c r="CM86" s="3"/>
      <c r="CN86" s="1">
        <f t="shared" ca="1" si="125"/>
        <v>8.2903940998775791</v>
      </c>
      <c r="CO86" s="1">
        <f t="shared" ca="1" si="126"/>
        <v>0.17713666652799751</v>
      </c>
      <c r="CP86" s="1">
        <f t="shared" ca="1" si="127"/>
        <v>3</v>
      </c>
      <c r="CV86" s="1">
        <f t="shared" ca="1" si="128"/>
        <v>9.7037400793175532</v>
      </c>
      <c r="CW86" s="1">
        <f t="shared" ca="1" si="129"/>
        <v>1783</v>
      </c>
      <c r="CX86" s="1">
        <f t="shared" ca="1" si="130"/>
        <v>7.4251007326454014E-3</v>
      </c>
      <c r="DH86" s="1">
        <f t="shared" ca="1" si="131"/>
        <v>363</v>
      </c>
      <c r="DI86" s="1">
        <f t="shared" ca="1" si="132"/>
        <v>0.63656499589316828</v>
      </c>
      <c r="DJ86" s="1">
        <f t="shared" ca="1" si="133"/>
        <v>28</v>
      </c>
      <c r="DL86" s="1">
        <f t="shared" ca="1" si="134"/>
        <v>8.0267296129304874E-2</v>
      </c>
      <c r="DM86" s="1">
        <f t="shared" ca="1" si="135"/>
        <v>137</v>
      </c>
      <c r="DN86" s="1">
        <f t="shared" ca="1" si="136"/>
        <v>3</v>
      </c>
    </row>
    <row r="87" spans="2:118" x14ac:dyDescent="0.25">
      <c r="B87">
        <f t="shared" ca="1" si="69"/>
        <v>208</v>
      </c>
      <c r="C87">
        <f t="shared" ca="1" si="70"/>
        <v>20</v>
      </c>
      <c r="D87">
        <f t="shared" ca="1" si="71"/>
        <v>0.29960264655500907</v>
      </c>
      <c r="F87" s="1">
        <f t="shared" ca="1" si="72"/>
        <v>19</v>
      </c>
      <c r="G87" s="1">
        <f t="shared" ca="1" si="73"/>
        <v>20</v>
      </c>
      <c r="H87" s="1">
        <f t="shared" ca="1" si="74"/>
        <v>12</v>
      </c>
      <c r="I87" s="1"/>
      <c r="J87" s="1">
        <f t="shared" ca="1" si="75"/>
        <v>19</v>
      </c>
      <c r="K87" s="1">
        <f t="shared" ca="1" si="76"/>
        <v>2.1932232340590971</v>
      </c>
      <c r="L87" s="1">
        <f t="shared" ca="1" si="77"/>
        <v>4</v>
      </c>
      <c r="M87" s="1"/>
      <c r="N87" s="1">
        <f t="shared" ca="1" si="78"/>
        <v>230</v>
      </c>
      <c r="O87" s="1">
        <f t="shared" ca="1" si="79"/>
        <v>34</v>
      </c>
      <c r="P87" s="1"/>
      <c r="Q87" s="1">
        <f t="shared" ca="1" si="80"/>
        <v>2.5101498363304806</v>
      </c>
      <c r="R87" s="1">
        <f t="shared" ca="1" si="81"/>
        <v>842</v>
      </c>
      <c r="S87" s="1"/>
      <c r="T87" s="1">
        <f t="shared" ca="1" si="82"/>
        <v>0.13536407354768973</v>
      </c>
      <c r="U87" s="1">
        <f t="shared" ca="1" si="83"/>
        <v>159</v>
      </c>
      <c r="V87" s="1">
        <f t="shared" ca="1" si="84"/>
        <v>30</v>
      </c>
      <c r="W87" s="1"/>
      <c r="X87" s="1">
        <f t="shared" ca="1" si="85"/>
        <v>6.9469742188918531</v>
      </c>
      <c r="Y87" s="1">
        <f t="shared" ca="1" si="86"/>
        <v>4.9872581988048247E-2</v>
      </c>
      <c r="Z87" s="1">
        <f t="shared" ca="1" si="87"/>
        <v>1956</v>
      </c>
      <c r="AB87" s="1">
        <f t="shared" ca="1" si="88"/>
        <v>0.92611535401649614</v>
      </c>
      <c r="AC87" s="1">
        <f t="shared" ca="1" si="89"/>
        <v>675</v>
      </c>
      <c r="AD87" s="1">
        <f t="shared" ca="1" si="90"/>
        <v>2.4680143598832128E-3</v>
      </c>
      <c r="AE87" s="1"/>
      <c r="AF87" s="1">
        <f t="shared" ca="1" si="91"/>
        <v>0.36444483074490486</v>
      </c>
      <c r="AG87" s="1">
        <f t="shared" ca="1" si="92"/>
        <v>945</v>
      </c>
      <c r="AH87" s="1">
        <f t="shared" ca="1" si="93"/>
        <v>2.0547208849873192E-4</v>
      </c>
      <c r="AJ87" s="1">
        <f t="shared" ca="1" si="94"/>
        <v>0.44635680977195002</v>
      </c>
      <c r="AK87" s="1">
        <f t="shared" ca="1" si="95"/>
        <v>7.9299577380828271E-3</v>
      </c>
      <c r="AL87" s="1"/>
      <c r="AM87" s="1">
        <f t="shared" ca="1" si="96"/>
        <v>0.13234703249758842</v>
      </c>
      <c r="AN87" s="1">
        <f t="shared" ca="1" si="97"/>
        <v>44</v>
      </c>
      <c r="AO87" s="1">
        <f t="shared" ca="1" si="98"/>
        <v>4</v>
      </c>
      <c r="AQ87" s="1">
        <f t="shared" ca="1" si="99"/>
        <v>89</v>
      </c>
      <c r="AR87" s="1">
        <f t="shared" ca="1" si="100"/>
        <v>2</v>
      </c>
      <c r="AS87" s="1">
        <f t="shared" ca="1" si="101"/>
        <v>33</v>
      </c>
      <c r="AU87" s="1">
        <f t="shared" ca="1" si="102"/>
        <v>296</v>
      </c>
      <c r="AV87" s="1">
        <f t="shared" ca="1" si="103"/>
        <v>2</v>
      </c>
      <c r="AW87" s="1">
        <f t="shared" ca="1" si="104"/>
        <v>8.76231232973433E-2</v>
      </c>
      <c r="AY87" s="1">
        <f t="shared" ca="1" si="105"/>
        <v>1.9299128454869445</v>
      </c>
      <c r="AZ87" s="1">
        <f t="shared" ca="1" si="106"/>
        <v>314</v>
      </c>
      <c r="BA87" s="1">
        <f t="shared" ca="1" si="107"/>
        <v>9.9188180172047752E-3</v>
      </c>
      <c r="BG87" s="1">
        <f t="shared" ca="1" si="108"/>
        <v>0.5043713269502561</v>
      </c>
      <c r="BH87" s="1">
        <f t="shared" ca="1" si="109"/>
        <v>0.56831456345004749</v>
      </c>
      <c r="BI87" s="1">
        <f t="shared" ca="1" si="110"/>
        <v>675</v>
      </c>
      <c r="BV87" s="1">
        <f t="shared" ca="1" si="111"/>
        <v>0.55033628849761307</v>
      </c>
      <c r="BW87" s="1">
        <f t="shared" ca="1" si="112"/>
        <v>302</v>
      </c>
      <c r="BX87" s="1">
        <f t="shared" ca="1" si="113"/>
        <v>7.7800847329382306E-3</v>
      </c>
      <c r="BY87" s="1">
        <f t="shared" ca="1" si="114"/>
        <v>7.8538251357235675E-2</v>
      </c>
      <c r="BZ87" s="1">
        <f t="shared" ca="1" si="115"/>
        <v>0.12851122545946903</v>
      </c>
      <c r="CB87" s="1">
        <f t="shared" ca="1" si="116"/>
        <v>281</v>
      </c>
      <c r="CC87" s="1">
        <f t="shared" ca="1" si="117"/>
        <v>4</v>
      </c>
      <c r="CD87" s="1">
        <f t="shared" ca="1" si="118"/>
        <v>0.22631077940709218</v>
      </c>
      <c r="CE87" s="1">
        <f t="shared" ca="1" si="119"/>
        <v>0.80981459886779661</v>
      </c>
      <c r="CF87" s="1">
        <f t="shared" ca="1" si="119"/>
        <v>0.56016322982560296</v>
      </c>
      <c r="CH87" s="3">
        <f t="shared" ca="1" si="120"/>
        <v>0.47734199685306755</v>
      </c>
      <c r="CI87" s="3">
        <f t="shared" ca="1" si="121"/>
        <v>0.48570426944429257</v>
      </c>
      <c r="CJ87" s="3">
        <f t="shared" ca="1" si="122"/>
        <v>1369</v>
      </c>
      <c r="CK87" s="3">
        <f t="shared" ca="1" si="123"/>
        <v>1.8454758059093677E-3</v>
      </c>
      <c r="CL87" s="3">
        <f t="shared" ca="1" si="124"/>
        <v>0</v>
      </c>
      <c r="CM87" s="3"/>
      <c r="CN87" s="1">
        <f t="shared" ca="1" si="125"/>
        <v>8.0672206058479627</v>
      </c>
      <c r="CO87" s="1">
        <f t="shared" ca="1" si="126"/>
        <v>0.47760556281698191</v>
      </c>
      <c r="CP87" s="1">
        <f t="shared" ca="1" si="127"/>
        <v>5</v>
      </c>
      <c r="CV87" s="1">
        <f t="shared" ca="1" si="128"/>
        <v>7.4480213435482225</v>
      </c>
      <c r="CW87" s="1">
        <f t="shared" ca="1" si="129"/>
        <v>1221</v>
      </c>
      <c r="CX87" s="1">
        <f t="shared" ca="1" si="130"/>
        <v>3.597515674097585E-3</v>
      </c>
      <c r="DH87" s="1">
        <f t="shared" ca="1" si="131"/>
        <v>67</v>
      </c>
      <c r="DI87" s="1">
        <f t="shared" ca="1" si="132"/>
        <v>0.9337271289189697</v>
      </c>
      <c r="DJ87" s="1">
        <f t="shared" ca="1" si="133"/>
        <v>30</v>
      </c>
      <c r="DL87" s="1">
        <f t="shared" ca="1" si="134"/>
        <v>6.9431276313657961E-2</v>
      </c>
      <c r="DM87" s="1">
        <f t="shared" ca="1" si="135"/>
        <v>172</v>
      </c>
      <c r="DN87" s="1">
        <f t="shared" ca="1" si="136"/>
        <v>9</v>
      </c>
    </row>
    <row r="88" spans="2:118" x14ac:dyDescent="0.25">
      <c r="B88">
        <f t="shared" ca="1" si="69"/>
        <v>537</v>
      </c>
      <c r="C88">
        <f t="shared" ca="1" si="70"/>
        <v>52</v>
      </c>
      <c r="D88">
        <f t="shared" ca="1" si="71"/>
        <v>0.17094978771329747</v>
      </c>
      <c r="F88" s="1">
        <f t="shared" ca="1" si="72"/>
        <v>50</v>
      </c>
      <c r="G88" s="1">
        <f t="shared" ca="1" si="73"/>
        <v>9</v>
      </c>
      <c r="H88" s="1">
        <f t="shared" ca="1" si="74"/>
        <v>6</v>
      </c>
      <c r="I88" s="1"/>
      <c r="J88" s="1">
        <f t="shared" ca="1" si="75"/>
        <v>5</v>
      </c>
      <c r="K88" s="1">
        <f t="shared" ca="1" si="76"/>
        <v>1.2142814750811464</v>
      </c>
      <c r="L88" s="1">
        <f t="shared" ca="1" si="77"/>
        <v>11</v>
      </c>
      <c r="M88" s="1"/>
      <c r="N88" s="1">
        <f t="shared" ca="1" si="78"/>
        <v>316</v>
      </c>
      <c r="O88" s="1">
        <f t="shared" ca="1" si="79"/>
        <v>12</v>
      </c>
      <c r="P88" s="1"/>
      <c r="Q88" s="1">
        <f t="shared" ca="1" si="80"/>
        <v>2.579091150189937</v>
      </c>
      <c r="R88" s="1">
        <f t="shared" ca="1" si="81"/>
        <v>228</v>
      </c>
      <c r="S88" s="1"/>
      <c r="T88" s="1">
        <f t="shared" ca="1" si="82"/>
        <v>0.19006786125836878</v>
      </c>
      <c r="U88" s="1">
        <f t="shared" ca="1" si="83"/>
        <v>247</v>
      </c>
      <c r="V88" s="1">
        <f t="shared" ca="1" si="84"/>
        <v>21</v>
      </c>
      <c r="W88" s="1"/>
      <c r="X88" s="1">
        <f t="shared" ca="1" si="85"/>
        <v>6.8999000068057468</v>
      </c>
      <c r="Y88" s="1">
        <f t="shared" ca="1" si="86"/>
        <v>0.58138463523270811</v>
      </c>
      <c r="Z88" s="1">
        <f t="shared" ca="1" si="87"/>
        <v>1461</v>
      </c>
      <c r="AB88" s="1">
        <f t="shared" ca="1" si="88"/>
        <v>0.26591684271632859</v>
      </c>
      <c r="AC88" s="1">
        <f t="shared" ca="1" si="89"/>
        <v>117</v>
      </c>
      <c r="AD88" s="1">
        <f t="shared" ca="1" si="90"/>
        <v>5.4674338397266813E-3</v>
      </c>
      <c r="AE88" s="1"/>
      <c r="AF88" s="1">
        <f t="shared" ca="1" si="91"/>
        <v>0.42416457814109776</v>
      </c>
      <c r="AG88" s="1">
        <f t="shared" ca="1" si="92"/>
        <v>833</v>
      </c>
      <c r="AH88" s="1">
        <f t="shared" ca="1" si="93"/>
        <v>3.8133031494715789E-3</v>
      </c>
      <c r="AJ88" s="1">
        <f t="shared" ca="1" si="94"/>
        <v>0.24974135891998706</v>
      </c>
      <c r="AK88" s="1">
        <f t="shared" ca="1" si="95"/>
        <v>5.858955493169218E-3</v>
      </c>
      <c r="AL88" s="1"/>
      <c r="AM88" s="1">
        <f t="shared" ca="1" si="96"/>
        <v>7.714342573818328E-2</v>
      </c>
      <c r="AN88" s="1">
        <f t="shared" ca="1" si="97"/>
        <v>51</v>
      </c>
      <c r="AO88" s="1">
        <f t="shared" ca="1" si="98"/>
        <v>3</v>
      </c>
      <c r="AQ88" s="1">
        <f t="shared" ca="1" si="99"/>
        <v>133</v>
      </c>
      <c r="AR88" s="1">
        <f t="shared" ca="1" si="100"/>
        <v>5</v>
      </c>
      <c r="AS88" s="1">
        <f t="shared" ca="1" si="101"/>
        <v>37</v>
      </c>
      <c r="AU88" s="1">
        <f t="shared" ca="1" si="102"/>
        <v>202</v>
      </c>
      <c r="AV88" s="1">
        <f t="shared" ca="1" si="103"/>
        <v>8</v>
      </c>
      <c r="AW88" s="1">
        <f t="shared" ca="1" si="104"/>
        <v>0.18638399678191603</v>
      </c>
      <c r="AY88" s="1">
        <f t="shared" ca="1" si="105"/>
        <v>1.5597036856154529</v>
      </c>
      <c r="AZ88" s="1">
        <f t="shared" ca="1" si="106"/>
        <v>454</v>
      </c>
      <c r="BA88" s="1">
        <f t="shared" ca="1" si="107"/>
        <v>1.421524583558939E-3</v>
      </c>
      <c r="BG88" s="1">
        <f t="shared" ca="1" si="108"/>
        <v>0.62404167494310281</v>
      </c>
      <c r="BH88" s="1">
        <f t="shared" ca="1" si="109"/>
        <v>0.43968058099821805</v>
      </c>
      <c r="BI88" s="1">
        <f t="shared" ca="1" si="110"/>
        <v>872</v>
      </c>
      <c r="BV88" s="1">
        <f t="shared" ca="1" si="111"/>
        <v>0.61367172922864199</v>
      </c>
      <c r="BW88" s="1">
        <f t="shared" ca="1" si="112"/>
        <v>972</v>
      </c>
      <c r="BX88" s="1">
        <f t="shared" ca="1" si="113"/>
        <v>9.159387211996722E-3</v>
      </c>
      <c r="BY88" s="1">
        <f t="shared" ca="1" si="114"/>
        <v>8.8596024002912221E-2</v>
      </c>
      <c r="BZ88" s="1">
        <f t="shared" ca="1" si="115"/>
        <v>0.14571921785913</v>
      </c>
      <c r="CB88" s="1">
        <f t="shared" ca="1" si="116"/>
        <v>277</v>
      </c>
      <c r="CC88" s="1">
        <f t="shared" ca="1" si="117"/>
        <v>5</v>
      </c>
      <c r="CD88" s="1">
        <f t="shared" ca="1" si="118"/>
        <v>0.26273011358492809</v>
      </c>
      <c r="CE88" s="1">
        <f t="shared" ca="1" si="119"/>
        <v>0.8012431838881896</v>
      </c>
      <c r="CF88" s="1">
        <f t="shared" ca="1" si="119"/>
        <v>0.61364762865960443</v>
      </c>
      <c r="CH88" s="3">
        <f t="shared" ca="1" si="120"/>
        <v>0.38716522478003967</v>
      </c>
      <c r="CI88" s="3">
        <f t="shared" ca="1" si="121"/>
        <v>0.51836090989625694</v>
      </c>
      <c r="CJ88" s="3">
        <f t="shared" ca="1" si="122"/>
        <v>1590</v>
      </c>
      <c r="CK88" s="3">
        <f t="shared" ca="1" si="123"/>
        <v>1.930581190393383E-4</v>
      </c>
      <c r="CL88" s="3">
        <f t="shared" ca="1" si="124"/>
        <v>1</v>
      </c>
      <c r="CM88" s="3"/>
      <c r="CN88" s="1">
        <f t="shared" ca="1" si="125"/>
        <v>18.136045423931044</v>
      </c>
      <c r="CO88" s="1">
        <f t="shared" ca="1" si="126"/>
        <v>0.16823948834778016</v>
      </c>
      <c r="CP88" s="1">
        <f t="shared" ca="1" si="127"/>
        <v>2</v>
      </c>
      <c r="CV88" s="1">
        <f t="shared" ca="1" si="128"/>
        <v>7.2439551147626107</v>
      </c>
      <c r="CW88" s="1">
        <f t="shared" ca="1" si="129"/>
        <v>1977</v>
      </c>
      <c r="CX88" s="1">
        <f t="shared" ca="1" si="130"/>
        <v>7.8118308679684173E-3</v>
      </c>
      <c r="DH88" s="1">
        <f t="shared" ca="1" si="131"/>
        <v>249</v>
      </c>
      <c r="DI88" s="1">
        <f t="shared" ca="1" si="132"/>
        <v>0.50727140010734895</v>
      </c>
      <c r="DJ88" s="1">
        <f t="shared" ca="1" si="133"/>
        <v>3</v>
      </c>
      <c r="DL88" s="1">
        <f t="shared" ca="1" si="134"/>
        <v>0.16231427322096664</v>
      </c>
      <c r="DM88" s="1">
        <f t="shared" ca="1" si="135"/>
        <v>59</v>
      </c>
      <c r="DN88" s="1">
        <f t="shared" ca="1" si="136"/>
        <v>6</v>
      </c>
    </row>
    <row r="89" spans="2:118" x14ac:dyDescent="0.25">
      <c r="B89">
        <f t="shared" ca="1" si="69"/>
        <v>974</v>
      </c>
      <c r="C89">
        <f t="shared" ca="1" si="70"/>
        <v>42</v>
      </c>
      <c r="D89">
        <f t="shared" ca="1" si="71"/>
        <v>0.10937606171384419</v>
      </c>
      <c r="F89" s="1">
        <f t="shared" ca="1" si="72"/>
        <v>12</v>
      </c>
      <c r="G89" s="1">
        <f t="shared" ca="1" si="73"/>
        <v>3</v>
      </c>
      <c r="H89" s="1">
        <f t="shared" ca="1" si="74"/>
        <v>3</v>
      </c>
      <c r="I89" s="1"/>
      <c r="J89" s="1">
        <f t="shared" ca="1" si="75"/>
        <v>25</v>
      </c>
      <c r="K89" s="1">
        <f t="shared" ca="1" si="76"/>
        <v>2.6232233200907666</v>
      </c>
      <c r="L89" s="1">
        <f t="shared" ca="1" si="77"/>
        <v>5</v>
      </c>
      <c r="M89" s="1"/>
      <c r="N89" s="1">
        <f t="shared" ca="1" si="78"/>
        <v>355</v>
      </c>
      <c r="O89" s="1">
        <f t="shared" ca="1" si="79"/>
        <v>40</v>
      </c>
      <c r="P89" s="1"/>
      <c r="Q89" s="1">
        <f t="shared" ca="1" si="80"/>
        <v>1.7000642672257493</v>
      </c>
      <c r="R89" s="1">
        <f t="shared" ca="1" si="81"/>
        <v>741</v>
      </c>
      <c r="S89" s="1"/>
      <c r="T89" s="1">
        <f t="shared" ca="1" si="82"/>
        <v>8.7667844155162419E-2</v>
      </c>
      <c r="U89" s="1">
        <f t="shared" ca="1" si="83"/>
        <v>254</v>
      </c>
      <c r="V89" s="1">
        <f t="shared" ca="1" si="84"/>
        <v>22</v>
      </c>
      <c r="W89" s="1"/>
      <c r="X89" s="1">
        <f t="shared" ca="1" si="85"/>
        <v>1.7205880135895186</v>
      </c>
      <c r="Y89" s="1">
        <f t="shared" ca="1" si="86"/>
        <v>0.65498742810195298</v>
      </c>
      <c r="Z89" s="1">
        <f t="shared" ca="1" si="87"/>
        <v>1249</v>
      </c>
      <c r="AB89" s="1">
        <f t="shared" ca="1" si="88"/>
        <v>0.78936809256890728</v>
      </c>
      <c r="AC89" s="1">
        <f t="shared" ca="1" si="89"/>
        <v>162</v>
      </c>
      <c r="AD89" s="1">
        <f t="shared" ca="1" si="90"/>
        <v>9.5431975482320117E-3</v>
      </c>
      <c r="AE89" s="1"/>
      <c r="AF89" s="1">
        <f t="shared" ca="1" si="91"/>
        <v>0.76970370415841238</v>
      </c>
      <c r="AG89" s="1">
        <f t="shared" ca="1" si="92"/>
        <v>904</v>
      </c>
      <c r="AH89" s="1">
        <f t="shared" ca="1" si="93"/>
        <v>1.2588698275124602E-3</v>
      </c>
      <c r="AJ89" s="1">
        <f t="shared" ca="1" si="94"/>
        <v>0.35391439484168818</v>
      </c>
      <c r="AK89" s="1">
        <f t="shared" ca="1" si="95"/>
        <v>4.8531772792292848E-3</v>
      </c>
      <c r="AL89" s="1"/>
      <c r="AM89" s="1">
        <f t="shared" ca="1" si="96"/>
        <v>5.4364861330679387E-2</v>
      </c>
      <c r="AN89" s="1">
        <f t="shared" ca="1" si="97"/>
        <v>79</v>
      </c>
      <c r="AO89" s="1">
        <f t="shared" ca="1" si="98"/>
        <v>13</v>
      </c>
      <c r="AQ89" s="1">
        <f t="shared" ca="1" si="99"/>
        <v>10</v>
      </c>
      <c r="AR89" s="1">
        <f t="shared" ca="1" si="100"/>
        <v>8</v>
      </c>
      <c r="AS89" s="1">
        <f t="shared" ca="1" si="101"/>
        <v>51</v>
      </c>
      <c r="AU89" s="1">
        <f t="shared" ca="1" si="102"/>
        <v>253</v>
      </c>
      <c r="AV89" s="1">
        <f t="shared" ca="1" si="103"/>
        <v>9</v>
      </c>
      <c r="AW89" s="1">
        <f t="shared" ca="1" si="104"/>
        <v>6.270764570444648E-2</v>
      </c>
      <c r="AY89" s="1">
        <f t="shared" ca="1" si="105"/>
        <v>1.5247864624134029</v>
      </c>
      <c r="AZ89" s="1">
        <f t="shared" ca="1" si="106"/>
        <v>72</v>
      </c>
      <c r="BA89" s="1">
        <f t="shared" ca="1" si="107"/>
        <v>8.4864051312738015E-3</v>
      </c>
      <c r="BG89" s="1">
        <f t="shared" ca="1" si="108"/>
        <v>0.9679798489084277</v>
      </c>
      <c r="BH89" s="1">
        <f t="shared" ca="1" si="109"/>
        <v>0.48178866070716508</v>
      </c>
      <c r="BI89" s="1">
        <f t="shared" ca="1" si="110"/>
        <v>524</v>
      </c>
      <c r="BV89" s="1">
        <f t="shared" ca="1" si="111"/>
        <v>0.53966791223501664</v>
      </c>
      <c r="BW89" s="1">
        <f t="shared" ca="1" si="112"/>
        <v>346</v>
      </c>
      <c r="BX89" s="1">
        <f t="shared" ca="1" si="113"/>
        <v>4.8888394291278581E-3</v>
      </c>
      <c r="BY89" s="1">
        <f t="shared" ca="1" si="114"/>
        <v>9.107525766278747E-2</v>
      </c>
      <c r="BZ89" s="1">
        <f t="shared" ca="1" si="115"/>
        <v>0.48750801458420512</v>
      </c>
      <c r="CB89" s="1">
        <f t="shared" ca="1" si="116"/>
        <v>101</v>
      </c>
      <c r="CC89" s="1">
        <f t="shared" ca="1" si="117"/>
        <v>5</v>
      </c>
      <c r="CD89" s="1">
        <f t="shared" ca="1" si="118"/>
        <v>0.11373401724409322</v>
      </c>
      <c r="CE89" s="1">
        <f t="shared" ca="1" si="119"/>
        <v>0.6983029693167222</v>
      </c>
      <c r="CF89" s="1">
        <f t="shared" ca="1" si="119"/>
        <v>0.98105230699261592</v>
      </c>
      <c r="CH89" s="3">
        <f t="shared" ca="1" si="120"/>
        <v>0.21529742440624369</v>
      </c>
      <c r="CI89" s="3">
        <f t="shared" ca="1" si="121"/>
        <v>0.73417449005870727</v>
      </c>
      <c r="CJ89" s="3">
        <f t="shared" ca="1" si="122"/>
        <v>537</v>
      </c>
      <c r="CK89" s="3">
        <f t="shared" ca="1" si="123"/>
        <v>5.2255527348393533E-4</v>
      </c>
      <c r="CL89" s="3">
        <f t="shared" ca="1" si="124"/>
        <v>1</v>
      </c>
      <c r="CM89" s="3"/>
      <c r="CN89" s="1">
        <f t="shared" ca="1" si="125"/>
        <v>13.312948201955226</v>
      </c>
      <c r="CO89" s="1">
        <f t="shared" ca="1" si="126"/>
        <v>0.2548958770409811</v>
      </c>
      <c r="CP89" s="1">
        <f t="shared" ca="1" si="127"/>
        <v>3</v>
      </c>
      <c r="CV89" s="1">
        <f t="shared" ca="1" si="128"/>
        <v>5.7286530142628775</v>
      </c>
      <c r="CW89" s="1">
        <f t="shared" ca="1" si="129"/>
        <v>1482</v>
      </c>
      <c r="CX89" s="1">
        <f t="shared" ca="1" si="130"/>
        <v>4.8359574002485245E-3</v>
      </c>
      <c r="DH89" s="1">
        <f t="shared" ca="1" si="131"/>
        <v>840</v>
      </c>
      <c r="DI89" s="1">
        <f t="shared" ca="1" si="132"/>
        <v>0.26447141202653068</v>
      </c>
      <c r="DJ89" s="1">
        <f t="shared" ca="1" si="133"/>
        <v>15</v>
      </c>
      <c r="DL89" s="1">
        <f t="shared" ca="1" si="134"/>
        <v>4.9603289035359918E-2</v>
      </c>
      <c r="DM89" s="1">
        <f t="shared" ca="1" si="135"/>
        <v>275</v>
      </c>
      <c r="DN89" s="1">
        <f t="shared" ca="1" si="136"/>
        <v>10</v>
      </c>
    </row>
    <row r="90" spans="2:118" x14ac:dyDescent="0.25">
      <c r="B90">
        <f t="shared" ca="1" si="69"/>
        <v>26</v>
      </c>
      <c r="C90">
        <f t="shared" ca="1" si="70"/>
        <v>12</v>
      </c>
      <c r="D90">
        <f t="shared" ca="1" si="71"/>
        <v>0.11131657537834971</v>
      </c>
      <c r="F90" s="1">
        <f t="shared" ca="1" si="72"/>
        <v>10</v>
      </c>
      <c r="G90" s="1">
        <f t="shared" ca="1" si="73"/>
        <v>11</v>
      </c>
      <c r="H90" s="1">
        <f t="shared" ca="1" si="74"/>
        <v>1</v>
      </c>
      <c r="I90" s="1"/>
      <c r="J90" s="1">
        <f t="shared" ca="1" si="75"/>
        <v>16</v>
      </c>
      <c r="K90" s="1">
        <f t="shared" ca="1" si="76"/>
        <v>1.7989546333970527</v>
      </c>
      <c r="L90" s="1">
        <f t="shared" ca="1" si="77"/>
        <v>16</v>
      </c>
      <c r="M90" s="1"/>
      <c r="N90" s="1">
        <f t="shared" ca="1" si="78"/>
        <v>824</v>
      </c>
      <c r="O90" s="1">
        <f t="shared" ca="1" si="79"/>
        <v>39</v>
      </c>
      <c r="P90" s="1"/>
      <c r="Q90" s="1">
        <f t="shared" ca="1" si="80"/>
        <v>0.87561259151926485</v>
      </c>
      <c r="R90" s="1">
        <f t="shared" ca="1" si="81"/>
        <v>887</v>
      </c>
      <c r="S90" s="1"/>
      <c r="T90" s="1">
        <f t="shared" ca="1" si="82"/>
        <v>0.13017768583503112</v>
      </c>
      <c r="U90" s="1">
        <f t="shared" ca="1" si="83"/>
        <v>198</v>
      </c>
      <c r="V90" s="1">
        <f t="shared" ca="1" si="84"/>
        <v>34</v>
      </c>
      <c r="W90" s="1"/>
      <c r="X90" s="1">
        <f t="shared" ca="1" si="85"/>
        <v>7.980830414185669</v>
      </c>
      <c r="Y90" s="1">
        <f t="shared" ca="1" si="86"/>
        <v>0.59963861133293828</v>
      </c>
      <c r="Z90" s="1">
        <f t="shared" ca="1" si="87"/>
        <v>1297</v>
      </c>
      <c r="AB90" s="1">
        <f t="shared" ca="1" si="88"/>
        <v>0.45283211714032684</v>
      </c>
      <c r="AC90" s="1">
        <f t="shared" ca="1" si="89"/>
        <v>236</v>
      </c>
      <c r="AD90" s="1">
        <f t="shared" ca="1" si="90"/>
        <v>7.7153208103500261E-3</v>
      </c>
      <c r="AE90" s="1"/>
      <c r="AF90" s="1">
        <f t="shared" ca="1" si="91"/>
        <v>0.21072982821773012</v>
      </c>
      <c r="AG90" s="1">
        <f t="shared" ca="1" si="92"/>
        <v>863</v>
      </c>
      <c r="AH90" s="1">
        <f t="shared" ca="1" si="93"/>
        <v>1.7417507359279946E-3</v>
      </c>
      <c r="AJ90" s="1">
        <f t="shared" ca="1" si="94"/>
        <v>0.8031899546218505</v>
      </c>
      <c r="AK90" s="1">
        <f t="shared" ca="1" si="95"/>
        <v>8.2185451602748549E-3</v>
      </c>
      <c r="AL90" s="1"/>
      <c r="AM90" s="1">
        <f t="shared" ca="1" si="96"/>
        <v>0.10107646758573541</v>
      </c>
      <c r="AN90" s="1">
        <f t="shared" ca="1" si="97"/>
        <v>15</v>
      </c>
      <c r="AO90" s="1">
        <f t="shared" ca="1" si="98"/>
        <v>18</v>
      </c>
      <c r="AQ90" s="1">
        <f t="shared" ca="1" si="99"/>
        <v>28</v>
      </c>
      <c r="AR90" s="1">
        <f t="shared" ca="1" si="100"/>
        <v>10</v>
      </c>
      <c r="AS90" s="1">
        <f t="shared" ca="1" si="101"/>
        <v>53</v>
      </c>
      <c r="AU90" s="1">
        <f t="shared" ca="1" si="102"/>
        <v>68</v>
      </c>
      <c r="AV90" s="1">
        <f t="shared" ca="1" si="103"/>
        <v>8</v>
      </c>
      <c r="AW90" s="1">
        <f t="shared" ca="1" si="104"/>
        <v>0.17755266659249058</v>
      </c>
      <c r="AY90" s="1">
        <f t="shared" ca="1" si="105"/>
        <v>1.1426753361115369</v>
      </c>
      <c r="AZ90" s="1">
        <f t="shared" ca="1" si="106"/>
        <v>140</v>
      </c>
      <c r="BA90" s="1">
        <f t="shared" ca="1" si="107"/>
        <v>9.6881549410678773E-3</v>
      </c>
      <c r="BG90" s="1">
        <f t="shared" ca="1" si="108"/>
        <v>0.24533581667828833</v>
      </c>
      <c r="BH90" s="1">
        <f t="shared" ca="1" si="109"/>
        <v>0.33633331474219397</v>
      </c>
      <c r="BI90" s="1">
        <f t="shared" ca="1" si="110"/>
        <v>363</v>
      </c>
      <c r="BV90" s="1">
        <f t="shared" ca="1" si="111"/>
        <v>4.1926025458078713E-2</v>
      </c>
      <c r="BW90" s="1">
        <f t="shared" ca="1" si="112"/>
        <v>869</v>
      </c>
      <c r="BX90" s="1">
        <f t="shared" ca="1" si="113"/>
        <v>1.5882113938174769E-3</v>
      </c>
      <c r="BY90" s="1">
        <f t="shared" ca="1" si="114"/>
        <v>3.9270452156779261E-2</v>
      </c>
      <c r="BZ90" s="1">
        <f t="shared" ca="1" si="115"/>
        <v>0.77433229698724149</v>
      </c>
      <c r="CB90" s="1">
        <f t="shared" ca="1" si="116"/>
        <v>54</v>
      </c>
      <c r="CC90" s="1">
        <f t="shared" ca="1" si="117"/>
        <v>3</v>
      </c>
      <c r="CD90" s="1">
        <f t="shared" ca="1" si="118"/>
        <v>3.6094644298860119E-2</v>
      </c>
      <c r="CE90" s="1">
        <f t="shared" ca="1" si="119"/>
        <v>0.5313523660816335</v>
      </c>
      <c r="CF90" s="1">
        <f t="shared" ca="1" si="119"/>
        <v>0.7233478849397329</v>
      </c>
      <c r="CH90" s="3">
        <f t="shared" ca="1" si="120"/>
        <v>0.62515545466991718</v>
      </c>
      <c r="CI90" s="3">
        <f t="shared" ca="1" si="121"/>
        <v>0.79636276137209505</v>
      </c>
      <c r="CJ90" s="3">
        <f t="shared" ca="1" si="122"/>
        <v>1677</v>
      </c>
      <c r="CK90" s="3">
        <f t="shared" ca="1" si="123"/>
        <v>2.7938624224763519E-3</v>
      </c>
      <c r="CL90" s="3">
        <f t="shared" ca="1" si="124"/>
        <v>1</v>
      </c>
      <c r="CM90" s="3"/>
      <c r="CN90" s="1">
        <f t="shared" ca="1" si="125"/>
        <v>5.8108631416529333</v>
      </c>
      <c r="CO90" s="1">
        <f t="shared" ca="1" si="126"/>
        <v>9.0007956775065359E-2</v>
      </c>
      <c r="CP90" s="1">
        <f t="shared" ca="1" si="127"/>
        <v>4</v>
      </c>
      <c r="CV90" s="1">
        <f t="shared" ca="1" si="128"/>
        <v>9.5065100802558451</v>
      </c>
      <c r="CW90" s="1">
        <f t="shared" ca="1" si="129"/>
        <v>636</v>
      </c>
      <c r="CX90" s="1">
        <f t="shared" ca="1" si="130"/>
        <v>4.571486894731873E-4</v>
      </c>
      <c r="DH90" s="1">
        <f t="shared" ca="1" si="131"/>
        <v>320</v>
      </c>
      <c r="DI90" s="1">
        <f t="shared" ca="1" si="132"/>
        <v>0.46117771762800497</v>
      </c>
      <c r="DJ90" s="1">
        <f t="shared" ca="1" si="133"/>
        <v>6</v>
      </c>
      <c r="DL90" s="1">
        <f t="shared" ca="1" si="134"/>
        <v>0.12019357415093963</v>
      </c>
      <c r="DM90" s="1">
        <f t="shared" ca="1" si="135"/>
        <v>76</v>
      </c>
      <c r="DN90" s="1">
        <f t="shared" ca="1" si="136"/>
        <v>9</v>
      </c>
    </row>
    <row r="91" spans="2:118" x14ac:dyDescent="0.25">
      <c r="B91">
        <f t="shared" ca="1" si="69"/>
        <v>581</v>
      </c>
      <c r="C91">
        <f t="shared" ca="1" si="70"/>
        <v>14</v>
      </c>
      <c r="D91">
        <f t="shared" ca="1" si="71"/>
        <v>2.7672437812891436E-2</v>
      </c>
      <c r="F91" s="1">
        <f t="shared" ca="1" si="72"/>
        <v>8</v>
      </c>
      <c r="G91" s="1">
        <f t="shared" ca="1" si="73"/>
        <v>11</v>
      </c>
      <c r="H91" s="1">
        <f t="shared" ca="1" si="74"/>
        <v>7</v>
      </c>
      <c r="I91" s="1"/>
      <c r="J91" s="1">
        <f t="shared" ca="1" si="75"/>
        <v>20</v>
      </c>
      <c r="K91" s="1">
        <f t="shared" ca="1" si="76"/>
        <v>1.5857606263298578</v>
      </c>
      <c r="L91" s="1">
        <f t="shared" ca="1" si="77"/>
        <v>16</v>
      </c>
      <c r="M91" s="1"/>
      <c r="N91" s="1">
        <f t="shared" ca="1" si="78"/>
        <v>31</v>
      </c>
      <c r="O91" s="1">
        <f t="shared" ca="1" si="79"/>
        <v>4</v>
      </c>
      <c r="P91" s="1"/>
      <c r="Q91" s="1">
        <f t="shared" ca="1" si="80"/>
        <v>0.83035551326465973</v>
      </c>
      <c r="R91" s="1">
        <f t="shared" ca="1" si="81"/>
        <v>305</v>
      </c>
      <c r="S91" s="1"/>
      <c r="T91" s="1">
        <f t="shared" ca="1" si="82"/>
        <v>0.16205424974571681</v>
      </c>
      <c r="U91" s="1">
        <f t="shared" ca="1" si="83"/>
        <v>281</v>
      </c>
      <c r="V91" s="1">
        <f t="shared" ca="1" si="84"/>
        <v>39</v>
      </c>
      <c r="W91" s="1"/>
      <c r="X91" s="1">
        <f t="shared" ca="1" si="85"/>
        <v>3.0820040425548405</v>
      </c>
      <c r="Y91" s="1">
        <f t="shared" ca="1" si="86"/>
        <v>0.51178731703041491</v>
      </c>
      <c r="Z91" s="1">
        <f t="shared" ca="1" si="87"/>
        <v>1306</v>
      </c>
      <c r="AB91" s="1">
        <f t="shared" ca="1" si="88"/>
        <v>9.4817973016897927E-2</v>
      </c>
      <c r="AC91" s="1">
        <f t="shared" ca="1" si="89"/>
        <v>127</v>
      </c>
      <c r="AD91" s="1">
        <f t="shared" ca="1" si="90"/>
        <v>9.2612507572175061E-3</v>
      </c>
      <c r="AE91" s="1"/>
      <c r="AF91" s="1">
        <f t="shared" ca="1" si="91"/>
        <v>0.60138026586954096</v>
      </c>
      <c r="AG91" s="1">
        <f t="shared" ca="1" si="92"/>
        <v>740</v>
      </c>
      <c r="AH91" s="1">
        <f t="shared" ca="1" si="93"/>
        <v>4.8778670023307607E-3</v>
      </c>
      <c r="AJ91" s="1">
        <f t="shared" ca="1" si="94"/>
        <v>0.20852477904255695</v>
      </c>
      <c r="AK91" s="1">
        <f t="shared" ca="1" si="95"/>
        <v>1.5928116120462821E-3</v>
      </c>
      <c r="AL91" s="1"/>
      <c r="AM91" s="1">
        <f t="shared" ca="1" si="96"/>
        <v>0.1583104044799355</v>
      </c>
      <c r="AN91" s="1">
        <f t="shared" ca="1" si="97"/>
        <v>48</v>
      </c>
      <c r="AO91" s="1">
        <f t="shared" ca="1" si="98"/>
        <v>5</v>
      </c>
      <c r="AQ91" s="1">
        <f t="shared" ca="1" si="99"/>
        <v>41</v>
      </c>
      <c r="AR91" s="1">
        <f t="shared" ca="1" si="100"/>
        <v>9</v>
      </c>
      <c r="AS91" s="1">
        <f t="shared" ca="1" si="101"/>
        <v>3</v>
      </c>
      <c r="AU91" s="1">
        <f t="shared" ca="1" si="102"/>
        <v>186</v>
      </c>
      <c r="AV91" s="1">
        <f t="shared" ca="1" si="103"/>
        <v>9</v>
      </c>
      <c r="AW91" s="1">
        <f t="shared" ca="1" si="104"/>
        <v>1.2147715107108603E-2</v>
      </c>
      <c r="AY91" s="1">
        <f t="shared" ca="1" si="105"/>
        <v>1.3318614802129307</v>
      </c>
      <c r="AZ91" s="1">
        <f t="shared" ca="1" si="106"/>
        <v>112</v>
      </c>
      <c r="BA91" s="1">
        <f t="shared" ca="1" si="107"/>
        <v>9.203243217323083E-3</v>
      </c>
      <c r="BG91" s="1">
        <f t="shared" ca="1" si="108"/>
        <v>0.84428051001715287</v>
      </c>
      <c r="BH91" s="1">
        <f t="shared" ca="1" si="109"/>
        <v>0.87829174677085053</v>
      </c>
      <c r="BI91" s="1">
        <f t="shared" ca="1" si="110"/>
        <v>587</v>
      </c>
      <c r="BV91" s="1">
        <f t="shared" ca="1" si="111"/>
        <v>0.80179266766664747</v>
      </c>
      <c r="BW91" s="1">
        <f t="shared" ca="1" si="112"/>
        <v>487</v>
      </c>
      <c r="BX91" s="1">
        <f t="shared" ca="1" si="113"/>
        <v>3.1052241078580478E-3</v>
      </c>
      <c r="BY91" s="1">
        <f t="shared" ca="1" si="114"/>
        <v>3.3120496042502452E-2</v>
      </c>
      <c r="BZ91" s="1">
        <f t="shared" ca="1" si="115"/>
        <v>0.58424411121652498</v>
      </c>
      <c r="CB91" s="1">
        <f t="shared" ca="1" si="116"/>
        <v>477</v>
      </c>
      <c r="CC91" s="1">
        <f t="shared" ca="1" si="117"/>
        <v>13</v>
      </c>
      <c r="CD91" s="1">
        <f t="shared" ca="1" si="118"/>
        <v>0.19707766791710785</v>
      </c>
      <c r="CE91" s="1">
        <f t="shared" ca="1" si="119"/>
        <v>0.62890397594859015</v>
      </c>
      <c r="CF91" s="1">
        <f t="shared" ca="1" si="119"/>
        <v>0.54553594953544027</v>
      </c>
      <c r="CH91" s="3">
        <f t="shared" ca="1" si="120"/>
        <v>0.57362263348462517</v>
      </c>
      <c r="CI91" s="3">
        <f t="shared" ca="1" si="121"/>
        <v>0.86524308730152732</v>
      </c>
      <c r="CJ91" s="3">
        <f t="shared" ca="1" si="122"/>
        <v>1591</v>
      </c>
      <c r="CK91" s="3">
        <f t="shared" ca="1" si="123"/>
        <v>8.6325238983562267E-4</v>
      </c>
      <c r="CL91" s="3">
        <f t="shared" ca="1" si="124"/>
        <v>1</v>
      </c>
      <c r="CM91" s="3"/>
      <c r="CN91" s="1">
        <f t="shared" ca="1" si="125"/>
        <v>12.680551077171767</v>
      </c>
      <c r="CO91" s="1">
        <f t="shared" ca="1" si="126"/>
        <v>0.24057662985439049</v>
      </c>
      <c r="CP91" s="1">
        <f t="shared" ca="1" si="127"/>
        <v>1</v>
      </c>
      <c r="CV91" s="1">
        <f t="shared" ca="1" si="128"/>
        <v>3.4458212240671484</v>
      </c>
      <c r="CW91" s="1">
        <f t="shared" ca="1" si="129"/>
        <v>377</v>
      </c>
      <c r="CX91" s="1">
        <f t="shared" ca="1" si="130"/>
        <v>6.6306394147985686E-3</v>
      </c>
      <c r="DH91" s="1">
        <f t="shared" ca="1" si="131"/>
        <v>219</v>
      </c>
      <c r="DI91" s="1">
        <f t="shared" ca="1" si="132"/>
        <v>0.4509994763597141</v>
      </c>
      <c r="DJ91" s="1">
        <f t="shared" ca="1" si="133"/>
        <v>18</v>
      </c>
      <c r="DL91" s="1">
        <f t="shared" ca="1" si="134"/>
        <v>0.14867775666791602</v>
      </c>
      <c r="DM91" s="1">
        <f t="shared" ca="1" si="135"/>
        <v>152</v>
      </c>
      <c r="DN91" s="1">
        <f t="shared" ca="1" si="136"/>
        <v>2</v>
      </c>
    </row>
    <row r="92" spans="2:118" x14ac:dyDescent="0.25">
      <c r="B92">
        <f t="shared" ca="1" si="69"/>
        <v>623</v>
      </c>
      <c r="C92">
        <f t="shared" ca="1" si="70"/>
        <v>11</v>
      </c>
      <c r="D92">
        <f t="shared" ca="1" si="71"/>
        <v>0.26781728452868053</v>
      </c>
      <c r="F92" s="1">
        <f t="shared" ca="1" si="72"/>
        <v>36</v>
      </c>
      <c r="G92" s="1">
        <f t="shared" ca="1" si="73"/>
        <v>21</v>
      </c>
      <c r="H92" s="1">
        <f t="shared" ca="1" si="74"/>
        <v>15</v>
      </c>
      <c r="I92" s="1"/>
      <c r="J92" s="1">
        <f t="shared" ca="1" si="75"/>
        <v>34</v>
      </c>
      <c r="K92" s="1">
        <f t="shared" ca="1" si="76"/>
        <v>1.9496462257951872</v>
      </c>
      <c r="L92" s="1">
        <f t="shared" ca="1" si="77"/>
        <v>6</v>
      </c>
      <c r="M92" s="1"/>
      <c r="N92" s="1">
        <f t="shared" ca="1" si="78"/>
        <v>436</v>
      </c>
      <c r="O92" s="1">
        <f t="shared" ca="1" si="79"/>
        <v>43</v>
      </c>
      <c r="P92" s="1"/>
      <c r="Q92" s="1">
        <f t="shared" ca="1" si="80"/>
        <v>0.58683943013992013</v>
      </c>
      <c r="R92" s="1">
        <f t="shared" ca="1" si="81"/>
        <v>526</v>
      </c>
      <c r="S92" s="1"/>
      <c r="T92" s="1">
        <f t="shared" ca="1" si="82"/>
        <v>4.1872311522898317E-2</v>
      </c>
      <c r="U92" s="1">
        <f t="shared" ca="1" si="83"/>
        <v>167</v>
      </c>
      <c r="V92" s="1">
        <f t="shared" ca="1" si="84"/>
        <v>33</v>
      </c>
      <c r="W92" s="1"/>
      <c r="X92" s="1">
        <f t="shared" ca="1" si="85"/>
        <v>9.6397539678547233</v>
      </c>
      <c r="Y92" s="1">
        <f t="shared" ca="1" si="86"/>
        <v>0.15683814603352716</v>
      </c>
      <c r="Z92" s="1">
        <f t="shared" ca="1" si="87"/>
        <v>106</v>
      </c>
      <c r="AB92" s="1">
        <f t="shared" ca="1" si="88"/>
        <v>0.33806360698675753</v>
      </c>
      <c r="AC92" s="1">
        <f t="shared" ca="1" si="89"/>
        <v>492</v>
      </c>
      <c r="AD92" s="1">
        <f t="shared" ca="1" si="90"/>
        <v>5.6936214256122462E-3</v>
      </c>
      <c r="AE92" s="1"/>
      <c r="AF92" s="1">
        <f t="shared" ca="1" si="91"/>
        <v>0.48237218351227662</v>
      </c>
      <c r="AG92" s="1">
        <f t="shared" ca="1" si="92"/>
        <v>675</v>
      </c>
      <c r="AH92" s="1">
        <f t="shared" ca="1" si="93"/>
        <v>9.6316555060064601E-3</v>
      </c>
      <c r="AJ92" s="1">
        <f t="shared" ca="1" si="94"/>
        <v>0.72958110662000031</v>
      </c>
      <c r="AK92" s="1">
        <f t="shared" ca="1" si="95"/>
        <v>5.3702951857350486E-3</v>
      </c>
      <c r="AL92" s="1"/>
      <c r="AM92" s="1">
        <f t="shared" ca="1" si="96"/>
        <v>0.19737586647492023</v>
      </c>
      <c r="AN92" s="1">
        <f t="shared" ca="1" si="97"/>
        <v>50</v>
      </c>
      <c r="AO92" s="1">
        <f t="shared" ca="1" si="98"/>
        <v>5</v>
      </c>
      <c r="AQ92" s="1">
        <f t="shared" ca="1" si="99"/>
        <v>131</v>
      </c>
      <c r="AR92" s="1">
        <f t="shared" ca="1" si="100"/>
        <v>6</v>
      </c>
      <c r="AS92" s="1">
        <f t="shared" ca="1" si="101"/>
        <v>43</v>
      </c>
      <c r="AU92" s="1">
        <f t="shared" ca="1" si="102"/>
        <v>278</v>
      </c>
      <c r="AV92" s="1">
        <f t="shared" ca="1" si="103"/>
        <v>10</v>
      </c>
      <c r="AW92" s="1">
        <f t="shared" ca="1" si="104"/>
        <v>2.0690308388875929E-2</v>
      </c>
      <c r="AY92" s="1">
        <f t="shared" ca="1" si="105"/>
        <v>1.3415261677349732</v>
      </c>
      <c r="AZ92" s="1">
        <f t="shared" ca="1" si="106"/>
        <v>327</v>
      </c>
      <c r="BA92" s="1">
        <f t="shared" ca="1" si="107"/>
        <v>3.0825574415378151E-3</v>
      </c>
      <c r="BG92" s="1">
        <f t="shared" ca="1" si="108"/>
        <v>0.43528649577312528</v>
      </c>
      <c r="BH92" s="1">
        <f t="shared" ca="1" si="109"/>
        <v>0.74679664994132688</v>
      </c>
      <c r="BI92" s="1">
        <f t="shared" ca="1" si="110"/>
        <v>471</v>
      </c>
      <c r="BV92" s="1">
        <f t="shared" ca="1" si="111"/>
        <v>0.68425345617404254</v>
      </c>
      <c r="BW92" s="1">
        <f t="shared" ca="1" si="112"/>
        <v>973</v>
      </c>
      <c r="BX92" s="1">
        <f t="shared" ca="1" si="113"/>
        <v>1.9637252274068797E-3</v>
      </c>
      <c r="BY92" s="1">
        <f t="shared" ca="1" si="114"/>
        <v>6.416919373119756E-2</v>
      </c>
      <c r="BZ92" s="1">
        <f t="shared" ca="1" si="115"/>
        <v>0.24069765335552906</v>
      </c>
      <c r="CB92" s="1">
        <f t="shared" ca="1" si="116"/>
        <v>446</v>
      </c>
      <c r="CC92" s="1">
        <f t="shared" ca="1" si="117"/>
        <v>15</v>
      </c>
      <c r="CD92" s="1">
        <f t="shared" ca="1" si="118"/>
        <v>0.20484053874450578</v>
      </c>
      <c r="CE92" s="1">
        <f t="shared" ca="1" si="119"/>
        <v>0.87164100031468361</v>
      </c>
      <c r="CF92" s="1">
        <f t="shared" ca="1" si="119"/>
        <v>0.95411446221002705</v>
      </c>
      <c r="CH92" s="3">
        <f t="shared" ca="1" si="120"/>
        <v>0.13343152230609603</v>
      </c>
      <c r="CI92" s="3">
        <f t="shared" ca="1" si="121"/>
        <v>0.63992792443054614</v>
      </c>
      <c r="CJ92" s="3">
        <f t="shared" ca="1" si="122"/>
        <v>941</v>
      </c>
      <c r="CK92" s="3">
        <f t="shared" ca="1" si="123"/>
        <v>9.1017854930764801E-3</v>
      </c>
      <c r="CL92" s="3">
        <f t="shared" ca="1" si="124"/>
        <v>0</v>
      </c>
      <c r="CM92" s="3"/>
      <c r="CN92" s="1">
        <f t="shared" ca="1" si="125"/>
        <v>1.9938592255457461</v>
      </c>
      <c r="CO92" s="1">
        <f t="shared" ca="1" si="126"/>
        <v>0.11507461867600378</v>
      </c>
      <c r="CP92" s="1">
        <f t="shared" ca="1" si="127"/>
        <v>3</v>
      </c>
      <c r="CV92" s="1">
        <f t="shared" ca="1" si="128"/>
        <v>4.8443392868752202</v>
      </c>
      <c r="CW92" s="1">
        <f t="shared" ca="1" si="129"/>
        <v>1964</v>
      </c>
      <c r="CX92" s="1">
        <f t="shared" ca="1" si="130"/>
        <v>8.7318321998571015E-3</v>
      </c>
      <c r="DH92" s="1">
        <f t="shared" ca="1" si="131"/>
        <v>637</v>
      </c>
      <c r="DI92" s="1">
        <f t="shared" ca="1" si="132"/>
        <v>0.16373554653760264</v>
      </c>
      <c r="DJ92" s="1">
        <f t="shared" ca="1" si="133"/>
        <v>27</v>
      </c>
      <c r="DL92" s="1">
        <f t="shared" ca="1" si="134"/>
        <v>0.129814867874153</v>
      </c>
      <c r="DM92" s="1">
        <f t="shared" ca="1" si="135"/>
        <v>171</v>
      </c>
      <c r="DN92" s="1">
        <f t="shared" ca="1" si="136"/>
        <v>1</v>
      </c>
    </row>
    <row r="93" spans="2:118" x14ac:dyDescent="0.25">
      <c r="B93">
        <f t="shared" ca="1" si="69"/>
        <v>512</v>
      </c>
      <c r="C93">
        <f t="shared" ca="1" si="70"/>
        <v>10</v>
      </c>
      <c r="D93">
        <f t="shared" ca="1" si="71"/>
        <v>1.7812363736841128E-2</v>
      </c>
      <c r="F93" s="1">
        <f t="shared" ca="1" si="72"/>
        <v>46</v>
      </c>
      <c r="G93" s="1">
        <f t="shared" ca="1" si="73"/>
        <v>27</v>
      </c>
      <c r="H93" s="1">
        <f t="shared" ca="1" si="74"/>
        <v>14</v>
      </c>
      <c r="I93" s="1"/>
      <c r="J93" s="1">
        <f t="shared" ca="1" si="75"/>
        <v>23</v>
      </c>
      <c r="K93" s="1">
        <f t="shared" ca="1" si="76"/>
        <v>2.7244474047223841</v>
      </c>
      <c r="L93" s="1">
        <f t="shared" ca="1" si="77"/>
        <v>5</v>
      </c>
      <c r="M93" s="1"/>
      <c r="N93" s="1">
        <f t="shared" ca="1" si="78"/>
        <v>445</v>
      </c>
      <c r="O93" s="1">
        <f t="shared" ca="1" si="79"/>
        <v>14</v>
      </c>
      <c r="P93" s="1"/>
      <c r="Q93" s="1">
        <f t="shared" ca="1" si="80"/>
        <v>3.0823367773018981</v>
      </c>
      <c r="R93" s="1">
        <f t="shared" ca="1" si="81"/>
        <v>1127</v>
      </c>
      <c r="S93" s="1"/>
      <c r="T93" s="1">
        <f t="shared" ca="1" si="82"/>
        <v>4.875771863261083E-2</v>
      </c>
      <c r="U93" s="1">
        <f t="shared" ca="1" si="83"/>
        <v>101</v>
      </c>
      <c r="V93" s="1">
        <f t="shared" ca="1" si="84"/>
        <v>19</v>
      </c>
      <c r="W93" s="1"/>
      <c r="X93" s="1">
        <f t="shared" ca="1" si="85"/>
        <v>4.2703608589962778</v>
      </c>
      <c r="Y93" s="1">
        <f t="shared" ca="1" si="86"/>
        <v>9.0027084372276255E-3</v>
      </c>
      <c r="Z93" s="1">
        <f t="shared" ca="1" si="87"/>
        <v>1893</v>
      </c>
      <c r="AB93" s="1">
        <f t="shared" ca="1" si="88"/>
        <v>0.12791167591310973</v>
      </c>
      <c r="AC93" s="1">
        <f t="shared" ca="1" si="89"/>
        <v>360</v>
      </c>
      <c r="AD93" s="1">
        <f t="shared" ca="1" si="90"/>
        <v>6.5950570039108218E-3</v>
      </c>
      <c r="AE93" s="1"/>
      <c r="AF93" s="1">
        <f t="shared" ca="1" si="91"/>
        <v>0.8261985685488541</v>
      </c>
      <c r="AG93" s="1">
        <f t="shared" ca="1" si="92"/>
        <v>607</v>
      </c>
      <c r="AH93" s="1">
        <f t="shared" ca="1" si="93"/>
        <v>4.8885175630458176E-3</v>
      </c>
      <c r="AJ93" s="1">
        <f t="shared" ca="1" si="94"/>
        <v>0.93332442316951225</v>
      </c>
      <c r="AK93" s="1">
        <f t="shared" ca="1" si="95"/>
        <v>8.482715622180417E-4</v>
      </c>
      <c r="AL93" s="1"/>
      <c r="AM93" s="1">
        <f t="shared" ca="1" si="96"/>
        <v>0.16045289429321508</v>
      </c>
      <c r="AN93" s="1">
        <f t="shared" ca="1" si="97"/>
        <v>67</v>
      </c>
      <c r="AO93" s="1">
        <f t="shared" ca="1" si="98"/>
        <v>15</v>
      </c>
      <c r="AQ93" s="1">
        <f t="shared" ca="1" si="99"/>
        <v>84</v>
      </c>
      <c r="AR93" s="1">
        <f t="shared" ca="1" si="100"/>
        <v>10</v>
      </c>
      <c r="AS93" s="1">
        <f t="shared" ca="1" si="101"/>
        <v>25</v>
      </c>
      <c r="AU93" s="1">
        <f t="shared" ca="1" si="102"/>
        <v>376</v>
      </c>
      <c r="AV93" s="1">
        <f t="shared" ca="1" si="103"/>
        <v>4</v>
      </c>
      <c r="AW93" s="1">
        <f t="shared" ca="1" si="104"/>
        <v>1.5214303401693465E-2</v>
      </c>
      <c r="AY93" s="1">
        <f t="shared" ca="1" si="105"/>
        <v>1.7535859048627547</v>
      </c>
      <c r="AZ93" s="1">
        <f t="shared" ca="1" si="106"/>
        <v>240</v>
      </c>
      <c r="BA93" s="1">
        <f t="shared" ca="1" si="107"/>
        <v>2.6785719287235679E-3</v>
      </c>
      <c r="BG93" s="1">
        <f t="shared" ca="1" si="108"/>
        <v>0.62015382390192542</v>
      </c>
      <c r="BH93" s="1">
        <f t="shared" ca="1" si="109"/>
        <v>0.19279522603275578</v>
      </c>
      <c r="BI93" s="1">
        <f t="shared" ca="1" si="110"/>
        <v>604</v>
      </c>
      <c r="BV93" s="1">
        <f t="shared" ca="1" si="111"/>
        <v>0.42226716869520547</v>
      </c>
      <c r="BW93" s="1">
        <f t="shared" ca="1" si="112"/>
        <v>849</v>
      </c>
      <c r="BX93" s="1">
        <f t="shared" ca="1" si="113"/>
        <v>2.3182941150696802E-3</v>
      </c>
      <c r="BY93" s="1">
        <f t="shared" ca="1" si="114"/>
        <v>8.0570138175859007E-2</v>
      </c>
      <c r="BZ93" s="1">
        <f t="shared" ca="1" si="115"/>
        <v>0.37475444401815428</v>
      </c>
      <c r="CB93" s="1">
        <f t="shared" ca="1" si="116"/>
        <v>344</v>
      </c>
      <c r="CC93" s="1">
        <f t="shared" ca="1" si="117"/>
        <v>14</v>
      </c>
      <c r="CD93" s="1">
        <f t="shared" ca="1" si="118"/>
        <v>0.14315603849814418</v>
      </c>
      <c r="CE93" s="1">
        <f t="shared" ca="1" si="119"/>
        <v>0.54082966299733004</v>
      </c>
      <c r="CF93" s="1">
        <f t="shared" ca="1" si="119"/>
        <v>0.75506718825160146</v>
      </c>
      <c r="CH93" s="3">
        <f t="shared" ca="1" si="120"/>
        <v>0.10330034924303148</v>
      </c>
      <c r="CI93" s="3">
        <f t="shared" ca="1" si="121"/>
        <v>0.11981957650633215</v>
      </c>
      <c r="CJ93" s="3">
        <f t="shared" ca="1" si="122"/>
        <v>723</v>
      </c>
      <c r="CK93" s="3">
        <f t="shared" ca="1" si="123"/>
        <v>6.796868037386627E-3</v>
      </c>
      <c r="CL93" s="3">
        <f t="shared" ca="1" si="124"/>
        <v>0</v>
      </c>
      <c r="CM93" s="3"/>
      <c r="CN93" s="1">
        <f t="shared" ca="1" si="125"/>
        <v>7.4590591681176246</v>
      </c>
      <c r="CO93" s="1">
        <f t="shared" ca="1" si="126"/>
        <v>9.239393323104364E-2</v>
      </c>
      <c r="CP93" s="1">
        <f t="shared" ca="1" si="127"/>
        <v>1</v>
      </c>
      <c r="CV93" s="1">
        <f t="shared" ca="1" si="128"/>
        <v>3.3509009521896882</v>
      </c>
      <c r="CW93" s="1">
        <f t="shared" ca="1" si="129"/>
        <v>1733</v>
      </c>
      <c r="CX93" s="1">
        <f t="shared" ca="1" si="130"/>
        <v>4.3531864577494367E-3</v>
      </c>
      <c r="DH93" s="1">
        <f t="shared" ca="1" si="131"/>
        <v>494</v>
      </c>
      <c r="DI93" s="1">
        <f t="shared" ca="1" si="132"/>
        <v>0.23456368265852642</v>
      </c>
      <c r="DJ93" s="1">
        <f t="shared" ca="1" si="133"/>
        <v>14</v>
      </c>
      <c r="DL93" s="1">
        <f t="shared" ca="1" si="134"/>
        <v>0.14204987892902446</v>
      </c>
      <c r="DM93" s="1">
        <f t="shared" ca="1" si="135"/>
        <v>250</v>
      </c>
      <c r="DN93" s="1">
        <f t="shared" ca="1" si="136"/>
        <v>3</v>
      </c>
    </row>
    <row r="94" spans="2:118" x14ac:dyDescent="0.25">
      <c r="B94">
        <f t="shared" ca="1" si="69"/>
        <v>41</v>
      </c>
      <c r="C94">
        <f t="shared" ca="1" si="70"/>
        <v>25</v>
      </c>
      <c r="D94">
        <f t="shared" ca="1" si="71"/>
        <v>0.15625766969924371</v>
      </c>
      <c r="F94" s="1">
        <f t="shared" ca="1" si="72"/>
        <v>46</v>
      </c>
      <c r="G94" s="1">
        <f t="shared" ca="1" si="73"/>
        <v>25</v>
      </c>
      <c r="H94" s="1">
        <f t="shared" ca="1" si="74"/>
        <v>9</v>
      </c>
      <c r="I94" s="1"/>
      <c r="J94" s="1">
        <f t="shared" ca="1" si="75"/>
        <v>21</v>
      </c>
      <c r="K94" s="1">
        <f t="shared" ca="1" si="76"/>
        <v>2.8081562367917874</v>
      </c>
      <c r="L94" s="1">
        <f t="shared" ca="1" si="77"/>
        <v>9</v>
      </c>
      <c r="M94" s="1"/>
      <c r="N94" s="1">
        <f t="shared" ca="1" si="78"/>
        <v>974</v>
      </c>
      <c r="O94" s="1">
        <f t="shared" ca="1" si="79"/>
        <v>49</v>
      </c>
      <c r="P94" s="1"/>
      <c r="Q94" s="1">
        <f t="shared" ca="1" si="80"/>
        <v>1.4812821271247629</v>
      </c>
      <c r="R94" s="1">
        <f t="shared" ca="1" si="81"/>
        <v>1165</v>
      </c>
      <c r="S94" s="1"/>
      <c r="T94" s="1">
        <f t="shared" ca="1" si="82"/>
        <v>0.17192775088689641</v>
      </c>
      <c r="U94" s="1">
        <f t="shared" ca="1" si="83"/>
        <v>118</v>
      </c>
      <c r="V94" s="1">
        <f t="shared" ca="1" si="84"/>
        <v>26</v>
      </c>
      <c r="W94" s="1"/>
      <c r="X94" s="1">
        <f t="shared" ca="1" si="85"/>
        <v>2.2234091993363849</v>
      </c>
      <c r="Y94" s="1">
        <f t="shared" ca="1" si="86"/>
        <v>0.77976088192647119</v>
      </c>
      <c r="Z94" s="1">
        <f t="shared" ca="1" si="87"/>
        <v>137</v>
      </c>
      <c r="AB94" s="1">
        <f t="shared" ca="1" si="88"/>
        <v>0.95250651802201802</v>
      </c>
      <c r="AC94" s="1">
        <f t="shared" ca="1" si="89"/>
        <v>957</v>
      </c>
      <c r="AD94" s="1">
        <f t="shared" ca="1" si="90"/>
        <v>7.3070977056969603E-3</v>
      </c>
      <c r="AE94" s="1"/>
      <c r="AF94" s="1">
        <f t="shared" ca="1" si="91"/>
        <v>0.82145732130235538</v>
      </c>
      <c r="AG94" s="1">
        <f t="shared" ca="1" si="92"/>
        <v>999</v>
      </c>
      <c r="AH94" s="1">
        <f t="shared" ca="1" si="93"/>
        <v>2.1374514574851434E-3</v>
      </c>
      <c r="AJ94" s="1">
        <f t="shared" ca="1" si="94"/>
        <v>0.96012622855699026</v>
      </c>
      <c r="AK94" s="1">
        <f t="shared" ca="1" si="95"/>
        <v>5.4807946061098236E-3</v>
      </c>
      <c r="AL94" s="1"/>
      <c r="AM94" s="1">
        <f t="shared" ca="1" si="96"/>
        <v>2.8726225933563453E-2</v>
      </c>
      <c r="AN94" s="1">
        <f t="shared" ca="1" si="97"/>
        <v>37</v>
      </c>
      <c r="AO94" s="1">
        <f t="shared" ca="1" si="98"/>
        <v>0</v>
      </c>
      <c r="AQ94" s="1">
        <f t="shared" ca="1" si="99"/>
        <v>169</v>
      </c>
      <c r="AR94" s="1">
        <f t="shared" ca="1" si="100"/>
        <v>2</v>
      </c>
      <c r="AS94" s="1">
        <f t="shared" ca="1" si="101"/>
        <v>95</v>
      </c>
      <c r="AU94" s="1">
        <f t="shared" ca="1" si="102"/>
        <v>318</v>
      </c>
      <c r="AV94" s="1">
        <f t="shared" ca="1" si="103"/>
        <v>10</v>
      </c>
      <c r="AW94" s="1">
        <f t="shared" ca="1" si="104"/>
        <v>0.10443671476078706</v>
      </c>
      <c r="AY94" s="1">
        <f t="shared" ca="1" si="105"/>
        <v>1.9838798340088921</v>
      </c>
      <c r="AZ94" s="1">
        <f t="shared" ca="1" si="106"/>
        <v>396</v>
      </c>
      <c r="BA94" s="1">
        <f t="shared" ca="1" si="107"/>
        <v>5.9637863402142426E-3</v>
      </c>
      <c r="BG94" s="1">
        <f t="shared" ca="1" si="108"/>
        <v>0.97601574851213579</v>
      </c>
      <c r="BH94" s="1">
        <f t="shared" ca="1" si="109"/>
        <v>0.68770300758081937</v>
      </c>
      <c r="BI94" s="1">
        <f t="shared" ca="1" si="110"/>
        <v>443</v>
      </c>
      <c r="BV94" s="1">
        <f t="shared" ca="1" si="111"/>
        <v>0.37913075102479116</v>
      </c>
      <c r="BW94" s="1">
        <f t="shared" ca="1" si="112"/>
        <v>269</v>
      </c>
      <c r="BX94" s="1">
        <f t="shared" ca="1" si="113"/>
        <v>7.4660498899764404E-3</v>
      </c>
      <c r="BY94" s="1">
        <f t="shared" ca="1" si="114"/>
        <v>3.194715376387855E-2</v>
      </c>
      <c r="BZ94" s="1">
        <f t="shared" ca="1" si="115"/>
        <v>4.4909362432919098E-2</v>
      </c>
      <c r="CB94" s="1">
        <f t="shared" ca="1" si="116"/>
        <v>164</v>
      </c>
      <c r="CC94" s="1">
        <f t="shared" ca="1" si="117"/>
        <v>13</v>
      </c>
      <c r="CD94" s="1">
        <f t="shared" ca="1" si="118"/>
        <v>0.14753843183039581</v>
      </c>
      <c r="CE94" s="1">
        <f t="shared" ca="1" si="119"/>
        <v>0.68086212464076534</v>
      </c>
      <c r="CF94" s="1">
        <f t="shared" ca="1" si="119"/>
        <v>0.56397390118091018</v>
      </c>
      <c r="CH94" s="3">
        <f t="shared" ca="1" si="120"/>
        <v>7.297723420554654E-2</v>
      </c>
      <c r="CI94" s="3">
        <f t="shared" ca="1" si="121"/>
        <v>0.94708489847267729</v>
      </c>
      <c r="CJ94" s="3">
        <f t="shared" ca="1" si="122"/>
        <v>856</v>
      </c>
      <c r="CK94" s="3">
        <f t="shared" ca="1" si="123"/>
        <v>1.0818053096060096E-3</v>
      </c>
      <c r="CL94" s="3">
        <f t="shared" ca="1" si="124"/>
        <v>0</v>
      </c>
      <c r="CM94" s="3"/>
      <c r="CN94" s="1">
        <f t="shared" ca="1" si="125"/>
        <v>8.1537191239490472</v>
      </c>
      <c r="CO94" s="1">
        <f t="shared" ca="1" si="126"/>
        <v>0.41127658438843062</v>
      </c>
      <c r="CP94" s="1">
        <f t="shared" ca="1" si="127"/>
        <v>4</v>
      </c>
      <c r="CV94" s="1">
        <f t="shared" ca="1" si="128"/>
        <v>6.14153497861889</v>
      </c>
      <c r="CW94" s="1">
        <f t="shared" ca="1" si="129"/>
        <v>1431</v>
      </c>
      <c r="CX94" s="1">
        <f t="shared" ca="1" si="130"/>
        <v>9.4047669391538399E-3</v>
      </c>
      <c r="DH94" s="1">
        <f t="shared" ca="1" si="131"/>
        <v>586</v>
      </c>
      <c r="DI94" s="1">
        <f t="shared" ca="1" si="132"/>
        <v>0.4893159075562642</v>
      </c>
      <c r="DJ94" s="1">
        <f t="shared" ca="1" si="133"/>
        <v>22</v>
      </c>
      <c r="DL94" s="1">
        <f t="shared" ca="1" si="134"/>
        <v>0.16604783561607533</v>
      </c>
      <c r="DM94" s="1">
        <f t="shared" ca="1" si="135"/>
        <v>300</v>
      </c>
      <c r="DN94" s="1">
        <f t="shared" ca="1" si="136"/>
        <v>8</v>
      </c>
    </row>
    <row r="95" spans="2:118" x14ac:dyDescent="0.25">
      <c r="B95">
        <f t="shared" ca="1" si="69"/>
        <v>144</v>
      </c>
      <c r="C95">
        <f t="shared" ca="1" si="70"/>
        <v>2</v>
      </c>
      <c r="D95">
        <f t="shared" ca="1" si="71"/>
        <v>0.15101760359544564</v>
      </c>
      <c r="F95" s="1">
        <f t="shared" ca="1" si="72"/>
        <v>4</v>
      </c>
      <c r="G95" s="1">
        <f t="shared" ca="1" si="73"/>
        <v>18</v>
      </c>
      <c r="H95" s="1">
        <f t="shared" ca="1" si="74"/>
        <v>3</v>
      </c>
      <c r="I95" s="1"/>
      <c r="J95" s="1">
        <f t="shared" ca="1" si="75"/>
        <v>39</v>
      </c>
      <c r="K95" s="1">
        <f t="shared" ca="1" si="76"/>
        <v>2.9598764772158064</v>
      </c>
      <c r="L95" s="1">
        <f t="shared" ca="1" si="77"/>
        <v>17</v>
      </c>
      <c r="M95" s="1"/>
      <c r="N95" s="1">
        <f t="shared" ca="1" si="78"/>
        <v>904</v>
      </c>
      <c r="O95" s="1">
        <f t="shared" ca="1" si="79"/>
        <v>41</v>
      </c>
      <c r="P95" s="1"/>
      <c r="Q95" s="1">
        <f t="shared" ca="1" si="80"/>
        <v>2.0575377205333298E-2</v>
      </c>
      <c r="R95" s="1">
        <f t="shared" ca="1" si="81"/>
        <v>683</v>
      </c>
      <c r="S95" s="1"/>
      <c r="T95" s="1">
        <f t="shared" ca="1" si="82"/>
        <v>0.1742666467134541</v>
      </c>
      <c r="U95" s="1">
        <f t="shared" ca="1" si="83"/>
        <v>357</v>
      </c>
      <c r="V95" s="1">
        <f t="shared" ca="1" si="84"/>
        <v>8</v>
      </c>
      <c r="W95" s="1"/>
      <c r="X95" s="1">
        <f t="shared" ca="1" si="85"/>
        <v>7.8373876446007387</v>
      </c>
      <c r="Y95" s="1">
        <f t="shared" ca="1" si="86"/>
        <v>0.88393104073330386</v>
      </c>
      <c r="Z95" s="1">
        <f t="shared" ca="1" si="87"/>
        <v>1186</v>
      </c>
      <c r="AB95" s="1">
        <f t="shared" ca="1" si="88"/>
        <v>0.56393547311663206</v>
      </c>
      <c r="AC95" s="1">
        <f t="shared" ca="1" si="89"/>
        <v>713</v>
      </c>
      <c r="AD95" s="1">
        <f t="shared" ca="1" si="90"/>
        <v>8.4792831062244691E-3</v>
      </c>
      <c r="AE95" s="1"/>
      <c r="AF95" s="1">
        <f t="shared" ca="1" si="91"/>
        <v>0.64917436843965592</v>
      </c>
      <c r="AG95" s="1">
        <f t="shared" ca="1" si="92"/>
        <v>494</v>
      </c>
      <c r="AH95" s="1">
        <f t="shared" ca="1" si="93"/>
        <v>8.078622584646554E-3</v>
      </c>
      <c r="AJ95" s="1">
        <f t="shared" ca="1" si="94"/>
        <v>0.54928016016560621</v>
      </c>
      <c r="AK95" s="1">
        <f t="shared" ca="1" si="95"/>
        <v>5.9012892384460638E-3</v>
      </c>
      <c r="AL95" s="1"/>
      <c r="AM95" s="1">
        <f t="shared" ca="1" si="96"/>
        <v>0.1393224873683509</v>
      </c>
      <c r="AN95" s="1">
        <f t="shared" ca="1" si="97"/>
        <v>12</v>
      </c>
      <c r="AO95" s="1">
        <f t="shared" ca="1" si="98"/>
        <v>10</v>
      </c>
      <c r="AQ95" s="1">
        <f t="shared" ca="1" si="99"/>
        <v>149</v>
      </c>
      <c r="AR95" s="1">
        <f t="shared" ca="1" si="100"/>
        <v>7</v>
      </c>
      <c r="AS95" s="1">
        <f t="shared" ca="1" si="101"/>
        <v>16</v>
      </c>
      <c r="AU95" s="1">
        <f t="shared" ca="1" si="102"/>
        <v>260</v>
      </c>
      <c r="AV95" s="1">
        <f t="shared" ca="1" si="103"/>
        <v>5</v>
      </c>
      <c r="AW95" s="1">
        <f t="shared" ca="1" si="104"/>
        <v>0.13011559379714566</v>
      </c>
      <c r="AY95" s="1">
        <f t="shared" ca="1" si="105"/>
        <v>1.6851336171680809</v>
      </c>
      <c r="AZ95" s="1">
        <f t="shared" ca="1" si="106"/>
        <v>109</v>
      </c>
      <c r="BA95" s="1">
        <f t="shared" ca="1" si="107"/>
        <v>6.1469874801907366E-3</v>
      </c>
      <c r="BG95" s="1">
        <f t="shared" ca="1" si="108"/>
        <v>0.23324835296726698</v>
      </c>
      <c r="BH95" s="1">
        <f t="shared" ca="1" si="109"/>
        <v>0.976757433292055</v>
      </c>
      <c r="BI95" s="1">
        <f t="shared" ca="1" si="110"/>
        <v>276</v>
      </c>
      <c r="BV95" s="1">
        <f t="shared" ca="1" si="111"/>
        <v>2.5088900167536884E-2</v>
      </c>
      <c r="BW95" s="1">
        <f t="shared" ca="1" si="112"/>
        <v>596</v>
      </c>
      <c r="BX95" s="1">
        <f t="shared" ca="1" si="113"/>
        <v>1.6718855014770943E-3</v>
      </c>
      <c r="BY95" s="1">
        <f t="shared" ca="1" si="114"/>
        <v>9.2631968254901637E-3</v>
      </c>
      <c r="BZ95" s="1">
        <f t="shared" ca="1" si="115"/>
        <v>0.79376171580210564</v>
      </c>
      <c r="CB95" s="1">
        <f t="shared" ca="1" si="116"/>
        <v>232</v>
      </c>
      <c r="CC95" s="1">
        <f t="shared" ca="1" si="117"/>
        <v>11</v>
      </c>
      <c r="CD95" s="1">
        <f t="shared" ca="1" si="118"/>
        <v>0.29243568470898712</v>
      </c>
      <c r="CE95" s="1">
        <f t="shared" ca="1" si="119"/>
        <v>0.52568364965241676</v>
      </c>
      <c r="CF95" s="1">
        <f t="shared" ca="1" si="119"/>
        <v>0.73181825937695388</v>
      </c>
      <c r="CH95" s="3">
        <f t="shared" ca="1" si="120"/>
        <v>3.4100783260884143E-2</v>
      </c>
      <c r="CI95" s="3">
        <f t="shared" ca="1" si="121"/>
        <v>0.72198296785579663</v>
      </c>
      <c r="CJ95" s="3">
        <f t="shared" ca="1" si="122"/>
        <v>919</v>
      </c>
      <c r="CK95" s="3">
        <f t="shared" ca="1" si="123"/>
        <v>5.0421938626091121E-3</v>
      </c>
      <c r="CL95" s="3">
        <f t="shared" ca="1" si="124"/>
        <v>0</v>
      </c>
      <c r="CM95" s="3"/>
      <c r="CN95" s="1">
        <f t="shared" ca="1" si="125"/>
        <v>13.068983157789676</v>
      </c>
      <c r="CO95" s="1">
        <f t="shared" ca="1" si="126"/>
        <v>0.40463242735642529</v>
      </c>
      <c r="CP95" s="1">
        <f t="shared" ca="1" si="127"/>
        <v>4</v>
      </c>
      <c r="CV95" s="1">
        <f t="shared" ca="1" si="128"/>
        <v>5.0554911417854251</v>
      </c>
      <c r="CW95" s="1">
        <f t="shared" ca="1" si="129"/>
        <v>406</v>
      </c>
      <c r="CX95" s="1">
        <f t="shared" ca="1" si="130"/>
        <v>6.3218697679178109E-3</v>
      </c>
      <c r="DH95" s="1">
        <f t="shared" ca="1" si="131"/>
        <v>710</v>
      </c>
      <c r="DI95" s="1">
        <f t="shared" ca="1" si="132"/>
        <v>0.46103373912405959</v>
      </c>
      <c r="DJ95" s="1">
        <f t="shared" ca="1" si="133"/>
        <v>2</v>
      </c>
      <c r="DL95" s="1">
        <f t="shared" ca="1" si="134"/>
        <v>1.4148726936586708E-2</v>
      </c>
      <c r="DM95" s="1">
        <f t="shared" ca="1" si="135"/>
        <v>119</v>
      </c>
      <c r="DN95" s="1">
        <f t="shared" ca="1" si="136"/>
        <v>1</v>
      </c>
    </row>
    <row r="96" spans="2:118" x14ac:dyDescent="0.25">
      <c r="B96">
        <f t="shared" ca="1" si="69"/>
        <v>583</v>
      </c>
      <c r="C96">
        <f t="shared" ca="1" si="70"/>
        <v>26</v>
      </c>
      <c r="D96">
        <f t="shared" ca="1" si="71"/>
        <v>0.20359784944896334</v>
      </c>
      <c r="F96" s="1">
        <f t="shared" ca="1" si="72"/>
        <v>16</v>
      </c>
      <c r="G96" s="1">
        <f t="shared" ca="1" si="73"/>
        <v>22</v>
      </c>
      <c r="H96" s="1">
        <f t="shared" ca="1" si="74"/>
        <v>8</v>
      </c>
      <c r="I96" s="1"/>
      <c r="J96" s="1">
        <f t="shared" ca="1" si="75"/>
        <v>27</v>
      </c>
      <c r="K96" s="1">
        <f t="shared" ca="1" si="76"/>
        <v>1.2229940476998686</v>
      </c>
      <c r="L96" s="1">
        <f t="shared" ca="1" si="77"/>
        <v>11</v>
      </c>
      <c r="M96" s="1"/>
      <c r="N96" s="1">
        <f t="shared" ca="1" si="78"/>
        <v>282</v>
      </c>
      <c r="O96" s="1">
        <f t="shared" ca="1" si="79"/>
        <v>42</v>
      </c>
      <c r="P96" s="1"/>
      <c r="Q96" s="1">
        <f t="shared" ca="1" si="80"/>
        <v>4.6355435230137427</v>
      </c>
      <c r="R96" s="1">
        <f t="shared" ca="1" si="81"/>
        <v>556</v>
      </c>
      <c r="S96" s="1"/>
      <c r="T96" s="1">
        <f t="shared" ca="1" si="82"/>
        <v>3.4369513459914819E-2</v>
      </c>
      <c r="U96" s="1">
        <f t="shared" ca="1" si="83"/>
        <v>167</v>
      </c>
      <c r="V96" s="1">
        <f t="shared" ca="1" si="84"/>
        <v>23</v>
      </c>
      <c r="W96" s="1"/>
      <c r="X96" s="1">
        <f t="shared" ca="1" si="85"/>
        <v>6.0230468932624808</v>
      </c>
      <c r="Y96" s="1">
        <f t="shared" ca="1" si="86"/>
        <v>0.63473513742925569</v>
      </c>
      <c r="Z96" s="1">
        <f t="shared" ca="1" si="87"/>
        <v>1048</v>
      </c>
      <c r="AB96" s="1">
        <f t="shared" ca="1" si="88"/>
        <v>0.13713640459889098</v>
      </c>
      <c r="AC96" s="1">
        <f t="shared" ca="1" si="89"/>
        <v>596</v>
      </c>
      <c r="AD96" s="1">
        <f t="shared" ca="1" si="90"/>
        <v>9.0909584956072142E-4</v>
      </c>
      <c r="AE96" s="1"/>
      <c r="AF96" s="1">
        <f t="shared" ca="1" si="91"/>
        <v>0.72895519137598874</v>
      </c>
      <c r="AG96" s="1">
        <f t="shared" ca="1" si="92"/>
        <v>231</v>
      </c>
      <c r="AH96" s="1">
        <f t="shared" ca="1" si="93"/>
        <v>7.1264990989686324E-3</v>
      </c>
      <c r="AJ96" s="1">
        <f t="shared" ca="1" si="94"/>
        <v>0.75311152858522945</v>
      </c>
      <c r="AK96" s="1">
        <f t="shared" ca="1" si="95"/>
        <v>3.1967369674665795E-4</v>
      </c>
      <c r="AL96" s="1"/>
      <c r="AM96" s="1">
        <f t="shared" ca="1" si="96"/>
        <v>7.2472441318879879E-2</v>
      </c>
      <c r="AN96" s="1">
        <f t="shared" ca="1" si="97"/>
        <v>43</v>
      </c>
      <c r="AO96" s="1">
        <f t="shared" ca="1" si="98"/>
        <v>14</v>
      </c>
      <c r="AQ96" s="1">
        <f t="shared" ca="1" si="99"/>
        <v>173</v>
      </c>
      <c r="AR96" s="1">
        <f t="shared" ca="1" si="100"/>
        <v>6</v>
      </c>
      <c r="AS96" s="1">
        <f t="shared" ca="1" si="101"/>
        <v>75</v>
      </c>
      <c r="AU96" s="1">
        <f t="shared" ca="1" si="102"/>
        <v>197</v>
      </c>
      <c r="AV96" s="1">
        <f t="shared" ca="1" si="103"/>
        <v>3</v>
      </c>
      <c r="AW96" s="1">
        <f t="shared" ca="1" si="104"/>
        <v>0.18611690110046106</v>
      </c>
      <c r="AY96" s="1">
        <f t="shared" ca="1" si="105"/>
        <v>1.6300724408460188</v>
      </c>
      <c r="AZ96" s="1">
        <f t="shared" ca="1" si="106"/>
        <v>477</v>
      </c>
      <c r="BA96" s="1">
        <f t="shared" ca="1" si="107"/>
        <v>9.2622086992782873E-3</v>
      </c>
      <c r="BG96" s="1">
        <f t="shared" ca="1" si="108"/>
        <v>0.74928076033100488</v>
      </c>
      <c r="BH96" s="1">
        <f t="shared" ca="1" si="109"/>
        <v>0.29954096000061858</v>
      </c>
      <c r="BI96" s="1">
        <f t="shared" ca="1" si="110"/>
        <v>934</v>
      </c>
      <c r="BV96" s="1">
        <f t="shared" ca="1" si="111"/>
        <v>0.69799147092040625</v>
      </c>
      <c r="BW96" s="1">
        <f t="shared" ca="1" si="112"/>
        <v>673</v>
      </c>
      <c r="BX96" s="1">
        <f t="shared" ca="1" si="113"/>
        <v>8.8285756180495768E-3</v>
      </c>
      <c r="BY96" s="1">
        <f t="shared" ca="1" si="114"/>
        <v>7.0298565175711855E-2</v>
      </c>
      <c r="BZ96" s="1">
        <f t="shared" ca="1" si="115"/>
        <v>0.98497891298542406</v>
      </c>
      <c r="CB96" s="1">
        <f t="shared" ca="1" si="116"/>
        <v>436</v>
      </c>
      <c r="CC96" s="1">
        <f t="shared" ca="1" si="117"/>
        <v>6</v>
      </c>
      <c r="CD96" s="1">
        <f t="shared" ca="1" si="118"/>
        <v>0.27281061542634694</v>
      </c>
      <c r="CE96" s="1">
        <f t="shared" ca="1" si="119"/>
        <v>0.86199002498743904</v>
      </c>
      <c r="CF96" s="1">
        <f t="shared" ca="1" si="119"/>
        <v>0.75362232378388749</v>
      </c>
      <c r="CH96" s="3">
        <f t="shared" ca="1" si="120"/>
        <v>0.93056541114865754</v>
      </c>
      <c r="CI96" s="3">
        <f t="shared" ca="1" si="121"/>
        <v>0.80629288766442142</v>
      </c>
      <c r="CJ96" s="3">
        <f t="shared" ca="1" si="122"/>
        <v>929</v>
      </c>
      <c r="CK96" s="3">
        <f t="shared" ca="1" si="123"/>
        <v>8.9781221091539219E-3</v>
      </c>
      <c r="CL96" s="3">
        <f t="shared" ca="1" si="124"/>
        <v>1</v>
      </c>
      <c r="CM96" s="3"/>
      <c r="CN96" s="1">
        <f t="shared" ca="1" si="125"/>
        <v>16.038860504942296</v>
      </c>
      <c r="CO96" s="1">
        <f t="shared" ca="1" si="126"/>
        <v>0.25626019358783408</v>
      </c>
      <c r="CP96" s="1">
        <f t="shared" ca="1" si="127"/>
        <v>4</v>
      </c>
      <c r="CV96" s="1">
        <f t="shared" ca="1" si="128"/>
        <v>0.96304799508646699</v>
      </c>
      <c r="CW96" s="1">
        <f t="shared" ca="1" si="129"/>
        <v>1071</v>
      </c>
      <c r="CX96" s="1">
        <f t="shared" ca="1" si="130"/>
        <v>7.7096879072610196E-3</v>
      </c>
      <c r="DH96" s="1">
        <f t="shared" ca="1" si="131"/>
        <v>211</v>
      </c>
      <c r="DI96" s="1">
        <f t="shared" ca="1" si="132"/>
        <v>3.1142221448580341E-2</v>
      </c>
      <c r="DJ96" s="1">
        <f t="shared" ca="1" si="133"/>
        <v>28</v>
      </c>
      <c r="DL96" s="1">
        <f t="shared" ca="1" si="134"/>
        <v>0.11708610898959394</v>
      </c>
      <c r="DM96" s="1">
        <f t="shared" ca="1" si="135"/>
        <v>85</v>
      </c>
      <c r="DN96" s="1">
        <f t="shared" ca="1" si="136"/>
        <v>5</v>
      </c>
    </row>
    <row r="97" spans="2:118" x14ac:dyDescent="0.25">
      <c r="B97">
        <f t="shared" ca="1" si="69"/>
        <v>409</v>
      </c>
      <c r="C97">
        <f t="shared" ca="1" si="70"/>
        <v>9</v>
      </c>
      <c r="D97">
        <f t="shared" ca="1" si="71"/>
        <v>9.9714276149671738E-2</v>
      </c>
      <c r="F97" s="1">
        <f t="shared" ca="1" si="72"/>
        <v>24</v>
      </c>
      <c r="G97" s="1">
        <f t="shared" ca="1" si="73"/>
        <v>22</v>
      </c>
      <c r="H97" s="1">
        <f t="shared" ca="1" si="74"/>
        <v>12</v>
      </c>
      <c r="I97" s="1"/>
      <c r="J97" s="1">
        <f t="shared" ca="1" si="75"/>
        <v>37</v>
      </c>
      <c r="K97" s="1">
        <f t="shared" ca="1" si="76"/>
        <v>1.0158356604100498</v>
      </c>
      <c r="L97" s="1">
        <f t="shared" ca="1" si="77"/>
        <v>12</v>
      </c>
      <c r="M97" s="1"/>
      <c r="N97" s="1">
        <f t="shared" ca="1" si="78"/>
        <v>576</v>
      </c>
      <c r="O97" s="1">
        <f t="shared" ca="1" si="79"/>
        <v>39</v>
      </c>
      <c r="P97" s="1"/>
      <c r="Q97" s="1">
        <f t="shared" ca="1" si="80"/>
        <v>3.5999075595564252</v>
      </c>
      <c r="R97" s="1">
        <f t="shared" ca="1" si="81"/>
        <v>950</v>
      </c>
      <c r="S97" s="1"/>
      <c r="T97" s="1">
        <f t="shared" ca="1" si="82"/>
        <v>4.5854746375877477E-2</v>
      </c>
      <c r="U97" s="1">
        <f t="shared" ca="1" si="83"/>
        <v>217</v>
      </c>
      <c r="V97" s="1">
        <f t="shared" ca="1" si="84"/>
        <v>16</v>
      </c>
      <c r="W97" s="1"/>
      <c r="X97" s="1">
        <f t="shared" ca="1" si="85"/>
        <v>3.9561835124432259</v>
      </c>
      <c r="Y97" s="1">
        <f t="shared" ca="1" si="86"/>
        <v>0.56733466723590431</v>
      </c>
      <c r="Z97" s="1">
        <f t="shared" ca="1" si="87"/>
        <v>1811</v>
      </c>
      <c r="AB97" s="1">
        <f t="shared" ca="1" si="88"/>
        <v>0.28348282879343323</v>
      </c>
      <c r="AC97" s="1">
        <f t="shared" ca="1" si="89"/>
        <v>914</v>
      </c>
      <c r="AD97" s="1">
        <f t="shared" ca="1" si="90"/>
        <v>9.7360969694427948E-3</v>
      </c>
      <c r="AE97" s="1"/>
      <c r="AF97" s="1">
        <f t="shared" ca="1" si="91"/>
        <v>0.19038557604874429</v>
      </c>
      <c r="AG97" s="1">
        <f t="shared" ca="1" si="92"/>
        <v>901</v>
      </c>
      <c r="AH97" s="1">
        <f t="shared" ca="1" si="93"/>
        <v>9.1503491164881059E-3</v>
      </c>
      <c r="AJ97" s="1">
        <f t="shared" ca="1" si="94"/>
        <v>0.56330419937396492</v>
      </c>
      <c r="AK97" s="1">
        <f t="shared" ca="1" si="95"/>
        <v>2.3839881790128645E-3</v>
      </c>
      <c r="AL97" s="1"/>
      <c r="AM97" s="1">
        <f t="shared" ca="1" si="96"/>
        <v>0.1236655991663673</v>
      </c>
      <c r="AN97" s="1">
        <f t="shared" ca="1" si="97"/>
        <v>46</v>
      </c>
      <c r="AO97" s="1">
        <f t="shared" ca="1" si="98"/>
        <v>8</v>
      </c>
      <c r="AQ97" s="1">
        <f t="shared" ca="1" si="99"/>
        <v>52</v>
      </c>
      <c r="AR97" s="1">
        <f t="shared" ca="1" si="100"/>
        <v>8</v>
      </c>
      <c r="AS97" s="1">
        <f t="shared" ca="1" si="101"/>
        <v>92</v>
      </c>
      <c r="AU97" s="1">
        <f t="shared" ca="1" si="102"/>
        <v>149</v>
      </c>
      <c r="AV97" s="1">
        <f t="shared" ca="1" si="103"/>
        <v>8</v>
      </c>
      <c r="AW97" s="1">
        <f t="shared" ca="1" si="104"/>
        <v>2.4883020414356229E-2</v>
      </c>
      <c r="AY97" s="1">
        <f t="shared" ca="1" si="105"/>
        <v>1.1721789512314338</v>
      </c>
      <c r="AZ97" s="1">
        <f t="shared" ca="1" si="106"/>
        <v>142</v>
      </c>
      <c r="BA97" s="1">
        <f t="shared" ca="1" si="107"/>
        <v>3.8049900826505256E-3</v>
      </c>
      <c r="BG97" s="1">
        <f t="shared" ca="1" si="108"/>
        <v>0.77029591375902118</v>
      </c>
      <c r="BH97" s="1">
        <f t="shared" ca="1" si="109"/>
        <v>0.61294389166319152</v>
      </c>
      <c r="BI97" s="1">
        <f t="shared" ca="1" si="110"/>
        <v>737</v>
      </c>
      <c r="BV97" s="1">
        <f t="shared" ca="1" si="111"/>
        <v>0.84407620587076759</v>
      </c>
      <c r="BW97" s="1">
        <f t="shared" ca="1" si="112"/>
        <v>277</v>
      </c>
      <c r="BX97" s="1">
        <f t="shared" ca="1" si="113"/>
        <v>2.9935364844185471E-3</v>
      </c>
      <c r="BY97" s="1">
        <f t="shared" ca="1" si="114"/>
        <v>6.0184506344111627E-2</v>
      </c>
      <c r="BZ97" s="1">
        <f t="shared" ca="1" si="115"/>
        <v>0.62282198574004011</v>
      </c>
      <c r="CB97" s="1">
        <f t="shared" ca="1" si="116"/>
        <v>481</v>
      </c>
      <c r="CC97" s="1">
        <f t="shared" ca="1" si="117"/>
        <v>13</v>
      </c>
      <c r="CD97" s="1">
        <f t="shared" ca="1" si="118"/>
        <v>8.1471185370807303E-2</v>
      </c>
      <c r="CE97" s="1">
        <f t="shared" ca="1" si="119"/>
        <v>0.93855741033876572</v>
      </c>
      <c r="CF97" s="1">
        <f t="shared" ca="1" si="119"/>
        <v>0.65010883408416309</v>
      </c>
      <c r="CH97" s="3">
        <f t="shared" ca="1" si="120"/>
        <v>0.91312057048401707</v>
      </c>
      <c r="CI97" s="3">
        <f t="shared" ca="1" si="121"/>
        <v>0.21338899763023716</v>
      </c>
      <c r="CJ97" s="3">
        <f t="shared" ca="1" si="122"/>
        <v>1164</v>
      </c>
      <c r="CK97" s="3">
        <f t="shared" ca="1" si="123"/>
        <v>3.5318760165458985E-3</v>
      </c>
      <c r="CL97" s="3">
        <f t="shared" ca="1" si="124"/>
        <v>0</v>
      </c>
      <c r="CM97" s="3"/>
      <c r="CN97" s="1">
        <f t="shared" ca="1" si="125"/>
        <v>18.286280755271356</v>
      </c>
      <c r="CO97" s="1">
        <f t="shared" ca="1" si="126"/>
        <v>0.36921957242568459</v>
      </c>
      <c r="CP97" s="1">
        <f t="shared" ca="1" si="127"/>
        <v>5</v>
      </c>
      <c r="CV97" s="1">
        <f t="shared" ca="1" si="128"/>
        <v>8.3875005188428062</v>
      </c>
      <c r="CW97" s="1">
        <f t="shared" ca="1" si="129"/>
        <v>147</v>
      </c>
      <c r="CX97" s="1">
        <f t="shared" ca="1" si="130"/>
        <v>9.805440618085328E-3</v>
      </c>
      <c r="DH97" s="1">
        <f t="shared" ca="1" si="131"/>
        <v>63</v>
      </c>
      <c r="DI97" s="1">
        <f t="shared" ca="1" si="132"/>
        <v>0.47122828111361142</v>
      </c>
      <c r="DJ97" s="1">
        <f t="shared" ca="1" si="133"/>
        <v>1</v>
      </c>
      <c r="DL97" s="1">
        <f t="shared" ca="1" si="134"/>
        <v>3.9029281464854217E-2</v>
      </c>
      <c r="DM97" s="1">
        <f t="shared" ca="1" si="135"/>
        <v>167</v>
      </c>
      <c r="DN97" s="1">
        <f t="shared" ca="1" si="136"/>
        <v>9</v>
      </c>
    </row>
    <row r="98" spans="2:118" x14ac:dyDescent="0.25">
      <c r="B98">
        <f t="shared" ca="1" si="69"/>
        <v>605</v>
      </c>
      <c r="C98">
        <f t="shared" ca="1" si="70"/>
        <v>45</v>
      </c>
      <c r="D98">
        <f t="shared" ca="1" si="71"/>
        <v>3.3047407748143798E-2</v>
      </c>
      <c r="F98" s="1">
        <f t="shared" ca="1" si="72"/>
        <v>4</v>
      </c>
      <c r="G98" s="1">
        <f t="shared" ca="1" si="73"/>
        <v>16</v>
      </c>
      <c r="H98" s="1">
        <f t="shared" ca="1" si="74"/>
        <v>10</v>
      </c>
      <c r="I98" s="1"/>
      <c r="J98" s="1">
        <f t="shared" ca="1" si="75"/>
        <v>33</v>
      </c>
      <c r="K98" s="1">
        <f t="shared" ca="1" si="76"/>
        <v>1.8157868414469172</v>
      </c>
      <c r="L98" s="1">
        <f t="shared" ca="1" si="77"/>
        <v>35</v>
      </c>
      <c r="M98" s="1"/>
      <c r="N98" s="1">
        <f t="shared" ca="1" si="78"/>
        <v>676</v>
      </c>
      <c r="O98" s="1">
        <f t="shared" ca="1" si="79"/>
        <v>47</v>
      </c>
      <c r="P98" s="1"/>
      <c r="Q98" s="1">
        <f t="shared" ca="1" si="80"/>
        <v>3.9319598102152273</v>
      </c>
      <c r="R98" s="1">
        <f t="shared" ca="1" si="81"/>
        <v>634</v>
      </c>
      <c r="S98" s="1"/>
      <c r="T98" s="1">
        <f t="shared" ca="1" si="82"/>
        <v>0.13350857729150564</v>
      </c>
      <c r="U98" s="1">
        <f t="shared" ca="1" si="83"/>
        <v>192</v>
      </c>
      <c r="V98" s="1">
        <f t="shared" ca="1" si="84"/>
        <v>37</v>
      </c>
      <c r="W98" s="1"/>
      <c r="X98" s="1">
        <f t="shared" ca="1" si="85"/>
        <v>1.8106900621061863</v>
      </c>
      <c r="Y98" s="1">
        <f t="shared" ca="1" si="86"/>
        <v>0.67134606990195433</v>
      </c>
      <c r="Z98" s="1">
        <f t="shared" ca="1" si="87"/>
        <v>1750</v>
      </c>
      <c r="AB98" s="1">
        <f t="shared" ca="1" si="88"/>
        <v>8.9259706865271571E-2</v>
      </c>
      <c r="AC98" s="1">
        <f t="shared" ca="1" si="89"/>
        <v>263</v>
      </c>
      <c r="AD98" s="1">
        <f t="shared" ca="1" si="90"/>
        <v>1.8905734807121461E-3</v>
      </c>
      <c r="AE98" s="1"/>
      <c r="AF98" s="1">
        <f t="shared" ca="1" si="91"/>
        <v>0.84644004590851929</v>
      </c>
      <c r="AG98" s="1">
        <f t="shared" ca="1" si="92"/>
        <v>812</v>
      </c>
      <c r="AH98" s="1">
        <f t="shared" ca="1" si="93"/>
        <v>4.5745980677759559E-3</v>
      </c>
      <c r="AJ98" s="1">
        <f t="shared" ca="1" si="94"/>
        <v>9.0725582949022443E-2</v>
      </c>
      <c r="AK98" s="1">
        <f t="shared" ca="1" si="95"/>
        <v>3.3568037792202658E-3</v>
      </c>
      <c r="AL98" s="1"/>
      <c r="AM98" s="1">
        <f t="shared" ca="1" si="96"/>
        <v>0.10861006846881588</v>
      </c>
      <c r="AN98" s="1">
        <f t="shared" ca="1" si="97"/>
        <v>53</v>
      </c>
      <c r="AO98" s="1">
        <f t="shared" ca="1" si="98"/>
        <v>2</v>
      </c>
      <c r="AQ98" s="1">
        <f t="shared" ca="1" si="99"/>
        <v>117</v>
      </c>
      <c r="AR98" s="1">
        <f t="shared" ca="1" si="100"/>
        <v>7</v>
      </c>
      <c r="AS98" s="1">
        <f t="shared" ca="1" si="101"/>
        <v>28</v>
      </c>
      <c r="AU98" s="1">
        <f t="shared" ca="1" si="102"/>
        <v>192</v>
      </c>
      <c r="AV98" s="1">
        <f t="shared" ca="1" si="103"/>
        <v>5</v>
      </c>
      <c r="AW98" s="1">
        <f t="shared" ca="1" si="104"/>
        <v>8.0179971795582922E-2</v>
      </c>
      <c r="AY98" s="1">
        <f t="shared" ca="1" si="105"/>
        <v>1.3733318575366473</v>
      </c>
      <c r="AZ98" s="1">
        <f t="shared" ca="1" si="106"/>
        <v>67</v>
      </c>
      <c r="BA98" s="1">
        <f t="shared" ca="1" si="107"/>
        <v>4.6528050399475759E-3</v>
      </c>
      <c r="BG98" s="1">
        <f t="shared" ca="1" si="108"/>
        <v>0.43192392795615775</v>
      </c>
      <c r="BH98" s="1">
        <f t="shared" ca="1" si="109"/>
        <v>0.76184639074855942</v>
      </c>
      <c r="BI98" s="1">
        <f t="shared" ca="1" si="110"/>
        <v>823</v>
      </c>
      <c r="BV98" s="1">
        <f t="shared" ca="1" si="111"/>
        <v>0.57776616390812763</v>
      </c>
      <c r="BW98" s="1">
        <f t="shared" ca="1" si="112"/>
        <v>363</v>
      </c>
      <c r="BX98" s="1">
        <f t="shared" ca="1" si="113"/>
        <v>6.4424932104507199E-3</v>
      </c>
      <c r="BY98" s="1">
        <f t="shared" ca="1" si="114"/>
        <v>8.2757827753089444E-2</v>
      </c>
      <c r="BZ98" s="1">
        <f t="shared" ca="1" si="115"/>
        <v>0.43082798397333977</v>
      </c>
      <c r="CB98" s="1">
        <f t="shared" ca="1" si="116"/>
        <v>362</v>
      </c>
      <c r="CC98" s="1">
        <f t="shared" ca="1" si="117"/>
        <v>8</v>
      </c>
      <c r="CD98" s="1">
        <f t="shared" ca="1" si="118"/>
        <v>0.17812215142858293</v>
      </c>
      <c r="CE98" s="1">
        <f t="shared" ca="1" si="119"/>
        <v>0.70653178458108012</v>
      </c>
      <c r="CF98" s="1">
        <f t="shared" ca="1" si="119"/>
        <v>0.66764830116703111</v>
      </c>
      <c r="CH98" s="3">
        <f t="shared" ca="1" si="120"/>
        <v>0.3390983559766646</v>
      </c>
      <c r="CI98" s="3">
        <f t="shared" ca="1" si="121"/>
        <v>0.35389798103660974</v>
      </c>
      <c r="CJ98" s="3">
        <f t="shared" ca="1" si="122"/>
        <v>242</v>
      </c>
      <c r="CK98" s="3">
        <f t="shared" ca="1" si="123"/>
        <v>4.8768620893434008E-3</v>
      </c>
      <c r="CL98" s="3">
        <f t="shared" ca="1" si="124"/>
        <v>1</v>
      </c>
      <c r="CM98" s="3"/>
      <c r="CN98" s="1">
        <f t="shared" ca="1" si="125"/>
        <v>13.21435277282608</v>
      </c>
      <c r="CO98" s="1">
        <f t="shared" ca="1" si="126"/>
        <v>5.542987482609988E-2</v>
      </c>
      <c r="CP98" s="1">
        <f t="shared" ca="1" si="127"/>
        <v>1</v>
      </c>
      <c r="CV98" s="1">
        <f t="shared" ca="1" si="128"/>
        <v>9.6372274155315054</v>
      </c>
      <c r="CW98" s="1">
        <f t="shared" ca="1" si="129"/>
        <v>679</v>
      </c>
      <c r="CX98" s="1">
        <f t="shared" ca="1" si="130"/>
        <v>1.4911516688025405E-3</v>
      </c>
      <c r="DH98" s="1">
        <f t="shared" ca="1" si="131"/>
        <v>46</v>
      </c>
      <c r="DI98" s="1">
        <f t="shared" ca="1" si="132"/>
        <v>0.40155515374199874</v>
      </c>
      <c r="DJ98" s="1">
        <f t="shared" ca="1" si="133"/>
        <v>14</v>
      </c>
      <c r="DL98" s="1">
        <f t="shared" ca="1" si="134"/>
        <v>2.5798003222487279E-2</v>
      </c>
      <c r="DM98" s="1">
        <f t="shared" ca="1" si="135"/>
        <v>122</v>
      </c>
      <c r="DN98" s="1">
        <f t="shared" ca="1" si="136"/>
        <v>3</v>
      </c>
    </row>
    <row r="99" spans="2:118" x14ac:dyDescent="0.25">
      <c r="B99">
        <f t="shared" ca="1" si="69"/>
        <v>730</v>
      </c>
      <c r="C99">
        <f t="shared" ca="1" si="70"/>
        <v>28</v>
      </c>
      <c r="D99">
        <f t="shared" ca="1" si="71"/>
        <v>0.1727932216354254</v>
      </c>
      <c r="F99" s="1">
        <f t="shared" ca="1" si="72"/>
        <v>19</v>
      </c>
      <c r="G99" s="1">
        <f t="shared" ca="1" si="73"/>
        <v>23</v>
      </c>
      <c r="H99" s="1">
        <f t="shared" ca="1" si="74"/>
        <v>15</v>
      </c>
      <c r="I99" s="1"/>
      <c r="J99" s="1">
        <f t="shared" ca="1" si="75"/>
        <v>19</v>
      </c>
      <c r="K99" s="1">
        <f t="shared" ca="1" si="76"/>
        <v>1.2769156555953178</v>
      </c>
      <c r="L99" s="1">
        <f t="shared" ca="1" si="77"/>
        <v>14</v>
      </c>
      <c r="M99" s="1"/>
      <c r="N99" s="1">
        <f t="shared" ca="1" si="78"/>
        <v>917</v>
      </c>
      <c r="O99" s="1">
        <f t="shared" ca="1" si="79"/>
        <v>7</v>
      </c>
      <c r="P99" s="1"/>
      <c r="Q99" s="1">
        <f t="shared" ca="1" si="80"/>
        <v>0.20958923340769184</v>
      </c>
      <c r="R99" s="1">
        <f t="shared" ca="1" si="81"/>
        <v>552</v>
      </c>
      <c r="S99" s="1"/>
      <c r="T99" s="1">
        <f t="shared" ca="1" si="82"/>
        <v>0.10445826702055065</v>
      </c>
      <c r="U99" s="1">
        <f t="shared" ca="1" si="83"/>
        <v>63</v>
      </c>
      <c r="V99" s="1">
        <f t="shared" ca="1" si="84"/>
        <v>35</v>
      </c>
      <c r="W99" s="1"/>
      <c r="X99" s="1">
        <f t="shared" ca="1" si="85"/>
        <v>5.5710723874338006</v>
      </c>
      <c r="Y99" s="1">
        <f t="shared" ca="1" si="86"/>
        <v>0.15533988881886407</v>
      </c>
      <c r="Z99" s="1">
        <f t="shared" ca="1" si="87"/>
        <v>1058</v>
      </c>
      <c r="AB99" s="1">
        <f t="shared" ca="1" si="88"/>
        <v>0.44235160812328678</v>
      </c>
      <c r="AC99" s="1">
        <f t="shared" ca="1" si="89"/>
        <v>428</v>
      </c>
      <c r="AD99" s="1">
        <f t="shared" ca="1" si="90"/>
        <v>3.5160613366452542E-3</v>
      </c>
      <c r="AE99" s="1"/>
      <c r="AF99" s="1">
        <f t="shared" ca="1" si="91"/>
        <v>0.66468171695121359</v>
      </c>
      <c r="AG99" s="1">
        <f t="shared" ca="1" si="92"/>
        <v>389</v>
      </c>
      <c r="AH99" s="1">
        <f t="shared" ca="1" si="93"/>
        <v>8.7790461812434599E-3</v>
      </c>
      <c r="AJ99" s="1">
        <f t="shared" ca="1" si="94"/>
        <v>0.40608546093460585</v>
      </c>
      <c r="AK99" s="1">
        <f t="shared" ca="1" si="95"/>
        <v>5.7703620385016821E-3</v>
      </c>
      <c r="AL99" s="1"/>
      <c r="AM99" s="1">
        <f t="shared" ca="1" si="96"/>
        <v>0.1626686175946673</v>
      </c>
      <c r="AN99" s="1">
        <f t="shared" ca="1" si="97"/>
        <v>38</v>
      </c>
      <c r="AO99" s="1">
        <f t="shared" ca="1" si="98"/>
        <v>10</v>
      </c>
      <c r="AQ99" s="1">
        <f t="shared" ca="1" si="99"/>
        <v>10</v>
      </c>
      <c r="AR99" s="1">
        <f t="shared" ca="1" si="100"/>
        <v>0</v>
      </c>
      <c r="AS99" s="1">
        <f t="shared" ca="1" si="101"/>
        <v>49</v>
      </c>
      <c r="AU99" s="1">
        <f t="shared" ca="1" si="102"/>
        <v>189</v>
      </c>
      <c r="AV99" s="1">
        <f t="shared" ca="1" si="103"/>
        <v>4</v>
      </c>
      <c r="AW99" s="1">
        <f t="shared" ca="1" si="104"/>
        <v>0.1220137095194213</v>
      </c>
      <c r="AY99" s="1">
        <f t="shared" ca="1" si="105"/>
        <v>1.3577953444821222</v>
      </c>
      <c r="AZ99" s="1">
        <f t="shared" ca="1" si="106"/>
        <v>252</v>
      </c>
      <c r="BA99" s="1">
        <f t="shared" ca="1" si="107"/>
        <v>5.1654334297604821E-3</v>
      </c>
      <c r="BG99" s="1">
        <f t="shared" ca="1" si="108"/>
        <v>0.2997762707203554</v>
      </c>
      <c r="BH99" s="1">
        <f t="shared" ca="1" si="109"/>
        <v>0.26495410653906437</v>
      </c>
      <c r="BI99" s="1">
        <f t="shared" ca="1" si="110"/>
        <v>544</v>
      </c>
      <c r="BV99" s="1">
        <f t="shared" ca="1" si="111"/>
        <v>0.61043977683995443</v>
      </c>
      <c r="BW99" s="1">
        <f t="shared" ca="1" si="112"/>
        <v>160</v>
      </c>
      <c r="BX99" s="1">
        <f t="shared" ca="1" si="113"/>
        <v>7.1483689670513986E-3</v>
      </c>
      <c r="BY99" s="1">
        <f t="shared" ca="1" si="114"/>
        <v>8.8020422851247712E-2</v>
      </c>
      <c r="BZ99" s="1">
        <f t="shared" ca="1" si="115"/>
        <v>1.9485487027249837E-3</v>
      </c>
      <c r="CB99" s="1">
        <f t="shared" ca="1" si="116"/>
        <v>90</v>
      </c>
      <c r="CC99" s="1">
        <f t="shared" ca="1" si="117"/>
        <v>12</v>
      </c>
      <c r="CD99" s="1">
        <f t="shared" ca="1" si="118"/>
        <v>0.27453313026614917</v>
      </c>
      <c r="CE99" s="1">
        <f t="shared" ca="1" si="119"/>
        <v>0.88100064955073498</v>
      </c>
      <c r="CF99" s="1">
        <f t="shared" ca="1" si="119"/>
        <v>0.86386750547345281</v>
      </c>
      <c r="CH99" s="3">
        <f t="shared" ca="1" si="120"/>
        <v>0.7867928510895017</v>
      </c>
      <c r="CI99" s="3">
        <f t="shared" ca="1" si="121"/>
        <v>0.51229988156276418</v>
      </c>
      <c r="CJ99" s="3">
        <f t="shared" ca="1" si="122"/>
        <v>381</v>
      </c>
      <c r="CK99" s="3">
        <f t="shared" ca="1" si="123"/>
        <v>1.8103978314462888E-3</v>
      </c>
      <c r="CL99" s="3">
        <f t="shared" ca="1" si="124"/>
        <v>1</v>
      </c>
      <c r="CM99" s="3"/>
      <c r="CN99" s="1">
        <f t="shared" ca="1" si="125"/>
        <v>16.093019496887319</v>
      </c>
      <c r="CO99" s="1">
        <f t="shared" ca="1" si="126"/>
        <v>0.25169455442673966</v>
      </c>
      <c r="CP99" s="1">
        <f t="shared" ca="1" si="127"/>
        <v>2</v>
      </c>
      <c r="CV99" s="1">
        <f t="shared" ca="1" si="128"/>
        <v>3.0561796228450051</v>
      </c>
      <c r="CW99" s="1">
        <f t="shared" ca="1" si="129"/>
        <v>1270</v>
      </c>
      <c r="CX99" s="1">
        <f t="shared" ca="1" si="130"/>
        <v>4.0498604139719944E-3</v>
      </c>
      <c r="DH99" s="1">
        <f t="shared" ca="1" si="131"/>
        <v>374</v>
      </c>
      <c r="DI99" s="1">
        <f t="shared" ca="1" si="132"/>
        <v>0.98953917609205178</v>
      </c>
      <c r="DJ99" s="1">
        <f t="shared" ca="1" si="133"/>
        <v>12</v>
      </c>
      <c r="DL99" s="1">
        <f t="shared" ca="1" si="134"/>
        <v>0.14395254693973955</v>
      </c>
      <c r="DM99" s="1">
        <f t="shared" ca="1" si="135"/>
        <v>176</v>
      </c>
      <c r="DN99" s="1">
        <f t="shared" ca="1" si="136"/>
        <v>9</v>
      </c>
    </row>
    <row r="100" spans="2:118" x14ac:dyDescent="0.25">
      <c r="B100">
        <f t="shared" ca="1" si="69"/>
        <v>624</v>
      </c>
      <c r="C100">
        <f t="shared" ca="1" si="70"/>
        <v>51</v>
      </c>
      <c r="D100">
        <f t="shared" ca="1" si="71"/>
        <v>5.3485921030990549E-2</v>
      </c>
      <c r="F100" s="1">
        <f t="shared" ca="1" si="72"/>
        <v>19</v>
      </c>
      <c r="G100" s="1">
        <f t="shared" ca="1" si="73"/>
        <v>28</v>
      </c>
      <c r="H100" s="1">
        <f t="shared" ca="1" si="74"/>
        <v>13</v>
      </c>
      <c r="I100" s="1"/>
      <c r="J100" s="1">
        <f t="shared" ca="1" si="75"/>
        <v>25</v>
      </c>
      <c r="K100" s="1">
        <f t="shared" ca="1" si="76"/>
        <v>1.4045225525091158</v>
      </c>
      <c r="L100" s="1">
        <f t="shared" ca="1" si="77"/>
        <v>28</v>
      </c>
      <c r="M100" s="1"/>
      <c r="N100" s="1">
        <f t="shared" ca="1" si="78"/>
        <v>388</v>
      </c>
      <c r="O100" s="1">
        <f t="shared" ca="1" si="79"/>
        <v>36</v>
      </c>
      <c r="P100" s="1"/>
      <c r="Q100" s="1">
        <f t="shared" ca="1" si="80"/>
        <v>0.63686322165785891</v>
      </c>
      <c r="R100" s="1">
        <f t="shared" ca="1" si="81"/>
        <v>754</v>
      </c>
      <c r="S100" s="1"/>
      <c r="T100" s="1">
        <f t="shared" ca="1" si="82"/>
        <v>0.10051285587718767</v>
      </c>
      <c r="U100" s="1">
        <f t="shared" ca="1" si="83"/>
        <v>81</v>
      </c>
      <c r="V100" s="1">
        <f t="shared" ca="1" si="84"/>
        <v>38</v>
      </c>
      <c r="W100" s="1"/>
      <c r="X100" s="1">
        <f t="shared" ca="1" si="85"/>
        <v>5.7682079016847805</v>
      </c>
      <c r="Y100" s="1">
        <f t="shared" ca="1" si="86"/>
        <v>0.34464298022152029</v>
      </c>
      <c r="Z100" s="1">
        <f t="shared" ca="1" si="87"/>
        <v>883</v>
      </c>
      <c r="AB100" s="1">
        <f t="shared" ca="1" si="88"/>
        <v>0.44659509143757459</v>
      </c>
      <c r="AC100" s="1">
        <f t="shared" ca="1" si="89"/>
        <v>266</v>
      </c>
      <c r="AD100" s="1">
        <f t="shared" ca="1" si="90"/>
        <v>3.3594264592692129E-3</v>
      </c>
      <c r="AE100" s="1"/>
      <c r="AF100" s="1">
        <f t="shared" ca="1" si="91"/>
        <v>0.26945640183726549</v>
      </c>
      <c r="AG100" s="1">
        <f t="shared" ca="1" si="92"/>
        <v>701</v>
      </c>
      <c r="AH100" s="1">
        <f t="shared" ca="1" si="93"/>
        <v>9.4142856463224809E-4</v>
      </c>
      <c r="AJ100" s="1">
        <f t="shared" ca="1" si="94"/>
        <v>0.13620387797248812</v>
      </c>
      <c r="AK100" s="1">
        <f t="shared" ca="1" si="95"/>
        <v>7.4955837615440482E-4</v>
      </c>
      <c r="AL100" s="1"/>
      <c r="AM100" s="1">
        <f t="shared" ca="1" si="96"/>
        <v>0.16081401789741603</v>
      </c>
      <c r="AN100" s="1">
        <f t="shared" ca="1" si="97"/>
        <v>21</v>
      </c>
      <c r="AO100" s="1">
        <f t="shared" ca="1" si="98"/>
        <v>11</v>
      </c>
      <c r="AQ100" s="1">
        <f t="shared" ca="1" si="99"/>
        <v>173</v>
      </c>
      <c r="AR100" s="1">
        <f t="shared" ca="1" si="100"/>
        <v>3</v>
      </c>
      <c r="AS100" s="1">
        <f t="shared" ca="1" si="101"/>
        <v>8</v>
      </c>
      <c r="AU100" s="1">
        <f t="shared" ca="1" si="102"/>
        <v>398</v>
      </c>
      <c r="AV100" s="1">
        <f t="shared" ca="1" si="103"/>
        <v>4</v>
      </c>
      <c r="AW100" s="1">
        <f t="shared" ca="1" si="104"/>
        <v>0.10494599637584887</v>
      </c>
      <c r="AY100" s="1">
        <f t="shared" ca="1" si="105"/>
        <v>1.9981710612365087</v>
      </c>
      <c r="AZ100" s="1">
        <f t="shared" ca="1" si="106"/>
        <v>435</v>
      </c>
      <c r="BA100" s="1">
        <f t="shared" ca="1" si="107"/>
        <v>9.7824765553016623E-3</v>
      </c>
      <c r="BG100" s="1">
        <f t="shared" ca="1" si="108"/>
        <v>0.41810742543452828</v>
      </c>
      <c r="BH100" s="1">
        <f t="shared" ca="1" si="109"/>
        <v>0.46373328506676237</v>
      </c>
      <c r="BI100" s="1">
        <f t="shared" ca="1" si="110"/>
        <v>416</v>
      </c>
      <c r="BV100" s="1">
        <f t="shared" ca="1" si="111"/>
        <v>0.53569959246948262</v>
      </c>
      <c r="BW100" s="1">
        <f t="shared" ca="1" si="112"/>
        <v>257</v>
      </c>
      <c r="BX100" s="1">
        <f t="shared" ca="1" si="113"/>
        <v>4.7963713334626019E-3</v>
      </c>
      <c r="BY100" s="1">
        <f t="shared" ca="1" si="114"/>
        <v>1.6001270063129978E-2</v>
      </c>
      <c r="BZ100" s="1">
        <f t="shared" ca="1" si="115"/>
        <v>3.731018685734766E-2</v>
      </c>
      <c r="CB100" s="1">
        <f t="shared" ca="1" si="116"/>
        <v>70</v>
      </c>
      <c r="CC100" s="1">
        <f t="shared" ca="1" si="117"/>
        <v>10</v>
      </c>
      <c r="CD100" s="1">
        <f t="shared" ca="1" si="118"/>
        <v>0.29705595001181356</v>
      </c>
      <c r="CE100" s="1">
        <f t="shared" ref="CE100:CF131" ca="1" si="137">RAND()*(1-0.5)+0.5</f>
        <v>0.88892083627236129</v>
      </c>
      <c r="CF100" s="1">
        <f t="shared" ca="1" si="137"/>
        <v>0.72552131668896858</v>
      </c>
      <c r="CH100" s="3">
        <f t="shared" ca="1" si="120"/>
        <v>0.40644685627816746</v>
      </c>
      <c r="CI100" s="3">
        <f t="shared" ca="1" si="121"/>
        <v>0.34913926426914249</v>
      </c>
      <c r="CJ100" s="3">
        <f t="shared" ca="1" si="122"/>
        <v>1839</v>
      </c>
      <c r="CK100" s="3">
        <f t="shared" ca="1" si="123"/>
        <v>1.2824150360390372E-4</v>
      </c>
      <c r="CL100" s="3">
        <f t="shared" ca="1" si="124"/>
        <v>1</v>
      </c>
      <c r="CM100" s="3"/>
      <c r="CN100" s="1">
        <f t="shared" ca="1" si="125"/>
        <v>10.113187293928338</v>
      </c>
      <c r="CO100" s="1">
        <f t="shared" ca="1" si="126"/>
        <v>0.39550369036282501</v>
      </c>
      <c r="CP100" s="1">
        <f t="shared" ca="1" si="127"/>
        <v>5</v>
      </c>
      <c r="CV100" s="1">
        <f t="shared" ca="1" si="128"/>
        <v>6.4912381040603044</v>
      </c>
      <c r="CW100" s="1">
        <f t="shared" ca="1" si="129"/>
        <v>284</v>
      </c>
      <c r="CX100" s="1">
        <f t="shared" ca="1" si="130"/>
        <v>1.0171544877557301E-3</v>
      </c>
      <c r="DH100" s="1">
        <f t="shared" ca="1" si="131"/>
        <v>423</v>
      </c>
      <c r="DI100" s="1">
        <f t="shared" ca="1" si="132"/>
        <v>0.25488589916013693</v>
      </c>
      <c r="DJ100" s="1">
        <f t="shared" ca="1" si="133"/>
        <v>29</v>
      </c>
      <c r="DL100" s="1">
        <f t="shared" ca="1" si="134"/>
        <v>0.16356674560265233</v>
      </c>
      <c r="DM100" s="1">
        <f t="shared" ca="1" si="135"/>
        <v>121</v>
      </c>
      <c r="DN100" s="1">
        <f t="shared" ca="1" si="136"/>
        <v>7</v>
      </c>
    </row>
    <row r="101" spans="2:118" x14ac:dyDescent="0.25">
      <c r="B101">
        <f t="shared" ca="1" si="69"/>
        <v>259</v>
      </c>
      <c r="C101">
        <f t="shared" ca="1" si="70"/>
        <v>7</v>
      </c>
      <c r="D101">
        <f t="shared" ca="1" si="71"/>
        <v>0.230030326828393</v>
      </c>
      <c r="F101" s="1">
        <f t="shared" ca="1" si="72"/>
        <v>48</v>
      </c>
      <c r="G101" s="1">
        <f t="shared" ca="1" si="73"/>
        <v>28</v>
      </c>
      <c r="H101" s="1">
        <f t="shared" ca="1" si="74"/>
        <v>14</v>
      </c>
      <c r="I101" s="1"/>
      <c r="J101" s="1">
        <f t="shared" ca="1" si="75"/>
        <v>8</v>
      </c>
      <c r="K101" s="1">
        <f t="shared" ca="1" si="76"/>
        <v>2.8159934113391873</v>
      </c>
      <c r="L101" s="1">
        <f t="shared" ca="1" si="77"/>
        <v>16</v>
      </c>
      <c r="M101" s="1"/>
      <c r="N101" s="1">
        <f t="shared" ca="1" si="78"/>
        <v>712</v>
      </c>
      <c r="O101" s="1">
        <f t="shared" ca="1" si="79"/>
        <v>27</v>
      </c>
      <c r="P101" s="1"/>
      <c r="Q101" s="1">
        <f t="shared" ca="1" si="80"/>
        <v>2.0325876254881812</v>
      </c>
      <c r="R101" s="1">
        <f t="shared" ca="1" si="81"/>
        <v>1177</v>
      </c>
      <c r="S101" s="1"/>
      <c r="T101" s="1">
        <f t="shared" ca="1" si="82"/>
        <v>0.17228083320731633</v>
      </c>
      <c r="U101" s="1">
        <f t="shared" ca="1" si="83"/>
        <v>413</v>
      </c>
      <c r="V101" s="1">
        <f t="shared" ca="1" si="84"/>
        <v>23</v>
      </c>
      <c r="W101" s="1"/>
      <c r="X101" s="1">
        <f t="shared" ca="1" si="85"/>
        <v>9.6184745569317887</v>
      </c>
      <c r="Y101" s="1">
        <f t="shared" ca="1" si="86"/>
        <v>8.0700309763165022E-3</v>
      </c>
      <c r="Z101" s="1">
        <f t="shared" ca="1" si="87"/>
        <v>260</v>
      </c>
      <c r="AB101" s="1">
        <f t="shared" ca="1" si="88"/>
        <v>0.14834032162168156</v>
      </c>
      <c r="AC101" s="1">
        <f t="shared" ca="1" si="89"/>
        <v>145</v>
      </c>
      <c r="AD101" s="1">
        <f t="shared" ca="1" si="90"/>
        <v>5.4781826904467014E-3</v>
      </c>
      <c r="AE101" s="1"/>
      <c r="AF101" s="1">
        <f t="shared" ca="1" si="91"/>
        <v>0.82161252165340559</v>
      </c>
      <c r="AG101" s="1">
        <f t="shared" ca="1" si="92"/>
        <v>154</v>
      </c>
      <c r="AH101" s="1">
        <f t="shared" ca="1" si="93"/>
        <v>1.3964534047526159E-3</v>
      </c>
      <c r="AJ101" s="1">
        <f t="shared" ca="1" si="94"/>
        <v>0.23881252096451788</v>
      </c>
      <c r="AK101" s="1">
        <f t="shared" ca="1" si="95"/>
        <v>5.1562713735765521E-3</v>
      </c>
      <c r="AL101" s="1"/>
      <c r="AM101" s="1">
        <f t="shared" ca="1" si="96"/>
        <v>6.7687777762309873E-2</v>
      </c>
      <c r="AN101" s="1">
        <f t="shared" ca="1" si="97"/>
        <v>50</v>
      </c>
      <c r="AO101" s="1">
        <f t="shared" ca="1" si="98"/>
        <v>14</v>
      </c>
      <c r="AQ101" s="1">
        <f t="shared" ca="1" si="99"/>
        <v>139</v>
      </c>
      <c r="AR101" s="1">
        <f t="shared" ca="1" si="100"/>
        <v>8</v>
      </c>
      <c r="AS101" s="1">
        <f t="shared" ca="1" si="101"/>
        <v>4</v>
      </c>
      <c r="AU101" s="1">
        <f t="shared" ca="1" si="102"/>
        <v>59</v>
      </c>
      <c r="AV101" s="1">
        <f t="shared" ca="1" si="103"/>
        <v>3</v>
      </c>
      <c r="AW101" s="1">
        <f t="shared" ca="1" si="104"/>
        <v>7.9337925310059537E-2</v>
      </c>
      <c r="AY101" s="1">
        <f t="shared" ca="1" si="105"/>
        <v>1.215438548040032</v>
      </c>
      <c r="AZ101" s="1">
        <f t="shared" ca="1" si="106"/>
        <v>110</v>
      </c>
      <c r="BA101" s="1">
        <f t="shared" ca="1" si="107"/>
        <v>3.9640643754347065E-3</v>
      </c>
      <c r="BG101" s="1">
        <f t="shared" ca="1" si="108"/>
        <v>0.24926426101911769</v>
      </c>
      <c r="BH101" s="1">
        <f t="shared" ca="1" si="109"/>
        <v>0.3218069223646518</v>
      </c>
      <c r="BI101" s="1">
        <f t="shared" ca="1" si="110"/>
        <v>112</v>
      </c>
      <c r="BV101" s="1">
        <f t="shared" ca="1" si="111"/>
        <v>0.31790720030392999</v>
      </c>
      <c r="BW101" s="1">
        <f t="shared" ca="1" si="112"/>
        <v>333</v>
      </c>
      <c r="BX101" s="1">
        <f t="shared" ca="1" si="113"/>
        <v>8.3903405180906932E-3</v>
      </c>
      <c r="BY101" s="1">
        <f t="shared" ca="1" si="114"/>
        <v>9.1039980354553924E-3</v>
      </c>
      <c r="BZ101" s="1">
        <f t="shared" ca="1" si="115"/>
        <v>0.21324342105188765</v>
      </c>
      <c r="CB101" s="1">
        <f t="shared" ca="1" si="116"/>
        <v>416</v>
      </c>
      <c r="CC101" s="1">
        <f t="shared" ca="1" si="117"/>
        <v>12</v>
      </c>
      <c r="CD101" s="1">
        <f t="shared" ca="1" si="118"/>
        <v>0.11154672789171972</v>
      </c>
      <c r="CE101" s="1">
        <f t="shared" ca="1" si="137"/>
        <v>0.91721432928606828</v>
      </c>
      <c r="CF101" s="1">
        <f t="shared" ca="1" si="137"/>
        <v>0.82680726439028462</v>
      </c>
      <c r="CH101" s="3">
        <f t="shared" ca="1" si="120"/>
        <v>0.43214379127204161</v>
      </c>
      <c r="CI101" s="3">
        <f t="shared" ca="1" si="121"/>
        <v>0.2512051902603874</v>
      </c>
      <c r="CJ101" s="3">
        <f t="shared" ca="1" si="122"/>
        <v>629</v>
      </c>
      <c r="CK101" s="3">
        <f t="shared" ca="1" si="123"/>
        <v>8.6026295445581456E-3</v>
      </c>
      <c r="CL101" s="3">
        <f t="shared" ca="1" si="124"/>
        <v>0</v>
      </c>
      <c r="CM101" s="3"/>
      <c r="CN101" s="1">
        <f t="shared" ca="1" si="125"/>
        <v>18.517984715756103</v>
      </c>
      <c r="CO101" s="1">
        <f t="shared" ca="1" si="126"/>
        <v>0.10278805174580771</v>
      </c>
      <c r="CP101" s="1">
        <f t="shared" ca="1" si="127"/>
        <v>1</v>
      </c>
      <c r="CV101" s="1">
        <f t="shared" ca="1" si="128"/>
        <v>9.4159447172638551</v>
      </c>
      <c r="CW101" s="1">
        <f t="shared" ca="1" si="129"/>
        <v>1907</v>
      </c>
      <c r="CX101" s="1">
        <f t="shared" ca="1" si="130"/>
        <v>3.1942194863305959E-3</v>
      </c>
      <c r="DH101" s="1">
        <f t="shared" ca="1" si="131"/>
        <v>709</v>
      </c>
      <c r="DI101" s="1">
        <f t="shared" ca="1" si="132"/>
        <v>0.81812723751587646</v>
      </c>
      <c r="DJ101" s="1">
        <f t="shared" ca="1" si="133"/>
        <v>13</v>
      </c>
      <c r="DL101" s="1">
        <f t="shared" ca="1" si="134"/>
        <v>0.17690439217893192</v>
      </c>
      <c r="DM101" s="1">
        <f t="shared" ca="1" si="135"/>
        <v>67</v>
      </c>
      <c r="DN101" s="1">
        <f t="shared" ca="1" si="136"/>
        <v>5</v>
      </c>
    </row>
    <row r="102" spans="2:118" x14ac:dyDescent="0.25">
      <c r="B102">
        <f t="shared" ca="1" si="69"/>
        <v>745</v>
      </c>
      <c r="C102">
        <f t="shared" ca="1" si="70"/>
        <v>20</v>
      </c>
      <c r="D102">
        <f t="shared" ca="1" si="71"/>
        <v>1.2407440340207253E-2</v>
      </c>
      <c r="F102" s="1">
        <f t="shared" ca="1" si="72"/>
        <v>25</v>
      </c>
      <c r="G102" s="1">
        <f t="shared" ca="1" si="73"/>
        <v>12</v>
      </c>
      <c r="H102" s="1">
        <f t="shared" ca="1" si="74"/>
        <v>8</v>
      </c>
      <c r="I102" s="1"/>
      <c r="J102" s="1">
        <f t="shared" ca="1" si="75"/>
        <v>7</v>
      </c>
      <c r="K102" s="1">
        <f t="shared" ca="1" si="76"/>
        <v>2.4250927890065057</v>
      </c>
      <c r="L102" s="1">
        <f t="shared" ca="1" si="77"/>
        <v>3</v>
      </c>
      <c r="M102" s="1"/>
      <c r="N102" s="1">
        <f t="shared" ca="1" si="78"/>
        <v>962</v>
      </c>
      <c r="O102" s="1">
        <f t="shared" ca="1" si="79"/>
        <v>30</v>
      </c>
      <c r="P102" s="1"/>
      <c r="Q102" s="1">
        <f t="shared" ca="1" si="80"/>
        <v>1.7317812119395979</v>
      </c>
      <c r="R102" s="1">
        <f t="shared" ca="1" si="81"/>
        <v>514</v>
      </c>
      <c r="S102" s="1"/>
      <c r="T102" s="1">
        <f t="shared" ca="1" si="82"/>
        <v>0.16194411947824883</v>
      </c>
      <c r="U102" s="1">
        <f t="shared" ca="1" si="83"/>
        <v>62</v>
      </c>
      <c r="V102" s="1">
        <f t="shared" ca="1" si="84"/>
        <v>23</v>
      </c>
      <c r="W102" s="1"/>
      <c r="X102" s="1">
        <f t="shared" ca="1" si="85"/>
        <v>9.5671054851777413</v>
      </c>
      <c r="Y102" s="1">
        <f t="shared" ca="1" si="86"/>
        <v>0.6873863523217274</v>
      </c>
      <c r="Z102" s="1">
        <f t="shared" ca="1" si="87"/>
        <v>164</v>
      </c>
      <c r="AB102" s="1">
        <f t="shared" ca="1" si="88"/>
        <v>0.61125659089029405</v>
      </c>
      <c r="AC102" s="1">
        <f t="shared" ca="1" si="89"/>
        <v>736</v>
      </c>
      <c r="AD102" s="1">
        <f t="shared" ca="1" si="90"/>
        <v>8.1831608769385757E-3</v>
      </c>
      <c r="AE102" s="1"/>
      <c r="AF102" s="1">
        <f t="shared" ca="1" si="91"/>
        <v>0.75992180710149737</v>
      </c>
      <c r="AG102" s="1">
        <f t="shared" ca="1" si="92"/>
        <v>557</v>
      </c>
      <c r="AH102" s="1">
        <f t="shared" ca="1" si="93"/>
        <v>2.0290114575350967E-4</v>
      </c>
      <c r="AJ102" s="1">
        <f t="shared" ca="1" si="94"/>
        <v>0.10905091961014213</v>
      </c>
      <c r="AK102" s="1">
        <f t="shared" ca="1" si="95"/>
        <v>8.530635316896731E-3</v>
      </c>
      <c r="AL102" s="1"/>
      <c r="AM102" s="1">
        <f t="shared" ca="1" si="96"/>
        <v>8.4017221699628358E-2</v>
      </c>
      <c r="AN102" s="1">
        <f t="shared" ca="1" si="97"/>
        <v>77</v>
      </c>
      <c r="AO102" s="1">
        <f t="shared" ca="1" si="98"/>
        <v>8</v>
      </c>
      <c r="AQ102" s="1">
        <f t="shared" ca="1" si="99"/>
        <v>169</v>
      </c>
      <c r="AR102" s="1">
        <f t="shared" ca="1" si="100"/>
        <v>3</v>
      </c>
      <c r="AS102" s="1">
        <f t="shared" ca="1" si="101"/>
        <v>27</v>
      </c>
      <c r="AU102" s="1">
        <f t="shared" ca="1" si="102"/>
        <v>150</v>
      </c>
      <c r="AV102" s="1">
        <f t="shared" ca="1" si="103"/>
        <v>9</v>
      </c>
      <c r="AW102" s="1">
        <f t="shared" ca="1" si="104"/>
        <v>4.5610643248378831E-2</v>
      </c>
      <c r="AY102" s="1">
        <f t="shared" ca="1" si="105"/>
        <v>1.6029747462834771</v>
      </c>
      <c r="AZ102" s="1">
        <f t="shared" ca="1" si="106"/>
        <v>499</v>
      </c>
      <c r="BA102" s="1">
        <f t="shared" ca="1" si="107"/>
        <v>6.9462208867004183E-3</v>
      </c>
      <c r="BG102" s="1">
        <f t="shared" ca="1" si="108"/>
        <v>0.76070951339292048</v>
      </c>
      <c r="BH102" s="1">
        <f t="shared" ca="1" si="109"/>
        <v>0.68346223553337915</v>
      </c>
      <c r="BI102" s="1">
        <f t="shared" ca="1" si="110"/>
        <v>610</v>
      </c>
      <c r="BV102" s="1">
        <f t="shared" ca="1" si="111"/>
        <v>0.42022840194124522</v>
      </c>
      <c r="BW102" s="1">
        <f t="shared" ca="1" si="112"/>
        <v>718</v>
      </c>
      <c r="BX102" s="1">
        <f t="shared" ca="1" si="113"/>
        <v>5.7573943193302514E-3</v>
      </c>
      <c r="BY102" s="1">
        <f t="shared" ca="1" si="114"/>
        <v>9.4484896527025214E-2</v>
      </c>
      <c r="BZ102" s="1">
        <f t="shared" ca="1" si="115"/>
        <v>0.36612939331377614</v>
      </c>
      <c r="CB102" s="1">
        <f t="shared" ca="1" si="116"/>
        <v>168</v>
      </c>
      <c r="CC102" s="1">
        <f t="shared" ca="1" si="117"/>
        <v>4</v>
      </c>
      <c r="CD102" s="1">
        <f t="shared" ca="1" si="118"/>
        <v>0.10013453654897737</v>
      </c>
      <c r="CE102" s="1">
        <f t="shared" ca="1" si="137"/>
        <v>0.76321263491019764</v>
      </c>
      <c r="CF102" s="1">
        <f t="shared" ca="1" si="137"/>
        <v>0.78097570998691346</v>
      </c>
      <c r="CH102" s="3">
        <f t="shared" ca="1" si="120"/>
        <v>2.5622186835529252E-2</v>
      </c>
      <c r="CI102" s="3">
        <f t="shared" ca="1" si="121"/>
        <v>0.15924294702890887</v>
      </c>
      <c r="CJ102" s="3">
        <f t="shared" ca="1" si="122"/>
        <v>1222</v>
      </c>
      <c r="CK102" s="3">
        <f t="shared" ca="1" si="123"/>
        <v>6.2267537134360115E-3</v>
      </c>
      <c r="CL102" s="3">
        <f t="shared" ca="1" si="124"/>
        <v>0</v>
      </c>
      <c r="CM102" s="3"/>
      <c r="CN102" s="1">
        <f t="shared" ca="1" si="125"/>
        <v>11.766411569200582</v>
      </c>
      <c r="CO102" s="1">
        <f t="shared" ca="1" si="126"/>
        <v>6.0881115723638753E-2</v>
      </c>
      <c r="CP102" s="1">
        <f t="shared" ca="1" si="127"/>
        <v>2</v>
      </c>
      <c r="CV102" s="1">
        <f t="shared" ca="1" si="128"/>
        <v>5.868284733440551</v>
      </c>
      <c r="CW102" s="1">
        <f t="shared" ca="1" si="129"/>
        <v>309</v>
      </c>
      <c r="CX102" s="1">
        <f t="shared" ca="1" si="130"/>
        <v>5.1512034361541844E-4</v>
      </c>
      <c r="DH102" s="1">
        <f t="shared" ca="1" si="131"/>
        <v>41</v>
      </c>
      <c r="DI102" s="1">
        <f t="shared" ca="1" si="132"/>
        <v>0.21013996120833489</v>
      </c>
      <c r="DJ102" s="1">
        <f t="shared" ca="1" si="133"/>
        <v>26</v>
      </c>
      <c r="DL102" s="1">
        <f t="shared" ca="1" si="134"/>
        <v>2.620540594814913E-2</v>
      </c>
      <c r="DM102" s="1">
        <f t="shared" ca="1" si="135"/>
        <v>66</v>
      </c>
      <c r="DN102" s="1">
        <f t="shared" ca="1" si="136"/>
        <v>7</v>
      </c>
    </row>
    <row r="103" spans="2:118" x14ac:dyDescent="0.25">
      <c r="B103">
        <f t="shared" ca="1" si="69"/>
        <v>617</v>
      </c>
      <c r="C103">
        <f t="shared" ca="1" si="70"/>
        <v>21</v>
      </c>
      <c r="D103">
        <f t="shared" ca="1" si="71"/>
        <v>0.13269007891769302</v>
      </c>
      <c r="F103" s="1">
        <f t="shared" ca="1" si="72"/>
        <v>39</v>
      </c>
      <c r="G103" s="1">
        <f t="shared" ca="1" si="73"/>
        <v>9</v>
      </c>
      <c r="H103" s="1">
        <f t="shared" ca="1" si="74"/>
        <v>10</v>
      </c>
      <c r="I103" s="1"/>
      <c r="J103" s="1">
        <f t="shared" ca="1" si="75"/>
        <v>2</v>
      </c>
      <c r="K103" s="1">
        <f t="shared" ca="1" si="76"/>
        <v>2.6673352496165403</v>
      </c>
      <c r="L103" s="1">
        <f t="shared" ca="1" si="77"/>
        <v>9</v>
      </c>
      <c r="M103" s="1"/>
      <c r="N103" s="1">
        <f t="shared" ca="1" si="78"/>
        <v>605</v>
      </c>
      <c r="O103" s="1">
        <f t="shared" ca="1" si="79"/>
        <v>12</v>
      </c>
      <c r="P103" s="1"/>
      <c r="Q103" s="1">
        <f t="shared" ca="1" si="80"/>
        <v>4.2684012167742553</v>
      </c>
      <c r="R103" s="1">
        <f t="shared" ca="1" si="81"/>
        <v>1112</v>
      </c>
      <c r="S103" s="1"/>
      <c r="T103" s="1">
        <f t="shared" ca="1" si="82"/>
        <v>0.12780478510622661</v>
      </c>
      <c r="U103" s="1">
        <f t="shared" ca="1" si="83"/>
        <v>238</v>
      </c>
      <c r="V103" s="1">
        <f t="shared" ca="1" si="84"/>
        <v>9</v>
      </c>
      <c r="W103" s="1"/>
      <c r="X103" s="1">
        <f t="shared" ca="1" si="85"/>
        <v>9.0132229838556022</v>
      </c>
      <c r="Y103" s="1">
        <f t="shared" ca="1" si="86"/>
        <v>0.86860881216694108</v>
      </c>
      <c r="Z103" s="1">
        <f t="shared" ca="1" si="87"/>
        <v>1250</v>
      </c>
      <c r="AB103" s="1">
        <f t="shared" ca="1" si="88"/>
        <v>0.45852942954889109</v>
      </c>
      <c r="AC103" s="1">
        <f t="shared" ca="1" si="89"/>
        <v>116</v>
      </c>
      <c r="AD103" s="1">
        <f t="shared" ca="1" si="90"/>
        <v>7.8410059279235174E-3</v>
      </c>
      <c r="AE103" s="1"/>
      <c r="AF103" s="1">
        <f t="shared" ca="1" si="91"/>
        <v>0.28196861114549848</v>
      </c>
      <c r="AG103" s="1">
        <f t="shared" ca="1" si="92"/>
        <v>273</v>
      </c>
      <c r="AH103" s="1">
        <f t="shared" ca="1" si="93"/>
        <v>2.6276260265004794E-3</v>
      </c>
      <c r="AJ103" s="1">
        <f t="shared" ca="1" si="94"/>
        <v>0.42216188767087304</v>
      </c>
      <c r="AK103" s="1">
        <f t="shared" ca="1" si="95"/>
        <v>2.7529812033014974E-3</v>
      </c>
      <c r="AL103" s="1"/>
      <c r="AM103" s="1">
        <f t="shared" ca="1" si="96"/>
        <v>0.14172838784880193</v>
      </c>
      <c r="AN103" s="1">
        <f t="shared" ca="1" si="97"/>
        <v>66</v>
      </c>
      <c r="AO103" s="1">
        <f t="shared" ca="1" si="98"/>
        <v>13</v>
      </c>
      <c r="AQ103" s="1">
        <f t="shared" ca="1" si="99"/>
        <v>182</v>
      </c>
      <c r="AR103" s="1">
        <f t="shared" ca="1" si="100"/>
        <v>4</v>
      </c>
      <c r="AS103" s="1">
        <f t="shared" ca="1" si="101"/>
        <v>79</v>
      </c>
      <c r="AU103" s="1">
        <f t="shared" ca="1" si="102"/>
        <v>178</v>
      </c>
      <c r="AV103" s="1">
        <f t="shared" ca="1" si="103"/>
        <v>3</v>
      </c>
      <c r="AW103" s="1">
        <f t="shared" ca="1" si="104"/>
        <v>0.12193986423285881</v>
      </c>
      <c r="AY103" s="1">
        <f t="shared" ca="1" si="105"/>
        <v>1.2834663657496725</v>
      </c>
      <c r="AZ103" s="1">
        <f t="shared" ca="1" si="106"/>
        <v>96</v>
      </c>
      <c r="BA103" s="1">
        <f t="shared" ca="1" si="107"/>
        <v>6.396866516228273E-3</v>
      </c>
      <c r="BG103" s="1">
        <f t="shared" ca="1" si="108"/>
        <v>7.6863829015807059E-2</v>
      </c>
      <c r="BH103" s="1">
        <f t="shared" ca="1" si="109"/>
        <v>9.119875835406277E-2</v>
      </c>
      <c r="BI103" s="1">
        <f t="shared" ca="1" si="110"/>
        <v>617</v>
      </c>
      <c r="BV103" s="1">
        <f t="shared" ca="1" si="111"/>
        <v>0.69087733147887254</v>
      </c>
      <c r="BW103" s="1">
        <f t="shared" ca="1" si="112"/>
        <v>670</v>
      </c>
      <c r="BX103" s="1">
        <f t="shared" ca="1" si="113"/>
        <v>4.2750973489664437E-3</v>
      </c>
      <c r="BY103" s="1">
        <f t="shared" ca="1" si="114"/>
        <v>1.3537974285249469E-2</v>
      </c>
      <c r="BZ103" s="1">
        <f t="shared" ca="1" si="115"/>
        <v>0.63250738083481961</v>
      </c>
      <c r="CB103" s="1">
        <f t="shared" ca="1" si="116"/>
        <v>499</v>
      </c>
      <c r="CC103" s="1">
        <f t="shared" ca="1" si="117"/>
        <v>7</v>
      </c>
      <c r="CD103" s="1">
        <f t="shared" ca="1" si="118"/>
        <v>0.16799355211124475</v>
      </c>
      <c r="CE103" s="1">
        <f t="shared" ca="1" si="137"/>
        <v>0.92603219726800012</v>
      </c>
      <c r="CF103" s="1">
        <f t="shared" ca="1" si="137"/>
        <v>0.74874229787095326</v>
      </c>
      <c r="CH103" s="3">
        <f t="shared" ca="1" si="120"/>
        <v>0.98411244362851424</v>
      </c>
      <c r="CI103" s="3">
        <f t="shared" ca="1" si="121"/>
        <v>0.95068871937354527</v>
      </c>
      <c r="CJ103" s="3">
        <f t="shared" ca="1" si="122"/>
        <v>1376</v>
      </c>
      <c r="CK103" s="3">
        <f t="shared" ca="1" si="123"/>
        <v>3.9758788685030303E-3</v>
      </c>
      <c r="CL103" s="3">
        <f t="shared" ca="1" si="124"/>
        <v>1</v>
      </c>
      <c r="CM103" s="3"/>
      <c r="CN103" s="1">
        <f t="shared" ca="1" si="125"/>
        <v>12.142472725878763</v>
      </c>
      <c r="CO103" s="1">
        <f t="shared" ca="1" si="126"/>
        <v>0.21867944921289056</v>
      </c>
      <c r="CP103" s="1">
        <f t="shared" ca="1" si="127"/>
        <v>1</v>
      </c>
      <c r="CV103" s="1">
        <f t="shared" ca="1" si="128"/>
        <v>6.2656475655670878</v>
      </c>
      <c r="CW103" s="1">
        <f t="shared" ca="1" si="129"/>
        <v>1301</v>
      </c>
      <c r="CX103" s="1">
        <f t="shared" ca="1" si="130"/>
        <v>3.6041200445972556E-4</v>
      </c>
      <c r="DH103" s="1">
        <f t="shared" ca="1" si="131"/>
        <v>461</v>
      </c>
      <c r="DI103" s="1">
        <f t="shared" ca="1" si="132"/>
        <v>0.93130941528269551</v>
      </c>
      <c r="DJ103" s="1">
        <f t="shared" ca="1" si="133"/>
        <v>5</v>
      </c>
      <c r="DL103" s="1">
        <f t="shared" ca="1" si="134"/>
        <v>4.318531967355644E-2</v>
      </c>
      <c r="DM103" s="1">
        <f t="shared" ca="1" si="135"/>
        <v>217</v>
      </c>
      <c r="DN103" s="1">
        <f t="shared" ca="1" si="136"/>
        <v>5</v>
      </c>
    </row>
    <row r="104" spans="2:118" x14ac:dyDescent="0.25">
      <c r="B104">
        <f t="shared" ca="1" si="69"/>
        <v>283</v>
      </c>
      <c r="C104">
        <f t="shared" ca="1" si="70"/>
        <v>2</v>
      </c>
      <c r="D104">
        <f t="shared" ca="1" si="71"/>
        <v>0.29008506980058774</v>
      </c>
      <c r="F104" s="1">
        <f t="shared" ca="1" si="72"/>
        <v>34</v>
      </c>
      <c r="G104" s="1">
        <f t="shared" ca="1" si="73"/>
        <v>22</v>
      </c>
      <c r="H104" s="1">
        <f t="shared" ca="1" si="74"/>
        <v>7</v>
      </c>
      <c r="I104" s="1"/>
      <c r="J104" s="1">
        <f t="shared" ca="1" si="75"/>
        <v>21</v>
      </c>
      <c r="K104" s="1">
        <f t="shared" ca="1" si="76"/>
        <v>1.9301645852678031</v>
      </c>
      <c r="L104" s="1">
        <f t="shared" ca="1" si="77"/>
        <v>24</v>
      </c>
      <c r="M104" s="1"/>
      <c r="N104" s="1">
        <f t="shared" ca="1" si="78"/>
        <v>124</v>
      </c>
      <c r="O104" s="1">
        <f t="shared" ca="1" si="79"/>
        <v>14</v>
      </c>
      <c r="P104" s="1"/>
      <c r="Q104" s="1">
        <f t="shared" ca="1" si="80"/>
        <v>3.8793366850334801</v>
      </c>
      <c r="R104" s="1">
        <f t="shared" ca="1" si="81"/>
        <v>863</v>
      </c>
      <c r="S104" s="1"/>
      <c r="T104" s="1">
        <f t="shared" ca="1" si="82"/>
        <v>3.6175279907318163E-2</v>
      </c>
      <c r="U104" s="1">
        <f t="shared" ca="1" si="83"/>
        <v>96</v>
      </c>
      <c r="V104" s="1">
        <f t="shared" ca="1" si="84"/>
        <v>18</v>
      </c>
      <c r="W104" s="1"/>
      <c r="X104" s="1">
        <f t="shared" ca="1" si="85"/>
        <v>1.3426275087107591</v>
      </c>
      <c r="Y104" s="1">
        <f t="shared" ca="1" si="86"/>
        <v>0.56249877272814508</v>
      </c>
      <c r="Z104" s="1">
        <f t="shared" ca="1" si="87"/>
        <v>943</v>
      </c>
      <c r="AB104" s="1">
        <f t="shared" ca="1" si="88"/>
        <v>0.51659427443511952</v>
      </c>
      <c r="AC104" s="1">
        <f t="shared" ca="1" si="89"/>
        <v>434</v>
      </c>
      <c r="AD104" s="1">
        <f t="shared" ca="1" si="90"/>
        <v>8.1701263911788111E-4</v>
      </c>
      <c r="AE104" s="1"/>
      <c r="AF104" s="1">
        <f t="shared" ca="1" si="91"/>
        <v>0.57394516378701499</v>
      </c>
      <c r="AG104" s="1">
        <f t="shared" ca="1" si="92"/>
        <v>418</v>
      </c>
      <c r="AH104" s="1">
        <f t="shared" ca="1" si="93"/>
        <v>8.1680499815561438E-3</v>
      </c>
      <c r="AJ104" s="1">
        <f t="shared" ca="1" si="94"/>
        <v>0.43205325323939048</v>
      </c>
      <c r="AK104" s="1">
        <f t="shared" ca="1" si="95"/>
        <v>3.520708436335221E-3</v>
      </c>
      <c r="AL104" s="1"/>
      <c r="AM104" s="1">
        <f t="shared" ca="1" si="96"/>
        <v>0.12029445426752579</v>
      </c>
      <c r="AN104" s="1">
        <f t="shared" ca="1" si="97"/>
        <v>34</v>
      </c>
      <c r="AO104" s="1">
        <f t="shared" ca="1" si="98"/>
        <v>8</v>
      </c>
      <c r="AQ104" s="1">
        <f t="shared" ca="1" si="99"/>
        <v>67</v>
      </c>
      <c r="AR104" s="1">
        <f t="shared" ca="1" si="100"/>
        <v>9</v>
      </c>
      <c r="AS104" s="1">
        <f t="shared" ca="1" si="101"/>
        <v>4</v>
      </c>
      <c r="AU104" s="1">
        <f t="shared" ca="1" si="102"/>
        <v>128</v>
      </c>
      <c r="AV104" s="1">
        <f t="shared" ca="1" si="103"/>
        <v>4</v>
      </c>
      <c r="AW104" s="1">
        <f t="shared" ca="1" si="104"/>
        <v>0.17544081790030022</v>
      </c>
      <c r="AY104" s="1">
        <f t="shared" ca="1" si="105"/>
        <v>1.8461794313999258</v>
      </c>
      <c r="AZ104" s="1">
        <f t="shared" ca="1" si="106"/>
        <v>168</v>
      </c>
      <c r="BA104" s="1">
        <f t="shared" ca="1" si="107"/>
        <v>8.0140613100097777E-3</v>
      </c>
      <c r="BG104" s="1">
        <f t="shared" ca="1" si="108"/>
        <v>0.12814110926858854</v>
      </c>
      <c r="BH104" s="1">
        <f t="shared" ca="1" si="109"/>
        <v>0.36248226637306735</v>
      </c>
      <c r="BI104" s="1">
        <f t="shared" ca="1" si="110"/>
        <v>526</v>
      </c>
      <c r="BV104" s="1">
        <f t="shared" ca="1" si="111"/>
        <v>0.51305945920902984</v>
      </c>
      <c r="BW104" s="1">
        <f t="shared" ca="1" si="112"/>
        <v>901</v>
      </c>
      <c r="BX104" s="1">
        <f t="shared" ca="1" si="113"/>
        <v>6.5914271580488947E-3</v>
      </c>
      <c r="BY104" s="1">
        <f t="shared" ca="1" si="114"/>
        <v>5.5782121563291057E-2</v>
      </c>
      <c r="BZ104" s="1">
        <f t="shared" ca="1" si="115"/>
        <v>0.4382027079334867</v>
      </c>
      <c r="CB104" s="1">
        <f t="shared" ca="1" si="116"/>
        <v>430</v>
      </c>
      <c r="CC104" s="1">
        <f t="shared" ca="1" si="117"/>
        <v>6</v>
      </c>
      <c r="CD104" s="1">
        <f t="shared" ca="1" si="118"/>
        <v>7.075047184464793E-2</v>
      </c>
      <c r="CE104" s="1">
        <f t="shared" ca="1" si="137"/>
        <v>0.71578880434087144</v>
      </c>
      <c r="CF104" s="1">
        <f t="shared" ca="1" si="137"/>
        <v>0.83565039274302433</v>
      </c>
      <c r="CH104" s="3">
        <f t="shared" ca="1" si="120"/>
        <v>2.3010890734661567E-2</v>
      </c>
      <c r="CI104" s="3">
        <f t="shared" ca="1" si="121"/>
        <v>0.41129752346845566</v>
      </c>
      <c r="CJ104" s="3">
        <f t="shared" ca="1" si="122"/>
        <v>1100</v>
      </c>
      <c r="CK104" s="3">
        <f t="shared" ca="1" si="123"/>
        <v>7.1559640202210556E-3</v>
      </c>
      <c r="CL104" s="3">
        <f t="shared" ca="1" si="124"/>
        <v>0</v>
      </c>
      <c r="CM104" s="3"/>
      <c r="CN104" s="1">
        <f t="shared" ca="1" si="125"/>
        <v>18.69114765114406</v>
      </c>
      <c r="CO104" s="1">
        <f t="shared" ca="1" si="126"/>
        <v>3.9001288906525704E-2</v>
      </c>
      <c r="CP104" s="1">
        <f t="shared" ca="1" si="127"/>
        <v>4</v>
      </c>
      <c r="CV104" s="1">
        <f t="shared" ca="1" si="128"/>
        <v>9.1365321424552288</v>
      </c>
      <c r="CW104" s="1">
        <f t="shared" ca="1" si="129"/>
        <v>1334</v>
      </c>
      <c r="CX104" s="1">
        <f t="shared" ca="1" si="130"/>
        <v>4.6870930958813157E-3</v>
      </c>
      <c r="DH104" s="1">
        <f t="shared" ca="1" si="131"/>
        <v>157</v>
      </c>
      <c r="DI104" s="1">
        <f t="shared" ca="1" si="132"/>
        <v>0.84993957691759159</v>
      </c>
      <c r="DJ104" s="1">
        <f t="shared" ca="1" si="133"/>
        <v>8</v>
      </c>
      <c r="DL104" s="1">
        <f t="shared" ca="1" si="134"/>
        <v>1.351331150669078E-2</v>
      </c>
      <c r="DM104" s="1">
        <f t="shared" ca="1" si="135"/>
        <v>293</v>
      </c>
      <c r="DN104" s="1">
        <f t="shared" ca="1" si="136"/>
        <v>6</v>
      </c>
    </row>
    <row r="105" spans="2:118" x14ac:dyDescent="0.25">
      <c r="B105">
        <f t="shared" ca="1" si="69"/>
        <v>423</v>
      </c>
      <c r="C105">
        <f t="shared" ca="1" si="70"/>
        <v>3</v>
      </c>
      <c r="D105">
        <f t="shared" ca="1" si="71"/>
        <v>0.13590920643085294</v>
      </c>
      <c r="F105" s="1">
        <f t="shared" ca="1" si="72"/>
        <v>26</v>
      </c>
      <c r="G105" s="1">
        <f t="shared" ca="1" si="73"/>
        <v>27</v>
      </c>
      <c r="H105" s="1">
        <f t="shared" ca="1" si="74"/>
        <v>10</v>
      </c>
      <c r="I105" s="1"/>
      <c r="J105" s="1">
        <f t="shared" ca="1" si="75"/>
        <v>16</v>
      </c>
      <c r="K105" s="1">
        <f t="shared" ca="1" si="76"/>
        <v>1.3933526278179882</v>
      </c>
      <c r="L105" s="1">
        <f t="shared" ca="1" si="77"/>
        <v>7</v>
      </c>
      <c r="M105" s="1"/>
      <c r="N105" s="1">
        <f t="shared" ca="1" si="78"/>
        <v>519</v>
      </c>
      <c r="O105" s="1">
        <f t="shared" ca="1" si="79"/>
        <v>28</v>
      </c>
      <c r="P105" s="1"/>
      <c r="Q105" s="1">
        <f t="shared" ca="1" si="80"/>
        <v>1.5939631242934904</v>
      </c>
      <c r="R105" s="1">
        <f t="shared" ca="1" si="81"/>
        <v>777</v>
      </c>
      <c r="S105" s="1"/>
      <c r="T105" s="1">
        <f t="shared" ca="1" si="82"/>
        <v>7.3805687913881174E-2</v>
      </c>
      <c r="U105" s="1">
        <f t="shared" ca="1" si="83"/>
        <v>342</v>
      </c>
      <c r="V105" s="1">
        <f t="shared" ca="1" si="84"/>
        <v>18</v>
      </c>
      <c r="W105" s="1"/>
      <c r="X105" s="1">
        <f t="shared" ca="1" si="85"/>
        <v>7.5967656290667804</v>
      </c>
      <c r="Y105" s="1">
        <f t="shared" ca="1" si="86"/>
        <v>0.45390184681460993</v>
      </c>
      <c r="Z105" s="1">
        <f t="shared" ca="1" si="87"/>
        <v>272</v>
      </c>
      <c r="AB105" s="1">
        <f t="shared" ca="1" si="88"/>
        <v>0.78610513804279314</v>
      </c>
      <c r="AC105" s="1">
        <f t="shared" ca="1" si="89"/>
        <v>291</v>
      </c>
      <c r="AD105" s="1">
        <f t="shared" ca="1" si="90"/>
        <v>8.9133548940674642E-3</v>
      </c>
      <c r="AE105" s="1"/>
      <c r="AF105" s="1">
        <f t="shared" ca="1" si="91"/>
        <v>0.35726132377907749</v>
      </c>
      <c r="AG105" s="1">
        <f t="shared" ca="1" si="92"/>
        <v>751</v>
      </c>
      <c r="AH105" s="1">
        <f t="shared" ca="1" si="93"/>
        <v>4.5644849894842738E-3</v>
      </c>
      <c r="AJ105" s="1">
        <f t="shared" ca="1" si="94"/>
        <v>0.35953266466259493</v>
      </c>
      <c r="AK105" s="1">
        <f t="shared" ca="1" si="95"/>
        <v>4.2030757985361544E-3</v>
      </c>
      <c r="AL105" s="1"/>
      <c r="AM105" s="1">
        <f t="shared" ca="1" si="96"/>
        <v>9.1412675123995021E-2</v>
      </c>
      <c r="AN105" s="1">
        <f t="shared" ca="1" si="97"/>
        <v>70</v>
      </c>
      <c r="AO105" s="1">
        <f t="shared" ca="1" si="98"/>
        <v>14</v>
      </c>
      <c r="AQ105" s="1">
        <f t="shared" ca="1" si="99"/>
        <v>20</v>
      </c>
      <c r="AR105" s="1">
        <f t="shared" ca="1" si="100"/>
        <v>10</v>
      </c>
      <c r="AS105" s="1">
        <f t="shared" ca="1" si="101"/>
        <v>59</v>
      </c>
      <c r="AU105" s="1">
        <f t="shared" ca="1" si="102"/>
        <v>152</v>
      </c>
      <c r="AV105" s="1">
        <f t="shared" ca="1" si="103"/>
        <v>10</v>
      </c>
      <c r="AW105" s="1">
        <f t="shared" ca="1" si="104"/>
        <v>5.6851184884995361E-2</v>
      </c>
      <c r="AY105" s="1">
        <f t="shared" ca="1" si="105"/>
        <v>1.3496495159096789</v>
      </c>
      <c r="AZ105" s="1">
        <f t="shared" ca="1" si="106"/>
        <v>221</v>
      </c>
      <c r="BA105" s="1">
        <f t="shared" ca="1" si="107"/>
        <v>6.8388421803908198E-3</v>
      </c>
      <c r="BG105" s="1">
        <f t="shared" ca="1" si="108"/>
        <v>0.4772530634564574</v>
      </c>
      <c r="BH105" s="1">
        <f t="shared" ca="1" si="109"/>
        <v>0.88676162169215011</v>
      </c>
      <c r="BI105" s="1">
        <f t="shared" ca="1" si="110"/>
        <v>957</v>
      </c>
      <c r="BV105" s="1">
        <f t="shared" ca="1" si="111"/>
        <v>0.36115062437905771</v>
      </c>
      <c r="BW105" s="1">
        <f t="shared" ca="1" si="112"/>
        <v>956</v>
      </c>
      <c r="BX105" s="1">
        <f t="shared" ca="1" si="113"/>
        <v>5.4427874946275769E-3</v>
      </c>
      <c r="BY105" s="1">
        <f t="shared" ca="1" si="114"/>
        <v>9.2362375592091955E-2</v>
      </c>
      <c r="BZ105" s="1">
        <f t="shared" ca="1" si="115"/>
        <v>0.52511434890764896</v>
      </c>
      <c r="CB105" s="1">
        <f t="shared" ca="1" si="116"/>
        <v>187</v>
      </c>
      <c r="CC105" s="1">
        <f t="shared" ca="1" si="117"/>
        <v>11</v>
      </c>
      <c r="CD105" s="1">
        <f t="shared" ca="1" si="118"/>
        <v>0.13683749819763691</v>
      </c>
      <c r="CE105" s="1">
        <f t="shared" ca="1" si="137"/>
        <v>0.5913367960021183</v>
      </c>
      <c r="CF105" s="1">
        <f t="shared" ca="1" si="137"/>
        <v>0.62387477561840199</v>
      </c>
      <c r="CH105" s="3">
        <f t="shared" ca="1" si="120"/>
        <v>0.27731179486721158</v>
      </c>
      <c r="CI105" s="3">
        <f t="shared" ca="1" si="121"/>
        <v>5.8664761982388285E-2</v>
      </c>
      <c r="CJ105" s="3">
        <f t="shared" ca="1" si="122"/>
        <v>1091</v>
      </c>
      <c r="CK105" s="3">
        <f t="shared" ca="1" si="123"/>
        <v>6.5923301196683217E-3</v>
      </c>
      <c r="CL105" s="3">
        <f t="shared" ca="1" si="124"/>
        <v>0</v>
      </c>
      <c r="CM105" s="3"/>
      <c r="CN105" s="1">
        <f t="shared" ca="1" si="125"/>
        <v>1.8129743634513211</v>
      </c>
      <c r="CO105" s="1">
        <f t="shared" ca="1" si="126"/>
        <v>0.23448743762291124</v>
      </c>
      <c r="CP105" s="1">
        <f t="shared" ca="1" si="127"/>
        <v>5</v>
      </c>
      <c r="CV105" s="1">
        <f t="shared" ca="1" si="128"/>
        <v>8.1262446099045533</v>
      </c>
      <c r="CW105" s="1">
        <f t="shared" ca="1" si="129"/>
        <v>1042</v>
      </c>
      <c r="CX105" s="1">
        <f t="shared" ca="1" si="130"/>
        <v>3.9411054396134388E-3</v>
      </c>
      <c r="DH105" s="1">
        <f t="shared" ca="1" si="131"/>
        <v>160</v>
      </c>
      <c r="DI105" s="1">
        <f t="shared" ca="1" si="132"/>
        <v>0.26203155209684947</v>
      </c>
      <c r="DJ105" s="1">
        <f t="shared" ca="1" si="133"/>
        <v>22</v>
      </c>
      <c r="DL105" s="1">
        <f t="shared" ca="1" si="134"/>
        <v>0.19285216638352809</v>
      </c>
      <c r="DM105" s="1">
        <f t="shared" ca="1" si="135"/>
        <v>275</v>
      </c>
      <c r="DN105" s="1">
        <f t="shared" ca="1" si="136"/>
        <v>1</v>
      </c>
    </row>
    <row r="106" spans="2:118" x14ac:dyDescent="0.25">
      <c r="B106">
        <f t="shared" ca="1" si="69"/>
        <v>332</v>
      </c>
      <c r="C106">
        <f t="shared" ca="1" si="70"/>
        <v>49</v>
      </c>
      <c r="D106">
        <f t="shared" ca="1" si="71"/>
        <v>0.11558190116359569</v>
      </c>
      <c r="F106" s="1">
        <f t="shared" ca="1" si="72"/>
        <v>21</v>
      </c>
      <c r="G106" s="1">
        <f t="shared" ca="1" si="73"/>
        <v>10</v>
      </c>
      <c r="H106" s="1">
        <f t="shared" ca="1" si="74"/>
        <v>3</v>
      </c>
      <c r="I106" s="1"/>
      <c r="J106" s="1">
        <f t="shared" ca="1" si="75"/>
        <v>26</v>
      </c>
      <c r="K106" s="1">
        <f t="shared" ca="1" si="76"/>
        <v>2.4467461993913275</v>
      </c>
      <c r="L106" s="1">
        <f t="shared" ca="1" si="77"/>
        <v>15</v>
      </c>
      <c r="M106" s="1"/>
      <c r="N106" s="1">
        <f t="shared" ca="1" si="78"/>
        <v>163</v>
      </c>
      <c r="O106" s="1">
        <f t="shared" ca="1" si="79"/>
        <v>20</v>
      </c>
      <c r="P106" s="1"/>
      <c r="Q106" s="1">
        <f t="shared" ca="1" si="80"/>
        <v>1.9304641444118853</v>
      </c>
      <c r="R106" s="1">
        <f t="shared" ca="1" si="81"/>
        <v>551</v>
      </c>
      <c r="S106" s="1"/>
      <c r="T106" s="1">
        <f t="shared" ca="1" si="82"/>
        <v>0.16523144861147543</v>
      </c>
      <c r="U106" s="1">
        <f t="shared" ca="1" si="83"/>
        <v>129</v>
      </c>
      <c r="V106" s="1">
        <f t="shared" ca="1" si="84"/>
        <v>33</v>
      </c>
      <c r="W106" s="1"/>
      <c r="X106" s="1">
        <f t="shared" ca="1" si="85"/>
        <v>3.5077912494634775</v>
      </c>
      <c r="Y106" s="1">
        <f t="shared" ca="1" si="86"/>
        <v>0.36205039350467755</v>
      </c>
      <c r="Z106" s="1">
        <f t="shared" ca="1" si="87"/>
        <v>717</v>
      </c>
      <c r="AB106" s="1">
        <f t="shared" ca="1" si="88"/>
        <v>0.42532647306101573</v>
      </c>
      <c r="AC106" s="1">
        <f t="shared" ca="1" si="89"/>
        <v>590</v>
      </c>
      <c r="AD106" s="1">
        <f t="shared" ca="1" si="90"/>
        <v>2.7628639987440414E-3</v>
      </c>
      <c r="AE106" s="1"/>
      <c r="AF106" s="1">
        <f t="shared" ca="1" si="91"/>
        <v>0.37885606609410771</v>
      </c>
      <c r="AG106" s="1">
        <f t="shared" ca="1" si="92"/>
        <v>312</v>
      </c>
      <c r="AH106" s="1">
        <f t="shared" ca="1" si="93"/>
        <v>6.7792034828059299E-3</v>
      </c>
      <c r="AJ106" s="1">
        <f t="shared" ca="1" si="94"/>
        <v>0.77993087824970064</v>
      </c>
      <c r="AK106" s="1">
        <f t="shared" ca="1" si="95"/>
        <v>6.8856979095382213E-3</v>
      </c>
      <c r="AL106" s="1"/>
      <c r="AM106" s="1">
        <f t="shared" ca="1" si="96"/>
        <v>0.10195338403985706</v>
      </c>
      <c r="AN106" s="1">
        <f t="shared" ca="1" si="97"/>
        <v>35</v>
      </c>
      <c r="AO106" s="1">
        <f t="shared" ca="1" si="98"/>
        <v>8</v>
      </c>
      <c r="AQ106" s="1">
        <f t="shared" ca="1" si="99"/>
        <v>43</v>
      </c>
      <c r="AR106" s="1">
        <f t="shared" ca="1" si="100"/>
        <v>9</v>
      </c>
      <c r="AS106" s="1">
        <f t="shared" ca="1" si="101"/>
        <v>45</v>
      </c>
      <c r="AU106" s="1">
        <f t="shared" ca="1" si="102"/>
        <v>160</v>
      </c>
      <c r="AV106" s="1">
        <f t="shared" ca="1" si="103"/>
        <v>10</v>
      </c>
      <c r="AW106" s="1">
        <f t="shared" ca="1" si="104"/>
        <v>1.6790451973015961E-2</v>
      </c>
      <c r="AY106" s="1">
        <f t="shared" ca="1" si="105"/>
        <v>1.2360864167765873</v>
      </c>
      <c r="AZ106" s="1">
        <f t="shared" ca="1" si="106"/>
        <v>426</v>
      </c>
      <c r="BA106" s="1">
        <f t="shared" ca="1" si="107"/>
        <v>9.3917370691908846E-3</v>
      </c>
      <c r="BG106" s="1">
        <f t="shared" ca="1" si="108"/>
        <v>0.71521874713068745</v>
      </c>
      <c r="BH106" s="1">
        <f t="shared" ca="1" si="109"/>
        <v>0.85907936518729644</v>
      </c>
      <c r="BI106" s="1">
        <f t="shared" ca="1" si="110"/>
        <v>804</v>
      </c>
      <c r="BV106" s="1">
        <f t="shared" ca="1" si="111"/>
        <v>0.57151596544634342</v>
      </c>
      <c r="BW106" s="1">
        <f t="shared" ca="1" si="112"/>
        <v>564</v>
      </c>
      <c r="BX106" s="1">
        <f t="shared" ca="1" si="113"/>
        <v>3.0889636842146482E-3</v>
      </c>
      <c r="BY106" s="1">
        <f t="shared" ca="1" si="114"/>
        <v>6.134085335475891E-2</v>
      </c>
      <c r="BZ106" s="1">
        <f t="shared" ca="1" si="115"/>
        <v>0.78803683237970645</v>
      </c>
      <c r="CB106" s="1">
        <f t="shared" ca="1" si="116"/>
        <v>458</v>
      </c>
      <c r="CC106" s="1">
        <f t="shared" ca="1" si="117"/>
        <v>5</v>
      </c>
      <c r="CD106" s="1">
        <f t="shared" ca="1" si="118"/>
        <v>0.11965834446588657</v>
      </c>
      <c r="CE106" s="1">
        <f t="shared" ca="1" si="137"/>
        <v>0.89170313982315585</v>
      </c>
      <c r="CF106" s="1">
        <f t="shared" ca="1" si="137"/>
        <v>0.62566351990894009</v>
      </c>
      <c r="CH106" s="3">
        <f t="shared" ca="1" si="120"/>
        <v>0.6439167501798051</v>
      </c>
      <c r="CI106" s="3">
        <f t="shared" ca="1" si="121"/>
        <v>0.76740572284594677</v>
      </c>
      <c r="CJ106" s="3">
        <f t="shared" ca="1" si="122"/>
        <v>1492</v>
      </c>
      <c r="CK106" s="3">
        <f t="shared" ca="1" si="123"/>
        <v>9.2943870367705062E-3</v>
      </c>
      <c r="CL106" s="3">
        <f t="shared" ca="1" si="124"/>
        <v>0</v>
      </c>
      <c r="CM106" s="3"/>
      <c r="CN106" s="1">
        <f t="shared" ca="1" si="125"/>
        <v>18.684895591193065</v>
      </c>
      <c r="CO106" s="1">
        <f t="shared" ca="1" si="126"/>
        <v>0.38688561663566723</v>
      </c>
      <c r="CP106" s="1">
        <f t="shared" ca="1" si="127"/>
        <v>1</v>
      </c>
      <c r="CV106" s="1">
        <f t="shared" ca="1" si="128"/>
        <v>8.1207048523582728</v>
      </c>
      <c r="CW106" s="1">
        <f t="shared" ca="1" si="129"/>
        <v>400</v>
      </c>
      <c r="CX106" s="1">
        <f t="shared" ca="1" si="130"/>
        <v>1.7342504084221853E-3</v>
      </c>
      <c r="DH106" s="1">
        <f t="shared" ca="1" si="131"/>
        <v>57</v>
      </c>
      <c r="DI106" s="1">
        <f t="shared" ca="1" si="132"/>
        <v>0.13747580362362058</v>
      </c>
      <c r="DJ106" s="1">
        <f t="shared" ca="1" si="133"/>
        <v>9</v>
      </c>
      <c r="DL106" s="1">
        <f t="shared" ca="1" si="134"/>
        <v>9.3939710665995657E-2</v>
      </c>
      <c r="DM106" s="1">
        <f t="shared" ca="1" si="135"/>
        <v>278</v>
      </c>
      <c r="DN106" s="1">
        <f t="shared" ca="1" si="136"/>
        <v>8</v>
      </c>
    </row>
    <row r="107" spans="2:118" x14ac:dyDescent="0.25">
      <c r="B107">
        <f t="shared" ca="1" si="69"/>
        <v>340</v>
      </c>
      <c r="C107">
        <f t="shared" ca="1" si="70"/>
        <v>29</v>
      </c>
      <c r="D107">
        <f t="shared" ca="1" si="71"/>
        <v>0.13353476901645076</v>
      </c>
      <c r="F107" s="1">
        <f t="shared" ca="1" si="72"/>
        <v>51</v>
      </c>
      <c r="G107" s="1">
        <f t="shared" ca="1" si="73"/>
        <v>27</v>
      </c>
      <c r="H107" s="1">
        <f t="shared" ca="1" si="74"/>
        <v>8</v>
      </c>
      <c r="I107" s="1"/>
      <c r="J107" s="1">
        <f t="shared" ca="1" si="75"/>
        <v>2</v>
      </c>
      <c r="K107" s="1">
        <f t="shared" ca="1" si="76"/>
        <v>1.8453091085631312</v>
      </c>
      <c r="L107" s="1">
        <f t="shared" ca="1" si="77"/>
        <v>21</v>
      </c>
      <c r="M107" s="1"/>
      <c r="N107" s="1">
        <f t="shared" ca="1" si="78"/>
        <v>814</v>
      </c>
      <c r="O107" s="1">
        <f t="shared" ca="1" si="79"/>
        <v>28</v>
      </c>
      <c r="P107" s="1"/>
      <c r="Q107" s="1">
        <f t="shared" ca="1" si="80"/>
        <v>2.0560751003688047</v>
      </c>
      <c r="R107" s="1">
        <f t="shared" ca="1" si="81"/>
        <v>691</v>
      </c>
      <c r="S107" s="1"/>
      <c r="T107" s="1">
        <f t="shared" ca="1" si="82"/>
        <v>6.074833732269104E-2</v>
      </c>
      <c r="U107" s="1">
        <f t="shared" ca="1" si="83"/>
        <v>238</v>
      </c>
      <c r="V107" s="1">
        <f t="shared" ca="1" si="84"/>
        <v>26</v>
      </c>
      <c r="W107" s="1"/>
      <c r="X107" s="1">
        <f t="shared" ca="1" si="85"/>
        <v>1.5814471706610407</v>
      </c>
      <c r="Y107" s="1">
        <f t="shared" ca="1" si="86"/>
        <v>0.47401762099384803</v>
      </c>
      <c r="Z107" s="1">
        <f t="shared" ca="1" si="87"/>
        <v>1462</v>
      </c>
      <c r="AB107" s="1">
        <f t="shared" ca="1" si="88"/>
        <v>0.60452866323759169</v>
      </c>
      <c r="AC107" s="1">
        <f t="shared" ca="1" si="89"/>
        <v>271</v>
      </c>
      <c r="AD107" s="1">
        <f t="shared" ca="1" si="90"/>
        <v>8.6743445515364745E-4</v>
      </c>
      <c r="AE107" s="1"/>
      <c r="AF107" s="1">
        <f t="shared" ca="1" si="91"/>
        <v>0.30071065224709459</v>
      </c>
      <c r="AG107" s="1">
        <f t="shared" ca="1" si="92"/>
        <v>620</v>
      </c>
      <c r="AH107" s="1">
        <f t="shared" ca="1" si="93"/>
        <v>4.9496082480274938E-3</v>
      </c>
      <c r="AJ107" s="1">
        <f t="shared" ca="1" si="94"/>
        <v>0.36610797579804788</v>
      </c>
      <c r="AK107" s="1">
        <f t="shared" ca="1" si="95"/>
        <v>6.7228827990587292E-3</v>
      </c>
      <c r="AL107" s="1"/>
      <c r="AM107" s="1">
        <f t="shared" ca="1" si="96"/>
        <v>0.15749635948877547</v>
      </c>
      <c r="AN107" s="1">
        <f t="shared" ca="1" si="97"/>
        <v>59</v>
      </c>
      <c r="AO107" s="1">
        <f t="shared" ca="1" si="98"/>
        <v>5</v>
      </c>
      <c r="AQ107" s="1">
        <f t="shared" ca="1" si="99"/>
        <v>160</v>
      </c>
      <c r="AR107" s="1">
        <f t="shared" ca="1" si="100"/>
        <v>4</v>
      </c>
      <c r="AS107" s="1">
        <f t="shared" ca="1" si="101"/>
        <v>3</v>
      </c>
      <c r="AU107" s="1">
        <f t="shared" ca="1" si="102"/>
        <v>239</v>
      </c>
      <c r="AV107" s="1">
        <f t="shared" ca="1" si="103"/>
        <v>4</v>
      </c>
      <c r="AW107" s="1">
        <f t="shared" ca="1" si="104"/>
        <v>5.8395234108668495E-2</v>
      </c>
      <c r="AY107" s="1">
        <f t="shared" ca="1" si="105"/>
        <v>1.597072135019632</v>
      </c>
      <c r="AZ107" s="1">
        <f t="shared" ca="1" si="106"/>
        <v>354</v>
      </c>
      <c r="BA107" s="1">
        <f t="shared" ca="1" si="107"/>
        <v>6.2161945997753635E-3</v>
      </c>
      <c r="BG107" s="1">
        <f t="shared" ca="1" si="108"/>
        <v>0.73131580358014359</v>
      </c>
      <c r="BH107" s="1">
        <f t="shared" ca="1" si="109"/>
        <v>7.6876676401050892E-2</v>
      </c>
      <c r="BI107" s="1">
        <f t="shared" ca="1" si="110"/>
        <v>769</v>
      </c>
      <c r="BV107" s="1">
        <f t="shared" ca="1" si="111"/>
        <v>0.45306956574699037</v>
      </c>
      <c r="BW107" s="1">
        <f t="shared" ca="1" si="112"/>
        <v>556</v>
      </c>
      <c r="BX107" s="1">
        <f t="shared" ca="1" si="113"/>
        <v>5.561609649421608E-3</v>
      </c>
      <c r="BY107" s="1">
        <f t="shared" ca="1" si="114"/>
        <v>1.994812634135738E-2</v>
      </c>
      <c r="BZ107" s="1">
        <f t="shared" ca="1" si="115"/>
        <v>0.77781366288773401</v>
      </c>
      <c r="CB107" s="1">
        <f t="shared" ca="1" si="116"/>
        <v>348</v>
      </c>
      <c r="CC107" s="1">
        <f t="shared" ca="1" si="117"/>
        <v>14</v>
      </c>
      <c r="CD107" s="1">
        <f t="shared" ca="1" si="118"/>
        <v>0.20277058888809174</v>
      </c>
      <c r="CE107" s="1">
        <f t="shared" ca="1" si="137"/>
        <v>0.87142734496321861</v>
      </c>
      <c r="CF107" s="1">
        <f t="shared" ca="1" si="137"/>
        <v>0.66093345735031861</v>
      </c>
      <c r="CH107" s="3">
        <f t="shared" ca="1" si="120"/>
        <v>0.76945851344412441</v>
      </c>
      <c r="CI107" s="3">
        <f t="shared" ca="1" si="121"/>
        <v>0.90202893046968924</v>
      </c>
      <c r="CJ107" s="3">
        <f t="shared" ca="1" si="122"/>
        <v>1045</v>
      </c>
      <c r="CK107" s="3">
        <f t="shared" ca="1" si="123"/>
        <v>1.2087452462093222E-3</v>
      </c>
      <c r="CL107" s="3">
        <f t="shared" ca="1" si="124"/>
        <v>0</v>
      </c>
      <c r="CM107" s="3"/>
      <c r="CN107" s="1">
        <f t="shared" ca="1" si="125"/>
        <v>3.7501456686367702</v>
      </c>
      <c r="CO107" s="1">
        <f t="shared" ca="1" si="126"/>
        <v>5.4779999542405061E-2</v>
      </c>
      <c r="CP107" s="1">
        <f t="shared" ca="1" si="127"/>
        <v>1</v>
      </c>
      <c r="CV107" s="1">
        <f t="shared" ca="1" si="128"/>
        <v>3.2884072569062601</v>
      </c>
      <c r="CW107" s="1">
        <f t="shared" ca="1" si="129"/>
        <v>1134</v>
      </c>
      <c r="CX107" s="1">
        <f t="shared" ca="1" si="130"/>
        <v>2.2403192089250878E-4</v>
      </c>
      <c r="DH107" s="1">
        <f t="shared" ca="1" si="131"/>
        <v>299</v>
      </c>
      <c r="DI107" s="1">
        <f t="shared" ca="1" si="132"/>
        <v>0.58834688512855171</v>
      </c>
      <c r="DJ107" s="1">
        <f t="shared" ca="1" si="133"/>
        <v>23</v>
      </c>
      <c r="DL107" s="1">
        <f t="shared" ca="1" si="134"/>
        <v>5.6321159752418047E-2</v>
      </c>
      <c r="DM107" s="1">
        <f t="shared" ca="1" si="135"/>
        <v>152</v>
      </c>
      <c r="DN107" s="1">
        <f t="shared" ca="1" si="136"/>
        <v>9</v>
      </c>
    </row>
    <row r="108" spans="2:118" x14ac:dyDescent="0.25">
      <c r="B108">
        <f t="shared" ca="1" si="69"/>
        <v>232</v>
      </c>
      <c r="C108">
        <f t="shared" ca="1" si="70"/>
        <v>38</v>
      </c>
      <c r="D108">
        <f t="shared" ca="1" si="71"/>
        <v>2.2959790925938837E-2</v>
      </c>
      <c r="F108" s="1">
        <f t="shared" ca="1" si="72"/>
        <v>7</v>
      </c>
      <c r="G108" s="1">
        <f t="shared" ca="1" si="73"/>
        <v>5</v>
      </c>
      <c r="H108" s="1">
        <f t="shared" ca="1" si="74"/>
        <v>5</v>
      </c>
      <c r="I108" s="1"/>
      <c r="J108" s="1">
        <f t="shared" ca="1" si="75"/>
        <v>16</v>
      </c>
      <c r="K108" s="1">
        <f t="shared" ca="1" si="76"/>
        <v>2.0660825380628975</v>
      </c>
      <c r="L108" s="1">
        <f t="shared" ca="1" si="77"/>
        <v>15</v>
      </c>
      <c r="M108" s="1"/>
      <c r="N108" s="1">
        <f t="shared" ca="1" si="78"/>
        <v>707</v>
      </c>
      <c r="O108" s="1">
        <f t="shared" ca="1" si="79"/>
        <v>23</v>
      </c>
      <c r="P108" s="1"/>
      <c r="Q108" s="1">
        <f t="shared" ca="1" si="80"/>
        <v>4.5473231125884457</v>
      </c>
      <c r="R108" s="1">
        <f t="shared" ca="1" si="81"/>
        <v>876</v>
      </c>
      <c r="S108" s="1"/>
      <c r="T108" s="1">
        <f t="shared" ca="1" si="82"/>
        <v>9.5732336398336906E-2</v>
      </c>
      <c r="U108" s="1">
        <f t="shared" ca="1" si="83"/>
        <v>317</v>
      </c>
      <c r="V108" s="1">
        <f t="shared" ca="1" si="84"/>
        <v>7</v>
      </c>
      <c r="W108" s="1"/>
      <c r="X108" s="1">
        <f t="shared" ca="1" si="85"/>
        <v>8.275926257612042</v>
      </c>
      <c r="Y108" s="1">
        <f t="shared" ca="1" si="86"/>
        <v>0.34561747077868704</v>
      </c>
      <c r="Z108" s="1">
        <f t="shared" ca="1" si="87"/>
        <v>1484</v>
      </c>
      <c r="AB108" s="1">
        <f t="shared" ca="1" si="88"/>
        <v>0.80616342182831224</v>
      </c>
      <c r="AC108" s="1">
        <f t="shared" ca="1" si="89"/>
        <v>584</v>
      </c>
      <c r="AD108" s="1">
        <f t="shared" ca="1" si="90"/>
        <v>7.3526249849434691E-3</v>
      </c>
      <c r="AE108" s="1"/>
      <c r="AF108" s="1">
        <f t="shared" ca="1" si="91"/>
        <v>0.72971763384189958</v>
      </c>
      <c r="AG108" s="1">
        <f t="shared" ca="1" si="92"/>
        <v>926</v>
      </c>
      <c r="AH108" s="1">
        <f t="shared" ca="1" si="93"/>
        <v>6.4385867854518655E-3</v>
      </c>
      <c r="AJ108" s="1">
        <f t="shared" ca="1" si="94"/>
        <v>0.35780502751511678</v>
      </c>
      <c r="AK108" s="1">
        <f t="shared" ca="1" si="95"/>
        <v>1.7088428328422922E-3</v>
      </c>
      <c r="AL108" s="1"/>
      <c r="AM108" s="1">
        <f t="shared" ca="1" si="96"/>
        <v>2.8676716822606873E-2</v>
      </c>
      <c r="AN108" s="1">
        <f t="shared" ca="1" si="97"/>
        <v>80</v>
      </c>
      <c r="AO108" s="1">
        <f t="shared" ca="1" si="98"/>
        <v>17</v>
      </c>
      <c r="AQ108" s="1">
        <f t="shared" ca="1" si="99"/>
        <v>123</v>
      </c>
      <c r="AR108" s="1">
        <f t="shared" ca="1" si="100"/>
        <v>0</v>
      </c>
      <c r="AS108" s="1">
        <f t="shared" ca="1" si="101"/>
        <v>3</v>
      </c>
      <c r="AU108" s="1">
        <f t="shared" ca="1" si="102"/>
        <v>230</v>
      </c>
      <c r="AV108" s="1">
        <f t="shared" ca="1" si="103"/>
        <v>5</v>
      </c>
      <c r="AW108" s="1">
        <f t="shared" ca="1" si="104"/>
        <v>3.9297502654280232E-2</v>
      </c>
      <c r="AY108" s="1">
        <f t="shared" ca="1" si="105"/>
        <v>1.503628893715848</v>
      </c>
      <c r="AZ108" s="1">
        <f t="shared" ca="1" si="106"/>
        <v>121</v>
      </c>
      <c r="BA108" s="1">
        <f t="shared" ca="1" si="107"/>
        <v>1.9734367291234916E-4</v>
      </c>
      <c r="BG108" s="1">
        <f t="shared" ca="1" si="108"/>
        <v>0.38672504306678213</v>
      </c>
      <c r="BH108" s="1">
        <f t="shared" ca="1" si="109"/>
        <v>0.65903950101858189</v>
      </c>
      <c r="BI108" s="1">
        <f t="shared" ca="1" si="110"/>
        <v>787</v>
      </c>
      <c r="BV108" s="1">
        <f t="shared" ca="1" si="111"/>
        <v>0.99366025469506691</v>
      </c>
      <c r="BW108" s="1">
        <f t="shared" ca="1" si="112"/>
        <v>633</v>
      </c>
      <c r="BX108" s="1">
        <f t="shared" ca="1" si="113"/>
        <v>1.5309574417762069E-3</v>
      </c>
      <c r="BY108" s="1">
        <f t="shared" ca="1" si="114"/>
        <v>6.54983716476044E-2</v>
      </c>
      <c r="BZ108" s="1">
        <f t="shared" ca="1" si="115"/>
        <v>0.32840272992123232</v>
      </c>
      <c r="CB108" s="1">
        <f t="shared" ca="1" si="116"/>
        <v>371</v>
      </c>
      <c r="CC108" s="1">
        <f t="shared" ca="1" si="117"/>
        <v>14</v>
      </c>
      <c r="CD108" s="1">
        <f t="shared" ca="1" si="118"/>
        <v>9.0924583599525127E-2</v>
      </c>
      <c r="CE108" s="1">
        <f t="shared" ca="1" si="137"/>
        <v>0.59322041346277643</v>
      </c>
      <c r="CF108" s="1">
        <f t="shared" ca="1" si="137"/>
        <v>0.76846499848837913</v>
      </c>
      <c r="CH108" s="3">
        <f t="shared" ca="1" si="120"/>
        <v>0.37032384415217412</v>
      </c>
      <c r="CI108" s="3">
        <f t="shared" ca="1" si="121"/>
        <v>8.2236153759992589E-2</v>
      </c>
      <c r="CJ108" s="3">
        <f t="shared" ca="1" si="122"/>
        <v>643</v>
      </c>
      <c r="CK108" s="3">
        <f t="shared" ca="1" si="123"/>
        <v>5.7704368967066797E-3</v>
      </c>
      <c r="CL108" s="3">
        <f t="shared" ca="1" si="124"/>
        <v>1</v>
      </c>
      <c r="CM108" s="3"/>
      <c r="CN108" s="1">
        <f t="shared" ca="1" si="125"/>
        <v>14.584133832580543</v>
      </c>
      <c r="CO108" s="1">
        <f t="shared" ca="1" si="126"/>
        <v>0.43832324562139591</v>
      </c>
      <c r="CP108" s="1">
        <f t="shared" ca="1" si="127"/>
        <v>2</v>
      </c>
      <c r="CV108" s="1">
        <f t="shared" ca="1" si="128"/>
        <v>2.2865960853317295</v>
      </c>
      <c r="CW108" s="1">
        <f t="shared" ca="1" si="129"/>
        <v>1852</v>
      </c>
      <c r="CX108" s="1">
        <f t="shared" ca="1" si="130"/>
        <v>4.844767703473969E-3</v>
      </c>
      <c r="DH108" s="1">
        <f t="shared" ca="1" si="131"/>
        <v>728</v>
      </c>
      <c r="DI108" s="1">
        <f t="shared" ca="1" si="132"/>
        <v>0.50297379416110677</v>
      </c>
      <c r="DJ108" s="1">
        <f t="shared" ca="1" si="133"/>
        <v>14</v>
      </c>
      <c r="DL108" s="1">
        <f t="shared" ca="1" si="134"/>
        <v>0.15927874050974239</v>
      </c>
      <c r="DM108" s="1">
        <f t="shared" ca="1" si="135"/>
        <v>133</v>
      </c>
      <c r="DN108" s="1">
        <f t="shared" ca="1" si="136"/>
        <v>2</v>
      </c>
    </row>
    <row r="109" spans="2:118" x14ac:dyDescent="0.25">
      <c r="B109">
        <f t="shared" ca="1" si="69"/>
        <v>912</v>
      </c>
      <c r="C109">
        <f t="shared" ca="1" si="70"/>
        <v>13</v>
      </c>
      <c r="D109">
        <f t="shared" ca="1" si="71"/>
        <v>0.2948132539657391</v>
      </c>
      <c r="F109" s="1">
        <f t="shared" ca="1" si="72"/>
        <v>43</v>
      </c>
      <c r="G109" s="1">
        <f t="shared" ca="1" si="73"/>
        <v>2</v>
      </c>
      <c r="H109" s="1">
        <f t="shared" ca="1" si="74"/>
        <v>12</v>
      </c>
      <c r="I109" s="1"/>
      <c r="J109" s="1">
        <f t="shared" ca="1" si="75"/>
        <v>18</v>
      </c>
      <c r="K109" s="1">
        <f t="shared" ca="1" si="76"/>
        <v>2.3456093070386581</v>
      </c>
      <c r="L109" s="1">
        <f t="shared" ca="1" si="77"/>
        <v>23</v>
      </c>
      <c r="M109" s="1"/>
      <c r="N109" s="1">
        <f t="shared" ca="1" si="78"/>
        <v>149</v>
      </c>
      <c r="O109" s="1">
        <f t="shared" ca="1" si="79"/>
        <v>24</v>
      </c>
      <c r="P109" s="1"/>
      <c r="Q109" s="1">
        <f t="shared" ca="1" si="80"/>
        <v>3.9858130779836949</v>
      </c>
      <c r="R109" s="1">
        <f t="shared" ca="1" si="81"/>
        <v>941</v>
      </c>
      <c r="S109" s="1"/>
      <c r="T109" s="1">
        <f t="shared" ca="1" si="82"/>
        <v>8.1922885741941051E-2</v>
      </c>
      <c r="U109" s="1">
        <f t="shared" ca="1" si="83"/>
        <v>133</v>
      </c>
      <c r="V109" s="1">
        <f t="shared" ca="1" si="84"/>
        <v>8</v>
      </c>
      <c r="W109" s="1"/>
      <c r="X109" s="1">
        <f t="shared" ca="1" si="85"/>
        <v>8.109064510639147</v>
      </c>
      <c r="Y109" s="1">
        <f t="shared" ca="1" si="86"/>
        <v>5.2047723721506366E-2</v>
      </c>
      <c r="Z109" s="1">
        <f t="shared" ca="1" si="87"/>
        <v>1266</v>
      </c>
      <c r="AB109" s="1">
        <f t="shared" ca="1" si="88"/>
        <v>0.37096348706919835</v>
      </c>
      <c r="AC109" s="1">
        <f t="shared" ca="1" si="89"/>
        <v>969</v>
      </c>
      <c r="AD109" s="1">
        <f t="shared" ca="1" si="90"/>
        <v>9.5492785455213707E-3</v>
      </c>
      <c r="AE109" s="1"/>
      <c r="AF109" s="1">
        <f t="shared" ca="1" si="91"/>
        <v>0.87519549473209668</v>
      </c>
      <c r="AG109" s="1">
        <f t="shared" ca="1" si="92"/>
        <v>656</v>
      </c>
      <c r="AH109" s="1">
        <f t="shared" ca="1" si="93"/>
        <v>7.7620212710711048E-3</v>
      </c>
      <c r="AJ109" s="1">
        <f t="shared" ca="1" si="94"/>
        <v>0.4929219051113447</v>
      </c>
      <c r="AK109" s="1">
        <f t="shared" ca="1" si="95"/>
        <v>4.6317162562356075E-3</v>
      </c>
      <c r="AL109" s="1"/>
      <c r="AM109" s="1">
        <f t="shared" ca="1" si="96"/>
        <v>8.7893258060228657E-2</v>
      </c>
      <c r="AN109" s="1">
        <f t="shared" ca="1" si="97"/>
        <v>59</v>
      </c>
      <c r="AO109" s="1">
        <f t="shared" ca="1" si="98"/>
        <v>3</v>
      </c>
      <c r="AQ109" s="1">
        <f t="shared" ca="1" si="99"/>
        <v>129</v>
      </c>
      <c r="AR109" s="1">
        <f t="shared" ca="1" si="100"/>
        <v>3</v>
      </c>
      <c r="AS109" s="1">
        <f t="shared" ca="1" si="101"/>
        <v>44</v>
      </c>
      <c r="AU109" s="1">
        <f t="shared" ca="1" si="102"/>
        <v>144</v>
      </c>
      <c r="AV109" s="1">
        <f t="shared" ca="1" si="103"/>
        <v>7</v>
      </c>
      <c r="AW109" s="1">
        <f t="shared" ca="1" si="104"/>
        <v>2.8724259474165702E-2</v>
      </c>
      <c r="AY109" s="1">
        <f t="shared" ca="1" si="105"/>
        <v>1.9601442177984656</v>
      </c>
      <c r="AZ109" s="1">
        <f t="shared" ca="1" si="106"/>
        <v>71</v>
      </c>
      <c r="BA109" s="1">
        <f t="shared" ca="1" si="107"/>
        <v>2.8647847257078597E-3</v>
      </c>
      <c r="BG109" s="1">
        <f t="shared" ca="1" si="108"/>
        <v>0.99717621555987757</v>
      </c>
      <c r="BH109" s="1">
        <f t="shared" ca="1" si="109"/>
        <v>0.33666080143531885</v>
      </c>
      <c r="BI109" s="1">
        <f t="shared" ca="1" si="110"/>
        <v>746</v>
      </c>
      <c r="BV109" s="1">
        <f t="shared" ca="1" si="111"/>
        <v>0.47517099622416142</v>
      </c>
      <c r="BW109" s="1">
        <f t="shared" ca="1" si="112"/>
        <v>393</v>
      </c>
      <c r="BX109" s="1">
        <f t="shared" ca="1" si="113"/>
        <v>8.0500833225102247E-3</v>
      </c>
      <c r="BY109" s="1">
        <f t="shared" ca="1" si="114"/>
        <v>3.6413705744553902E-2</v>
      </c>
      <c r="BZ109" s="1">
        <f t="shared" ca="1" si="115"/>
        <v>0.22661368964060147</v>
      </c>
      <c r="CB109" s="1">
        <f t="shared" ca="1" si="116"/>
        <v>398</v>
      </c>
      <c r="CC109" s="1">
        <f t="shared" ca="1" si="117"/>
        <v>3</v>
      </c>
      <c r="CD109" s="1">
        <f t="shared" ca="1" si="118"/>
        <v>0.15908868638773005</v>
      </c>
      <c r="CE109" s="1">
        <f t="shared" ca="1" si="137"/>
        <v>0.89070475305714714</v>
      </c>
      <c r="CF109" s="1">
        <f t="shared" ca="1" si="137"/>
        <v>0.99796267571241648</v>
      </c>
      <c r="CH109" s="3">
        <f t="shared" ca="1" si="120"/>
        <v>1.4584336806344135E-3</v>
      </c>
      <c r="CI109" s="3">
        <f t="shared" ca="1" si="121"/>
        <v>0.54930371478227025</v>
      </c>
      <c r="CJ109" s="3">
        <f t="shared" ca="1" si="122"/>
        <v>257</v>
      </c>
      <c r="CK109" s="3">
        <f t="shared" ca="1" si="123"/>
        <v>4.7617467812975591E-4</v>
      </c>
      <c r="CL109" s="3">
        <f t="shared" ca="1" si="124"/>
        <v>1</v>
      </c>
      <c r="CM109" s="3"/>
      <c r="CN109" s="1">
        <f t="shared" ca="1" si="125"/>
        <v>10.333828331125357</v>
      </c>
      <c r="CO109" s="1">
        <f t="shared" ca="1" si="126"/>
        <v>0.1900580925822026</v>
      </c>
      <c r="CP109" s="1">
        <f t="shared" ca="1" si="127"/>
        <v>4</v>
      </c>
      <c r="CV109" s="1">
        <f t="shared" ca="1" si="128"/>
        <v>4.7673844872175613</v>
      </c>
      <c r="CW109" s="1">
        <f t="shared" ca="1" si="129"/>
        <v>225</v>
      </c>
      <c r="CX109" s="1">
        <f t="shared" ca="1" si="130"/>
        <v>8.8278765378036715E-3</v>
      </c>
      <c r="DH109" s="1">
        <f t="shared" ca="1" si="131"/>
        <v>603</v>
      </c>
      <c r="DI109" s="1">
        <f t="shared" ca="1" si="132"/>
        <v>0.34230518749546512</v>
      </c>
      <c r="DJ109" s="1">
        <f t="shared" ca="1" si="133"/>
        <v>29</v>
      </c>
      <c r="DL109" s="1">
        <f t="shared" ca="1" si="134"/>
        <v>0.14343842227217748</v>
      </c>
      <c r="DM109" s="1">
        <f t="shared" ca="1" si="135"/>
        <v>163</v>
      </c>
      <c r="DN109" s="1">
        <f t="shared" ca="1" si="136"/>
        <v>6</v>
      </c>
    </row>
    <row r="110" spans="2:118" x14ac:dyDescent="0.25">
      <c r="B110">
        <f t="shared" ca="1" si="69"/>
        <v>410</v>
      </c>
      <c r="C110">
        <f t="shared" ca="1" si="70"/>
        <v>17</v>
      </c>
      <c r="D110">
        <f t="shared" ca="1" si="71"/>
        <v>0.23209889231554276</v>
      </c>
      <c r="F110" s="1">
        <f t="shared" ca="1" si="72"/>
        <v>23</v>
      </c>
      <c r="G110" s="1">
        <f t="shared" ca="1" si="73"/>
        <v>18</v>
      </c>
      <c r="H110" s="1">
        <f t="shared" ca="1" si="74"/>
        <v>14</v>
      </c>
      <c r="I110" s="1"/>
      <c r="J110" s="1">
        <f t="shared" ca="1" si="75"/>
        <v>21</v>
      </c>
      <c r="K110" s="1">
        <f t="shared" ca="1" si="76"/>
        <v>1.4540799587694986</v>
      </c>
      <c r="L110" s="1">
        <f t="shared" ca="1" si="77"/>
        <v>27</v>
      </c>
      <c r="M110" s="1"/>
      <c r="N110" s="1">
        <f t="shared" ca="1" si="78"/>
        <v>817</v>
      </c>
      <c r="O110" s="1">
        <f t="shared" ca="1" si="79"/>
        <v>31</v>
      </c>
      <c r="P110" s="1"/>
      <c r="Q110" s="1">
        <f t="shared" ca="1" si="80"/>
        <v>2.8269673229268149</v>
      </c>
      <c r="R110" s="1">
        <f t="shared" ca="1" si="81"/>
        <v>408</v>
      </c>
      <c r="S110" s="1"/>
      <c r="T110" s="1">
        <f t="shared" ca="1" si="82"/>
        <v>0.15804925827724872</v>
      </c>
      <c r="U110" s="1">
        <f t="shared" ca="1" si="83"/>
        <v>259</v>
      </c>
      <c r="V110" s="1">
        <f t="shared" ca="1" si="84"/>
        <v>13</v>
      </c>
      <c r="W110" s="1"/>
      <c r="X110" s="1">
        <f t="shared" ca="1" si="85"/>
        <v>9.5517847757779624</v>
      </c>
      <c r="Y110" s="1">
        <f t="shared" ca="1" si="86"/>
        <v>0.25435309417726515</v>
      </c>
      <c r="Z110" s="1">
        <f t="shared" ca="1" si="87"/>
        <v>1721</v>
      </c>
      <c r="AB110" s="1">
        <f t="shared" ca="1" si="88"/>
        <v>0.65185300546975788</v>
      </c>
      <c r="AC110" s="1">
        <f t="shared" ca="1" si="89"/>
        <v>458</v>
      </c>
      <c r="AD110" s="1">
        <f t="shared" ca="1" si="90"/>
        <v>6.9833713210275643E-3</v>
      </c>
      <c r="AE110" s="1"/>
      <c r="AF110" s="1">
        <f t="shared" ca="1" si="91"/>
        <v>0.20783526629561086</v>
      </c>
      <c r="AG110" s="1">
        <f t="shared" ca="1" si="92"/>
        <v>182</v>
      </c>
      <c r="AH110" s="1">
        <f t="shared" ca="1" si="93"/>
        <v>2.9582777518388417E-3</v>
      </c>
      <c r="AJ110" s="1">
        <f t="shared" ca="1" si="94"/>
        <v>0.35925839842957552</v>
      </c>
      <c r="AK110" s="1">
        <f t="shared" ca="1" si="95"/>
        <v>8.824691846959689E-4</v>
      </c>
      <c r="AL110" s="1"/>
      <c r="AM110" s="1">
        <f t="shared" ca="1" si="96"/>
        <v>0.12698265214645216</v>
      </c>
      <c r="AN110" s="1">
        <f t="shared" ca="1" si="97"/>
        <v>43</v>
      </c>
      <c r="AO110" s="1">
        <f t="shared" ca="1" si="98"/>
        <v>19</v>
      </c>
      <c r="AQ110" s="1">
        <f t="shared" ca="1" si="99"/>
        <v>180</v>
      </c>
      <c r="AR110" s="1">
        <f t="shared" ca="1" si="100"/>
        <v>6</v>
      </c>
      <c r="AS110" s="1">
        <f t="shared" ca="1" si="101"/>
        <v>82</v>
      </c>
      <c r="AU110" s="1">
        <f t="shared" ca="1" si="102"/>
        <v>109</v>
      </c>
      <c r="AV110" s="1">
        <f t="shared" ca="1" si="103"/>
        <v>8</v>
      </c>
      <c r="AW110" s="1">
        <f t="shared" ca="1" si="104"/>
        <v>5.4404774957798177E-2</v>
      </c>
      <c r="AY110" s="1">
        <f t="shared" ca="1" si="105"/>
        <v>1.4780672428104957</v>
      </c>
      <c r="AZ110" s="1">
        <f t="shared" ca="1" si="106"/>
        <v>403</v>
      </c>
      <c r="BA110" s="1">
        <f t="shared" ca="1" si="107"/>
        <v>5.2640744779478346E-4</v>
      </c>
      <c r="BG110" s="1">
        <f t="shared" ca="1" si="108"/>
        <v>0.56869201025288296</v>
      </c>
      <c r="BH110" s="1">
        <f t="shared" ca="1" si="109"/>
        <v>1.6870698241772009E-2</v>
      </c>
      <c r="BI110" s="1">
        <f t="shared" ca="1" si="110"/>
        <v>327</v>
      </c>
      <c r="BV110" s="1">
        <f t="shared" ca="1" si="111"/>
        <v>0.96041023769978084</v>
      </c>
      <c r="BW110" s="1">
        <f t="shared" ca="1" si="112"/>
        <v>743</v>
      </c>
      <c r="BX110" s="1">
        <f t="shared" ca="1" si="113"/>
        <v>5.1420389451280234E-3</v>
      </c>
      <c r="BY110" s="1">
        <f t="shared" ca="1" si="114"/>
        <v>5.9508739842641649E-2</v>
      </c>
      <c r="BZ110" s="1">
        <f t="shared" ca="1" si="115"/>
        <v>0.5548445659196225</v>
      </c>
      <c r="CB110" s="1">
        <f t="shared" ca="1" si="116"/>
        <v>200</v>
      </c>
      <c r="CC110" s="1">
        <f t="shared" ca="1" si="117"/>
        <v>7</v>
      </c>
      <c r="CD110" s="1">
        <f t="shared" ca="1" si="118"/>
        <v>0.21977486497685958</v>
      </c>
      <c r="CE110" s="1">
        <f t="shared" ca="1" si="137"/>
        <v>0.79842352686097895</v>
      </c>
      <c r="CF110" s="1">
        <f t="shared" ca="1" si="137"/>
        <v>0.74608606696809776</v>
      </c>
      <c r="CH110" s="3">
        <f t="shared" ca="1" si="120"/>
        <v>0.3867661831010446</v>
      </c>
      <c r="CI110" s="3">
        <f t="shared" ca="1" si="121"/>
        <v>0.33479071419382012</v>
      </c>
      <c r="CJ110" s="3">
        <f t="shared" ca="1" si="122"/>
        <v>1925</v>
      </c>
      <c r="CK110" s="3">
        <f t="shared" ca="1" si="123"/>
        <v>4.1206213812512186E-3</v>
      </c>
      <c r="CL110" s="3">
        <f t="shared" ca="1" si="124"/>
        <v>0</v>
      </c>
      <c r="CM110" s="3"/>
      <c r="CN110" s="1">
        <f t="shared" ca="1" si="125"/>
        <v>17.484728995628018</v>
      </c>
      <c r="CO110" s="1">
        <f t="shared" ca="1" si="126"/>
        <v>0.25756073904231508</v>
      </c>
      <c r="CP110" s="1">
        <f t="shared" ca="1" si="127"/>
        <v>3</v>
      </c>
      <c r="CV110" s="1">
        <f t="shared" ca="1" si="128"/>
        <v>7.0653779501901006</v>
      </c>
      <c r="CW110" s="1">
        <f t="shared" ca="1" si="129"/>
        <v>1326</v>
      </c>
      <c r="CX110" s="1">
        <f t="shared" ca="1" si="130"/>
        <v>9.9900446336710896E-3</v>
      </c>
      <c r="DH110" s="1">
        <f t="shared" ca="1" si="131"/>
        <v>379</v>
      </c>
      <c r="DI110" s="1">
        <f t="shared" ca="1" si="132"/>
        <v>0.90945024267297003</v>
      </c>
      <c r="DJ110" s="1">
        <f t="shared" ca="1" si="133"/>
        <v>15</v>
      </c>
      <c r="DL110" s="1">
        <f t="shared" ca="1" si="134"/>
        <v>0.10940337281314272</v>
      </c>
      <c r="DM110" s="1">
        <f t="shared" ca="1" si="135"/>
        <v>71</v>
      </c>
      <c r="DN110" s="1">
        <f t="shared" ca="1" si="136"/>
        <v>8</v>
      </c>
    </row>
    <row r="111" spans="2:118" x14ac:dyDescent="0.25">
      <c r="B111">
        <f t="shared" ca="1" si="69"/>
        <v>296</v>
      </c>
      <c r="C111">
        <f t="shared" ca="1" si="70"/>
        <v>26</v>
      </c>
      <c r="D111">
        <f t="shared" ca="1" si="71"/>
        <v>0.15068494152394571</v>
      </c>
      <c r="F111" s="1">
        <f t="shared" ca="1" si="72"/>
        <v>7</v>
      </c>
      <c r="G111" s="1">
        <f t="shared" ca="1" si="73"/>
        <v>27</v>
      </c>
      <c r="H111" s="1">
        <f t="shared" ca="1" si="74"/>
        <v>10</v>
      </c>
      <c r="I111" s="1"/>
      <c r="J111" s="1">
        <f t="shared" ca="1" si="75"/>
        <v>14</v>
      </c>
      <c r="K111" s="1">
        <f t="shared" ca="1" si="76"/>
        <v>1.9640645685674456</v>
      </c>
      <c r="L111" s="1">
        <f t="shared" ca="1" si="77"/>
        <v>8</v>
      </c>
      <c r="M111" s="1"/>
      <c r="N111" s="1">
        <f t="shared" ca="1" si="78"/>
        <v>399</v>
      </c>
      <c r="O111" s="1">
        <f t="shared" ca="1" si="79"/>
        <v>43</v>
      </c>
      <c r="P111" s="1"/>
      <c r="Q111" s="1">
        <f t="shared" ca="1" si="80"/>
        <v>1.0441014707860286</v>
      </c>
      <c r="R111" s="1">
        <f t="shared" ca="1" si="81"/>
        <v>489</v>
      </c>
      <c r="S111" s="1"/>
      <c r="T111" s="1">
        <f t="shared" ca="1" si="82"/>
        <v>0.12082290877053133</v>
      </c>
      <c r="U111" s="1">
        <f t="shared" ca="1" si="83"/>
        <v>425</v>
      </c>
      <c r="V111" s="1">
        <f t="shared" ca="1" si="84"/>
        <v>17</v>
      </c>
      <c r="W111" s="1"/>
      <c r="X111" s="1">
        <f t="shared" ca="1" si="85"/>
        <v>7.9456510030459446</v>
      </c>
      <c r="Y111" s="1">
        <f t="shared" ca="1" si="86"/>
        <v>0.54274515844634064</v>
      </c>
      <c r="Z111" s="1">
        <f t="shared" ca="1" si="87"/>
        <v>1116</v>
      </c>
      <c r="AB111" s="1">
        <f t="shared" ca="1" si="88"/>
        <v>0.17333146867940899</v>
      </c>
      <c r="AC111" s="1">
        <f t="shared" ca="1" si="89"/>
        <v>694</v>
      </c>
      <c r="AD111" s="1">
        <f t="shared" ca="1" si="90"/>
        <v>7.424509687244717E-3</v>
      </c>
      <c r="AE111" s="1"/>
      <c r="AF111" s="1">
        <f t="shared" ca="1" si="91"/>
        <v>0.23037459079883693</v>
      </c>
      <c r="AG111" s="1">
        <f t="shared" ca="1" si="92"/>
        <v>983</v>
      </c>
      <c r="AH111" s="1">
        <f t="shared" ca="1" si="93"/>
        <v>1.0995512640900001E-3</v>
      </c>
      <c r="AJ111" s="1">
        <f t="shared" ca="1" si="94"/>
        <v>0.42263628790034713</v>
      </c>
      <c r="AK111" s="1">
        <f t="shared" ca="1" si="95"/>
        <v>6.4285084735031962E-4</v>
      </c>
      <c r="AL111" s="1"/>
      <c r="AM111" s="1">
        <f t="shared" ca="1" si="96"/>
        <v>5.9489919907666416E-2</v>
      </c>
      <c r="AN111" s="1">
        <f t="shared" ca="1" si="97"/>
        <v>69</v>
      </c>
      <c r="AO111" s="1">
        <f t="shared" ca="1" si="98"/>
        <v>7</v>
      </c>
      <c r="AQ111" s="1">
        <f t="shared" ca="1" si="99"/>
        <v>92</v>
      </c>
      <c r="AR111" s="1">
        <f t="shared" ca="1" si="100"/>
        <v>8</v>
      </c>
      <c r="AS111" s="1">
        <f t="shared" ca="1" si="101"/>
        <v>72</v>
      </c>
      <c r="AU111" s="1">
        <f t="shared" ca="1" si="102"/>
        <v>256</v>
      </c>
      <c r="AV111" s="1">
        <f t="shared" ca="1" si="103"/>
        <v>2</v>
      </c>
      <c r="AW111" s="1">
        <f t="shared" ca="1" si="104"/>
        <v>0.12858604160455386</v>
      </c>
      <c r="AY111" s="1">
        <f t="shared" ca="1" si="105"/>
        <v>1.2184621202663763</v>
      </c>
      <c r="AZ111" s="1">
        <f t="shared" ca="1" si="106"/>
        <v>223</v>
      </c>
      <c r="BA111" s="1">
        <f t="shared" ca="1" si="107"/>
        <v>3.9140789685174864E-3</v>
      </c>
      <c r="BG111" s="1">
        <f t="shared" ca="1" si="108"/>
        <v>0.64578321048233034</v>
      </c>
      <c r="BH111" s="1">
        <f t="shared" ca="1" si="109"/>
        <v>0.64272489179355463</v>
      </c>
      <c r="BI111" s="1">
        <f t="shared" ca="1" si="110"/>
        <v>197</v>
      </c>
      <c r="BV111" s="1">
        <f t="shared" ca="1" si="111"/>
        <v>0.12104756242177959</v>
      </c>
      <c r="BW111" s="1">
        <f t="shared" ca="1" si="112"/>
        <v>850</v>
      </c>
      <c r="BX111" s="1">
        <f t="shared" ca="1" si="113"/>
        <v>8.6942136304349986E-3</v>
      </c>
      <c r="BY111" s="1">
        <f t="shared" ca="1" si="114"/>
        <v>2.7349464833293244E-2</v>
      </c>
      <c r="BZ111" s="1">
        <f t="shared" ca="1" si="115"/>
        <v>0.26882955263952291</v>
      </c>
      <c r="CB111" s="1">
        <f t="shared" ca="1" si="116"/>
        <v>188</v>
      </c>
      <c r="CC111" s="1">
        <f t="shared" ca="1" si="117"/>
        <v>10</v>
      </c>
      <c r="CD111" s="1">
        <f t="shared" ca="1" si="118"/>
        <v>0.14649736560532728</v>
      </c>
      <c r="CE111" s="1">
        <f t="shared" ca="1" si="137"/>
        <v>0.75246351497512376</v>
      </c>
      <c r="CF111" s="1">
        <f t="shared" ca="1" si="137"/>
        <v>0.7398772263197948</v>
      </c>
      <c r="CH111" s="3">
        <f t="shared" ca="1" si="120"/>
        <v>0.49099781943449439</v>
      </c>
      <c r="CI111" s="3">
        <f t="shared" ca="1" si="121"/>
        <v>0.79691168586955052</v>
      </c>
      <c r="CJ111" s="3">
        <f t="shared" ca="1" si="122"/>
        <v>905</v>
      </c>
      <c r="CK111" s="3">
        <f t="shared" ca="1" si="123"/>
        <v>1.8281929701068544E-3</v>
      </c>
      <c r="CL111" s="3">
        <f t="shared" ca="1" si="124"/>
        <v>0</v>
      </c>
      <c r="CM111" s="3"/>
      <c r="CN111" s="1">
        <f t="shared" ca="1" si="125"/>
        <v>9.9412177395383186</v>
      </c>
      <c r="CO111" s="1">
        <f t="shared" ca="1" si="126"/>
        <v>0.43919378189430086</v>
      </c>
      <c r="CP111" s="1">
        <f t="shared" ca="1" si="127"/>
        <v>4</v>
      </c>
      <c r="CV111" s="1">
        <f t="shared" ca="1" si="128"/>
        <v>0.7009426180291064</v>
      </c>
      <c r="CW111" s="1">
        <f t="shared" ca="1" si="129"/>
        <v>750</v>
      </c>
      <c r="CX111" s="1">
        <f t="shared" ca="1" si="130"/>
        <v>9.9797168509894209E-3</v>
      </c>
      <c r="DH111" s="1">
        <f t="shared" ca="1" si="131"/>
        <v>370</v>
      </c>
      <c r="DI111" s="1">
        <f t="shared" ca="1" si="132"/>
        <v>0.61826548077926158</v>
      </c>
      <c r="DJ111" s="1">
        <f t="shared" ca="1" si="133"/>
        <v>1</v>
      </c>
      <c r="DL111" s="1">
        <f t="shared" ca="1" si="134"/>
        <v>5.4705694010021386E-2</v>
      </c>
      <c r="DM111" s="1">
        <f t="shared" ca="1" si="135"/>
        <v>242</v>
      </c>
      <c r="DN111" s="1">
        <f t="shared" ca="1" si="136"/>
        <v>4</v>
      </c>
    </row>
    <row r="112" spans="2:118" x14ac:dyDescent="0.25">
      <c r="B112">
        <f t="shared" ca="1" si="69"/>
        <v>724</v>
      </c>
      <c r="C112">
        <f t="shared" ca="1" si="70"/>
        <v>20</v>
      </c>
      <c r="D112">
        <f t="shared" ca="1" si="71"/>
        <v>0.28351805951540227</v>
      </c>
      <c r="F112" s="1">
        <f t="shared" ca="1" si="72"/>
        <v>14</v>
      </c>
      <c r="G112" s="1">
        <f t="shared" ca="1" si="73"/>
        <v>28</v>
      </c>
      <c r="H112" s="1">
        <f t="shared" ca="1" si="74"/>
        <v>11</v>
      </c>
      <c r="I112" s="1"/>
      <c r="J112" s="1">
        <f t="shared" ca="1" si="75"/>
        <v>14</v>
      </c>
      <c r="K112" s="1">
        <f t="shared" ca="1" si="76"/>
        <v>1.7323657783385715</v>
      </c>
      <c r="L112" s="1">
        <f t="shared" ca="1" si="77"/>
        <v>11</v>
      </c>
      <c r="M112" s="1"/>
      <c r="N112" s="1">
        <f t="shared" ca="1" si="78"/>
        <v>920</v>
      </c>
      <c r="O112" s="1">
        <f t="shared" ca="1" si="79"/>
        <v>25</v>
      </c>
      <c r="P112" s="1"/>
      <c r="Q112" s="1">
        <f t="shared" ca="1" si="80"/>
        <v>2.7294644000899946</v>
      </c>
      <c r="R112" s="1">
        <f t="shared" ca="1" si="81"/>
        <v>589</v>
      </c>
      <c r="S112" s="1"/>
      <c r="T112" s="1">
        <f t="shared" ca="1" si="82"/>
        <v>0.14637293108250404</v>
      </c>
      <c r="U112" s="1">
        <f t="shared" ca="1" si="83"/>
        <v>173</v>
      </c>
      <c r="V112" s="1">
        <f t="shared" ca="1" si="84"/>
        <v>34</v>
      </c>
      <c r="W112" s="1"/>
      <c r="X112" s="1">
        <f t="shared" ca="1" si="85"/>
        <v>1.1372319164163416</v>
      </c>
      <c r="Y112" s="1">
        <f t="shared" ca="1" si="86"/>
        <v>3.0378890328459005E-2</v>
      </c>
      <c r="Z112" s="1">
        <f t="shared" ca="1" si="87"/>
        <v>1013</v>
      </c>
      <c r="AB112" s="1">
        <f t="shared" ca="1" si="88"/>
        <v>0.98749141742160806</v>
      </c>
      <c r="AC112" s="1">
        <f t="shared" ca="1" si="89"/>
        <v>282</v>
      </c>
      <c r="AD112" s="1">
        <f t="shared" ca="1" si="90"/>
        <v>6.6189670140161441E-3</v>
      </c>
      <c r="AE112" s="1"/>
      <c r="AF112" s="1">
        <f t="shared" ca="1" si="91"/>
        <v>0.14028440618857047</v>
      </c>
      <c r="AG112" s="1">
        <f t="shared" ca="1" si="92"/>
        <v>625</v>
      </c>
      <c r="AH112" s="1">
        <f t="shared" ca="1" si="93"/>
        <v>9.1940612630537818E-3</v>
      </c>
      <c r="AJ112" s="1">
        <f t="shared" ca="1" si="94"/>
        <v>0.45377517489950159</v>
      </c>
      <c r="AK112" s="1">
        <f t="shared" ca="1" si="95"/>
        <v>2.4999344744661995E-3</v>
      </c>
      <c r="AL112" s="1"/>
      <c r="AM112" s="1">
        <f t="shared" ca="1" si="96"/>
        <v>9.005710824135435E-2</v>
      </c>
      <c r="AN112" s="1">
        <f t="shared" ca="1" si="97"/>
        <v>80</v>
      </c>
      <c r="AO112" s="1">
        <f t="shared" ca="1" si="98"/>
        <v>-1</v>
      </c>
      <c r="AQ112" s="1">
        <f t="shared" ca="1" si="99"/>
        <v>186</v>
      </c>
      <c r="AR112" s="1">
        <f t="shared" ca="1" si="100"/>
        <v>9</v>
      </c>
      <c r="AS112" s="1">
        <f t="shared" ca="1" si="101"/>
        <v>40</v>
      </c>
      <c r="AU112" s="1">
        <f t="shared" ca="1" si="102"/>
        <v>169</v>
      </c>
      <c r="AV112" s="1">
        <f t="shared" ca="1" si="103"/>
        <v>10</v>
      </c>
      <c r="AW112" s="1">
        <f t="shared" ca="1" si="104"/>
        <v>0.16896267904848025</v>
      </c>
      <c r="AY112" s="1">
        <f t="shared" ca="1" si="105"/>
        <v>1.909123114124164</v>
      </c>
      <c r="AZ112" s="1">
        <f t="shared" ca="1" si="106"/>
        <v>238</v>
      </c>
      <c r="BA112" s="1">
        <f t="shared" ca="1" si="107"/>
        <v>2.2428595746646208E-3</v>
      </c>
      <c r="BG112" s="1">
        <f t="shared" ca="1" si="108"/>
        <v>0.90360081773395751</v>
      </c>
      <c r="BH112" s="1">
        <f t="shared" ca="1" si="109"/>
        <v>0.85703649411034322</v>
      </c>
      <c r="BI112" s="1">
        <f t="shared" ca="1" si="110"/>
        <v>471</v>
      </c>
      <c r="BV112" s="1">
        <f t="shared" ca="1" si="111"/>
        <v>0.18639844960791846</v>
      </c>
      <c r="BW112" s="1">
        <f t="shared" ca="1" si="112"/>
        <v>791</v>
      </c>
      <c r="BX112" s="1">
        <f t="shared" ca="1" si="113"/>
        <v>8.316079112812411E-3</v>
      </c>
      <c r="BY112" s="1">
        <f t="shared" ca="1" si="114"/>
        <v>6.1579679987895666E-2</v>
      </c>
      <c r="BZ112" s="1">
        <f t="shared" ca="1" si="115"/>
        <v>0.44798262166231917</v>
      </c>
      <c r="CB112" s="1">
        <f t="shared" ca="1" si="116"/>
        <v>168</v>
      </c>
      <c r="CC112" s="1">
        <f t="shared" ca="1" si="117"/>
        <v>5</v>
      </c>
      <c r="CD112" s="1">
        <f t="shared" ca="1" si="118"/>
        <v>2.8629446450542238E-2</v>
      </c>
      <c r="CE112" s="1">
        <f t="shared" ca="1" si="137"/>
        <v>0.73146585085561122</v>
      </c>
      <c r="CF112" s="1">
        <f t="shared" ca="1" si="137"/>
        <v>0.76468106789577672</v>
      </c>
      <c r="CH112" s="3">
        <f t="shared" ca="1" si="120"/>
        <v>0.79552771288797997</v>
      </c>
      <c r="CI112" s="3">
        <f t="shared" ca="1" si="121"/>
        <v>0.51344553258668468</v>
      </c>
      <c r="CJ112" s="3">
        <f t="shared" ca="1" si="122"/>
        <v>1330</v>
      </c>
      <c r="CK112" s="3">
        <f t="shared" ca="1" si="123"/>
        <v>5.3979912420380341E-3</v>
      </c>
      <c r="CL112" s="3">
        <f t="shared" ca="1" si="124"/>
        <v>1</v>
      </c>
      <c r="CM112" s="3"/>
      <c r="CN112" s="1">
        <f t="shared" ca="1" si="125"/>
        <v>9.0840590827614758</v>
      </c>
      <c r="CO112" s="1">
        <f t="shared" ca="1" si="126"/>
        <v>0.14615397876061884</v>
      </c>
      <c r="CP112" s="1">
        <f t="shared" ca="1" si="127"/>
        <v>4</v>
      </c>
      <c r="CV112" s="1">
        <f t="shared" ca="1" si="128"/>
        <v>2.2771970907166765</v>
      </c>
      <c r="CW112" s="1">
        <f t="shared" ca="1" si="129"/>
        <v>1333</v>
      </c>
      <c r="CX112" s="1">
        <f t="shared" ca="1" si="130"/>
        <v>9.1066145624498253E-3</v>
      </c>
      <c r="DH112" s="1">
        <f t="shared" ca="1" si="131"/>
        <v>434</v>
      </c>
      <c r="DI112" s="1">
        <f t="shared" ca="1" si="132"/>
        <v>0.21722355462530854</v>
      </c>
      <c r="DJ112" s="1">
        <f t="shared" ca="1" si="133"/>
        <v>21</v>
      </c>
      <c r="DL112" s="1">
        <f t="shared" ca="1" si="134"/>
        <v>0.12537179570067611</v>
      </c>
      <c r="DM112" s="1">
        <f t="shared" ca="1" si="135"/>
        <v>172</v>
      </c>
      <c r="DN112" s="1">
        <f t="shared" ca="1" si="136"/>
        <v>3</v>
      </c>
    </row>
    <row r="113" spans="2:118" x14ac:dyDescent="0.25">
      <c r="B113">
        <f t="shared" ca="1" si="69"/>
        <v>421</v>
      </c>
      <c r="C113">
        <f t="shared" ca="1" si="70"/>
        <v>2</v>
      </c>
      <c r="D113">
        <f t="shared" ca="1" si="71"/>
        <v>0.25128194341623789</v>
      </c>
      <c r="F113" s="1">
        <f t="shared" ca="1" si="72"/>
        <v>48</v>
      </c>
      <c r="G113" s="1">
        <f t="shared" ca="1" si="73"/>
        <v>14</v>
      </c>
      <c r="H113" s="1">
        <f t="shared" ca="1" si="74"/>
        <v>4</v>
      </c>
      <c r="I113" s="1"/>
      <c r="J113" s="1">
        <f t="shared" ca="1" si="75"/>
        <v>26</v>
      </c>
      <c r="K113" s="1">
        <f t="shared" ca="1" si="76"/>
        <v>2.9808445049362922</v>
      </c>
      <c r="L113" s="1">
        <f t="shared" ca="1" si="77"/>
        <v>3</v>
      </c>
      <c r="M113" s="1"/>
      <c r="N113" s="1">
        <f t="shared" ca="1" si="78"/>
        <v>532</v>
      </c>
      <c r="O113" s="1">
        <f t="shared" ca="1" si="79"/>
        <v>11</v>
      </c>
      <c r="P113" s="1"/>
      <c r="Q113" s="1">
        <f t="shared" ca="1" si="80"/>
        <v>3.5434614989667828</v>
      </c>
      <c r="R113" s="1">
        <f t="shared" ca="1" si="81"/>
        <v>476</v>
      </c>
      <c r="S113" s="1"/>
      <c r="T113" s="1">
        <f t="shared" ca="1" si="82"/>
        <v>0.11735630397564598</v>
      </c>
      <c r="U113" s="1">
        <f t="shared" ca="1" si="83"/>
        <v>352</v>
      </c>
      <c r="V113" s="1">
        <f t="shared" ca="1" si="84"/>
        <v>20</v>
      </c>
      <c r="W113" s="1"/>
      <c r="X113" s="1">
        <f t="shared" ca="1" si="85"/>
        <v>5.3247883208526225</v>
      </c>
      <c r="Y113" s="1">
        <f t="shared" ca="1" si="86"/>
        <v>0.94801845712635568</v>
      </c>
      <c r="Z113" s="1">
        <f t="shared" ca="1" si="87"/>
        <v>662</v>
      </c>
      <c r="AB113" s="1">
        <f t="shared" ca="1" si="88"/>
        <v>0.44302379365143507</v>
      </c>
      <c r="AC113" s="1">
        <f t="shared" ca="1" si="89"/>
        <v>413</v>
      </c>
      <c r="AD113" s="1">
        <f t="shared" ca="1" si="90"/>
        <v>7.6797707868497059E-3</v>
      </c>
      <c r="AE113" s="1"/>
      <c r="AF113" s="1">
        <f t="shared" ca="1" si="91"/>
        <v>0.48064562524421084</v>
      </c>
      <c r="AG113" s="1">
        <f t="shared" ca="1" si="92"/>
        <v>649</v>
      </c>
      <c r="AH113" s="1">
        <f t="shared" ca="1" si="93"/>
        <v>2.4880166556703037E-3</v>
      </c>
      <c r="AJ113" s="1">
        <f t="shared" ca="1" si="94"/>
        <v>0.20284456765621439</v>
      </c>
      <c r="AK113" s="1">
        <f t="shared" ca="1" si="95"/>
        <v>5.3975974413577018E-3</v>
      </c>
      <c r="AL113" s="1"/>
      <c r="AM113" s="1">
        <f t="shared" ca="1" si="96"/>
        <v>0.14398999677581623</v>
      </c>
      <c r="AN113" s="1">
        <f t="shared" ca="1" si="97"/>
        <v>31</v>
      </c>
      <c r="AO113" s="1">
        <f t="shared" ca="1" si="98"/>
        <v>11</v>
      </c>
      <c r="AQ113" s="1">
        <f t="shared" ca="1" si="99"/>
        <v>187</v>
      </c>
      <c r="AR113" s="1">
        <f t="shared" ca="1" si="100"/>
        <v>5</v>
      </c>
      <c r="AS113" s="1">
        <f t="shared" ca="1" si="101"/>
        <v>83</v>
      </c>
      <c r="AU113" s="1">
        <f t="shared" ca="1" si="102"/>
        <v>97</v>
      </c>
      <c r="AV113" s="1">
        <f t="shared" ca="1" si="103"/>
        <v>6</v>
      </c>
      <c r="AW113" s="1">
        <f t="shared" ca="1" si="104"/>
        <v>2.1793600317196338E-2</v>
      </c>
      <c r="AY113" s="1">
        <f t="shared" ca="1" si="105"/>
        <v>1.3310585867993261</v>
      </c>
      <c r="AZ113" s="1">
        <f t="shared" ca="1" si="106"/>
        <v>388</v>
      </c>
      <c r="BA113" s="1">
        <f t="shared" ca="1" si="107"/>
        <v>2.2525728896340045E-3</v>
      </c>
      <c r="BG113" s="1">
        <f t="shared" ca="1" si="108"/>
        <v>0.98567175849219135</v>
      </c>
      <c r="BH113" s="1">
        <f t="shared" ca="1" si="109"/>
        <v>0.16002482884394975</v>
      </c>
      <c r="BI113" s="1">
        <f t="shared" ca="1" si="110"/>
        <v>191</v>
      </c>
      <c r="BV113" s="1">
        <f t="shared" ca="1" si="111"/>
        <v>0.29300427209761642</v>
      </c>
      <c r="BW113" s="1">
        <f t="shared" ca="1" si="112"/>
        <v>669</v>
      </c>
      <c r="BX113" s="1">
        <f t="shared" ca="1" si="113"/>
        <v>4.0021762683634058E-3</v>
      </c>
      <c r="BY113" s="1">
        <f t="shared" ca="1" si="114"/>
        <v>3.6993657246766141E-2</v>
      </c>
      <c r="BZ113" s="1">
        <f t="shared" ca="1" si="115"/>
        <v>0.5443538586716945</v>
      </c>
      <c r="CB113" s="1">
        <f t="shared" ca="1" si="116"/>
        <v>186</v>
      </c>
      <c r="CC113" s="1">
        <f t="shared" ca="1" si="117"/>
        <v>10</v>
      </c>
      <c r="CD113" s="1">
        <f t="shared" ca="1" si="118"/>
        <v>0.15913858982990073</v>
      </c>
      <c r="CE113" s="1">
        <f t="shared" ca="1" si="137"/>
        <v>0.9070401509681284</v>
      </c>
      <c r="CF113" s="1">
        <f t="shared" ca="1" si="137"/>
        <v>0.96055018368685252</v>
      </c>
      <c r="CH113" s="3">
        <f t="shared" ca="1" si="120"/>
        <v>0.63226934457281703</v>
      </c>
      <c r="CI113" s="3">
        <f t="shared" ca="1" si="121"/>
        <v>0.73419023645115089</v>
      </c>
      <c r="CJ113" s="3">
        <f t="shared" ca="1" si="122"/>
        <v>1199</v>
      </c>
      <c r="CK113" s="3">
        <f t="shared" ca="1" si="123"/>
        <v>3.666165983528044E-3</v>
      </c>
      <c r="CL113" s="3">
        <f t="shared" ca="1" si="124"/>
        <v>1</v>
      </c>
      <c r="CM113" s="3"/>
      <c r="CN113" s="1">
        <f t="shared" ca="1" si="125"/>
        <v>0.30802001429802112</v>
      </c>
      <c r="CO113" s="1">
        <f t="shared" ca="1" si="126"/>
        <v>0.46924733136645347</v>
      </c>
      <c r="CP113" s="1">
        <f t="shared" ca="1" si="127"/>
        <v>2</v>
      </c>
      <c r="CV113" s="1">
        <f t="shared" ca="1" si="128"/>
        <v>5.553282647154167</v>
      </c>
      <c r="CW113" s="1">
        <f t="shared" ca="1" si="129"/>
        <v>1212</v>
      </c>
      <c r="CX113" s="1">
        <f t="shared" ca="1" si="130"/>
        <v>6.9039945638517189E-3</v>
      </c>
      <c r="DH113" s="1">
        <f t="shared" ca="1" si="131"/>
        <v>172</v>
      </c>
      <c r="DI113" s="1">
        <f t="shared" ca="1" si="132"/>
        <v>0.3009020652656037</v>
      </c>
      <c r="DJ113" s="1">
        <f t="shared" ca="1" si="133"/>
        <v>6</v>
      </c>
      <c r="DL113" s="1">
        <f t="shared" ca="1" si="134"/>
        <v>0.12203439869300781</v>
      </c>
      <c r="DM113" s="1">
        <f t="shared" ca="1" si="135"/>
        <v>127</v>
      </c>
      <c r="DN113" s="1">
        <f t="shared" ca="1" si="136"/>
        <v>8</v>
      </c>
    </row>
    <row r="114" spans="2:118" x14ac:dyDescent="0.25">
      <c r="B114">
        <f t="shared" ca="1" si="69"/>
        <v>164</v>
      </c>
      <c r="C114">
        <f t="shared" ca="1" si="70"/>
        <v>33</v>
      </c>
      <c r="D114">
        <f t="shared" ca="1" si="71"/>
        <v>0.17360069835043879</v>
      </c>
      <c r="F114" s="1">
        <f t="shared" ca="1" si="72"/>
        <v>38</v>
      </c>
      <c r="G114" s="1">
        <f t="shared" ca="1" si="73"/>
        <v>3</v>
      </c>
      <c r="H114" s="1">
        <f t="shared" ca="1" si="74"/>
        <v>2</v>
      </c>
      <c r="I114" s="1"/>
      <c r="J114" s="1">
        <f t="shared" ca="1" si="75"/>
        <v>16</v>
      </c>
      <c r="K114" s="1">
        <f t="shared" ca="1" si="76"/>
        <v>1.1318289372373282</v>
      </c>
      <c r="L114" s="1">
        <f t="shared" ca="1" si="77"/>
        <v>31</v>
      </c>
      <c r="M114" s="1"/>
      <c r="N114" s="1">
        <f t="shared" ca="1" si="78"/>
        <v>990</v>
      </c>
      <c r="O114" s="1">
        <f t="shared" ca="1" si="79"/>
        <v>26</v>
      </c>
      <c r="P114" s="1"/>
      <c r="Q114" s="1">
        <f t="shared" ca="1" si="80"/>
        <v>3.5318504451978288</v>
      </c>
      <c r="R114" s="1">
        <f t="shared" ca="1" si="81"/>
        <v>776</v>
      </c>
      <c r="S114" s="1"/>
      <c r="T114" s="1">
        <f t="shared" ca="1" si="82"/>
        <v>3.6763017682168907E-2</v>
      </c>
      <c r="U114" s="1">
        <f t="shared" ca="1" si="83"/>
        <v>115</v>
      </c>
      <c r="V114" s="1">
        <f t="shared" ca="1" si="84"/>
        <v>35</v>
      </c>
      <c r="W114" s="1"/>
      <c r="X114" s="1">
        <f t="shared" ca="1" si="85"/>
        <v>1.6980243280181051</v>
      </c>
      <c r="Y114" s="1">
        <f t="shared" ca="1" si="86"/>
        <v>0.57388543063948394</v>
      </c>
      <c r="Z114" s="1">
        <f t="shared" ca="1" si="87"/>
        <v>1200</v>
      </c>
      <c r="AB114" s="1">
        <f t="shared" ca="1" si="88"/>
        <v>1.7176996672038022E-2</v>
      </c>
      <c r="AC114" s="1">
        <f t="shared" ca="1" si="89"/>
        <v>269</v>
      </c>
      <c r="AD114" s="1">
        <f t="shared" ca="1" si="90"/>
        <v>9.6187006831964759E-3</v>
      </c>
      <c r="AE114" s="1"/>
      <c r="AF114" s="1">
        <f t="shared" ca="1" si="91"/>
        <v>0.47982764956133817</v>
      </c>
      <c r="AG114" s="1">
        <f t="shared" ca="1" si="92"/>
        <v>180</v>
      </c>
      <c r="AH114" s="1">
        <f t="shared" ca="1" si="93"/>
        <v>1.5246162026692957E-3</v>
      </c>
      <c r="AJ114" s="1">
        <f t="shared" ca="1" si="94"/>
        <v>0.25075520645479654</v>
      </c>
      <c r="AK114" s="1">
        <f t="shared" ca="1" si="95"/>
        <v>8.2606864907875275E-5</v>
      </c>
      <c r="AL114" s="1"/>
      <c r="AM114" s="1">
        <f t="shared" ca="1" si="96"/>
        <v>0.17353582858312996</v>
      </c>
      <c r="AN114" s="1">
        <f t="shared" ca="1" si="97"/>
        <v>73</v>
      </c>
      <c r="AO114" s="1">
        <f t="shared" ca="1" si="98"/>
        <v>15</v>
      </c>
      <c r="AQ114" s="1">
        <f t="shared" ca="1" si="99"/>
        <v>97</v>
      </c>
      <c r="AR114" s="1">
        <f t="shared" ca="1" si="100"/>
        <v>9</v>
      </c>
      <c r="AS114" s="1">
        <f t="shared" ca="1" si="101"/>
        <v>85</v>
      </c>
      <c r="AU114" s="1">
        <f t="shared" ca="1" si="102"/>
        <v>139</v>
      </c>
      <c r="AV114" s="1">
        <f t="shared" ca="1" si="103"/>
        <v>6</v>
      </c>
      <c r="AW114" s="1">
        <f t="shared" ca="1" si="104"/>
        <v>0.16163073145548995</v>
      </c>
      <c r="AY114" s="1">
        <f t="shared" ca="1" si="105"/>
        <v>1.8204320182730604</v>
      </c>
      <c r="AZ114" s="1">
        <f t="shared" ca="1" si="106"/>
        <v>311</v>
      </c>
      <c r="BA114" s="1">
        <f t="shared" ca="1" si="107"/>
        <v>5.7895604539387868E-3</v>
      </c>
      <c r="BG114" s="1">
        <f t="shared" ca="1" si="108"/>
        <v>0.79579135190892436</v>
      </c>
      <c r="BH114" s="1">
        <f t="shared" ca="1" si="109"/>
        <v>0.16397721886068206</v>
      </c>
      <c r="BI114" s="1">
        <f t="shared" ca="1" si="110"/>
        <v>865</v>
      </c>
      <c r="BV114" s="1">
        <f t="shared" ca="1" si="111"/>
        <v>0.51618221191220648</v>
      </c>
      <c r="BW114" s="1">
        <f t="shared" ca="1" si="112"/>
        <v>490</v>
      </c>
      <c r="BX114" s="1">
        <f t="shared" ca="1" si="113"/>
        <v>8.8704025704078489E-3</v>
      </c>
      <c r="BY114" s="1">
        <f t="shared" ca="1" si="114"/>
        <v>8.1512932166008897E-2</v>
      </c>
      <c r="BZ114" s="1">
        <f t="shared" ca="1" si="115"/>
        <v>0.99620443314289697</v>
      </c>
      <c r="CB114" s="1">
        <f t="shared" ca="1" si="116"/>
        <v>120</v>
      </c>
      <c r="CC114" s="1">
        <f t="shared" ca="1" si="117"/>
        <v>15</v>
      </c>
      <c r="CD114" s="1">
        <f t="shared" ca="1" si="118"/>
        <v>0.17734581526570764</v>
      </c>
      <c r="CE114" s="1">
        <f t="shared" ca="1" si="137"/>
        <v>0.66673871549408759</v>
      </c>
      <c r="CF114" s="1">
        <f t="shared" ca="1" si="137"/>
        <v>0.62720072399916871</v>
      </c>
      <c r="CH114" s="3">
        <f t="shared" ca="1" si="120"/>
        <v>0.46100631671959263</v>
      </c>
      <c r="CI114" s="3">
        <f t="shared" ca="1" si="121"/>
        <v>0.81166993638091745</v>
      </c>
      <c r="CJ114" s="3">
        <f t="shared" ca="1" si="122"/>
        <v>1849</v>
      </c>
      <c r="CK114" s="3">
        <f t="shared" ca="1" si="123"/>
        <v>4.2608691646305622E-3</v>
      </c>
      <c r="CL114" s="3">
        <f t="shared" ca="1" si="124"/>
        <v>0</v>
      </c>
      <c r="CM114" s="3"/>
      <c r="CN114" s="1">
        <f t="shared" ca="1" si="125"/>
        <v>0.21301076477129582</v>
      </c>
      <c r="CO114" s="1">
        <f t="shared" ca="1" si="126"/>
        <v>0.16823551241798468</v>
      </c>
      <c r="CP114" s="1">
        <f t="shared" ca="1" si="127"/>
        <v>4</v>
      </c>
      <c r="CV114" s="1">
        <f t="shared" ca="1" si="128"/>
        <v>5.9105468765363378</v>
      </c>
      <c r="CW114" s="1">
        <f t="shared" ca="1" si="129"/>
        <v>1766</v>
      </c>
      <c r="CX114" s="1">
        <f t="shared" ca="1" si="130"/>
        <v>4.0502523095316796E-3</v>
      </c>
      <c r="DH114" s="1">
        <f t="shared" ca="1" si="131"/>
        <v>766</v>
      </c>
      <c r="DI114" s="1">
        <f t="shared" ca="1" si="132"/>
        <v>0.75379206963304679</v>
      </c>
      <c r="DJ114" s="1">
        <f t="shared" ca="1" si="133"/>
        <v>9</v>
      </c>
      <c r="DL114" s="1">
        <f t="shared" ca="1" si="134"/>
        <v>6.223683441446063E-2</v>
      </c>
      <c r="DM114" s="1">
        <f t="shared" ca="1" si="135"/>
        <v>248</v>
      </c>
      <c r="DN114" s="1">
        <f t="shared" ca="1" si="136"/>
        <v>10</v>
      </c>
    </row>
    <row r="115" spans="2:118" x14ac:dyDescent="0.25">
      <c r="B115">
        <f t="shared" ca="1" si="69"/>
        <v>56</v>
      </c>
      <c r="C115">
        <f t="shared" ca="1" si="70"/>
        <v>7</v>
      </c>
      <c r="D115">
        <f t="shared" ca="1" si="71"/>
        <v>4.5081170794201181E-2</v>
      </c>
      <c r="F115" s="1">
        <f t="shared" ca="1" si="72"/>
        <v>29</v>
      </c>
      <c r="G115" s="1">
        <f t="shared" ca="1" si="73"/>
        <v>2</v>
      </c>
      <c r="H115" s="1">
        <f t="shared" ca="1" si="74"/>
        <v>5</v>
      </c>
      <c r="I115" s="1"/>
      <c r="J115" s="1">
        <f t="shared" ca="1" si="75"/>
        <v>17</v>
      </c>
      <c r="K115" s="1">
        <f t="shared" ca="1" si="76"/>
        <v>1.4715583014794829</v>
      </c>
      <c r="L115" s="1">
        <f t="shared" ca="1" si="77"/>
        <v>26</v>
      </c>
      <c r="M115" s="1"/>
      <c r="N115" s="1">
        <f t="shared" ca="1" si="78"/>
        <v>473</v>
      </c>
      <c r="O115" s="1">
        <f t="shared" ca="1" si="79"/>
        <v>14</v>
      </c>
      <c r="P115" s="1"/>
      <c r="Q115" s="1">
        <f t="shared" ca="1" si="80"/>
        <v>2.5347818625564744</v>
      </c>
      <c r="R115" s="1">
        <f t="shared" ca="1" si="81"/>
        <v>882</v>
      </c>
      <c r="S115" s="1"/>
      <c r="T115" s="1">
        <f t="shared" ca="1" si="82"/>
        <v>0.10214418978342196</v>
      </c>
      <c r="U115" s="1">
        <f t="shared" ca="1" si="83"/>
        <v>287</v>
      </c>
      <c r="V115" s="1">
        <f t="shared" ca="1" si="84"/>
        <v>28</v>
      </c>
      <c r="W115" s="1"/>
      <c r="X115" s="1">
        <f t="shared" ca="1" si="85"/>
        <v>5.8462804845625707</v>
      </c>
      <c r="Y115" s="1">
        <f t="shared" ca="1" si="86"/>
        <v>0.36549191907510103</v>
      </c>
      <c r="Z115" s="1">
        <f t="shared" ca="1" si="87"/>
        <v>1893</v>
      </c>
      <c r="AB115" s="1">
        <f t="shared" ca="1" si="88"/>
        <v>9.6128192818467587E-2</v>
      </c>
      <c r="AC115" s="1">
        <f t="shared" ca="1" si="89"/>
        <v>832</v>
      </c>
      <c r="AD115" s="1">
        <f t="shared" ca="1" si="90"/>
        <v>6.5142292277817629E-3</v>
      </c>
      <c r="AE115" s="1"/>
      <c r="AF115" s="1">
        <f t="shared" ca="1" si="91"/>
        <v>0.64446416511188742</v>
      </c>
      <c r="AG115" s="1">
        <f t="shared" ca="1" si="92"/>
        <v>897</v>
      </c>
      <c r="AH115" s="1">
        <f t="shared" ca="1" si="93"/>
        <v>4.5153460238223347E-3</v>
      </c>
      <c r="AJ115" s="1">
        <f t="shared" ca="1" si="94"/>
        <v>0.51155796219677441</v>
      </c>
      <c r="AK115" s="1">
        <f t="shared" ca="1" si="95"/>
        <v>9.9567447076035973E-3</v>
      </c>
      <c r="AL115" s="1"/>
      <c r="AM115" s="1">
        <f t="shared" ca="1" si="96"/>
        <v>0.19701700398472788</v>
      </c>
      <c r="AN115" s="1">
        <f t="shared" ca="1" si="97"/>
        <v>77</v>
      </c>
      <c r="AO115" s="1">
        <f t="shared" ca="1" si="98"/>
        <v>20</v>
      </c>
      <c r="AQ115" s="1">
        <f t="shared" ca="1" si="99"/>
        <v>105</v>
      </c>
      <c r="AR115" s="1">
        <f t="shared" ca="1" si="100"/>
        <v>8</v>
      </c>
      <c r="AS115" s="1">
        <f t="shared" ca="1" si="101"/>
        <v>60</v>
      </c>
      <c r="AU115" s="1">
        <f t="shared" ca="1" si="102"/>
        <v>196</v>
      </c>
      <c r="AV115" s="1">
        <f t="shared" ca="1" si="103"/>
        <v>4</v>
      </c>
      <c r="AW115" s="1">
        <f t="shared" ca="1" si="104"/>
        <v>5.2103651061705725E-2</v>
      </c>
      <c r="AY115" s="1">
        <f t="shared" ca="1" si="105"/>
        <v>1.8913374806082359</v>
      </c>
      <c r="AZ115" s="1">
        <f t="shared" ca="1" si="106"/>
        <v>100</v>
      </c>
      <c r="BA115" s="1">
        <f t="shared" ca="1" si="107"/>
        <v>8.9351515067230027E-3</v>
      </c>
      <c r="BG115" s="1">
        <f t="shared" ca="1" si="108"/>
        <v>0.55987154519212268</v>
      </c>
      <c r="BH115" s="1">
        <f t="shared" ca="1" si="109"/>
        <v>0.73175468158739387</v>
      </c>
      <c r="BI115" s="1">
        <f t="shared" ca="1" si="110"/>
        <v>156</v>
      </c>
      <c r="BV115" s="1">
        <f t="shared" ca="1" si="111"/>
        <v>0.28356843362247219</v>
      </c>
      <c r="BW115" s="1">
        <f t="shared" ca="1" si="112"/>
        <v>126</v>
      </c>
      <c r="BX115" s="1">
        <f t="shared" ca="1" si="113"/>
        <v>3.4457973622606872E-3</v>
      </c>
      <c r="BY115" s="1">
        <f t="shared" ca="1" si="114"/>
        <v>2.4503115362691792E-2</v>
      </c>
      <c r="BZ115" s="1">
        <f t="shared" ca="1" si="115"/>
        <v>0.53593621396098201</v>
      </c>
      <c r="CB115" s="1">
        <f t="shared" ca="1" si="116"/>
        <v>86</v>
      </c>
      <c r="CC115" s="1">
        <f t="shared" ca="1" si="117"/>
        <v>7</v>
      </c>
      <c r="CD115" s="1">
        <f t="shared" ca="1" si="118"/>
        <v>0.13613637994819763</v>
      </c>
      <c r="CE115" s="1">
        <f t="shared" ca="1" si="137"/>
        <v>0.97853566635279066</v>
      </c>
      <c r="CF115" s="1">
        <f t="shared" ca="1" si="137"/>
        <v>0.70548930836605916</v>
      </c>
      <c r="CH115" s="3">
        <f t="shared" ca="1" si="120"/>
        <v>0.40390108587690188</v>
      </c>
      <c r="CI115" s="3">
        <f t="shared" ca="1" si="121"/>
        <v>0.8502938325982331</v>
      </c>
      <c r="CJ115" s="3">
        <f t="shared" ca="1" si="122"/>
        <v>1638</v>
      </c>
      <c r="CK115" s="3">
        <f t="shared" ca="1" si="123"/>
        <v>1.8767964354803202E-3</v>
      </c>
      <c r="CL115" s="3">
        <f t="shared" ca="1" si="124"/>
        <v>1</v>
      </c>
      <c r="CM115" s="3"/>
      <c r="CN115" s="1">
        <f t="shared" ca="1" si="125"/>
        <v>19.79860202440533</v>
      </c>
      <c r="CO115" s="1">
        <f t="shared" ca="1" si="126"/>
        <v>0.1442022853309885</v>
      </c>
      <c r="CP115" s="1">
        <f t="shared" ca="1" si="127"/>
        <v>4</v>
      </c>
      <c r="CV115" s="1">
        <f t="shared" ca="1" si="128"/>
        <v>9.6953078606804191</v>
      </c>
      <c r="CW115" s="1">
        <f t="shared" ca="1" si="129"/>
        <v>1708</v>
      </c>
      <c r="CX115" s="1">
        <f t="shared" ca="1" si="130"/>
        <v>3.4842579966814025E-3</v>
      </c>
      <c r="DH115" s="1">
        <f t="shared" ca="1" si="131"/>
        <v>33</v>
      </c>
      <c r="DI115" s="1">
        <f t="shared" ca="1" si="132"/>
        <v>0.84491501382363488</v>
      </c>
      <c r="DJ115" s="1">
        <f t="shared" ca="1" si="133"/>
        <v>14</v>
      </c>
      <c r="DL115" s="1">
        <f t="shared" ca="1" si="134"/>
        <v>0.19271615569150471</v>
      </c>
      <c r="DM115" s="1">
        <f t="shared" ca="1" si="135"/>
        <v>275</v>
      </c>
      <c r="DN115" s="1">
        <f t="shared" ca="1" si="136"/>
        <v>9</v>
      </c>
    </row>
    <row r="116" spans="2:118" x14ac:dyDescent="0.25">
      <c r="B116">
        <f t="shared" ca="1" si="69"/>
        <v>971</v>
      </c>
      <c r="C116">
        <f t="shared" ca="1" si="70"/>
        <v>29</v>
      </c>
      <c r="D116">
        <f t="shared" ca="1" si="71"/>
        <v>5.8924275020792047E-2</v>
      </c>
      <c r="F116" s="1">
        <f t="shared" ca="1" si="72"/>
        <v>21</v>
      </c>
      <c r="G116" s="1">
        <f t="shared" ca="1" si="73"/>
        <v>23</v>
      </c>
      <c r="H116" s="1">
        <f t="shared" ca="1" si="74"/>
        <v>12</v>
      </c>
      <c r="I116" s="1"/>
      <c r="J116" s="1">
        <f t="shared" ca="1" si="75"/>
        <v>39</v>
      </c>
      <c r="K116" s="1">
        <f t="shared" ca="1" si="76"/>
        <v>2.8482591339349321</v>
      </c>
      <c r="L116" s="1">
        <f t="shared" ca="1" si="77"/>
        <v>24</v>
      </c>
      <c r="M116" s="1"/>
      <c r="N116" s="1">
        <f t="shared" ca="1" si="78"/>
        <v>190</v>
      </c>
      <c r="O116" s="1">
        <f t="shared" ca="1" si="79"/>
        <v>50</v>
      </c>
      <c r="P116" s="1"/>
      <c r="Q116" s="1">
        <f t="shared" ca="1" si="80"/>
        <v>3.1201863496780646</v>
      </c>
      <c r="R116" s="1">
        <f t="shared" ca="1" si="81"/>
        <v>500</v>
      </c>
      <c r="S116" s="1"/>
      <c r="T116" s="1">
        <f t="shared" ca="1" si="82"/>
        <v>7.4084003597553336E-2</v>
      </c>
      <c r="U116" s="1">
        <f t="shared" ca="1" si="83"/>
        <v>177</v>
      </c>
      <c r="V116" s="1">
        <f t="shared" ca="1" si="84"/>
        <v>30</v>
      </c>
      <c r="W116" s="1"/>
      <c r="X116" s="1">
        <f t="shared" ca="1" si="85"/>
        <v>5.3028368874619201</v>
      </c>
      <c r="Y116" s="1">
        <f t="shared" ca="1" si="86"/>
        <v>0.8186277615538633</v>
      </c>
      <c r="Z116" s="1">
        <f t="shared" ca="1" si="87"/>
        <v>770</v>
      </c>
      <c r="AB116" s="1">
        <f t="shared" ca="1" si="88"/>
        <v>0.59099055807181156</v>
      </c>
      <c r="AC116" s="1">
        <f t="shared" ca="1" si="89"/>
        <v>891</v>
      </c>
      <c r="AD116" s="1">
        <f t="shared" ca="1" si="90"/>
        <v>9.4227985382945769E-3</v>
      </c>
      <c r="AE116" s="1"/>
      <c r="AF116" s="1">
        <f t="shared" ca="1" si="91"/>
        <v>0.60964105380797118</v>
      </c>
      <c r="AG116" s="1">
        <f t="shared" ca="1" si="92"/>
        <v>277</v>
      </c>
      <c r="AH116" s="1">
        <f t="shared" ca="1" si="93"/>
        <v>4.8072089908393048E-4</v>
      </c>
      <c r="AJ116" s="1">
        <f t="shared" ca="1" si="94"/>
        <v>0.98529819946420572</v>
      </c>
      <c r="AK116" s="1">
        <f t="shared" ca="1" si="95"/>
        <v>2.6999046819762202E-3</v>
      </c>
      <c r="AL116" s="1"/>
      <c r="AM116" s="1">
        <f t="shared" ca="1" si="96"/>
        <v>0.14015222311523001</v>
      </c>
      <c r="AN116" s="1">
        <f t="shared" ca="1" si="97"/>
        <v>67</v>
      </c>
      <c r="AO116" s="1">
        <f t="shared" ca="1" si="98"/>
        <v>0</v>
      </c>
      <c r="AQ116" s="1">
        <f t="shared" ca="1" si="99"/>
        <v>168</v>
      </c>
      <c r="AR116" s="1">
        <f t="shared" ca="1" si="100"/>
        <v>5</v>
      </c>
      <c r="AS116" s="1">
        <f t="shared" ca="1" si="101"/>
        <v>6</v>
      </c>
      <c r="AU116" s="1">
        <f t="shared" ca="1" si="102"/>
        <v>100</v>
      </c>
      <c r="AV116" s="1">
        <f t="shared" ca="1" si="103"/>
        <v>5</v>
      </c>
      <c r="AW116" s="1">
        <f t="shared" ca="1" si="104"/>
        <v>2.2947533867856987E-2</v>
      </c>
      <c r="AY116" s="1">
        <f t="shared" ca="1" si="105"/>
        <v>1.1111223498347924</v>
      </c>
      <c r="AZ116" s="1">
        <f t="shared" ca="1" si="106"/>
        <v>143</v>
      </c>
      <c r="BA116" s="1">
        <f t="shared" ca="1" si="107"/>
        <v>8.8549121231700188E-3</v>
      </c>
      <c r="BG116" s="1">
        <f t="shared" ca="1" si="108"/>
        <v>0.72012588750705553</v>
      </c>
      <c r="BH116" s="1">
        <f t="shared" ca="1" si="109"/>
        <v>0.55772293201375223</v>
      </c>
      <c r="BI116" s="1">
        <f t="shared" ca="1" si="110"/>
        <v>829</v>
      </c>
      <c r="BV116" s="1">
        <f t="shared" ca="1" si="111"/>
        <v>0.38861413093546776</v>
      </c>
      <c r="BW116" s="1">
        <f t="shared" ca="1" si="112"/>
        <v>466</v>
      </c>
      <c r="BX116" s="1">
        <f t="shared" ca="1" si="113"/>
        <v>6.6513835587698339E-4</v>
      </c>
      <c r="BY116" s="1">
        <f t="shared" ca="1" si="114"/>
        <v>8.1501654860295699E-3</v>
      </c>
      <c r="BZ116" s="1">
        <f t="shared" ca="1" si="115"/>
        <v>0.1507810782750526</v>
      </c>
      <c r="CB116" s="1">
        <f t="shared" ca="1" si="116"/>
        <v>52</v>
      </c>
      <c r="CC116" s="1">
        <f t="shared" ca="1" si="117"/>
        <v>5</v>
      </c>
      <c r="CD116" s="1">
        <f t="shared" ca="1" si="118"/>
        <v>0.11011372995005603</v>
      </c>
      <c r="CE116" s="1">
        <f t="shared" ca="1" si="137"/>
        <v>0.96190177702045476</v>
      </c>
      <c r="CF116" s="1">
        <f t="shared" ca="1" si="137"/>
        <v>0.99655534947611624</v>
      </c>
      <c r="CH116" s="3">
        <f t="shared" ca="1" si="120"/>
        <v>0.85186231222506781</v>
      </c>
      <c r="CI116" s="3">
        <f t="shared" ca="1" si="121"/>
        <v>0.51835318399588193</v>
      </c>
      <c r="CJ116" s="3">
        <f t="shared" ca="1" si="122"/>
        <v>871</v>
      </c>
      <c r="CK116" s="3">
        <f t="shared" ca="1" si="123"/>
        <v>9.7888874495835939E-3</v>
      </c>
      <c r="CL116" s="3">
        <f t="shared" ca="1" si="124"/>
        <v>0</v>
      </c>
      <c r="CM116" s="3"/>
      <c r="CN116" s="1">
        <f t="shared" ca="1" si="125"/>
        <v>4.8080301534651699</v>
      </c>
      <c r="CO116" s="1">
        <f t="shared" ca="1" si="126"/>
        <v>0.45988859600757948</v>
      </c>
      <c r="CP116" s="1">
        <f t="shared" ca="1" si="127"/>
        <v>4</v>
      </c>
      <c r="CV116" s="1">
        <f t="shared" ca="1" si="128"/>
        <v>5.0671127349341569</v>
      </c>
      <c r="CW116" s="1">
        <f t="shared" ca="1" si="129"/>
        <v>1479</v>
      </c>
      <c r="CX116" s="1">
        <f t="shared" ca="1" si="130"/>
        <v>6.7055002690097698E-3</v>
      </c>
      <c r="DH116" s="1">
        <f t="shared" ca="1" si="131"/>
        <v>258</v>
      </c>
      <c r="DI116" s="1">
        <f t="shared" ca="1" si="132"/>
        <v>0.89281717051516596</v>
      </c>
      <c r="DJ116" s="1">
        <f t="shared" ca="1" si="133"/>
        <v>23</v>
      </c>
      <c r="DL116" s="1">
        <f t="shared" ca="1" si="134"/>
        <v>2.6268729177437715E-2</v>
      </c>
      <c r="DM116" s="1">
        <f t="shared" ca="1" si="135"/>
        <v>208</v>
      </c>
      <c r="DN116" s="1">
        <f t="shared" ca="1" si="136"/>
        <v>10</v>
      </c>
    </row>
    <row r="117" spans="2:118" x14ac:dyDescent="0.25">
      <c r="B117">
        <f t="shared" ca="1" si="69"/>
        <v>276</v>
      </c>
      <c r="C117">
        <f t="shared" ca="1" si="70"/>
        <v>21</v>
      </c>
      <c r="D117">
        <f t="shared" ca="1" si="71"/>
        <v>0.23694436862153928</v>
      </c>
      <c r="F117" s="1">
        <f t="shared" ca="1" si="72"/>
        <v>23</v>
      </c>
      <c r="G117" s="1">
        <f t="shared" ca="1" si="73"/>
        <v>10</v>
      </c>
      <c r="H117" s="1">
        <f t="shared" ca="1" si="74"/>
        <v>2</v>
      </c>
      <c r="I117" s="1"/>
      <c r="J117" s="1">
        <f t="shared" ca="1" si="75"/>
        <v>13</v>
      </c>
      <c r="K117" s="1">
        <f t="shared" ca="1" si="76"/>
        <v>1.3814530924386366</v>
      </c>
      <c r="L117" s="1">
        <f t="shared" ca="1" si="77"/>
        <v>13</v>
      </c>
      <c r="M117" s="1"/>
      <c r="N117" s="1">
        <f t="shared" ca="1" si="78"/>
        <v>576</v>
      </c>
      <c r="O117" s="1">
        <f t="shared" ca="1" si="79"/>
        <v>8</v>
      </c>
      <c r="P117" s="1"/>
      <c r="Q117" s="1">
        <f t="shared" ca="1" si="80"/>
        <v>3.3878869614151768</v>
      </c>
      <c r="R117" s="1">
        <f t="shared" ca="1" si="81"/>
        <v>1086</v>
      </c>
      <c r="S117" s="1"/>
      <c r="T117" s="1">
        <f t="shared" ca="1" si="82"/>
        <v>7.8341734396966942E-2</v>
      </c>
      <c r="U117" s="1">
        <f t="shared" ca="1" si="83"/>
        <v>79</v>
      </c>
      <c r="V117" s="1">
        <f t="shared" ca="1" si="84"/>
        <v>16</v>
      </c>
      <c r="W117" s="1"/>
      <c r="X117" s="1">
        <f t="shared" ca="1" si="85"/>
        <v>4.8475303111908659</v>
      </c>
      <c r="Y117" s="1">
        <f t="shared" ca="1" si="86"/>
        <v>0.63942095418628919</v>
      </c>
      <c r="Z117" s="1">
        <f t="shared" ca="1" si="87"/>
        <v>1675</v>
      </c>
      <c r="AB117" s="1">
        <f t="shared" ca="1" si="88"/>
        <v>0.5979958041651583</v>
      </c>
      <c r="AC117" s="1">
        <f t="shared" ca="1" si="89"/>
        <v>589</v>
      </c>
      <c r="AD117" s="1">
        <f t="shared" ca="1" si="90"/>
        <v>8.2676099286852866E-4</v>
      </c>
      <c r="AE117" s="1"/>
      <c r="AF117" s="1">
        <f t="shared" ca="1" si="91"/>
        <v>0.81457604875292977</v>
      </c>
      <c r="AG117" s="1">
        <f t="shared" ca="1" si="92"/>
        <v>226</v>
      </c>
      <c r="AH117" s="1">
        <f t="shared" ca="1" si="93"/>
        <v>6.7189559215706214E-3</v>
      </c>
      <c r="AJ117" s="1">
        <f t="shared" ca="1" si="94"/>
        <v>0.42050100505602672</v>
      </c>
      <c r="AK117" s="1">
        <f t="shared" ca="1" si="95"/>
        <v>3.8936570624120378E-4</v>
      </c>
      <c r="AL117" s="1"/>
      <c r="AM117" s="1">
        <f t="shared" ca="1" si="96"/>
        <v>0.12895306367405157</v>
      </c>
      <c r="AN117" s="1">
        <f t="shared" ca="1" si="97"/>
        <v>67</v>
      </c>
      <c r="AO117" s="1">
        <f t="shared" ca="1" si="98"/>
        <v>13</v>
      </c>
      <c r="AQ117" s="1">
        <f t="shared" ca="1" si="99"/>
        <v>195</v>
      </c>
      <c r="AR117" s="1">
        <f t="shared" ca="1" si="100"/>
        <v>6</v>
      </c>
      <c r="AS117" s="1">
        <f t="shared" ca="1" si="101"/>
        <v>6</v>
      </c>
      <c r="AU117" s="1">
        <f t="shared" ca="1" si="102"/>
        <v>378</v>
      </c>
      <c r="AV117" s="1">
        <f t="shared" ca="1" si="103"/>
        <v>7</v>
      </c>
      <c r="AW117" s="1">
        <f t="shared" ca="1" si="104"/>
        <v>8.9978704268002169E-2</v>
      </c>
      <c r="AY117" s="1">
        <f t="shared" ca="1" si="105"/>
        <v>1.2849999734368702</v>
      </c>
      <c r="AZ117" s="1">
        <f t="shared" ca="1" si="106"/>
        <v>347</v>
      </c>
      <c r="BA117" s="1">
        <f t="shared" ca="1" si="107"/>
        <v>7.5301400373645275E-3</v>
      </c>
      <c r="BG117" s="1">
        <f t="shared" ca="1" si="108"/>
        <v>0.38275467831485616</v>
      </c>
      <c r="BH117" s="1">
        <f t="shared" ca="1" si="109"/>
        <v>0.19387227850434829</v>
      </c>
      <c r="BI117" s="1">
        <f t="shared" ca="1" si="110"/>
        <v>574</v>
      </c>
      <c r="BV117" s="1">
        <f t="shared" ca="1" si="111"/>
        <v>0.66506346479644896</v>
      </c>
      <c r="BW117" s="1">
        <f t="shared" ca="1" si="112"/>
        <v>983</v>
      </c>
      <c r="BX117" s="1">
        <f t="shared" ca="1" si="113"/>
        <v>7.3255930955236238E-3</v>
      </c>
      <c r="BY117" s="1">
        <f t="shared" ca="1" si="114"/>
        <v>4.9586996270386353E-2</v>
      </c>
      <c r="BZ117" s="1">
        <f t="shared" ca="1" si="115"/>
        <v>0.9930884709329918</v>
      </c>
      <c r="CB117" s="1">
        <f t="shared" ca="1" si="116"/>
        <v>356</v>
      </c>
      <c r="CC117" s="1">
        <f t="shared" ca="1" si="117"/>
        <v>11</v>
      </c>
      <c r="CD117" s="1">
        <f t="shared" ca="1" si="118"/>
        <v>0.25259075931186986</v>
      </c>
      <c r="CE117" s="1">
        <f t="shared" ca="1" si="137"/>
        <v>0.70720373950734805</v>
      </c>
      <c r="CF117" s="1">
        <f t="shared" ca="1" si="137"/>
        <v>0.63057340071666812</v>
      </c>
      <c r="CH117" s="3">
        <f t="shared" ca="1" si="120"/>
        <v>0.54604794780418398</v>
      </c>
      <c r="CI117" s="3">
        <f t="shared" ca="1" si="121"/>
        <v>0.15521941787983859</v>
      </c>
      <c r="CJ117" s="3">
        <f t="shared" ca="1" si="122"/>
        <v>1875</v>
      </c>
      <c r="CK117" s="3">
        <f t="shared" ca="1" si="123"/>
        <v>7.7464976922535346E-3</v>
      </c>
      <c r="CL117" s="3">
        <f t="shared" ca="1" si="124"/>
        <v>0</v>
      </c>
      <c r="CM117" s="3"/>
      <c r="CN117" s="1">
        <f t="shared" ca="1" si="125"/>
        <v>4.2615064833689971</v>
      </c>
      <c r="CO117" s="1">
        <f t="shared" ca="1" si="126"/>
        <v>0.3653192648239677</v>
      </c>
      <c r="CP117" s="1">
        <f t="shared" ca="1" si="127"/>
        <v>2</v>
      </c>
      <c r="CV117" s="1">
        <f t="shared" ca="1" si="128"/>
        <v>4.0701856282591882</v>
      </c>
      <c r="CW117" s="1">
        <f t="shared" ca="1" si="129"/>
        <v>598</v>
      </c>
      <c r="CX117" s="1">
        <f t="shared" ca="1" si="130"/>
        <v>4.9744877892364059E-3</v>
      </c>
      <c r="DH117" s="1">
        <f t="shared" ca="1" si="131"/>
        <v>290</v>
      </c>
      <c r="DI117" s="1">
        <f t="shared" ca="1" si="132"/>
        <v>0.11577103251898194</v>
      </c>
      <c r="DJ117" s="1">
        <f t="shared" ca="1" si="133"/>
        <v>26</v>
      </c>
      <c r="DL117" s="1">
        <f t="shared" ca="1" si="134"/>
        <v>0.18139282435922677</v>
      </c>
      <c r="DM117" s="1">
        <f t="shared" ca="1" si="135"/>
        <v>234</v>
      </c>
      <c r="DN117" s="1">
        <f t="shared" ca="1" si="136"/>
        <v>9</v>
      </c>
    </row>
    <row r="118" spans="2:118" x14ac:dyDescent="0.25">
      <c r="B118">
        <f t="shared" ca="1" si="69"/>
        <v>275</v>
      </c>
      <c r="C118">
        <f t="shared" ca="1" si="70"/>
        <v>38</v>
      </c>
      <c r="D118">
        <f t="shared" ca="1" si="71"/>
        <v>0.21718504862220259</v>
      </c>
      <c r="F118" s="1">
        <f t="shared" ca="1" si="72"/>
        <v>35</v>
      </c>
      <c r="G118" s="1">
        <f t="shared" ca="1" si="73"/>
        <v>10</v>
      </c>
      <c r="H118" s="1">
        <f t="shared" ca="1" si="74"/>
        <v>10</v>
      </c>
      <c r="I118" s="1"/>
      <c r="J118" s="1">
        <f t="shared" ca="1" si="75"/>
        <v>27</v>
      </c>
      <c r="K118" s="1">
        <f t="shared" ca="1" si="76"/>
        <v>1.8242372116102896</v>
      </c>
      <c r="L118" s="1">
        <f t="shared" ca="1" si="77"/>
        <v>25</v>
      </c>
      <c r="M118" s="1"/>
      <c r="N118" s="1">
        <f t="shared" ca="1" si="78"/>
        <v>470</v>
      </c>
      <c r="O118" s="1">
        <f t="shared" ca="1" si="79"/>
        <v>13</v>
      </c>
      <c r="P118" s="1"/>
      <c r="Q118" s="1">
        <f t="shared" ca="1" si="80"/>
        <v>4.9427443150973529</v>
      </c>
      <c r="R118" s="1">
        <f t="shared" ca="1" si="81"/>
        <v>854</v>
      </c>
      <c r="S118" s="1"/>
      <c r="T118" s="1">
        <f t="shared" ca="1" si="82"/>
        <v>0.111504209801516</v>
      </c>
      <c r="U118" s="1">
        <f t="shared" ca="1" si="83"/>
        <v>237</v>
      </c>
      <c r="V118" s="1">
        <f t="shared" ca="1" si="84"/>
        <v>11</v>
      </c>
      <c r="W118" s="1"/>
      <c r="X118" s="1">
        <f t="shared" ca="1" si="85"/>
        <v>1.9538228001808244</v>
      </c>
      <c r="Y118" s="1">
        <f t="shared" ca="1" si="86"/>
        <v>2.3933618582730607E-2</v>
      </c>
      <c r="Z118" s="1">
        <f t="shared" ca="1" si="87"/>
        <v>908</v>
      </c>
      <c r="AB118" s="1">
        <f t="shared" ca="1" si="88"/>
        <v>0.1081098941544128</v>
      </c>
      <c r="AC118" s="1">
        <f t="shared" ca="1" si="89"/>
        <v>418</v>
      </c>
      <c r="AD118" s="1">
        <f t="shared" ca="1" si="90"/>
        <v>4.8069305747413821E-3</v>
      </c>
      <c r="AE118" s="1"/>
      <c r="AF118" s="1">
        <f t="shared" ca="1" si="91"/>
        <v>0.33633388410556375</v>
      </c>
      <c r="AG118" s="1">
        <f t="shared" ca="1" si="92"/>
        <v>739</v>
      </c>
      <c r="AH118" s="1">
        <f t="shared" ca="1" si="93"/>
        <v>4.7786674592937917E-3</v>
      </c>
      <c r="AJ118" s="1">
        <f t="shared" ca="1" si="94"/>
        <v>5.6041681749061212E-2</v>
      </c>
      <c r="AK118" s="1">
        <f t="shared" ca="1" si="95"/>
        <v>3.0351777659790426E-4</v>
      </c>
      <c r="AL118" s="1"/>
      <c r="AM118" s="1">
        <f t="shared" ca="1" si="96"/>
        <v>0.13490331488672869</v>
      </c>
      <c r="AN118" s="1">
        <f t="shared" ca="1" si="97"/>
        <v>50</v>
      </c>
      <c r="AO118" s="1">
        <f t="shared" ca="1" si="98"/>
        <v>9</v>
      </c>
      <c r="AQ118" s="1">
        <f t="shared" ca="1" si="99"/>
        <v>127</v>
      </c>
      <c r="AR118" s="1">
        <f t="shared" ca="1" si="100"/>
        <v>2</v>
      </c>
      <c r="AS118" s="1">
        <f t="shared" ca="1" si="101"/>
        <v>92</v>
      </c>
      <c r="AU118" s="1">
        <f t="shared" ca="1" si="102"/>
        <v>136</v>
      </c>
      <c r="AV118" s="1">
        <f t="shared" ca="1" si="103"/>
        <v>3</v>
      </c>
      <c r="AW118" s="1">
        <f t="shared" ca="1" si="104"/>
        <v>0.17849367651964623</v>
      </c>
      <c r="AY118" s="1">
        <f t="shared" ca="1" si="105"/>
        <v>1.4626141053868651</v>
      </c>
      <c r="AZ118" s="1">
        <f t="shared" ca="1" si="106"/>
        <v>452</v>
      </c>
      <c r="BA118" s="1">
        <f t="shared" ca="1" si="107"/>
        <v>3.2690899856074006E-3</v>
      </c>
      <c r="BG118" s="1">
        <f t="shared" ca="1" si="108"/>
        <v>0.91276973418763485</v>
      </c>
      <c r="BH118" s="1">
        <f t="shared" ca="1" si="109"/>
        <v>0.32044270585903001</v>
      </c>
      <c r="BI118" s="1">
        <f t="shared" ca="1" si="110"/>
        <v>771</v>
      </c>
      <c r="BV118" s="1">
        <f t="shared" ca="1" si="111"/>
        <v>0.62054308682402248</v>
      </c>
      <c r="BW118" s="1">
        <f t="shared" ca="1" si="112"/>
        <v>223</v>
      </c>
      <c r="BX118" s="1">
        <f t="shared" ca="1" si="113"/>
        <v>1.4243274530245684E-3</v>
      </c>
      <c r="BY118" s="1">
        <f t="shared" ca="1" si="114"/>
        <v>8.0496093776121311E-2</v>
      </c>
      <c r="BZ118" s="1">
        <f t="shared" ca="1" si="115"/>
        <v>5.4244900758645187E-2</v>
      </c>
      <c r="CB118" s="1">
        <f t="shared" ca="1" si="116"/>
        <v>234</v>
      </c>
      <c r="CC118" s="1">
        <f t="shared" ca="1" si="117"/>
        <v>11</v>
      </c>
      <c r="CD118" s="1">
        <f t="shared" ca="1" si="118"/>
        <v>0.20595705247109716</v>
      </c>
      <c r="CE118" s="1">
        <f t="shared" ca="1" si="137"/>
        <v>0.64754844803652367</v>
      </c>
      <c r="CF118" s="1">
        <f t="shared" ca="1" si="137"/>
        <v>0.69139795888971189</v>
      </c>
      <c r="CH118" s="3">
        <f t="shared" ca="1" si="120"/>
        <v>0.57194108776732333</v>
      </c>
      <c r="CI118" s="3">
        <f t="shared" ca="1" si="121"/>
        <v>0.5164468681559401</v>
      </c>
      <c r="CJ118" s="3">
        <f t="shared" ca="1" si="122"/>
        <v>1613</v>
      </c>
      <c r="CK118" s="3">
        <f t="shared" ca="1" si="123"/>
        <v>8.7695639894212959E-3</v>
      </c>
      <c r="CL118" s="3">
        <f t="shared" ca="1" si="124"/>
        <v>1</v>
      </c>
      <c r="CM118" s="3"/>
      <c r="CN118" s="1">
        <f t="shared" ca="1" si="125"/>
        <v>14.275651299548951</v>
      </c>
      <c r="CO118" s="1">
        <f t="shared" ca="1" si="126"/>
        <v>4.1184496980853115E-2</v>
      </c>
      <c r="CP118" s="1">
        <f t="shared" ca="1" si="127"/>
        <v>2</v>
      </c>
      <c r="CV118" s="1">
        <f t="shared" ca="1" si="128"/>
        <v>7.2519709247450139</v>
      </c>
      <c r="CW118" s="1">
        <f t="shared" ca="1" si="129"/>
        <v>1536</v>
      </c>
      <c r="CX118" s="1">
        <f t="shared" ca="1" si="130"/>
        <v>4.5014490076422352E-3</v>
      </c>
      <c r="DH118" s="1">
        <f t="shared" ca="1" si="131"/>
        <v>829</v>
      </c>
      <c r="DI118" s="1">
        <f t="shared" ca="1" si="132"/>
        <v>5.3459395414914082E-2</v>
      </c>
      <c r="DJ118" s="1">
        <f t="shared" ca="1" si="133"/>
        <v>4</v>
      </c>
      <c r="DL118" s="1">
        <f t="shared" ca="1" si="134"/>
        <v>6.9805309349735042E-2</v>
      </c>
      <c r="DM118" s="1">
        <f t="shared" ca="1" si="135"/>
        <v>80</v>
      </c>
      <c r="DN118" s="1">
        <f t="shared" ca="1" si="136"/>
        <v>8</v>
      </c>
    </row>
    <row r="119" spans="2:118" x14ac:dyDescent="0.25">
      <c r="B119">
        <f t="shared" ca="1" si="69"/>
        <v>550</v>
      </c>
      <c r="C119">
        <f t="shared" ca="1" si="70"/>
        <v>9</v>
      </c>
      <c r="D119">
        <f t="shared" ca="1" si="71"/>
        <v>1.8118388277798381E-2</v>
      </c>
      <c r="F119" s="1">
        <f t="shared" ca="1" si="72"/>
        <v>31</v>
      </c>
      <c r="G119" s="1">
        <f t="shared" ca="1" si="73"/>
        <v>14</v>
      </c>
      <c r="H119" s="1">
        <f t="shared" ca="1" si="74"/>
        <v>7</v>
      </c>
      <c r="I119" s="1"/>
      <c r="J119" s="1">
        <f t="shared" ca="1" si="75"/>
        <v>33</v>
      </c>
      <c r="K119" s="1">
        <f t="shared" ca="1" si="76"/>
        <v>2.7901380968014271</v>
      </c>
      <c r="L119" s="1">
        <f t="shared" ca="1" si="77"/>
        <v>23</v>
      </c>
      <c r="M119" s="1"/>
      <c r="N119" s="1">
        <f t="shared" ca="1" si="78"/>
        <v>327</v>
      </c>
      <c r="O119" s="1">
        <f t="shared" ca="1" si="79"/>
        <v>32</v>
      </c>
      <c r="P119" s="1"/>
      <c r="Q119" s="1">
        <f t="shared" ca="1" si="80"/>
        <v>2.7453938323171907</v>
      </c>
      <c r="R119" s="1">
        <f t="shared" ca="1" si="81"/>
        <v>993</v>
      </c>
      <c r="S119" s="1"/>
      <c r="T119" s="1">
        <f t="shared" ca="1" si="82"/>
        <v>0.18091022767049306</v>
      </c>
      <c r="U119" s="1">
        <f t="shared" ca="1" si="83"/>
        <v>425</v>
      </c>
      <c r="V119" s="1">
        <f t="shared" ca="1" si="84"/>
        <v>6</v>
      </c>
      <c r="W119" s="1"/>
      <c r="X119" s="1">
        <f t="shared" ca="1" si="85"/>
        <v>3.9228861281071166</v>
      </c>
      <c r="Y119" s="1">
        <f t="shared" ca="1" si="86"/>
        <v>0.27919981147904555</v>
      </c>
      <c r="Z119" s="1">
        <f t="shared" ca="1" si="87"/>
        <v>441</v>
      </c>
      <c r="AB119" s="1">
        <f t="shared" ca="1" si="88"/>
        <v>8.1713705598902134E-2</v>
      </c>
      <c r="AC119" s="1">
        <f t="shared" ca="1" si="89"/>
        <v>626</v>
      </c>
      <c r="AD119" s="1">
        <f t="shared" ca="1" si="90"/>
        <v>7.359814139366698E-3</v>
      </c>
      <c r="AE119" s="1"/>
      <c r="AF119" s="1">
        <f t="shared" ca="1" si="91"/>
        <v>0.64079840573502023</v>
      </c>
      <c r="AG119" s="1">
        <f t="shared" ca="1" si="92"/>
        <v>981</v>
      </c>
      <c r="AH119" s="1">
        <f t="shared" ca="1" si="93"/>
        <v>7.8057030802630234E-3</v>
      </c>
      <c r="AJ119" s="1">
        <f t="shared" ca="1" si="94"/>
        <v>0.90586795907594331</v>
      </c>
      <c r="AK119" s="1">
        <f t="shared" ca="1" si="95"/>
        <v>5.7007300623711267E-3</v>
      </c>
      <c r="AL119" s="1"/>
      <c r="AM119" s="1">
        <f t="shared" ca="1" si="96"/>
        <v>0.18883245686029351</v>
      </c>
      <c r="AN119" s="1">
        <f t="shared" ca="1" si="97"/>
        <v>42</v>
      </c>
      <c r="AO119" s="1">
        <f t="shared" ca="1" si="98"/>
        <v>13</v>
      </c>
      <c r="AQ119" s="1">
        <f t="shared" ca="1" si="99"/>
        <v>58</v>
      </c>
      <c r="AR119" s="1">
        <f t="shared" ca="1" si="100"/>
        <v>5</v>
      </c>
      <c r="AS119" s="1">
        <f t="shared" ca="1" si="101"/>
        <v>96</v>
      </c>
      <c r="AU119" s="1">
        <f t="shared" ca="1" si="102"/>
        <v>227</v>
      </c>
      <c r="AV119" s="1">
        <f t="shared" ca="1" si="103"/>
        <v>10</v>
      </c>
      <c r="AW119" s="1">
        <f t="shared" ca="1" si="104"/>
        <v>0.14879498325895907</v>
      </c>
      <c r="AY119" s="1">
        <f t="shared" ca="1" si="105"/>
        <v>1.54548563524129</v>
      </c>
      <c r="AZ119" s="1">
        <f t="shared" ca="1" si="106"/>
        <v>184</v>
      </c>
      <c r="BA119" s="1">
        <f t="shared" ca="1" si="107"/>
        <v>4.2871245827451618E-3</v>
      </c>
      <c r="BG119" s="1">
        <f t="shared" ca="1" si="108"/>
        <v>0.60419677014218576</v>
      </c>
      <c r="BH119" s="1">
        <f t="shared" ca="1" si="109"/>
        <v>0.30254229793455678</v>
      </c>
      <c r="BI119" s="1">
        <f t="shared" ca="1" si="110"/>
        <v>320</v>
      </c>
      <c r="BV119" s="1">
        <f t="shared" ca="1" si="111"/>
        <v>0.37786827385871219</v>
      </c>
      <c r="BW119" s="1">
        <f t="shared" ca="1" si="112"/>
        <v>609</v>
      </c>
      <c r="BX119" s="1">
        <f t="shared" ca="1" si="113"/>
        <v>8.7996937844851478E-3</v>
      </c>
      <c r="BY119" s="1">
        <f t="shared" ca="1" si="114"/>
        <v>5.0742797570984405E-2</v>
      </c>
      <c r="BZ119" s="1">
        <f t="shared" ca="1" si="115"/>
        <v>0.19020433416523919</v>
      </c>
      <c r="CB119" s="1">
        <f t="shared" ca="1" si="116"/>
        <v>426</v>
      </c>
      <c r="CC119" s="1">
        <f t="shared" ca="1" si="117"/>
        <v>3</v>
      </c>
      <c r="CD119" s="1">
        <f t="shared" ca="1" si="118"/>
        <v>0.28450945171623271</v>
      </c>
      <c r="CE119" s="1">
        <f t="shared" ca="1" si="137"/>
        <v>0.84051634427082345</v>
      </c>
      <c r="CF119" s="1">
        <f t="shared" ca="1" si="137"/>
        <v>0.81217513001824038</v>
      </c>
      <c r="CH119" s="3">
        <f t="shared" ca="1" si="120"/>
        <v>0.53300665114493018</v>
      </c>
      <c r="CI119" s="3">
        <f t="shared" ca="1" si="121"/>
        <v>0.62990849185861664</v>
      </c>
      <c r="CJ119" s="3">
        <f t="shared" ca="1" si="122"/>
        <v>1352</v>
      </c>
      <c r="CK119" s="3">
        <f t="shared" ca="1" si="123"/>
        <v>2.813289457262288E-3</v>
      </c>
      <c r="CL119" s="3">
        <f t="shared" ca="1" si="124"/>
        <v>0</v>
      </c>
      <c r="CM119" s="3"/>
      <c r="CN119" s="1">
        <f t="shared" ca="1" si="125"/>
        <v>11.069662121558874</v>
      </c>
      <c r="CO119" s="1">
        <f t="shared" ca="1" si="126"/>
        <v>0.39504640030486854</v>
      </c>
      <c r="CP119" s="1">
        <f t="shared" ca="1" si="127"/>
        <v>4</v>
      </c>
      <c r="CV119" s="1">
        <f t="shared" ca="1" si="128"/>
        <v>6.013825175710922</v>
      </c>
      <c r="CW119" s="1">
        <f t="shared" ca="1" si="129"/>
        <v>192</v>
      </c>
      <c r="CX119" s="1">
        <f t="shared" ca="1" si="130"/>
        <v>5.2827273787907168E-3</v>
      </c>
      <c r="DH119" s="1">
        <f t="shared" ca="1" si="131"/>
        <v>67</v>
      </c>
      <c r="DI119" s="1">
        <f t="shared" ca="1" si="132"/>
        <v>3.1429461872758038E-2</v>
      </c>
      <c r="DJ119" s="1">
        <f t="shared" ca="1" si="133"/>
        <v>1</v>
      </c>
      <c r="DL119" s="1">
        <f t="shared" ca="1" si="134"/>
        <v>9.1830415119403902E-2</v>
      </c>
      <c r="DM119" s="1">
        <f t="shared" ca="1" si="135"/>
        <v>105</v>
      </c>
      <c r="DN119" s="1">
        <f t="shared" ca="1" si="136"/>
        <v>10</v>
      </c>
    </row>
    <row r="120" spans="2:118" x14ac:dyDescent="0.25">
      <c r="B120">
        <f t="shared" ca="1" si="69"/>
        <v>738</v>
      </c>
      <c r="C120">
        <f t="shared" ca="1" si="70"/>
        <v>12</v>
      </c>
      <c r="D120">
        <f t="shared" ca="1" si="71"/>
        <v>0.24310158476865337</v>
      </c>
      <c r="F120" s="1">
        <f t="shared" ca="1" si="72"/>
        <v>26</v>
      </c>
      <c r="G120" s="1">
        <f t="shared" ca="1" si="73"/>
        <v>24</v>
      </c>
      <c r="H120" s="1">
        <f t="shared" ca="1" si="74"/>
        <v>7</v>
      </c>
      <c r="I120" s="1"/>
      <c r="J120" s="1">
        <f t="shared" ca="1" si="75"/>
        <v>8</v>
      </c>
      <c r="K120" s="1">
        <f t="shared" ca="1" si="76"/>
        <v>2.9342014773793066</v>
      </c>
      <c r="L120" s="1">
        <f t="shared" ca="1" si="77"/>
        <v>17</v>
      </c>
      <c r="M120" s="1"/>
      <c r="N120" s="1">
        <f t="shared" ca="1" si="78"/>
        <v>689</v>
      </c>
      <c r="O120" s="1">
        <f t="shared" ca="1" si="79"/>
        <v>45</v>
      </c>
      <c r="P120" s="1"/>
      <c r="Q120" s="1">
        <f t="shared" ca="1" si="80"/>
        <v>4.5119138177464553</v>
      </c>
      <c r="R120" s="1">
        <f t="shared" ca="1" si="81"/>
        <v>528</v>
      </c>
      <c r="S120" s="1"/>
      <c r="T120" s="1">
        <f t="shared" ca="1" si="82"/>
        <v>1.8496786992118309E-2</v>
      </c>
      <c r="U120" s="1">
        <f t="shared" ca="1" si="83"/>
        <v>233</v>
      </c>
      <c r="V120" s="1">
        <f t="shared" ca="1" si="84"/>
        <v>26</v>
      </c>
      <c r="W120" s="1"/>
      <c r="X120" s="1">
        <f t="shared" ca="1" si="85"/>
        <v>4.2522366947147363</v>
      </c>
      <c r="Y120" s="1">
        <f t="shared" ca="1" si="86"/>
        <v>0.69684275059093437</v>
      </c>
      <c r="Z120" s="1">
        <f t="shared" ca="1" si="87"/>
        <v>1349</v>
      </c>
      <c r="AB120" s="1">
        <f t="shared" ca="1" si="88"/>
        <v>0.78201459062999101</v>
      </c>
      <c r="AC120" s="1">
        <f t="shared" ca="1" si="89"/>
        <v>428</v>
      </c>
      <c r="AD120" s="1">
        <f t="shared" ca="1" si="90"/>
        <v>6.5668892813527642E-3</v>
      </c>
      <c r="AE120" s="1"/>
      <c r="AF120" s="1">
        <f t="shared" ca="1" si="91"/>
        <v>0.62073483931140805</v>
      </c>
      <c r="AG120" s="1">
        <f t="shared" ca="1" si="92"/>
        <v>645</v>
      </c>
      <c r="AH120" s="1">
        <f t="shared" ca="1" si="93"/>
        <v>6.2950614104533321E-3</v>
      </c>
      <c r="AJ120" s="1">
        <f t="shared" ca="1" si="94"/>
        <v>0.90373691558154612</v>
      </c>
      <c r="AK120" s="1">
        <f t="shared" ca="1" si="95"/>
        <v>3.9611706824186242E-3</v>
      </c>
      <c r="AL120" s="1"/>
      <c r="AM120" s="1">
        <f t="shared" ca="1" si="96"/>
        <v>1.4646176981470051E-2</v>
      </c>
      <c r="AN120" s="1">
        <f t="shared" ca="1" si="97"/>
        <v>15</v>
      </c>
      <c r="AO120" s="1">
        <f t="shared" ca="1" si="98"/>
        <v>2</v>
      </c>
      <c r="AQ120" s="1">
        <f t="shared" ca="1" si="99"/>
        <v>137</v>
      </c>
      <c r="AR120" s="1">
        <f t="shared" ca="1" si="100"/>
        <v>5</v>
      </c>
      <c r="AS120" s="1">
        <f t="shared" ca="1" si="101"/>
        <v>62</v>
      </c>
      <c r="AU120" s="1">
        <f t="shared" ca="1" si="102"/>
        <v>261</v>
      </c>
      <c r="AV120" s="1">
        <f t="shared" ca="1" si="103"/>
        <v>7</v>
      </c>
      <c r="AW120" s="1">
        <f t="shared" ca="1" si="104"/>
        <v>0.11600321549882114</v>
      </c>
      <c r="AY120" s="1">
        <f t="shared" ca="1" si="105"/>
        <v>1.2332368040182953</v>
      </c>
      <c r="AZ120" s="1">
        <f t="shared" ca="1" si="106"/>
        <v>222</v>
      </c>
      <c r="BA120" s="1">
        <f t="shared" ca="1" si="107"/>
        <v>5.8412887975760937E-3</v>
      </c>
      <c r="BG120" s="1">
        <f t="shared" ca="1" si="108"/>
        <v>0.14192842312861489</v>
      </c>
      <c r="BH120" s="1">
        <f t="shared" ca="1" si="109"/>
        <v>0.66591209986562749</v>
      </c>
      <c r="BI120" s="1">
        <f t="shared" ca="1" si="110"/>
        <v>223</v>
      </c>
      <c r="BV120" s="1">
        <f t="shared" ca="1" si="111"/>
        <v>0.15809106142490426</v>
      </c>
      <c r="BW120" s="1">
        <f t="shared" ca="1" si="112"/>
        <v>285</v>
      </c>
      <c r="BX120" s="1">
        <f t="shared" ca="1" si="113"/>
        <v>5.6444532787805089E-3</v>
      </c>
      <c r="BY120" s="1">
        <f t="shared" ca="1" si="114"/>
        <v>6.4048852085030791E-2</v>
      </c>
      <c r="BZ120" s="1">
        <f t="shared" ca="1" si="115"/>
        <v>0.84359644408029288</v>
      </c>
      <c r="CB120" s="1">
        <f t="shared" ca="1" si="116"/>
        <v>228</v>
      </c>
      <c r="CC120" s="1">
        <f t="shared" ca="1" si="117"/>
        <v>14</v>
      </c>
      <c r="CD120" s="1">
        <f t="shared" ca="1" si="118"/>
        <v>0.22994053626361635</v>
      </c>
      <c r="CE120" s="1">
        <f t="shared" ca="1" si="137"/>
        <v>0.68517470915714673</v>
      </c>
      <c r="CF120" s="1">
        <f t="shared" ca="1" si="137"/>
        <v>0.82458331893192693</v>
      </c>
      <c r="CH120" s="3">
        <f t="shared" ca="1" si="120"/>
        <v>1.3200940410817185E-2</v>
      </c>
      <c r="CI120" s="3">
        <f t="shared" ca="1" si="121"/>
        <v>0.35692234695197517</v>
      </c>
      <c r="CJ120" s="3">
        <f t="shared" ca="1" si="122"/>
        <v>220</v>
      </c>
      <c r="CK120" s="3">
        <f t="shared" ca="1" si="123"/>
        <v>9.316476444803665E-3</v>
      </c>
      <c r="CL120" s="3">
        <f t="shared" ca="1" si="124"/>
        <v>1</v>
      </c>
      <c r="CM120" s="3"/>
      <c r="CN120" s="1">
        <f t="shared" ca="1" si="125"/>
        <v>14.359121811645901</v>
      </c>
      <c r="CO120" s="1">
        <f t="shared" ca="1" si="126"/>
        <v>0.4610002408789356</v>
      </c>
      <c r="CP120" s="1">
        <f t="shared" ca="1" si="127"/>
        <v>5</v>
      </c>
      <c r="CV120" s="1">
        <f t="shared" ca="1" si="128"/>
        <v>4.6856002588204655</v>
      </c>
      <c r="CW120" s="1">
        <f t="shared" ca="1" si="129"/>
        <v>1832</v>
      </c>
      <c r="CX120" s="1">
        <f t="shared" ca="1" si="130"/>
        <v>3.6320351184853972E-4</v>
      </c>
      <c r="DH120" s="1">
        <f t="shared" ca="1" si="131"/>
        <v>235</v>
      </c>
      <c r="DI120" s="1">
        <f t="shared" ca="1" si="132"/>
        <v>0.38016962927382536</v>
      </c>
      <c r="DJ120" s="1">
        <f t="shared" ca="1" si="133"/>
        <v>11</v>
      </c>
      <c r="DL120" s="1">
        <f t="shared" ca="1" si="134"/>
        <v>0.17739488414690788</v>
      </c>
      <c r="DM120" s="1">
        <f t="shared" ca="1" si="135"/>
        <v>266</v>
      </c>
      <c r="DN120" s="1">
        <f t="shared" ca="1" si="136"/>
        <v>10</v>
      </c>
    </row>
    <row r="121" spans="2:118" x14ac:dyDescent="0.25">
      <c r="B121">
        <f t="shared" ca="1" si="69"/>
        <v>749</v>
      </c>
      <c r="C121">
        <f t="shared" ca="1" si="70"/>
        <v>36</v>
      </c>
      <c r="D121">
        <f t="shared" ca="1" si="71"/>
        <v>1.3878817198907534E-2</v>
      </c>
      <c r="F121" s="1">
        <f t="shared" ca="1" si="72"/>
        <v>26</v>
      </c>
      <c r="G121" s="1">
        <f t="shared" ca="1" si="73"/>
        <v>26</v>
      </c>
      <c r="H121" s="1">
        <f t="shared" ca="1" si="74"/>
        <v>13</v>
      </c>
      <c r="I121" s="1"/>
      <c r="J121" s="1">
        <f t="shared" ca="1" si="75"/>
        <v>36</v>
      </c>
      <c r="K121" s="1">
        <f t="shared" ca="1" si="76"/>
        <v>1.0255850650005356</v>
      </c>
      <c r="L121" s="1">
        <f t="shared" ca="1" si="77"/>
        <v>25</v>
      </c>
      <c r="M121" s="1"/>
      <c r="N121" s="1">
        <f t="shared" ca="1" si="78"/>
        <v>593</v>
      </c>
      <c r="O121" s="1">
        <f t="shared" ca="1" si="79"/>
        <v>50</v>
      </c>
      <c r="P121" s="1"/>
      <c r="Q121" s="1">
        <f t="shared" ca="1" si="80"/>
        <v>1.7502750553744579</v>
      </c>
      <c r="R121" s="1">
        <f t="shared" ca="1" si="81"/>
        <v>1156</v>
      </c>
      <c r="S121" s="1"/>
      <c r="T121" s="1">
        <f t="shared" ca="1" si="82"/>
        <v>0.18533316691404242</v>
      </c>
      <c r="U121" s="1">
        <f t="shared" ca="1" si="83"/>
        <v>208</v>
      </c>
      <c r="V121" s="1">
        <f t="shared" ca="1" si="84"/>
        <v>45</v>
      </c>
      <c r="W121" s="1"/>
      <c r="X121" s="1">
        <f t="shared" ca="1" si="85"/>
        <v>2.4230080848788846</v>
      </c>
      <c r="Y121" s="1">
        <f t="shared" ca="1" si="86"/>
        <v>0.11396789298452464</v>
      </c>
      <c r="Z121" s="1">
        <f t="shared" ca="1" si="87"/>
        <v>914</v>
      </c>
      <c r="AB121" s="1">
        <f t="shared" ca="1" si="88"/>
        <v>0.21497020834069797</v>
      </c>
      <c r="AC121" s="1">
        <f t="shared" ca="1" si="89"/>
        <v>309</v>
      </c>
      <c r="AD121" s="1">
        <f t="shared" ca="1" si="90"/>
        <v>5.4232577865879223E-3</v>
      </c>
      <c r="AE121" s="1"/>
      <c r="AF121" s="1">
        <f t="shared" ca="1" si="91"/>
        <v>0.52880745812973207</v>
      </c>
      <c r="AG121" s="1">
        <f t="shared" ca="1" si="92"/>
        <v>565</v>
      </c>
      <c r="AH121" s="1">
        <f t="shared" ca="1" si="93"/>
        <v>7.417335460404924E-3</v>
      </c>
      <c r="AJ121" s="1">
        <f t="shared" ca="1" si="94"/>
        <v>0.25684322538032556</v>
      </c>
      <c r="AK121" s="1">
        <f t="shared" ca="1" si="95"/>
        <v>6.1153068418333982E-3</v>
      </c>
      <c r="AL121" s="1"/>
      <c r="AM121" s="1">
        <f t="shared" ca="1" si="96"/>
        <v>0.13020548748867794</v>
      </c>
      <c r="AN121" s="1">
        <f t="shared" ca="1" si="97"/>
        <v>53</v>
      </c>
      <c r="AO121" s="1">
        <f t="shared" ca="1" si="98"/>
        <v>9</v>
      </c>
      <c r="AQ121" s="1">
        <f t="shared" ca="1" si="99"/>
        <v>184</v>
      </c>
      <c r="AR121" s="1">
        <f t="shared" ca="1" si="100"/>
        <v>5</v>
      </c>
      <c r="AS121" s="1">
        <f t="shared" ca="1" si="101"/>
        <v>88</v>
      </c>
      <c r="AU121" s="1">
        <f t="shared" ca="1" si="102"/>
        <v>317</v>
      </c>
      <c r="AV121" s="1">
        <f t="shared" ca="1" si="103"/>
        <v>7</v>
      </c>
      <c r="AW121" s="1">
        <f t="shared" ca="1" si="104"/>
        <v>5.1266524181077439E-2</v>
      </c>
      <c r="AY121" s="1">
        <f t="shared" ca="1" si="105"/>
        <v>1.6123817551321622</v>
      </c>
      <c r="AZ121" s="1">
        <f t="shared" ca="1" si="106"/>
        <v>347</v>
      </c>
      <c r="BA121" s="1">
        <f t="shared" ca="1" si="107"/>
        <v>5.8741873935332801E-3</v>
      </c>
      <c r="BG121" s="1">
        <f t="shared" ca="1" si="108"/>
        <v>0.25989849916093305</v>
      </c>
      <c r="BH121" s="1">
        <f t="shared" ca="1" si="109"/>
        <v>0.98205426327846157</v>
      </c>
      <c r="BI121" s="1">
        <f t="shared" ca="1" si="110"/>
        <v>591</v>
      </c>
      <c r="BV121" s="1">
        <f t="shared" ca="1" si="111"/>
        <v>0.26282010104022668</v>
      </c>
      <c r="BW121" s="1">
        <f t="shared" ca="1" si="112"/>
        <v>501</v>
      </c>
      <c r="BX121" s="1">
        <f t="shared" ca="1" si="113"/>
        <v>2.7678442162160292E-3</v>
      </c>
      <c r="BY121" s="1">
        <f t="shared" ca="1" si="114"/>
        <v>3.0916473008346469E-2</v>
      </c>
      <c r="BZ121" s="1">
        <f t="shared" ca="1" si="115"/>
        <v>0.24182590241801694</v>
      </c>
      <c r="CB121" s="1">
        <f t="shared" ca="1" si="116"/>
        <v>441</v>
      </c>
      <c r="CC121" s="1">
        <f t="shared" ca="1" si="117"/>
        <v>12</v>
      </c>
      <c r="CD121" s="1">
        <f t="shared" ca="1" si="118"/>
        <v>0.24951197389912128</v>
      </c>
      <c r="CE121" s="1">
        <f t="shared" ca="1" si="137"/>
        <v>0.70872095552336445</v>
      </c>
      <c r="CF121" s="1">
        <f t="shared" ca="1" si="137"/>
        <v>0.79793307074337649</v>
      </c>
      <c r="CH121" s="3">
        <f t="shared" ca="1" si="120"/>
        <v>0.71542455441615094</v>
      </c>
      <c r="CI121" s="3">
        <f t="shared" ca="1" si="121"/>
        <v>0.47083005156029256</v>
      </c>
      <c r="CJ121" s="3">
        <f t="shared" ca="1" si="122"/>
        <v>321</v>
      </c>
      <c r="CK121" s="3">
        <f t="shared" ca="1" si="123"/>
        <v>2.1172051933334031E-3</v>
      </c>
      <c r="CL121" s="3">
        <f t="shared" ca="1" si="124"/>
        <v>0</v>
      </c>
      <c r="CM121" s="3"/>
      <c r="CN121" s="1">
        <f t="shared" ca="1" si="125"/>
        <v>9.8946881505314934</v>
      </c>
      <c r="CO121" s="1">
        <f t="shared" ca="1" si="126"/>
        <v>0.2674873389795418</v>
      </c>
      <c r="CP121" s="1">
        <f t="shared" ca="1" si="127"/>
        <v>3</v>
      </c>
      <c r="CV121" s="1">
        <f t="shared" ca="1" si="128"/>
        <v>5.6475599645623982</v>
      </c>
      <c r="CW121" s="1">
        <f t="shared" ca="1" si="129"/>
        <v>275</v>
      </c>
      <c r="CX121" s="1">
        <f t="shared" ca="1" si="130"/>
        <v>9.1573953089242269E-3</v>
      </c>
      <c r="DH121" s="1">
        <f t="shared" ca="1" si="131"/>
        <v>443</v>
      </c>
      <c r="DI121" s="1">
        <f t="shared" ca="1" si="132"/>
        <v>0.58547382613717402</v>
      </c>
      <c r="DJ121" s="1">
        <f t="shared" ca="1" si="133"/>
        <v>19</v>
      </c>
      <c r="DL121" s="1">
        <f t="shared" ca="1" si="134"/>
        <v>0.15181798687168524</v>
      </c>
      <c r="DM121" s="1">
        <f t="shared" ca="1" si="135"/>
        <v>127</v>
      </c>
      <c r="DN121" s="1">
        <f t="shared" ca="1" si="136"/>
        <v>7</v>
      </c>
    </row>
    <row r="122" spans="2:118" x14ac:dyDescent="0.25">
      <c r="B122">
        <f t="shared" ca="1" si="69"/>
        <v>844</v>
      </c>
      <c r="C122">
        <f t="shared" ca="1" si="70"/>
        <v>16</v>
      </c>
      <c r="D122">
        <f t="shared" ca="1" si="71"/>
        <v>0.20501039029280416</v>
      </c>
      <c r="F122" s="1">
        <f t="shared" ca="1" si="72"/>
        <v>4</v>
      </c>
      <c r="G122" s="1">
        <f t="shared" ca="1" si="73"/>
        <v>18</v>
      </c>
      <c r="H122" s="1">
        <f t="shared" ca="1" si="74"/>
        <v>4</v>
      </c>
      <c r="I122" s="1"/>
      <c r="J122" s="1">
        <f t="shared" ca="1" si="75"/>
        <v>7</v>
      </c>
      <c r="K122" s="1">
        <f t="shared" ca="1" si="76"/>
        <v>1.1784585836477908</v>
      </c>
      <c r="L122" s="1">
        <f t="shared" ca="1" si="77"/>
        <v>35</v>
      </c>
      <c r="M122" s="1"/>
      <c r="N122" s="1">
        <f t="shared" ca="1" si="78"/>
        <v>622</v>
      </c>
      <c r="O122" s="1">
        <f t="shared" ca="1" si="79"/>
        <v>40</v>
      </c>
      <c r="P122" s="1"/>
      <c r="Q122" s="1">
        <f t="shared" ca="1" si="80"/>
        <v>0.41074623461151172</v>
      </c>
      <c r="R122" s="1">
        <f t="shared" ca="1" si="81"/>
        <v>625</v>
      </c>
      <c r="S122" s="1"/>
      <c r="T122" s="1">
        <f t="shared" ca="1" si="82"/>
        <v>3.4212662974168979E-2</v>
      </c>
      <c r="U122" s="1">
        <f t="shared" ca="1" si="83"/>
        <v>62</v>
      </c>
      <c r="V122" s="1">
        <f t="shared" ca="1" si="84"/>
        <v>28</v>
      </c>
      <c r="W122" s="1"/>
      <c r="X122" s="1">
        <f t="shared" ca="1" si="85"/>
        <v>6.0825438866428012</v>
      </c>
      <c r="Y122" s="1">
        <f t="shared" ca="1" si="86"/>
        <v>0.5191278089078939</v>
      </c>
      <c r="Z122" s="1">
        <f t="shared" ca="1" si="87"/>
        <v>1083</v>
      </c>
      <c r="AB122" s="1">
        <f t="shared" ca="1" si="88"/>
        <v>0.17383987491591302</v>
      </c>
      <c r="AC122" s="1">
        <f t="shared" ca="1" si="89"/>
        <v>577</v>
      </c>
      <c r="AD122" s="1">
        <f t="shared" ca="1" si="90"/>
        <v>3.4056147303495442E-3</v>
      </c>
      <c r="AE122" s="1"/>
      <c r="AF122" s="1">
        <f t="shared" ca="1" si="91"/>
        <v>0.45432231023011338</v>
      </c>
      <c r="AG122" s="1">
        <f t="shared" ca="1" si="92"/>
        <v>327</v>
      </c>
      <c r="AH122" s="1">
        <f t="shared" ca="1" si="93"/>
        <v>5.7934058981662651E-3</v>
      </c>
      <c r="AJ122" s="1">
        <f t="shared" ca="1" si="94"/>
        <v>0.54682058364939834</v>
      </c>
      <c r="AK122" s="1">
        <f t="shared" ca="1" si="95"/>
        <v>6.427052396650112E-3</v>
      </c>
      <c r="AL122" s="1"/>
      <c r="AM122" s="1">
        <f t="shared" ca="1" si="96"/>
        <v>0.1429083206284745</v>
      </c>
      <c r="AN122" s="1">
        <f t="shared" ca="1" si="97"/>
        <v>34</v>
      </c>
      <c r="AO122" s="1">
        <f t="shared" ca="1" si="98"/>
        <v>13</v>
      </c>
      <c r="AQ122" s="1">
        <f t="shared" ca="1" si="99"/>
        <v>188</v>
      </c>
      <c r="AR122" s="1">
        <f t="shared" ca="1" si="100"/>
        <v>2</v>
      </c>
      <c r="AS122" s="1">
        <f t="shared" ca="1" si="101"/>
        <v>36</v>
      </c>
      <c r="AU122" s="1">
        <f t="shared" ca="1" si="102"/>
        <v>234</v>
      </c>
      <c r="AV122" s="1">
        <f t="shared" ca="1" si="103"/>
        <v>8</v>
      </c>
      <c r="AW122" s="1">
        <f t="shared" ca="1" si="104"/>
        <v>5.5640958198816731E-2</v>
      </c>
      <c r="AY122" s="1">
        <f t="shared" ca="1" si="105"/>
        <v>1.8756864090175522</v>
      </c>
      <c r="AZ122" s="1">
        <f t="shared" ca="1" si="106"/>
        <v>124</v>
      </c>
      <c r="BA122" s="1">
        <f t="shared" ca="1" si="107"/>
        <v>8.4149484463056832E-4</v>
      </c>
      <c r="BG122" s="1">
        <f t="shared" ca="1" si="108"/>
        <v>0.25561632924486272</v>
      </c>
      <c r="BH122" s="1">
        <f t="shared" ca="1" si="109"/>
        <v>0.74641656486021968</v>
      </c>
      <c r="BI122" s="1">
        <f t="shared" ca="1" si="110"/>
        <v>736</v>
      </c>
      <c r="BV122" s="1">
        <f t="shared" ca="1" si="111"/>
        <v>0.52716179662561979</v>
      </c>
      <c r="BW122" s="1">
        <f t="shared" ca="1" si="112"/>
        <v>306</v>
      </c>
      <c r="BX122" s="1">
        <f t="shared" ca="1" si="113"/>
        <v>5.7425087295215546E-3</v>
      </c>
      <c r="BY122" s="1">
        <f t="shared" ca="1" si="114"/>
        <v>7.1429954137303339E-2</v>
      </c>
      <c r="BZ122" s="1">
        <f t="shared" ca="1" si="115"/>
        <v>7.856256546976248E-2</v>
      </c>
      <c r="CB122" s="1">
        <f t="shared" ca="1" si="116"/>
        <v>353</v>
      </c>
      <c r="CC122" s="1">
        <f t="shared" ca="1" si="117"/>
        <v>14</v>
      </c>
      <c r="CD122" s="1">
        <f t="shared" ca="1" si="118"/>
        <v>0.29121365262130466</v>
      </c>
      <c r="CE122" s="1">
        <f t="shared" ca="1" si="137"/>
        <v>0.55746606000530319</v>
      </c>
      <c r="CF122" s="1">
        <f t="shared" ca="1" si="137"/>
        <v>0.72576884501405114</v>
      </c>
      <c r="CH122" s="3">
        <f t="shared" ca="1" si="120"/>
        <v>0.86578549729493404</v>
      </c>
      <c r="CI122" s="3">
        <f t="shared" ca="1" si="121"/>
        <v>5.8210976530150019E-2</v>
      </c>
      <c r="CJ122" s="3">
        <f t="shared" ca="1" si="122"/>
        <v>446</v>
      </c>
      <c r="CK122" s="3">
        <f t="shared" ca="1" si="123"/>
        <v>8.2450622362687E-3</v>
      </c>
      <c r="CL122" s="3">
        <f t="shared" ca="1" si="124"/>
        <v>1</v>
      </c>
      <c r="CM122" s="3"/>
      <c r="CN122" s="1">
        <f t="shared" ca="1" si="125"/>
        <v>1.9806583248338443</v>
      </c>
      <c r="CO122" s="1">
        <f t="shared" ca="1" si="126"/>
        <v>0.19052123419145217</v>
      </c>
      <c r="CP122" s="1">
        <f t="shared" ca="1" si="127"/>
        <v>3</v>
      </c>
      <c r="CV122" s="1">
        <f t="shared" ca="1" si="128"/>
        <v>5.8368754074013456</v>
      </c>
      <c r="CW122" s="1">
        <f t="shared" ca="1" si="129"/>
        <v>979</v>
      </c>
      <c r="CX122" s="1">
        <f t="shared" ca="1" si="130"/>
        <v>6.1628892251269522E-3</v>
      </c>
      <c r="DH122" s="1">
        <f t="shared" ca="1" si="131"/>
        <v>638</v>
      </c>
      <c r="DI122" s="1">
        <f t="shared" ca="1" si="132"/>
        <v>0.83978247363174008</v>
      </c>
      <c r="DJ122" s="1">
        <f t="shared" ca="1" si="133"/>
        <v>8</v>
      </c>
      <c r="DL122" s="1">
        <f t="shared" ca="1" si="134"/>
        <v>0.16515686615228262</v>
      </c>
      <c r="DM122" s="1">
        <f t="shared" ca="1" si="135"/>
        <v>169</v>
      </c>
      <c r="DN122" s="1">
        <f t="shared" ca="1" si="136"/>
        <v>10</v>
      </c>
    </row>
    <row r="123" spans="2:118" x14ac:dyDescent="0.25">
      <c r="B123">
        <f t="shared" ca="1" si="69"/>
        <v>653</v>
      </c>
      <c r="C123">
        <f t="shared" ca="1" si="70"/>
        <v>35</v>
      </c>
      <c r="D123">
        <f t="shared" ca="1" si="71"/>
        <v>2.6022363739521513E-2</v>
      </c>
      <c r="F123" s="1">
        <f t="shared" ca="1" si="72"/>
        <v>48</v>
      </c>
      <c r="G123" s="1">
        <f t="shared" ca="1" si="73"/>
        <v>14</v>
      </c>
      <c r="H123" s="1">
        <f t="shared" ca="1" si="74"/>
        <v>4</v>
      </c>
      <c r="I123" s="1"/>
      <c r="J123" s="1">
        <f t="shared" ca="1" si="75"/>
        <v>38</v>
      </c>
      <c r="K123" s="1">
        <f t="shared" ca="1" si="76"/>
        <v>1.1785276168939178</v>
      </c>
      <c r="L123" s="1">
        <f t="shared" ca="1" si="77"/>
        <v>12</v>
      </c>
      <c r="M123" s="1"/>
      <c r="N123" s="1">
        <f t="shared" ca="1" si="78"/>
        <v>246</v>
      </c>
      <c r="O123" s="1">
        <f t="shared" ca="1" si="79"/>
        <v>13</v>
      </c>
      <c r="P123" s="1"/>
      <c r="Q123" s="1">
        <f t="shared" ca="1" si="80"/>
        <v>3.8103361593248022</v>
      </c>
      <c r="R123" s="1">
        <f t="shared" ca="1" si="81"/>
        <v>658</v>
      </c>
      <c r="S123" s="1"/>
      <c r="T123" s="1">
        <f t="shared" ca="1" si="82"/>
        <v>3.2938646825428602E-2</v>
      </c>
      <c r="U123" s="1">
        <f t="shared" ca="1" si="83"/>
        <v>316</v>
      </c>
      <c r="V123" s="1">
        <f t="shared" ca="1" si="84"/>
        <v>23</v>
      </c>
      <c r="W123" s="1"/>
      <c r="X123" s="1">
        <f t="shared" ca="1" si="85"/>
        <v>5.5954650489686317</v>
      </c>
      <c r="Y123" s="1">
        <f t="shared" ca="1" si="86"/>
        <v>0.93328442153035296</v>
      </c>
      <c r="Z123" s="1">
        <f t="shared" ca="1" si="87"/>
        <v>613</v>
      </c>
      <c r="AB123" s="1">
        <f t="shared" ca="1" si="88"/>
        <v>0.4006158688698539</v>
      </c>
      <c r="AC123" s="1">
        <f t="shared" ca="1" si="89"/>
        <v>996</v>
      </c>
      <c r="AD123" s="1">
        <f t="shared" ca="1" si="90"/>
        <v>2.9523583310041277E-3</v>
      </c>
      <c r="AE123" s="1"/>
      <c r="AF123" s="1">
        <f t="shared" ca="1" si="91"/>
        <v>0.27405968697536737</v>
      </c>
      <c r="AG123" s="1">
        <f t="shared" ca="1" si="92"/>
        <v>733</v>
      </c>
      <c r="AH123" s="1">
        <f t="shared" ca="1" si="93"/>
        <v>3.0725339929626844E-3</v>
      </c>
      <c r="AJ123" s="1">
        <f t="shared" ca="1" si="94"/>
        <v>0.10572385851589539</v>
      </c>
      <c r="AK123" s="1">
        <f t="shared" ca="1" si="95"/>
        <v>3.3028696502409361E-3</v>
      </c>
      <c r="AL123" s="1"/>
      <c r="AM123" s="1">
        <f t="shared" ca="1" si="96"/>
        <v>0.12788470279314362</v>
      </c>
      <c r="AN123" s="1">
        <f t="shared" ca="1" si="97"/>
        <v>22</v>
      </c>
      <c r="AO123" s="1">
        <f t="shared" ca="1" si="98"/>
        <v>3</v>
      </c>
      <c r="AQ123" s="1">
        <f t="shared" ca="1" si="99"/>
        <v>101</v>
      </c>
      <c r="AR123" s="1">
        <f t="shared" ca="1" si="100"/>
        <v>9</v>
      </c>
      <c r="AS123" s="1">
        <f t="shared" ca="1" si="101"/>
        <v>52</v>
      </c>
      <c r="AU123" s="1">
        <f t="shared" ca="1" si="102"/>
        <v>174</v>
      </c>
      <c r="AV123" s="1">
        <f t="shared" ca="1" si="103"/>
        <v>2</v>
      </c>
      <c r="AW123" s="1">
        <f t="shared" ca="1" si="104"/>
        <v>6.7169609858690901E-2</v>
      </c>
      <c r="AY123" s="1">
        <f t="shared" ca="1" si="105"/>
        <v>1.6584255823372693</v>
      </c>
      <c r="AZ123" s="1">
        <f t="shared" ca="1" si="106"/>
        <v>257</v>
      </c>
      <c r="BA123" s="1">
        <f t="shared" ca="1" si="107"/>
        <v>6.2232769718496674E-3</v>
      </c>
      <c r="BG123" s="1">
        <f t="shared" ca="1" si="108"/>
        <v>0.51472215174595481</v>
      </c>
      <c r="BH123" s="1">
        <f t="shared" ca="1" si="109"/>
        <v>0.53334593730249369</v>
      </c>
      <c r="BI123" s="1">
        <f t="shared" ca="1" si="110"/>
        <v>520</v>
      </c>
      <c r="BV123" s="1">
        <f t="shared" ca="1" si="111"/>
        <v>5.4700977379229701E-2</v>
      </c>
      <c r="BW123" s="1">
        <f t="shared" ca="1" si="112"/>
        <v>243</v>
      </c>
      <c r="BX123" s="1">
        <f t="shared" ca="1" si="113"/>
        <v>8.9668043585523268E-3</v>
      </c>
      <c r="BY123" s="1">
        <f t="shared" ca="1" si="114"/>
        <v>4.0001196981268035E-2</v>
      </c>
      <c r="BZ123" s="1">
        <f t="shared" ca="1" si="115"/>
        <v>3.3510732948857758E-2</v>
      </c>
      <c r="CB123" s="1">
        <f t="shared" ca="1" si="116"/>
        <v>76</v>
      </c>
      <c r="CC123" s="1">
        <f t="shared" ca="1" si="117"/>
        <v>8</v>
      </c>
      <c r="CD123" s="1">
        <f t="shared" ca="1" si="118"/>
        <v>0.19951286794185966</v>
      </c>
      <c r="CE123" s="1">
        <f t="shared" ca="1" si="137"/>
        <v>0.79285799433552984</v>
      </c>
      <c r="CF123" s="1">
        <f t="shared" ca="1" si="137"/>
        <v>0.86668355391208851</v>
      </c>
      <c r="CH123" s="3">
        <f t="shared" ca="1" si="120"/>
        <v>0.22812486081861366</v>
      </c>
      <c r="CI123" s="3">
        <f t="shared" ca="1" si="121"/>
        <v>0.6408957128129209</v>
      </c>
      <c r="CJ123" s="3">
        <f t="shared" ca="1" si="122"/>
        <v>483</v>
      </c>
      <c r="CK123" s="3">
        <f t="shared" ca="1" si="123"/>
        <v>1.5644055127092499E-3</v>
      </c>
      <c r="CL123" s="3">
        <f t="shared" ca="1" si="124"/>
        <v>0</v>
      </c>
      <c r="CM123" s="3"/>
      <c r="CN123" s="1">
        <f t="shared" ca="1" si="125"/>
        <v>13.126952716133271</v>
      </c>
      <c r="CO123" s="1">
        <f t="shared" ca="1" si="126"/>
        <v>0.18337148993028077</v>
      </c>
      <c r="CP123" s="1">
        <f t="shared" ca="1" si="127"/>
        <v>3</v>
      </c>
      <c r="CV123" s="1">
        <f t="shared" ca="1" si="128"/>
        <v>0.80384324786855943</v>
      </c>
      <c r="CW123" s="1">
        <f t="shared" ca="1" si="129"/>
        <v>1534</v>
      </c>
      <c r="CX123" s="1">
        <f t="shared" ca="1" si="130"/>
        <v>3.1008494094246254E-3</v>
      </c>
      <c r="DH123" s="1">
        <f t="shared" ca="1" si="131"/>
        <v>220</v>
      </c>
      <c r="DI123" s="1">
        <f t="shared" ca="1" si="132"/>
        <v>0.61338140283406972</v>
      </c>
      <c r="DJ123" s="1">
        <f t="shared" ca="1" si="133"/>
        <v>24</v>
      </c>
      <c r="DL123" s="1">
        <f t="shared" ca="1" si="134"/>
        <v>4.4389832606760028E-2</v>
      </c>
      <c r="DM123" s="1">
        <f t="shared" ca="1" si="135"/>
        <v>172</v>
      </c>
      <c r="DN123" s="1">
        <f t="shared" ca="1" si="136"/>
        <v>7</v>
      </c>
    </row>
    <row r="124" spans="2:118" x14ac:dyDescent="0.25">
      <c r="B124">
        <f t="shared" ca="1" si="69"/>
        <v>350</v>
      </c>
      <c r="C124">
        <f t="shared" ca="1" si="70"/>
        <v>7</v>
      </c>
      <c r="D124">
        <f t="shared" ca="1" si="71"/>
        <v>0.14238846978214528</v>
      </c>
      <c r="F124" s="1">
        <f t="shared" ca="1" si="72"/>
        <v>26</v>
      </c>
      <c r="G124" s="1">
        <f t="shared" ca="1" si="73"/>
        <v>23</v>
      </c>
      <c r="H124" s="1">
        <f t="shared" ca="1" si="74"/>
        <v>10</v>
      </c>
      <c r="I124" s="1"/>
      <c r="J124" s="1">
        <f t="shared" ca="1" si="75"/>
        <v>35</v>
      </c>
      <c r="K124" s="1">
        <f t="shared" ca="1" si="76"/>
        <v>2.1622949079102827</v>
      </c>
      <c r="L124" s="1">
        <f t="shared" ca="1" si="77"/>
        <v>29</v>
      </c>
      <c r="M124" s="1"/>
      <c r="N124" s="1">
        <f t="shared" ca="1" si="78"/>
        <v>925</v>
      </c>
      <c r="O124" s="1">
        <f t="shared" ca="1" si="79"/>
        <v>48</v>
      </c>
      <c r="P124" s="1"/>
      <c r="Q124" s="1">
        <f t="shared" ca="1" si="80"/>
        <v>1.993482906408885</v>
      </c>
      <c r="R124" s="1">
        <f t="shared" ca="1" si="81"/>
        <v>793</v>
      </c>
      <c r="S124" s="1"/>
      <c r="T124" s="1">
        <f t="shared" ca="1" si="82"/>
        <v>2.0998463591113063E-2</v>
      </c>
      <c r="U124" s="1">
        <f t="shared" ca="1" si="83"/>
        <v>181</v>
      </c>
      <c r="V124" s="1">
        <f t="shared" ca="1" si="84"/>
        <v>31</v>
      </c>
      <c r="W124" s="1"/>
      <c r="X124" s="1">
        <f t="shared" ca="1" si="85"/>
        <v>6.0530754646384688</v>
      </c>
      <c r="Y124" s="1">
        <f t="shared" ca="1" si="86"/>
        <v>0.50897827520292294</v>
      </c>
      <c r="Z124" s="1">
        <f t="shared" ca="1" si="87"/>
        <v>285</v>
      </c>
      <c r="AB124" s="1">
        <f t="shared" ca="1" si="88"/>
        <v>0.68646897231480264</v>
      </c>
      <c r="AC124" s="1">
        <f t="shared" ca="1" si="89"/>
        <v>613</v>
      </c>
      <c r="AD124" s="1">
        <f t="shared" ca="1" si="90"/>
        <v>5.0520102507783061E-3</v>
      </c>
      <c r="AE124" s="1"/>
      <c r="AF124" s="1">
        <f t="shared" ca="1" si="91"/>
        <v>0.67630455113060362</v>
      </c>
      <c r="AG124" s="1">
        <f t="shared" ca="1" si="92"/>
        <v>338</v>
      </c>
      <c r="AH124" s="1">
        <f t="shared" ca="1" si="93"/>
        <v>4.400400394071702E-3</v>
      </c>
      <c r="AJ124" s="1">
        <f t="shared" ca="1" si="94"/>
        <v>0.14192922058136859</v>
      </c>
      <c r="AK124" s="1">
        <f t="shared" ca="1" si="95"/>
        <v>1.4530893496688801E-3</v>
      </c>
      <c r="AL124" s="1"/>
      <c r="AM124" s="1">
        <f t="shared" ca="1" si="96"/>
        <v>5.2105572899175612E-2</v>
      </c>
      <c r="AN124" s="1">
        <f t="shared" ca="1" si="97"/>
        <v>51</v>
      </c>
      <c r="AO124" s="1">
        <f t="shared" ca="1" si="98"/>
        <v>-1</v>
      </c>
      <c r="AQ124" s="1">
        <f t="shared" ca="1" si="99"/>
        <v>118</v>
      </c>
      <c r="AR124" s="1">
        <f t="shared" ca="1" si="100"/>
        <v>9</v>
      </c>
      <c r="AS124" s="1">
        <f t="shared" ca="1" si="101"/>
        <v>18</v>
      </c>
      <c r="AU124" s="1">
        <f t="shared" ca="1" si="102"/>
        <v>254</v>
      </c>
      <c r="AV124" s="1">
        <f t="shared" ca="1" si="103"/>
        <v>10</v>
      </c>
      <c r="AW124" s="1">
        <f t="shared" ca="1" si="104"/>
        <v>6.2981717610094801E-2</v>
      </c>
      <c r="AY124" s="1">
        <f t="shared" ca="1" si="105"/>
        <v>1.8742256278982357</v>
      </c>
      <c r="AZ124" s="1">
        <f t="shared" ca="1" si="106"/>
        <v>322</v>
      </c>
      <c r="BA124" s="1">
        <f t="shared" ca="1" si="107"/>
        <v>7.3715520438952216E-3</v>
      </c>
      <c r="BG124" s="1">
        <f t="shared" ca="1" si="108"/>
        <v>0.98830468954956652</v>
      </c>
      <c r="BH124" s="1">
        <f t="shared" ca="1" si="109"/>
        <v>0.67058305813461283</v>
      </c>
      <c r="BI124" s="1">
        <f t="shared" ca="1" si="110"/>
        <v>196</v>
      </c>
      <c r="BV124" s="1">
        <f t="shared" ca="1" si="111"/>
        <v>0.46886829833187788</v>
      </c>
      <c r="BW124" s="1">
        <f t="shared" ca="1" si="112"/>
        <v>284</v>
      </c>
      <c r="BX124" s="1">
        <f t="shared" ca="1" si="113"/>
        <v>5.5983291801109359E-4</v>
      </c>
      <c r="BY124" s="1">
        <f t="shared" ca="1" si="114"/>
        <v>6.7879893740451586E-2</v>
      </c>
      <c r="BZ124" s="1">
        <f t="shared" ca="1" si="115"/>
        <v>0.37211065023500645</v>
      </c>
      <c r="CB124" s="1">
        <f t="shared" ca="1" si="116"/>
        <v>481</v>
      </c>
      <c r="CC124" s="1">
        <f t="shared" ca="1" si="117"/>
        <v>5</v>
      </c>
      <c r="CD124" s="1">
        <f t="shared" ca="1" si="118"/>
        <v>0.29227855526439128</v>
      </c>
      <c r="CE124" s="1">
        <f t="shared" ca="1" si="137"/>
        <v>0.7903634403693145</v>
      </c>
      <c r="CF124" s="1">
        <f t="shared" ca="1" si="137"/>
        <v>0.91586289468982274</v>
      </c>
      <c r="CH124" s="3">
        <f t="shared" ca="1" si="120"/>
        <v>0.40455990958639348</v>
      </c>
      <c r="CI124" s="3">
        <f t="shared" ca="1" si="121"/>
        <v>0.65720780540732904</v>
      </c>
      <c r="CJ124" s="3">
        <f t="shared" ca="1" si="122"/>
        <v>108</v>
      </c>
      <c r="CK124" s="3">
        <f t="shared" ca="1" si="123"/>
        <v>4.3152221490575671E-3</v>
      </c>
      <c r="CL124" s="3">
        <f t="shared" ca="1" si="124"/>
        <v>0</v>
      </c>
      <c r="CM124" s="3"/>
      <c r="CN124" s="1">
        <f t="shared" ca="1" si="125"/>
        <v>16.557031640318986</v>
      </c>
      <c r="CO124" s="1">
        <f t="shared" ca="1" si="126"/>
        <v>0.2692265478728218</v>
      </c>
      <c r="CP124" s="1">
        <f t="shared" ca="1" si="127"/>
        <v>3</v>
      </c>
      <c r="CV124" s="1">
        <f t="shared" ca="1" si="128"/>
        <v>2.2689914754093383</v>
      </c>
      <c r="CW124" s="1">
        <f t="shared" ca="1" si="129"/>
        <v>610</v>
      </c>
      <c r="CX124" s="1">
        <f t="shared" ca="1" si="130"/>
        <v>7.5045862204074446E-3</v>
      </c>
      <c r="DH124" s="1">
        <f t="shared" ca="1" si="131"/>
        <v>515</v>
      </c>
      <c r="DI124" s="1">
        <f t="shared" ca="1" si="132"/>
        <v>0.54281317837212484</v>
      </c>
      <c r="DJ124" s="1">
        <f t="shared" ca="1" si="133"/>
        <v>27</v>
      </c>
      <c r="DL124" s="1">
        <f t="shared" ca="1" si="134"/>
        <v>0.19422020468189796</v>
      </c>
      <c r="DM124" s="1">
        <f t="shared" ca="1" si="135"/>
        <v>134</v>
      </c>
      <c r="DN124" s="1">
        <f t="shared" ca="1" si="136"/>
        <v>6</v>
      </c>
    </row>
    <row r="125" spans="2:118" x14ac:dyDescent="0.25">
      <c r="B125">
        <f t="shared" ca="1" si="69"/>
        <v>808</v>
      </c>
      <c r="C125">
        <f t="shared" ca="1" si="70"/>
        <v>51</v>
      </c>
      <c r="D125">
        <f t="shared" ca="1" si="71"/>
        <v>0.11478533299111479</v>
      </c>
      <c r="F125" s="1">
        <f t="shared" ca="1" si="72"/>
        <v>13</v>
      </c>
      <c r="G125" s="1">
        <f t="shared" ca="1" si="73"/>
        <v>13</v>
      </c>
      <c r="H125" s="1">
        <f t="shared" ca="1" si="74"/>
        <v>2</v>
      </c>
      <c r="I125" s="1"/>
      <c r="J125" s="1">
        <f t="shared" ca="1" si="75"/>
        <v>13</v>
      </c>
      <c r="K125" s="1">
        <f t="shared" ca="1" si="76"/>
        <v>2.6427529146315174</v>
      </c>
      <c r="L125" s="1">
        <f t="shared" ca="1" si="77"/>
        <v>27</v>
      </c>
      <c r="M125" s="1"/>
      <c r="N125" s="1">
        <f t="shared" ca="1" si="78"/>
        <v>304</v>
      </c>
      <c r="O125" s="1">
        <f t="shared" ca="1" si="79"/>
        <v>40</v>
      </c>
      <c r="P125" s="1"/>
      <c r="Q125" s="1">
        <f t="shared" ca="1" si="80"/>
        <v>0.16045536951123612</v>
      </c>
      <c r="R125" s="1">
        <f t="shared" ca="1" si="81"/>
        <v>426</v>
      </c>
      <c r="S125" s="1"/>
      <c r="T125" s="1">
        <f t="shared" ca="1" si="82"/>
        <v>4.5739107557966494E-2</v>
      </c>
      <c r="U125" s="1">
        <f t="shared" ca="1" si="83"/>
        <v>161</v>
      </c>
      <c r="V125" s="1">
        <f t="shared" ca="1" si="84"/>
        <v>25</v>
      </c>
      <c r="W125" s="1"/>
      <c r="X125" s="1">
        <f t="shared" ca="1" si="85"/>
        <v>1.1811879606154934</v>
      </c>
      <c r="Y125" s="1">
        <f t="shared" ca="1" si="86"/>
        <v>0.68620010616209903</v>
      </c>
      <c r="Z125" s="1">
        <f t="shared" ca="1" si="87"/>
        <v>1517</v>
      </c>
      <c r="AB125" s="1">
        <f t="shared" ca="1" si="88"/>
        <v>7.6682469935385024E-3</v>
      </c>
      <c r="AC125" s="1">
        <f t="shared" ca="1" si="89"/>
        <v>871</v>
      </c>
      <c r="AD125" s="1">
        <f t="shared" ca="1" si="90"/>
        <v>9.4100451116773485E-3</v>
      </c>
      <c r="AE125" s="1"/>
      <c r="AF125" s="1">
        <f t="shared" ca="1" si="91"/>
        <v>0.30943234154703747</v>
      </c>
      <c r="AG125" s="1">
        <f t="shared" ca="1" si="92"/>
        <v>295</v>
      </c>
      <c r="AH125" s="1">
        <f t="shared" ca="1" si="93"/>
        <v>9.0295716026597399E-3</v>
      </c>
      <c r="AJ125" s="1">
        <f t="shared" ca="1" si="94"/>
        <v>0.51333006529165659</v>
      </c>
      <c r="AK125" s="1">
        <f t="shared" ca="1" si="95"/>
        <v>3.1600737208382539E-3</v>
      </c>
      <c r="AL125" s="1"/>
      <c r="AM125" s="1">
        <f t="shared" ca="1" si="96"/>
        <v>8.5786876670909118E-2</v>
      </c>
      <c r="AN125" s="1">
        <f t="shared" ca="1" si="97"/>
        <v>65</v>
      </c>
      <c r="AO125" s="1">
        <f t="shared" ca="1" si="98"/>
        <v>11</v>
      </c>
      <c r="AQ125" s="1">
        <f t="shared" ca="1" si="99"/>
        <v>161</v>
      </c>
      <c r="AR125" s="1">
        <f t="shared" ca="1" si="100"/>
        <v>10</v>
      </c>
      <c r="AS125" s="1">
        <f t="shared" ca="1" si="101"/>
        <v>95</v>
      </c>
      <c r="AU125" s="1">
        <f t="shared" ca="1" si="102"/>
        <v>252</v>
      </c>
      <c r="AV125" s="1">
        <f t="shared" ca="1" si="103"/>
        <v>9</v>
      </c>
      <c r="AW125" s="1">
        <f t="shared" ca="1" si="104"/>
        <v>0.16418089519228624</v>
      </c>
      <c r="AY125" s="1">
        <f t="shared" ca="1" si="105"/>
        <v>1.6026852137872543</v>
      </c>
      <c r="AZ125" s="1">
        <f t="shared" ca="1" si="106"/>
        <v>278</v>
      </c>
      <c r="BA125" s="1">
        <f t="shared" ca="1" si="107"/>
        <v>8.6939344110839383E-4</v>
      </c>
      <c r="BG125" s="1">
        <f t="shared" ca="1" si="108"/>
        <v>0.49164484320186402</v>
      </c>
      <c r="BH125" s="1">
        <f t="shared" ca="1" si="109"/>
        <v>0.60098663857254397</v>
      </c>
      <c r="BI125" s="1">
        <f t="shared" ca="1" si="110"/>
        <v>862</v>
      </c>
      <c r="BV125" s="1">
        <f t="shared" ca="1" si="111"/>
        <v>0.46332321243930702</v>
      </c>
      <c r="BW125" s="1">
        <f t="shared" ca="1" si="112"/>
        <v>621</v>
      </c>
      <c r="BX125" s="1">
        <f t="shared" ca="1" si="113"/>
        <v>2.3903970352836257E-4</v>
      </c>
      <c r="BY125" s="1">
        <f t="shared" ca="1" si="114"/>
        <v>1.5468646347690147E-2</v>
      </c>
      <c r="BZ125" s="1">
        <f t="shared" ca="1" si="115"/>
        <v>0.49241712872119914</v>
      </c>
      <c r="CB125" s="1">
        <f t="shared" ca="1" si="116"/>
        <v>331</v>
      </c>
      <c r="CC125" s="1">
        <f t="shared" ca="1" si="117"/>
        <v>3</v>
      </c>
      <c r="CD125" s="1">
        <f t="shared" ca="1" si="118"/>
        <v>0.18957158629961512</v>
      </c>
      <c r="CE125" s="1">
        <f t="shared" ca="1" si="137"/>
        <v>0.73427154398708661</v>
      </c>
      <c r="CF125" s="1">
        <f t="shared" ca="1" si="137"/>
        <v>0.98312481823994924</v>
      </c>
      <c r="CH125" s="3">
        <f t="shared" ca="1" si="120"/>
        <v>0.18714144912417979</v>
      </c>
      <c r="CI125" s="3">
        <f t="shared" ca="1" si="121"/>
        <v>0.69579573882898549</v>
      </c>
      <c r="CJ125" s="3">
        <f t="shared" ca="1" si="122"/>
        <v>1251</v>
      </c>
      <c r="CK125" s="3">
        <f t="shared" ca="1" si="123"/>
        <v>6.8850578675033027E-3</v>
      </c>
      <c r="CL125" s="3">
        <f t="shared" ca="1" si="124"/>
        <v>1</v>
      </c>
      <c r="CM125" s="3"/>
      <c r="CN125" s="1">
        <f t="shared" ca="1" si="125"/>
        <v>17.089180258785351</v>
      </c>
      <c r="CO125" s="1">
        <f t="shared" ca="1" si="126"/>
        <v>9.130476466135979E-3</v>
      </c>
      <c r="CP125" s="1">
        <f t="shared" ca="1" si="127"/>
        <v>3</v>
      </c>
      <c r="CV125" s="1">
        <f t="shared" ca="1" si="128"/>
        <v>8.2986094114993172</v>
      </c>
      <c r="CW125" s="1">
        <f t="shared" ca="1" si="129"/>
        <v>1901</v>
      </c>
      <c r="CX125" s="1">
        <f t="shared" ca="1" si="130"/>
        <v>7.9224445624115937E-3</v>
      </c>
      <c r="DH125" s="1">
        <f t="shared" ca="1" si="131"/>
        <v>793</v>
      </c>
      <c r="DI125" s="1">
        <f t="shared" ca="1" si="132"/>
        <v>0.48183167858383336</v>
      </c>
      <c r="DJ125" s="1">
        <f t="shared" ca="1" si="133"/>
        <v>22</v>
      </c>
      <c r="DL125" s="1">
        <f t="shared" ca="1" si="134"/>
        <v>6.0140369532871329E-2</v>
      </c>
      <c r="DM125" s="1">
        <f t="shared" ca="1" si="135"/>
        <v>146</v>
      </c>
      <c r="DN125" s="1">
        <f t="shared" ca="1" si="136"/>
        <v>4</v>
      </c>
    </row>
    <row r="126" spans="2:118" x14ac:dyDescent="0.25">
      <c r="B126">
        <f t="shared" ca="1" si="69"/>
        <v>16</v>
      </c>
      <c r="C126">
        <f t="shared" ca="1" si="70"/>
        <v>27</v>
      </c>
      <c r="D126">
        <f t="shared" ca="1" si="71"/>
        <v>8.7375596445543935E-2</v>
      </c>
      <c r="F126" s="1">
        <f t="shared" ca="1" si="72"/>
        <v>32</v>
      </c>
      <c r="G126" s="1">
        <f t="shared" ca="1" si="73"/>
        <v>21</v>
      </c>
      <c r="H126" s="1">
        <f t="shared" ca="1" si="74"/>
        <v>11</v>
      </c>
      <c r="I126" s="1"/>
      <c r="J126" s="1">
        <f t="shared" ca="1" si="75"/>
        <v>7</v>
      </c>
      <c r="K126" s="1">
        <f t="shared" ca="1" si="76"/>
        <v>2.2730284058122141</v>
      </c>
      <c r="L126" s="1">
        <f t="shared" ca="1" si="77"/>
        <v>13</v>
      </c>
      <c r="M126" s="1"/>
      <c r="N126" s="1">
        <f t="shared" ca="1" si="78"/>
        <v>496</v>
      </c>
      <c r="O126" s="1">
        <f t="shared" ca="1" si="79"/>
        <v>7</v>
      </c>
      <c r="P126" s="1"/>
      <c r="Q126" s="1">
        <f t="shared" ca="1" si="80"/>
        <v>3.368356719856453</v>
      </c>
      <c r="R126" s="1">
        <f t="shared" ca="1" si="81"/>
        <v>947</v>
      </c>
      <c r="S126" s="1"/>
      <c r="T126" s="1">
        <f t="shared" ca="1" si="82"/>
        <v>0.16756134467213507</v>
      </c>
      <c r="U126" s="1">
        <f t="shared" ca="1" si="83"/>
        <v>174</v>
      </c>
      <c r="V126" s="1">
        <f t="shared" ca="1" si="84"/>
        <v>42</v>
      </c>
      <c r="W126" s="1"/>
      <c r="X126" s="1">
        <f t="shared" ca="1" si="85"/>
        <v>8.6390990792380506</v>
      </c>
      <c r="Y126" s="1">
        <f t="shared" ca="1" si="86"/>
        <v>0.24080242699400911</v>
      </c>
      <c r="Z126" s="1">
        <f t="shared" ca="1" si="87"/>
        <v>1491</v>
      </c>
      <c r="AB126" s="1">
        <f t="shared" ca="1" si="88"/>
        <v>0.98215746005926463</v>
      </c>
      <c r="AC126" s="1">
        <f t="shared" ca="1" si="89"/>
        <v>907</v>
      </c>
      <c r="AD126" s="1">
        <f t="shared" ca="1" si="90"/>
        <v>7.7342995415259879E-4</v>
      </c>
      <c r="AE126" s="1"/>
      <c r="AF126" s="1">
        <f t="shared" ca="1" si="91"/>
        <v>0.61648117205283226</v>
      </c>
      <c r="AG126" s="1">
        <f t="shared" ca="1" si="92"/>
        <v>547</v>
      </c>
      <c r="AH126" s="1">
        <f t="shared" ca="1" si="93"/>
        <v>9.2536744877347761E-3</v>
      </c>
      <c r="AJ126" s="1">
        <f t="shared" ca="1" si="94"/>
        <v>0.45337751224155765</v>
      </c>
      <c r="AK126" s="1">
        <f t="shared" ca="1" si="95"/>
        <v>3.4920606699778037E-3</v>
      </c>
      <c r="AL126" s="1"/>
      <c r="AM126" s="1">
        <f t="shared" ca="1" si="96"/>
        <v>0.14118440335235022</v>
      </c>
      <c r="AN126" s="1">
        <f t="shared" ca="1" si="97"/>
        <v>20</v>
      </c>
      <c r="AO126" s="1">
        <f t="shared" ca="1" si="98"/>
        <v>0</v>
      </c>
      <c r="AQ126" s="1">
        <f t="shared" ca="1" si="99"/>
        <v>44</v>
      </c>
      <c r="AR126" s="1">
        <f t="shared" ca="1" si="100"/>
        <v>4</v>
      </c>
      <c r="AS126" s="1">
        <f t="shared" ca="1" si="101"/>
        <v>9</v>
      </c>
      <c r="AU126" s="1">
        <f t="shared" ca="1" si="102"/>
        <v>271</v>
      </c>
      <c r="AV126" s="1">
        <f t="shared" ca="1" si="103"/>
        <v>6</v>
      </c>
      <c r="AW126" s="1">
        <f t="shared" ca="1" si="104"/>
        <v>8.7410535413677923E-2</v>
      </c>
      <c r="AY126" s="1">
        <f t="shared" ca="1" si="105"/>
        <v>1.8901041661749729</v>
      </c>
      <c r="AZ126" s="1">
        <f t="shared" ca="1" si="106"/>
        <v>374</v>
      </c>
      <c r="BA126" s="1">
        <f t="shared" ca="1" si="107"/>
        <v>9.4553338134290097E-4</v>
      </c>
      <c r="BG126" s="1">
        <f t="shared" ca="1" si="108"/>
        <v>0.44384524959450194</v>
      </c>
      <c r="BH126" s="1">
        <f t="shared" ca="1" si="109"/>
        <v>0.66857867856591124</v>
      </c>
      <c r="BI126" s="1">
        <f t="shared" ca="1" si="110"/>
        <v>420</v>
      </c>
      <c r="BV126" s="1">
        <f t="shared" ca="1" si="111"/>
        <v>0.70047190982860275</v>
      </c>
      <c r="BW126" s="1">
        <f t="shared" ca="1" si="112"/>
        <v>339</v>
      </c>
      <c r="BX126" s="1">
        <f t="shared" ca="1" si="113"/>
        <v>2.8212183908455464E-3</v>
      </c>
      <c r="BY126" s="1">
        <f t="shared" ca="1" si="114"/>
        <v>5.0911301460432358E-2</v>
      </c>
      <c r="BZ126" s="1">
        <f t="shared" ca="1" si="115"/>
        <v>0.23642800422958077</v>
      </c>
      <c r="CB126" s="1">
        <f t="shared" ca="1" si="116"/>
        <v>467</v>
      </c>
      <c r="CC126" s="1">
        <f t="shared" ca="1" si="117"/>
        <v>8</v>
      </c>
      <c r="CD126" s="1">
        <f t="shared" ca="1" si="118"/>
        <v>0.13178897067666068</v>
      </c>
      <c r="CE126" s="1">
        <f t="shared" ca="1" si="137"/>
        <v>0.92336087513382337</v>
      </c>
      <c r="CF126" s="1">
        <f t="shared" ca="1" si="137"/>
        <v>0.82034145802658698</v>
      </c>
      <c r="CH126" s="3">
        <f t="shared" ca="1" si="120"/>
        <v>0.5151740801019008</v>
      </c>
      <c r="CI126" s="3">
        <f t="shared" ca="1" si="121"/>
        <v>0.87236484703751649</v>
      </c>
      <c r="CJ126" s="3">
        <f t="shared" ca="1" si="122"/>
        <v>576</v>
      </c>
      <c r="CK126" s="3">
        <f t="shared" ca="1" si="123"/>
        <v>6.8598997234331788E-3</v>
      </c>
      <c r="CL126" s="3">
        <f t="shared" ca="1" si="124"/>
        <v>0</v>
      </c>
      <c r="CM126" s="3"/>
      <c r="CN126" s="1">
        <f t="shared" ca="1" si="125"/>
        <v>6.4824392068871495</v>
      </c>
      <c r="CO126" s="1">
        <f t="shared" ca="1" si="126"/>
        <v>0.18805953633476344</v>
      </c>
      <c r="CP126" s="1">
        <f t="shared" ca="1" si="127"/>
        <v>5</v>
      </c>
      <c r="CV126" s="1">
        <f t="shared" ca="1" si="128"/>
        <v>2.3718302134403291</v>
      </c>
      <c r="CW126" s="1">
        <f t="shared" ca="1" si="129"/>
        <v>152</v>
      </c>
      <c r="CX126" s="1">
        <f t="shared" ca="1" si="130"/>
        <v>9.4125485561607162E-3</v>
      </c>
      <c r="DH126" s="1">
        <f t="shared" ca="1" si="131"/>
        <v>353</v>
      </c>
      <c r="DI126" s="1">
        <f t="shared" ca="1" si="132"/>
        <v>0.13008986513506113</v>
      </c>
      <c r="DJ126" s="1">
        <f t="shared" ca="1" si="133"/>
        <v>26</v>
      </c>
      <c r="DL126" s="1">
        <f t="shared" ca="1" si="134"/>
        <v>2.8051989045264777E-2</v>
      </c>
      <c r="DM126" s="1">
        <f t="shared" ca="1" si="135"/>
        <v>112</v>
      </c>
      <c r="DN126" s="1">
        <f t="shared" ca="1" si="136"/>
        <v>9</v>
      </c>
    </row>
    <row r="127" spans="2:118" x14ac:dyDescent="0.25">
      <c r="B127">
        <f t="shared" ca="1" si="69"/>
        <v>405</v>
      </c>
      <c r="C127">
        <f t="shared" ca="1" si="70"/>
        <v>16</v>
      </c>
      <c r="D127">
        <f t="shared" ca="1" si="71"/>
        <v>5.4917196801987783E-2</v>
      </c>
      <c r="F127" s="1">
        <f t="shared" ca="1" si="72"/>
        <v>21</v>
      </c>
      <c r="G127" s="1">
        <f t="shared" ca="1" si="73"/>
        <v>8</v>
      </c>
      <c r="H127" s="1">
        <f t="shared" ca="1" si="74"/>
        <v>9</v>
      </c>
      <c r="I127" s="1"/>
      <c r="J127" s="1">
        <f t="shared" ca="1" si="75"/>
        <v>8</v>
      </c>
      <c r="K127" s="1">
        <f t="shared" ca="1" si="76"/>
        <v>1.5354132499828068</v>
      </c>
      <c r="L127" s="1">
        <f t="shared" ca="1" si="77"/>
        <v>3</v>
      </c>
      <c r="M127" s="1"/>
      <c r="N127" s="1">
        <f t="shared" ca="1" si="78"/>
        <v>431</v>
      </c>
      <c r="O127" s="1">
        <f t="shared" ca="1" si="79"/>
        <v>19</v>
      </c>
      <c r="P127" s="1"/>
      <c r="Q127" s="1">
        <f t="shared" ca="1" si="80"/>
        <v>3.3218480144154583</v>
      </c>
      <c r="R127" s="1">
        <f t="shared" ca="1" si="81"/>
        <v>1084</v>
      </c>
      <c r="S127" s="1"/>
      <c r="T127" s="1">
        <f t="shared" ca="1" si="82"/>
        <v>6.4382149475880737E-2</v>
      </c>
      <c r="U127" s="1">
        <f t="shared" ca="1" si="83"/>
        <v>273</v>
      </c>
      <c r="V127" s="1">
        <f t="shared" ca="1" si="84"/>
        <v>15</v>
      </c>
      <c r="W127" s="1"/>
      <c r="X127" s="1">
        <f t="shared" ca="1" si="85"/>
        <v>0.32769862743761835</v>
      </c>
      <c r="Y127" s="1">
        <f t="shared" ca="1" si="86"/>
        <v>0.57906918349965153</v>
      </c>
      <c r="Z127" s="1">
        <f t="shared" ca="1" si="87"/>
        <v>241</v>
      </c>
      <c r="AB127" s="1">
        <f t="shared" ca="1" si="88"/>
        <v>0.59760015880262241</v>
      </c>
      <c r="AC127" s="1">
        <f t="shared" ca="1" si="89"/>
        <v>371</v>
      </c>
      <c r="AD127" s="1">
        <f t="shared" ca="1" si="90"/>
        <v>5.5306504897815294E-3</v>
      </c>
      <c r="AE127" s="1"/>
      <c r="AF127" s="1">
        <f t="shared" ca="1" si="91"/>
        <v>0.15106088319971836</v>
      </c>
      <c r="AG127" s="1">
        <f t="shared" ca="1" si="92"/>
        <v>104</v>
      </c>
      <c r="AH127" s="1">
        <f t="shared" ca="1" si="93"/>
        <v>4.3449034266505948E-3</v>
      </c>
      <c r="AJ127" s="1">
        <f t="shared" ca="1" si="94"/>
        <v>0.95975398787985378</v>
      </c>
      <c r="AK127" s="1">
        <f t="shared" ca="1" si="95"/>
        <v>8.7125368010759188E-4</v>
      </c>
      <c r="AL127" s="1"/>
      <c r="AM127" s="1">
        <f t="shared" ca="1" si="96"/>
        <v>0.18057954310564248</v>
      </c>
      <c r="AN127" s="1">
        <f t="shared" ca="1" si="97"/>
        <v>20</v>
      </c>
      <c r="AO127" s="1">
        <f t="shared" ca="1" si="98"/>
        <v>0</v>
      </c>
      <c r="AQ127" s="1">
        <f t="shared" ca="1" si="99"/>
        <v>48</v>
      </c>
      <c r="AR127" s="1">
        <f t="shared" ca="1" si="100"/>
        <v>5</v>
      </c>
      <c r="AS127" s="1">
        <f t="shared" ca="1" si="101"/>
        <v>19</v>
      </c>
      <c r="AU127" s="1">
        <f t="shared" ca="1" si="102"/>
        <v>61</v>
      </c>
      <c r="AV127" s="1">
        <f t="shared" ca="1" si="103"/>
        <v>3</v>
      </c>
      <c r="AW127" s="1">
        <f t="shared" ca="1" si="104"/>
        <v>0.14846412722270971</v>
      </c>
      <c r="AY127" s="1">
        <f t="shared" ca="1" si="105"/>
        <v>1.9332871219698566</v>
      </c>
      <c r="AZ127" s="1">
        <f t="shared" ca="1" si="106"/>
        <v>394</v>
      </c>
      <c r="BA127" s="1">
        <f t="shared" ca="1" si="107"/>
        <v>5.2491176922093699E-3</v>
      </c>
      <c r="BG127" s="1">
        <f t="shared" ca="1" si="108"/>
        <v>0.25796555172616176</v>
      </c>
      <c r="BH127" s="1">
        <f t="shared" ca="1" si="109"/>
        <v>0.6058071042557992</v>
      </c>
      <c r="BI127" s="1">
        <f t="shared" ca="1" si="110"/>
        <v>220</v>
      </c>
      <c r="BV127" s="1">
        <f t="shared" ca="1" si="111"/>
        <v>0.95774274341344445</v>
      </c>
      <c r="BW127" s="1">
        <f t="shared" ca="1" si="112"/>
        <v>907</v>
      </c>
      <c r="BX127" s="1">
        <f t="shared" ca="1" si="113"/>
        <v>1.4008076841322535E-3</v>
      </c>
      <c r="BY127" s="1">
        <f t="shared" ca="1" si="114"/>
        <v>1.0691336557132764E-2</v>
      </c>
      <c r="BZ127" s="1">
        <f t="shared" ca="1" si="115"/>
        <v>0.70930357140906519</v>
      </c>
      <c r="CB127" s="1">
        <f t="shared" ca="1" si="116"/>
        <v>331</v>
      </c>
      <c r="CC127" s="1">
        <f t="shared" ca="1" si="117"/>
        <v>15</v>
      </c>
      <c r="CD127" s="1">
        <f t="shared" ca="1" si="118"/>
        <v>0.27723031822980576</v>
      </c>
      <c r="CE127" s="1">
        <f t="shared" ca="1" si="137"/>
        <v>0.95751984259877632</v>
      </c>
      <c r="CF127" s="1">
        <f t="shared" ca="1" si="137"/>
        <v>0.90659499806487087</v>
      </c>
      <c r="CH127" s="3">
        <f t="shared" ca="1" si="120"/>
        <v>0.61441990890615295</v>
      </c>
      <c r="CI127" s="3">
        <f t="shared" ca="1" si="121"/>
        <v>0.36630225791711524</v>
      </c>
      <c r="CJ127" s="3">
        <f t="shared" ca="1" si="122"/>
        <v>1665</v>
      </c>
      <c r="CK127" s="3">
        <f t="shared" ca="1" si="123"/>
        <v>1.3786119739079168E-3</v>
      </c>
      <c r="CL127" s="3">
        <f t="shared" ca="1" si="124"/>
        <v>0</v>
      </c>
      <c r="CM127" s="3"/>
      <c r="CN127" s="1">
        <f t="shared" ca="1" si="125"/>
        <v>11.274948452528115</v>
      </c>
      <c r="CO127" s="1">
        <f t="shared" ca="1" si="126"/>
        <v>0.21041832434013411</v>
      </c>
      <c r="CP127" s="1">
        <f t="shared" ca="1" si="127"/>
        <v>2</v>
      </c>
      <c r="CV127" s="1">
        <f t="shared" ca="1" si="128"/>
        <v>0.50947545573021202</v>
      </c>
      <c r="CW127" s="1">
        <f t="shared" ca="1" si="129"/>
        <v>923</v>
      </c>
      <c r="CX127" s="1">
        <f t="shared" ca="1" si="130"/>
        <v>7.3613664001063511E-3</v>
      </c>
      <c r="DH127" s="1">
        <f t="shared" ca="1" si="131"/>
        <v>115</v>
      </c>
      <c r="DI127" s="1">
        <f t="shared" ca="1" si="132"/>
        <v>0.36733505852647386</v>
      </c>
      <c r="DJ127" s="1">
        <f t="shared" ca="1" si="133"/>
        <v>27</v>
      </c>
      <c r="DL127" s="1">
        <f t="shared" ca="1" si="134"/>
        <v>0.13183609257033041</v>
      </c>
      <c r="DM127" s="1">
        <f t="shared" ca="1" si="135"/>
        <v>204</v>
      </c>
      <c r="DN127" s="1">
        <f t="shared" ca="1" si="136"/>
        <v>4</v>
      </c>
    </row>
    <row r="128" spans="2:118" x14ac:dyDescent="0.25">
      <c r="B128">
        <f t="shared" ca="1" si="69"/>
        <v>853</v>
      </c>
      <c r="C128">
        <f t="shared" ca="1" si="70"/>
        <v>15</v>
      </c>
      <c r="D128">
        <f t="shared" ca="1" si="71"/>
        <v>6.9351832756090984E-2</v>
      </c>
      <c r="F128" s="1">
        <f t="shared" ca="1" si="72"/>
        <v>35</v>
      </c>
      <c r="G128" s="1">
        <f t="shared" ca="1" si="73"/>
        <v>2</v>
      </c>
      <c r="H128" s="1">
        <f t="shared" ca="1" si="74"/>
        <v>14</v>
      </c>
      <c r="I128" s="1"/>
      <c r="J128" s="1">
        <f t="shared" ca="1" si="75"/>
        <v>22</v>
      </c>
      <c r="K128" s="1">
        <f t="shared" ca="1" si="76"/>
        <v>2.7172168633989733</v>
      </c>
      <c r="L128" s="1">
        <f t="shared" ca="1" si="77"/>
        <v>33</v>
      </c>
      <c r="M128" s="1"/>
      <c r="N128" s="1">
        <f t="shared" ca="1" si="78"/>
        <v>130</v>
      </c>
      <c r="O128" s="1">
        <f t="shared" ca="1" si="79"/>
        <v>11</v>
      </c>
      <c r="P128" s="1"/>
      <c r="Q128" s="1">
        <f t="shared" ca="1" si="80"/>
        <v>3.939097048610992</v>
      </c>
      <c r="R128" s="1">
        <f t="shared" ca="1" si="81"/>
        <v>628</v>
      </c>
      <c r="S128" s="1"/>
      <c r="T128" s="1">
        <f t="shared" ca="1" si="82"/>
        <v>0.16093080730111789</v>
      </c>
      <c r="U128" s="1">
        <f t="shared" ca="1" si="83"/>
        <v>435</v>
      </c>
      <c r="V128" s="1">
        <f t="shared" ca="1" si="84"/>
        <v>3</v>
      </c>
      <c r="W128" s="1"/>
      <c r="X128" s="1">
        <f t="shared" ca="1" si="85"/>
        <v>9.1435895190997183</v>
      </c>
      <c r="Y128" s="1">
        <f t="shared" ca="1" si="86"/>
        <v>0.93017045054306746</v>
      </c>
      <c r="Z128" s="1">
        <f t="shared" ca="1" si="87"/>
        <v>1390</v>
      </c>
      <c r="AB128" s="1">
        <f t="shared" ca="1" si="88"/>
        <v>0.35851091595539492</v>
      </c>
      <c r="AC128" s="1">
        <f t="shared" ca="1" si="89"/>
        <v>276</v>
      </c>
      <c r="AD128" s="1">
        <f t="shared" ca="1" si="90"/>
        <v>8.0283988780268083E-3</v>
      </c>
      <c r="AE128" s="1"/>
      <c r="AF128" s="1">
        <f t="shared" ca="1" si="91"/>
        <v>0.1779223974242112</v>
      </c>
      <c r="AG128" s="1">
        <f t="shared" ca="1" si="92"/>
        <v>161</v>
      </c>
      <c r="AH128" s="1">
        <f t="shared" ca="1" si="93"/>
        <v>3.4936062316047239E-3</v>
      </c>
      <c r="AJ128" s="1">
        <f t="shared" ca="1" si="94"/>
        <v>0.16791940595239296</v>
      </c>
      <c r="AK128" s="1">
        <f t="shared" ca="1" si="95"/>
        <v>6.9332046444056166E-3</v>
      </c>
      <c r="AL128" s="1"/>
      <c r="AM128" s="1">
        <f t="shared" ca="1" si="96"/>
        <v>3.8407101982811415E-2</v>
      </c>
      <c r="AN128" s="1">
        <f t="shared" ca="1" si="97"/>
        <v>11</v>
      </c>
      <c r="AO128" s="1">
        <f t="shared" ca="1" si="98"/>
        <v>15</v>
      </c>
      <c r="AQ128" s="1">
        <f t="shared" ca="1" si="99"/>
        <v>22</v>
      </c>
      <c r="AR128" s="1">
        <f t="shared" ca="1" si="100"/>
        <v>0</v>
      </c>
      <c r="AS128" s="1">
        <f t="shared" ca="1" si="101"/>
        <v>91</v>
      </c>
      <c r="AU128" s="1">
        <f t="shared" ca="1" si="102"/>
        <v>293</v>
      </c>
      <c r="AV128" s="1">
        <f t="shared" ca="1" si="103"/>
        <v>7</v>
      </c>
      <c r="AW128" s="1">
        <f t="shared" ca="1" si="104"/>
        <v>1.7799633891105008E-2</v>
      </c>
      <c r="AY128" s="1">
        <f t="shared" ca="1" si="105"/>
        <v>1.1582496420185378</v>
      </c>
      <c r="AZ128" s="1">
        <f t="shared" ca="1" si="106"/>
        <v>500</v>
      </c>
      <c r="BA128" s="1">
        <f t="shared" ca="1" si="107"/>
        <v>2.6355909253427444E-3</v>
      </c>
      <c r="BG128" s="1">
        <f t="shared" ca="1" si="108"/>
        <v>0.4429915843675481</v>
      </c>
      <c r="BH128" s="1">
        <f t="shared" ca="1" si="109"/>
        <v>0.54877995067685348</v>
      </c>
      <c r="BI128" s="1">
        <f t="shared" ca="1" si="110"/>
        <v>979</v>
      </c>
      <c r="BV128" s="1">
        <f t="shared" ca="1" si="111"/>
        <v>0.38888460491728039</v>
      </c>
      <c r="BW128" s="1">
        <f t="shared" ca="1" si="112"/>
        <v>504</v>
      </c>
      <c r="BX128" s="1">
        <f t="shared" ca="1" si="113"/>
        <v>4.721296837528673E-3</v>
      </c>
      <c r="BY128" s="1">
        <f t="shared" ca="1" si="114"/>
        <v>1.6939048296776758E-2</v>
      </c>
      <c r="BZ128" s="1">
        <f t="shared" ca="1" si="115"/>
        <v>0.32125772009424891</v>
      </c>
      <c r="CB128" s="1">
        <f t="shared" ca="1" si="116"/>
        <v>459</v>
      </c>
      <c r="CC128" s="1">
        <f t="shared" ca="1" si="117"/>
        <v>10</v>
      </c>
      <c r="CD128" s="1">
        <f t="shared" ca="1" si="118"/>
        <v>4.8609015270546459E-2</v>
      </c>
      <c r="CE128" s="1">
        <f t="shared" ca="1" si="137"/>
        <v>0.80067739598672416</v>
      </c>
      <c r="CF128" s="1">
        <f t="shared" ca="1" si="137"/>
        <v>0.93608672729497422</v>
      </c>
      <c r="CH128" s="3">
        <f t="shared" ca="1" si="120"/>
        <v>0.10253805747487298</v>
      </c>
      <c r="CI128" s="3">
        <f t="shared" ca="1" si="121"/>
        <v>0.25845850040009055</v>
      </c>
      <c r="CJ128" s="3">
        <f t="shared" ca="1" si="122"/>
        <v>356</v>
      </c>
      <c r="CK128" s="3">
        <f t="shared" ca="1" si="123"/>
        <v>5.2078171197987699E-3</v>
      </c>
      <c r="CL128" s="3">
        <f t="shared" ca="1" si="124"/>
        <v>1</v>
      </c>
      <c r="CM128" s="3"/>
      <c r="CN128" s="1">
        <f t="shared" ca="1" si="125"/>
        <v>2.699773283804475</v>
      </c>
      <c r="CO128" s="1">
        <f t="shared" ca="1" si="126"/>
        <v>0.14287084210662515</v>
      </c>
      <c r="CP128" s="1">
        <f t="shared" ca="1" si="127"/>
        <v>2</v>
      </c>
      <c r="CV128" s="1">
        <f t="shared" ca="1" si="128"/>
        <v>6.3220190942418029</v>
      </c>
      <c r="CW128" s="1">
        <f t="shared" ca="1" si="129"/>
        <v>661</v>
      </c>
      <c r="CX128" s="1">
        <f t="shared" ca="1" si="130"/>
        <v>7.5752745412155558E-3</v>
      </c>
      <c r="DH128" s="1">
        <f t="shared" ca="1" si="131"/>
        <v>329</v>
      </c>
      <c r="DI128" s="1">
        <f t="shared" ca="1" si="132"/>
        <v>0.64829643601294462</v>
      </c>
      <c r="DJ128" s="1">
        <f t="shared" ca="1" si="133"/>
        <v>29</v>
      </c>
      <c r="DL128" s="1">
        <f t="shared" ca="1" si="134"/>
        <v>6.3404063865150281E-2</v>
      </c>
      <c r="DM128" s="1">
        <f t="shared" ca="1" si="135"/>
        <v>172</v>
      </c>
      <c r="DN128" s="1">
        <f t="shared" ca="1" si="136"/>
        <v>10</v>
      </c>
    </row>
    <row r="129" spans="2:118" x14ac:dyDescent="0.25">
      <c r="B129">
        <f t="shared" ca="1" si="69"/>
        <v>106</v>
      </c>
      <c r="C129">
        <f t="shared" ca="1" si="70"/>
        <v>44</v>
      </c>
      <c r="D129">
        <f t="shared" ca="1" si="71"/>
        <v>0.11980041182315372</v>
      </c>
      <c r="F129" s="1">
        <f t="shared" ca="1" si="72"/>
        <v>38</v>
      </c>
      <c r="G129" s="1">
        <f t="shared" ca="1" si="73"/>
        <v>3</v>
      </c>
      <c r="H129" s="1">
        <f t="shared" ca="1" si="74"/>
        <v>6</v>
      </c>
      <c r="I129" s="1"/>
      <c r="J129" s="1">
        <f t="shared" ca="1" si="75"/>
        <v>17</v>
      </c>
      <c r="K129" s="1">
        <f t="shared" ca="1" si="76"/>
        <v>2.2934011022233403</v>
      </c>
      <c r="L129" s="1">
        <f t="shared" ca="1" si="77"/>
        <v>9</v>
      </c>
      <c r="M129" s="1"/>
      <c r="N129" s="1">
        <f t="shared" ca="1" si="78"/>
        <v>623</v>
      </c>
      <c r="O129" s="1">
        <f t="shared" ca="1" si="79"/>
        <v>25</v>
      </c>
      <c r="P129" s="1"/>
      <c r="Q129" s="1">
        <f t="shared" ca="1" si="80"/>
        <v>4.3762264574973173</v>
      </c>
      <c r="R129" s="1">
        <f t="shared" ca="1" si="81"/>
        <v>461</v>
      </c>
      <c r="S129" s="1"/>
      <c r="T129" s="1">
        <f t="shared" ca="1" si="82"/>
        <v>0.1262310737877026</v>
      </c>
      <c r="U129" s="1">
        <f t="shared" ca="1" si="83"/>
        <v>365</v>
      </c>
      <c r="V129" s="1">
        <f t="shared" ca="1" si="84"/>
        <v>21</v>
      </c>
      <c r="W129" s="1"/>
      <c r="X129" s="1">
        <f t="shared" ca="1" si="85"/>
        <v>1.6221284290722451</v>
      </c>
      <c r="Y129" s="1">
        <f t="shared" ca="1" si="86"/>
        <v>0.40630840651244321</v>
      </c>
      <c r="Z129" s="1">
        <f t="shared" ca="1" si="87"/>
        <v>1388</v>
      </c>
      <c r="AB129" s="1">
        <f t="shared" ca="1" si="88"/>
        <v>0.58035470272205825</v>
      </c>
      <c r="AC129" s="1">
        <f t="shared" ca="1" si="89"/>
        <v>451</v>
      </c>
      <c r="AD129" s="1">
        <f t="shared" ca="1" si="90"/>
        <v>2.5583120178078564E-3</v>
      </c>
      <c r="AE129" s="1"/>
      <c r="AF129" s="1">
        <f t="shared" ca="1" si="91"/>
        <v>0.37840805905512231</v>
      </c>
      <c r="AG129" s="1">
        <f t="shared" ca="1" si="92"/>
        <v>849</v>
      </c>
      <c r="AH129" s="1">
        <f t="shared" ca="1" si="93"/>
        <v>3.7626699663134379E-3</v>
      </c>
      <c r="AJ129" s="1">
        <f t="shared" ca="1" si="94"/>
        <v>8.2212905422901827E-2</v>
      </c>
      <c r="AK129" s="1">
        <f t="shared" ca="1" si="95"/>
        <v>5.4829723798564345E-3</v>
      </c>
      <c r="AL129" s="1"/>
      <c r="AM129" s="1">
        <f t="shared" ca="1" si="96"/>
        <v>0.18747397165511362</v>
      </c>
      <c r="AN129" s="1">
        <f t="shared" ca="1" si="97"/>
        <v>54</v>
      </c>
      <c r="AO129" s="1">
        <f t="shared" ca="1" si="98"/>
        <v>1</v>
      </c>
      <c r="AQ129" s="1">
        <f t="shared" ca="1" si="99"/>
        <v>132</v>
      </c>
      <c r="AR129" s="1">
        <f t="shared" ca="1" si="100"/>
        <v>4</v>
      </c>
      <c r="AS129" s="1">
        <f t="shared" ca="1" si="101"/>
        <v>48</v>
      </c>
      <c r="AU129" s="1">
        <f t="shared" ca="1" si="102"/>
        <v>267</v>
      </c>
      <c r="AV129" s="1">
        <f t="shared" ca="1" si="103"/>
        <v>3</v>
      </c>
      <c r="AW129" s="1">
        <f t="shared" ca="1" si="104"/>
        <v>8.4607142539620706E-2</v>
      </c>
      <c r="AY129" s="1">
        <f t="shared" ca="1" si="105"/>
        <v>1.8523351009522715</v>
      </c>
      <c r="AZ129" s="1">
        <f t="shared" ca="1" si="106"/>
        <v>431</v>
      </c>
      <c r="BA129" s="1">
        <f t="shared" ca="1" si="107"/>
        <v>1.092918619905189E-3</v>
      </c>
      <c r="BG129" s="1">
        <f t="shared" ca="1" si="108"/>
        <v>0.17667936060742895</v>
      </c>
      <c r="BH129" s="1">
        <f t="shared" ca="1" si="109"/>
        <v>0.73025736408022568</v>
      </c>
      <c r="BI129" s="1">
        <f t="shared" ca="1" si="110"/>
        <v>931</v>
      </c>
      <c r="BV129" s="1">
        <f t="shared" ca="1" si="111"/>
        <v>0.84731983844709124</v>
      </c>
      <c r="BW129" s="1">
        <f t="shared" ca="1" si="112"/>
        <v>418</v>
      </c>
      <c r="BX129" s="1">
        <f t="shared" ca="1" si="113"/>
        <v>7.5331299627626504E-3</v>
      </c>
      <c r="BY129" s="1">
        <f t="shared" ca="1" si="114"/>
        <v>1.8983464350654194E-3</v>
      </c>
      <c r="BZ129" s="1">
        <f t="shared" ca="1" si="115"/>
        <v>0.16833004431627407</v>
      </c>
      <c r="CB129" s="1">
        <f t="shared" ca="1" si="116"/>
        <v>289</v>
      </c>
      <c r="CC129" s="1">
        <f t="shared" ca="1" si="117"/>
        <v>9</v>
      </c>
      <c r="CD129" s="1">
        <f t="shared" ca="1" si="118"/>
        <v>5.0167900121248395E-2</v>
      </c>
      <c r="CE129" s="1">
        <f t="shared" ca="1" si="137"/>
        <v>0.55662988391878576</v>
      </c>
      <c r="CF129" s="1">
        <f t="shared" ca="1" si="137"/>
        <v>0.98992220549834298</v>
      </c>
      <c r="CH129" s="3">
        <f t="shared" ca="1" si="120"/>
        <v>0.37419982850360439</v>
      </c>
      <c r="CI129" s="3">
        <f t="shared" ca="1" si="121"/>
        <v>0.13721571459973347</v>
      </c>
      <c r="CJ129" s="3">
        <f t="shared" ca="1" si="122"/>
        <v>1291</v>
      </c>
      <c r="CK129" s="3">
        <f t="shared" ca="1" si="123"/>
        <v>6.2618218145850347E-3</v>
      </c>
      <c r="CL129" s="3">
        <f t="shared" ca="1" si="124"/>
        <v>1</v>
      </c>
      <c r="CM129" s="3"/>
      <c r="CN129" s="1">
        <f t="shared" ca="1" si="125"/>
        <v>11.837505745076554</v>
      </c>
      <c r="CO129" s="1">
        <f t="shared" ca="1" si="126"/>
        <v>0.35397423284012669</v>
      </c>
      <c r="CP129" s="1">
        <f t="shared" ca="1" si="127"/>
        <v>1</v>
      </c>
      <c r="CV129" s="1">
        <f t="shared" ca="1" si="128"/>
        <v>3.7492212853361622</v>
      </c>
      <c r="CW129" s="1">
        <f t="shared" ca="1" si="129"/>
        <v>1096</v>
      </c>
      <c r="CX129" s="1">
        <f t="shared" ca="1" si="130"/>
        <v>6.3900169415170172E-3</v>
      </c>
      <c r="DH129" s="1">
        <f t="shared" ca="1" si="131"/>
        <v>463</v>
      </c>
      <c r="DI129" s="1">
        <f t="shared" ca="1" si="132"/>
        <v>4.3763377749126066E-2</v>
      </c>
      <c r="DJ129" s="1">
        <f t="shared" ca="1" si="133"/>
        <v>26</v>
      </c>
      <c r="DL129" s="1">
        <f t="shared" ca="1" si="134"/>
        <v>8.8971803358995377E-2</v>
      </c>
      <c r="DM129" s="1">
        <f t="shared" ca="1" si="135"/>
        <v>298</v>
      </c>
      <c r="DN129" s="1">
        <f t="shared" ca="1" si="136"/>
        <v>10</v>
      </c>
    </row>
    <row r="130" spans="2:118" x14ac:dyDescent="0.25">
      <c r="B130">
        <f t="shared" ca="1" si="69"/>
        <v>322</v>
      </c>
      <c r="C130">
        <f t="shared" ca="1" si="70"/>
        <v>28</v>
      </c>
      <c r="D130">
        <f t="shared" ca="1" si="71"/>
        <v>2.6243972671480716E-2</v>
      </c>
      <c r="F130" s="1">
        <f t="shared" ca="1" si="72"/>
        <v>39</v>
      </c>
      <c r="G130" s="1">
        <f t="shared" ca="1" si="73"/>
        <v>23</v>
      </c>
      <c r="H130" s="1">
        <f t="shared" ca="1" si="74"/>
        <v>8</v>
      </c>
      <c r="I130" s="1"/>
      <c r="J130" s="1">
        <f t="shared" ca="1" si="75"/>
        <v>34</v>
      </c>
      <c r="K130" s="1">
        <f t="shared" ca="1" si="76"/>
        <v>2.1105994104684376</v>
      </c>
      <c r="L130" s="1">
        <f t="shared" ca="1" si="77"/>
        <v>30</v>
      </c>
      <c r="M130" s="1"/>
      <c r="N130" s="1">
        <f t="shared" ca="1" si="78"/>
        <v>204</v>
      </c>
      <c r="O130" s="1">
        <f t="shared" ca="1" si="79"/>
        <v>14</v>
      </c>
      <c r="P130" s="1"/>
      <c r="Q130" s="1">
        <f t="shared" ca="1" si="80"/>
        <v>0.22349524828773343</v>
      </c>
      <c r="R130" s="1">
        <f t="shared" ca="1" si="81"/>
        <v>615</v>
      </c>
      <c r="S130" s="1"/>
      <c r="T130" s="1">
        <f t="shared" ca="1" si="82"/>
        <v>0.17553665897394835</v>
      </c>
      <c r="U130" s="1">
        <f t="shared" ca="1" si="83"/>
        <v>170</v>
      </c>
      <c r="V130" s="1">
        <f t="shared" ca="1" si="84"/>
        <v>6</v>
      </c>
      <c r="W130" s="1"/>
      <c r="X130" s="1">
        <f t="shared" ca="1" si="85"/>
        <v>2.6497757316004282</v>
      </c>
      <c r="Y130" s="1">
        <f t="shared" ca="1" si="86"/>
        <v>0.10255658217524893</v>
      </c>
      <c r="Z130" s="1">
        <f t="shared" ca="1" si="87"/>
        <v>1661</v>
      </c>
      <c r="AB130" s="1">
        <f t="shared" ca="1" si="88"/>
        <v>0.63423288509175901</v>
      </c>
      <c r="AC130" s="1">
        <f t="shared" ca="1" si="89"/>
        <v>103</v>
      </c>
      <c r="AD130" s="1">
        <f t="shared" ca="1" si="90"/>
        <v>4.4610636273025991E-3</v>
      </c>
      <c r="AE130" s="1"/>
      <c r="AF130" s="1">
        <f t="shared" ca="1" si="91"/>
        <v>0.16303351942361877</v>
      </c>
      <c r="AG130" s="1">
        <f t="shared" ca="1" si="92"/>
        <v>888</v>
      </c>
      <c r="AH130" s="1">
        <f t="shared" ca="1" si="93"/>
        <v>9.3213581081866038E-3</v>
      </c>
      <c r="AJ130" s="1">
        <f t="shared" ca="1" si="94"/>
        <v>0.46378568835260836</v>
      </c>
      <c r="AK130" s="1">
        <f t="shared" ca="1" si="95"/>
        <v>5.6972943189987713E-3</v>
      </c>
      <c r="AL130" s="1"/>
      <c r="AM130" s="1">
        <f t="shared" ca="1" si="96"/>
        <v>0.14874666129684777</v>
      </c>
      <c r="AN130" s="1">
        <f t="shared" ca="1" si="97"/>
        <v>18</v>
      </c>
      <c r="AO130" s="1">
        <f t="shared" ca="1" si="98"/>
        <v>6</v>
      </c>
      <c r="AQ130" s="1">
        <f t="shared" ca="1" si="99"/>
        <v>66</v>
      </c>
      <c r="AR130" s="1">
        <f t="shared" ca="1" si="100"/>
        <v>7</v>
      </c>
      <c r="AS130" s="1">
        <f t="shared" ca="1" si="101"/>
        <v>36</v>
      </c>
      <c r="AU130" s="1">
        <f t="shared" ca="1" si="102"/>
        <v>191</v>
      </c>
      <c r="AV130" s="1">
        <f t="shared" ca="1" si="103"/>
        <v>3</v>
      </c>
      <c r="AW130" s="1">
        <f t="shared" ca="1" si="104"/>
        <v>6.7176629760868384E-2</v>
      </c>
      <c r="AY130" s="1">
        <f t="shared" ca="1" si="105"/>
        <v>1.3767969278715835</v>
      </c>
      <c r="AZ130" s="1">
        <f t="shared" ca="1" si="106"/>
        <v>262</v>
      </c>
      <c r="BA130" s="1">
        <f t="shared" ca="1" si="107"/>
        <v>6.7944065582489716E-3</v>
      </c>
      <c r="BG130" s="1">
        <f t="shared" ca="1" si="108"/>
        <v>0.49773994478273986</v>
      </c>
      <c r="BH130" s="1">
        <f t="shared" ca="1" si="109"/>
        <v>0.51414691839425086</v>
      </c>
      <c r="BI130" s="1">
        <f t="shared" ca="1" si="110"/>
        <v>165</v>
      </c>
      <c r="BV130" s="1">
        <f t="shared" ca="1" si="111"/>
        <v>0.93287562851812356</v>
      </c>
      <c r="BW130" s="1">
        <f t="shared" ca="1" si="112"/>
        <v>368</v>
      </c>
      <c r="BX130" s="1">
        <f t="shared" ca="1" si="113"/>
        <v>9.5247551339405524E-3</v>
      </c>
      <c r="BY130" s="1">
        <f t="shared" ca="1" si="114"/>
        <v>6.7866034631027E-2</v>
      </c>
      <c r="BZ130" s="1">
        <f t="shared" ca="1" si="115"/>
        <v>7.8175413811609307E-2</v>
      </c>
      <c r="CB130" s="1">
        <f t="shared" ca="1" si="116"/>
        <v>72</v>
      </c>
      <c r="CC130" s="1">
        <f t="shared" ca="1" si="117"/>
        <v>10</v>
      </c>
      <c r="CD130" s="1">
        <f t="shared" ca="1" si="118"/>
        <v>0.27852250855993999</v>
      </c>
      <c r="CE130" s="1">
        <f t="shared" ca="1" si="137"/>
        <v>0.71214334862335993</v>
      </c>
      <c r="CF130" s="1">
        <f t="shared" ca="1" si="137"/>
        <v>0.5760548073844316</v>
      </c>
      <c r="CH130" s="3">
        <f t="shared" ca="1" si="120"/>
        <v>0.54073698609953846</v>
      </c>
      <c r="CI130" s="3">
        <f t="shared" ca="1" si="121"/>
        <v>0.36990037712101681</v>
      </c>
      <c r="CJ130" s="3">
        <f t="shared" ca="1" si="122"/>
        <v>1779</v>
      </c>
      <c r="CK130" s="3">
        <f t="shared" ca="1" si="123"/>
        <v>8.6320463792537595E-3</v>
      </c>
      <c r="CL130" s="3">
        <f t="shared" ca="1" si="124"/>
        <v>1</v>
      </c>
      <c r="CM130" s="3"/>
      <c r="CN130" s="1">
        <f t="shared" ca="1" si="125"/>
        <v>14.27777591470265</v>
      </c>
      <c r="CO130" s="1">
        <f t="shared" ca="1" si="126"/>
        <v>0.41940355955489794</v>
      </c>
      <c r="CP130" s="1">
        <f t="shared" ca="1" si="127"/>
        <v>5</v>
      </c>
      <c r="CV130" s="1">
        <f t="shared" ca="1" si="128"/>
        <v>2.5667540605674044</v>
      </c>
      <c r="CW130" s="1">
        <f t="shared" ca="1" si="129"/>
        <v>1326</v>
      </c>
      <c r="CX130" s="1">
        <f t="shared" ca="1" si="130"/>
        <v>6.3726615049390124E-3</v>
      </c>
      <c r="DH130" s="1">
        <f t="shared" ca="1" si="131"/>
        <v>172</v>
      </c>
      <c r="DI130" s="1">
        <f t="shared" ca="1" si="132"/>
        <v>0.82233078789848013</v>
      </c>
      <c r="DJ130" s="1">
        <f t="shared" ca="1" si="133"/>
        <v>14</v>
      </c>
      <c r="DL130" s="1">
        <f t="shared" ca="1" si="134"/>
        <v>0.10300485902317047</v>
      </c>
      <c r="DM130" s="1">
        <f t="shared" ca="1" si="135"/>
        <v>267</v>
      </c>
      <c r="DN130" s="1">
        <f t="shared" ca="1" si="136"/>
        <v>5</v>
      </c>
    </row>
    <row r="131" spans="2:118" x14ac:dyDescent="0.25">
      <c r="B131">
        <f t="shared" ca="1" si="69"/>
        <v>334</v>
      </c>
      <c r="C131">
        <f t="shared" ca="1" si="70"/>
        <v>10</v>
      </c>
      <c r="D131">
        <f t="shared" ca="1" si="71"/>
        <v>0.22110210479819098</v>
      </c>
      <c r="F131" s="1">
        <f t="shared" ca="1" si="72"/>
        <v>50</v>
      </c>
      <c r="G131" s="1">
        <f t="shared" ca="1" si="73"/>
        <v>23</v>
      </c>
      <c r="H131" s="1">
        <f t="shared" ca="1" si="74"/>
        <v>7</v>
      </c>
      <c r="I131" s="1"/>
      <c r="J131" s="1">
        <f t="shared" ca="1" si="75"/>
        <v>8</v>
      </c>
      <c r="K131" s="1">
        <f t="shared" ca="1" si="76"/>
        <v>1.2580550338101593</v>
      </c>
      <c r="L131" s="1">
        <f t="shared" ca="1" si="77"/>
        <v>10</v>
      </c>
      <c r="M131" s="1"/>
      <c r="N131" s="1">
        <f t="shared" ca="1" si="78"/>
        <v>447</v>
      </c>
      <c r="O131" s="1">
        <f t="shared" ca="1" si="79"/>
        <v>3</v>
      </c>
      <c r="P131" s="1"/>
      <c r="Q131" s="1">
        <f t="shared" ca="1" si="80"/>
        <v>2.9014684606992969</v>
      </c>
      <c r="R131" s="1">
        <f t="shared" ca="1" si="81"/>
        <v>848</v>
      </c>
      <c r="S131" s="1"/>
      <c r="T131" s="1">
        <f t="shared" ca="1" si="82"/>
        <v>1.0976647397271815E-2</v>
      </c>
      <c r="U131" s="1">
        <f t="shared" ca="1" si="83"/>
        <v>195</v>
      </c>
      <c r="V131" s="1">
        <f t="shared" ca="1" si="84"/>
        <v>47</v>
      </c>
      <c r="W131" s="1"/>
      <c r="X131" s="1">
        <f t="shared" ca="1" si="85"/>
        <v>4.1888808224808063</v>
      </c>
      <c r="Y131" s="1">
        <f t="shared" ca="1" si="86"/>
        <v>0.91807731935581194</v>
      </c>
      <c r="Z131" s="1">
        <f t="shared" ca="1" si="87"/>
        <v>780</v>
      </c>
      <c r="AB131" s="1">
        <f t="shared" ca="1" si="88"/>
        <v>0.55246664466878648</v>
      </c>
      <c r="AC131" s="1">
        <f t="shared" ca="1" si="89"/>
        <v>113</v>
      </c>
      <c r="AD131" s="1">
        <f t="shared" ca="1" si="90"/>
        <v>7.9332945479930733E-3</v>
      </c>
      <c r="AE131" s="1"/>
      <c r="AF131" s="1">
        <f t="shared" ca="1" si="91"/>
        <v>0.45211205261209109</v>
      </c>
      <c r="AG131" s="1">
        <f t="shared" ca="1" si="92"/>
        <v>513</v>
      </c>
      <c r="AH131" s="1">
        <f t="shared" ca="1" si="93"/>
        <v>6.853597674820318E-3</v>
      </c>
      <c r="AJ131" s="1">
        <f t="shared" ca="1" si="94"/>
        <v>0.51307049059249432</v>
      </c>
      <c r="AK131" s="1">
        <f t="shared" ca="1" si="95"/>
        <v>7.8048867283436792E-3</v>
      </c>
      <c r="AL131" s="1"/>
      <c r="AM131" s="1">
        <f t="shared" ca="1" si="96"/>
        <v>0.13694540483862497</v>
      </c>
      <c r="AN131" s="1">
        <f t="shared" ca="1" si="97"/>
        <v>36</v>
      </c>
      <c r="AO131" s="1">
        <f t="shared" ca="1" si="98"/>
        <v>14</v>
      </c>
      <c r="AQ131" s="1">
        <f t="shared" ca="1" si="99"/>
        <v>54</v>
      </c>
      <c r="AR131" s="1">
        <f t="shared" ca="1" si="100"/>
        <v>10</v>
      </c>
      <c r="AS131" s="1">
        <f t="shared" ca="1" si="101"/>
        <v>60</v>
      </c>
      <c r="AU131" s="1">
        <f t="shared" ca="1" si="102"/>
        <v>53</v>
      </c>
      <c r="AV131" s="1">
        <f t="shared" ca="1" si="103"/>
        <v>9</v>
      </c>
      <c r="AW131" s="1">
        <f t="shared" ca="1" si="104"/>
        <v>0.17576517950448522</v>
      </c>
      <c r="AY131" s="1">
        <f t="shared" ca="1" si="105"/>
        <v>1.3430216690667844</v>
      </c>
      <c r="AZ131" s="1">
        <f t="shared" ca="1" si="106"/>
        <v>176</v>
      </c>
      <c r="BA131" s="1">
        <f t="shared" ca="1" si="107"/>
        <v>2.1781928297063872E-3</v>
      </c>
      <c r="BG131" s="1">
        <f t="shared" ca="1" si="108"/>
        <v>0.66032402372630428</v>
      </c>
      <c r="BH131" s="1">
        <f t="shared" ca="1" si="109"/>
        <v>0.68580991416498582</v>
      </c>
      <c r="BI131" s="1">
        <f t="shared" ca="1" si="110"/>
        <v>565</v>
      </c>
      <c r="BV131" s="1">
        <f t="shared" ca="1" si="111"/>
        <v>0.5884870618629221</v>
      </c>
      <c r="BW131" s="1">
        <f t="shared" ca="1" si="112"/>
        <v>419</v>
      </c>
      <c r="BX131" s="1">
        <f t="shared" ca="1" si="113"/>
        <v>1.6667750453892352E-3</v>
      </c>
      <c r="BY131" s="1">
        <f t="shared" ca="1" si="114"/>
        <v>1.0048205816503819E-2</v>
      </c>
      <c r="BZ131" s="1">
        <f t="shared" ca="1" si="115"/>
        <v>0.55326205352757107</v>
      </c>
      <c r="CB131" s="1">
        <f t="shared" ca="1" si="116"/>
        <v>289</v>
      </c>
      <c r="CC131" s="1">
        <f t="shared" ca="1" si="117"/>
        <v>9</v>
      </c>
      <c r="CD131" s="1">
        <f t="shared" ca="1" si="118"/>
        <v>6.4970413161354254E-2</v>
      </c>
      <c r="CE131" s="1">
        <f t="shared" ca="1" si="137"/>
        <v>0.9779274924111</v>
      </c>
      <c r="CF131" s="1">
        <f t="shared" ca="1" si="137"/>
        <v>0.88745935273530629</v>
      </c>
      <c r="CH131" s="3">
        <f t="shared" ca="1" si="120"/>
        <v>0.20931510693784403</v>
      </c>
      <c r="CI131" s="3">
        <f t="shared" ca="1" si="121"/>
        <v>0.78394088824373209</v>
      </c>
      <c r="CJ131" s="3">
        <f t="shared" ca="1" si="122"/>
        <v>567</v>
      </c>
      <c r="CK131" s="3">
        <f t="shared" ca="1" si="123"/>
        <v>5.5654712073360552E-3</v>
      </c>
      <c r="CL131" s="3">
        <f t="shared" ca="1" si="124"/>
        <v>0</v>
      </c>
      <c r="CM131" s="3"/>
      <c r="CN131" s="1">
        <f t="shared" ca="1" si="125"/>
        <v>0.45339640717182017</v>
      </c>
      <c r="CO131" s="1">
        <f t="shared" ca="1" si="126"/>
        <v>0.14637797941370614</v>
      </c>
      <c r="CP131" s="1">
        <f t="shared" ca="1" si="127"/>
        <v>1</v>
      </c>
      <c r="CV131" s="1">
        <f t="shared" ca="1" si="128"/>
        <v>3.3560261481566389</v>
      </c>
      <c r="CW131" s="1">
        <f t="shared" ca="1" si="129"/>
        <v>1069</v>
      </c>
      <c r="CX131" s="1">
        <f t="shared" ca="1" si="130"/>
        <v>6.5354844613420516E-3</v>
      </c>
      <c r="DH131" s="1">
        <f t="shared" ca="1" si="131"/>
        <v>111</v>
      </c>
      <c r="DI131" s="1">
        <f t="shared" ca="1" si="132"/>
        <v>0.71872375467543914</v>
      </c>
      <c r="DJ131" s="1">
        <f t="shared" ca="1" si="133"/>
        <v>22</v>
      </c>
      <c r="DL131" s="1">
        <f t="shared" ca="1" si="134"/>
        <v>6.4317928665693913E-2</v>
      </c>
      <c r="DM131" s="1">
        <f t="shared" ca="1" si="135"/>
        <v>132</v>
      </c>
      <c r="DN131" s="1">
        <f t="shared" ca="1" si="136"/>
        <v>2</v>
      </c>
    </row>
    <row r="132" spans="2:118" x14ac:dyDescent="0.25">
      <c r="B132">
        <f t="shared" ref="B132:B195" ca="1" si="138">RANDBETWEEN(15,1000)</f>
        <v>322</v>
      </c>
      <c r="C132">
        <f t="shared" ref="C132:C195" ca="1" si="139">RANDBETWEEN(2,52)</f>
        <v>18</v>
      </c>
      <c r="D132">
        <f t="shared" ref="D132:D195" ca="1" si="140">RAND()*(0.3-0.01)+0.01</f>
        <v>3.2988447743811475E-2</v>
      </c>
      <c r="F132" s="1">
        <f t="shared" ref="F132:F195" ca="1" si="141">RANDBETWEEN(2,52)</f>
        <v>13</v>
      </c>
      <c r="G132" s="1">
        <f t="shared" ref="G132:G195" ca="1" si="142">RANDBETWEEN(2,30)</f>
        <v>14</v>
      </c>
      <c r="H132" s="1">
        <f t="shared" ref="H132:H195" ca="1" si="143">RANDBETWEEN(1,15)</f>
        <v>8</v>
      </c>
      <c r="I132" s="1"/>
      <c r="J132" s="1">
        <f t="shared" ref="J132:J195" ca="1" si="144">RANDBETWEEN(1,39)</f>
        <v>15</v>
      </c>
      <c r="K132" s="1">
        <f t="shared" ref="K132:K195" ca="1" si="145">RAND()*(3-1)+1</f>
        <v>2.7304192645763865</v>
      </c>
      <c r="L132" s="1">
        <f t="shared" ref="L132:L195" ca="1" si="146">RANDBETWEEN(2,35)</f>
        <v>29</v>
      </c>
      <c r="M132" s="1"/>
      <c r="N132" s="1">
        <f t="shared" ref="N132:N195" ca="1" si="147">RANDBETWEEN(15,1000)</f>
        <v>358</v>
      </c>
      <c r="O132" s="1">
        <f t="shared" ref="O132:O195" ca="1" si="148">RANDBETWEEN(2,52)</f>
        <v>38</v>
      </c>
      <c r="P132" s="1"/>
      <c r="Q132" s="1">
        <f t="shared" ref="Q132:Q195" ca="1" si="149">RAND()*(5-0.01)+0.01</f>
        <v>3.2488013079007927</v>
      </c>
      <c r="R132" s="1">
        <f t="shared" ref="R132:R195" ca="1" si="150">RANDBETWEEN(200,1200)</f>
        <v>1194</v>
      </c>
      <c r="S132" s="1"/>
      <c r="T132" s="1">
        <f t="shared" ref="T132:T195" ca="1" si="151">RAND()*(0.2-0.01)+0.01</f>
        <v>1.2455451215963056E-2</v>
      </c>
      <c r="U132" s="1">
        <f t="shared" ref="U132:U195" ca="1" si="152">RANDBETWEEN(50,450)</f>
        <v>197</v>
      </c>
      <c r="V132" s="1">
        <f t="shared" ref="V132:V195" ca="1" si="153">RANDBETWEEN(2,52)</f>
        <v>39</v>
      </c>
      <c r="W132" s="1"/>
      <c r="X132" s="1">
        <f t="shared" ref="X132:X195" ca="1" si="154">RAND()*(10-0.01)+0.01</f>
        <v>3.2824347894370707</v>
      </c>
      <c r="Y132" s="1">
        <f t="shared" ref="Y132:Y195" ca="1" si="155">RAND()*(1-0.0001)+0.0001</f>
        <v>0.20505449220661567</v>
      </c>
      <c r="Z132" s="1">
        <f t="shared" ref="Z132:Z195" ca="1" si="156">RANDBETWEEN(100,2000)</f>
        <v>1990</v>
      </c>
      <c r="AB132" s="1">
        <f t="shared" ref="AB132:AB195" ca="1" si="157">RAND()*(1-0.0001)+0.0001</f>
        <v>0.30099630262169907</v>
      </c>
      <c r="AC132" s="1">
        <f t="shared" ref="AC132:AC195" ca="1" si="158">RANDBETWEEN(100,1000)</f>
        <v>304</v>
      </c>
      <c r="AD132" s="1">
        <f t="shared" ref="AD132:AD195" ca="1" si="159">RAND()*(0.01-0.00001)+0.00001</f>
        <v>2.3874208314084715E-3</v>
      </c>
      <c r="AE132" s="1"/>
      <c r="AF132" s="1">
        <f t="shared" ref="AF132:AF195" ca="1" si="160">RAND()*(0.9-0.1)+0.1</f>
        <v>0.69884770824221198</v>
      </c>
      <c r="AG132" s="1">
        <f t="shared" ref="AG132:AG195" ca="1" si="161">RANDBETWEEN(100,1000)</f>
        <v>722</v>
      </c>
      <c r="AH132" s="1">
        <f t="shared" ref="AH132:AH195" ca="1" si="162">RAND()*(0.01-0.00001)+0.00001</f>
        <v>5.6264145639369368E-4</v>
      </c>
      <c r="AJ132" s="1">
        <f t="shared" ref="AJ132:AJ195" ca="1" si="163">RAND()*(1-0)+0</f>
        <v>0.64195465520607331</v>
      </c>
      <c r="AK132" s="1">
        <f t="shared" ref="AK132:AK195" ca="1" si="164">RAND()*(0.01-0.00001)+0.00001</f>
        <v>6.2466948451777105E-3</v>
      </c>
      <c r="AL132" s="1"/>
      <c r="AM132" s="1">
        <f t="shared" ref="AM132:AM195" ca="1" si="165">RAND()*(0.2-0.005)+0.005</f>
        <v>9.4436687537482134E-2</v>
      </c>
      <c r="AN132" s="1">
        <f t="shared" ref="AN132:AN195" ca="1" si="166">RANDBETWEEN(10,80)</f>
        <v>70</v>
      </c>
      <c r="AO132" s="1">
        <f t="shared" ref="AO132:AO195" ca="1" si="167">RANDBETWEEN(-1,20)</f>
        <v>3</v>
      </c>
      <c r="AQ132" s="1">
        <f t="shared" ref="AQ132:AQ195" ca="1" si="168">RANDBETWEEN(10,200)</f>
        <v>115</v>
      </c>
      <c r="AR132" s="1">
        <f t="shared" ref="AR132:AR195" ca="1" si="169">RANDBETWEEN(0,10)</f>
        <v>5</v>
      </c>
      <c r="AS132" s="1">
        <f t="shared" ref="AS132:AS195" ca="1" si="170">RANDBETWEEN(1,100)</f>
        <v>51</v>
      </c>
      <c r="AU132" s="1">
        <f t="shared" ref="AU132:AU195" ca="1" si="171">RANDBETWEEN(50,400)</f>
        <v>125</v>
      </c>
      <c r="AV132" s="1">
        <f t="shared" ref="AV132:AV195" ca="1" si="172">RANDBETWEEN(2,10)</f>
        <v>10</v>
      </c>
      <c r="AW132" s="1">
        <f t="shared" ref="AW132:AW195" ca="1" si="173">RAND()*(0.2-0.01)+0.01</f>
        <v>0.10073774462131178</v>
      </c>
      <c r="AY132" s="1">
        <f t="shared" ref="AY132:AY195" ca="1" si="174">RAND()*(2-1.1)+1.1</f>
        <v>1.8975269668624821</v>
      </c>
      <c r="AZ132" s="1">
        <f t="shared" ref="AZ132:AZ195" ca="1" si="175">RANDBETWEEN(50,500)</f>
        <v>81</v>
      </c>
      <c r="BA132" s="1">
        <f t="shared" ref="BA132:BA195" ca="1" si="176">RAND()*(0.01-0.00001)+0.00001</f>
        <v>2.1759292810791023E-3</v>
      </c>
      <c r="BG132" s="1">
        <f t="shared" ref="BG132:BG195" ca="1" si="177">RAND()*(1-0.0001)+0.0001</f>
        <v>0.49459984614308661</v>
      </c>
      <c r="BH132" s="1">
        <f t="shared" ref="BH132:BH195" ca="1" si="178">RAND()*(1-0)+0</f>
        <v>0.79851790199194317</v>
      </c>
      <c r="BI132" s="1">
        <f t="shared" ref="BI132:BI195" ca="1" si="179">RANDBETWEEN(100,1000)</f>
        <v>262</v>
      </c>
      <c r="BV132" s="1">
        <f t="shared" ref="BV132:BV195" ca="1" si="180">RAND()*(1-0.0001)+0.0001</f>
        <v>0.91861907182009273</v>
      </c>
      <c r="BW132" s="1">
        <f t="shared" ref="BW132:BW195" ca="1" si="181">RANDBETWEEN(100,1000)</f>
        <v>539</v>
      </c>
      <c r="BX132" s="1">
        <f t="shared" ref="BX132:BX195" ca="1" si="182">RAND()*(0.01-0.00001)+0.00001</f>
        <v>9.4143811061498381E-4</v>
      </c>
      <c r="BY132" s="1">
        <f t="shared" ref="BY132:BY195" ca="1" si="183">RAND()*(0.1-0.0001)+0.0001</f>
        <v>3.1684204329410194E-2</v>
      </c>
      <c r="BZ132" s="1">
        <f t="shared" ref="BZ132:BZ195" ca="1" si="184">RAND()*(1-0)+0</f>
        <v>0.43696309368504771</v>
      </c>
      <c r="CB132" s="1">
        <f t="shared" ref="CB132:CB195" ca="1" si="185">RANDBETWEEN(50,500)</f>
        <v>493</v>
      </c>
      <c r="CC132" s="1">
        <f t="shared" ref="CC132:CC195" ca="1" si="186">RANDBETWEEN(3,15)</f>
        <v>8</v>
      </c>
      <c r="CD132" s="1">
        <f t="shared" ref="CD132:CD195" ca="1" si="187">RAND()*(0.3-0.01)+0.01</f>
        <v>6.3615973142324464E-2</v>
      </c>
      <c r="CE132" s="1">
        <f t="shared" ref="CE132:CF163" ca="1" si="188">RAND()*(1-0.5)+0.5</f>
        <v>0.74123054318085224</v>
      </c>
      <c r="CF132" s="1">
        <f t="shared" ca="1" si="188"/>
        <v>0.83600940841151028</v>
      </c>
      <c r="CH132" s="3">
        <f t="shared" ref="CH132:CH195" ca="1" si="189">RAND()*(1-0.0001)+0.0001</f>
        <v>0.20425223473111775</v>
      </c>
      <c r="CI132" s="3">
        <f t="shared" ref="CI132:CI195" ca="1" si="190">RAND()*(0.99-0.01)+0.01</f>
        <v>0.53384290171018522</v>
      </c>
      <c r="CJ132" s="3">
        <f t="shared" ref="CJ132:CJ195" ca="1" si="191">RANDBETWEEN(100,2000)</f>
        <v>1732</v>
      </c>
      <c r="CK132" s="3">
        <f t="shared" ref="CK132:CK195" ca="1" si="192">RAND()*(0.01-0.000001)+0.000001</f>
        <v>1.6673717622054495E-3</v>
      </c>
      <c r="CL132" s="3">
        <f t="shared" ref="CL132:CL195" ca="1" si="193">RANDBETWEEN(0,1)</f>
        <v>1</v>
      </c>
      <c r="CM132" s="3"/>
      <c r="CN132" s="1">
        <f t="shared" ref="CN132:CN195" ca="1" si="194">RAND()*(20-0.1)+0.1</f>
        <v>3.4328172480482073</v>
      </c>
      <c r="CO132" s="1">
        <f t="shared" ref="CO132:CO195" ca="1" si="195">RAND()*(0.5-0.001)+0.001</f>
        <v>0.17956317371046329</v>
      </c>
      <c r="CP132" s="1">
        <f t="shared" ref="CP132:CP195" ca="1" si="196">RANDBETWEEN(1,5)</f>
        <v>1</v>
      </c>
      <c r="CV132" s="1">
        <f t="shared" ref="CV132:CV195" ca="1" si="197">RAND()*(10-0.0001)+0.0001</f>
        <v>6.1864793515242207</v>
      </c>
      <c r="CW132" s="1">
        <f t="shared" ref="CW132:CW195" ca="1" si="198">RANDBETWEEN(100,2000)</f>
        <v>1199</v>
      </c>
      <c r="CX132" s="1">
        <f t="shared" ref="CX132:CX195" ca="1" si="199">RAND()*(0.01-0.000001)+0.000001</f>
        <v>8.4234100183401301E-4</v>
      </c>
      <c r="DH132" s="1">
        <f t="shared" ref="DH132:DH195" ca="1" si="200">RANDBETWEEN(10,900)</f>
        <v>778</v>
      </c>
      <c r="DI132" s="1">
        <f t="shared" ref="DI132:DI195" ca="1" si="201">RAND()*(1-0.001)+0.001</f>
        <v>0.33985991406061788</v>
      </c>
      <c r="DJ132" s="1">
        <f t="shared" ref="DJ132:DJ195" ca="1" si="202">RANDBETWEEN(1,30)</f>
        <v>13</v>
      </c>
      <c r="DL132" s="1">
        <f t="shared" ref="DL132:DL195" ca="1" si="203">RAND()*(0.2-0.01)+0.01</f>
        <v>9.1560901812666559E-2</v>
      </c>
      <c r="DM132" s="1">
        <f t="shared" ref="DM132:DM195" ca="1" si="204">RANDBETWEEN(50,300)</f>
        <v>241</v>
      </c>
      <c r="DN132" s="1">
        <f t="shared" ref="DN132:DN195" ca="1" si="205">RANDBETWEEN(1,10)</f>
        <v>5</v>
      </c>
    </row>
    <row r="133" spans="2:118" x14ac:dyDescent="0.25">
      <c r="B133">
        <f t="shared" ca="1" si="138"/>
        <v>426</v>
      </c>
      <c r="C133">
        <f t="shared" ca="1" si="139"/>
        <v>4</v>
      </c>
      <c r="D133">
        <f t="shared" ca="1" si="140"/>
        <v>0.27366045317708892</v>
      </c>
      <c r="F133" s="1">
        <f t="shared" ca="1" si="141"/>
        <v>19</v>
      </c>
      <c r="G133" s="1">
        <f t="shared" ca="1" si="142"/>
        <v>23</v>
      </c>
      <c r="H133" s="1">
        <f t="shared" ca="1" si="143"/>
        <v>10</v>
      </c>
      <c r="I133" s="1"/>
      <c r="J133" s="1">
        <f t="shared" ca="1" si="144"/>
        <v>25</v>
      </c>
      <c r="K133" s="1">
        <f t="shared" ca="1" si="145"/>
        <v>2.2130743905957839</v>
      </c>
      <c r="L133" s="1">
        <f t="shared" ca="1" si="146"/>
        <v>11</v>
      </c>
      <c r="M133" s="1"/>
      <c r="N133" s="1">
        <f t="shared" ca="1" si="147"/>
        <v>548</v>
      </c>
      <c r="O133" s="1">
        <f t="shared" ca="1" si="148"/>
        <v>34</v>
      </c>
      <c r="P133" s="1"/>
      <c r="Q133" s="1">
        <f t="shared" ca="1" si="149"/>
        <v>4.9688293749357859</v>
      </c>
      <c r="R133" s="1">
        <f t="shared" ca="1" si="150"/>
        <v>1122</v>
      </c>
      <c r="S133" s="1"/>
      <c r="T133" s="1">
        <f t="shared" ca="1" si="151"/>
        <v>9.9195536173984994E-2</v>
      </c>
      <c r="U133" s="1">
        <f t="shared" ca="1" si="152"/>
        <v>361</v>
      </c>
      <c r="V133" s="1">
        <f t="shared" ca="1" si="153"/>
        <v>17</v>
      </c>
      <c r="W133" s="1"/>
      <c r="X133" s="1">
        <f t="shared" ca="1" si="154"/>
        <v>0.45894021321009454</v>
      </c>
      <c r="Y133" s="1">
        <f t="shared" ca="1" si="155"/>
        <v>0.85434217588630323</v>
      </c>
      <c r="Z133" s="1">
        <f t="shared" ca="1" si="156"/>
        <v>1789</v>
      </c>
      <c r="AB133" s="1">
        <f t="shared" ca="1" si="157"/>
        <v>0.21495757385906555</v>
      </c>
      <c r="AC133" s="1">
        <f t="shared" ca="1" si="158"/>
        <v>414</v>
      </c>
      <c r="AD133" s="1">
        <f t="shared" ca="1" si="159"/>
        <v>2.7876591955725122E-3</v>
      </c>
      <c r="AE133" s="1"/>
      <c r="AF133" s="1">
        <f t="shared" ca="1" si="160"/>
        <v>0.55584706495477698</v>
      </c>
      <c r="AG133" s="1">
        <f t="shared" ca="1" si="161"/>
        <v>204</v>
      </c>
      <c r="AH133" s="1">
        <f t="shared" ca="1" si="162"/>
        <v>2.8813396804219515E-3</v>
      </c>
      <c r="AJ133" s="1">
        <f t="shared" ca="1" si="163"/>
        <v>0.31849129257793429</v>
      </c>
      <c r="AK133" s="1">
        <f t="shared" ca="1" si="164"/>
        <v>1.30760343473996E-3</v>
      </c>
      <c r="AL133" s="1"/>
      <c r="AM133" s="1">
        <f t="shared" ca="1" si="165"/>
        <v>0.13259778088791885</v>
      </c>
      <c r="AN133" s="1">
        <f t="shared" ca="1" si="166"/>
        <v>21</v>
      </c>
      <c r="AO133" s="1">
        <f t="shared" ca="1" si="167"/>
        <v>15</v>
      </c>
      <c r="AQ133" s="1">
        <f t="shared" ca="1" si="168"/>
        <v>172</v>
      </c>
      <c r="AR133" s="1">
        <f t="shared" ca="1" si="169"/>
        <v>5</v>
      </c>
      <c r="AS133" s="1">
        <f t="shared" ca="1" si="170"/>
        <v>60</v>
      </c>
      <c r="AU133" s="1">
        <f t="shared" ca="1" si="171"/>
        <v>94</v>
      </c>
      <c r="AV133" s="1">
        <f t="shared" ca="1" si="172"/>
        <v>10</v>
      </c>
      <c r="AW133" s="1">
        <f t="shared" ca="1" si="173"/>
        <v>0.10348488464392105</v>
      </c>
      <c r="AY133" s="1">
        <f t="shared" ca="1" si="174"/>
        <v>1.6752030998677361</v>
      </c>
      <c r="AZ133" s="1">
        <f t="shared" ca="1" si="175"/>
        <v>267</v>
      </c>
      <c r="BA133" s="1">
        <f t="shared" ca="1" si="176"/>
        <v>4.3882595217359438E-3</v>
      </c>
      <c r="BG133" s="1">
        <f t="shared" ca="1" si="177"/>
        <v>0.18352342240113975</v>
      </c>
      <c r="BH133" s="1">
        <f t="shared" ca="1" si="178"/>
        <v>0.4141308917298655</v>
      </c>
      <c r="BI133" s="1">
        <f t="shared" ca="1" si="179"/>
        <v>160</v>
      </c>
      <c r="BV133" s="1">
        <f t="shared" ca="1" si="180"/>
        <v>0.79417333969015003</v>
      </c>
      <c r="BW133" s="1">
        <f t="shared" ca="1" si="181"/>
        <v>934</v>
      </c>
      <c r="BX133" s="1">
        <f t="shared" ca="1" si="182"/>
        <v>7.8244954869595446E-3</v>
      </c>
      <c r="BY133" s="1">
        <f t="shared" ca="1" si="183"/>
        <v>5.4833662562206689E-2</v>
      </c>
      <c r="BZ133" s="1">
        <f t="shared" ca="1" si="184"/>
        <v>0.98649301389478461</v>
      </c>
      <c r="CB133" s="1">
        <f t="shared" ca="1" si="185"/>
        <v>139</v>
      </c>
      <c r="CC133" s="1">
        <f t="shared" ca="1" si="186"/>
        <v>5</v>
      </c>
      <c r="CD133" s="1">
        <f t="shared" ca="1" si="187"/>
        <v>1.0424369043033161E-2</v>
      </c>
      <c r="CE133" s="1">
        <f t="shared" ca="1" si="188"/>
        <v>0.69686258028286385</v>
      </c>
      <c r="CF133" s="1">
        <f t="shared" ca="1" si="188"/>
        <v>0.92317856359973338</v>
      </c>
      <c r="CH133" s="3">
        <f t="shared" ca="1" si="189"/>
        <v>0.84553824233680974</v>
      </c>
      <c r="CI133" s="3">
        <f t="shared" ca="1" si="190"/>
        <v>0.40108389953848639</v>
      </c>
      <c r="CJ133" s="3">
        <f t="shared" ca="1" si="191"/>
        <v>311</v>
      </c>
      <c r="CK133" s="3">
        <f t="shared" ca="1" si="192"/>
        <v>6.1284292024567652E-3</v>
      </c>
      <c r="CL133" s="3">
        <f t="shared" ca="1" si="193"/>
        <v>1</v>
      </c>
      <c r="CM133" s="3"/>
      <c r="CN133" s="1">
        <f t="shared" ca="1" si="194"/>
        <v>3.8217915363190995</v>
      </c>
      <c r="CO133" s="1">
        <f t="shared" ca="1" si="195"/>
        <v>5.5079479327804833E-2</v>
      </c>
      <c r="CP133" s="1">
        <f t="shared" ca="1" si="196"/>
        <v>4</v>
      </c>
      <c r="CV133" s="1">
        <f t="shared" ca="1" si="197"/>
        <v>8.2405730231474159</v>
      </c>
      <c r="CW133" s="1">
        <f t="shared" ca="1" si="198"/>
        <v>1050</v>
      </c>
      <c r="CX133" s="1">
        <f t="shared" ca="1" si="199"/>
        <v>9.4534503814850523E-3</v>
      </c>
      <c r="DH133" s="1">
        <f t="shared" ca="1" si="200"/>
        <v>514</v>
      </c>
      <c r="DI133" s="1">
        <f t="shared" ca="1" si="201"/>
        <v>0.94201871169570905</v>
      </c>
      <c r="DJ133" s="1">
        <f t="shared" ca="1" si="202"/>
        <v>13</v>
      </c>
      <c r="DL133" s="1">
        <f t="shared" ca="1" si="203"/>
        <v>0.14312243377396991</v>
      </c>
      <c r="DM133" s="1">
        <f t="shared" ca="1" si="204"/>
        <v>60</v>
      </c>
      <c r="DN133" s="1">
        <f t="shared" ca="1" si="205"/>
        <v>2</v>
      </c>
    </row>
    <row r="134" spans="2:118" x14ac:dyDescent="0.25">
      <c r="B134">
        <f t="shared" ca="1" si="138"/>
        <v>342</v>
      </c>
      <c r="C134">
        <f t="shared" ca="1" si="139"/>
        <v>3</v>
      </c>
      <c r="D134">
        <f t="shared" ca="1" si="140"/>
        <v>2.7337980402973729E-2</v>
      </c>
      <c r="F134" s="1">
        <f t="shared" ca="1" si="141"/>
        <v>36</v>
      </c>
      <c r="G134" s="1">
        <f t="shared" ca="1" si="142"/>
        <v>19</v>
      </c>
      <c r="H134" s="1">
        <f t="shared" ca="1" si="143"/>
        <v>10</v>
      </c>
      <c r="I134" s="1"/>
      <c r="J134" s="1">
        <f t="shared" ca="1" si="144"/>
        <v>22</v>
      </c>
      <c r="K134" s="1">
        <f t="shared" ca="1" si="145"/>
        <v>1.8414282092993122</v>
      </c>
      <c r="L134" s="1">
        <f t="shared" ca="1" si="146"/>
        <v>26</v>
      </c>
      <c r="M134" s="1"/>
      <c r="N134" s="1">
        <f t="shared" ca="1" si="147"/>
        <v>222</v>
      </c>
      <c r="O134" s="1">
        <f t="shared" ca="1" si="148"/>
        <v>2</v>
      </c>
      <c r="P134" s="1"/>
      <c r="Q134" s="1">
        <f t="shared" ca="1" si="149"/>
        <v>3.3191569398617782</v>
      </c>
      <c r="R134" s="1">
        <f t="shared" ca="1" si="150"/>
        <v>1198</v>
      </c>
      <c r="S134" s="1"/>
      <c r="T134" s="1">
        <f t="shared" ca="1" si="151"/>
        <v>8.4420600471701079E-2</v>
      </c>
      <c r="U134" s="1">
        <f t="shared" ca="1" si="152"/>
        <v>141</v>
      </c>
      <c r="V134" s="1">
        <f t="shared" ca="1" si="153"/>
        <v>7</v>
      </c>
      <c r="W134" s="1"/>
      <c r="X134" s="1">
        <f t="shared" ca="1" si="154"/>
        <v>9.8206669329731291</v>
      </c>
      <c r="Y134" s="1">
        <f t="shared" ca="1" si="155"/>
        <v>1.7173297698762361E-2</v>
      </c>
      <c r="Z134" s="1">
        <f t="shared" ca="1" si="156"/>
        <v>313</v>
      </c>
      <c r="AB134" s="1">
        <f t="shared" ca="1" si="157"/>
        <v>0.58901460997778776</v>
      </c>
      <c r="AC134" s="1">
        <f t="shared" ca="1" si="158"/>
        <v>286</v>
      </c>
      <c r="AD134" s="1">
        <f t="shared" ca="1" si="159"/>
        <v>2.3154765770245392E-3</v>
      </c>
      <c r="AE134" s="1"/>
      <c r="AF134" s="1">
        <f t="shared" ca="1" si="160"/>
        <v>0.84161438687147627</v>
      </c>
      <c r="AG134" s="1">
        <f t="shared" ca="1" si="161"/>
        <v>933</v>
      </c>
      <c r="AH134" s="1">
        <f t="shared" ca="1" si="162"/>
        <v>3.4688180312717837E-4</v>
      </c>
      <c r="AJ134" s="1">
        <f t="shared" ca="1" si="163"/>
        <v>0.30492029860569203</v>
      </c>
      <c r="AK134" s="1">
        <f t="shared" ca="1" si="164"/>
        <v>7.8131044927732419E-3</v>
      </c>
      <c r="AL134" s="1"/>
      <c r="AM134" s="1">
        <f t="shared" ca="1" si="165"/>
        <v>8.2362507447165001E-2</v>
      </c>
      <c r="AN134" s="1">
        <f t="shared" ca="1" si="166"/>
        <v>39</v>
      </c>
      <c r="AO134" s="1">
        <f t="shared" ca="1" si="167"/>
        <v>12</v>
      </c>
      <c r="AQ134" s="1">
        <f t="shared" ca="1" si="168"/>
        <v>88</v>
      </c>
      <c r="AR134" s="1">
        <f t="shared" ca="1" si="169"/>
        <v>8</v>
      </c>
      <c r="AS134" s="1">
        <f t="shared" ca="1" si="170"/>
        <v>14</v>
      </c>
      <c r="AU134" s="1">
        <f t="shared" ca="1" si="171"/>
        <v>316</v>
      </c>
      <c r="AV134" s="1">
        <f t="shared" ca="1" si="172"/>
        <v>5</v>
      </c>
      <c r="AW134" s="1">
        <f t="shared" ca="1" si="173"/>
        <v>0.17026243785547832</v>
      </c>
      <c r="AY134" s="1">
        <f t="shared" ca="1" si="174"/>
        <v>1.4942526068829085</v>
      </c>
      <c r="AZ134" s="1">
        <f t="shared" ca="1" si="175"/>
        <v>160</v>
      </c>
      <c r="BA134" s="1">
        <f t="shared" ca="1" si="176"/>
        <v>4.3928376698443457E-4</v>
      </c>
      <c r="BG134" s="1">
        <f t="shared" ca="1" si="177"/>
        <v>0.22224986206061301</v>
      </c>
      <c r="BH134" s="1">
        <f t="shared" ca="1" si="178"/>
        <v>0.51935478479581842</v>
      </c>
      <c r="BI134" s="1">
        <f t="shared" ca="1" si="179"/>
        <v>438</v>
      </c>
      <c r="BV134" s="1">
        <f t="shared" ca="1" si="180"/>
        <v>6.1644668906974127E-2</v>
      </c>
      <c r="BW134" s="1">
        <f t="shared" ca="1" si="181"/>
        <v>323</v>
      </c>
      <c r="BX134" s="1">
        <f t="shared" ca="1" si="182"/>
        <v>4.1938762994625902E-3</v>
      </c>
      <c r="BY134" s="1">
        <f t="shared" ca="1" si="183"/>
        <v>5.8318920761531869E-2</v>
      </c>
      <c r="BZ134" s="1">
        <f t="shared" ca="1" si="184"/>
        <v>0.98278666101785206</v>
      </c>
      <c r="CB134" s="1">
        <f t="shared" ca="1" si="185"/>
        <v>154</v>
      </c>
      <c r="CC134" s="1">
        <f t="shared" ca="1" si="186"/>
        <v>4</v>
      </c>
      <c r="CD134" s="1">
        <f t="shared" ca="1" si="187"/>
        <v>0.29081119738399974</v>
      </c>
      <c r="CE134" s="1">
        <f t="shared" ca="1" si="188"/>
        <v>0.9579592797046933</v>
      </c>
      <c r="CF134" s="1">
        <f t="shared" ca="1" si="188"/>
        <v>0.52779247870095103</v>
      </c>
      <c r="CH134" s="3">
        <f t="shared" ca="1" si="189"/>
        <v>3.959494751049436E-2</v>
      </c>
      <c r="CI134" s="3">
        <f t="shared" ca="1" si="190"/>
        <v>0.44561693249312595</v>
      </c>
      <c r="CJ134" s="3">
        <f t="shared" ca="1" si="191"/>
        <v>1451</v>
      </c>
      <c r="CK134" s="3">
        <f t="shared" ca="1" si="192"/>
        <v>3.7079853742697164E-3</v>
      </c>
      <c r="CL134" s="3">
        <f t="shared" ca="1" si="193"/>
        <v>1</v>
      </c>
      <c r="CM134" s="3"/>
      <c r="CN134" s="1">
        <f t="shared" ca="1" si="194"/>
        <v>13.996291255535594</v>
      </c>
      <c r="CO134" s="1">
        <f t="shared" ca="1" si="195"/>
        <v>9.2454699284878192E-2</v>
      </c>
      <c r="CP134" s="1">
        <f t="shared" ca="1" si="196"/>
        <v>4</v>
      </c>
      <c r="CV134" s="1">
        <f t="shared" ca="1" si="197"/>
        <v>2.3932515206300513</v>
      </c>
      <c r="CW134" s="1">
        <f t="shared" ca="1" si="198"/>
        <v>1677</v>
      </c>
      <c r="CX134" s="1">
        <f t="shared" ca="1" si="199"/>
        <v>5.2566776884239615E-3</v>
      </c>
      <c r="DH134" s="1">
        <f t="shared" ca="1" si="200"/>
        <v>432</v>
      </c>
      <c r="DI134" s="1">
        <f t="shared" ca="1" si="201"/>
        <v>0.84928742588473416</v>
      </c>
      <c r="DJ134" s="1">
        <f t="shared" ca="1" si="202"/>
        <v>28</v>
      </c>
      <c r="DL134" s="1">
        <f t="shared" ca="1" si="203"/>
        <v>5.1241756358363096E-2</v>
      </c>
      <c r="DM134" s="1">
        <f t="shared" ca="1" si="204"/>
        <v>141</v>
      </c>
      <c r="DN134" s="1">
        <f t="shared" ca="1" si="205"/>
        <v>3</v>
      </c>
    </row>
    <row r="135" spans="2:118" x14ac:dyDescent="0.25">
      <c r="B135">
        <f t="shared" ca="1" si="138"/>
        <v>477</v>
      </c>
      <c r="C135">
        <f t="shared" ca="1" si="139"/>
        <v>9</v>
      </c>
      <c r="D135">
        <f t="shared" ca="1" si="140"/>
        <v>6.1822387360698144E-2</v>
      </c>
      <c r="F135" s="1">
        <f t="shared" ca="1" si="141"/>
        <v>13</v>
      </c>
      <c r="G135" s="1">
        <f t="shared" ca="1" si="142"/>
        <v>6</v>
      </c>
      <c r="H135" s="1">
        <f t="shared" ca="1" si="143"/>
        <v>7</v>
      </c>
      <c r="I135" s="1"/>
      <c r="J135" s="1">
        <f t="shared" ca="1" si="144"/>
        <v>32</v>
      </c>
      <c r="K135" s="1">
        <f t="shared" ca="1" si="145"/>
        <v>2.6670860043106677</v>
      </c>
      <c r="L135" s="1">
        <f t="shared" ca="1" si="146"/>
        <v>4</v>
      </c>
      <c r="M135" s="1"/>
      <c r="N135" s="1">
        <f t="shared" ca="1" si="147"/>
        <v>994</v>
      </c>
      <c r="O135" s="1">
        <f t="shared" ca="1" si="148"/>
        <v>52</v>
      </c>
      <c r="P135" s="1"/>
      <c r="Q135" s="1">
        <f t="shared" ca="1" si="149"/>
        <v>3.3792276677540198</v>
      </c>
      <c r="R135" s="1">
        <f t="shared" ca="1" si="150"/>
        <v>1102</v>
      </c>
      <c r="S135" s="1"/>
      <c r="T135" s="1">
        <f t="shared" ca="1" si="151"/>
        <v>3.7634786066196121E-2</v>
      </c>
      <c r="U135" s="1">
        <f t="shared" ca="1" si="152"/>
        <v>61</v>
      </c>
      <c r="V135" s="1">
        <f t="shared" ca="1" si="153"/>
        <v>51</v>
      </c>
      <c r="W135" s="1"/>
      <c r="X135" s="1">
        <f t="shared" ca="1" si="154"/>
        <v>8.6081692179286673</v>
      </c>
      <c r="Y135" s="1">
        <f t="shared" ca="1" si="155"/>
        <v>0.70375185963297782</v>
      </c>
      <c r="Z135" s="1">
        <f t="shared" ca="1" si="156"/>
        <v>966</v>
      </c>
      <c r="AB135" s="1">
        <f t="shared" ca="1" si="157"/>
        <v>0.8790430870049506</v>
      </c>
      <c r="AC135" s="1">
        <f t="shared" ca="1" si="158"/>
        <v>329</v>
      </c>
      <c r="AD135" s="1">
        <f t="shared" ca="1" si="159"/>
        <v>9.2818234587609041E-3</v>
      </c>
      <c r="AE135" s="1"/>
      <c r="AF135" s="1">
        <f t="shared" ca="1" si="160"/>
        <v>0.41013455873915916</v>
      </c>
      <c r="AG135" s="1">
        <f t="shared" ca="1" si="161"/>
        <v>872</v>
      </c>
      <c r="AH135" s="1">
        <f t="shared" ca="1" si="162"/>
        <v>3.6606957316930961E-3</v>
      </c>
      <c r="AJ135" s="1">
        <f t="shared" ca="1" si="163"/>
        <v>0.47894690104785076</v>
      </c>
      <c r="AK135" s="1">
        <f t="shared" ca="1" si="164"/>
        <v>7.1160669187177155E-3</v>
      </c>
      <c r="AL135" s="1"/>
      <c r="AM135" s="1">
        <f t="shared" ca="1" si="165"/>
        <v>1.0552335376723825E-2</v>
      </c>
      <c r="AN135" s="1">
        <f t="shared" ca="1" si="166"/>
        <v>35</v>
      </c>
      <c r="AO135" s="1">
        <f t="shared" ca="1" si="167"/>
        <v>13</v>
      </c>
      <c r="AQ135" s="1">
        <f t="shared" ca="1" si="168"/>
        <v>181</v>
      </c>
      <c r="AR135" s="1">
        <f t="shared" ca="1" si="169"/>
        <v>7</v>
      </c>
      <c r="AS135" s="1">
        <f t="shared" ca="1" si="170"/>
        <v>88</v>
      </c>
      <c r="AU135" s="1">
        <f t="shared" ca="1" si="171"/>
        <v>167</v>
      </c>
      <c r="AV135" s="1">
        <f t="shared" ca="1" si="172"/>
        <v>4</v>
      </c>
      <c r="AW135" s="1">
        <f t="shared" ca="1" si="173"/>
        <v>0.17753950523448908</v>
      </c>
      <c r="AY135" s="1">
        <f t="shared" ca="1" si="174"/>
        <v>1.4633537642562371</v>
      </c>
      <c r="AZ135" s="1">
        <f t="shared" ca="1" si="175"/>
        <v>340</v>
      </c>
      <c r="BA135" s="1">
        <f t="shared" ca="1" si="176"/>
        <v>2.0149263146740076E-3</v>
      </c>
      <c r="BG135" s="1">
        <f t="shared" ca="1" si="177"/>
        <v>0.22668111085156492</v>
      </c>
      <c r="BH135" s="1">
        <f t="shared" ca="1" si="178"/>
        <v>0.33452211665808729</v>
      </c>
      <c r="BI135" s="1">
        <f t="shared" ca="1" si="179"/>
        <v>103</v>
      </c>
      <c r="BV135" s="1">
        <f t="shared" ca="1" si="180"/>
        <v>0.63459787745205221</v>
      </c>
      <c r="BW135" s="1">
        <f t="shared" ca="1" si="181"/>
        <v>733</v>
      </c>
      <c r="BX135" s="1">
        <f t="shared" ca="1" si="182"/>
        <v>3.6455732943280468E-3</v>
      </c>
      <c r="BY135" s="1">
        <f t="shared" ca="1" si="183"/>
        <v>3.2867359333145114E-2</v>
      </c>
      <c r="BZ135" s="1">
        <f t="shared" ca="1" si="184"/>
        <v>0.15135829669067169</v>
      </c>
      <c r="CB135" s="1">
        <f t="shared" ca="1" si="185"/>
        <v>110</v>
      </c>
      <c r="CC135" s="1">
        <f t="shared" ca="1" si="186"/>
        <v>9</v>
      </c>
      <c r="CD135" s="1">
        <f t="shared" ca="1" si="187"/>
        <v>0.24315952822763356</v>
      </c>
      <c r="CE135" s="1">
        <f t="shared" ca="1" si="188"/>
        <v>0.88454406445421763</v>
      </c>
      <c r="CF135" s="1">
        <f t="shared" ca="1" si="188"/>
        <v>0.95023517305890226</v>
      </c>
      <c r="CH135" s="3">
        <f t="shared" ca="1" si="189"/>
        <v>0.21675600010799856</v>
      </c>
      <c r="CI135" s="3">
        <f t="shared" ca="1" si="190"/>
        <v>0.62691996979402509</v>
      </c>
      <c r="CJ135" s="3">
        <f t="shared" ca="1" si="191"/>
        <v>1578</v>
      </c>
      <c r="CK135" s="3">
        <f t="shared" ca="1" si="192"/>
        <v>8.6113688124006549E-3</v>
      </c>
      <c r="CL135" s="3">
        <f t="shared" ca="1" si="193"/>
        <v>1</v>
      </c>
      <c r="CM135" s="3"/>
      <c r="CN135" s="1">
        <f t="shared" ca="1" si="194"/>
        <v>12.901770666405996</v>
      </c>
      <c r="CO135" s="1">
        <f t="shared" ca="1" si="195"/>
        <v>0.21553678710596993</v>
      </c>
      <c r="CP135" s="1">
        <f t="shared" ca="1" si="196"/>
        <v>2</v>
      </c>
      <c r="CV135" s="1">
        <f t="shared" ca="1" si="197"/>
        <v>0.24387105499063466</v>
      </c>
      <c r="CW135" s="1">
        <f t="shared" ca="1" si="198"/>
        <v>644</v>
      </c>
      <c r="CX135" s="1">
        <f t="shared" ca="1" si="199"/>
        <v>7.4485753284535602E-3</v>
      </c>
      <c r="DH135" s="1">
        <f t="shared" ca="1" si="200"/>
        <v>279</v>
      </c>
      <c r="DI135" s="1">
        <f t="shared" ca="1" si="201"/>
        <v>0.17979248479877827</v>
      </c>
      <c r="DJ135" s="1">
        <f t="shared" ca="1" si="202"/>
        <v>30</v>
      </c>
      <c r="DL135" s="1">
        <f t="shared" ca="1" si="203"/>
        <v>0.11461457889540103</v>
      </c>
      <c r="DM135" s="1">
        <f t="shared" ca="1" si="204"/>
        <v>152</v>
      </c>
      <c r="DN135" s="1">
        <f t="shared" ca="1" si="205"/>
        <v>10</v>
      </c>
    </row>
    <row r="136" spans="2:118" x14ac:dyDescent="0.25">
      <c r="B136">
        <f t="shared" ca="1" si="138"/>
        <v>936</v>
      </c>
      <c r="C136">
        <f t="shared" ca="1" si="139"/>
        <v>43</v>
      </c>
      <c r="D136">
        <f t="shared" ca="1" si="140"/>
        <v>0.22817706795482645</v>
      </c>
      <c r="F136" s="1">
        <f t="shared" ca="1" si="141"/>
        <v>37</v>
      </c>
      <c r="G136" s="1">
        <f t="shared" ca="1" si="142"/>
        <v>13</v>
      </c>
      <c r="H136" s="1">
        <f t="shared" ca="1" si="143"/>
        <v>7</v>
      </c>
      <c r="I136" s="1"/>
      <c r="J136" s="1">
        <f t="shared" ca="1" si="144"/>
        <v>28</v>
      </c>
      <c r="K136" s="1">
        <f t="shared" ca="1" si="145"/>
        <v>1.1896030002207403</v>
      </c>
      <c r="L136" s="1">
        <f t="shared" ca="1" si="146"/>
        <v>26</v>
      </c>
      <c r="M136" s="1"/>
      <c r="N136" s="1">
        <f t="shared" ca="1" si="147"/>
        <v>381</v>
      </c>
      <c r="O136" s="1">
        <f t="shared" ca="1" si="148"/>
        <v>36</v>
      </c>
      <c r="P136" s="1"/>
      <c r="Q136" s="1">
        <f t="shared" ca="1" si="149"/>
        <v>4.6045089033289699</v>
      </c>
      <c r="R136" s="1">
        <f t="shared" ca="1" si="150"/>
        <v>810</v>
      </c>
      <c r="S136" s="1"/>
      <c r="T136" s="1">
        <f t="shared" ca="1" si="151"/>
        <v>9.180213262817323E-2</v>
      </c>
      <c r="U136" s="1">
        <f t="shared" ca="1" si="152"/>
        <v>311</v>
      </c>
      <c r="V136" s="1">
        <f t="shared" ca="1" si="153"/>
        <v>45</v>
      </c>
      <c r="W136" s="1"/>
      <c r="X136" s="1">
        <f t="shared" ca="1" si="154"/>
        <v>6.4989622188516556</v>
      </c>
      <c r="Y136" s="1">
        <f t="shared" ca="1" si="155"/>
        <v>0.6636646970479303</v>
      </c>
      <c r="Z136" s="1">
        <f t="shared" ca="1" si="156"/>
        <v>656</v>
      </c>
      <c r="AB136" s="1">
        <f t="shared" ca="1" si="157"/>
        <v>0.89843785478255378</v>
      </c>
      <c r="AC136" s="1">
        <f t="shared" ca="1" si="158"/>
        <v>990</v>
      </c>
      <c r="AD136" s="1">
        <f t="shared" ca="1" si="159"/>
        <v>3.2946144378575796E-3</v>
      </c>
      <c r="AE136" s="1"/>
      <c r="AF136" s="1">
        <f t="shared" ca="1" si="160"/>
        <v>0.5507678164717571</v>
      </c>
      <c r="AG136" s="1">
        <f t="shared" ca="1" si="161"/>
        <v>777</v>
      </c>
      <c r="AH136" s="1">
        <f t="shared" ca="1" si="162"/>
        <v>1.9545200427508384E-3</v>
      </c>
      <c r="AJ136" s="1">
        <f t="shared" ca="1" si="163"/>
        <v>0.41496582086124434</v>
      </c>
      <c r="AK136" s="1">
        <f t="shared" ca="1" si="164"/>
        <v>4.2495136987181509E-3</v>
      </c>
      <c r="AL136" s="1"/>
      <c r="AM136" s="1">
        <f t="shared" ca="1" si="165"/>
        <v>0.12234510179942086</v>
      </c>
      <c r="AN136" s="1">
        <f t="shared" ca="1" si="166"/>
        <v>60</v>
      </c>
      <c r="AO136" s="1">
        <f t="shared" ca="1" si="167"/>
        <v>12</v>
      </c>
      <c r="AQ136" s="1">
        <f t="shared" ca="1" si="168"/>
        <v>65</v>
      </c>
      <c r="AR136" s="1">
        <f t="shared" ca="1" si="169"/>
        <v>6</v>
      </c>
      <c r="AS136" s="1">
        <f t="shared" ca="1" si="170"/>
        <v>60</v>
      </c>
      <c r="AU136" s="1">
        <f t="shared" ca="1" si="171"/>
        <v>120</v>
      </c>
      <c r="AV136" s="1">
        <f t="shared" ca="1" si="172"/>
        <v>4</v>
      </c>
      <c r="AW136" s="1">
        <f t="shared" ca="1" si="173"/>
        <v>2.5945920137732899E-2</v>
      </c>
      <c r="AY136" s="1">
        <f t="shared" ca="1" si="174"/>
        <v>1.2963243773470496</v>
      </c>
      <c r="AZ136" s="1">
        <f t="shared" ca="1" si="175"/>
        <v>59</v>
      </c>
      <c r="BA136" s="1">
        <f t="shared" ca="1" si="176"/>
        <v>6.901308637229338E-3</v>
      </c>
      <c r="BG136" s="1">
        <f t="shared" ca="1" si="177"/>
        <v>0.89911292769107942</v>
      </c>
      <c r="BH136" s="1">
        <f t="shared" ca="1" si="178"/>
        <v>0.67561981674850058</v>
      </c>
      <c r="BI136" s="1">
        <f t="shared" ca="1" si="179"/>
        <v>878</v>
      </c>
      <c r="BV136" s="1">
        <f t="shared" ca="1" si="180"/>
        <v>0.98623086169712915</v>
      </c>
      <c r="BW136" s="1">
        <f t="shared" ca="1" si="181"/>
        <v>870</v>
      </c>
      <c r="BX136" s="1">
        <f t="shared" ca="1" si="182"/>
        <v>8.9678406280873941E-3</v>
      </c>
      <c r="BY136" s="1">
        <f t="shared" ca="1" si="183"/>
        <v>1.9074147696171107E-2</v>
      </c>
      <c r="BZ136" s="1">
        <f t="shared" ca="1" si="184"/>
        <v>0.64512360478567066</v>
      </c>
      <c r="CB136" s="1">
        <f t="shared" ca="1" si="185"/>
        <v>212</v>
      </c>
      <c r="CC136" s="1">
        <f t="shared" ca="1" si="186"/>
        <v>9</v>
      </c>
      <c r="CD136" s="1">
        <f t="shared" ca="1" si="187"/>
        <v>0.21929817745068239</v>
      </c>
      <c r="CE136" s="1">
        <f t="shared" ca="1" si="188"/>
        <v>0.78086912449777945</v>
      </c>
      <c r="CF136" s="1">
        <f t="shared" ca="1" si="188"/>
        <v>0.92964308326607004</v>
      </c>
      <c r="CH136" s="3">
        <f t="shared" ca="1" si="189"/>
        <v>0.62908763868558859</v>
      </c>
      <c r="CI136" s="3">
        <f t="shared" ca="1" si="190"/>
        <v>0.18367706261502617</v>
      </c>
      <c r="CJ136" s="3">
        <f t="shared" ca="1" si="191"/>
        <v>1254</v>
      </c>
      <c r="CK136" s="3">
        <f t="shared" ca="1" si="192"/>
        <v>1.640595085221069E-3</v>
      </c>
      <c r="CL136" s="3">
        <f t="shared" ca="1" si="193"/>
        <v>0</v>
      </c>
      <c r="CM136" s="3"/>
      <c r="CN136" s="1">
        <f t="shared" ca="1" si="194"/>
        <v>15.669453902345017</v>
      </c>
      <c r="CO136" s="1">
        <f t="shared" ca="1" si="195"/>
        <v>0.38437301960320652</v>
      </c>
      <c r="CP136" s="1">
        <f t="shared" ca="1" si="196"/>
        <v>1</v>
      </c>
      <c r="CV136" s="1">
        <f t="shared" ca="1" si="197"/>
        <v>2.6717439537507235</v>
      </c>
      <c r="CW136" s="1">
        <f t="shared" ca="1" si="198"/>
        <v>572</v>
      </c>
      <c r="CX136" s="1">
        <f t="shared" ca="1" si="199"/>
        <v>9.0381059571712256E-4</v>
      </c>
      <c r="DH136" s="1">
        <f t="shared" ca="1" si="200"/>
        <v>282</v>
      </c>
      <c r="DI136" s="1">
        <f t="shared" ca="1" si="201"/>
        <v>0.81873973800495947</v>
      </c>
      <c r="DJ136" s="1">
        <f t="shared" ca="1" si="202"/>
        <v>22</v>
      </c>
      <c r="DL136" s="1">
        <f t="shared" ca="1" si="203"/>
        <v>7.3607497115464687E-2</v>
      </c>
      <c r="DM136" s="1">
        <f t="shared" ca="1" si="204"/>
        <v>164</v>
      </c>
      <c r="DN136" s="1">
        <f t="shared" ca="1" si="205"/>
        <v>7</v>
      </c>
    </row>
    <row r="137" spans="2:118" x14ac:dyDescent="0.25">
      <c r="B137">
        <f t="shared" ca="1" si="138"/>
        <v>714</v>
      </c>
      <c r="C137">
        <f t="shared" ca="1" si="139"/>
        <v>25</v>
      </c>
      <c r="D137">
        <f t="shared" ca="1" si="140"/>
        <v>0.13052085476824168</v>
      </c>
      <c r="F137" s="1">
        <f t="shared" ca="1" si="141"/>
        <v>13</v>
      </c>
      <c r="G137" s="1">
        <f t="shared" ca="1" si="142"/>
        <v>5</v>
      </c>
      <c r="H137" s="1">
        <f t="shared" ca="1" si="143"/>
        <v>9</v>
      </c>
      <c r="I137" s="1"/>
      <c r="J137" s="1">
        <f t="shared" ca="1" si="144"/>
        <v>2</v>
      </c>
      <c r="K137" s="1">
        <f t="shared" ca="1" si="145"/>
        <v>2.7178718090126797</v>
      </c>
      <c r="L137" s="1">
        <f t="shared" ca="1" si="146"/>
        <v>33</v>
      </c>
      <c r="M137" s="1"/>
      <c r="N137" s="1">
        <f t="shared" ca="1" si="147"/>
        <v>312</v>
      </c>
      <c r="O137" s="1">
        <f t="shared" ca="1" si="148"/>
        <v>37</v>
      </c>
      <c r="P137" s="1"/>
      <c r="Q137" s="1">
        <f t="shared" ca="1" si="149"/>
        <v>2.1388863825561915</v>
      </c>
      <c r="R137" s="1">
        <f t="shared" ca="1" si="150"/>
        <v>721</v>
      </c>
      <c r="S137" s="1"/>
      <c r="T137" s="1">
        <f t="shared" ca="1" si="151"/>
        <v>0.10437445079880805</v>
      </c>
      <c r="U137" s="1">
        <f t="shared" ca="1" si="152"/>
        <v>70</v>
      </c>
      <c r="V137" s="1">
        <f t="shared" ca="1" si="153"/>
        <v>25</v>
      </c>
      <c r="W137" s="1"/>
      <c r="X137" s="1">
        <f t="shared" ca="1" si="154"/>
        <v>2.5763871192984764</v>
      </c>
      <c r="Y137" s="1">
        <f t="shared" ca="1" si="155"/>
        <v>0.4983372406204884</v>
      </c>
      <c r="Z137" s="1">
        <f t="shared" ca="1" si="156"/>
        <v>1942</v>
      </c>
      <c r="AB137" s="1">
        <f t="shared" ca="1" si="157"/>
        <v>0.27205209021593679</v>
      </c>
      <c r="AC137" s="1">
        <f t="shared" ca="1" si="158"/>
        <v>153</v>
      </c>
      <c r="AD137" s="1">
        <f t="shared" ca="1" si="159"/>
        <v>3.9380417613584413E-3</v>
      </c>
      <c r="AE137" s="1"/>
      <c r="AF137" s="1">
        <f t="shared" ca="1" si="160"/>
        <v>0.53502581607993815</v>
      </c>
      <c r="AG137" s="1">
        <f t="shared" ca="1" si="161"/>
        <v>397</v>
      </c>
      <c r="AH137" s="1">
        <f t="shared" ca="1" si="162"/>
        <v>5.6800674499502771E-3</v>
      </c>
      <c r="AJ137" s="1">
        <f t="shared" ca="1" si="163"/>
        <v>0.53279204880611908</v>
      </c>
      <c r="AK137" s="1">
        <f t="shared" ca="1" si="164"/>
        <v>1.9115328042478447E-4</v>
      </c>
      <c r="AL137" s="1"/>
      <c r="AM137" s="1">
        <f t="shared" ca="1" si="165"/>
        <v>1.2460342918964855E-2</v>
      </c>
      <c r="AN137" s="1">
        <f t="shared" ca="1" si="166"/>
        <v>28</v>
      </c>
      <c r="AO137" s="1">
        <f t="shared" ca="1" si="167"/>
        <v>19</v>
      </c>
      <c r="AQ137" s="1">
        <f t="shared" ca="1" si="168"/>
        <v>181</v>
      </c>
      <c r="AR137" s="1">
        <f t="shared" ca="1" si="169"/>
        <v>7</v>
      </c>
      <c r="AS137" s="1">
        <f t="shared" ca="1" si="170"/>
        <v>88</v>
      </c>
      <c r="AU137" s="1">
        <f t="shared" ca="1" si="171"/>
        <v>296</v>
      </c>
      <c r="AV137" s="1">
        <f t="shared" ca="1" si="172"/>
        <v>7</v>
      </c>
      <c r="AW137" s="1">
        <f t="shared" ca="1" si="173"/>
        <v>6.8657831241285674E-2</v>
      </c>
      <c r="AY137" s="1">
        <f t="shared" ca="1" si="174"/>
        <v>1.7287931164135559</v>
      </c>
      <c r="AZ137" s="1">
        <f t="shared" ca="1" si="175"/>
        <v>193</v>
      </c>
      <c r="BA137" s="1">
        <f t="shared" ca="1" si="176"/>
        <v>2.9466459834221999E-3</v>
      </c>
      <c r="BG137" s="1">
        <f t="shared" ca="1" si="177"/>
        <v>0.33704478750168798</v>
      </c>
      <c r="BH137" s="1">
        <f t="shared" ca="1" si="178"/>
        <v>0.92206140332364706</v>
      </c>
      <c r="BI137" s="1">
        <f t="shared" ca="1" si="179"/>
        <v>707</v>
      </c>
      <c r="BV137" s="1">
        <f t="shared" ca="1" si="180"/>
        <v>0.94648613723275321</v>
      </c>
      <c r="BW137" s="1">
        <f t="shared" ca="1" si="181"/>
        <v>797</v>
      </c>
      <c r="BX137" s="1">
        <f t="shared" ca="1" si="182"/>
        <v>5.1033972621423772E-3</v>
      </c>
      <c r="BY137" s="1">
        <f t="shared" ca="1" si="183"/>
        <v>1.1924624871011019E-2</v>
      </c>
      <c r="BZ137" s="1">
        <f t="shared" ca="1" si="184"/>
        <v>0.17466404242584743</v>
      </c>
      <c r="CB137" s="1">
        <f t="shared" ca="1" si="185"/>
        <v>293</v>
      </c>
      <c r="CC137" s="1">
        <f t="shared" ca="1" si="186"/>
        <v>7</v>
      </c>
      <c r="CD137" s="1">
        <f t="shared" ca="1" si="187"/>
        <v>0.14074051194782186</v>
      </c>
      <c r="CE137" s="1">
        <f t="shared" ca="1" si="188"/>
        <v>0.82955112640492357</v>
      </c>
      <c r="CF137" s="1">
        <f t="shared" ca="1" si="188"/>
        <v>0.50905235802020254</v>
      </c>
      <c r="CH137" s="3">
        <f t="shared" ca="1" si="189"/>
        <v>9.0023555384920309E-2</v>
      </c>
      <c r="CI137" s="3">
        <f t="shared" ca="1" si="190"/>
        <v>0.35084756570637776</v>
      </c>
      <c r="CJ137" s="3">
        <f t="shared" ca="1" si="191"/>
        <v>1739</v>
      </c>
      <c r="CK137" s="3">
        <f t="shared" ca="1" si="192"/>
        <v>7.0947329145608232E-3</v>
      </c>
      <c r="CL137" s="3">
        <f t="shared" ca="1" si="193"/>
        <v>0</v>
      </c>
      <c r="CM137" s="3"/>
      <c r="CN137" s="1">
        <f t="shared" ca="1" si="194"/>
        <v>11.810473631194101</v>
      </c>
      <c r="CO137" s="1">
        <f t="shared" ca="1" si="195"/>
        <v>2.3873187526915265E-2</v>
      </c>
      <c r="CP137" s="1">
        <f t="shared" ca="1" si="196"/>
        <v>5</v>
      </c>
      <c r="CV137" s="1">
        <f t="shared" ca="1" si="197"/>
        <v>3.4464182427410033</v>
      </c>
      <c r="CW137" s="1">
        <f t="shared" ca="1" si="198"/>
        <v>318</v>
      </c>
      <c r="CX137" s="1">
        <f t="shared" ca="1" si="199"/>
        <v>5.1983959287850426E-3</v>
      </c>
      <c r="DH137" s="1">
        <f t="shared" ca="1" si="200"/>
        <v>77</v>
      </c>
      <c r="DI137" s="1">
        <f t="shared" ca="1" si="201"/>
        <v>0.95786720859334862</v>
      </c>
      <c r="DJ137" s="1">
        <f t="shared" ca="1" si="202"/>
        <v>1</v>
      </c>
      <c r="DL137" s="1">
        <f t="shared" ca="1" si="203"/>
        <v>0.14122821741235853</v>
      </c>
      <c r="DM137" s="1">
        <f t="shared" ca="1" si="204"/>
        <v>272</v>
      </c>
      <c r="DN137" s="1">
        <f t="shared" ca="1" si="205"/>
        <v>6</v>
      </c>
    </row>
    <row r="138" spans="2:118" x14ac:dyDescent="0.25">
      <c r="B138">
        <f t="shared" ca="1" si="138"/>
        <v>885</v>
      </c>
      <c r="C138">
        <f t="shared" ca="1" si="139"/>
        <v>38</v>
      </c>
      <c r="D138">
        <f t="shared" ca="1" si="140"/>
        <v>0.15054066415112752</v>
      </c>
      <c r="F138" s="1">
        <f t="shared" ca="1" si="141"/>
        <v>46</v>
      </c>
      <c r="G138" s="1">
        <f t="shared" ca="1" si="142"/>
        <v>12</v>
      </c>
      <c r="H138" s="1">
        <f t="shared" ca="1" si="143"/>
        <v>14</v>
      </c>
      <c r="I138" s="1"/>
      <c r="J138" s="1">
        <f t="shared" ca="1" si="144"/>
        <v>17</v>
      </c>
      <c r="K138" s="1">
        <f t="shared" ca="1" si="145"/>
        <v>1.4533784093105067</v>
      </c>
      <c r="L138" s="1">
        <f t="shared" ca="1" si="146"/>
        <v>28</v>
      </c>
      <c r="M138" s="1"/>
      <c r="N138" s="1">
        <f t="shared" ca="1" si="147"/>
        <v>435</v>
      </c>
      <c r="O138" s="1">
        <f t="shared" ca="1" si="148"/>
        <v>7</v>
      </c>
      <c r="P138" s="1"/>
      <c r="Q138" s="1">
        <f t="shared" ca="1" si="149"/>
        <v>4.0386898098428157</v>
      </c>
      <c r="R138" s="1">
        <f t="shared" ca="1" si="150"/>
        <v>706</v>
      </c>
      <c r="S138" s="1"/>
      <c r="T138" s="1">
        <f t="shared" ca="1" si="151"/>
        <v>0.17370559932543986</v>
      </c>
      <c r="U138" s="1">
        <f t="shared" ca="1" si="152"/>
        <v>224</v>
      </c>
      <c r="V138" s="1">
        <f t="shared" ca="1" si="153"/>
        <v>45</v>
      </c>
      <c r="W138" s="1"/>
      <c r="X138" s="1">
        <f t="shared" ca="1" si="154"/>
        <v>6.3094629698685099</v>
      </c>
      <c r="Y138" s="1">
        <f t="shared" ca="1" si="155"/>
        <v>4.914354700050428E-2</v>
      </c>
      <c r="Z138" s="1">
        <f t="shared" ca="1" si="156"/>
        <v>1863</v>
      </c>
      <c r="AB138" s="1">
        <f t="shared" ca="1" si="157"/>
        <v>0.73702561078327811</v>
      </c>
      <c r="AC138" s="1">
        <f t="shared" ca="1" si="158"/>
        <v>548</v>
      </c>
      <c r="AD138" s="1">
        <f t="shared" ca="1" si="159"/>
        <v>2.1907855350575727E-3</v>
      </c>
      <c r="AE138" s="1"/>
      <c r="AF138" s="1">
        <f t="shared" ca="1" si="160"/>
        <v>0.186586503378115</v>
      </c>
      <c r="AG138" s="1">
        <f t="shared" ca="1" si="161"/>
        <v>423</v>
      </c>
      <c r="AH138" s="1">
        <f t="shared" ca="1" si="162"/>
        <v>5.3561898001270921E-3</v>
      </c>
      <c r="AJ138" s="1">
        <f t="shared" ca="1" si="163"/>
        <v>0.30172302532169126</v>
      </c>
      <c r="AK138" s="1">
        <f t="shared" ca="1" si="164"/>
        <v>7.3362624539423642E-3</v>
      </c>
      <c r="AL138" s="1"/>
      <c r="AM138" s="1">
        <f t="shared" ca="1" si="165"/>
        <v>0.16506459785991287</v>
      </c>
      <c r="AN138" s="1">
        <f t="shared" ca="1" si="166"/>
        <v>48</v>
      </c>
      <c r="AO138" s="1">
        <f t="shared" ca="1" si="167"/>
        <v>10</v>
      </c>
      <c r="AQ138" s="1">
        <f t="shared" ca="1" si="168"/>
        <v>44</v>
      </c>
      <c r="AR138" s="1">
        <f t="shared" ca="1" si="169"/>
        <v>7</v>
      </c>
      <c r="AS138" s="1">
        <f t="shared" ca="1" si="170"/>
        <v>55</v>
      </c>
      <c r="AU138" s="1">
        <f t="shared" ca="1" si="171"/>
        <v>159</v>
      </c>
      <c r="AV138" s="1">
        <f t="shared" ca="1" si="172"/>
        <v>6</v>
      </c>
      <c r="AW138" s="1">
        <f t="shared" ca="1" si="173"/>
        <v>0.17437954309346315</v>
      </c>
      <c r="AY138" s="1">
        <f t="shared" ca="1" si="174"/>
        <v>1.7176655059446164</v>
      </c>
      <c r="AZ138" s="1">
        <f t="shared" ca="1" si="175"/>
        <v>51</v>
      </c>
      <c r="BA138" s="1">
        <f t="shared" ca="1" si="176"/>
        <v>5.1628888927618124E-3</v>
      </c>
      <c r="BG138" s="1">
        <f t="shared" ca="1" si="177"/>
        <v>8.6861092124176698E-2</v>
      </c>
      <c r="BH138" s="1">
        <f t="shared" ca="1" si="178"/>
        <v>0.99041556418747201</v>
      </c>
      <c r="BI138" s="1">
        <f t="shared" ca="1" si="179"/>
        <v>510</v>
      </c>
      <c r="BV138" s="1">
        <f t="shared" ca="1" si="180"/>
        <v>0.13455761916364203</v>
      </c>
      <c r="BW138" s="1">
        <f t="shared" ca="1" si="181"/>
        <v>354</v>
      </c>
      <c r="BX138" s="1">
        <f t="shared" ca="1" si="182"/>
        <v>3.9528005433498836E-3</v>
      </c>
      <c r="BY138" s="1">
        <f t="shared" ca="1" si="183"/>
        <v>6.5125475605976799E-2</v>
      </c>
      <c r="BZ138" s="1">
        <f t="shared" ca="1" si="184"/>
        <v>0.70723843839678324</v>
      </c>
      <c r="CB138" s="1">
        <f t="shared" ca="1" si="185"/>
        <v>273</v>
      </c>
      <c r="CC138" s="1">
        <f t="shared" ca="1" si="186"/>
        <v>8</v>
      </c>
      <c r="CD138" s="1">
        <f t="shared" ca="1" si="187"/>
        <v>0.12335152196300149</v>
      </c>
      <c r="CE138" s="1">
        <f t="shared" ca="1" si="188"/>
        <v>0.92908903504944618</v>
      </c>
      <c r="CF138" s="1">
        <f t="shared" ca="1" si="188"/>
        <v>0.75602783990434763</v>
      </c>
      <c r="CH138" s="3">
        <f t="shared" ca="1" si="189"/>
        <v>0.11996240431286664</v>
      </c>
      <c r="CI138" s="3">
        <f t="shared" ca="1" si="190"/>
        <v>0.22498067223939991</v>
      </c>
      <c r="CJ138" s="3">
        <f t="shared" ca="1" si="191"/>
        <v>1558</v>
      </c>
      <c r="CK138" s="3">
        <f t="shared" ca="1" si="192"/>
        <v>7.5844222229447637E-3</v>
      </c>
      <c r="CL138" s="3">
        <f t="shared" ca="1" si="193"/>
        <v>0</v>
      </c>
      <c r="CM138" s="3"/>
      <c r="CN138" s="1">
        <f t="shared" ca="1" si="194"/>
        <v>11.76919480639317</v>
      </c>
      <c r="CO138" s="1">
        <f t="shared" ca="1" si="195"/>
        <v>0.29112880184707701</v>
      </c>
      <c r="CP138" s="1">
        <f t="shared" ca="1" si="196"/>
        <v>1</v>
      </c>
      <c r="CV138" s="1">
        <f t="shared" ca="1" si="197"/>
        <v>2.3698968501119877</v>
      </c>
      <c r="CW138" s="1">
        <f t="shared" ca="1" si="198"/>
        <v>1105</v>
      </c>
      <c r="CX138" s="1">
        <f t="shared" ca="1" si="199"/>
        <v>3.0435345778314703E-3</v>
      </c>
      <c r="DH138" s="1">
        <f t="shared" ca="1" si="200"/>
        <v>121</v>
      </c>
      <c r="DI138" s="1">
        <f t="shared" ca="1" si="201"/>
        <v>1.6712540159639227E-2</v>
      </c>
      <c r="DJ138" s="1">
        <f t="shared" ca="1" si="202"/>
        <v>27</v>
      </c>
      <c r="DL138" s="1">
        <f t="shared" ca="1" si="203"/>
        <v>0.15598527695676676</v>
      </c>
      <c r="DM138" s="1">
        <f t="shared" ca="1" si="204"/>
        <v>144</v>
      </c>
      <c r="DN138" s="1">
        <f t="shared" ca="1" si="205"/>
        <v>7</v>
      </c>
    </row>
    <row r="139" spans="2:118" x14ac:dyDescent="0.25">
      <c r="B139">
        <f t="shared" ca="1" si="138"/>
        <v>884</v>
      </c>
      <c r="C139">
        <f t="shared" ca="1" si="139"/>
        <v>4</v>
      </c>
      <c r="D139">
        <f t="shared" ca="1" si="140"/>
        <v>0.11025940760516451</v>
      </c>
      <c r="F139" s="1">
        <f t="shared" ca="1" si="141"/>
        <v>33</v>
      </c>
      <c r="G139" s="1">
        <f t="shared" ca="1" si="142"/>
        <v>6</v>
      </c>
      <c r="H139" s="1">
        <f t="shared" ca="1" si="143"/>
        <v>1</v>
      </c>
      <c r="I139" s="1"/>
      <c r="J139" s="1">
        <f t="shared" ca="1" si="144"/>
        <v>4</v>
      </c>
      <c r="K139" s="1">
        <f t="shared" ca="1" si="145"/>
        <v>1.2070696377415129</v>
      </c>
      <c r="L139" s="1">
        <f t="shared" ca="1" si="146"/>
        <v>32</v>
      </c>
      <c r="M139" s="1"/>
      <c r="N139" s="1">
        <f t="shared" ca="1" si="147"/>
        <v>914</v>
      </c>
      <c r="O139" s="1">
        <f t="shared" ca="1" si="148"/>
        <v>28</v>
      </c>
      <c r="P139" s="1"/>
      <c r="Q139" s="1">
        <f t="shared" ca="1" si="149"/>
        <v>1.2419726404364786</v>
      </c>
      <c r="R139" s="1">
        <f t="shared" ca="1" si="150"/>
        <v>1082</v>
      </c>
      <c r="S139" s="1"/>
      <c r="T139" s="1">
        <f t="shared" ca="1" si="151"/>
        <v>0.12779276594098668</v>
      </c>
      <c r="U139" s="1">
        <f t="shared" ca="1" si="152"/>
        <v>314</v>
      </c>
      <c r="V139" s="1">
        <f t="shared" ca="1" si="153"/>
        <v>12</v>
      </c>
      <c r="W139" s="1"/>
      <c r="X139" s="1">
        <f t="shared" ca="1" si="154"/>
        <v>5.2823316306620516</v>
      </c>
      <c r="Y139" s="1">
        <f t="shared" ca="1" si="155"/>
        <v>0.82518723723294463</v>
      </c>
      <c r="Z139" s="1">
        <f t="shared" ca="1" si="156"/>
        <v>1046</v>
      </c>
      <c r="AB139" s="1">
        <f t="shared" ca="1" si="157"/>
        <v>0.90501473827258883</v>
      </c>
      <c r="AC139" s="1">
        <f t="shared" ca="1" si="158"/>
        <v>597</v>
      </c>
      <c r="AD139" s="1">
        <f t="shared" ca="1" si="159"/>
        <v>4.5312097269436802E-3</v>
      </c>
      <c r="AE139" s="1"/>
      <c r="AF139" s="1">
        <f t="shared" ca="1" si="160"/>
        <v>0.72547494260028578</v>
      </c>
      <c r="AG139" s="1">
        <f t="shared" ca="1" si="161"/>
        <v>462</v>
      </c>
      <c r="AH139" s="1">
        <f t="shared" ca="1" si="162"/>
        <v>6.7832685401276044E-3</v>
      </c>
      <c r="AJ139" s="1">
        <f t="shared" ca="1" si="163"/>
        <v>0.76729414479977986</v>
      </c>
      <c r="AK139" s="1">
        <f t="shared" ca="1" si="164"/>
        <v>3.2446687518030443E-3</v>
      </c>
      <c r="AL139" s="1"/>
      <c r="AM139" s="1">
        <f t="shared" ca="1" si="165"/>
        <v>1.1888857896047229E-2</v>
      </c>
      <c r="AN139" s="1">
        <f t="shared" ca="1" si="166"/>
        <v>20</v>
      </c>
      <c r="AO139" s="1">
        <f t="shared" ca="1" si="167"/>
        <v>12</v>
      </c>
      <c r="AQ139" s="1">
        <f t="shared" ca="1" si="168"/>
        <v>91</v>
      </c>
      <c r="AR139" s="1">
        <f t="shared" ca="1" si="169"/>
        <v>1</v>
      </c>
      <c r="AS139" s="1">
        <f t="shared" ca="1" si="170"/>
        <v>97</v>
      </c>
      <c r="AU139" s="1">
        <f t="shared" ca="1" si="171"/>
        <v>244</v>
      </c>
      <c r="AV139" s="1">
        <f t="shared" ca="1" si="172"/>
        <v>8</v>
      </c>
      <c r="AW139" s="1">
        <f t="shared" ca="1" si="173"/>
        <v>0.19528079997599715</v>
      </c>
      <c r="AY139" s="1">
        <f t="shared" ca="1" si="174"/>
        <v>1.2808567633021033</v>
      </c>
      <c r="AZ139" s="1">
        <f t="shared" ca="1" si="175"/>
        <v>106</v>
      </c>
      <c r="BA139" s="1">
        <f t="shared" ca="1" si="176"/>
        <v>6.3062491373552191E-3</v>
      </c>
      <c r="BG139" s="1">
        <f t="shared" ca="1" si="177"/>
        <v>0.48300521297027782</v>
      </c>
      <c r="BH139" s="1">
        <f t="shared" ca="1" si="178"/>
        <v>0.19288005011840192</v>
      </c>
      <c r="BI139" s="1">
        <f t="shared" ca="1" si="179"/>
        <v>452</v>
      </c>
      <c r="BV139" s="1">
        <f t="shared" ca="1" si="180"/>
        <v>0.89774042861734415</v>
      </c>
      <c r="BW139" s="1">
        <f t="shared" ca="1" si="181"/>
        <v>245</v>
      </c>
      <c r="BX139" s="1">
        <f t="shared" ca="1" si="182"/>
        <v>8.4361005539614637E-3</v>
      </c>
      <c r="BY139" s="1">
        <f t="shared" ca="1" si="183"/>
        <v>6.219507978544201E-2</v>
      </c>
      <c r="BZ139" s="1">
        <f t="shared" ca="1" si="184"/>
        <v>0.31149706604958771</v>
      </c>
      <c r="CB139" s="1">
        <f t="shared" ca="1" si="185"/>
        <v>438</v>
      </c>
      <c r="CC139" s="1">
        <f t="shared" ca="1" si="186"/>
        <v>4</v>
      </c>
      <c r="CD139" s="1">
        <f t="shared" ca="1" si="187"/>
        <v>0.17648112035131244</v>
      </c>
      <c r="CE139" s="1">
        <f t="shared" ca="1" si="188"/>
        <v>0.54702872556884041</v>
      </c>
      <c r="CF139" s="1">
        <f t="shared" ca="1" si="188"/>
        <v>0.69838474771481773</v>
      </c>
      <c r="CH139" s="3">
        <f t="shared" ca="1" si="189"/>
        <v>0.27612122132620542</v>
      </c>
      <c r="CI139" s="3">
        <f t="shared" ca="1" si="190"/>
        <v>0.89478208280368188</v>
      </c>
      <c r="CJ139" s="3">
        <f t="shared" ca="1" si="191"/>
        <v>816</v>
      </c>
      <c r="CK139" s="3">
        <f t="shared" ca="1" si="192"/>
        <v>1.0501100601700004E-3</v>
      </c>
      <c r="CL139" s="3">
        <f t="shared" ca="1" si="193"/>
        <v>0</v>
      </c>
      <c r="CM139" s="3"/>
      <c r="CN139" s="1">
        <f t="shared" ca="1" si="194"/>
        <v>7.5720037597655399</v>
      </c>
      <c r="CO139" s="1">
        <f t="shared" ca="1" si="195"/>
        <v>0.42965756333887994</v>
      </c>
      <c r="CP139" s="1">
        <f t="shared" ca="1" si="196"/>
        <v>1</v>
      </c>
      <c r="CV139" s="1">
        <f t="shared" ca="1" si="197"/>
        <v>6.6874913067078108</v>
      </c>
      <c r="CW139" s="1">
        <f t="shared" ca="1" si="198"/>
        <v>1258</v>
      </c>
      <c r="CX139" s="1">
        <f t="shared" ca="1" si="199"/>
        <v>1.5469546980026729E-4</v>
      </c>
      <c r="DH139" s="1">
        <f t="shared" ca="1" si="200"/>
        <v>350</v>
      </c>
      <c r="DI139" s="1">
        <f t="shared" ca="1" si="201"/>
        <v>0.16594822079017432</v>
      </c>
      <c r="DJ139" s="1">
        <f t="shared" ca="1" si="202"/>
        <v>4</v>
      </c>
      <c r="DL139" s="1">
        <f t="shared" ca="1" si="203"/>
        <v>0.15785800324815008</v>
      </c>
      <c r="DM139" s="1">
        <f t="shared" ca="1" si="204"/>
        <v>123</v>
      </c>
      <c r="DN139" s="1">
        <f t="shared" ca="1" si="205"/>
        <v>4</v>
      </c>
    </row>
    <row r="140" spans="2:118" x14ac:dyDescent="0.25">
      <c r="B140">
        <f t="shared" ca="1" si="138"/>
        <v>992</v>
      </c>
      <c r="C140">
        <f t="shared" ca="1" si="139"/>
        <v>52</v>
      </c>
      <c r="D140">
        <f t="shared" ca="1" si="140"/>
        <v>0.22170929125918387</v>
      </c>
      <c r="F140" s="1">
        <f t="shared" ca="1" si="141"/>
        <v>40</v>
      </c>
      <c r="G140" s="1">
        <f t="shared" ca="1" si="142"/>
        <v>5</v>
      </c>
      <c r="H140" s="1">
        <f t="shared" ca="1" si="143"/>
        <v>11</v>
      </c>
      <c r="I140" s="1"/>
      <c r="J140" s="1">
        <f t="shared" ca="1" si="144"/>
        <v>38</v>
      </c>
      <c r="K140" s="1">
        <f t="shared" ca="1" si="145"/>
        <v>1.8543723511272339</v>
      </c>
      <c r="L140" s="1">
        <f t="shared" ca="1" si="146"/>
        <v>4</v>
      </c>
      <c r="M140" s="1"/>
      <c r="N140" s="1">
        <f t="shared" ca="1" si="147"/>
        <v>490</v>
      </c>
      <c r="O140" s="1">
        <f t="shared" ca="1" si="148"/>
        <v>27</v>
      </c>
      <c r="P140" s="1"/>
      <c r="Q140" s="1">
        <f t="shared" ca="1" si="149"/>
        <v>1.6933418827241717</v>
      </c>
      <c r="R140" s="1">
        <f t="shared" ca="1" si="150"/>
        <v>234</v>
      </c>
      <c r="S140" s="1"/>
      <c r="T140" s="1">
        <f t="shared" ca="1" si="151"/>
        <v>0.12476552570950901</v>
      </c>
      <c r="U140" s="1">
        <f t="shared" ca="1" si="152"/>
        <v>233</v>
      </c>
      <c r="V140" s="1">
        <f t="shared" ca="1" si="153"/>
        <v>15</v>
      </c>
      <c r="W140" s="1"/>
      <c r="X140" s="1">
        <f t="shared" ca="1" si="154"/>
        <v>0.92166242547617983</v>
      </c>
      <c r="Y140" s="1">
        <f t="shared" ca="1" si="155"/>
        <v>0.49322955981135047</v>
      </c>
      <c r="Z140" s="1">
        <f t="shared" ca="1" si="156"/>
        <v>1286</v>
      </c>
      <c r="AB140" s="1">
        <f t="shared" ca="1" si="157"/>
        <v>0.8940653010387466</v>
      </c>
      <c r="AC140" s="1">
        <f t="shared" ca="1" si="158"/>
        <v>735</v>
      </c>
      <c r="AD140" s="1">
        <f t="shared" ca="1" si="159"/>
        <v>6.3490860349825588E-3</v>
      </c>
      <c r="AE140" s="1"/>
      <c r="AF140" s="1">
        <f t="shared" ca="1" si="160"/>
        <v>0.33158840893137986</v>
      </c>
      <c r="AG140" s="1">
        <f t="shared" ca="1" si="161"/>
        <v>103</v>
      </c>
      <c r="AH140" s="1">
        <f t="shared" ca="1" si="162"/>
        <v>7.7848213233322585E-3</v>
      </c>
      <c r="AJ140" s="1">
        <f t="shared" ca="1" si="163"/>
        <v>0.22807996883975912</v>
      </c>
      <c r="AK140" s="1">
        <f t="shared" ca="1" si="164"/>
        <v>1.4278504246683478E-3</v>
      </c>
      <c r="AL140" s="1"/>
      <c r="AM140" s="1">
        <f t="shared" ca="1" si="165"/>
        <v>0.17622715654303922</v>
      </c>
      <c r="AN140" s="1">
        <f t="shared" ca="1" si="166"/>
        <v>71</v>
      </c>
      <c r="AO140" s="1">
        <f t="shared" ca="1" si="167"/>
        <v>1</v>
      </c>
      <c r="AQ140" s="1">
        <f t="shared" ca="1" si="168"/>
        <v>192</v>
      </c>
      <c r="AR140" s="1">
        <f t="shared" ca="1" si="169"/>
        <v>2</v>
      </c>
      <c r="AS140" s="1">
        <f t="shared" ca="1" si="170"/>
        <v>43</v>
      </c>
      <c r="AU140" s="1">
        <f t="shared" ca="1" si="171"/>
        <v>214</v>
      </c>
      <c r="AV140" s="1">
        <f t="shared" ca="1" si="172"/>
        <v>5</v>
      </c>
      <c r="AW140" s="1">
        <f t="shared" ca="1" si="173"/>
        <v>4.1440523903744586E-2</v>
      </c>
      <c r="AY140" s="1">
        <f t="shared" ca="1" si="174"/>
        <v>1.5892403465765521</v>
      </c>
      <c r="AZ140" s="1">
        <f t="shared" ca="1" si="175"/>
        <v>299</v>
      </c>
      <c r="BA140" s="1">
        <f t="shared" ca="1" si="176"/>
        <v>2.6375141711780292E-4</v>
      </c>
      <c r="BG140" s="1">
        <f t="shared" ca="1" si="177"/>
        <v>0.2055043768402138</v>
      </c>
      <c r="BH140" s="1">
        <f t="shared" ca="1" si="178"/>
        <v>0.90304287937907113</v>
      </c>
      <c r="BI140" s="1">
        <f t="shared" ca="1" si="179"/>
        <v>180</v>
      </c>
      <c r="BV140" s="1">
        <f t="shared" ca="1" si="180"/>
        <v>0.58196395457007677</v>
      </c>
      <c r="BW140" s="1">
        <f t="shared" ca="1" si="181"/>
        <v>558</v>
      </c>
      <c r="BX140" s="1">
        <f t="shared" ca="1" si="182"/>
        <v>8.2851437820150309E-3</v>
      </c>
      <c r="BY140" s="1">
        <f t="shared" ca="1" si="183"/>
        <v>3.926093824461499E-2</v>
      </c>
      <c r="BZ140" s="1">
        <f t="shared" ca="1" si="184"/>
        <v>0.48660667132291335</v>
      </c>
      <c r="CB140" s="1">
        <f t="shared" ca="1" si="185"/>
        <v>197</v>
      </c>
      <c r="CC140" s="1">
        <f t="shared" ca="1" si="186"/>
        <v>14</v>
      </c>
      <c r="CD140" s="1">
        <f t="shared" ca="1" si="187"/>
        <v>0.17590987075243578</v>
      </c>
      <c r="CE140" s="1">
        <f t="shared" ca="1" si="188"/>
        <v>0.68766476903794227</v>
      </c>
      <c r="CF140" s="1">
        <f t="shared" ca="1" si="188"/>
        <v>0.85558196532707287</v>
      </c>
      <c r="CH140" s="3">
        <f t="shared" ca="1" si="189"/>
        <v>0.55204410068615084</v>
      </c>
      <c r="CI140" s="3">
        <f t="shared" ca="1" si="190"/>
        <v>0.97167173961481512</v>
      </c>
      <c r="CJ140" s="3">
        <f t="shared" ca="1" si="191"/>
        <v>723</v>
      </c>
      <c r="CK140" s="3">
        <f t="shared" ca="1" si="192"/>
        <v>2.6731768218787107E-3</v>
      </c>
      <c r="CL140" s="3">
        <f t="shared" ca="1" si="193"/>
        <v>0</v>
      </c>
      <c r="CM140" s="3"/>
      <c r="CN140" s="1">
        <f t="shared" ca="1" si="194"/>
        <v>2.3123817937621318</v>
      </c>
      <c r="CO140" s="1">
        <f t="shared" ca="1" si="195"/>
        <v>0.18186923141655745</v>
      </c>
      <c r="CP140" s="1">
        <f t="shared" ca="1" si="196"/>
        <v>3</v>
      </c>
      <c r="CV140" s="1">
        <f t="shared" ca="1" si="197"/>
        <v>0.45052901698224057</v>
      </c>
      <c r="CW140" s="1">
        <f t="shared" ca="1" si="198"/>
        <v>1835</v>
      </c>
      <c r="CX140" s="1">
        <f t="shared" ca="1" si="199"/>
        <v>6.659969959853804E-3</v>
      </c>
      <c r="DH140" s="1">
        <f t="shared" ca="1" si="200"/>
        <v>839</v>
      </c>
      <c r="DI140" s="1">
        <f t="shared" ca="1" si="201"/>
        <v>5.0228284186679253E-2</v>
      </c>
      <c r="DJ140" s="1">
        <f t="shared" ca="1" si="202"/>
        <v>12</v>
      </c>
      <c r="DL140" s="1">
        <f t="shared" ca="1" si="203"/>
        <v>9.7127915113466287E-2</v>
      </c>
      <c r="DM140" s="1">
        <f t="shared" ca="1" si="204"/>
        <v>100</v>
      </c>
      <c r="DN140" s="1">
        <f t="shared" ca="1" si="205"/>
        <v>6</v>
      </c>
    </row>
    <row r="141" spans="2:118" x14ac:dyDescent="0.25">
      <c r="B141">
        <f t="shared" ca="1" si="138"/>
        <v>109</v>
      </c>
      <c r="C141">
        <f t="shared" ca="1" si="139"/>
        <v>7</v>
      </c>
      <c r="D141">
        <f t="shared" ca="1" si="140"/>
        <v>0.26305998796053776</v>
      </c>
      <c r="F141" s="1">
        <f t="shared" ca="1" si="141"/>
        <v>22</v>
      </c>
      <c r="G141" s="1">
        <f t="shared" ca="1" si="142"/>
        <v>23</v>
      </c>
      <c r="H141" s="1">
        <f t="shared" ca="1" si="143"/>
        <v>15</v>
      </c>
      <c r="I141" s="1"/>
      <c r="J141" s="1">
        <f t="shared" ca="1" si="144"/>
        <v>7</v>
      </c>
      <c r="K141" s="1">
        <f t="shared" ca="1" si="145"/>
        <v>2.6453385044857134</v>
      </c>
      <c r="L141" s="1">
        <f t="shared" ca="1" si="146"/>
        <v>25</v>
      </c>
      <c r="M141" s="1"/>
      <c r="N141" s="1">
        <f t="shared" ca="1" si="147"/>
        <v>142</v>
      </c>
      <c r="O141" s="1">
        <f t="shared" ca="1" si="148"/>
        <v>3</v>
      </c>
      <c r="P141" s="1"/>
      <c r="Q141" s="1">
        <f t="shared" ca="1" si="149"/>
        <v>1.2220777621398651</v>
      </c>
      <c r="R141" s="1">
        <f t="shared" ca="1" si="150"/>
        <v>534</v>
      </c>
      <c r="S141" s="1"/>
      <c r="T141" s="1">
        <f t="shared" ca="1" si="151"/>
        <v>5.3450008457190779E-2</v>
      </c>
      <c r="U141" s="1">
        <f t="shared" ca="1" si="152"/>
        <v>50</v>
      </c>
      <c r="V141" s="1">
        <f t="shared" ca="1" si="153"/>
        <v>46</v>
      </c>
      <c r="W141" s="1"/>
      <c r="X141" s="1">
        <f t="shared" ca="1" si="154"/>
        <v>5.1826343882958854</v>
      </c>
      <c r="Y141" s="1">
        <f t="shared" ca="1" si="155"/>
        <v>0.44173416293075718</v>
      </c>
      <c r="Z141" s="1">
        <f t="shared" ca="1" si="156"/>
        <v>805</v>
      </c>
      <c r="AB141" s="1">
        <f t="shared" ca="1" si="157"/>
        <v>0.28637665493917325</v>
      </c>
      <c r="AC141" s="1">
        <f t="shared" ca="1" si="158"/>
        <v>300</v>
      </c>
      <c r="AD141" s="1">
        <f t="shared" ca="1" si="159"/>
        <v>2.0796518500925528E-3</v>
      </c>
      <c r="AE141" s="1"/>
      <c r="AF141" s="1">
        <f t="shared" ca="1" si="160"/>
        <v>0.53483402842100614</v>
      </c>
      <c r="AG141" s="1">
        <f t="shared" ca="1" si="161"/>
        <v>559</v>
      </c>
      <c r="AH141" s="1">
        <f t="shared" ca="1" si="162"/>
        <v>3.0846564838588539E-3</v>
      </c>
      <c r="AJ141" s="1">
        <f t="shared" ca="1" si="163"/>
        <v>0.17378531341242998</v>
      </c>
      <c r="AK141" s="1">
        <f t="shared" ca="1" si="164"/>
        <v>9.7235979686135354E-3</v>
      </c>
      <c r="AL141" s="1"/>
      <c r="AM141" s="1">
        <f t="shared" ca="1" si="165"/>
        <v>2.2762478443751049E-2</v>
      </c>
      <c r="AN141" s="1">
        <f t="shared" ca="1" si="166"/>
        <v>28</v>
      </c>
      <c r="AO141" s="1">
        <f t="shared" ca="1" si="167"/>
        <v>15</v>
      </c>
      <c r="AQ141" s="1">
        <f t="shared" ca="1" si="168"/>
        <v>83</v>
      </c>
      <c r="AR141" s="1">
        <f t="shared" ca="1" si="169"/>
        <v>4</v>
      </c>
      <c r="AS141" s="1">
        <f t="shared" ca="1" si="170"/>
        <v>13</v>
      </c>
      <c r="AU141" s="1">
        <f t="shared" ca="1" si="171"/>
        <v>395</v>
      </c>
      <c r="AV141" s="1">
        <f t="shared" ca="1" si="172"/>
        <v>6</v>
      </c>
      <c r="AW141" s="1">
        <f t="shared" ca="1" si="173"/>
        <v>0.18654747440135905</v>
      </c>
      <c r="AY141" s="1">
        <f t="shared" ca="1" si="174"/>
        <v>1.5943282141783959</v>
      </c>
      <c r="AZ141" s="1">
        <f t="shared" ca="1" si="175"/>
        <v>164</v>
      </c>
      <c r="BA141" s="1">
        <f t="shared" ca="1" si="176"/>
        <v>9.1182907607042715E-3</v>
      </c>
      <c r="BG141" s="1">
        <f t="shared" ca="1" si="177"/>
        <v>0.85304545328992698</v>
      </c>
      <c r="BH141" s="1">
        <f t="shared" ca="1" si="178"/>
        <v>0.71228230829978334</v>
      </c>
      <c r="BI141" s="1">
        <f t="shared" ca="1" si="179"/>
        <v>260</v>
      </c>
      <c r="BV141" s="1">
        <f t="shared" ca="1" si="180"/>
        <v>0.55559901557691727</v>
      </c>
      <c r="BW141" s="1">
        <f t="shared" ca="1" si="181"/>
        <v>543</v>
      </c>
      <c r="BX141" s="1">
        <f t="shared" ca="1" si="182"/>
        <v>6.0423784696198926E-3</v>
      </c>
      <c r="BY141" s="1">
        <f t="shared" ca="1" si="183"/>
        <v>8.7831911228854767E-2</v>
      </c>
      <c r="BZ141" s="1">
        <f t="shared" ca="1" si="184"/>
        <v>0.90539661457941933</v>
      </c>
      <c r="CB141" s="1">
        <f t="shared" ca="1" si="185"/>
        <v>209</v>
      </c>
      <c r="CC141" s="1">
        <f t="shared" ca="1" si="186"/>
        <v>6</v>
      </c>
      <c r="CD141" s="1">
        <f t="shared" ca="1" si="187"/>
        <v>8.7777049444658584E-2</v>
      </c>
      <c r="CE141" s="1">
        <f t="shared" ca="1" si="188"/>
        <v>0.56805020425510533</v>
      </c>
      <c r="CF141" s="1">
        <f t="shared" ca="1" si="188"/>
        <v>0.7164356126266016</v>
      </c>
      <c r="CH141" s="3">
        <f t="shared" ca="1" si="189"/>
        <v>0.13684939452922437</v>
      </c>
      <c r="CI141" s="3">
        <f t="shared" ca="1" si="190"/>
        <v>0.16289912323726044</v>
      </c>
      <c r="CJ141" s="3">
        <f t="shared" ca="1" si="191"/>
        <v>110</v>
      </c>
      <c r="CK141" s="3">
        <f t="shared" ca="1" si="192"/>
        <v>4.0172915320625137E-4</v>
      </c>
      <c r="CL141" s="3">
        <f t="shared" ca="1" si="193"/>
        <v>0</v>
      </c>
      <c r="CM141" s="3"/>
      <c r="CN141" s="1">
        <f t="shared" ca="1" si="194"/>
        <v>12.072587250229835</v>
      </c>
      <c r="CO141" s="1">
        <f t="shared" ca="1" si="195"/>
        <v>0.30374290509052349</v>
      </c>
      <c r="CP141" s="1">
        <f t="shared" ca="1" si="196"/>
        <v>3</v>
      </c>
      <c r="CV141" s="1">
        <f t="shared" ca="1" si="197"/>
        <v>2.3336978631432603</v>
      </c>
      <c r="CW141" s="1">
        <f t="shared" ca="1" si="198"/>
        <v>421</v>
      </c>
      <c r="CX141" s="1">
        <f t="shared" ca="1" si="199"/>
        <v>7.4487097221628031E-3</v>
      </c>
      <c r="DH141" s="1">
        <f t="shared" ca="1" si="200"/>
        <v>235</v>
      </c>
      <c r="DI141" s="1">
        <f t="shared" ca="1" si="201"/>
        <v>0.94554348350551531</v>
      </c>
      <c r="DJ141" s="1">
        <f t="shared" ca="1" si="202"/>
        <v>26</v>
      </c>
      <c r="DL141" s="1">
        <f t="shared" ca="1" si="203"/>
        <v>0.13258357720074115</v>
      </c>
      <c r="DM141" s="1">
        <f t="shared" ca="1" si="204"/>
        <v>289</v>
      </c>
      <c r="DN141" s="1">
        <f t="shared" ca="1" si="205"/>
        <v>10</v>
      </c>
    </row>
    <row r="142" spans="2:118" x14ac:dyDescent="0.25">
      <c r="B142">
        <f t="shared" ca="1" si="138"/>
        <v>653</v>
      </c>
      <c r="C142">
        <f t="shared" ca="1" si="139"/>
        <v>40</v>
      </c>
      <c r="D142">
        <f t="shared" ca="1" si="140"/>
        <v>0.23083325948867289</v>
      </c>
      <c r="F142" s="1">
        <f t="shared" ca="1" si="141"/>
        <v>25</v>
      </c>
      <c r="G142" s="1">
        <f t="shared" ca="1" si="142"/>
        <v>27</v>
      </c>
      <c r="H142" s="1">
        <f t="shared" ca="1" si="143"/>
        <v>4</v>
      </c>
      <c r="I142" s="1"/>
      <c r="J142" s="1">
        <f t="shared" ca="1" si="144"/>
        <v>26</v>
      </c>
      <c r="K142" s="1">
        <f t="shared" ca="1" si="145"/>
        <v>2.6075167743467462</v>
      </c>
      <c r="L142" s="1">
        <f t="shared" ca="1" si="146"/>
        <v>19</v>
      </c>
      <c r="M142" s="1"/>
      <c r="N142" s="1">
        <f t="shared" ca="1" si="147"/>
        <v>456</v>
      </c>
      <c r="O142" s="1">
        <f t="shared" ca="1" si="148"/>
        <v>14</v>
      </c>
      <c r="P142" s="1"/>
      <c r="Q142" s="1">
        <f t="shared" ca="1" si="149"/>
        <v>2.4526830831826754</v>
      </c>
      <c r="R142" s="1">
        <f t="shared" ca="1" si="150"/>
        <v>642</v>
      </c>
      <c r="S142" s="1"/>
      <c r="T142" s="1">
        <f t="shared" ca="1" si="151"/>
        <v>0.14231419442051263</v>
      </c>
      <c r="U142" s="1">
        <f t="shared" ca="1" si="152"/>
        <v>187</v>
      </c>
      <c r="V142" s="1">
        <f t="shared" ca="1" si="153"/>
        <v>27</v>
      </c>
      <c r="W142" s="1"/>
      <c r="X142" s="1">
        <f t="shared" ca="1" si="154"/>
        <v>4.0708813118167413</v>
      </c>
      <c r="Y142" s="1">
        <f t="shared" ca="1" si="155"/>
        <v>0.88164826146239406</v>
      </c>
      <c r="Z142" s="1">
        <f t="shared" ca="1" si="156"/>
        <v>1970</v>
      </c>
      <c r="AB142" s="1">
        <f t="shared" ca="1" si="157"/>
        <v>0.89178585253457099</v>
      </c>
      <c r="AC142" s="1">
        <f t="shared" ca="1" si="158"/>
        <v>556</v>
      </c>
      <c r="AD142" s="1">
        <f t="shared" ca="1" si="159"/>
        <v>8.9656100669314003E-3</v>
      </c>
      <c r="AE142" s="1"/>
      <c r="AF142" s="1">
        <f t="shared" ca="1" si="160"/>
        <v>0.55647769681078918</v>
      </c>
      <c r="AG142" s="1">
        <f t="shared" ca="1" si="161"/>
        <v>776</v>
      </c>
      <c r="AH142" s="1">
        <f t="shared" ca="1" si="162"/>
        <v>4.9533334835486602E-3</v>
      </c>
      <c r="AJ142" s="1">
        <f t="shared" ca="1" si="163"/>
        <v>0.59417440105039565</v>
      </c>
      <c r="AK142" s="1">
        <f t="shared" ca="1" si="164"/>
        <v>1.6652853990612769E-4</v>
      </c>
      <c r="AL142" s="1"/>
      <c r="AM142" s="1">
        <f t="shared" ca="1" si="165"/>
        <v>2.5780473074063989E-2</v>
      </c>
      <c r="AN142" s="1">
        <f t="shared" ca="1" si="166"/>
        <v>62</v>
      </c>
      <c r="AO142" s="1">
        <f t="shared" ca="1" si="167"/>
        <v>0</v>
      </c>
      <c r="AQ142" s="1">
        <f t="shared" ca="1" si="168"/>
        <v>41</v>
      </c>
      <c r="AR142" s="1">
        <f t="shared" ca="1" si="169"/>
        <v>3</v>
      </c>
      <c r="AS142" s="1">
        <f t="shared" ca="1" si="170"/>
        <v>98</v>
      </c>
      <c r="AU142" s="1">
        <f t="shared" ca="1" si="171"/>
        <v>175</v>
      </c>
      <c r="AV142" s="1">
        <f t="shared" ca="1" si="172"/>
        <v>10</v>
      </c>
      <c r="AW142" s="1">
        <f t="shared" ca="1" si="173"/>
        <v>0.15369073343066575</v>
      </c>
      <c r="AY142" s="1">
        <f t="shared" ca="1" si="174"/>
        <v>1.898079534138525</v>
      </c>
      <c r="AZ142" s="1">
        <f t="shared" ca="1" si="175"/>
        <v>138</v>
      </c>
      <c r="BA142" s="1">
        <f t="shared" ca="1" si="176"/>
        <v>1.6374313665476134E-3</v>
      </c>
      <c r="BG142" s="1">
        <f t="shared" ca="1" si="177"/>
        <v>0.32119818586666365</v>
      </c>
      <c r="BH142" s="1">
        <f t="shared" ca="1" si="178"/>
        <v>0.69771358490408653</v>
      </c>
      <c r="BI142" s="1">
        <f t="shared" ca="1" si="179"/>
        <v>771</v>
      </c>
      <c r="BV142" s="1">
        <f t="shared" ca="1" si="180"/>
        <v>4.9147867642468653E-2</v>
      </c>
      <c r="BW142" s="1">
        <f t="shared" ca="1" si="181"/>
        <v>465</v>
      </c>
      <c r="BX142" s="1">
        <f t="shared" ca="1" si="182"/>
        <v>7.8333341102654261E-3</v>
      </c>
      <c r="BY142" s="1">
        <f t="shared" ca="1" si="183"/>
        <v>6.0011671765683415E-2</v>
      </c>
      <c r="BZ142" s="1">
        <f t="shared" ca="1" si="184"/>
        <v>0.18457746485394433</v>
      </c>
      <c r="CB142" s="1">
        <f t="shared" ca="1" si="185"/>
        <v>265</v>
      </c>
      <c r="CC142" s="1">
        <f t="shared" ca="1" si="186"/>
        <v>4</v>
      </c>
      <c r="CD142" s="1">
        <f t="shared" ca="1" si="187"/>
        <v>0.25841916785068897</v>
      </c>
      <c r="CE142" s="1">
        <f t="shared" ca="1" si="188"/>
        <v>0.792518044778589</v>
      </c>
      <c r="CF142" s="1">
        <f t="shared" ca="1" si="188"/>
        <v>0.67274896822654884</v>
      </c>
      <c r="CH142" s="3">
        <f t="shared" ca="1" si="189"/>
        <v>0.9439620961748757</v>
      </c>
      <c r="CI142" s="3">
        <f t="shared" ca="1" si="190"/>
        <v>0.51016686841726933</v>
      </c>
      <c r="CJ142" s="3">
        <f t="shared" ca="1" si="191"/>
        <v>1758</v>
      </c>
      <c r="CK142" s="3">
        <f t="shared" ca="1" si="192"/>
        <v>8.5012146473697186E-3</v>
      </c>
      <c r="CL142" s="3">
        <f t="shared" ca="1" si="193"/>
        <v>0</v>
      </c>
      <c r="CM142" s="3"/>
      <c r="CN142" s="1">
        <f t="shared" ca="1" si="194"/>
        <v>11.673687985134722</v>
      </c>
      <c r="CO142" s="1">
        <f t="shared" ca="1" si="195"/>
        <v>0.13577586252416063</v>
      </c>
      <c r="CP142" s="1">
        <f t="shared" ca="1" si="196"/>
        <v>1</v>
      </c>
      <c r="CV142" s="1">
        <f t="shared" ca="1" si="197"/>
        <v>5.5306283618711918</v>
      </c>
      <c r="CW142" s="1">
        <f t="shared" ca="1" si="198"/>
        <v>1005</v>
      </c>
      <c r="CX142" s="1">
        <f t="shared" ca="1" si="199"/>
        <v>9.3583381857100887E-3</v>
      </c>
      <c r="DH142" s="1">
        <f t="shared" ca="1" si="200"/>
        <v>43</v>
      </c>
      <c r="DI142" s="1">
        <f t="shared" ca="1" si="201"/>
        <v>0.8305395636309636</v>
      </c>
      <c r="DJ142" s="1">
        <f t="shared" ca="1" si="202"/>
        <v>10</v>
      </c>
      <c r="DL142" s="1">
        <f t="shared" ca="1" si="203"/>
        <v>0.19180369496835611</v>
      </c>
      <c r="DM142" s="1">
        <f t="shared" ca="1" si="204"/>
        <v>271</v>
      </c>
      <c r="DN142" s="1">
        <f t="shared" ca="1" si="205"/>
        <v>8</v>
      </c>
    </row>
    <row r="143" spans="2:118" x14ac:dyDescent="0.25">
      <c r="B143">
        <f t="shared" ca="1" si="138"/>
        <v>999</v>
      </c>
      <c r="C143">
        <f t="shared" ca="1" si="139"/>
        <v>8</v>
      </c>
      <c r="D143">
        <f t="shared" ca="1" si="140"/>
        <v>1.2803234672800562E-2</v>
      </c>
      <c r="F143" s="1">
        <f t="shared" ca="1" si="141"/>
        <v>46</v>
      </c>
      <c r="G143" s="1">
        <f t="shared" ca="1" si="142"/>
        <v>11</v>
      </c>
      <c r="H143" s="1">
        <f t="shared" ca="1" si="143"/>
        <v>2</v>
      </c>
      <c r="I143" s="1"/>
      <c r="J143" s="1">
        <f t="shared" ca="1" si="144"/>
        <v>5</v>
      </c>
      <c r="K143" s="1">
        <f t="shared" ca="1" si="145"/>
        <v>1.5928884886727537</v>
      </c>
      <c r="L143" s="1">
        <f t="shared" ca="1" si="146"/>
        <v>3</v>
      </c>
      <c r="M143" s="1"/>
      <c r="N143" s="1">
        <f t="shared" ca="1" si="147"/>
        <v>548</v>
      </c>
      <c r="O143" s="1">
        <f t="shared" ca="1" si="148"/>
        <v>23</v>
      </c>
      <c r="P143" s="1"/>
      <c r="Q143" s="1">
        <f t="shared" ca="1" si="149"/>
        <v>1.4287195220858486</v>
      </c>
      <c r="R143" s="1">
        <f t="shared" ca="1" si="150"/>
        <v>961</v>
      </c>
      <c r="S143" s="1"/>
      <c r="T143" s="1">
        <f t="shared" ca="1" si="151"/>
        <v>0.17774710123971729</v>
      </c>
      <c r="U143" s="1">
        <f t="shared" ca="1" si="152"/>
        <v>415</v>
      </c>
      <c r="V143" s="1">
        <f t="shared" ca="1" si="153"/>
        <v>25</v>
      </c>
      <c r="W143" s="1"/>
      <c r="X143" s="1">
        <f t="shared" ca="1" si="154"/>
        <v>5.8030534006491949</v>
      </c>
      <c r="Y143" s="1">
        <f t="shared" ca="1" si="155"/>
        <v>0.633202280266705</v>
      </c>
      <c r="Z143" s="1">
        <f t="shared" ca="1" si="156"/>
        <v>1707</v>
      </c>
      <c r="AB143" s="1">
        <f t="shared" ca="1" si="157"/>
        <v>0.40799810429398853</v>
      </c>
      <c r="AC143" s="1">
        <f t="shared" ca="1" si="158"/>
        <v>490</v>
      </c>
      <c r="AD143" s="1">
        <f t="shared" ca="1" si="159"/>
        <v>5.4776738248824876E-3</v>
      </c>
      <c r="AE143" s="1"/>
      <c r="AF143" s="1">
        <f t="shared" ca="1" si="160"/>
        <v>0.49903395012114637</v>
      </c>
      <c r="AG143" s="1">
        <f t="shared" ca="1" si="161"/>
        <v>518</v>
      </c>
      <c r="AH143" s="1">
        <f t="shared" ca="1" si="162"/>
        <v>4.6797918019450172E-4</v>
      </c>
      <c r="AJ143" s="1">
        <f t="shared" ca="1" si="163"/>
        <v>0.42998771945949965</v>
      </c>
      <c r="AK143" s="1">
        <f t="shared" ca="1" si="164"/>
        <v>8.2866152776105324E-3</v>
      </c>
      <c r="AL143" s="1"/>
      <c r="AM143" s="1">
        <f t="shared" ca="1" si="165"/>
        <v>0.14393719881782036</v>
      </c>
      <c r="AN143" s="1">
        <f t="shared" ca="1" si="166"/>
        <v>37</v>
      </c>
      <c r="AO143" s="1">
        <f t="shared" ca="1" si="167"/>
        <v>9</v>
      </c>
      <c r="AQ143" s="1">
        <f t="shared" ca="1" si="168"/>
        <v>24</v>
      </c>
      <c r="AR143" s="1">
        <f t="shared" ca="1" si="169"/>
        <v>4</v>
      </c>
      <c r="AS143" s="1">
        <f t="shared" ca="1" si="170"/>
        <v>50</v>
      </c>
      <c r="AU143" s="1">
        <f t="shared" ca="1" si="171"/>
        <v>52</v>
      </c>
      <c r="AV143" s="1">
        <f t="shared" ca="1" si="172"/>
        <v>6</v>
      </c>
      <c r="AW143" s="1">
        <f t="shared" ca="1" si="173"/>
        <v>5.9425738586718027E-2</v>
      </c>
      <c r="AY143" s="1">
        <f t="shared" ca="1" si="174"/>
        <v>1.9995667218410678</v>
      </c>
      <c r="AZ143" s="1">
        <f t="shared" ca="1" si="175"/>
        <v>57</v>
      </c>
      <c r="BA143" s="1">
        <f t="shared" ca="1" si="176"/>
        <v>7.7960391366559915E-3</v>
      </c>
      <c r="BG143" s="1">
        <f t="shared" ca="1" si="177"/>
        <v>0.89325535321476057</v>
      </c>
      <c r="BH143" s="1">
        <f t="shared" ca="1" si="178"/>
        <v>5.5219957300937761E-2</v>
      </c>
      <c r="BI143" s="1">
        <f t="shared" ca="1" si="179"/>
        <v>583</v>
      </c>
      <c r="BV143" s="1">
        <f t="shared" ca="1" si="180"/>
        <v>0.69561821500190002</v>
      </c>
      <c r="BW143" s="1">
        <f t="shared" ca="1" si="181"/>
        <v>472</v>
      </c>
      <c r="BX143" s="1">
        <f t="shared" ca="1" si="182"/>
        <v>6.2025262288048152E-4</v>
      </c>
      <c r="BY143" s="1">
        <f t="shared" ca="1" si="183"/>
        <v>9.0095326306950524E-2</v>
      </c>
      <c r="BZ143" s="1">
        <f t="shared" ca="1" si="184"/>
        <v>8.8381791042938196E-2</v>
      </c>
      <c r="CB143" s="1">
        <f t="shared" ca="1" si="185"/>
        <v>458</v>
      </c>
      <c r="CC143" s="1">
        <f t="shared" ca="1" si="186"/>
        <v>10</v>
      </c>
      <c r="CD143" s="1">
        <f t="shared" ca="1" si="187"/>
        <v>0.1873549307915367</v>
      </c>
      <c r="CE143" s="1">
        <f t="shared" ca="1" si="188"/>
        <v>0.83592317880984268</v>
      </c>
      <c r="CF143" s="1">
        <f t="shared" ca="1" si="188"/>
        <v>0.79297020808197338</v>
      </c>
      <c r="CH143" s="3">
        <f t="shared" ca="1" si="189"/>
        <v>0.64287064407905348</v>
      </c>
      <c r="CI143" s="3">
        <f t="shared" ca="1" si="190"/>
        <v>0.40728493220956846</v>
      </c>
      <c r="CJ143" s="3">
        <f t="shared" ca="1" si="191"/>
        <v>826</v>
      </c>
      <c r="CK143" s="3">
        <f t="shared" ca="1" si="192"/>
        <v>5.2021366853864937E-3</v>
      </c>
      <c r="CL143" s="3">
        <f t="shared" ca="1" si="193"/>
        <v>1</v>
      </c>
      <c r="CM143" s="3"/>
      <c r="CN143" s="1">
        <f t="shared" ca="1" si="194"/>
        <v>3.0546856322047327</v>
      </c>
      <c r="CO143" s="1">
        <f t="shared" ca="1" si="195"/>
        <v>0.46881635122634158</v>
      </c>
      <c r="CP143" s="1">
        <f t="shared" ca="1" si="196"/>
        <v>5</v>
      </c>
      <c r="CV143" s="1">
        <f t="shared" ca="1" si="197"/>
        <v>0.29187754630418289</v>
      </c>
      <c r="CW143" s="1">
        <f t="shared" ca="1" si="198"/>
        <v>1872</v>
      </c>
      <c r="CX143" s="1">
        <f t="shared" ca="1" si="199"/>
        <v>5.2155133823719793E-3</v>
      </c>
      <c r="DH143" s="1">
        <f t="shared" ca="1" si="200"/>
        <v>337</v>
      </c>
      <c r="DI143" s="1">
        <f t="shared" ca="1" si="201"/>
        <v>0.72015610123215323</v>
      </c>
      <c r="DJ143" s="1">
        <f t="shared" ca="1" si="202"/>
        <v>29</v>
      </c>
      <c r="DL143" s="1">
        <f t="shared" ca="1" si="203"/>
        <v>0.16703158384759509</v>
      </c>
      <c r="DM143" s="1">
        <f t="shared" ca="1" si="204"/>
        <v>57</v>
      </c>
      <c r="DN143" s="1">
        <f t="shared" ca="1" si="205"/>
        <v>6</v>
      </c>
    </row>
    <row r="144" spans="2:118" x14ac:dyDescent="0.25">
      <c r="B144">
        <f t="shared" ca="1" si="138"/>
        <v>189</v>
      </c>
      <c r="C144">
        <f t="shared" ca="1" si="139"/>
        <v>43</v>
      </c>
      <c r="D144">
        <f t="shared" ca="1" si="140"/>
        <v>0.10205355701800016</v>
      </c>
      <c r="F144" s="1">
        <f t="shared" ca="1" si="141"/>
        <v>26</v>
      </c>
      <c r="G144" s="1">
        <f t="shared" ca="1" si="142"/>
        <v>6</v>
      </c>
      <c r="H144" s="1">
        <f t="shared" ca="1" si="143"/>
        <v>3</v>
      </c>
      <c r="I144" s="1"/>
      <c r="J144" s="1">
        <f t="shared" ca="1" si="144"/>
        <v>32</v>
      </c>
      <c r="K144" s="1">
        <f t="shared" ca="1" si="145"/>
        <v>2.4414979070894911</v>
      </c>
      <c r="L144" s="1">
        <f t="shared" ca="1" si="146"/>
        <v>20</v>
      </c>
      <c r="M144" s="1"/>
      <c r="N144" s="1">
        <f t="shared" ca="1" si="147"/>
        <v>61</v>
      </c>
      <c r="O144" s="1">
        <f t="shared" ca="1" si="148"/>
        <v>28</v>
      </c>
      <c r="P144" s="1"/>
      <c r="Q144" s="1">
        <f t="shared" ca="1" si="149"/>
        <v>3.8625669745297491</v>
      </c>
      <c r="R144" s="1">
        <f t="shared" ca="1" si="150"/>
        <v>302</v>
      </c>
      <c r="S144" s="1"/>
      <c r="T144" s="1">
        <f t="shared" ca="1" si="151"/>
        <v>0.18973153662671496</v>
      </c>
      <c r="U144" s="1">
        <f t="shared" ca="1" si="152"/>
        <v>95</v>
      </c>
      <c r="V144" s="1">
        <f t="shared" ca="1" si="153"/>
        <v>13</v>
      </c>
      <c r="W144" s="1"/>
      <c r="X144" s="1">
        <f t="shared" ca="1" si="154"/>
        <v>1.9070168337552647</v>
      </c>
      <c r="Y144" s="1">
        <f t="shared" ca="1" si="155"/>
        <v>0.3385540039887765</v>
      </c>
      <c r="Z144" s="1">
        <f t="shared" ca="1" si="156"/>
        <v>1403</v>
      </c>
      <c r="AB144" s="1">
        <f t="shared" ca="1" si="157"/>
        <v>0.4771511641897353</v>
      </c>
      <c r="AC144" s="1">
        <f t="shared" ca="1" si="158"/>
        <v>494</v>
      </c>
      <c r="AD144" s="1">
        <f t="shared" ca="1" si="159"/>
        <v>1.9326860327341328E-3</v>
      </c>
      <c r="AE144" s="1"/>
      <c r="AF144" s="1">
        <f t="shared" ca="1" si="160"/>
        <v>0.7224668519503713</v>
      </c>
      <c r="AG144" s="1">
        <f t="shared" ca="1" si="161"/>
        <v>125</v>
      </c>
      <c r="AH144" s="1">
        <f t="shared" ca="1" si="162"/>
        <v>3.3783996208014331E-3</v>
      </c>
      <c r="AJ144" s="1">
        <f t="shared" ca="1" si="163"/>
        <v>0.49582792996219538</v>
      </c>
      <c r="AK144" s="1">
        <f t="shared" ca="1" si="164"/>
        <v>2.9328229322269569E-3</v>
      </c>
      <c r="AL144" s="1"/>
      <c r="AM144" s="1">
        <f t="shared" ca="1" si="165"/>
        <v>6.328206568615867E-2</v>
      </c>
      <c r="AN144" s="1">
        <f t="shared" ca="1" si="166"/>
        <v>16</v>
      </c>
      <c r="AO144" s="1">
        <f t="shared" ca="1" si="167"/>
        <v>11</v>
      </c>
      <c r="AQ144" s="1">
        <f t="shared" ca="1" si="168"/>
        <v>182</v>
      </c>
      <c r="AR144" s="1">
        <f t="shared" ca="1" si="169"/>
        <v>1</v>
      </c>
      <c r="AS144" s="1">
        <f t="shared" ca="1" si="170"/>
        <v>1</v>
      </c>
      <c r="AU144" s="1">
        <f t="shared" ca="1" si="171"/>
        <v>297</v>
      </c>
      <c r="AV144" s="1">
        <f t="shared" ca="1" si="172"/>
        <v>3</v>
      </c>
      <c r="AW144" s="1">
        <f t="shared" ca="1" si="173"/>
        <v>0.195241815739497</v>
      </c>
      <c r="AY144" s="1">
        <f t="shared" ca="1" si="174"/>
        <v>1.3475608011990641</v>
      </c>
      <c r="AZ144" s="1">
        <f t="shared" ca="1" si="175"/>
        <v>176</v>
      </c>
      <c r="BA144" s="1">
        <f t="shared" ca="1" si="176"/>
        <v>5.9951635097246292E-3</v>
      </c>
      <c r="BG144" s="1">
        <f t="shared" ca="1" si="177"/>
        <v>0.41187807463422083</v>
      </c>
      <c r="BH144" s="1">
        <f t="shared" ca="1" si="178"/>
        <v>4.1830138209369094E-2</v>
      </c>
      <c r="BI144" s="1">
        <f t="shared" ca="1" si="179"/>
        <v>908</v>
      </c>
      <c r="BV144" s="1">
        <f t="shared" ca="1" si="180"/>
        <v>0.6717838798668242</v>
      </c>
      <c r="BW144" s="1">
        <f t="shared" ca="1" si="181"/>
        <v>254</v>
      </c>
      <c r="BX144" s="1">
        <f t="shared" ca="1" si="182"/>
        <v>7.078447626754321E-3</v>
      </c>
      <c r="BY144" s="1">
        <f t="shared" ca="1" si="183"/>
        <v>9.9400177242960186E-2</v>
      </c>
      <c r="BZ144" s="1">
        <f t="shared" ca="1" si="184"/>
        <v>0.51340232931348184</v>
      </c>
      <c r="CB144" s="1">
        <f t="shared" ca="1" si="185"/>
        <v>283</v>
      </c>
      <c r="CC144" s="1">
        <f t="shared" ca="1" si="186"/>
        <v>15</v>
      </c>
      <c r="CD144" s="1">
        <f t="shared" ca="1" si="187"/>
        <v>0.29744982623765176</v>
      </c>
      <c r="CE144" s="1">
        <f t="shared" ca="1" si="188"/>
        <v>0.64379301355411322</v>
      </c>
      <c r="CF144" s="1">
        <f t="shared" ca="1" si="188"/>
        <v>0.58173707061997582</v>
      </c>
      <c r="CH144" s="3">
        <f t="shared" ca="1" si="189"/>
        <v>9.703477387394456E-2</v>
      </c>
      <c r="CI144" s="3">
        <f t="shared" ca="1" si="190"/>
        <v>0.36541259191403158</v>
      </c>
      <c r="CJ144" s="3">
        <f t="shared" ca="1" si="191"/>
        <v>1945</v>
      </c>
      <c r="CK144" s="3">
        <f t="shared" ca="1" si="192"/>
        <v>9.9819558136491904E-3</v>
      </c>
      <c r="CL144" s="3">
        <f t="shared" ca="1" si="193"/>
        <v>0</v>
      </c>
      <c r="CM144" s="3"/>
      <c r="CN144" s="1">
        <f t="shared" ca="1" si="194"/>
        <v>4.5409505943916244</v>
      </c>
      <c r="CO144" s="1">
        <f t="shared" ca="1" si="195"/>
        <v>0.16899359304961922</v>
      </c>
      <c r="CP144" s="1">
        <f t="shared" ca="1" si="196"/>
        <v>5</v>
      </c>
      <c r="CV144" s="1">
        <f t="shared" ca="1" si="197"/>
        <v>6.3292633890758756</v>
      </c>
      <c r="CW144" s="1">
        <f t="shared" ca="1" si="198"/>
        <v>1375</v>
      </c>
      <c r="CX144" s="1">
        <f t="shared" ca="1" si="199"/>
        <v>9.8754330947960611E-3</v>
      </c>
      <c r="DH144" s="1">
        <f t="shared" ca="1" si="200"/>
        <v>53</v>
      </c>
      <c r="DI144" s="1">
        <f t="shared" ca="1" si="201"/>
        <v>0.34527206968529833</v>
      </c>
      <c r="DJ144" s="1">
        <f t="shared" ca="1" si="202"/>
        <v>24</v>
      </c>
      <c r="DL144" s="1">
        <f t="shared" ca="1" si="203"/>
        <v>0.12538646647248175</v>
      </c>
      <c r="DM144" s="1">
        <f t="shared" ca="1" si="204"/>
        <v>141</v>
      </c>
      <c r="DN144" s="1">
        <f t="shared" ca="1" si="205"/>
        <v>6</v>
      </c>
    </row>
    <row r="145" spans="2:118" x14ac:dyDescent="0.25">
      <c r="B145">
        <f t="shared" ca="1" si="138"/>
        <v>640</v>
      </c>
      <c r="C145">
        <f t="shared" ca="1" si="139"/>
        <v>43</v>
      </c>
      <c r="D145">
        <f t="shared" ca="1" si="140"/>
        <v>0.26349130976309337</v>
      </c>
      <c r="F145" s="1">
        <f t="shared" ca="1" si="141"/>
        <v>7</v>
      </c>
      <c r="G145" s="1">
        <f t="shared" ca="1" si="142"/>
        <v>6</v>
      </c>
      <c r="H145" s="1">
        <f t="shared" ca="1" si="143"/>
        <v>8</v>
      </c>
      <c r="I145" s="1"/>
      <c r="J145" s="1">
        <f t="shared" ca="1" si="144"/>
        <v>31</v>
      </c>
      <c r="K145" s="1">
        <f t="shared" ca="1" si="145"/>
        <v>1.2132869383282139</v>
      </c>
      <c r="L145" s="1">
        <f t="shared" ca="1" si="146"/>
        <v>31</v>
      </c>
      <c r="M145" s="1"/>
      <c r="N145" s="1">
        <f t="shared" ca="1" si="147"/>
        <v>706</v>
      </c>
      <c r="O145" s="1">
        <f t="shared" ca="1" si="148"/>
        <v>26</v>
      </c>
      <c r="P145" s="1"/>
      <c r="Q145" s="1">
        <f t="shared" ca="1" si="149"/>
        <v>3.2235508448980905</v>
      </c>
      <c r="R145" s="1">
        <f t="shared" ca="1" si="150"/>
        <v>728</v>
      </c>
      <c r="S145" s="1"/>
      <c r="T145" s="1">
        <f t="shared" ca="1" si="151"/>
        <v>4.8452417424804529E-2</v>
      </c>
      <c r="U145" s="1">
        <f t="shared" ca="1" si="152"/>
        <v>121</v>
      </c>
      <c r="V145" s="1">
        <f t="shared" ca="1" si="153"/>
        <v>50</v>
      </c>
      <c r="W145" s="1"/>
      <c r="X145" s="1">
        <f t="shared" ca="1" si="154"/>
        <v>3.3784039082097115</v>
      </c>
      <c r="Y145" s="1">
        <f t="shared" ca="1" si="155"/>
        <v>0.37911769486459823</v>
      </c>
      <c r="Z145" s="1">
        <f t="shared" ca="1" si="156"/>
        <v>507</v>
      </c>
      <c r="AB145" s="1">
        <f t="shared" ca="1" si="157"/>
        <v>0.33113941895811372</v>
      </c>
      <c r="AC145" s="1">
        <f t="shared" ca="1" si="158"/>
        <v>476</v>
      </c>
      <c r="AD145" s="1">
        <f t="shared" ca="1" si="159"/>
        <v>1.0984449419402138E-3</v>
      </c>
      <c r="AE145" s="1"/>
      <c r="AF145" s="1">
        <f t="shared" ca="1" si="160"/>
        <v>0.21716193979160972</v>
      </c>
      <c r="AG145" s="1">
        <f t="shared" ca="1" si="161"/>
        <v>665</v>
      </c>
      <c r="AH145" s="1">
        <f t="shared" ca="1" si="162"/>
        <v>4.5207426348315713E-3</v>
      </c>
      <c r="AJ145" s="1">
        <f t="shared" ca="1" si="163"/>
        <v>0.74455118147291033</v>
      </c>
      <c r="AK145" s="1">
        <f t="shared" ca="1" si="164"/>
        <v>7.4047004347206737E-3</v>
      </c>
      <c r="AL145" s="1"/>
      <c r="AM145" s="1">
        <f t="shared" ca="1" si="165"/>
        <v>0.10720006749454876</v>
      </c>
      <c r="AN145" s="1">
        <f t="shared" ca="1" si="166"/>
        <v>14</v>
      </c>
      <c r="AO145" s="1">
        <f t="shared" ca="1" si="167"/>
        <v>16</v>
      </c>
      <c r="AQ145" s="1">
        <f t="shared" ca="1" si="168"/>
        <v>152</v>
      </c>
      <c r="AR145" s="1">
        <f t="shared" ca="1" si="169"/>
        <v>9</v>
      </c>
      <c r="AS145" s="1">
        <f t="shared" ca="1" si="170"/>
        <v>100</v>
      </c>
      <c r="AU145" s="1">
        <f t="shared" ca="1" si="171"/>
        <v>344</v>
      </c>
      <c r="AV145" s="1">
        <f t="shared" ca="1" si="172"/>
        <v>2</v>
      </c>
      <c r="AW145" s="1">
        <f t="shared" ca="1" si="173"/>
        <v>7.0567462850604057E-2</v>
      </c>
      <c r="AY145" s="1">
        <f t="shared" ca="1" si="174"/>
        <v>1.7750153901321784</v>
      </c>
      <c r="AZ145" s="1">
        <f t="shared" ca="1" si="175"/>
        <v>370</v>
      </c>
      <c r="BA145" s="1">
        <f t="shared" ca="1" si="176"/>
        <v>9.6407290415092568E-3</v>
      </c>
      <c r="BG145" s="1">
        <f t="shared" ca="1" si="177"/>
        <v>0.21983052353641691</v>
      </c>
      <c r="BH145" s="1">
        <f t="shared" ca="1" si="178"/>
        <v>0.2440988756070176</v>
      </c>
      <c r="BI145" s="1">
        <f t="shared" ca="1" si="179"/>
        <v>717</v>
      </c>
      <c r="BV145" s="1">
        <f t="shared" ca="1" si="180"/>
        <v>0.54575744289641892</v>
      </c>
      <c r="BW145" s="1">
        <f t="shared" ca="1" si="181"/>
        <v>211</v>
      </c>
      <c r="BX145" s="1">
        <f t="shared" ca="1" si="182"/>
        <v>4.3539287822209087E-3</v>
      </c>
      <c r="BY145" s="1">
        <f t="shared" ca="1" si="183"/>
        <v>4.9478533590605264E-2</v>
      </c>
      <c r="BZ145" s="1">
        <f t="shared" ca="1" si="184"/>
        <v>0.45656358215237824</v>
      </c>
      <c r="CB145" s="1">
        <f t="shared" ca="1" si="185"/>
        <v>117</v>
      </c>
      <c r="CC145" s="1">
        <f t="shared" ca="1" si="186"/>
        <v>12</v>
      </c>
      <c r="CD145" s="1">
        <f t="shared" ca="1" si="187"/>
        <v>0.29664353595831461</v>
      </c>
      <c r="CE145" s="1">
        <f t="shared" ca="1" si="188"/>
        <v>0.92743660060372879</v>
      </c>
      <c r="CF145" s="1">
        <f t="shared" ca="1" si="188"/>
        <v>0.71798878548287215</v>
      </c>
      <c r="CH145" s="3">
        <f t="shared" ca="1" si="189"/>
        <v>0.14168373676254922</v>
      </c>
      <c r="CI145" s="3">
        <f t="shared" ca="1" si="190"/>
        <v>0.20325448199024065</v>
      </c>
      <c r="CJ145" s="3">
        <f t="shared" ca="1" si="191"/>
        <v>670</v>
      </c>
      <c r="CK145" s="3">
        <f t="shared" ca="1" si="192"/>
        <v>6.3823125683971629E-3</v>
      </c>
      <c r="CL145" s="3">
        <f t="shared" ca="1" si="193"/>
        <v>1</v>
      </c>
      <c r="CM145" s="3"/>
      <c r="CN145" s="1">
        <f t="shared" ca="1" si="194"/>
        <v>1.2305687525583171</v>
      </c>
      <c r="CO145" s="1">
        <f t="shared" ca="1" si="195"/>
        <v>2.2200373130250407E-2</v>
      </c>
      <c r="CP145" s="1">
        <f t="shared" ca="1" si="196"/>
        <v>4</v>
      </c>
      <c r="CV145" s="1">
        <f t="shared" ca="1" si="197"/>
        <v>2.5119885736834222</v>
      </c>
      <c r="CW145" s="1">
        <f t="shared" ca="1" si="198"/>
        <v>1058</v>
      </c>
      <c r="CX145" s="1">
        <f t="shared" ca="1" si="199"/>
        <v>5.5988335280354462E-3</v>
      </c>
      <c r="DH145" s="1">
        <f t="shared" ca="1" si="200"/>
        <v>204</v>
      </c>
      <c r="DI145" s="1">
        <f t="shared" ca="1" si="201"/>
        <v>0.4894131430857519</v>
      </c>
      <c r="DJ145" s="1">
        <f t="shared" ca="1" si="202"/>
        <v>19</v>
      </c>
      <c r="DL145" s="1">
        <f t="shared" ca="1" si="203"/>
        <v>5.5941191991332857E-2</v>
      </c>
      <c r="DM145" s="1">
        <f t="shared" ca="1" si="204"/>
        <v>168</v>
      </c>
      <c r="DN145" s="1">
        <f t="shared" ca="1" si="205"/>
        <v>8</v>
      </c>
    </row>
    <row r="146" spans="2:118" x14ac:dyDescent="0.25">
      <c r="B146">
        <f t="shared" ca="1" si="138"/>
        <v>332</v>
      </c>
      <c r="C146">
        <f t="shared" ca="1" si="139"/>
        <v>35</v>
      </c>
      <c r="D146">
        <f t="shared" ca="1" si="140"/>
        <v>0.24066270357145284</v>
      </c>
      <c r="F146" s="1">
        <f t="shared" ca="1" si="141"/>
        <v>2</v>
      </c>
      <c r="G146" s="1">
        <f t="shared" ca="1" si="142"/>
        <v>12</v>
      </c>
      <c r="H146" s="1">
        <f t="shared" ca="1" si="143"/>
        <v>5</v>
      </c>
      <c r="I146" s="1"/>
      <c r="J146" s="1">
        <f t="shared" ca="1" si="144"/>
        <v>39</v>
      </c>
      <c r="K146" s="1">
        <f t="shared" ca="1" si="145"/>
        <v>1.3095791521614593</v>
      </c>
      <c r="L146" s="1">
        <f t="shared" ca="1" si="146"/>
        <v>6</v>
      </c>
      <c r="M146" s="1"/>
      <c r="N146" s="1">
        <f t="shared" ca="1" si="147"/>
        <v>508</v>
      </c>
      <c r="O146" s="1">
        <f t="shared" ca="1" si="148"/>
        <v>2</v>
      </c>
      <c r="P146" s="1"/>
      <c r="Q146" s="1">
        <f t="shared" ca="1" si="149"/>
        <v>1.0516767846278652</v>
      </c>
      <c r="R146" s="1">
        <f t="shared" ca="1" si="150"/>
        <v>1176</v>
      </c>
      <c r="S146" s="1"/>
      <c r="T146" s="1">
        <f t="shared" ca="1" si="151"/>
        <v>9.6634415750920299E-2</v>
      </c>
      <c r="U146" s="1">
        <f t="shared" ca="1" si="152"/>
        <v>245</v>
      </c>
      <c r="V146" s="1">
        <f t="shared" ca="1" si="153"/>
        <v>33</v>
      </c>
      <c r="W146" s="1"/>
      <c r="X146" s="1">
        <f t="shared" ca="1" si="154"/>
        <v>2.683397233646041</v>
      </c>
      <c r="Y146" s="1">
        <f t="shared" ca="1" si="155"/>
        <v>0.49331274113602019</v>
      </c>
      <c r="Z146" s="1">
        <f t="shared" ca="1" si="156"/>
        <v>1252</v>
      </c>
      <c r="AB146" s="1">
        <f t="shared" ca="1" si="157"/>
        <v>0.14754930108474298</v>
      </c>
      <c r="AC146" s="1">
        <f t="shared" ca="1" si="158"/>
        <v>732</v>
      </c>
      <c r="AD146" s="1">
        <f t="shared" ca="1" si="159"/>
        <v>2.9239621073573162E-3</v>
      </c>
      <c r="AE146" s="1"/>
      <c r="AF146" s="1">
        <f t="shared" ca="1" si="160"/>
        <v>0.1655980341703919</v>
      </c>
      <c r="AG146" s="1">
        <f t="shared" ca="1" si="161"/>
        <v>647</v>
      </c>
      <c r="AH146" s="1">
        <f t="shared" ca="1" si="162"/>
        <v>5.4725449061078062E-3</v>
      </c>
      <c r="AJ146" s="1">
        <f t="shared" ca="1" si="163"/>
        <v>0.3750054493980971</v>
      </c>
      <c r="AK146" s="1">
        <f t="shared" ca="1" si="164"/>
        <v>4.3467405103020922E-3</v>
      </c>
      <c r="AL146" s="1"/>
      <c r="AM146" s="1">
        <f t="shared" ca="1" si="165"/>
        <v>0.10653195593621123</v>
      </c>
      <c r="AN146" s="1">
        <f t="shared" ca="1" si="166"/>
        <v>74</v>
      </c>
      <c r="AO146" s="1">
        <f t="shared" ca="1" si="167"/>
        <v>2</v>
      </c>
      <c r="AQ146" s="1">
        <f t="shared" ca="1" si="168"/>
        <v>101</v>
      </c>
      <c r="AR146" s="1">
        <f t="shared" ca="1" si="169"/>
        <v>8</v>
      </c>
      <c r="AS146" s="1">
        <f t="shared" ca="1" si="170"/>
        <v>26</v>
      </c>
      <c r="AU146" s="1">
        <f t="shared" ca="1" si="171"/>
        <v>265</v>
      </c>
      <c r="AV146" s="1">
        <f t="shared" ca="1" si="172"/>
        <v>3</v>
      </c>
      <c r="AW146" s="1">
        <f t="shared" ca="1" si="173"/>
        <v>7.1044364055659059E-2</v>
      </c>
      <c r="AY146" s="1">
        <f t="shared" ca="1" si="174"/>
        <v>1.5580641142654241</v>
      </c>
      <c r="AZ146" s="1">
        <f t="shared" ca="1" si="175"/>
        <v>180</v>
      </c>
      <c r="BA146" s="1">
        <f t="shared" ca="1" si="176"/>
        <v>7.1898389373809017E-3</v>
      </c>
      <c r="BG146" s="1">
        <f t="shared" ca="1" si="177"/>
        <v>0.20428293200889336</v>
      </c>
      <c r="BH146" s="1">
        <f t="shared" ca="1" si="178"/>
        <v>0.52123161727743605</v>
      </c>
      <c r="BI146" s="1">
        <f t="shared" ca="1" si="179"/>
        <v>757</v>
      </c>
      <c r="BV146" s="1">
        <f t="shared" ca="1" si="180"/>
        <v>4.0466788264799984E-2</v>
      </c>
      <c r="BW146" s="1">
        <f t="shared" ca="1" si="181"/>
        <v>473</v>
      </c>
      <c r="BX146" s="1">
        <f t="shared" ca="1" si="182"/>
        <v>1.2721517721649713E-3</v>
      </c>
      <c r="BY146" s="1">
        <f t="shared" ca="1" si="183"/>
        <v>3.3123408824861401E-2</v>
      </c>
      <c r="BZ146" s="1">
        <f t="shared" ca="1" si="184"/>
        <v>0.67245450961966791</v>
      </c>
      <c r="CB146" s="1">
        <f t="shared" ca="1" si="185"/>
        <v>67</v>
      </c>
      <c r="CC146" s="1">
        <f t="shared" ca="1" si="186"/>
        <v>4</v>
      </c>
      <c r="CD146" s="1">
        <f t="shared" ca="1" si="187"/>
        <v>6.2798938721516914E-2</v>
      </c>
      <c r="CE146" s="1">
        <f t="shared" ca="1" si="188"/>
        <v>0.93585532051635889</v>
      </c>
      <c r="CF146" s="1">
        <f t="shared" ca="1" si="188"/>
        <v>0.92566077888427212</v>
      </c>
      <c r="CH146" s="3">
        <f t="shared" ca="1" si="189"/>
        <v>0.17464198579238113</v>
      </c>
      <c r="CI146" s="3">
        <f t="shared" ca="1" si="190"/>
        <v>0.4681021159529416</v>
      </c>
      <c r="CJ146" s="3">
        <f t="shared" ca="1" si="191"/>
        <v>219</v>
      </c>
      <c r="CK146" s="3">
        <f t="shared" ca="1" si="192"/>
        <v>1.4930202701650224E-3</v>
      </c>
      <c r="CL146" s="3">
        <f t="shared" ca="1" si="193"/>
        <v>0</v>
      </c>
      <c r="CM146" s="3"/>
      <c r="CN146" s="1">
        <f t="shared" ca="1" si="194"/>
        <v>19.144693213726136</v>
      </c>
      <c r="CO146" s="1">
        <f t="shared" ca="1" si="195"/>
        <v>0.2796829428550181</v>
      </c>
      <c r="CP146" s="1">
        <f t="shared" ca="1" si="196"/>
        <v>1</v>
      </c>
      <c r="CV146" s="1">
        <f t="shared" ca="1" si="197"/>
        <v>2.2285087284102976</v>
      </c>
      <c r="CW146" s="1">
        <f t="shared" ca="1" si="198"/>
        <v>453</v>
      </c>
      <c r="CX146" s="1">
        <f t="shared" ca="1" si="199"/>
        <v>3.5121422924069756E-3</v>
      </c>
      <c r="DH146" s="1">
        <f t="shared" ca="1" si="200"/>
        <v>279</v>
      </c>
      <c r="DI146" s="1">
        <f t="shared" ca="1" si="201"/>
        <v>0.206940722054236</v>
      </c>
      <c r="DJ146" s="1">
        <f t="shared" ca="1" si="202"/>
        <v>3</v>
      </c>
      <c r="DL146" s="1">
        <f t="shared" ca="1" si="203"/>
        <v>0.11409554392694547</v>
      </c>
      <c r="DM146" s="1">
        <f t="shared" ca="1" si="204"/>
        <v>219</v>
      </c>
      <c r="DN146" s="1">
        <f t="shared" ca="1" si="205"/>
        <v>4</v>
      </c>
    </row>
    <row r="147" spans="2:118" x14ac:dyDescent="0.25">
      <c r="B147">
        <f t="shared" ca="1" si="138"/>
        <v>410</v>
      </c>
      <c r="C147">
        <f t="shared" ca="1" si="139"/>
        <v>48</v>
      </c>
      <c r="D147">
        <f t="shared" ca="1" si="140"/>
        <v>9.6106287620427597E-2</v>
      </c>
      <c r="F147" s="1">
        <f t="shared" ca="1" si="141"/>
        <v>5</v>
      </c>
      <c r="G147" s="1">
        <f t="shared" ca="1" si="142"/>
        <v>6</v>
      </c>
      <c r="H147" s="1">
        <f t="shared" ca="1" si="143"/>
        <v>15</v>
      </c>
      <c r="I147" s="1"/>
      <c r="J147" s="1">
        <f t="shared" ca="1" si="144"/>
        <v>27</v>
      </c>
      <c r="K147" s="1">
        <f t="shared" ca="1" si="145"/>
        <v>1.9346301956995275</v>
      </c>
      <c r="L147" s="1">
        <f t="shared" ca="1" si="146"/>
        <v>8</v>
      </c>
      <c r="M147" s="1"/>
      <c r="N147" s="1">
        <f t="shared" ca="1" si="147"/>
        <v>165</v>
      </c>
      <c r="O147" s="1">
        <f t="shared" ca="1" si="148"/>
        <v>32</v>
      </c>
      <c r="P147" s="1"/>
      <c r="Q147" s="1">
        <f t="shared" ca="1" si="149"/>
        <v>4.6834463516514973</v>
      </c>
      <c r="R147" s="1">
        <f t="shared" ca="1" si="150"/>
        <v>1117</v>
      </c>
      <c r="S147" s="1"/>
      <c r="T147" s="1">
        <f t="shared" ca="1" si="151"/>
        <v>0.16336455619070586</v>
      </c>
      <c r="U147" s="1">
        <f t="shared" ca="1" si="152"/>
        <v>99</v>
      </c>
      <c r="V147" s="1">
        <f t="shared" ca="1" si="153"/>
        <v>34</v>
      </c>
      <c r="W147" s="1"/>
      <c r="X147" s="1">
        <f t="shared" ca="1" si="154"/>
        <v>4.5217345258726835</v>
      </c>
      <c r="Y147" s="1">
        <f t="shared" ca="1" si="155"/>
        <v>0.85576507647058753</v>
      </c>
      <c r="Z147" s="1">
        <f t="shared" ca="1" si="156"/>
        <v>1109</v>
      </c>
      <c r="AB147" s="1">
        <f t="shared" ca="1" si="157"/>
        <v>0.98981284495633692</v>
      </c>
      <c r="AC147" s="1">
        <f t="shared" ca="1" si="158"/>
        <v>293</v>
      </c>
      <c r="AD147" s="1">
        <f t="shared" ca="1" si="159"/>
        <v>3.3435672960407201E-3</v>
      </c>
      <c r="AE147" s="1"/>
      <c r="AF147" s="1">
        <f t="shared" ca="1" si="160"/>
        <v>0.61329710183909403</v>
      </c>
      <c r="AG147" s="1">
        <f t="shared" ca="1" si="161"/>
        <v>846</v>
      </c>
      <c r="AH147" s="1">
        <f t="shared" ca="1" si="162"/>
        <v>8.4631475431877802E-3</v>
      </c>
      <c r="AJ147" s="1">
        <f t="shared" ca="1" si="163"/>
        <v>0.90657098061423957</v>
      </c>
      <c r="AK147" s="1">
        <f t="shared" ca="1" si="164"/>
        <v>2.1966123333704794E-3</v>
      </c>
      <c r="AL147" s="1"/>
      <c r="AM147" s="1">
        <f t="shared" ca="1" si="165"/>
        <v>0.12816725591779266</v>
      </c>
      <c r="AN147" s="1">
        <f t="shared" ca="1" si="166"/>
        <v>43</v>
      </c>
      <c r="AO147" s="1">
        <f t="shared" ca="1" si="167"/>
        <v>19</v>
      </c>
      <c r="AQ147" s="1">
        <f t="shared" ca="1" si="168"/>
        <v>113</v>
      </c>
      <c r="AR147" s="1">
        <f t="shared" ca="1" si="169"/>
        <v>7</v>
      </c>
      <c r="AS147" s="1">
        <f t="shared" ca="1" si="170"/>
        <v>4</v>
      </c>
      <c r="AU147" s="1">
        <f t="shared" ca="1" si="171"/>
        <v>114</v>
      </c>
      <c r="AV147" s="1">
        <f t="shared" ca="1" si="172"/>
        <v>2</v>
      </c>
      <c r="AW147" s="1">
        <f t="shared" ca="1" si="173"/>
        <v>0.10492094236600509</v>
      </c>
      <c r="AY147" s="1">
        <f t="shared" ca="1" si="174"/>
        <v>1.2889082489736194</v>
      </c>
      <c r="AZ147" s="1">
        <f t="shared" ca="1" si="175"/>
        <v>161</v>
      </c>
      <c r="BA147" s="1">
        <f t="shared" ca="1" si="176"/>
        <v>8.5942916373300347E-3</v>
      </c>
      <c r="BG147" s="1">
        <f t="shared" ca="1" si="177"/>
        <v>0.25378702389534918</v>
      </c>
      <c r="BH147" s="1">
        <f t="shared" ca="1" si="178"/>
        <v>4.6302340924835539E-2</v>
      </c>
      <c r="BI147" s="1">
        <f t="shared" ca="1" si="179"/>
        <v>160</v>
      </c>
      <c r="BV147" s="1">
        <f t="shared" ca="1" si="180"/>
        <v>0.98785444075629336</v>
      </c>
      <c r="BW147" s="1">
        <f t="shared" ca="1" si="181"/>
        <v>931</v>
      </c>
      <c r="BX147" s="1">
        <f t="shared" ca="1" si="182"/>
        <v>4.4086870886705463E-3</v>
      </c>
      <c r="BY147" s="1">
        <f t="shared" ca="1" si="183"/>
        <v>7.2051124381421777E-2</v>
      </c>
      <c r="BZ147" s="1">
        <f t="shared" ca="1" si="184"/>
        <v>7.1346247878716684E-2</v>
      </c>
      <c r="CB147" s="1">
        <f t="shared" ca="1" si="185"/>
        <v>57</v>
      </c>
      <c r="CC147" s="1">
        <f t="shared" ca="1" si="186"/>
        <v>12</v>
      </c>
      <c r="CD147" s="1">
        <f t="shared" ca="1" si="187"/>
        <v>0.10162342435294586</v>
      </c>
      <c r="CE147" s="1">
        <f t="shared" ca="1" si="188"/>
        <v>0.96042039031489079</v>
      </c>
      <c r="CF147" s="1">
        <f t="shared" ca="1" si="188"/>
        <v>0.62085784570335878</v>
      </c>
      <c r="CH147" s="3">
        <f t="shared" ca="1" si="189"/>
        <v>0.85852488013179318</v>
      </c>
      <c r="CI147" s="3">
        <f t="shared" ca="1" si="190"/>
        <v>0.82123855912118315</v>
      </c>
      <c r="CJ147" s="3">
        <f t="shared" ca="1" si="191"/>
        <v>1357</v>
      </c>
      <c r="CK147" s="3">
        <f t="shared" ca="1" si="192"/>
        <v>5.0908508992078445E-3</v>
      </c>
      <c r="CL147" s="3">
        <f t="shared" ca="1" si="193"/>
        <v>0</v>
      </c>
      <c r="CM147" s="3"/>
      <c r="CN147" s="1">
        <f t="shared" ca="1" si="194"/>
        <v>7.5728040285793909</v>
      </c>
      <c r="CO147" s="1">
        <f t="shared" ca="1" si="195"/>
        <v>0.33391235287597487</v>
      </c>
      <c r="CP147" s="1">
        <f t="shared" ca="1" si="196"/>
        <v>2</v>
      </c>
      <c r="CV147" s="1">
        <f t="shared" ca="1" si="197"/>
        <v>7.3766172914346066</v>
      </c>
      <c r="CW147" s="1">
        <f t="shared" ca="1" si="198"/>
        <v>1118</v>
      </c>
      <c r="CX147" s="1">
        <f t="shared" ca="1" si="199"/>
        <v>1.1172644951859541E-3</v>
      </c>
      <c r="DH147" s="1">
        <f t="shared" ca="1" si="200"/>
        <v>292</v>
      </c>
      <c r="DI147" s="1">
        <f t="shared" ca="1" si="201"/>
        <v>0.67954476486197035</v>
      </c>
      <c r="DJ147" s="1">
        <f t="shared" ca="1" si="202"/>
        <v>22</v>
      </c>
      <c r="DL147" s="1">
        <f t="shared" ca="1" si="203"/>
        <v>5.095646793216977E-2</v>
      </c>
      <c r="DM147" s="1">
        <f t="shared" ca="1" si="204"/>
        <v>248</v>
      </c>
      <c r="DN147" s="1">
        <f t="shared" ca="1" si="205"/>
        <v>1</v>
      </c>
    </row>
    <row r="148" spans="2:118" x14ac:dyDescent="0.25">
      <c r="B148">
        <f t="shared" ca="1" si="138"/>
        <v>216</v>
      </c>
      <c r="C148">
        <f t="shared" ca="1" si="139"/>
        <v>34</v>
      </c>
      <c r="D148">
        <f t="shared" ca="1" si="140"/>
        <v>0.21747656748224464</v>
      </c>
      <c r="F148" s="1">
        <f t="shared" ca="1" si="141"/>
        <v>51</v>
      </c>
      <c r="G148" s="1">
        <f t="shared" ca="1" si="142"/>
        <v>2</v>
      </c>
      <c r="H148" s="1">
        <f t="shared" ca="1" si="143"/>
        <v>9</v>
      </c>
      <c r="I148" s="1"/>
      <c r="J148" s="1">
        <f t="shared" ca="1" si="144"/>
        <v>22</v>
      </c>
      <c r="K148" s="1">
        <f t="shared" ca="1" si="145"/>
        <v>1.6665897992485907</v>
      </c>
      <c r="L148" s="1">
        <f t="shared" ca="1" si="146"/>
        <v>27</v>
      </c>
      <c r="M148" s="1"/>
      <c r="N148" s="1">
        <f t="shared" ca="1" si="147"/>
        <v>436</v>
      </c>
      <c r="O148" s="1">
        <f t="shared" ca="1" si="148"/>
        <v>29</v>
      </c>
      <c r="P148" s="1"/>
      <c r="Q148" s="1">
        <f t="shared" ca="1" si="149"/>
        <v>1.1753798597693763</v>
      </c>
      <c r="R148" s="1">
        <f t="shared" ca="1" si="150"/>
        <v>515</v>
      </c>
      <c r="S148" s="1"/>
      <c r="T148" s="1">
        <f t="shared" ca="1" si="151"/>
        <v>3.1124614305033674E-2</v>
      </c>
      <c r="U148" s="1">
        <f t="shared" ca="1" si="152"/>
        <v>149</v>
      </c>
      <c r="V148" s="1">
        <f t="shared" ca="1" si="153"/>
        <v>6</v>
      </c>
      <c r="W148" s="1"/>
      <c r="X148" s="1">
        <f t="shared" ca="1" si="154"/>
        <v>9.4621295785726058</v>
      </c>
      <c r="Y148" s="1">
        <f t="shared" ca="1" si="155"/>
        <v>0.68613367699287919</v>
      </c>
      <c r="Z148" s="1">
        <f t="shared" ca="1" si="156"/>
        <v>187</v>
      </c>
      <c r="AB148" s="1">
        <f t="shared" ca="1" si="157"/>
        <v>0.34014859599919328</v>
      </c>
      <c r="AC148" s="1">
        <f t="shared" ca="1" si="158"/>
        <v>270</v>
      </c>
      <c r="AD148" s="1">
        <f t="shared" ca="1" si="159"/>
        <v>9.5924657832378267E-3</v>
      </c>
      <c r="AE148" s="1"/>
      <c r="AF148" s="1">
        <f t="shared" ca="1" si="160"/>
        <v>0.40516175332241999</v>
      </c>
      <c r="AG148" s="1">
        <f t="shared" ca="1" si="161"/>
        <v>551</v>
      </c>
      <c r="AH148" s="1">
        <f t="shared" ca="1" si="162"/>
        <v>2.7442489730307024E-3</v>
      </c>
      <c r="AJ148" s="1">
        <f t="shared" ca="1" si="163"/>
        <v>0.10079888721935659</v>
      </c>
      <c r="AK148" s="1">
        <f t="shared" ca="1" si="164"/>
        <v>9.7559812569314678E-3</v>
      </c>
      <c r="AL148" s="1"/>
      <c r="AM148" s="1">
        <f t="shared" ca="1" si="165"/>
        <v>8.3202248876739909E-2</v>
      </c>
      <c r="AN148" s="1">
        <f t="shared" ca="1" si="166"/>
        <v>41</v>
      </c>
      <c r="AO148" s="1">
        <f t="shared" ca="1" si="167"/>
        <v>18</v>
      </c>
      <c r="AQ148" s="1">
        <f t="shared" ca="1" si="168"/>
        <v>78</v>
      </c>
      <c r="AR148" s="1">
        <f t="shared" ca="1" si="169"/>
        <v>10</v>
      </c>
      <c r="AS148" s="1">
        <f t="shared" ca="1" si="170"/>
        <v>59</v>
      </c>
      <c r="AU148" s="1">
        <f t="shared" ca="1" si="171"/>
        <v>174</v>
      </c>
      <c r="AV148" s="1">
        <f t="shared" ca="1" si="172"/>
        <v>6</v>
      </c>
      <c r="AW148" s="1">
        <f t="shared" ca="1" si="173"/>
        <v>0.17478695477132045</v>
      </c>
      <c r="AY148" s="1">
        <f t="shared" ca="1" si="174"/>
        <v>1.9094906295015681</v>
      </c>
      <c r="AZ148" s="1">
        <f t="shared" ca="1" si="175"/>
        <v>355</v>
      </c>
      <c r="BA148" s="1">
        <f t="shared" ca="1" si="176"/>
        <v>5.8351368374003412E-3</v>
      </c>
      <c r="BG148" s="1">
        <f t="shared" ca="1" si="177"/>
        <v>0.28281998411547499</v>
      </c>
      <c r="BH148" s="1">
        <f t="shared" ca="1" si="178"/>
        <v>0.57558662440702013</v>
      </c>
      <c r="BI148" s="1">
        <f t="shared" ca="1" si="179"/>
        <v>936</v>
      </c>
      <c r="BV148" s="1">
        <f t="shared" ca="1" si="180"/>
        <v>0.20635201198711867</v>
      </c>
      <c r="BW148" s="1">
        <f t="shared" ca="1" si="181"/>
        <v>151</v>
      </c>
      <c r="BX148" s="1">
        <f t="shared" ca="1" si="182"/>
        <v>8.349193842779835E-3</v>
      </c>
      <c r="BY148" s="1">
        <f t="shared" ca="1" si="183"/>
        <v>9.6045040588053632E-2</v>
      </c>
      <c r="BZ148" s="1">
        <f t="shared" ca="1" si="184"/>
        <v>0.51754935826118953</v>
      </c>
      <c r="CB148" s="1">
        <f t="shared" ca="1" si="185"/>
        <v>123</v>
      </c>
      <c r="CC148" s="1">
        <f t="shared" ca="1" si="186"/>
        <v>6</v>
      </c>
      <c r="CD148" s="1">
        <f t="shared" ca="1" si="187"/>
        <v>0.13167800738060201</v>
      </c>
      <c r="CE148" s="1">
        <f t="shared" ca="1" si="188"/>
        <v>0.53685794700532785</v>
      </c>
      <c r="CF148" s="1">
        <f t="shared" ca="1" si="188"/>
        <v>0.74228372083687355</v>
      </c>
      <c r="CH148" s="3">
        <f t="shared" ca="1" si="189"/>
        <v>0.44575048695122022</v>
      </c>
      <c r="CI148" s="3">
        <f t="shared" ca="1" si="190"/>
        <v>0.2499975902285354</v>
      </c>
      <c r="CJ148" s="3">
        <f t="shared" ca="1" si="191"/>
        <v>736</v>
      </c>
      <c r="CK148" s="3">
        <f t="shared" ca="1" si="192"/>
        <v>1.8409404453875787E-3</v>
      </c>
      <c r="CL148" s="3">
        <f t="shared" ca="1" si="193"/>
        <v>1</v>
      </c>
      <c r="CM148" s="3"/>
      <c r="CN148" s="1">
        <f t="shared" ca="1" si="194"/>
        <v>4.9022279460237081</v>
      </c>
      <c r="CO148" s="1">
        <f t="shared" ca="1" si="195"/>
        <v>0.22040223108365464</v>
      </c>
      <c r="CP148" s="1">
        <f t="shared" ca="1" si="196"/>
        <v>2</v>
      </c>
      <c r="CV148" s="1">
        <f t="shared" ca="1" si="197"/>
        <v>5.6512490254256198</v>
      </c>
      <c r="CW148" s="1">
        <f t="shared" ca="1" si="198"/>
        <v>950</v>
      </c>
      <c r="CX148" s="1">
        <f t="shared" ca="1" si="199"/>
        <v>9.5616017256713818E-3</v>
      </c>
      <c r="DH148" s="1">
        <f t="shared" ca="1" si="200"/>
        <v>660</v>
      </c>
      <c r="DI148" s="1">
        <f t="shared" ca="1" si="201"/>
        <v>0.61736250201835474</v>
      </c>
      <c r="DJ148" s="1">
        <f t="shared" ca="1" si="202"/>
        <v>15</v>
      </c>
      <c r="DL148" s="1">
        <f t="shared" ca="1" si="203"/>
        <v>0.14612011953533854</v>
      </c>
      <c r="DM148" s="1">
        <f t="shared" ca="1" si="204"/>
        <v>74</v>
      </c>
      <c r="DN148" s="1">
        <f t="shared" ca="1" si="205"/>
        <v>5</v>
      </c>
    </row>
    <row r="149" spans="2:118" x14ac:dyDescent="0.25">
      <c r="B149">
        <f t="shared" ca="1" si="138"/>
        <v>999</v>
      </c>
      <c r="C149">
        <f t="shared" ca="1" si="139"/>
        <v>21</v>
      </c>
      <c r="D149">
        <f t="shared" ca="1" si="140"/>
        <v>0.23140887890118053</v>
      </c>
      <c r="F149" s="1">
        <f t="shared" ca="1" si="141"/>
        <v>9</v>
      </c>
      <c r="G149" s="1">
        <f t="shared" ca="1" si="142"/>
        <v>18</v>
      </c>
      <c r="H149" s="1">
        <f t="shared" ca="1" si="143"/>
        <v>9</v>
      </c>
      <c r="I149" s="1"/>
      <c r="J149" s="1">
        <f t="shared" ca="1" si="144"/>
        <v>3</v>
      </c>
      <c r="K149" s="1">
        <f t="shared" ca="1" si="145"/>
        <v>2.7642874769951797</v>
      </c>
      <c r="L149" s="1">
        <f t="shared" ca="1" si="146"/>
        <v>26</v>
      </c>
      <c r="M149" s="1"/>
      <c r="N149" s="1">
        <f t="shared" ca="1" si="147"/>
        <v>994</v>
      </c>
      <c r="O149" s="1">
        <f t="shared" ca="1" si="148"/>
        <v>19</v>
      </c>
      <c r="P149" s="1"/>
      <c r="Q149" s="1">
        <f t="shared" ca="1" si="149"/>
        <v>1.9739945757161268</v>
      </c>
      <c r="R149" s="1">
        <f t="shared" ca="1" si="150"/>
        <v>409</v>
      </c>
      <c r="S149" s="1"/>
      <c r="T149" s="1">
        <f t="shared" ca="1" si="151"/>
        <v>0.17172541870472224</v>
      </c>
      <c r="U149" s="1">
        <f t="shared" ca="1" si="152"/>
        <v>201</v>
      </c>
      <c r="V149" s="1">
        <f t="shared" ca="1" si="153"/>
        <v>34</v>
      </c>
      <c r="W149" s="1"/>
      <c r="X149" s="1">
        <f t="shared" ca="1" si="154"/>
        <v>9.5518405614662871</v>
      </c>
      <c r="Y149" s="1">
        <f t="shared" ca="1" si="155"/>
        <v>0.81917750193041783</v>
      </c>
      <c r="Z149" s="1">
        <f t="shared" ca="1" si="156"/>
        <v>175</v>
      </c>
      <c r="AB149" s="1">
        <f t="shared" ca="1" si="157"/>
        <v>0.99554953505154919</v>
      </c>
      <c r="AC149" s="1">
        <f t="shared" ca="1" si="158"/>
        <v>877</v>
      </c>
      <c r="AD149" s="1">
        <f t="shared" ca="1" si="159"/>
        <v>2.2033470052752087E-3</v>
      </c>
      <c r="AE149" s="1"/>
      <c r="AF149" s="1">
        <f t="shared" ca="1" si="160"/>
        <v>0.31929818805576127</v>
      </c>
      <c r="AG149" s="1">
        <f t="shared" ca="1" si="161"/>
        <v>559</v>
      </c>
      <c r="AH149" s="1">
        <f t="shared" ca="1" si="162"/>
        <v>6.3813211431001183E-3</v>
      </c>
      <c r="AJ149" s="1">
        <f t="shared" ca="1" si="163"/>
        <v>0.23623140178702506</v>
      </c>
      <c r="AK149" s="1">
        <f t="shared" ca="1" si="164"/>
        <v>7.6952550217289492E-3</v>
      </c>
      <c r="AL149" s="1"/>
      <c r="AM149" s="1">
        <f t="shared" ca="1" si="165"/>
        <v>0.17236067299791585</v>
      </c>
      <c r="AN149" s="1">
        <f t="shared" ca="1" si="166"/>
        <v>46</v>
      </c>
      <c r="AO149" s="1">
        <f t="shared" ca="1" si="167"/>
        <v>4</v>
      </c>
      <c r="AQ149" s="1">
        <f t="shared" ca="1" si="168"/>
        <v>12</v>
      </c>
      <c r="AR149" s="1">
        <f t="shared" ca="1" si="169"/>
        <v>4</v>
      </c>
      <c r="AS149" s="1">
        <f t="shared" ca="1" si="170"/>
        <v>40</v>
      </c>
      <c r="AU149" s="1">
        <f t="shared" ca="1" si="171"/>
        <v>235</v>
      </c>
      <c r="AV149" s="1">
        <f t="shared" ca="1" si="172"/>
        <v>8</v>
      </c>
      <c r="AW149" s="1">
        <f t="shared" ca="1" si="173"/>
        <v>2.5213410935108191E-2</v>
      </c>
      <c r="AY149" s="1">
        <f t="shared" ca="1" si="174"/>
        <v>1.4567596243288188</v>
      </c>
      <c r="AZ149" s="1">
        <f t="shared" ca="1" si="175"/>
        <v>186</v>
      </c>
      <c r="BA149" s="1">
        <f t="shared" ca="1" si="176"/>
        <v>6.0770831354618748E-3</v>
      </c>
      <c r="BG149" s="1">
        <f t="shared" ca="1" si="177"/>
        <v>0.97267823482340954</v>
      </c>
      <c r="BH149" s="1">
        <f t="shared" ca="1" si="178"/>
        <v>0.53074776955943748</v>
      </c>
      <c r="BI149" s="1">
        <f t="shared" ca="1" si="179"/>
        <v>428</v>
      </c>
      <c r="BV149" s="1">
        <f t="shared" ca="1" si="180"/>
        <v>0.97087062000092061</v>
      </c>
      <c r="BW149" s="1">
        <f t="shared" ca="1" si="181"/>
        <v>265</v>
      </c>
      <c r="BX149" s="1">
        <f t="shared" ca="1" si="182"/>
        <v>1.150228942197829E-3</v>
      </c>
      <c r="BY149" s="1">
        <f t="shared" ca="1" si="183"/>
        <v>6.8538533462752932E-3</v>
      </c>
      <c r="BZ149" s="1">
        <f t="shared" ca="1" si="184"/>
        <v>0.52192911443080348</v>
      </c>
      <c r="CB149" s="1">
        <f t="shared" ca="1" si="185"/>
        <v>133</v>
      </c>
      <c r="CC149" s="1">
        <f t="shared" ca="1" si="186"/>
        <v>15</v>
      </c>
      <c r="CD149" s="1">
        <f t="shared" ca="1" si="187"/>
        <v>7.6887813847089079E-2</v>
      </c>
      <c r="CE149" s="1">
        <f t="shared" ca="1" si="188"/>
        <v>0.70980472607032796</v>
      </c>
      <c r="CF149" s="1">
        <f t="shared" ca="1" si="188"/>
        <v>0.90891766293591514</v>
      </c>
      <c r="CH149" s="3">
        <f t="shared" ca="1" si="189"/>
        <v>0.6466486252204835</v>
      </c>
      <c r="CI149" s="3">
        <f t="shared" ca="1" si="190"/>
        <v>0.7950215254987647</v>
      </c>
      <c r="CJ149" s="3">
        <f t="shared" ca="1" si="191"/>
        <v>1503</v>
      </c>
      <c r="CK149" s="3">
        <f t="shared" ca="1" si="192"/>
        <v>6.6264852186346233E-4</v>
      </c>
      <c r="CL149" s="3">
        <f t="shared" ca="1" si="193"/>
        <v>0</v>
      </c>
      <c r="CM149" s="3"/>
      <c r="CN149" s="1">
        <f t="shared" ca="1" si="194"/>
        <v>19.129093745334259</v>
      </c>
      <c r="CO149" s="1">
        <f t="shared" ca="1" si="195"/>
        <v>0.16893447493909339</v>
      </c>
      <c r="CP149" s="1">
        <f t="shared" ca="1" si="196"/>
        <v>5</v>
      </c>
      <c r="CV149" s="1">
        <f t="shared" ca="1" si="197"/>
        <v>1.8901076182548109</v>
      </c>
      <c r="CW149" s="1">
        <f t="shared" ca="1" si="198"/>
        <v>255</v>
      </c>
      <c r="CX149" s="1">
        <f t="shared" ca="1" si="199"/>
        <v>8.3140678424033221E-3</v>
      </c>
      <c r="DH149" s="1">
        <f t="shared" ca="1" si="200"/>
        <v>11</v>
      </c>
      <c r="DI149" s="1">
        <f t="shared" ca="1" si="201"/>
        <v>9.4348848019776207E-3</v>
      </c>
      <c r="DJ149" s="1">
        <f t="shared" ca="1" si="202"/>
        <v>24</v>
      </c>
      <c r="DL149" s="1">
        <f t="shared" ca="1" si="203"/>
        <v>0.19552885793342106</v>
      </c>
      <c r="DM149" s="1">
        <f t="shared" ca="1" si="204"/>
        <v>73</v>
      </c>
      <c r="DN149" s="1">
        <f t="shared" ca="1" si="205"/>
        <v>2</v>
      </c>
    </row>
    <row r="150" spans="2:118" x14ac:dyDescent="0.25">
      <c r="B150">
        <f t="shared" ca="1" si="138"/>
        <v>764</v>
      </c>
      <c r="C150">
        <f t="shared" ca="1" si="139"/>
        <v>43</v>
      </c>
      <c r="D150">
        <f t="shared" ca="1" si="140"/>
        <v>5.6846506159818851E-2</v>
      </c>
      <c r="F150" s="1">
        <f t="shared" ca="1" si="141"/>
        <v>18</v>
      </c>
      <c r="G150" s="1">
        <f t="shared" ca="1" si="142"/>
        <v>12</v>
      </c>
      <c r="H150" s="1">
        <f t="shared" ca="1" si="143"/>
        <v>10</v>
      </c>
      <c r="I150" s="1"/>
      <c r="J150" s="1">
        <f t="shared" ca="1" si="144"/>
        <v>20</v>
      </c>
      <c r="K150" s="1">
        <f t="shared" ca="1" si="145"/>
        <v>2.1079080786762296</v>
      </c>
      <c r="L150" s="1">
        <f t="shared" ca="1" si="146"/>
        <v>7</v>
      </c>
      <c r="M150" s="1"/>
      <c r="N150" s="1">
        <f t="shared" ca="1" si="147"/>
        <v>136</v>
      </c>
      <c r="O150" s="1">
        <f t="shared" ca="1" si="148"/>
        <v>21</v>
      </c>
      <c r="P150" s="1"/>
      <c r="Q150" s="1">
        <f t="shared" ca="1" si="149"/>
        <v>4.0454816002714624</v>
      </c>
      <c r="R150" s="1">
        <f t="shared" ca="1" si="150"/>
        <v>426</v>
      </c>
      <c r="S150" s="1"/>
      <c r="T150" s="1">
        <f t="shared" ca="1" si="151"/>
        <v>0.1244072181991679</v>
      </c>
      <c r="U150" s="1">
        <f t="shared" ca="1" si="152"/>
        <v>83</v>
      </c>
      <c r="V150" s="1">
        <f t="shared" ca="1" si="153"/>
        <v>5</v>
      </c>
      <c r="W150" s="1"/>
      <c r="X150" s="1">
        <f t="shared" ca="1" si="154"/>
        <v>7.8861888735170229</v>
      </c>
      <c r="Y150" s="1">
        <f t="shared" ca="1" si="155"/>
        <v>0.98528942561664945</v>
      </c>
      <c r="Z150" s="1">
        <f t="shared" ca="1" si="156"/>
        <v>461</v>
      </c>
      <c r="AB150" s="1">
        <f t="shared" ca="1" si="157"/>
        <v>0.4494161088259388</v>
      </c>
      <c r="AC150" s="1">
        <f t="shared" ca="1" si="158"/>
        <v>809</v>
      </c>
      <c r="AD150" s="1">
        <f t="shared" ca="1" si="159"/>
        <v>7.9580716818714134E-4</v>
      </c>
      <c r="AE150" s="1"/>
      <c r="AF150" s="1">
        <f t="shared" ca="1" si="160"/>
        <v>0.86042506970590749</v>
      </c>
      <c r="AG150" s="1">
        <f t="shared" ca="1" si="161"/>
        <v>466</v>
      </c>
      <c r="AH150" s="1">
        <f t="shared" ca="1" si="162"/>
        <v>7.0167021553611863E-3</v>
      </c>
      <c r="AJ150" s="1">
        <f t="shared" ca="1" si="163"/>
        <v>0.91352147310729814</v>
      </c>
      <c r="AK150" s="1">
        <f t="shared" ca="1" si="164"/>
        <v>3.1428845774426383E-3</v>
      </c>
      <c r="AL150" s="1"/>
      <c r="AM150" s="1">
        <f t="shared" ca="1" si="165"/>
        <v>0.17329976481117021</v>
      </c>
      <c r="AN150" s="1">
        <f t="shared" ca="1" si="166"/>
        <v>34</v>
      </c>
      <c r="AO150" s="1">
        <f t="shared" ca="1" si="167"/>
        <v>14</v>
      </c>
      <c r="AQ150" s="1">
        <f t="shared" ca="1" si="168"/>
        <v>186</v>
      </c>
      <c r="AR150" s="1">
        <f t="shared" ca="1" si="169"/>
        <v>8</v>
      </c>
      <c r="AS150" s="1">
        <f t="shared" ca="1" si="170"/>
        <v>48</v>
      </c>
      <c r="AU150" s="1">
        <f t="shared" ca="1" si="171"/>
        <v>132</v>
      </c>
      <c r="AV150" s="1">
        <f t="shared" ca="1" si="172"/>
        <v>5</v>
      </c>
      <c r="AW150" s="1">
        <f t="shared" ca="1" si="173"/>
        <v>1.4585593176940333E-2</v>
      </c>
      <c r="AY150" s="1">
        <f t="shared" ca="1" si="174"/>
        <v>1.7683183717605793</v>
      </c>
      <c r="AZ150" s="1">
        <f t="shared" ca="1" si="175"/>
        <v>484</v>
      </c>
      <c r="BA150" s="1">
        <f t="shared" ca="1" si="176"/>
        <v>2.7792510709837479E-3</v>
      </c>
      <c r="BG150" s="1">
        <f t="shared" ca="1" si="177"/>
        <v>2.6161988265321241E-2</v>
      </c>
      <c r="BH150" s="1">
        <f t="shared" ca="1" si="178"/>
        <v>0.20738391319413974</v>
      </c>
      <c r="BI150" s="1">
        <f t="shared" ca="1" si="179"/>
        <v>892</v>
      </c>
      <c r="BV150" s="1">
        <f t="shared" ca="1" si="180"/>
        <v>6.8637430805412014E-2</v>
      </c>
      <c r="BW150" s="1">
        <f t="shared" ca="1" si="181"/>
        <v>869</v>
      </c>
      <c r="BX150" s="1">
        <f t="shared" ca="1" si="182"/>
        <v>2.212940103035182E-3</v>
      </c>
      <c r="BY150" s="1">
        <f t="shared" ca="1" si="183"/>
        <v>4.6761581178747444E-2</v>
      </c>
      <c r="BZ150" s="1">
        <f t="shared" ca="1" si="184"/>
        <v>0.30369481804706466</v>
      </c>
      <c r="CB150" s="1">
        <f t="shared" ca="1" si="185"/>
        <v>396</v>
      </c>
      <c r="CC150" s="1">
        <f t="shared" ca="1" si="186"/>
        <v>13</v>
      </c>
      <c r="CD150" s="1">
        <f t="shared" ca="1" si="187"/>
        <v>0.26593298226486634</v>
      </c>
      <c r="CE150" s="1">
        <f t="shared" ca="1" si="188"/>
        <v>0.81587282907128422</v>
      </c>
      <c r="CF150" s="1">
        <f t="shared" ca="1" si="188"/>
        <v>0.92101137254206733</v>
      </c>
      <c r="CH150" s="3">
        <f t="shared" ca="1" si="189"/>
        <v>0.28654491339540228</v>
      </c>
      <c r="CI150" s="3">
        <f t="shared" ca="1" si="190"/>
        <v>0.75592185579981597</v>
      </c>
      <c r="CJ150" s="3">
        <f t="shared" ca="1" si="191"/>
        <v>1491</v>
      </c>
      <c r="CK150" s="3">
        <f t="shared" ca="1" si="192"/>
        <v>8.4882615293485255E-3</v>
      </c>
      <c r="CL150" s="3">
        <f t="shared" ca="1" si="193"/>
        <v>0</v>
      </c>
      <c r="CM150" s="3"/>
      <c r="CN150" s="1">
        <f t="shared" ca="1" si="194"/>
        <v>18.469505969379561</v>
      </c>
      <c r="CO150" s="1">
        <f t="shared" ca="1" si="195"/>
        <v>0.43954676315237218</v>
      </c>
      <c r="CP150" s="1">
        <f t="shared" ca="1" si="196"/>
        <v>1</v>
      </c>
      <c r="CV150" s="1">
        <f t="shared" ca="1" si="197"/>
        <v>6.6154289201517393</v>
      </c>
      <c r="CW150" s="1">
        <f t="shared" ca="1" si="198"/>
        <v>1421</v>
      </c>
      <c r="CX150" s="1">
        <f t="shared" ca="1" si="199"/>
        <v>9.0445533650956936E-3</v>
      </c>
      <c r="DH150" s="1">
        <f t="shared" ca="1" si="200"/>
        <v>42</v>
      </c>
      <c r="DI150" s="1">
        <f t="shared" ca="1" si="201"/>
        <v>2.2872078504962944E-3</v>
      </c>
      <c r="DJ150" s="1">
        <f t="shared" ca="1" si="202"/>
        <v>15</v>
      </c>
      <c r="DL150" s="1">
        <f t="shared" ca="1" si="203"/>
        <v>0.17768930624297119</v>
      </c>
      <c r="DM150" s="1">
        <f t="shared" ca="1" si="204"/>
        <v>70</v>
      </c>
      <c r="DN150" s="1">
        <f t="shared" ca="1" si="205"/>
        <v>4</v>
      </c>
    </row>
    <row r="151" spans="2:118" x14ac:dyDescent="0.25">
      <c r="B151">
        <f t="shared" ca="1" si="138"/>
        <v>71</v>
      </c>
      <c r="C151">
        <f t="shared" ca="1" si="139"/>
        <v>40</v>
      </c>
      <c r="D151">
        <f t="shared" ca="1" si="140"/>
        <v>0.20871628705787584</v>
      </c>
      <c r="F151" s="1">
        <f t="shared" ca="1" si="141"/>
        <v>51</v>
      </c>
      <c r="G151" s="1">
        <f t="shared" ca="1" si="142"/>
        <v>30</v>
      </c>
      <c r="H151" s="1">
        <f t="shared" ca="1" si="143"/>
        <v>10</v>
      </c>
      <c r="I151" s="1"/>
      <c r="J151" s="1">
        <f t="shared" ca="1" si="144"/>
        <v>13</v>
      </c>
      <c r="K151" s="1">
        <f t="shared" ca="1" si="145"/>
        <v>2.2874135617173583</v>
      </c>
      <c r="L151" s="1">
        <f t="shared" ca="1" si="146"/>
        <v>27</v>
      </c>
      <c r="M151" s="1"/>
      <c r="N151" s="1">
        <f t="shared" ca="1" si="147"/>
        <v>684</v>
      </c>
      <c r="O151" s="1">
        <f t="shared" ca="1" si="148"/>
        <v>45</v>
      </c>
      <c r="P151" s="1"/>
      <c r="Q151" s="1">
        <f t="shared" ca="1" si="149"/>
        <v>1.8208429099990528</v>
      </c>
      <c r="R151" s="1">
        <f t="shared" ca="1" si="150"/>
        <v>922</v>
      </c>
      <c r="S151" s="1"/>
      <c r="T151" s="1">
        <f t="shared" ca="1" si="151"/>
        <v>5.3932488923998843E-2</v>
      </c>
      <c r="U151" s="1">
        <f t="shared" ca="1" si="152"/>
        <v>198</v>
      </c>
      <c r="V151" s="1">
        <f t="shared" ca="1" si="153"/>
        <v>4</v>
      </c>
      <c r="W151" s="1"/>
      <c r="X151" s="1">
        <f t="shared" ca="1" si="154"/>
        <v>7.6294804781035275</v>
      </c>
      <c r="Y151" s="1">
        <f t="shared" ca="1" si="155"/>
        <v>0.40673733176086874</v>
      </c>
      <c r="Z151" s="1">
        <f t="shared" ca="1" si="156"/>
        <v>1455</v>
      </c>
      <c r="AB151" s="1">
        <f t="shared" ca="1" si="157"/>
        <v>5.4492867257948364E-2</v>
      </c>
      <c r="AC151" s="1">
        <f t="shared" ca="1" si="158"/>
        <v>916</v>
      </c>
      <c r="AD151" s="1">
        <f t="shared" ca="1" si="159"/>
        <v>5.136467622496736E-3</v>
      </c>
      <c r="AE151" s="1"/>
      <c r="AF151" s="1">
        <f t="shared" ca="1" si="160"/>
        <v>0.49264999370360918</v>
      </c>
      <c r="AG151" s="1">
        <f t="shared" ca="1" si="161"/>
        <v>446</v>
      </c>
      <c r="AH151" s="1">
        <f t="shared" ca="1" si="162"/>
        <v>1.2858756462862419E-3</v>
      </c>
      <c r="AJ151" s="1">
        <f t="shared" ca="1" si="163"/>
        <v>0.46026161456849479</v>
      </c>
      <c r="AK151" s="1">
        <f t="shared" ca="1" si="164"/>
        <v>6.8686995263317991E-4</v>
      </c>
      <c r="AL151" s="1"/>
      <c r="AM151" s="1">
        <f t="shared" ca="1" si="165"/>
        <v>4.4555404545008531E-2</v>
      </c>
      <c r="AN151" s="1">
        <f t="shared" ca="1" si="166"/>
        <v>71</v>
      </c>
      <c r="AO151" s="1">
        <f t="shared" ca="1" si="167"/>
        <v>16</v>
      </c>
      <c r="AQ151" s="1">
        <f t="shared" ca="1" si="168"/>
        <v>198</v>
      </c>
      <c r="AR151" s="1">
        <f t="shared" ca="1" si="169"/>
        <v>8</v>
      </c>
      <c r="AS151" s="1">
        <f t="shared" ca="1" si="170"/>
        <v>9</v>
      </c>
      <c r="AU151" s="1">
        <f t="shared" ca="1" si="171"/>
        <v>259</v>
      </c>
      <c r="AV151" s="1">
        <f t="shared" ca="1" si="172"/>
        <v>10</v>
      </c>
      <c r="AW151" s="1">
        <f t="shared" ca="1" si="173"/>
        <v>2.2791096515713642E-2</v>
      </c>
      <c r="AY151" s="1">
        <f t="shared" ca="1" si="174"/>
        <v>1.9537664533313743</v>
      </c>
      <c r="AZ151" s="1">
        <f t="shared" ca="1" si="175"/>
        <v>305</v>
      </c>
      <c r="BA151" s="1">
        <f t="shared" ca="1" si="176"/>
        <v>7.2487330187016447E-3</v>
      </c>
      <c r="BG151" s="1">
        <f t="shared" ca="1" si="177"/>
        <v>0.76004646047640612</v>
      </c>
      <c r="BH151" s="1">
        <f t="shared" ca="1" si="178"/>
        <v>0.92245186511999044</v>
      </c>
      <c r="BI151" s="1">
        <f t="shared" ca="1" si="179"/>
        <v>565</v>
      </c>
      <c r="BV151" s="1">
        <f t="shared" ca="1" si="180"/>
        <v>8.8058123869909778E-4</v>
      </c>
      <c r="BW151" s="1">
        <f t="shared" ca="1" si="181"/>
        <v>448</v>
      </c>
      <c r="BX151" s="1">
        <f t="shared" ca="1" si="182"/>
        <v>3.8345762404683736E-3</v>
      </c>
      <c r="BY151" s="1">
        <f t="shared" ca="1" si="183"/>
        <v>7.1371747741849581E-2</v>
      </c>
      <c r="BZ151" s="1">
        <f t="shared" ca="1" si="184"/>
        <v>0.73197999660093094</v>
      </c>
      <c r="CB151" s="1">
        <f t="shared" ca="1" si="185"/>
        <v>52</v>
      </c>
      <c r="CC151" s="1">
        <f t="shared" ca="1" si="186"/>
        <v>6</v>
      </c>
      <c r="CD151" s="1">
        <f t="shared" ca="1" si="187"/>
        <v>0.178907031217446</v>
      </c>
      <c r="CE151" s="1">
        <f t="shared" ca="1" si="188"/>
        <v>0.94297390482841448</v>
      </c>
      <c r="CF151" s="1">
        <f t="shared" ca="1" si="188"/>
        <v>0.73068212683565625</v>
      </c>
      <c r="CH151" s="3">
        <f t="shared" ca="1" si="189"/>
        <v>0.45751655343456932</v>
      </c>
      <c r="CI151" s="3">
        <f t="shared" ca="1" si="190"/>
        <v>0.81893451997192535</v>
      </c>
      <c r="CJ151" s="3">
        <f t="shared" ca="1" si="191"/>
        <v>1359</v>
      </c>
      <c r="CK151" s="3">
        <f t="shared" ca="1" si="192"/>
        <v>7.6048641106944816E-3</v>
      </c>
      <c r="CL151" s="3">
        <f t="shared" ca="1" si="193"/>
        <v>1</v>
      </c>
      <c r="CM151" s="3"/>
      <c r="CN151" s="1">
        <f t="shared" ca="1" si="194"/>
        <v>2.0612691809474248</v>
      </c>
      <c r="CO151" s="1">
        <f t="shared" ca="1" si="195"/>
        <v>0.20041173872524026</v>
      </c>
      <c r="CP151" s="1">
        <f t="shared" ca="1" si="196"/>
        <v>1</v>
      </c>
      <c r="CV151" s="1">
        <f t="shared" ca="1" si="197"/>
        <v>3.9605965843279161</v>
      </c>
      <c r="CW151" s="1">
        <f t="shared" ca="1" si="198"/>
        <v>460</v>
      </c>
      <c r="CX151" s="1">
        <f t="shared" ca="1" si="199"/>
        <v>9.3432945820113508E-3</v>
      </c>
      <c r="DH151" s="1">
        <f t="shared" ca="1" si="200"/>
        <v>271</v>
      </c>
      <c r="DI151" s="1">
        <f t="shared" ca="1" si="201"/>
        <v>0.5163476953690932</v>
      </c>
      <c r="DJ151" s="1">
        <f t="shared" ca="1" si="202"/>
        <v>27</v>
      </c>
      <c r="DL151" s="1">
        <f t="shared" ca="1" si="203"/>
        <v>0.19866917167472231</v>
      </c>
      <c r="DM151" s="1">
        <f t="shared" ca="1" si="204"/>
        <v>236</v>
      </c>
      <c r="DN151" s="1">
        <f t="shared" ca="1" si="205"/>
        <v>10</v>
      </c>
    </row>
    <row r="152" spans="2:118" x14ac:dyDescent="0.25">
      <c r="B152">
        <f t="shared" ca="1" si="138"/>
        <v>289</v>
      </c>
      <c r="C152">
        <f t="shared" ca="1" si="139"/>
        <v>14</v>
      </c>
      <c r="D152">
        <f t="shared" ca="1" si="140"/>
        <v>0.1969232423267098</v>
      </c>
      <c r="F152" s="1">
        <f t="shared" ca="1" si="141"/>
        <v>46</v>
      </c>
      <c r="G152" s="1">
        <f t="shared" ca="1" si="142"/>
        <v>19</v>
      </c>
      <c r="H152" s="1">
        <f t="shared" ca="1" si="143"/>
        <v>9</v>
      </c>
      <c r="I152" s="1"/>
      <c r="J152" s="1">
        <f t="shared" ca="1" si="144"/>
        <v>23</v>
      </c>
      <c r="K152" s="1">
        <f t="shared" ca="1" si="145"/>
        <v>1.5245756706567255</v>
      </c>
      <c r="L152" s="1">
        <f t="shared" ca="1" si="146"/>
        <v>26</v>
      </c>
      <c r="M152" s="1"/>
      <c r="N152" s="1">
        <f t="shared" ca="1" si="147"/>
        <v>175</v>
      </c>
      <c r="O152" s="1">
        <f t="shared" ca="1" si="148"/>
        <v>23</v>
      </c>
      <c r="P152" s="1"/>
      <c r="Q152" s="1">
        <f t="shared" ca="1" si="149"/>
        <v>9.803034475409679E-2</v>
      </c>
      <c r="R152" s="1">
        <f t="shared" ca="1" si="150"/>
        <v>702</v>
      </c>
      <c r="S152" s="1"/>
      <c r="T152" s="1">
        <f t="shared" ca="1" si="151"/>
        <v>0.1022267347027757</v>
      </c>
      <c r="U152" s="1">
        <f t="shared" ca="1" si="152"/>
        <v>165</v>
      </c>
      <c r="V152" s="1">
        <f t="shared" ca="1" si="153"/>
        <v>22</v>
      </c>
      <c r="W152" s="1"/>
      <c r="X152" s="1">
        <f t="shared" ca="1" si="154"/>
        <v>9.7110732379231521</v>
      </c>
      <c r="Y152" s="1">
        <f t="shared" ca="1" si="155"/>
        <v>0.17903300766836003</v>
      </c>
      <c r="Z152" s="1">
        <f t="shared" ca="1" si="156"/>
        <v>982</v>
      </c>
      <c r="AB152" s="1">
        <f t="shared" ca="1" si="157"/>
        <v>0.57230053637421452</v>
      </c>
      <c r="AC152" s="1">
        <f t="shared" ca="1" si="158"/>
        <v>721</v>
      </c>
      <c r="AD152" s="1">
        <f t="shared" ca="1" si="159"/>
        <v>3.6002024940806313E-3</v>
      </c>
      <c r="AE152" s="1"/>
      <c r="AF152" s="1">
        <f t="shared" ca="1" si="160"/>
        <v>0.81146364694337547</v>
      </c>
      <c r="AG152" s="1">
        <f t="shared" ca="1" si="161"/>
        <v>617</v>
      </c>
      <c r="AH152" s="1">
        <f t="shared" ca="1" si="162"/>
        <v>6.1931481734980442E-4</v>
      </c>
      <c r="AJ152" s="1">
        <f t="shared" ca="1" si="163"/>
        <v>0.95674195679506613</v>
      </c>
      <c r="AK152" s="1">
        <f t="shared" ca="1" si="164"/>
        <v>8.5566418909474428E-3</v>
      </c>
      <c r="AL152" s="1"/>
      <c r="AM152" s="1">
        <f t="shared" ca="1" si="165"/>
        <v>0.16288073706084819</v>
      </c>
      <c r="AN152" s="1">
        <f t="shared" ca="1" si="166"/>
        <v>16</v>
      </c>
      <c r="AO152" s="1">
        <f t="shared" ca="1" si="167"/>
        <v>15</v>
      </c>
      <c r="AQ152" s="1">
        <f t="shared" ca="1" si="168"/>
        <v>175</v>
      </c>
      <c r="AR152" s="1">
        <f t="shared" ca="1" si="169"/>
        <v>5</v>
      </c>
      <c r="AS152" s="1">
        <f t="shared" ca="1" si="170"/>
        <v>51</v>
      </c>
      <c r="AU152" s="1">
        <f t="shared" ca="1" si="171"/>
        <v>163</v>
      </c>
      <c r="AV152" s="1">
        <f t="shared" ca="1" si="172"/>
        <v>9</v>
      </c>
      <c r="AW152" s="1">
        <f t="shared" ca="1" si="173"/>
        <v>2.2499945022893965E-2</v>
      </c>
      <c r="AY152" s="1">
        <f t="shared" ca="1" si="174"/>
        <v>1.7301339100917834</v>
      </c>
      <c r="AZ152" s="1">
        <f t="shared" ca="1" si="175"/>
        <v>325</v>
      </c>
      <c r="BA152" s="1">
        <f t="shared" ca="1" si="176"/>
        <v>3.1374638767572324E-3</v>
      </c>
      <c r="BG152" s="1">
        <f t="shared" ca="1" si="177"/>
        <v>0.94523688852799115</v>
      </c>
      <c r="BH152" s="1">
        <f t="shared" ca="1" si="178"/>
        <v>0.40563085996180925</v>
      </c>
      <c r="BI152" s="1">
        <f t="shared" ca="1" si="179"/>
        <v>358</v>
      </c>
      <c r="BV152" s="1">
        <f t="shared" ca="1" si="180"/>
        <v>0.27907774698939536</v>
      </c>
      <c r="BW152" s="1">
        <f t="shared" ca="1" si="181"/>
        <v>401</v>
      </c>
      <c r="BX152" s="1">
        <f t="shared" ca="1" si="182"/>
        <v>6.5943638833986977E-3</v>
      </c>
      <c r="BY152" s="1">
        <f t="shared" ca="1" si="183"/>
        <v>9.151928052266893E-2</v>
      </c>
      <c r="BZ152" s="1">
        <f t="shared" ca="1" si="184"/>
        <v>0.24781070897308233</v>
      </c>
      <c r="CB152" s="1">
        <f t="shared" ca="1" si="185"/>
        <v>191</v>
      </c>
      <c r="CC152" s="1">
        <f t="shared" ca="1" si="186"/>
        <v>3</v>
      </c>
      <c r="CD152" s="1">
        <f t="shared" ca="1" si="187"/>
        <v>0.29240984359527072</v>
      </c>
      <c r="CE152" s="1">
        <f t="shared" ca="1" si="188"/>
        <v>0.53733697155496807</v>
      </c>
      <c r="CF152" s="1">
        <f t="shared" ca="1" si="188"/>
        <v>0.88597932948163982</v>
      </c>
      <c r="CH152" s="3">
        <f t="shared" ca="1" si="189"/>
        <v>0.1358866887830639</v>
      </c>
      <c r="CI152" s="3">
        <f t="shared" ca="1" si="190"/>
        <v>0.96709453768031406</v>
      </c>
      <c r="CJ152" s="3">
        <f t="shared" ca="1" si="191"/>
        <v>1544</v>
      </c>
      <c r="CK152" s="3">
        <f t="shared" ca="1" si="192"/>
        <v>9.0925481659448922E-3</v>
      </c>
      <c r="CL152" s="3">
        <f t="shared" ca="1" si="193"/>
        <v>0</v>
      </c>
      <c r="CM152" s="3"/>
      <c r="CN152" s="1">
        <f t="shared" ca="1" si="194"/>
        <v>1.337779334265323</v>
      </c>
      <c r="CO152" s="1">
        <f t="shared" ca="1" si="195"/>
        <v>0.47250591958108284</v>
      </c>
      <c r="CP152" s="1">
        <f t="shared" ca="1" si="196"/>
        <v>3</v>
      </c>
      <c r="CV152" s="1">
        <f t="shared" ca="1" si="197"/>
        <v>0.11629154642896411</v>
      </c>
      <c r="CW152" s="1">
        <f t="shared" ca="1" si="198"/>
        <v>1251</v>
      </c>
      <c r="CX152" s="1">
        <f t="shared" ca="1" si="199"/>
        <v>8.080659466960894E-3</v>
      </c>
      <c r="DH152" s="1">
        <f t="shared" ca="1" si="200"/>
        <v>151</v>
      </c>
      <c r="DI152" s="1">
        <f t="shared" ca="1" si="201"/>
        <v>6.7266701805747023E-2</v>
      </c>
      <c r="DJ152" s="1">
        <f t="shared" ca="1" si="202"/>
        <v>15</v>
      </c>
      <c r="DL152" s="1">
        <f t="shared" ca="1" si="203"/>
        <v>2.8830712588374191E-2</v>
      </c>
      <c r="DM152" s="1">
        <f t="shared" ca="1" si="204"/>
        <v>181</v>
      </c>
      <c r="DN152" s="1">
        <f t="shared" ca="1" si="205"/>
        <v>4</v>
      </c>
    </row>
    <row r="153" spans="2:118" x14ac:dyDescent="0.25">
      <c r="B153">
        <f t="shared" ca="1" si="138"/>
        <v>26</v>
      </c>
      <c r="C153">
        <f t="shared" ca="1" si="139"/>
        <v>51</v>
      </c>
      <c r="D153">
        <f t="shared" ca="1" si="140"/>
        <v>0.1069864800294091</v>
      </c>
      <c r="F153" s="1">
        <f t="shared" ca="1" si="141"/>
        <v>28</v>
      </c>
      <c r="G153" s="1">
        <f t="shared" ca="1" si="142"/>
        <v>26</v>
      </c>
      <c r="H153" s="1">
        <f t="shared" ca="1" si="143"/>
        <v>5</v>
      </c>
      <c r="I153" s="1"/>
      <c r="J153" s="1">
        <f t="shared" ca="1" si="144"/>
        <v>14</v>
      </c>
      <c r="K153" s="1">
        <f t="shared" ca="1" si="145"/>
        <v>1.8516287061200098</v>
      </c>
      <c r="L153" s="1">
        <f t="shared" ca="1" si="146"/>
        <v>5</v>
      </c>
      <c r="M153" s="1"/>
      <c r="N153" s="1">
        <f t="shared" ca="1" si="147"/>
        <v>585</v>
      </c>
      <c r="O153" s="1">
        <f t="shared" ca="1" si="148"/>
        <v>8</v>
      </c>
      <c r="P153" s="1"/>
      <c r="Q153" s="1">
        <f t="shared" ca="1" si="149"/>
        <v>1.4471957287942392</v>
      </c>
      <c r="R153" s="1">
        <f t="shared" ca="1" si="150"/>
        <v>334</v>
      </c>
      <c r="S153" s="1"/>
      <c r="T153" s="1">
        <f t="shared" ca="1" si="151"/>
        <v>0.10218039095433575</v>
      </c>
      <c r="U153" s="1">
        <f t="shared" ca="1" si="152"/>
        <v>312</v>
      </c>
      <c r="V153" s="1">
        <f t="shared" ca="1" si="153"/>
        <v>32</v>
      </c>
      <c r="W153" s="1"/>
      <c r="X153" s="1">
        <f t="shared" ca="1" si="154"/>
        <v>1.8348532414908365</v>
      </c>
      <c r="Y153" s="1">
        <f t="shared" ca="1" si="155"/>
        <v>0.69827232992657184</v>
      </c>
      <c r="Z153" s="1">
        <f t="shared" ca="1" si="156"/>
        <v>1491</v>
      </c>
      <c r="AB153" s="1">
        <f t="shared" ca="1" si="157"/>
        <v>0.31612922111456393</v>
      </c>
      <c r="AC153" s="1">
        <f t="shared" ca="1" si="158"/>
        <v>800</v>
      </c>
      <c r="AD153" s="1">
        <f t="shared" ca="1" si="159"/>
        <v>2.2583652697746084E-4</v>
      </c>
      <c r="AE153" s="1"/>
      <c r="AF153" s="1">
        <f t="shared" ca="1" si="160"/>
        <v>0.77395308029635546</v>
      </c>
      <c r="AG153" s="1">
        <f t="shared" ca="1" si="161"/>
        <v>828</v>
      </c>
      <c r="AH153" s="1">
        <f t="shared" ca="1" si="162"/>
        <v>3.9621106918243899E-3</v>
      </c>
      <c r="AJ153" s="1">
        <f t="shared" ca="1" si="163"/>
        <v>0.48924469725842712</v>
      </c>
      <c r="AK153" s="1">
        <f t="shared" ca="1" si="164"/>
        <v>4.9284290428764132E-3</v>
      </c>
      <c r="AL153" s="1"/>
      <c r="AM153" s="1">
        <f t="shared" ca="1" si="165"/>
        <v>3.094360534209423E-2</v>
      </c>
      <c r="AN153" s="1">
        <f t="shared" ca="1" si="166"/>
        <v>34</v>
      </c>
      <c r="AO153" s="1">
        <f t="shared" ca="1" si="167"/>
        <v>19</v>
      </c>
      <c r="AQ153" s="1">
        <f t="shared" ca="1" si="168"/>
        <v>79</v>
      </c>
      <c r="AR153" s="1">
        <f t="shared" ca="1" si="169"/>
        <v>0</v>
      </c>
      <c r="AS153" s="1">
        <f t="shared" ca="1" si="170"/>
        <v>51</v>
      </c>
      <c r="AU153" s="1">
        <f t="shared" ca="1" si="171"/>
        <v>324</v>
      </c>
      <c r="AV153" s="1">
        <f t="shared" ca="1" si="172"/>
        <v>8</v>
      </c>
      <c r="AW153" s="1">
        <f t="shared" ca="1" si="173"/>
        <v>0.14455920378726195</v>
      </c>
      <c r="AY153" s="1">
        <f t="shared" ca="1" si="174"/>
        <v>1.524380919780485</v>
      </c>
      <c r="AZ153" s="1">
        <f t="shared" ca="1" si="175"/>
        <v>191</v>
      </c>
      <c r="BA153" s="1">
        <f t="shared" ca="1" si="176"/>
        <v>1.4718854372241335E-3</v>
      </c>
      <c r="BG153" s="1">
        <f t="shared" ca="1" si="177"/>
        <v>9.1219247797559924E-2</v>
      </c>
      <c r="BH153" s="1">
        <f t="shared" ca="1" si="178"/>
        <v>2.6219503781599207E-2</v>
      </c>
      <c r="BI153" s="1">
        <f t="shared" ca="1" si="179"/>
        <v>346</v>
      </c>
      <c r="BV153" s="1">
        <f t="shared" ca="1" si="180"/>
        <v>0.73313746542012848</v>
      </c>
      <c r="BW153" s="1">
        <f t="shared" ca="1" si="181"/>
        <v>913</v>
      </c>
      <c r="BX153" s="1">
        <f t="shared" ca="1" si="182"/>
        <v>4.8866552930390888E-3</v>
      </c>
      <c r="BY153" s="1">
        <f t="shared" ca="1" si="183"/>
        <v>4.7644986621019368E-2</v>
      </c>
      <c r="BZ153" s="1">
        <f t="shared" ca="1" si="184"/>
        <v>0.40355833719993195</v>
      </c>
      <c r="CB153" s="1">
        <f t="shared" ca="1" si="185"/>
        <v>317</v>
      </c>
      <c r="CC153" s="1">
        <f t="shared" ca="1" si="186"/>
        <v>4</v>
      </c>
      <c r="CD153" s="1">
        <f t="shared" ca="1" si="187"/>
        <v>0.1481356951517625</v>
      </c>
      <c r="CE153" s="1">
        <f t="shared" ca="1" si="188"/>
        <v>0.56282752717899331</v>
      </c>
      <c r="CF153" s="1">
        <f t="shared" ca="1" si="188"/>
        <v>0.87602638276359857</v>
      </c>
      <c r="CH153" s="3">
        <f t="shared" ca="1" si="189"/>
        <v>0.92918458555306727</v>
      </c>
      <c r="CI153" s="3">
        <f t="shared" ca="1" si="190"/>
        <v>0.41980030687360687</v>
      </c>
      <c r="CJ153" s="3">
        <f t="shared" ca="1" si="191"/>
        <v>1877</v>
      </c>
      <c r="CK153" s="3">
        <f t="shared" ca="1" si="192"/>
        <v>2.7447453916490693E-3</v>
      </c>
      <c r="CL153" s="3">
        <f t="shared" ca="1" si="193"/>
        <v>1</v>
      </c>
      <c r="CM153" s="3"/>
      <c r="CN153" s="1">
        <f t="shared" ca="1" si="194"/>
        <v>7.3139991286362278</v>
      </c>
      <c r="CO153" s="1">
        <f t="shared" ca="1" si="195"/>
        <v>0.49805755363441512</v>
      </c>
      <c r="CP153" s="1">
        <f t="shared" ca="1" si="196"/>
        <v>4</v>
      </c>
      <c r="CV153" s="1">
        <f t="shared" ca="1" si="197"/>
        <v>0.21611576211958047</v>
      </c>
      <c r="CW153" s="1">
        <f t="shared" ca="1" si="198"/>
        <v>1963</v>
      </c>
      <c r="CX153" s="1">
        <f t="shared" ca="1" si="199"/>
        <v>4.1209232485828577E-3</v>
      </c>
      <c r="DH153" s="1">
        <f t="shared" ca="1" si="200"/>
        <v>362</v>
      </c>
      <c r="DI153" s="1">
        <f t="shared" ca="1" si="201"/>
        <v>0.91937472868697223</v>
      </c>
      <c r="DJ153" s="1">
        <f t="shared" ca="1" si="202"/>
        <v>17</v>
      </c>
      <c r="DL153" s="1">
        <f t="shared" ca="1" si="203"/>
        <v>4.1818456043225934E-2</v>
      </c>
      <c r="DM153" s="1">
        <f t="shared" ca="1" si="204"/>
        <v>137</v>
      </c>
      <c r="DN153" s="1">
        <f t="shared" ca="1" si="205"/>
        <v>5</v>
      </c>
    </row>
    <row r="154" spans="2:118" x14ac:dyDescent="0.25">
      <c r="B154">
        <f t="shared" ca="1" si="138"/>
        <v>775</v>
      </c>
      <c r="C154">
        <f t="shared" ca="1" si="139"/>
        <v>21</v>
      </c>
      <c r="D154">
        <f t="shared" ca="1" si="140"/>
        <v>0.18054252764023834</v>
      </c>
      <c r="F154" s="1">
        <f t="shared" ca="1" si="141"/>
        <v>10</v>
      </c>
      <c r="G154" s="1">
        <f t="shared" ca="1" si="142"/>
        <v>6</v>
      </c>
      <c r="H154" s="1">
        <f t="shared" ca="1" si="143"/>
        <v>5</v>
      </c>
      <c r="I154" s="1"/>
      <c r="J154" s="1">
        <f t="shared" ca="1" si="144"/>
        <v>25</v>
      </c>
      <c r="K154" s="1">
        <f t="shared" ca="1" si="145"/>
        <v>1.2306037641595553</v>
      </c>
      <c r="L154" s="1">
        <f t="shared" ca="1" si="146"/>
        <v>30</v>
      </c>
      <c r="M154" s="1"/>
      <c r="N154" s="1">
        <f t="shared" ca="1" si="147"/>
        <v>948</v>
      </c>
      <c r="O154" s="1">
        <f t="shared" ca="1" si="148"/>
        <v>15</v>
      </c>
      <c r="P154" s="1"/>
      <c r="Q154" s="1">
        <f t="shared" ca="1" si="149"/>
        <v>2.1948697060591322</v>
      </c>
      <c r="R154" s="1">
        <f t="shared" ca="1" si="150"/>
        <v>655</v>
      </c>
      <c r="S154" s="1"/>
      <c r="T154" s="1">
        <f t="shared" ca="1" si="151"/>
        <v>6.2058468839178919E-2</v>
      </c>
      <c r="U154" s="1">
        <f t="shared" ca="1" si="152"/>
        <v>272</v>
      </c>
      <c r="V154" s="1">
        <f t="shared" ca="1" si="153"/>
        <v>20</v>
      </c>
      <c r="W154" s="1"/>
      <c r="X154" s="1">
        <f t="shared" ca="1" si="154"/>
        <v>8.1820264706606398</v>
      </c>
      <c r="Y154" s="1">
        <f t="shared" ca="1" si="155"/>
        <v>0.40861157593000136</v>
      </c>
      <c r="Z154" s="1">
        <f t="shared" ca="1" si="156"/>
        <v>836</v>
      </c>
      <c r="AB154" s="1">
        <f t="shared" ca="1" si="157"/>
        <v>0.92549638920831712</v>
      </c>
      <c r="AC154" s="1">
        <f t="shared" ca="1" si="158"/>
        <v>206</v>
      </c>
      <c r="AD154" s="1">
        <f t="shared" ca="1" si="159"/>
        <v>5.6682185428674958E-3</v>
      </c>
      <c r="AE154" s="1"/>
      <c r="AF154" s="1">
        <f t="shared" ca="1" si="160"/>
        <v>0.65447989788185912</v>
      </c>
      <c r="AG154" s="1">
        <f t="shared" ca="1" si="161"/>
        <v>460</v>
      </c>
      <c r="AH154" s="1">
        <f t="shared" ca="1" si="162"/>
        <v>9.7176317604802977E-3</v>
      </c>
      <c r="AJ154" s="1">
        <f t="shared" ca="1" si="163"/>
        <v>0.12380770948846642</v>
      </c>
      <c r="AK154" s="1">
        <f t="shared" ca="1" si="164"/>
        <v>9.2523136672213822E-3</v>
      </c>
      <c r="AL154" s="1"/>
      <c r="AM154" s="1">
        <f t="shared" ca="1" si="165"/>
        <v>3.3509541705013836E-2</v>
      </c>
      <c r="AN154" s="1">
        <f t="shared" ca="1" si="166"/>
        <v>14</v>
      </c>
      <c r="AO154" s="1">
        <f t="shared" ca="1" si="167"/>
        <v>19</v>
      </c>
      <c r="AQ154" s="1">
        <f t="shared" ca="1" si="168"/>
        <v>109</v>
      </c>
      <c r="AR154" s="1">
        <f t="shared" ca="1" si="169"/>
        <v>3</v>
      </c>
      <c r="AS154" s="1">
        <f t="shared" ca="1" si="170"/>
        <v>5</v>
      </c>
      <c r="AU154" s="1">
        <f t="shared" ca="1" si="171"/>
        <v>272</v>
      </c>
      <c r="AV154" s="1">
        <f t="shared" ca="1" si="172"/>
        <v>7</v>
      </c>
      <c r="AW154" s="1">
        <f t="shared" ca="1" si="173"/>
        <v>0.1744134356744711</v>
      </c>
      <c r="AY154" s="1">
        <f t="shared" ca="1" si="174"/>
        <v>1.710202580393331</v>
      </c>
      <c r="AZ154" s="1">
        <f t="shared" ca="1" si="175"/>
        <v>252</v>
      </c>
      <c r="BA154" s="1">
        <f t="shared" ca="1" si="176"/>
        <v>5.88339271483059E-3</v>
      </c>
      <c r="BG154" s="1">
        <f t="shared" ca="1" si="177"/>
        <v>0.24659742827469</v>
      </c>
      <c r="BH154" s="1">
        <f t="shared" ca="1" si="178"/>
        <v>0.26445300905589064</v>
      </c>
      <c r="BI154" s="1">
        <f t="shared" ca="1" si="179"/>
        <v>238</v>
      </c>
      <c r="BV154" s="1">
        <f t="shared" ca="1" si="180"/>
        <v>0.87685599538867232</v>
      </c>
      <c r="BW154" s="1">
        <f t="shared" ca="1" si="181"/>
        <v>691</v>
      </c>
      <c r="BX154" s="1">
        <f t="shared" ca="1" si="182"/>
        <v>7.7047840329220948E-3</v>
      </c>
      <c r="BY154" s="1">
        <f t="shared" ca="1" si="183"/>
        <v>4.2553657018751549E-3</v>
      </c>
      <c r="BZ154" s="1">
        <f t="shared" ca="1" si="184"/>
        <v>0.35770166827841188</v>
      </c>
      <c r="CB154" s="1">
        <f t="shared" ca="1" si="185"/>
        <v>288</v>
      </c>
      <c r="CC154" s="1">
        <f t="shared" ca="1" si="186"/>
        <v>7</v>
      </c>
      <c r="CD154" s="1">
        <f t="shared" ca="1" si="187"/>
        <v>0.15202993754563379</v>
      </c>
      <c r="CE154" s="1">
        <f t="shared" ca="1" si="188"/>
        <v>0.54622351346918885</v>
      </c>
      <c r="CF154" s="1">
        <f t="shared" ca="1" si="188"/>
        <v>0.78692020880442493</v>
      </c>
      <c r="CH154" s="3">
        <f t="shared" ca="1" si="189"/>
        <v>4.4149436020582439E-2</v>
      </c>
      <c r="CI154" s="3">
        <f t="shared" ca="1" si="190"/>
        <v>0.73282436148351793</v>
      </c>
      <c r="CJ154" s="3">
        <f t="shared" ca="1" si="191"/>
        <v>1101</v>
      </c>
      <c r="CK154" s="3">
        <f t="shared" ca="1" si="192"/>
        <v>6.9858750106483285E-3</v>
      </c>
      <c r="CL154" s="3">
        <f t="shared" ca="1" si="193"/>
        <v>1</v>
      </c>
      <c r="CM154" s="3"/>
      <c r="CN154" s="1">
        <f t="shared" ca="1" si="194"/>
        <v>15.406412080463484</v>
      </c>
      <c r="CO154" s="1">
        <f t="shared" ca="1" si="195"/>
        <v>0.33977403143497442</v>
      </c>
      <c r="CP154" s="1">
        <f t="shared" ca="1" si="196"/>
        <v>5</v>
      </c>
      <c r="CV154" s="1">
        <f t="shared" ca="1" si="197"/>
        <v>7.6044507255679763</v>
      </c>
      <c r="CW154" s="1">
        <f t="shared" ca="1" si="198"/>
        <v>1847</v>
      </c>
      <c r="CX154" s="1">
        <f t="shared" ca="1" si="199"/>
        <v>1.4228537400009795E-3</v>
      </c>
      <c r="DH154" s="1">
        <f t="shared" ca="1" si="200"/>
        <v>44</v>
      </c>
      <c r="DI154" s="1">
        <f t="shared" ca="1" si="201"/>
        <v>0.44072189430591874</v>
      </c>
      <c r="DJ154" s="1">
        <f t="shared" ca="1" si="202"/>
        <v>4</v>
      </c>
      <c r="DL154" s="1">
        <f t="shared" ca="1" si="203"/>
        <v>0.19580057025532616</v>
      </c>
      <c r="DM154" s="1">
        <f t="shared" ca="1" si="204"/>
        <v>156</v>
      </c>
      <c r="DN154" s="1">
        <f t="shared" ca="1" si="205"/>
        <v>8</v>
      </c>
    </row>
    <row r="155" spans="2:118" x14ac:dyDescent="0.25">
      <c r="B155">
        <f t="shared" ca="1" si="138"/>
        <v>490</v>
      </c>
      <c r="C155">
        <f t="shared" ca="1" si="139"/>
        <v>45</v>
      </c>
      <c r="D155">
        <f t="shared" ca="1" si="140"/>
        <v>0.25397981156841137</v>
      </c>
      <c r="F155" s="1">
        <f t="shared" ca="1" si="141"/>
        <v>46</v>
      </c>
      <c r="G155" s="1">
        <f t="shared" ca="1" si="142"/>
        <v>10</v>
      </c>
      <c r="H155" s="1">
        <f t="shared" ca="1" si="143"/>
        <v>7</v>
      </c>
      <c r="I155" s="1"/>
      <c r="J155" s="1">
        <f t="shared" ca="1" si="144"/>
        <v>13</v>
      </c>
      <c r="K155" s="1">
        <f t="shared" ca="1" si="145"/>
        <v>2.6105082599143499</v>
      </c>
      <c r="L155" s="1">
        <f t="shared" ca="1" si="146"/>
        <v>4</v>
      </c>
      <c r="M155" s="1"/>
      <c r="N155" s="1">
        <f t="shared" ca="1" si="147"/>
        <v>789</v>
      </c>
      <c r="O155" s="1">
        <f t="shared" ca="1" si="148"/>
        <v>2</v>
      </c>
      <c r="P155" s="1"/>
      <c r="Q155" s="1">
        <f t="shared" ca="1" si="149"/>
        <v>4.8544652998596094</v>
      </c>
      <c r="R155" s="1">
        <f t="shared" ca="1" si="150"/>
        <v>834</v>
      </c>
      <c r="S155" s="1"/>
      <c r="T155" s="1">
        <f t="shared" ca="1" si="151"/>
        <v>0.15080046215041837</v>
      </c>
      <c r="U155" s="1">
        <f t="shared" ca="1" si="152"/>
        <v>217</v>
      </c>
      <c r="V155" s="1">
        <f t="shared" ca="1" si="153"/>
        <v>27</v>
      </c>
      <c r="W155" s="1"/>
      <c r="X155" s="1">
        <f t="shared" ca="1" si="154"/>
        <v>2.65200029354502</v>
      </c>
      <c r="Y155" s="1">
        <f t="shared" ca="1" si="155"/>
        <v>0.57840176539902</v>
      </c>
      <c r="Z155" s="1">
        <f t="shared" ca="1" si="156"/>
        <v>253</v>
      </c>
      <c r="AB155" s="1">
        <f t="shared" ca="1" si="157"/>
        <v>0.2209711986458501</v>
      </c>
      <c r="AC155" s="1">
        <f t="shared" ca="1" si="158"/>
        <v>832</v>
      </c>
      <c r="AD155" s="1">
        <f t="shared" ca="1" si="159"/>
        <v>7.6568334067442755E-3</v>
      </c>
      <c r="AE155" s="1"/>
      <c r="AF155" s="1">
        <f t="shared" ca="1" si="160"/>
        <v>0.49703728052881901</v>
      </c>
      <c r="AG155" s="1">
        <f t="shared" ca="1" si="161"/>
        <v>129</v>
      </c>
      <c r="AH155" s="1">
        <f t="shared" ca="1" si="162"/>
        <v>1.813226463513109E-3</v>
      </c>
      <c r="AJ155" s="1">
        <f t="shared" ca="1" si="163"/>
        <v>4.8303820333625902E-2</v>
      </c>
      <c r="AK155" s="1">
        <f t="shared" ca="1" si="164"/>
        <v>2.8561674518798276E-3</v>
      </c>
      <c r="AL155" s="1"/>
      <c r="AM155" s="1">
        <f t="shared" ca="1" si="165"/>
        <v>0.14149533767825573</v>
      </c>
      <c r="AN155" s="1">
        <f t="shared" ca="1" si="166"/>
        <v>33</v>
      </c>
      <c r="AO155" s="1">
        <f t="shared" ca="1" si="167"/>
        <v>9</v>
      </c>
      <c r="AQ155" s="1">
        <f t="shared" ca="1" si="168"/>
        <v>29</v>
      </c>
      <c r="AR155" s="1">
        <f t="shared" ca="1" si="169"/>
        <v>7</v>
      </c>
      <c r="AS155" s="1">
        <f t="shared" ca="1" si="170"/>
        <v>38</v>
      </c>
      <c r="AU155" s="1">
        <f t="shared" ca="1" si="171"/>
        <v>83</v>
      </c>
      <c r="AV155" s="1">
        <f t="shared" ca="1" si="172"/>
        <v>5</v>
      </c>
      <c r="AW155" s="1">
        <f t="shared" ca="1" si="173"/>
        <v>9.5149024738655483E-2</v>
      </c>
      <c r="AY155" s="1">
        <f t="shared" ca="1" si="174"/>
        <v>1.4099448075291852</v>
      </c>
      <c r="AZ155" s="1">
        <f t="shared" ca="1" si="175"/>
        <v>208</v>
      </c>
      <c r="BA155" s="1">
        <f t="shared" ca="1" si="176"/>
        <v>4.7520240631817754E-4</v>
      </c>
      <c r="BG155" s="1">
        <f t="shared" ca="1" si="177"/>
        <v>0.69572483219407266</v>
      </c>
      <c r="BH155" s="1">
        <f t="shared" ca="1" si="178"/>
        <v>0.42409985491939461</v>
      </c>
      <c r="BI155" s="1">
        <f t="shared" ca="1" si="179"/>
        <v>788</v>
      </c>
      <c r="BV155" s="1">
        <f t="shared" ca="1" si="180"/>
        <v>0.96652705602655464</v>
      </c>
      <c r="BW155" s="1">
        <f t="shared" ca="1" si="181"/>
        <v>838</v>
      </c>
      <c r="BX155" s="1">
        <f t="shared" ca="1" si="182"/>
        <v>7.5380110950341297E-3</v>
      </c>
      <c r="BY155" s="1">
        <f t="shared" ca="1" si="183"/>
        <v>8.6465949267513761E-2</v>
      </c>
      <c r="BZ155" s="1">
        <f t="shared" ca="1" si="184"/>
        <v>0.51016084943618634</v>
      </c>
      <c r="CB155" s="1">
        <f t="shared" ca="1" si="185"/>
        <v>497</v>
      </c>
      <c r="CC155" s="1">
        <f t="shared" ca="1" si="186"/>
        <v>9</v>
      </c>
      <c r="CD155" s="1">
        <f t="shared" ca="1" si="187"/>
        <v>0.13769137537466389</v>
      </c>
      <c r="CE155" s="1">
        <f t="shared" ca="1" si="188"/>
        <v>0.75130168206624326</v>
      </c>
      <c r="CF155" s="1">
        <f t="shared" ca="1" si="188"/>
        <v>0.74763801611197866</v>
      </c>
      <c r="CH155" s="3">
        <f t="shared" ca="1" si="189"/>
        <v>0.37800302194520691</v>
      </c>
      <c r="CI155" s="3">
        <f t="shared" ca="1" si="190"/>
        <v>0.42111337511380043</v>
      </c>
      <c r="CJ155" s="3">
        <f t="shared" ca="1" si="191"/>
        <v>1673</v>
      </c>
      <c r="CK155" s="3">
        <f t="shared" ca="1" si="192"/>
        <v>8.096209067104454E-3</v>
      </c>
      <c r="CL155" s="3">
        <f t="shared" ca="1" si="193"/>
        <v>1</v>
      </c>
      <c r="CM155" s="3"/>
      <c r="CN155" s="1">
        <f t="shared" ca="1" si="194"/>
        <v>19.584942087405754</v>
      </c>
      <c r="CO155" s="1">
        <f t="shared" ca="1" si="195"/>
        <v>0.167401560184266</v>
      </c>
      <c r="CP155" s="1">
        <f t="shared" ca="1" si="196"/>
        <v>5</v>
      </c>
      <c r="CV155" s="1">
        <f t="shared" ca="1" si="197"/>
        <v>8.9115620847105284</v>
      </c>
      <c r="CW155" s="1">
        <f t="shared" ca="1" si="198"/>
        <v>1844</v>
      </c>
      <c r="CX155" s="1">
        <f t="shared" ca="1" si="199"/>
        <v>2.9812426045242474E-4</v>
      </c>
      <c r="DH155" s="1">
        <f t="shared" ca="1" si="200"/>
        <v>151</v>
      </c>
      <c r="DI155" s="1">
        <f t="shared" ca="1" si="201"/>
        <v>0.8219727605373085</v>
      </c>
      <c r="DJ155" s="1">
        <f t="shared" ca="1" si="202"/>
        <v>18</v>
      </c>
      <c r="DL155" s="1">
        <f t="shared" ca="1" si="203"/>
        <v>4.7793539312696746E-2</v>
      </c>
      <c r="DM155" s="1">
        <f t="shared" ca="1" si="204"/>
        <v>181</v>
      </c>
      <c r="DN155" s="1">
        <f t="shared" ca="1" si="205"/>
        <v>5</v>
      </c>
    </row>
    <row r="156" spans="2:118" x14ac:dyDescent="0.25">
      <c r="B156">
        <f t="shared" ca="1" si="138"/>
        <v>574</v>
      </c>
      <c r="C156">
        <f t="shared" ca="1" si="139"/>
        <v>49</v>
      </c>
      <c r="D156">
        <f t="shared" ca="1" si="140"/>
        <v>0.2317890314189314</v>
      </c>
      <c r="F156" s="1">
        <f t="shared" ca="1" si="141"/>
        <v>3</v>
      </c>
      <c r="G156" s="1">
        <f t="shared" ca="1" si="142"/>
        <v>16</v>
      </c>
      <c r="H156" s="1">
        <f t="shared" ca="1" si="143"/>
        <v>15</v>
      </c>
      <c r="I156" s="1"/>
      <c r="J156" s="1">
        <f t="shared" ca="1" si="144"/>
        <v>19</v>
      </c>
      <c r="K156" s="1">
        <f t="shared" ca="1" si="145"/>
        <v>2.9019881734464255</v>
      </c>
      <c r="L156" s="1">
        <f t="shared" ca="1" si="146"/>
        <v>15</v>
      </c>
      <c r="M156" s="1"/>
      <c r="N156" s="1">
        <f t="shared" ca="1" si="147"/>
        <v>976</v>
      </c>
      <c r="O156" s="1">
        <f t="shared" ca="1" si="148"/>
        <v>44</v>
      </c>
      <c r="P156" s="1"/>
      <c r="Q156" s="1">
        <f t="shared" ca="1" si="149"/>
        <v>1.1620512654643729</v>
      </c>
      <c r="R156" s="1">
        <f t="shared" ca="1" si="150"/>
        <v>1193</v>
      </c>
      <c r="S156" s="1"/>
      <c r="T156" s="1">
        <f t="shared" ca="1" si="151"/>
        <v>0.11012752124012702</v>
      </c>
      <c r="U156" s="1">
        <f t="shared" ca="1" si="152"/>
        <v>450</v>
      </c>
      <c r="V156" s="1">
        <f t="shared" ca="1" si="153"/>
        <v>27</v>
      </c>
      <c r="W156" s="1"/>
      <c r="X156" s="1">
        <f t="shared" ca="1" si="154"/>
        <v>7.0875828858651486</v>
      </c>
      <c r="Y156" s="1">
        <f t="shared" ca="1" si="155"/>
        <v>0.36757118895967067</v>
      </c>
      <c r="Z156" s="1">
        <f t="shared" ca="1" si="156"/>
        <v>1437</v>
      </c>
      <c r="AB156" s="1">
        <f t="shared" ca="1" si="157"/>
        <v>0.12451042910489414</v>
      </c>
      <c r="AC156" s="1">
        <f t="shared" ca="1" si="158"/>
        <v>616</v>
      </c>
      <c r="AD156" s="1">
        <f t="shared" ca="1" si="159"/>
        <v>6.6398654846281007E-3</v>
      </c>
      <c r="AE156" s="1"/>
      <c r="AF156" s="1">
        <f t="shared" ca="1" si="160"/>
        <v>0.2967525395443803</v>
      </c>
      <c r="AG156" s="1">
        <f t="shared" ca="1" si="161"/>
        <v>510</v>
      </c>
      <c r="AH156" s="1">
        <f t="shared" ca="1" si="162"/>
        <v>9.5371240824474041E-3</v>
      </c>
      <c r="AJ156" s="1">
        <f t="shared" ca="1" si="163"/>
        <v>0.69368806235417235</v>
      </c>
      <c r="AK156" s="1">
        <f t="shared" ca="1" si="164"/>
        <v>8.2565443660765365E-3</v>
      </c>
      <c r="AL156" s="1"/>
      <c r="AM156" s="1">
        <f t="shared" ca="1" si="165"/>
        <v>1.1379174409533375E-2</v>
      </c>
      <c r="AN156" s="1">
        <f t="shared" ca="1" si="166"/>
        <v>51</v>
      </c>
      <c r="AO156" s="1">
        <f t="shared" ca="1" si="167"/>
        <v>11</v>
      </c>
      <c r="AQ156" s="1">
        <f t="shared" ca="1" si="168"/>
        <v>147</v>
      </c>
      <c r="AR156" s="1">
        <f t="shared" ca="1" si="169"/>
        <v>0</v>
      </c>
      <c r="AS156" s="1">
        <f t="shared" ca="1" si="170"/>
        <v>67</v>
      </c>
      <c r="AU156" s="1">
        <f t="shared" ca="1" si="171"/>
        <v>94</v>
      </c>
      <c r="AV156" s="1">
        <f t="shared" ca="1" si="172"/>
        <v>2</v>
      </c>
      <c r="AW156" s="1">
        <f t="shared" ca="1" si="173"/>
        <v>4.1087259795201052E-2</v>
      </c>
      <c r="AY156" s="1">
        <f t="shared" ca="1" si="174"/>
        <v>1.9498370963142384</v>
      </c>
      <c r="AZ156" s="1">
        <f t="shared" ca="1" si="175"/>
        <v>55</v>
      </c>
      <c r="BA156" s="1">
        <f t="shared" ca="1" si="176"/>
        <v>2.4477348104702231E-3</v>
      </c>
      <c r="BG156" s="1">
        <f t="shared" ca="1" si="177"/>
        <v>0.28764713223730448</v>
      </c>
      <c r="BH156" s="1">
        <f t="shared" ca="1" si="178"/>
        <v>0.51130258980411514</v>
      </c>
      <c r="BI156" s="1">
        <f t="shared" ca="1" si="179"/>
        <v>474</v>
      </c>
      <c r="BV156" s="1">
        <f t="shared" ca="1" si="180"/>
        <v>9.7038858748026827E-2</v>
      </c>
      <c r="BW156" s="1">
        <f t="shared" ca="1" si="181"/>
        <v>837</v>
      </c>
      <c r="BX156" s="1">
        <f t="shared" ca="1" si="182"/>
        <v>7.5841278851580705E-3</v>
      </c>
      <c r="BY156" s="1">
        <f t="shared" ca="1" si="183"/>
        <v>7.7489582418152167E-2</v>
      </c>
      <c r="BZ156" s="1">
        <f t="shared" ca="1" si="184"/>
        <v>0.71521087199278943</v>
      </c>
      <c r="CB156" s="1">
        <f t="shared" ca="1" si="185"/>
        <v>324</v>
      </c>
      <c r="CC156" s="1">
        <f t="shared" ca="1" si="186"/>
        <v>3</v>
      </c>
      <c r="CD156" s="1">
        <f t="shared" ca="1" si="187"/>
        <v>8.2598010604464533E-2</v>
      </c>
      <c r="CE156" s="1">
        <f t="shared" ca="1" si="188"/>
        <v>0.90249632552250969</v>
      </c>
      <c r="CF156" s="1">
        <f t="shared" ca="1" si="188"/>
        <v>0.55743983508506412</v>
      </c>
      <c r="CH156" s="3">
        <f t="shared" ca="1" si="189"/>
        <v>0.70796924321862797</v>
      </c>
      <c r="CI156" s="3">
        <f t="shared" ca="1" si="190"/>
        <v>0.38593451015020946</v>
      </c>
      <c r="CJ156" s="3">
        <f t="shared" ca="1" si="191"/>
        <v>704</v>
      </c>
      <c r="CK156" s="3">
        <f t="shared" ca="1" si="192"/>
        <v>2.4142609391654092E-3</v>
      </c>
      <c r="CL156" s="3">
        <f t="shared" ca="1" si="193"/>
        <v>0</v>
      </c>
      <c r="CM156" s="3"/>
      <c r="CN156" s="1">
        <f t="shared" ca="1" si="194"/>
        <v>7.9655695129595747</v>
      </c>
      <c r="CO156" s="1">
        <f t="shared" ca="1" si="195"/>
        <v>0.47419640548076958</v>
      </c>
      <c r="CP156" s="1">
        <f t="shared" ca="1" si="196"/>
        <v>2</v>
      </c>
      <c r="CV156" s="1">
        <f t="shared" ca="1" si="197"/>
        <v>7.4310794394398494</v>
      </c>
      <c r="CW156" s="1">
        <f t="shared" ca="1" si="198"/>
        <v>1902</v>
      </c>
      <c r="CX156" s="1">
        <f t="shared" ca="1" si="199"/>
        <v>7.9300399480875406E-3</v>
      </c>
      <c r="DH156" s="1">
        <f t="shared" ca="1" si="200"/>
        <v>747</v>
      </c>
      <c r="DI156" s="1">
        <f t="shared" ca="1" si="201"/>
        <v>0.37706201329030553</v>
      </c>
      <c r="DJ156" s="1">
        <f t="shared" ca="1" si="202"/>
        <v>28</v>
      </c>
      <c r="DL156" s="1">
        <f t="shared" ca="1" si="203"/>
        <v>6.9919587759596266E-2</v>
      </c>
      <c r="DM156" s="1">
        <f t="shared" ca="1" si="204"/>
        <v>289</v>
      </c>
      <c r="DN156" s="1">
        <f t="shared" ca="1" si="205"/>
        <v>1</v>
      </c>
    </row>
    <row r="157" spans="2:118" x14ac:dyDescent="0.25">
      <c r="B157">
        <f t="shared" ca="1" si="138"/>
        <v>848</v>
      </c>
      <c r="C157">
        <f t="shared" ca="1" si="139"/>
        <v>50</v>
      </c>
      <c r="D157">
        <f t="shared" ca="1" si="140"/>
        <v>0.16027162871832665</v>
      </c>
      <c r="F157" s="1">
        <f t="shared" ca="1" si="141"/>
        <v>17</v>
      </c>
      <c r="G157" s="1">
        <f t="shared" ca="1" si="142"/>
        <v>18</v>
      </c>
      <c r="H157" s="1">
        <f t="shared" ca="1" si="143"/>
        <v>2</v>
      </c>
      <c r="I157" s="1"/>
      <c r="J157" s="1">
        <f t="shared" ca="1" si="144"/>
        <v>17</v>
      </c>
      <c r="K157" s="1">
        <f t="shared" ca="1" si="145"/>
        <v>2.8689477533284644</v>
      </c>
      <c r="L157" s="1">
        <f t="shared" ca="1" si="146"/>
        <v>22</v>
      </c>
      <c r="M157" s="1"/>
      <c r="N157" s="1">
        <f t="shared" ca="1" si="147"/>
        <v>163</v>
      </c>
      <c r="O157" s="1">
        <f t="shared" ca="1" si="148"/>
        <v>44</v>
      </c>
      <c r="P157" s="1"/>
      <c r="Q157" s="1">
        <f t="shared" ca="1" si="149"/>
        <v>1.481239910796972</v>
      </c>
      <c r="R157" s="1">
        <f t="shared" ca="1" si="150"/>
        <v>1181</v>
      </c>
      <c r="S157" s="1"/>
      <c r="T157" s="1">
        <f t="shared" ca="1" si="151"/>
        <v>0.15835778616206647</v>
      </c>
      <c r="U157" s="1">
        <f t="shared" ca="1" si="152"/>
        <v>317</v>
      </c>
      <c r="V157" s="1">
        <f t="shared" ca="1" si="153"/>
        <v>30</v>
      </c>
      <c r="W157" s="1"/>
      <c r="X157" s="1">
        <f t="shared" ca="1" si="154"/>
        <v>0.25493931869445752</v>
      </c>
      <c r="Y157" s="1">
        <f t="shared" ca="1" si="155"/>
        <v>0.42736544802132442</v>
      </c>
      <c r="Z157" s="1">
        <f t="shared" ca="1" si="156"/>
        <v>1884</v>
      </c>
      <c r="AB157" s="1">
        <f t="shared" ca="1" si="157"/>
        <v>0.49643499981955852</v>
      </c>
      <c r="AC157" s="1">
        <f t="shared" ca="1" si="158"/>
        <v>909</v>
      </c>
      <c r="AD157" s="1">
        <f t="shared" ca="1" si="159"/>
        <v>5.7229047305367717E-3</v>
      </c>
      <c r="AE157" s="1"/>
      <c r="AF157" s="1">
        <f t="shared" ca="1" si="160"/>
        <v>0.40329467956467135</v>
      </c>
      <c r="AG157" s="1">
        <f t="shared" ca="1" si="161"/>
        <v>285</v>
      </c>
      <c r="AH157" s="1">
        <f t="shared" ca="1" si="162"/>
        <v>7.3374946576999648E-3</v>
      </c>
      <c r="AJ157" s="1">
        <f t="shared" ca="1" si="163"/>
        <v>0.75400428779846751</v>
      </c>
      <c r="AK157" s="1">
        <f t="shared" ca="1" si="164"/>
        <v>1.5471449259557004E-3</v>
      </c>
      <c r="AL157" s="1"/>
      <c r="AM157" s="1">
        <f t="shared" ca="1" si="165"/>
        <v>0.18032641577716296</v>
      </c>
      <c r="AN157" s="1">
        <f t="shared" ca="1" si="166"/>
        <v>19</v>
      </c>
      <c r="AO157" s="1">
        <f t="shared" ca="1" si="167"/>
        <v>8</v>
      </c>
      <c r="AQ157" s="1">
        <f t="shared" ca="1" si="168"/>
        <v>154</v>
      </c>
      <c r="AR157" s="1">
        <f t="shared" ca="1" si="169"/>
        <v>3</v>
      </c>
      <c r="AS157" s="1">
        <f t="shared" ca="1" si="170"/>
        <v>95</v>
      </c>
      <c r="AU157" s="1">
        <f t="shared" ca="1" si="171"/>
        <v>267</v>
      </c>
      <c r="AV157" s="1">
        <f t="shared" ca="1" si="172"/>
        <v>9</v>
      </c>
      <c r="AW157" s="1">
        <f t="shared" ca="1" si="173"/>
        <v>0.19985812334592332</v>
      </c>
      <c r="AY157" s="1">
        <f t="shared" ca="1" si="174"/>
        <v>1.720672747901665</v>
      </c>
      <c r="AZ157" s="1">
        <f t="shared" ca="1" si="175"/>
        <v>364</v>
      </c>
      <c r="BA157" s="1">
        <f t="shared" ca="1" si="176"/>
        <v>8.6818070026351054E-3</v>
      </c>
      <c r="BG157" s="1">
        <f t="shared" ca="1" si="177"/>
        <v>0.91250632054861569</v>
      </c>
      <c r="BH157" s="1">
        <f t="shared" ca="1" si="178"/>
        <v>0.39395630159324935</v>
      </c>
      <c r="BI157" s="1">
        <f t="shared" ca="1" si="179"/>
        <v>551</v>
      </c>
      <c r="BV157" s="1">
        <f t="shared" ca="1" si="180"/>
        <v>0.51998044542760802</v>
      </c>
      <c r="BW157" s="1">
        <f t="shared" ca="1" si="181"/>
        <v>843</v>
      </c>
      <c r="BX157" s="1">
        <f t="shared" ca="1" si="182"/>
        <v>2.0973818672562626E-3</v>
      </c>
      <c r="BY157" s="1">
        <f t="shared" ca="1" si="183"/>
        <v>3.5802931774061381E-2</v>
      </c>
      <c r="BZ157" s="1">
        <f t="shared" ca="1" si="184"/>
        <v>0.75833449512279505</v>
      </c>
      <c r="CB157" s="1">
        <f t="shared" ca="1" si="185"/>
        <v>209</v>
      </c>
      <c r="CC157" s="1">
        <f t="shared" ca="1" si="186"/>
        <v>5</v>
      </c>
      <c r="CD157" s="1">
        <f t="shared" ca="1" si="187"/>
        <v>0.17511942294712113</v>
      </c>
      <c r="CE157" s="1">
        <f t="shared" ca="1" si="188"/>
        <v>0.8482644298379094</v>
      </c>
      <c r="CF157" s="1">
        <f t="shared" ca="1" si="188"/>
        <v>0.79523723252448075</v>
      </c>
      <c r="CH157" s="3">
        <f t="shared" ca="1" si="189"/>
        <v>0.42500126600066601</v>
      </c>
      <c r="CI157" s="3">
        <f t="shared" ca="1" si="190"/>
        <v>0.15485599127634897</v>
      </c>
      <c r="CJ157" s="3">
        <f t="shared" ca="1" si="191"/>
        <v>1293</v>
      </c>
      <c r="CK157" s="3">
        <f t="shared" ca="1" si="192"/>
        <v>6.5034891513067591E-3</v>
      </c>
      <c r="CL157" s="3">
        <f t="shared" ca="1" si="193"/>
        <v>1</v>
      </c>
      <c r="CM157" s="3"/>
      <c r="CN157" s="1">
        <f t="shared" ca="1" si="194"/>
        <v>18.583483936485543</v>
      </c>
      <c r="CO157" s="1">
        <f t="shared" ca="1" si="195"/>
        <v>0.1551147153630861</v>
      </c>
      <c r="CP157" s="1">
        <f t="shared" ca="1" si="196"/>
        <v>3</v>
      </c>
      <c r="CV157" s="1">
        <f t="shared" ca="1" si="197"/>
        <v>9.3014195947256617</v>
      </c>
      <c r="CW157" s="1">
        <f t="shared" ca="1" si="198"/>
        <v>1897</v>
      </c>
      <c r="CX157" s="1">
        <f t="shared" ca="1" si="199"/>
        <v>2.7180923520766817E-3</v>
      </c>
      <c r="DH157" s="1">
        <f t="shared" ca="1" si="200"/>
        <v>77</v>
      </c>
      <c r="DI157" s="1">
        <f t="shared" ca="1" si="201"/>
        <v>0.42579792833321378</v>
      </c>
      <c r="DJ157" s="1">
        <f t="shared" ca="1" si="202"/>
        <v>26</v>
      </c>
      <c r="DL157" s="1">
        <f t="shared" ca="1" si="203"/>
        <v>8.8706134653027624E-2</v>
      </c>
      <c r="DM157" s="1">
        <f t="shared" ca="1" si="204"/>
        <v>79</v>
      </c>
      <c r="DN157" s="1">
        <f t="shared" ca="1" si="205"/>
        <v>6</v>
      </c>
    </row>
    <row r="158" spans="2:118" x14ac:dyDescent="0.25">
      <c r="B158">
        <f t="shared" ca="1" si="138"/>
        <v>120</v>
      </c>
      <c r="C158">
        <f t="shared" ca="1" si="139"/>
        <v>10</v>
      </c>
      <c r="D158">
        <f t="shared" ca="1" si="140"/>
        <v>4.9854430673550838E-2</v>
      </c>
      <c r="F158" s="1">
        <f t="shared" ca="1" si="141"/>
        <v>24</v>
      </c>
      <c r="G158" s="1">
        <f t="shared" ca="1" si="142"/>
        <v>2</v>
      </c>
      <c r="H158" s="1">
        <f t="shared" ca="1" si="143"/>
        <v>4</v>
      </c>
      <c r="I158" s="1"/>
      <c r="J158" s="1">
        <f t="shared" ca="1" si="144"/>
        <v>16</v>
      </c>
      <c r="K158" s="1">
        <f t="shared" ca="1" si="145"/>
        <v>2.8288896353662607</v>
      </c>
      <c r="L158" s="1">
        <f t="shared" ca="1" si="146"/>
        <v>35</v>
      </c>
      <c r="M158" s="1"/>
      <c r="N158" s="1">
        <f t="shared" ca="1" si="147"/>
        <v>467</v>
      </c>
      <c r="O158" s="1">
        <f t="shared" ca="1" si="148"/>
        <v>23</v>
      </c>
      <c r="P158" s="1"/>
      <c r="Q158" s="1">
        <f t="shared" ca="1" si="149"/>
        <v>1.4924048551640772</v>
      </c>
      <c r="R158" s="1">
        <f t="shared" ca="1" si="150"/>
        <v>360</v>
      </c>
      <c r="S158" s="1"/>
      <c r="T158" s="1">
        <f t="shared" ca="1" si="151"/>
        <v>2.2031857836844217E-2</v>
      </c>
      <c r="U158" s="1">
        <f t="shared" ca="1" si="152"/>
        <v>405</v>
      </c>
      <c r="V158" s="1">
        <f t="shared" ca="1" si="153"/>
        <v>51</v>
      </c>
      <c r="W158" s="1"/>
      <c r="X158" s="1">
        <f t="shared" ca="1" si="154"/>
        <v>1.0618242953390744</v>
      </c>
      <c r="Y158" s="1">
        <f t="shared" ca="1" si="155"/>
        <v>0.36515306622990729</v>
      </c>
      <c r="Z158" s="1">
        <f t="shared" ca="1" si="156"/>
        <v>562</v>
      </c>
      <c r="AB158" s="1">
        <f t="shared" ca="1" si="157"/>
        <v>0.87347403782312971</v>
      </c>
      <c r="AC158" s="1">
        <f t="shared" ca="1" si="158"/>
        <v>768</v>
      </c>
      <c r="AD158" s="1">
        <f t="shared" ca="1" si="159"/>
        <v>6.289045444047181E-3</v>
      </c>
      <c r="AE158" s="1"/>
      <c r="AF158" s="1">
        <f t="shared" ca="1" si="160"/>
        <v>0.88725628371366294</v>
      </c>
      <c r="AG158" s="1">
        <f t="shared" ca="1" si="161"/>
        <v>618</v>
      </c>
      <c r="AH158" s="1">
        <f t="shared" ca="1" si="162"/>
        <v>1.4996693863789791E-3</v>
      </c>
      <c r="AJ158" s="1">
        <f t="shared" ca="1" si="163"/>
        <v>2.0362847681090646E-2</v>
      </c>
      <c r="AK158" s="1">
        <f t="shared" ca="1" si="164"/>
        <v>9.0759663177500949E-3</v>
      </c>
      <c r="AL158" s="1"/>
      <c r="AM158" s="1">
        <f t="shared" ca="1" si="165"/>
        <v>9.7015207866131228E-2</v>
      </c>
      <c r="AN158" s="1">
        <f t="shared" ca="1" si="166"/>
        <v>54</v>
      </c>
      <c r="AO158" s="1">
        <f t="shared" ca="1" si="167"/>
        <v>20</v>
      </c>
      <c r="AQ158" s="1">
        <f t="shared" ca="1" si="168"/>
        <v>155</v>
      </c>
      <c r="AR158" s="1">
        <f t="shared" ca="1" si="169"/>
        <v>4</v>
      </c>
      <c r="AS158" s="1">
        <f t="shared" ca="1" si="170"/>
        <v>19</v>
      </c>
      <c r="AU158" s="1">
        <f t="shared" ca="1" si="171"/>
        <v>120</v>
      </c>
      <c r="AV158" s="1">
        <f t="shared" ca="1" si="172"/>
        <v>8</v>
      </c>
      <c r="AW158" s="1">
        <f t="shared" ca="1" si="173"/>
        <v>9.1423391564431758E-2</v>
      </c>
      <c r="AY158" s="1">
        <f t="shared" ca="1" si="174"/>
        <v>1.2905701544389165</v>
      </c>
      <c r="AZ158" s="1">
        <f t="shared" ca="1" si="175"/>
        <v>145</v>
      </c>
      <c r="BA158" s="1">
        <f t="shared" ca="1" si="176"/>
        <v>7.2420609913077328E-3</v>
      </c>
      <c r="BG158" s="1">
        <f t="shared" ca="1" si="177"/>
        <v>0.9520705601436048</v>
      </c>
      <c r="BH158" s="1">
        <f t="shared" ca="1" si="178"/>
        <v>0.92144048543513057</v>
      </c>
      <c r="BI158" s="1">
        <f t="shared" ca="1" si="179"/>
        <v>346</v>
      </c>
      <c r="BV158" s="1">
        <f t="shared" ca="1" si="180"/>
        <v>0.69234649971923523</v>
      </c>
      <c r="BW158" s="1">
        <f t="shared" ca="1" si="181"/>
        <v>324</v>
      </c>
      <c r="BX158" s="1">
        <f t="shared" ca="1" si="182"/>
        <v>4.6545415767539414E-3</v>
      </c>
      <c r="BY158" s="1">
        <f t="shared" ca="1" si="183"/>
        <v>3.8069991380041739E-2</v>
      </c>
      <c r="BZ158" s="1">
        <f t="shared" ca="1" si="184"/>
        <v>0.25873432677483788</v>
      </c>
      <c r="CB158" s="1">
        <f t="shared" ca="1" si="185"/>
        <v>112</v>
      </c>
      <c r="CC158" s="1">
        <f t="shared" ca="1" si="186"/>
        <v>10</v>
      </c>
      <c r="CD158" s="1">
        <f t="shared" ca="1" si="187"/>
        <v>0.22145338160547151</v>
      </c>
      <c r="CE158" s="1">
        <f t="shared" ca="1" si="188"/>
        <v>0.73347835236757475</v>
      </c>
      <c r="CF158" s="1">
        <f t="shared" ca="1" si="188"/>
        <v>0.53691914605024149</v>
      </c>
      <c r="CH158" s="3">
        <f t="shared" ca="1" si="189"/>
        <v>0.86134823685851969</v>
      </c>
      <c r="CI158" s="3">
        <f t="shared" ca="1" si="190"/>
        <v>0.60733726897423745</v>
      </c>
      <c r="CJ158" s="3">
        <f t="shared" ca="1" si="191"/>
        <v>1225</v>
      </c>
      <c r="CK158" s="3">
        <f t="shared" ca="1" si="192"/>
        <v>9.2176225426472344E-3</v>
      </c>
      <c r="CL158" s="3">
        <f t="shared" ca="1" si="193"/>
        <v>0</v>
      </c>
      <c r="CM158" s="3"/>
      <c r="CN158" s="1">
        <f t="shared" ca="1" si="194"/>
        <v>3.3095549753408577</v>
      </c>
      <c r="CO158" s="1">
        <f t="shared" ca="1" si="195"/>
        <v>0.45213995571085525</v>
      </c>
      <c r="CP158" s="1">
        <f t="shared" ca="1" si="196"/>
        <v>4</v>
      </c>
      <c r="CV158" s="1">
        <f t="shared" ca="1" si="197"/>
        <v>4.7198782767779113</v>
      </c>
      <c r="CW158" s="1">
        <f t="shared" ca="1" si="198"/>
        <v>276</v>
      </c>
      <c r="CX158" s="1">
        <f t="shared" ca="1" si="199"/>
        <v>7.9942308713784344E-3</v>
      </c>
      <c r="DH158" s="1">
        <f t="shared" ca="1" si="200"/>
        <v>436</v>
      </c>
      <c r="DI158" s="1">
        <f t="shared" ca="1" si="201"/>
        <v>0.24206257178424395</v>
      </c>
      <c r="DJ158" s="1">
        <f t="shared" ca="1" si="202"/>
        <v>11</v>
      </c>
      <c r="DL158" s="1">
        <f t="shared" ca="1" si="203"/>
        <v>1.7286340869055998E-2</v>
      </c>
      <c r="DM158" s="1">
        <f t="shared" ca="1" si="204"/>
        <v>291</v>
      </c>
      <c r="DN158" s="1">
        <f t="shared" ca="1" si="205"/>
        <v>6</v>
      </c>
    </row>
    <row r="159" spans="2:118" x14ac:dyDescent="0.25">
      <c r="B159">
        <f t="shared" ca="1" si="138"/>
        <v>882</v>
      </c>
      <c r="C159">
        <f t="shared" ca="1" si="139"/>
        <v>50</v>
      </c>
      <c r="D159">
        <f t="shared" ca="1" si="140"/>
        <v>0.1896358197354652</v>
      </c>
      <c r="F159" s="1">
        <f t="shared" ca="1" si="141"/>
        <v>52</v>
      </c>
      <c r="G159" s="1">
        <f t="shared" ca="1" si="142"/>
        <v>17</v>
      </c>
      <c r="H159" s="1">
        <f t="shared" ca="1" si="143"/>
        <v>15</v>
      </c>
      <c r="I159" s="1"/>
      <c r="J159" s="1">
        <f t="shared" ca="1" si="144"/>
        <v>24</v>
      </c>
      <c r="K159" s="1">
        <f t="shared" ca="1" si="145"/>
        <v>2.4249086760972598</v>
      </c>
      <c r="L159" s="1">
        <f t="shared" ca="1" si="146"/>
        <v>7</v>
      </c>
      <c r="M159" s="1"/>
      <c r="N159" s="1">
        <f t="shared" ca="1" si="147"/>
        <v>242</v>
      </c>
      <c r="O159" s="1">
        <f t="shared" ca="1" si="148"/>
        <v>42</v>
      </c>
      <c r="P159" s="1"/>
      <c r="Q159" s="1">
        <f t="shared" ca="1" si="149"/>
        <v>4.6234022677580713</v>
      </c>
      <c r="R159" s="1">
        <f t="shared" ca="1" si="150"/>
        <v>1148</v>
      </c>
      <c r="S159" s="1"/>
      <c r="T159" s="1">
        <f t="shared" ca="1" si="151"/>
        <v>0.14997142511230274</v>
      </c>
      <c r="U159" s="1">
        <f t="shared" ca="1" si="152"/>
        <v>122</v>
      </c>
      <c r="V159" s="1">
        <f t="shared" ca="1" si="153"/>
        <v>28</v>
      </c>
      <c r="W159" s="1"/>
      <c r="X159" s="1">
        <f t="shared" ca="1" si="154"/>
        <v>2.8489233999513277</v>
      </c>
      <c r="Y159" s="1">
        <f t="shared" ca="1" si="155"/>
        <v>0.73051705416917478</v>
      </c>
      <c r="Z159" s="1">
        <f t="shared" ca="1" si="156"/>
        <v>1238</v>
      </c>
      <c r="AB159" s="1">
        <f t="shared" ca="1" si="157"/>
        <v>0.74973156868028623</v>
      </c>
      <c r="AC159" s="1">
        <f t="shared" ca="1" si="158"/>
        <v>531</v>
      </c>
      <c r="AD159" s="1">
        <f t="shared" ca="1" si="159"/>
        <v>9.0037817684716481E-3</v>
      </c>
      <c r="AE159" s="1"/>
      <c r="AF159" s="1">
        <f t="shared" ca="1" si="160"/>
        <v>0.86187436911755899</v>
      </c>
      <c r="AG159" s="1">
        <f t="shared" ca="1" si="161"/>
        <v>882</v>
      </c>
      <c r="AH159" s="1">
        <f t="shared" ca="1" si="162"/>
        <v>4.5847610683765567E-3</v>
      </c>
      <c r="AJ159" s="1">
        <f t="shared" ca="1" si="163"/>
        <v>0.27582012985422244</v>
      </c>
      <c r="AK159" s="1">
        <f t="shared" ca="1" si="164"/>
        <v>2.7153445825621107E-3</v>
      </c>
      <c r="AL159" s="1"/>
      <c r="AM159" s="1">
        <f t="shared" ca="1" si="165"/>
        <v>0.15281862330629298</v>
      </c>
      <c r="AN159" s="1">
        <f t="shared" ca="1" si="166"/>
        <v>72</v>
      </c>
      <c r="AO159" s="1">
        <f t="shared" ca="1" si="167"/>
        <v>8</v>
      </c>
      <c r="AQ159" s="1">
        <f t="shared" ca="1" si="168"/>
        <v>162</v>
      </c>
      <c r="AR159" s="1">
        <f t="shared" ca="1" si="169"/>
        <v>4</v>
      </c>
      <c r="AS159" s="1">
        <f t="shared" ca="1" si="170"/>
        <v>76</v>
      </c>
      <c r="AU159" s="1">
        <f t="shared" ca="1" si="171"/>
        <v>282</v>
      </c>
      <c r="AV159" s="1">
        <f t="shared" ca="1" si="172"/>
        <v>9</v>
      </c>
      <c r="AW159" s="1">
        <f t="shared" ca="1" si="173"/>
        <v>0.1164425044546218</v>
      </c>
      <c r="AY159" s="1">
        <f t="shared" ca="1" si="174"/>
        <v>1.4032409644419885</v>
      </c>
      <c r="AZ159" s="1">
        <f t="shared" ca="1" si="175"/>
        <v>402</v>
      </c>
      <c r="BA159" s="1">
        <f t="shared" ca="1" si="176"/>
        <v>2.9816081900108783E-3</v>
      </c>
      <c r="BG159" s="1">
        <f t="shared" ca="1" si="177"/>
        <v>0.76944183502363284</v>
      </c>
      <c r="BH159" s="1">
        <f t="shared" ca="1" si="178"/>
        <v>4.613690505447432E-2</v>
      </c>
      <c r="BI159" s="1">
        <f t="shared" ca="1" si="179"/>
        <v>299</v>
      </c>
      <c r="BV159" s="1">
        <f t="shared" ca="1" si="180"/>
        <v>0.25680606265877676</v>
      </c>
      <c r="BW159" s="1">
        <f t="shared" ca="1" si="181"/>
        <v>603</v>
      </c>
      <c r="BX159" s="1">
        <f t="shared" ca="1" si="182"/>
        <v>1.626855238229202E-3</v>
      </c>
      <c r="BY159" s="1">
        <f t="shared" ca="1" si="183"/>
        <v>6.6438201007635034E-2</v>
      </c>
      <c r="BZ159" s="1">
        <f t="shared" ca="1" si="184"/>
        <v>0.34470956669803643</v>
      </c>
      <c r="CB159" s="1">
        <f t="shared" ca="1" si="185"/>
        <v>132</v>
      </c>
      <c r="CC159" s="1">
        <f t="shared" ca="1" si="186"/>
        <v>13</v>
      </c>
      <c r="CD159" s="1">
        <f t="shared" ca="1" si="187"/>
        <v>0.22219652878317517</v>
      </c>
      <c r="CE159" s="1">
        <f t="shared" ca="1" si="188"/>
        <v>0.5531012413536176</v>
      </c>
      <c r="CF159" s="1">
        <f t="shared" ca="1" si="188"/>
        <v>0.89876113824814241</v>
      </c>
      <c r="CH159" s="3">
        <f t="shared" ca="1" si="189"/>
        <v>0.19837980403318234</v>
      </c>
      <c r="CI159" s="3">
        <f t="shared" ca="1" si="190"/>
        <v>0.78653154278322834</v>
      </c>
      <c r="CJ159" s="3">
        <f t="shared" ca="1" si="191"/>
        <v>1733</v>
      </c>
      <c r="CK159" s="3">
        <f t="shared" ca="1" si="192"/>
        <v>1.4489030633808655E-3</v>
      </c>
      <c r="CL159" s="3">
        <f t="shared" ca="1" si="193"/>
        <v>1</v>
      </c>
      <c r="CM159" s="3"/>
      <c r="CN159" s="1">
        <f t="shared" ca="1" si="194"/>
        <v>13.24292644014192</v>
      </c>
      <c r="CO159" s="1">
        <f t="shared" ca="1" si="195"/>
        <v>0.19998529411953014</v>
      </c>
      <c r="CP159" s="1">
        <f t="shared" ca="1" si="196"/>
        <v>4</v>
      </c>
      <c r="CV159" s="1">
        <f t="shared" ca="1" si="197"/>
        <v>4.8710628489663312</v>
      </c>
      <c r="CW159" s="1">
        <f t="shared" ca="1" si="198"/>
        <v>1375</v>
      </c>
      <c r="CX159" s="1">
        <f t="shared" ca="1" si="199"/>
        <v>9.6994493971677472E-3</v>
      </c>
      <c r="DH159" s="1">
        <f t="shared" ca="1" si="200"/>
        <v>20</v>
      </c>
      <c r="DI159" s="1">
        <f t="shared" ca="1" si="201"/>
        <v>0.79025510847288583</v>
      </c>
      <c r="DJ159" s="1">
        <f t="shared" ca="1" si="202"/>
        <v>29</v>
      </c>
      <c r="DL159" s="1">
        <f t="shared" ca="1" si="203"/>
        <v>5.7262842328455521E-2</v>
      </c>
      <c r="DM159" s="1">
        <f t="shared" ca="1" si="204"/>
        <v>183</v>
      </c>
      <c r="DN159" s="1">
        <f t="shared" ca="1" si="205"/>
        <v>6</v>
      </c>
    </row>
    <row r="160" spans="2:118" x14ac:dyDescent="0.25">
      <c r="B160">
        <f t="shared" ca="1" si="138"/>
        <v>422</v>
      </c>
      <c r="C160">
        <f t="shared" ca="1" si="139"/>
        <v>12</v>
      </c>
      <c r="D160">
        <f t="shared" ca="1" si="140"/>
        <v>0.26439195556056055</v>
      </c>
      <c r="F160" s="1">
        <f t="shared" ca="1" si="141"/>
        <v>14</v>
      </c>
      <c r="G160" s="1">
        <f t="shared" ca="1" si="142"/>
        <v>21</v>
      </c>
      <c r="H160" s="1">
        <f t="shared" ca="1" si="143"/>
        <v>11</v>
      </c>
      <c r="I160" s="1"/>
      <c r="J160" s="1">
        <f t="shared" ca="1" si="144"/>
        <v>11</v>
      </c>
      <c r="K160" s="1">
        <f t="shared" ca="1" si="145"/>
        <v>1.730158716202739</v>
      </c>
      <c r="L160" s="1">
        <f t="shared" ca="1" si="146"/>
        <v>11</v>
      </c>
      <c r="M160" s="1"/>
      <c r="N160" s="1">
        <f t="shared" ca="1" si="147"/>
        <v>691</v>
      </c>
      <c r="O160" s="1">
        <f t="shared" ca="1" si="148"/>
        <v>26</v>
      </c>
      <c r="P160" s="1"/>
      <c r="Q160" s="1">
        <f t="shared" ca="1" si="149"/>
        <v>2.2562177795224816</v>
      </c>
      <c r="R160" s="1">
        <f t="shared" ca="1" si="150"/>
        <v>435</v>
      </c>
      <c r="S160" s="1"/>
      <c r="T160" s="1">
        <f t="shared" ca="1" si="151"/>
        <v>0.12161872428629762</v>
      </c>
      <c r="U160" s="1">
        <f t="shared" ca="1" si="152"/>
        <v>290</v>
      </c>
      <c r="V160" s="1">
        <f t="shared" ca="1" si="153"/>
        <v>14</v>
      </c>
      <c r="W160" s="1"/>
      <c r="X160" s="1">
        <f t="shared" ca="1" si="154"/>
        <v>6.166966299720805</v>
      </c>
      <c r="Y160" s="1">
        <f t="shared" ca="1" si="155"/>
        <v>0.52639637092193425</v>
      </c>
      <c r="Z160" s="1">
        <f t="shared" ca="1" si="156"/>
        <v>565</v>
      </c>
      <c r="AB160" s="1">
        <f t="shared" ca="1" si="157"/>
        <v>9.7122212183654733E-3</v>
      </c>
      <c r="AC160" s="1">
        <f t="shared" ca="1" si="158"/>
        <v>950</v>
      </c>
      <c r="AD160" s="1">
        <f t="shared" ca="1" si="159"/>
        <v>8.1842480488064258E-3</v>
      </c>
      <c r="AE160" s="1"/>
      <c r="AF160" s="1">
        <f t="shared" ca="1" si="160"/>
        <v>0.19005472857136169</v>
      </c>
      <c r="AG160" s="1">
        <f t="shared" ca="1" si="161"/>
        <v>879</v>
      </c>
      <c r="AH160" s="1">
        <f t="shared" ca="1" si="162"/>
        <v>2.2302663707770014E-3</v>
      </c>
      <c r="AJ160" s="1">
        <f t="shared" ca="1" si="163"/>
        <v>0.40497166412838448</v>
      </c>
      <c r="AK160" s="1">
        <f t="shared" ca="1" si="164"/>
        <v>3.4902115835671039E-3</v>
      </c>
      <c r="AL160" s="1"/>
      <c r="AM160" s="1">
        <f t="shared" ca="1" si="165"/>
        <v>4.3102737553305459E-2</v>
      </c>
      <c r="AN160" s="1">
        <f t="shared" ca="1" si="166"/>
        <v>33</v>
      </c>
      <c r="AO160" s="1">
        <f t="shared" ca="1" si="167"/>
        <v>11</v>
      </c>
      <c r="AQ160" s="1">
        <f t="shared" ca="1" si="168"/>
        <v>43</v>
      </c>
      <c r="AR160" s="1">
        <f t="shared" ca="1" si="169"/>
        <v>1</v>
      </c>
      <c r="AS160" s="1">
        <f t="shared" ca="1" si="170"/>
        <v>48</v>
      </c>
      <c r="AU160" s="1">
        <f t="shared" ca="1" si="171"/>
        <v>125</v>
      </c>
      <c r="AV160" s="1">
        <f t="shared" ca="1" si="172"/>
        <v>2</v>
      </c>
      <c r="AW160" s="1">
        <f t="shared" ca="1" si="173"/>
        <v>4.1786995180159901E-2</v>
      </c>
      <c r="AY160" s="1">
        <f t="shared" ca="1" si="174"/>
        <v>1.2957984928782165</v>
      </c>
      <c r="AZ160" s="1">
        <f t="shared" ca="1" si="175"/>
        <v>389</v>
      </c>
      <c r="BA160" s="1">
        <f t="shared" ca="1" si="176"/>
        <v>3.7375494750564475E-3</v>
      </c>
      <c r="BG160" s="1">
        <f t="shared" ca="1" si="177"/>
        <v>4.5442042124458027E-3</v>
      </c>
      <c r="BH160" s="1">
        <f t="shared" ca="1" si="178"/>
        <v>0.82744320533813642</v>
      </c>
      <c r="BI160" s="1">
        <f t="shared" ca="1" si="179"/>
        <v>617</v>
      </c>
      <c r="BV160" s="1">
        <f t="shared" ca="1" si="180"/>
        <v>0.77702897356815781</v>
      </c>
      <c r="BW160" s="1">
        <f t="shared" ca="1" si="181"/>
        <v>883</v>
      </c>
      <c r="BX160" s="1">
        <f t="shared" ca="1" si="182"/>
        <v>1.1853008629608042E-3</v>
      </c>
      <c r="BY160" s="1">
        <f t="shared" ca="1" si="183"/>
        <v>4.0006121907405143E-2</v>
      </c>
      <c r="BZ160" s="1">
        <f t="shared" ca="1" si="184"/>
        <v>0.21873596161879016</v>
      </c>
      <c r="CB160" s="1">
        <f t="shared" ca="1" si="185"/>
        <v>77</v>
      </c>
      <c r="CC160" s="1">
        <f t="shared" ca="1" si="186"/>
        <v>4</v>
      </c>
      <c r="CD160" s="1">
        <f t="shared" ca="1" si="187"/>
        <v>0.23624764757454786</v>
      </c>
      <c r="CE160" s="1">
        <f t="shared" ca="1" si="188"/>
        <v>0.62429995858402743</v>
      </c>
      <c r="CF160" s="1">
        <f t="shared" ca="1" si="188"/>
        <v>0.50433519615376121</v>
      </c>
      <c r="CH160" s="3">
        <f t="shared" ca="1" si="189"/>
        <v>0.76430065483127607</v>
      </c>
      <c r="CI160" s="3">
        <f t="shared" ca="1" si="190"/>
        <v>0.77964557631262454</v>
      </c>
      <c r="CJ160" s="3">
        <f t="shared" ca="1" si="191"/>
        <v>142</v>
      </c>
      <c r="CK160" s="3">
        <f t="shared" ca="1" si="192"/>
        <v>5.9661427546962315E-3</v>
      </c>
      <c r="CL160" s="3">
        <f t="shared" ca="1" si="193"/>
        <v>0</v>
      </c>
      <c r="CM160" s="3"/>
      <c r="CN160" s="1">
        <f t="shared" ca="1" si="194"/>
        <v>19.637070311695904</v>
      </c>
      <c r="CO160" s="1">
        <f t="shared" ca="1" si="195"/>
        <v>0.39129193414383912</v>
      </c>
      <c r="CP160" s="1">
        <f t="shared" ca="1" si="196"/>
        <v>1</v>
      </c>
      <c r="CV160" s="1">
        <f t="shared" ca="1" si="197"/>
        <v>4.9486866945233707</v>
      </c>
      <c r="CW160" s="1">
        <f t="shared" ca="1" si="198"/>
        <v>240</v>
      </c>
      <c r="CX160" s="1">
        <f t="shared" ca="1" si="199"/>
        <v>3.9187560606015123E-3</v>
      </c>
      <c r="DH160" s="1">
        <f t="shared" ca="1" si="200"/>
        <v>14</v>
      </c>
      <c r="DI160" s="1">
        <f t="shared" ca="1" si="201"/>
        <v>0.96012918429074923</v>
      </c>
      <c r="DJ160" s="1">
        <f t="shared" ca="1" si="202"/>
        <v>9</v>
      </c>
      <c r="DL160" s="1">
        <f t="shared" ca="1" si="203"/>
        <v>8.7108360302916493E-2</v>
      </c>
      <c r="DM160" s="1">
        <f t="shared" ca="1" si="204"/>
        <v>125</v>
      </c>
      <c r="DN160" s="1">
        <f t="shared" ca="1" si="205"/>
        <v>9</v>
      </c>
    </row>
    <row r="161" spans="2:118" x14ac:dyDescent="0.25">
      <c r="B161">
        <f t="shared" ca="1" si="138"/>
        <v>193</v>
      </c>
      <c r="C161">
        <f t="shared" ca="1" si="139"/>
        <v>12</v>
      </c>
      <c r="D161">
        <f t="shared" ca="1" si="140"/>
        <v>6.2193186599240884E-2</v>
      </c>
      <c r="F161" s="1">
        <f t="shared" ca="1" si="141"/>
        <v>30</v>
      </c>
      <c r="G161" s="1">
        <f t="shared" ca="1" si="142"/>
        <v>18</v>
      </c>
      <c r="H161" s="1">
        <f t="shared" ca="1" si="143"/>
        <v>9</v>
      </c>
      <c r="I161" s="1"/>
      <c r="J161" s="1">
        <f t="shared" ca="1" si="144"/>
        <v>21</v>
      </c>
      <c r="K161" s="1">
        <f t="shared" ca="1" si="145"/>
        <v>1.5311991337761299</v>
      </c>
      <c r="L161" s="1">
        <f t="shared" ca="1" si="146"/>
        <v>10</v>
      </c>
      <c r="M161" s="1"/>
      <c r="N161" s="1">
        <f t="shared" ca="1" si="147"/>
        <v>983</v>
      </c>
      <c r="O161" s="1">
        <f t="shared" ca="1" si="148"/>
        <v>23</v>
      </c>
      <c r="P161" s="1"/>
      <c r="Q161" s="1">
        <f t="shared" ca="1" si="149"/>
        <v>1.8395045260316971</v>
      </c>
      <c r="R161" s="1">
        <f t="shared" ca="1" si="150"/>
        <v>863</v>
      </c>
      <c r="S161" s="1"/>
      <c r="T161" s="1">
        <f t="shared" ca="1" si="151"/>
        <v>8.987203989461702E-2</v>
      </c>
      <c r="U161" s="1">
        <f t="shared" ca="1" si="152"/>
        <v>313</v>
      </c>
      <c r="V161" s="1">
        <f t="shared" ca="1" si="153"/>
        <v>51</v>
      </c>
      <c r="W161" s="1"/>
      <c r="X161" s="1">
        <f t="shared" ca="1" si="154"/>
        <v>3.5599478040680661</v>
      </c>
      <c r="Y161" s="1">
        <f t="shared" ca="1" si="155"/>
        <v>0.76405901077657712</v>
      </c>
      <c r="Z161" s="1">
        <f t="shared" ca="1" si="156"/>
        <v>577</v>
      </c>
      <c r="AB161" s="1">
        <f t="shared" ca="1" si="157"/>
        <v>0.51516855875967127</v>
      </c>
      <c r="AC161" s="1">
        <f t="shared" ca="1" si="158"/>
        <v>262</v>
      </c>
      <c r="AD161" s="1">
        <f t="shared" ca="1" si="159"/>
        <v>2.4369348102276137E-3</v>
      </c>
      <c r="AE161" s="1"/>
      <c r="AF161" s="1">
        <f t="shared" ca="1" si="160"/>
        <v>0.26257543473332245</v>
      </c>
      <c r="AG161" s="1">
        <f t="shared" ca="1" si="161"/>
        <v>521</v>
      </c>
      <c r="AH161" s="1">
        <f t="shared" ca="1" si="162"/>
        <v>6.5830712514963734E-3</v>
      </c>
      <c r="AJ161" s="1">
        <f t="shared" ca="1" si="163"/>
        <v>0.6257204384160302</v>
      </c>
      <c r="AK161" s="1">
        <f t="shared" ca="1" si="164"/>
        <v>8.5453093959823034E-3</v>
      </c>
      <c r="AL161" s="1"/>
      <c r="AM161" s="1">
        <f t="shared" ca="1" si="165"/>
        <v>4.3867371106588414E-2</v>
      </c>
      <c r="AN161" s="1">
        <f t="shared" ca="1" si="166"/>
        <v>62</v>
      </c>
      <c r="AO161" s="1">
        <f t="shared" ca="1" si="167"/>
        <v>1</v>
      </c>
      <c r="AQ161" s="1">
        <f t="shared" ca="1" si="168"/>
        <v>131</v>
      </c>
      <c r="AR161" s="1">
        <f t="shared" ca="1" si="169"/>
        <v>2</v>
      </c>
      <c r="AS161" s="1">
        <f t="shared" ca="1" si="170"/>
        <v>25</v>
      </c>
      <c r="AU161" s="1">
        <f t="shared" ca="1" si="171"/>
        <v>85</v>
      </c>
      <c r="AV161" s="1">
        <f t="shared" ca="1" si="172"/>
        <v>9</v>
      </c>
      <c r="AW161" s="1">
        <f t="shared" ca="1" si="173"/>
        <v>0.14002397902664804</v>
      </c>
      <c r="AY161" s="1">
        <f t="shared" ca="1" si="174"/>
        <v>1.1659926742765327</v>
      </c>
      <c r="AZ161" s="1">
        <f t="shared" ca="1" si="175"/>
        <v>453</v>
      </c>
      <c r="BA161" s="1">
        <f t="shared" ca="1" si="176"/>
        <v>3.1849040045194375E-3</v>
      </c>
      <c r="BG161" s="1">
        <f t="shared" ca="1" si="177"/>
        <v>0.13939224210066065</v>
      </c>
      <c r="BH161" s="1">
        <f t="shared" ca="1" si="178"/>
        <v>0.57694844760276076</v>
      </c>
      <c r="BI161" s="1">
        <f t="shared" ca="1" si="179"/>
        <v>728</v>
      </c>
      <c r="BV161" s="1">
        <f t="shared" ca="1" si="180"/>
        <v>0.36045867991635366</v>
      </c>
      <c r="BW161" s="1">
        <f t="shared" ca="1" si="181"/>
        <v>430</v>
      </c>
      <c r="BX161" s="1">
        <f t="shared" ca="1" si="182"/>
        <v>6.3329816925562638E-3</v>
      </c>
      <c r="BY161" s="1">
        <f t="shared" ca="1" si="183"/>
        <v>5.2745582190607231E-2</v>
      </c>
      <c r="BZ161" s="1">
        <f t="shared" ca="1" si="184"/>
        <v>0.13230167357629263</v>
      </c>
      <c r="CB161" s="1">
        <f t="shared" ca="1" si="185"/>
        <v>379</v>
      </c>
      <c r="CC161" s="1">
        <f t="shared" ca="1" si="186"/>
        <v>11</v>
      </c>
      <c r="CD161" s="1">
        <f t="shared" ca="1" si="187"/>
        <v>0.29818180418413603</v>
      </c>
      <c r="CE161" s="1">
        <f t="shared" ca="1" si="188"/>
        <v>0.73518752437145518</v>
      </c>
      <c r="CF161" s="1">
        <f t="shared" ca="1" si="188"/>
        <v>0.68685771806130147</v>
      </c>
      <c r="CH161" s="3">
        <f t="shared" ca="1" si="189"/>
        <v>0.76464413988251578</v>
      </c>
      <c r="CI161" s="3">
        <f t="shared" ca="1" si="190"/>
        <v>0.63248802312048813</v>
      </c>
      <c r="CJ161" s="3">
        <f t="shared" ca="1" si="191"/>
        <v>1688</v>
      </c>
      <c r="CK161" s="3">
        <f t="shared" ca="1" si="192"/>
        <v>5.4921203329015532E-3</v>
      </c>
      <c r="CL161" s="3">
        <f t="shared" ca="1" si="193"/>
        <v>1</v>
      </c>
      <c r="CM161" s="3"/>
      <c r="CN161" s="1">
        <f t="shared" ca="1" si="194"/>
        <v>13.719193620105152</v>
      </c>
      <c r="CO161" s="1">
        <f t="shared" ca="1" si="195"/>
        <v>8.0215975085603519E-2</v>
      </c>
      <c r="CP161" s="1">
        <f t="shared" ca="1" si="196"/>
        <v>1</v>
      </c>
      <c r="CV161" s="1">
        <f t="shared" ca="1" si="197"/>
        <v>5.8718554229191788</v>
      </c>
      <c r="CW161" s="1">
        <f t="shared" ca="1" si="198"/>
        <v>1033</v>
      </c>
      <c r="CX161" s="1">
        <f t="shared" ca="1" si="199"/>
        <v>8.6742385778258279E-3</v>
      </c>
      <c r="DH161" s="1">
        <f t="shared" ca="1" si="200"/>
        <v>594</v>
      </c>
      <c r="DI161" s="1">
        <f t="shared" ca="1" si="201"/>
        <v>0.28536913278075454</v>
      </c>
      <c r="DJ161" s="1">
        <f t="shared" ca="1" si="202"/>
        <v>28</v>
      </c>
      <c r="DL161" s="1">
        <f t="shared" ca="1" si="203"/>
        <v>3.9542526730243367E-2</v>
      </c>
      <c r="DM161" s="1">
        <f t="shared" ca="1" si="204"/>
        <v>123</v>
      </c>
      <c r="DN161" s="1">
        <f t="shared" ca="1" si="205"/>
        <v>2</v>
      </c>
    </row>
    <row r="162" spans="2:118" x14ac:dyDescent="0.25">
      <c r="B162">
        <f t="shared" ca="1" si="138"/>
        <v>510</v>
      </c>
      <c r="C162">
        <f t="shared" ca="1" si="139"/>
        <v>51</v>
      </c>
      <c r="D162">
        <f t="shared" ca="1" si="140"/>
        <v>0.11011169246914078</v>
      </c>
      <c r="F162" s="1">
        <f t="shared" ca="1" si="141"/>
        <v>49</v>
      </c>
      <c r="G162" s="1">
        <f t="shared" ca="1" si="142"/>
        <v>5</v>
      </c>
      <c r="H162" s="1">
        <f t="shared" ca="1" si="143"/>
        <v>6</v>
      </c>
      <c r="I162" s="1"/>
      <c r="J162" s="1">
        <f t="shared" ca="1" si="144"/>
        <v>33</v>
      </c>
      <c r="K162" s="1">
        <f t="shared" ca="1" si="145"/>
        <v>2.1025435436843294</v>
      </c>
      <c r="L162" s="1">
        <f t="shared" ca="1" si="146"/>
        <v>2</v>
      </c>
      <c r="M162" s="1"/>
      <c r="N162" s="1">
        <f t="shared" ca="1" si="147"/>
        <v>298</v>
      </c>
      <c r="O162" s="1">
        <f t="shared" ca="1" si="148"/>
        <v>10</v>
      </c>
      <c r="P162" s="1"/>
      <c r="Q162" s="1">
        <f t="shared" ca="1" si="149"/>
        <v>3.8316228882093316E-2</v>
      </c>
      <c r="R162" s="1">
        <f t="shared" ca="1" si="150"/>
        <v>951</v>
      </c>
      <c r="S162" s="1"/>
      <c r="T162" s="1">
        <f t="shared" ca="1" si="151"/>
        <v>5.3748457133960724E-2</v>
      </c>
      <c r="U162" s="1">
        <f t="shared" ca="1" si="152"/>
        <v>289</v>
      </c>
      <c r="V162" s="1">
        <f t="shared" ca="1" si="153"/>
        <v>51</v>
      </c>
      <c r="W162" s="1"/>
      <c r="X162" s="1">
        <f t="shared" ca="1" si="154"/>
        <v>6.1242064808935703</v>
      </c>
      <c r="Y162" s="1">
        <f t="shared" ca="1" si="155"/>
        <v>0.14271727840852483</v>
      </c>
      <c r="Z162" s="1">
        <f t="shared" ca="1" si="156"/>
        <v>351</v>
      </c>
      <c r="AB162" s="1">
        <f t="shared" ca="1" si="157"/>
        <v>0.39528202323860751</v>
      </c>
      <c r="AC162" s="1">
        <f t="shared" ca="1" si="158"/>
        <v>783</v>
      </c>
      <c r="AD162" s="1">
        <f t="shared" ca="1" si="159"/>
        <v>7.8147458000445667E-3</v>
      </c>
      <c r="AE162" s="1"/>
      <c r="AF162" s="1">
        <f t="shared" ca="1" si="160"/>
        <v>0.80790312845128831</v>
      </c>
      <c r="AG162" s="1">
        <f t="shared" ca="1" si="161"/>
        <v>325</v>
      </c>
      <c r="AH162" s="1">
        <f t="shared" ca="1" si="162"/>
        <v>9.867056585452014E-3</v>
      </c>
      <c r="AJ162" s="1">
        <f t="shared" ca="1" si="163"/>
        <v>0.84618090919627165</v>
      </c>
      <c r="AK162" s="1">
        <f t="shared" ca="1" si="164"/>
        <v>9.2130311933394399E-3</v>
      </c>
      <c r="AL162" s="1"/>
      <c r="AM162" s="1">
        <f t="shared" ca="1" si="165"/>
        <v>0.17995480978504941</v>
      </c>
      <c r="AN162" s="1">
        <f t="shared" ca="1" si="166"/>
        <v>51</v>
      </c>
      <c r="AO162" s="1">
        <f t="shared" ca="1" si="167"/>
        <v>2</v>
      </c>
      <c r="AQ162" s="1">
        <f t="shared" ca="1" si="168"/>
        <v>34</v>
      </c>
      <c r="AR162" s="1">
        <f t="shared" ca="1" si="169"/>
        <v>9</v>
      </c>
      <c r="AS162" s="1">
        <f t="shared" ca="1" si="170"/>
        <v>67</v>
      </c>
      <c r="AU162" s="1">
        <f t="shared" ca="1" si="171"/>
        <v>61</v>
      </c>
      <c r="AV162" s="1">
        <f t="shared" ca="1" si="172"/>
        <v>3</v>
      </c>
      <c r="AW162" s="1">
        <f t="shared" ca="1" si="173"/>
        <v>1.1806848105895799E-2</v>
      </c>
      <c r="AY162" s="1">
        <f t="shared" ca="1" si="174"/>
        <v>1.7677383670971731</v>
      </c>
      <c r="AZ162" s="1">
        <f t="shared" ca="1" si="175"/>
        <v>354</v>
      </c>
      <c r="BA162" s="1">
        <f t="shared" ca="1" si="176"/>
        <v>5.7684373577927489E-3</v>
      </c>
      <c r="BG162" s="1">
        <f t="shared" ca="1" si="177"/>
        <v>0.52681196205509484</v>
      </c>
      <c r="BH162" s="1">
        <f t="shared" ca="1" si="178"/>
        <v>0.77566127700629628</v>
      </c>
      <c r="BI162" s="1">
        <f t="shared" ca="1" si="179"/>
        <v>670</v>
      </c>
      <c r="BV162" s="1">
        <f t="shared" ca="1" si="180"/>
        <v>0.92071333403892175</v>
      </c>
      <c r="BW162" s="1">
        <f t="shared" ca="1" si="181"/>
        <v>783</v>
      </c>
      <c r="BX162" s="1">
        <f t="shared" ca="1" si="182"/>
        <v>7.8318016175831472E-3</v>
      </c>
      <c r="BY162" s="1">
        <f t="shared" ca="1" si="183"/>
        <v>8.8135697770345814E-2</v>
      </c>
      <c r="BZ162" s="1">
        <f t="shared" ca="1" si="184"/>
        <v>0.34327511144174827</v>
      </c>
      <c r="CB162" s="1">
        <f t="shared" ca="1" si="185"/>
        <v>264</v>
      </c>
      <c r="CC162" s="1">
        <f t="shared" ca="1" si="186"/>
        <v>3</v>
      </c>
      <c r="CD162" s="1">
        <f t="shared" ca="1" si="187"/>
        <v>0.1964624156489462</v>
      </c>
      <c r="CE162" s="1">
        <f t="shared" ca="1" si="188"/>
        <v>0.61548724137693589</v>
      </c>
      <c r="CF162" s="1">
        <f t="shared" ca="1" si="188"/>
        <v>0.74260825724553436</v>
      </c>
      <c r="CH162" s="3">
        <f t="shared" ca="1" si="189"/>
        <v>9.8092781867008982E-2</v>
      </c>
      <c r="CI162" s="3">
        <f t="shared" ca="1" si="190"/>
        <v>0.78637672146903526</v>
      </c>
      <c r="CJ162" s="3">
        <f t="shared" ca="1" si="191"/>
        <v>1439</v>
      </c>
      <c r="CK162" s="3">
        <f t="shared" ca="1" si="192"/>
        <v>1.4155306867225733E-3</v>
      </c>
      <c r="CL162" s="3">
        <f t="shared" ca="1" si="193"/>
        <v>1</v>
      </c>
      <c r="CM162" s="3"/>
      <c r="CN162" s="1">
        <f t="shared" ca="1" si="194"/>
        <v>6.800866170907172</v>
      </c>
      <c r="CO162" s="1">
        <f t="shared" ca="1" si="195"/>
        <v>0.39217017238117019</v>
      </c>
      <c r="CP162" s="1">
        <f t="shared" ca="1" si="196"/>
        <v>4</v>
      </c>
      <c r="CV162" s="1">
        <f t="shared" ca="1" si="197"/>
        <v>3.2288867129690244</v>
      </c>
      <c r="CW162" s="1">
        <f t="shared" ca="1" si="198"/>
        <v>1173</v>
      </c>
      <c r="CX162" s="1">
        <f t="shared" ca="1" si="199"/>
        <v>3.9143535480218976E-3</v>
      </c>
      <c r="DH162" s="1">
        <f t="shared" ca="1" si="200"/>
        <v>482</v>
      </c>
      <c r="DI162" s="1">
        <f t="shared" ca="1" si="201"/>
        <v>0.73216539798154301</v>
      </c>
      <c r="DJ162" s="1">
        <f t="shared" ca="1" si="202"/>
        <v>1</v>
      </c>
      <c r="DL162" s="1">
        <f t="shared" ca="1" si="203"/>
        <v>0.18268397175434425</v>
      </c>
      <c r="DM162" s="1">
        <f t="shared" ca="1" si="204"/>
        <v>235</v>
      </c>
      <c r="DN162" s="1">
        <f t="shared" ca="1" si="205"/>
        <v>1</v>
      </c>
    </row>
    <row r="163" spans="2:118" x14ac:dyDescent="0.25">
      <c r="B163">
        <f t="shared" ca="1" si="138"/>
        <v>537</v>
      </c>
      <c r="C163">
        <f t="shared" ca="1" si="139"/>
        <v>48</v>
      </c>
      <c r="D163">
        <f t="shared" ca="1" si="140"/>
        <v>0.23949575264060682</v>
      </c>
      <c r="F163" s="1">
        <f t="shared" ca="1" si="141"/>
        <v>51</v>
      </c>
      <c r="G163" s="1">
        <f t="shared" ca="1" si="142"/>
        <v>27</v>
      </c>
      <c r="H163" s="1">
        <f t="shared" ca="1" si="143"/>
        <v>11</v>
      </c>
      <c r="I163" s="1"/>
      <c r="J163" s="1">
        <f t="shared" ca="1" si="144"/>
        <v>23</v>
      </c>
      <c r="K163" s="1">
        <f t="shared" ca="1" si="145"/>
        <v>2.4899174756460178</v>
      </c>
      <c r="L163" s="1">
        <f t="shared" ca="1" si="146"/>
        <v>13</v>
      </c>
      <c r="M163" s="1"/>
      <c r="N163" s="1">
        <f t="shared" ca="1" si="147"/>
        <v>254</v>
      </c>
      <c r="O163" s="1">
        <f t="shared" ca="1" si="148"/>
        <v>38</v>
      </c>
      <c r="P163" s="1"/>
      <c r="Q163" s="1">
        <f t="shared" ca="1" si="149"/>
        <v>0.93472577463494089</v>
      </c>
      <c r="R163" s="1">
        <f t="shared" ca="1" si="150"/>
        <v>796</v>
      </c>
      <c r="S163" s="1"/>
      <c r="T163" s="1">
        <f t="shared" ca="1" si="151"/>
        <v>4.6711690121703564E-2</v>
      </c>
      <c r="U163" s="1">
        <f t="shared" ca="1" si="152"/>
        <v>320</v>
      </c>
      <c r="V163" s="1">
        <f t="shared" ca="1" si="153"/>
        <v>35</v>
      </c>
      <c r="W163" s="1"/>
      <c r="X163" s="1">
        <f t="shared" ca="1" si="154"/>
        <v>0.10014967551144495</v>
      </c>
      <c r="Y163" s="1">
        <f t="shared" ca="1" si="155"/>
        <v>0.39685557258049453</v>
      </c>
      <c r="Z163" s="1">
        <f t="shared" ca="1" si="156"/>
        <v>624</v>
      </c>
      <c r="AB163" s="1">
        <f t="shared" ca="1" si="157"/>
        <v>0.87523660662956959</v>
      </c>
      <c r="AC163" s="1">
        <f t="shared" ca="1" si="158"/>
        <v>815</v>
      </c>
      <c r="AD163" s="1">
        <f t="shared" ca="1" si="159"/>
        <v>6.3227143183373895E-3</v>
      </c>
      <c r="AE163" s="1"/>
      <c r="AF163" s="1">
        <f t="shared" ca="1" si="160"/>
        <v>0.22772557934838142</v>
      </c>
      <c r="AG163" s="1">
        <f t="shared" ca="1" si="161"/>
        <v>633</v>
      </c>
      <c r="AH163" s="1">
        <f t="shared" ca="1" si="162"/>
        <v>3.9648616690229187E-3</v>
      </c>
      <c r="AJ163" s="1">
        <f t="shared" ca="1" si="163"/>
        <v>0.57502907772547007</v>
      </c>
      <c r="AK163" s="1">
        <f t="shared" ca="1" si="164"/>
        <v>8.9546444262634511E-3</v>
      </c>
      <c r="AL163" s="1"/>
      <c r="AM163" s="1">
        <f t="shared" ca="1" si="165"/>
        <v>0.10058344445305932</v>
      </c>
      <c r="AN163" s="1">
        <f t="shared" ca="1" si="166"/>
        <v>61</v>
      </c>
      <c r="AO163" s="1">
        <f t="shared" ca="1" si="167"/>
        <v>7</v>
      </c>
      <c r="AQ163" s="1">
        <f t="shared" ca="1" si="168"/>
        <v>147</v>
      </c>
      <c r="AR163" s="1">
        <f t="shared" ca="1" si="169"/>
        <v>10</v>
      </c>
      <c r="AS163" s="1">
        <f t="shared" ca="1" si="170"/>
        <v>70</v>
      </c>
      <c r="AU163" s="1">
        <f t="shared" ca="1" si="171"/>
        <v>318</v>
      </c>
      <c r="AV163" s="1">
        <f t="shared" ca="1" si="172"/>
        <v>2</v>
      </c>
      <c r="AW163" s="1">
        <f t="shared" ca="1" si="173"/>
        <v>0.1228235465905731</v>
      </c>
      <c r="AY163" s="1">
        <f t="shared" ca="1" si="174"/>
        <v>1.1161328595321649</v>
      </c>
      <c r="AZ163" s="1">
        <f t="shared" ca="1" si="175"/>
        <v>433</v>
      </c>
      <c r="BA163" s="1">
        <f t="shared" ca="1" si="176"/>
        <v>2.5162804963318268E-3</v>
      </c>
      <c r="BG163" s="1">
        <f t="shared" ca="1" si="177"/>
        <v>0.95407420170216362</v>
      </c>
      <c r="BH163" s="1">
        <f t="shared" ca="1" si="178"/>
        <v>0.23562589421456914</v>
      </c>
      <c r="BI163" s="1">
        <f t="shared" ca="1" si="179"/>
        <v>991</v>
      </c>
      <c r="BV163" s="1">
        <f t="shared" ca="1" si="180"/>
        <v>0.31843160141739824</v>
      </c>
      <c r="BW163" s="1">
        <f t="shared" ca="1" si="181"/>
        <v>587</v>
      </c>
      <c r="BX163" s="1">
        <f t="shared" ca="1" si="182"/>
        <v>8.7034950433886853E-3</v>
      </c>
      <c r="BY163" s="1">
        <f t="shared" ca="1" si="183"/>
        <v>5.3169898834752337E-2</v>
      </c>
      <c r="BZ163" s="1">
        <f t="shared" ca="1" si="184"/>
        <v>0.67916161606012815</v>
      </c>
      <c r="CB163" s="1">
        <f t="shared" ca="1" si="185"/>
        <v>365</v>
      </c>
      <c r="CC163" s="1">
        <f t="shared" ca="1" si="186"/>
        <v>5</v>
      </c>
      <c r="CD163" s="1">
        <f t="shared" ca="1" si="187"/>
        <v>8.3863550782896742E-2</v>
      </c>
      <c r="CE163" s="1">
        <f t="shared" ca="1" si="188"/>
        <v>0.65076875933010414</v>
      </c>
      <c r="CF163" s="1">
        <f t="shared" ca="1" si="188"/>
        <v>0.68998459420169655</v>
      </c>
      <c r="CH163" s="3">
        <f t="shared" ca="1" si="189"/>
        <v>0.87206187185507167</v>
      </c>
      <c r="CI163" s="3">
        <f t="shared" ca="1" si="190"/>
        <v>0.442277047852351</v>
      </c>
      <c r="CJ163" s="3">
        <f t="shared" ca="1" si="191"/>
        <v>238</v>
      </c>
      <c r="CK163" s="3">
        <f t="shared" ca="1" si="192"/>
        <v>9.7454007508339068E-3</v>
      </c>
      <c r="CL163" s="3">
        <f t="shared" ca="1" si="193"/>
        <v>1</v>
      </c>
      <c r="CM163" s="3"/>
      <c r="CN163" s="1">
        <f t="shared" ca="1" si="194"/>
        <v>17.761738634655806</v>
      </c>
      <c r="CO163" s="1">
        <f t="shared" ca="1" si="195"/>
        <v>0.20134714566757697</v>
      </c>
      <c r="CP163" s="1">
        <f t="shared" ca="1" si="196"/>
        <v>3</v>
      </c>
      <c r="CV163" s="1">
        <f t="shared" ca="1" si="197"/>
        <v>9.2917365480915848</v>
      </c>
      <c r="CW163" s="1">
        <f t="shared" ca="1" si="198"/>
        <v>1037</v>
      </c>
      <c r="CX163" s="1">
        <f t="shared" ca="1" si="199"/>
        <v>4.6744951367868654E-4</v>
      </c>
      <c r="DH163" s="1">
        <f t="shared" ca="1" si="200"/>
        <v>570</v>
      </c>
      <c r="DI163" s="1">
        <f t="shared" ca="1" si="201"/>
        <v>0.71220096826276014</v>
      </c>
      <c r="DJ163" s="1">
        <f t="shared" ca="1" si="202"/>
        <v>19</v>
      </c>
      <c r="DL163" s="1">
        <f t="shared" ca="1" si="203"/>
        <v>1.599610200685889E-2</v>
      </c>
      <c r="DM163" s="1">
        <f t="shared" ca="1" si="204"/>
        <v>245</v>
      </c>
      <c r="DN163" s="1">
        <f t="shared" ca="1" si="205"/>
        <v>8</v>
      </c>
    </row>
    <row r="164" spans="2:118" x14ac:dyDescent="0.25">
      <c r="B164">
        <f t="shared" ca="1" si="138"/>
        <v>790</v>
      </c>
      <c r="C164">
        <f t="shared" ca="1" si="139"/>
        <v>52</v>
      </c>
      <c r="D164">
        <f t="shared" ca="1" si="140"/>
        <v>0.16077211363981311</v>
      </c>
      <c r="F164" s="1">
        <f t="shared" ca="1" si="141"/>
        <v>24</v>
      </c>
      <c r="G164" s="1">
        <f t="shared" ca="1" si="142"/>
        <v>5</v>
      </c>
      <c r="H164" s="1">
        <f t="shared" ca="1" si="143"/>
        <v>13</v>
      </c>
      <c r="I164" s="1"/>
      <c r="J164" s="1">
        <f t="shared" ca="1" si="144"/>
        <v>39</v>
      </c>
      <c r="K164" s="1">
        <f t="shared" ca="1" si="145"/>
        <v>2.8029199312686783</v>
      </c>
      <c r="L164" s="1">
        <f t="shared" ca="1" si="146"/>
        <v>19</v>
      </c>
      <c r="M164" s="1"/>
      <c r="N164" s="1">
        <f t="shared" ca="1" si="147"/>
        <v>764</v>
      </c>
      <c r="O164" s="1">
        <f t="shared" ca="1" si="148"/>
        <v>32</v>
      </c>
      <c r="P164" s="1"/>
      <c r="Q164" s="1">
        <f t="shared" ca="1" si="149"/>
        <v>0.28896224460393882</v>
      </c>
      <c r="R164" s="1">
        <f t="shared" ca="1" si="150"/>
        <v>1113</v>
      </c>
      <c r="S164" s="1"/>
      <c r="T164" s="1">
        <f t="shared" ca="1" si="151"/>
        <v>0.15693914309448653</v>
      </c>
      <c r="U164" s="1">
        <f t="shared" ca="1" si="152"/>
        <v>389</v>
      </c>
      <c r="V164" s="1">
        <f t="shared" ca="1" si="153"/>
        <v>11</v>
      </c>
      <c r="W164" s="1"/>
      <c r="X164" s="1">
        <f t="shared" ca="1" si="154"/>
        <v>8.7362458256954536</v>
      </c>
      <c r="Y164" s="1">
        <f t="shared" ca="1" si="155"/>
        <v>0.47104419962906274</v>
      </c>
      <c r="Z164" s="1">
        <f t="shared" ca="1" si="156"/>
        <v>1459</v>
      </c>
      <c r="AB164" s="1">
        <f t="shared" ca="1" si="157"/>
        <v>0.71792699657391812</v>
      </c>
      <c r="AC164" s="1">
        <f t="shared" ca="1" si="158"/>
        <v>910</v>
      </c>
      <c r="AD164" s="1">
        <f t="shared" ca="1" si="159"/>
        <v>2.2308669358174055E-3</v>
      </c>
      <c r="AE164" s="1"/>
      <c r="AF164" s="1">
        <f t="shared" ca="1" si="160"/>
        <v>0.11954635050553285</v>
      </c>
      <c r="AG164" s="1">
        <f t="shared" ca="1" si="161"/>
        <v>378</v>
      </c>
      <c r="AH164" s="1">
        <f t="shared" ca="1" si="162"/>
        <v>8.5364143682956778E-3</v>
      </c>
      <c r="AJ164" s="1">
        <f t="shared" ca="1" si="163"/>
        <v>0.23247068995397402</v>
      </c>
      <c r="AK164" s="1">
        <f t="shared" ca="1" si="164"/>
        <v>8.9502760037533033E-3</v>
      </c>
      <c r="AL164" s="1"/>
      <c r="AM164" s="1">
        <f t="shared" ca="1" si="165"/>
        <v>0.17259622584393516</v>
      </c>
      <c r="AN164" s="1">
        <f t="shared" ca="1" si="166"/>
        <v>37</v>
      </c>
      <c r="AO164" s="1">
        <f t="shared" ca="1" si="167"/>
        <v>-1</v>
      </c>
      <c r="AQ164" s="1">
        <f t="shared" ca="1" si="168"/>
        <v>181</v>
      </c>
      <c r="AR164" s="1">
        <f t="shared" ca="1" si="169"/>
        <v>4</v>
      </c>
      <c r="AS164" s="1">
        <f t="shared" ca="1" si="170"/>
        <v>97</v>
      </c>
      <c r="AU164" s="1">
        <f t="shared" ca="1" si="171"/>
        <v>218</v>
      </c>
      <c r="AV164" s="1">
        <f t="shared" ca="1" si="172"/>
        <v>4</v>
      </c>
      <c r="AW164" s="1">
        <f t="shared" ca="1" si="173"/>
        <v>0.19862559761121981</v>
      </c>
      <c r="AY164" s="1">
        <f t="shared" ca="1" si="174"/>
        <v>1.478473068537812</v>
      </c>
      <c r="AZ164" s="1">
        <f t="shared" ca="1" si="175"/>
        <v>227</v>
      </c>
      <c r="BA164" s="1">
        <f t="shared" ca="1" si="176"/>
        <v>2.4961146102458046E-3</v>
      </c>
      <c r="BG164" s="1">
        <f t="shared" ca="1" si="177"/>
        <v>1.2142603771369978E-2</v>
      </c>
      <c r="BH164" s="1">
        <f t="shared" ca="1" si="178"/>
        <v>0.76016567021861203</v>
      </c>
      <c r="BI164" s="1">
        <f t="shared" ca="1" si="179"/>
        <v>162</v>
      </c>
      <c r="BV164" s="1">
        <f t="shared" ca="1" si="180"/>
        <v>0.64348530594396092</v>
      </c>
      <c r="BW164" s="1">
        <f t="shared" ca="1" si="181"/>
        <v>787</v>
      </c>
      <c r="BX164" s="1">
        <f t="shared" ca="1" si="182"/>
        <v>8.3128669688310366E-3</v>
      </c>
      <c r="BY164" s="1">
        <f t="shared" ca="1" si="183"/>
        <v>8.3289905477401005E-2</v>
      </c>
      <c r="BZ164" s="1">
        <f t="shared" ca="1" si="184"/>
        <v>0.82256092106680956</v>
      </c>
      <c r="CB164" s="1">
        <f t="shared" ca="1" si="185"/>
        <v>358</v>
      </c>
      <c r="CC164" s="1">
        <f t="shared" ca="1" si="186"/>
        <v>15</v>
      </c>
      <c r="CD164" s="1">
        <f t="shared" ca="1" si="187"/>
        <v>0.14465990427253952</v>
      </c>
      <c r="CE164" s="1">
        <f t="shared" ref="CE164:CF202" ca="1" si="206">RAND()*(1-0.5)+0.5</f>
        <v>0.61041844794675748</v>
      </c>
      <c r="CF164" s="1">
        <f t="shared" ca="1" si="206"/>
        <v>0.94132315462573768</v>
      </c>
      <c r="CH164" s="3">
        <f t="shared" ca="1" si="189"/>
        <v>0.95273838187287241</v>
      </c>
      <c r="CI164" s="3">
        <f t="shared" ca="1" si="190"/>
        <v>0.29683421301431562</v>
      </c>
      <c r="CJ164" s="3">
        <f t="shared" ca="1" si="191"/>
        <v>1217</v>
      </c>
      <c r="CK164" s="3">
        <f t="shared" ca="1" si="192"/>
        <v>8.4883677161955108E-4</v>
      </c>
      <c r="CL164" s="3">
        <f t="shared" ca="1" si="193"/>
        <v>0</v>
      </c>
      <c r="CM164" s="3"/>
      <c r="CN164" s="1">
        <f t="shared" ca="1" si="194"/>
        <v>3.0433415839978566</v>
      </c>
      <c r="CO164" s="1">
        <f t="shared" ca="1" si="195"/>
        <v>0.17540357115445993</v>
      </c>
      <c r="CP164" s="1">
        <f t="shared" ca="1" si="196"/>
        <v>3</v>
      </c>
      <c r="CV164" s="1">
        <f t="shared" ca="1" si="197"/>
        <v>6.4539241729081578</v>
      </c>
      <c r="CW164" s="1">
        <f t="shared" ca="1" si="198"/>
        <v>1115</v>
      </c>
      <c r="CX164" s="1">
        <f t="shared" ca="1" si="199"/>
        <v>9.0382732239744669E-3</v>
      </c>
      <c r="DH164" s="1">
        <f t="shared" ca="1" si="200"/>
        <v>548</v>
      </c>
      <c r="DI164" s="1">
        <f t="shared" ca="1" si="201"/>
        <v>0.8757261960641054</v>
      </c>
      <c r="DJ164" s="1">
        <f t="shared" ca="1" si="202"/>
        <v>26</v>
      </c>
      <c r="DL164" s="1">
        <f t="shared" ca="1" si="203"/>
        <v>0.18932202004860427</v>
      </c>
      <c r="DM164" s="1">
        <f t="shared" ca="1" si="204"/>
        <v>138</v>
      </c>
      <c r="DN164" s="1">
        <f t="shared" ca="1" si="205"/>
        <v>7</v>
      </c>
    </row>
    <row r="165" spans="2:118" x14ac:dyDescent="0.25">
      <c r="B165">
        <f t="shared" ca="1" si="138"/>
        <v>679</v>
      </c>
      <c r="C165">
        <f t="shared" ca="1" si="139"/>
        <v>50</v>
      </c>
      <c r="D165">
        <f t="shared" ca="1" si="140"/>
        <v>0.14164834755640018</v>
      </c>
      <c r="F165" s="1">
        <f t="shared" ca="1" si="141"/>
        <v>4</v>
      </c>
      <c r="G165" s="1">
        <f t="shared" ca="1" si="142"/>
        <v>10</v>
      </c>
      <c r="H165" s="1">
        <f t="shared" ca="1" si="143"/>
        <v>1</v>
      </c>
      <c r="I165" s="1"/>
      <c r="J165" s="1">
        <f t="shared" ca="1" si="144"/>
        <v>17</v>
      </c>
      <c r="K165" s="1">
        <f t="shared" ca="1" si="145"/>
        <v>2.7987955028875082</v>
      </c>
      <c r="L165" s="1">
        <f t="shared" ca="1" si="146"/>
        <v>6</v>
      </c>
      <c r="M165" s="1"/>
      <c r="N165" s="1">
        <f t="shared" ca="1" si="147"/>
        <v>333</v>
      </c>
      <c r="O165" s="1">
        <f t="shared" ca="1" si="148"/>
        <v>5</v>
      </c>
      <c r="P165" s="1"/>
      <c r="Q165" s="1">
        <f t="shared" ca="1" si="149"/>
        <v>4.9400392514565956</v>
      </c>
      <c r="R165" s="1">
        <f t="shared" ca="1" si="150"/>
        <v>815</v>
      </c>
      <c r="S165" s="1"/>
      <c r="T165" s="1">
        <f t="shared" ca="1" si="151"/>
        <v>0.19023102491803967</v>
      </c>
      <c r="U165" s="1">
        <f t="shared" ca="1" si="152"/>
        <v>136</v>
      </c>
      <c r="V165" s="1">
        <f t="shared" ca="1" si="153"/>
        <v>6</v>
      </c>
      <c r="W165" s="1"/>
      <c r="X165" s="1">
        <f t="shared" ca="1" si="154"/>
        <v>5.8315561759313432</v>
      </c>
      <c r="Y165" s="1">
        <f t="shared" ca="1" si="155"/>
        <v>0.65563031915711012</v>
      </c>
      <c r="Z165" s="1">
        <f t="shared" ca="1" si="156"/>
        <v>1062</v>
      </c>
      <c r="AB165" s="1">
        <f t="shared" ca="1" si="157"/>
        <v>0.85861082873870953</v>
      </c>
      <c r="AC165" s="1">
        <f t="shared" ca="1" si="158"/>
        <v>237</v>
      </c>
      <c r="AD165" s="1">
        <f t="shared" ca="1" si="159"/>
        <v>9.2456219686566695E-3</v>
      </c>
      <c r="AE165" s="1"/>
      <c r="AF165" s="1">
        <f t="shared" ca="1" si="160"/>
        <v>0.32307723711100533</v>
      </c>
      <c r="AG165" s="1">
        <f t="shared" ca="1" si="161"/>
        <v>552</v>
      </c>
      <c r="AH165" s="1">
        <f t="shared" ca="1" si="162"/>
        <v>7.014478576736728E-3</v>
      </c>
      <c r="AJ165" s="1">
        <f t="shared" ca="1" si="163"/>
        <v>0.80420383469721524</v>
      </c>
      <c r="AK165" s="1">
        <f t="shared" ca="1" si="164"/>
        <v>2.1332511615310224E-4</v>
      </c>
      <c r="AL165" s="1"/>
      <c r="AM165" s="1">
        <f t="shared" ca="1" si="165"/>
        <v>0.17603581490825865</v>
      </c>
      <c r="AN165" s="1">
        <f t="shared" ca="1" si="166"/>
        <v>57</v>
      </c>
      <c r="AO165" s="1">
        <f t="shared" ca="1" si="167"/>
        <v>12</v>
      </c>
      <c r="AQ165" s="1">
        <f t="shared" ca="1" si="168"/>
        <v>183</v>
      </c>
      <c r="AR165" s="1">
        <f t="shared" ca="1" si="169"/>
        <v>0</v>
      </c>
      <c r="AS165" s="1">
        <f t="shared" ca="1" si="170"/>
        <v>19</v>
      </c>
      <c r="AU165" s="1">
        <f t="shared" ca="1" si="171"/>
        <v>231</v>
      </c>
      <c r="AV165" s="1">
        <f t="shared" ca="1" si="172"/>
        <v>3</v>
      </c>
      <c r="AW165" s="1">
        <f t="shared" ca="1" si="173"/>
        <v>3.2256677586365703E-2</v>
      </c>
      <c r="AY165" s="1">
        <f t="shared" ca="1" si="174"/>
        <v>1.3517919753538592</v>
      </c>
      <c r="AZ165" s="1">
        <f t="shared" ca="1" si="175"/>
        <v>150</v>
      </c>
      <c r="BA165" s="1">
        <f t="shared" ca="1" si="176"/>
        <v>5.8888714422304922E-3</v>
      </c>
      <c r="BG165" s="1">
        <f t="shared" ca="1" si="177"/>
        <v>0.7504125678807736</v>
      </c>
      <c r="BH165" s="1">
        <f t="shared" ca="1" si="178"/>
        <v>0.73518857587121678</v>
      </c>
      <c r="BI165" s="1">
        <f t="shared" ca="1" si="179"/>
        <v>665</v>
      </c>
      <c r="BV165" s="1">
        <f t="shared" ca="1" si="180"/>
        <v>0.43760014835823735</v>
      </c>
      <c r="BW165" s="1">
        <f t="shared" ca="1" si="181"/>
        <v>983</v>
      </c>
      <c r="BX165" s="1">
        <f t="shared" ca="1" si="182"/>
        <v>8.5190604202344932E-3</v>
      </c>
      <c r="BY165" s="1">
        <f t="shared" ca="1" si="183"/>
        <v>3.4814774108164501E-3</v>
      </c>
      <c r="BZ165" s="1">
        <f t="shared" ca="1" si="184"/>
        <v>0.33383433225950243</v>
      </c>
      <c r="CB165" s="1">
        <f t="shared" ca="1" si="185"/>
        <v>412</v>
      </c>
      <c r="CC165" s="1">
        <f t="shared" ca="1" si="186"/>
        <v>4</v>
      </c>
      <c r="CD165" s="1">
        <f t="shared" ca="1" si="187"/>
        <v>0.14567227381813311</v>
      </c>
      <c r="CE165" s="1">
        <f t="shared" ca="1" si="206"/>
        <v>0.99440542122419873</v>
      </c>
      <c r="CF165" s="1">
        <f t="shared" ca="1" si="206"/>
        <v>0.60466598278698425</v>
      </c>
      <c r="CH165" s="3">
        <f t="shared" ca="1" si="189"/>
        <v>0.68235814014642737</v>
      </c>
      <c r="CI165" s="3">
        <f t="shared" ca="1" si="190"/>
        <v>0.10742679409231481</v>
      </c>
      <c r="CJ165" s="3">
        <f t="shared" ca="1" si="191"/>
        <v>404</v>
      </c>
      <c r="CK165" s="3">
        <f t="shared" ca="1" si="192"/>
        <v>8.9249109769685871E-3</v>
      </c>
      <c r="CL165" s="3">
        <f t="shared" ca="1" si="193"/>
        <v>0</v>
      </c>
      <c r="CM165" s="3"/>
      <c r="CN165" s="1">
        <f t="shared" ca="1" si="194"/>
        <v>11.457935715786766</v>
      </c>
      <c r="CO165" s="1">
        <f t="shared" ca="1" si="195"/>
        <v>0.25766116367344749</v>
      </c>
      <c r="CP165" s="1">
        <f t="shared" ca="1" si="196"/>
        <v>2</v>
      </c>
      <c r="CV165" s="1">
        <f t="shared" ca="1" si="197"/>
        <v>3.6385550897993082</v>
      </c>
      <c r="CW165" s="1">
        <f t="shared" ca="1" si="198"/>
        <v>1024</v>
      </c>
      <c r="CX165" s="1">
        <f t="shared" ca="1" si="199"/>
        <v>4.8109928618903152E-3</v>
      </c>
      <c r="DH165" s="1">
        <f t="shared" ca="1" si="200"/>
        <v>759</v>
      </c>
      <c r="DI165" s="1">
        <f t="shared" ca="1" si="201"/>
        <v>0.49679473938986723</v>
      </c>
      <c r="DJ165" s="1">
        <f t="shared" ca="1" si="202"/>
        <v>19</v>
      </c>
      <c r="DL165" s="1">
        <f t="shared" ca="1" si="203"/>
        <v>0.19492955977766277</v>
      </c>
      <c r="DM165" s="1">
        <f t="shared" ca="1" si="204"/>
        <v>180</v>
      </c>
      <c r="DN165" s="1">
        <f t="shared" ca="1" si="205"/>
        <v>2</v>
      </c>
    </row>
    <row r="166" spans="2:118" x14ac:dyDescent="0.25">
      <c r="B166">
        <f t="shared" ca="1" si="138"/>
        <v>286</v>
      </c>
      <c r="C166">
        <f t="shared" ca="1" si="139"/>
        <v>47</v>
      </c>
      <c r="D166">
        <f t="shared" ca="1" si="140"/>
        <v>9.5743027595180719E-2</v>
      </c>
      <c r="F166" s="1">
        <f t="shared" ca="1" si="141"/>
        <v>35</v>
      </c>
      <c r="G166" s="1">
        <f t="shared" ca="1" si="142"/>
        <v>23</v>
      </c>
      <c r="H166" s="1">
        <f t="shared" ca="1" si="143"/>
        <v>2</v>
      </c>
      <c r="I166" s="1"/>
      <c r="J166" s="1">
        <f t="shared" ca="1" si="144"/>
        <v>6</v>
      </c>
      <c r="K166" s="1">
        <f t="shared" ca="1" si="145"/>
        <v>1.6262749246155759</v>
      </c>
      <c r="L166" s="1">
        <f t="shared" ca="1" si="146"/>
        <v>32</v>
      </c>
      <c r="M166" s="1"/>
      <c r="N166" s="1">
        <f t="shared" ca="1" si="147"/>
        <v>242</v>
      </c>
      <c r="O166" s="1">
        <f t="shared" ca="1" si="148"/>
        <v>41</v>
      </c>
      <c r="P166" s="1"/>
      <c r="Q166" s="1">
        <f t="shared" ca="1" si="149"/>
        <v>0.29044573433945231</v>
      </c>
      <c r="R166" s="1">
        <f t="shared" ca="1" si="150"/>
        <v>818</v>
      </c>
      <c r="S166" s="1"/>
      <c r="T166" s="1">
        <f t="shared" ca="1" si="151"/>
        <v>9.9208363954805048E-2</v>
      </c>
      <c r="U166" s="1">
        <f t="shared" ca="1" si="152"/>
        <v>135</v>
      </c>
      <c r="V166" s="1">
        <f t="shared" ca="1" si="153"/>
        <v>21</v>
      </c>
      <c r="W166" s="1"/>
      <c r="X166" s="1">
        <f t="shared" ca="1" si="154"/>
        <v>1.984833811231522</v>
      </c>
      <c r="Y166" s="1">
        <f t="shared" ca="1" si="155"/>
        <v>0.64853826452696217</v>
      </c>
      <c r="Z166" s="1">
        <f t="shared" ca="1" si="156"/>
        <v>1731</v>
      </c>
      <c r="AB166" s="1">
        <f t="shared" ca="1" si="157"/>
        <v>0.3937495846417346</v>
      </c>
      <c r="AC166" s="1">
        <f t="shared" ca="1" si="158"/>
        <v>418</v>
      </c>
      <c r="AD166" s="1">
        <f t="shared" ca="1" si="159"/>
        <v>9.6683133331380393E-3</v>
      </c>
      <c r="AE166" s="1"/>
      <c r="AF166" s="1">
        <f t="shared" ca="1" si="160"/>
        <v>0.43011644543373329</v>
      </c>
      <c r="AG166" s="1">
        <f t="shared" ca="1" si="161"/>
        <v>673</v>
      </c>
      <c r="AH166" s="1">
        <f t="shared" ca="1" si="162"/>
        <v>7.4745431600578924E-3</v>
      </c>
      <c r="AJ166" s="1">
        <f t="shared" ca="1" si="163"/>
        <v>0.42319403512407794</v>
      </c>
      <c r="AK166" s="1">
        <f t="shared" ca="1" si="164"/>
        <v>9.4430633084793027E-3</v>
      </c>
      <c r="AL166" s="1"/>
      <c r="AM166" s="1">
        <f t="shared" ca="1" si="165"/>
        <v>0.17041770356470085</v>
      </c>
      <c r="AN166" s="1">
        <f t="shared" ca="1" si="166"/>
        <v>47</v>
      </c>
      <c r="AO166" s="1">
        <f t="shared" ca="1" si="167"/>
        <v>14</v>
      </c>
      <c r="AQ166" s="1">
        <f t="shared" ca="1" si="168"/>
        <v>189</v>
      </c>
      <c r="AR166" s="1">
        <f t="shared" ca="1" si="169"/>
        <v>0</v>
      </c>
      <c r="AS166" s="1">
        <f t="shared" ca="1" si="170"/>
        <v>5</v>
      </c>
      <c r="AU166" s="1">
        <f t="shared" ca="1" si="171"/>
        <v>104</v>
      </c>
      <c r="AV166" s="1">
        <f t="shared" ca="1" si="172"/>
        <v>3</v>
      </c>
      <c r="AW166" s="1">
        <f t="shared" ca="1" si="173"/>
        <v>0.11020288372009893</v>
      </c>
      <c r="AY166" s="1">
        <f t="shared" ca="1" si="174"/>
        <v>1.5622293579122277</v>
      </c>
      <c r="AZ166" s="1">
        <f t="shared" ca="1" si="175"/>
        <v>151</v>
      </c>
      <c r="BA166" s="1">
        <f t="shared" ca="1" si="176"/>
        <v>6.9085045097532407E-3</v>
      </c>
      <c r="BG166" s="1">
        <f t="shared" ca="1" si="177"/>
        <v>0.14967067733965525</v>
      </c>
      <c r="BH166" s="1">
        <f t="shared" ca="1" si="178"/>
        <v>0.96589377684670907</v>
      </c>
      <c r="BI166" s="1">
        <f t="shared" ca="1" si="179"/>
        <v>218</v>
      </c>
      <c r="BV166" s="1">
        <f t="shared" ca="1" si="180"/>
        <v>0.89952208541665146</v>
      </c>
      <c r="BW166" s="1">
        <f t="shared" ca="1" si="181"/>
        <v>277</v>
      </c>
      <c r="BX166" s="1">
        <f t="shared" ca="1" si="182"/>
        <v>3.332286940406775E-4</v>
      </c>
      <c r="BY166" s="1">
        <f t="shared" ca="1" si="183"/>
        <v>8.5264796008759532E-3</v>
      </c>
      <c r="BZ166" s="1">
        <f t="shared" ca="1" si="184"/>
        <v>0.34393075440875109</v>
      </c>
      <c r="CB166" s="1">
        <f t="shared" ca="1" si="185"/>
        <v>227</v>
      </c>
      <c r="CC166" s="1">
        <f t="shared" ca="1" si="186"/>
        <v>4</v>
      </c>
      <c r="CD166" s="1">
        <f t="shared" ca="1" si="187"/>
        <v>2.0455386406823733E-2</v>
      </c>
      <c r="CE166" s="1">
        <f t="shared" ca="1" si="206"/>
        <v>0.51256178781976858</v>
      </c>
      <c r="CF166" s="1">
        <f t="shared" ca="1" si="206"/>
        <v>0.58673543615107537</v>
      </c>
      <c r="CH166" s="3">
        <f t="shared" ca="1" si="189"/>
        <v>0.72351576982893751</v>
      </c>
      <c r="CI166" s="3">
        <f t="shared" ca="1" si="190"/>
        <v>0.22258095507514322</v>
      </c>
      <c r="CJ166" s="3">
        <f t="shared" ca="1" si="191"/>
        <v>606</v>
      </c>
      <c r="CK166" s="3">
        <f t="shared" ca="1" si="192"/>
        <v>1.1667721779609025E-3</v>
      </c>
      <c r="CL166" s="3">
        <f t="shared" ca="1" si="193"/>
        <v>1</v>
      </c>
      <c r="CM166" s="3"/>
      <c r="CN166" s="1">
        <f t="shared" ca="1" si="194"/>
        <v>3.8117597188519707</v>
      </c>
      <c r="CO166" s="1">
        <f t="shared" ca="1" si="195"/>
        <v>0.35079740948041649</v>
      </c>
      <c r="CP166" s="1">
        <f t="shared" ca="1" si="196"/>
        <v>4</v>
      </c>
      <c r="CV166" s="1">
        <f t="shared" ca="1" si="197"/>
        <v>9.354171156157598</v>
      </c>
      <c r="CW166" s="1">
        <f t="shared" ca="1" si="198"/>
        <v>181</v>
      </c>
      <c r="CX166" s="1">
        <f t="shared" ca="1" si="199"/>
        <v>9.4284650430155378E-3</v>
      </c>
      <c r="DH166" s="1">
        <f t="shared" ca="1" si="200"/>
        <v>590</v>
      </c>
      <c r="DI166" s="1">
        <f t="shared" ca="1" si="201"/>
        <v>0.44420228566728487</v>
      </c>
      <c r="DJ166" s="1">
        <f t="shared" ca="1" si="202"/>
        <v>21</v>
      </c>
      <c r="DL166" s="1">
        <f t="shared" ca="1" si="203"/>
        <v>3.4779223654758995E-2</v>
      </c>
      <c r="DM166" s="1">
        <f t="shared" ca="1" si="204"/>
        <v>89</v>
      </c>
      <c r="DN166" s="1">
        <f t="shared" ca="1" si="205"/>
        <v>3</v>
      </c>
    </row>
    <row r="167" spans="2:118" x14ac:dyDescent="0.25">
      <c r="B167">
        <f t="shared" ca="1" si="138"/>
        <v>379</v>
      </c>
      <c r="C167">
        <f t="shared" ca="1" si="139"/>
        <v>52</v>
      </c>
      <c r="D167">
        <f t="shared" ca="1" si="140"/>
        <v>0.13917265571193765</v>
      </c>
      <c r="F167" s="1">
        <f t="shared" ca="1" si="141"/>
        <v>10</v>
      </c>
      <c r="G167" s="1">
        <f t="shared" ca="1" si="142"/>
        <v>29</v>
      </c>
      <c r="H167" s="1">
        <f t="shared" ca="1" si="143"/>
        <v>11</v>
      </c>
      <c r="I167" s="1"/>
      <c r="J167" s="1">
        <f t="shared" ca="1" si="144"/>
        <v>29</v>
      </c>
      <c r="K167" s="1">
        <f t="shared" ca="1" si="145"/>
        <v>1.5696043087276594</v>
      </c>
      <c r="L167" s="1">
        <f t="shared" ca="1" si="146"/>
        <v>30</v>
      </c>
      <c r="M167" s="1"/>
      <c r="N167" s="1">
        <f t="shared" ca="1" si="147"/>
        <v>449</v>
      </c>
      <c r="O167" s="1">
        <f t="shared" ca="1" si="148"/>
        <v>23</v>
      </c>
      <c r="P167" s="1"/>
      <c r="Q167" s="1">
        <f t="shared" ca="1" si="149"/>
        <v>4.5000629048315517</v>
      </c>
      <c r="R167" s="1">
        <f t="shared" ca="1" si="150"/>
        <v>846</v>
      </c>
      <c r="S167" s="1"/>
      <c r="T167" s="1">
        <f t="shared" ca="1" si="151"/>
        <v>5.3508696754543922E-2</v>
      </c>
      <c r="U167" s="1">
        <f t="shared" ca="1" si="152"/>
        <v>317</v>
      </c>
      <c r="V167" s="1">
        <f t="shared" ca="1" si="153"/>
        <v>8</v>
      </c>
      <c r="W167" s="1"/>
      <c r="X167" s="1">
        <f t="shared" ca="1" si="154"/>
        <v>1.7301156973889176E-2</v>
      </c>
      <c r="Y167" s="1">
        <f t="shared" ca="1" si="155"/>
        <v>0.95318033849366179</v>
      </c>
      <c r="Z167" s="1">
        <f t="shared" ca="1" si="156"/>
        <v>1870</v>
      </c>
      <c r="AB167" s="1">
        <f t="shared" ca="1" si="157"/>
        <v>0.53516041949815885</v>
      </c>
      <c r="AC167" s="1">
        <f t="shared" ca="1" si="158"/>
        <v>894</v>
      </c>
      <c r="AD167" s="1">
        <f t="shared" ca="1" si="159"/>
        <v>5.7108453467362187E-3</v>
      </c>
      <c r="AE167" s="1"/>
      <c r="AF167" s="1">
        <f t="shared" ca="1" si="160"/>
        <v>0.7038435081522334</v>
      </c>
      <c r="AG167" s="1">
        <f t="shared" ca="1" si="161"/>
        <v>959</v>
      </c>
      <c r="AH167" s="1">
        <f t="shared" ca="1" si="162"/>
        <v>4.9578357436766982E-3</v>
      </c>
      <c r="AJ167" s="1">
        <f t="shared" ca="1" si="163"/>
        <v>0.54784039641772708</v>
      </c>
      <c r="AK167" s="1">
        <f t="shared" ca="1" si="164"/>
        <v>1.1338927686620904E-3</v>
      </c>
      <c r="AL167" s="1"/>
      <c r="AM167" s="1">
        <f t="shared" ca="1" si="165"/>
        <v>0.15645057605788182</v>
      </c>
      <c r="AN167" s="1">
        <f t="shared" ca="1" si="166"/>
        <v>60</v>
      </c>
      <c r="AO167" s="1">
        <f t="shared" ca="1" si="167"/>
        <v>11</v>
      </c>
      <c r="AQ167" s="1">
        <f t="shared" ca="1" si="168"/>
        <v>17</v>
      </c>
      <c r="AR167" s="1">
        <f t="shared" ca="1" si="169"/>
        <v>4</v>
      </c>
      <c r="AS167" s="1">
        <f t="shared" ca="1" si="170"/>
        <v>39</v>
      </c>
      <c r="AU167" s="1">
        <f t="shared" ca="1" si="171"/>
        <v>58</v>
      </c>
      <c r="AV167" s="1">
        <f t="shared" ca="1" si="172"/>
        <v>9</v>
      </c>
      <c r="AW167" s="1">
        <f t="shared" ca="1" si="173"/>
        <v>0.18652656780914567</v>
      </c>
      <c r="AY167" s="1">
        <f t="shared" ca="1" si="174"/>
        <v>1.869783241399841</v>
      </c>
      <c r="AZ167" s="1">
        <f t="shared" ca="1" si="175"/>
        <v>450</v>
      </c>
      <c r="BA167" s="1">
        <f t="shared" ca="1" si="176"/>
        <v>4.7182765118792139E-3</v>
      </c>
      <c r="BG167" s="1">
        <f t="shared" ca="1" si="177"/>
        <v>0.90945900994638118</v>
      </c>
      <c r="BH167" s="1">
        <f t="shared" ca="1" si="178"/>
        <v>8.2311097623068208E-2</v>
      </c>
      <c r="BI167" s="1">
        <f t="shared" ca="1" si="179"/>
        <v>372</v>
      </c>
      <c r="BV167" s="1">
        <f t="shared" ca="1" si="180"/>
        <v>0.53468198434855263</v>
      </c>
      <c r="BW167" s="1">
        <f t="shared" ca="1" si="181"/>
        <v>774</v>
      </c>
      <c r="BX167" s="1">
        <f t="shared" ca="1" si="182"/>
        <v>9.162353916966861E-4</v>
      </c>
      <c r="BY167" s="1">
        <f t="shared" ca="1" si="183"/>
        <v>9.4036474673879433E-2</v>
      </c>
      <c r="BZ167" s="1">
        <f t="shared" ca="1" si="184"/>
        <v>0.68961990395615813</v>
      </c>
      <c r="CB167" s="1">
        <f t="shared" ca="1" si="185"/>
        <v>132</v>
      </c>
      <c r="CC167" s="1">
        <f t="shared" ca="1" si="186"/>
        <v>9</v>
      </c>
      <c r="CD167" s="1">
        <f t="shared" ca="1" si="187"/>
        <v>6.7498145223140182E-2</v>
      </c>
      <c r="CE167" s="1">
        <f t="shared" ca="1" si="206"/>
        <v>0.56137827131833506</v>
      </c>
      <c r="CF167" s="1">
        <f t="shared" ca="1" si="206"/>
        <v>0.71034973042439731</v>
      </c>
      <c r="CH167" s="3">
        <f t="shared" ca="1" si="189"/>
        <v>6.2054568141717087E-2</v>
      </c>
      <c r="CI167" s="3">
        <f t="shared" ca="1" si="190"/>
        <v>0.87693778547620971</v>
      </c>
      <c r="CJ167" s="3">
        <f t="shared" ca="1" si="191"/>
        <v>1115</v>
      </c>
      <c r="CK167" s="3">
        <f t="shared" ca="1" si="192"/>
        <v>9.9635387884253416E-3</v>
      </c>
      <c r="CL167" s="3">
        <f t="shared" ca="1" si="193"/>
        <v>0</v>
      </c>
      <c r="CM167" s="3"/>
      <c r="CN167" s="1">
        <f t="shared" ca="1" si="194"/>
        <v>6.9672916907372242</v>
      </c>
      <c r="CO167" s="1">
        <f t="shared" ca="1" si="195"/>
        <v>7.4478419372986673E-2</v>
      </c>
      <c r="CP167" s="1">
        <f t="shared" ca="1" si="196"/>
        <v>3</v>
      </c>
      <c r="CV167" s="1">
        <f t="shared" ca="1" si="197"/>
        <v>5.8198988427314449</v>
      </c>
      <c r="CW167" s="1">
        <f t="shared" ca="1" si="198"/>
        <v>1530</v>
      </c>
      <c r="CX167" s="1">
        <f t="shared" ca="1" si="199"/>
        <v>2.1561069075693396E-3</v>
      </c>
      <c r="DH167" s="1">
        <f t="shared" ca="1" si="200"/>
        <v>435</v>
      </c>
      <c r="DI167" s="1">
        <f t="shared" ca="1" si="201"/>
        <v>0.50011282057559092</v>
      </c>
      <c r="DJ167" s="1">
        <f t="shared" ca="1" si="202"/>
        <v>2</v>
      </c>
      <c r="DL167" s="1">
        <f t="shared" ca="1" si="203"/>
        <v>0.19454786308278238</v>
      </c>
      <c r="DM167" s="1">
        <f t="shared" ca="1" si="204"/>
        <v>82</v>
      </c>
      <c r="DN167" s="1">
        <f t="shared" ca="1" si="205"/>
        <v>4</v>
      </c>
    </row>
    <row r="168" spans="2:118" x14ac:dyDescent="0.25">
      <c r="B168">
        <f t="shared" ca="1" si="138"/>
        <v>715</v>
      </c>
      <c r="C168">
        <f t="shared" ca="1" si="139"/>
        <v>3</v>
      </c>
      <c r="D168">
        <f t="shared" ca="1" si="140"/>
        <v>3.0573034979197375E-2</v>
      </c>
      <c r="F168" s="1">
        <f t="shared" ca="1" si="141"/>
        <v>25</v>
      </c>
      <c r="G168" s="1">
        <f t="shared" ca="1" si="142"/>
        <v>16</v>
      </c>
      <c r="H168" s="1">
        <f t="shared" ca="1" si="143"/>
        <v>4</v>
      </c>
      <c r="I168" s="1"/>
      <c r="J168" s="1">
        <f t="shared" ca="1" si="144"/>
        <v>24</v>
      </c>
      <c r="K168" s="1">
        <f t="shared" ca="1" si="145"/>
        <v>1.0486827127910643</v>
      </c>
      <c r="L168" s="1">
        <f t="shared" ca="1" si="146"/>
        <v>34</v>
      </c>
      <c r="M168" s="1"/>
      <c r="N168" s="1">
        <f t="shared" ca="1" si="147"/>
        <v>690</v>
      </c>
      <c r="O168" s="1">
        <f t="shared" ca="1" si="148"/>
        <v>30</v>
      </c>
      <c r="P168" s="1"/>
      <c r="Q168" s="1">
        <f t="shared" ca="1" si="149"/>
        <v>1.0476325130458646</v>
      </c>
      <c r="R168" s="1">
        <f t="shared" ca="1" si="150"/>
        <v>799</v>
      </c>
      <c r="S168" s="1"/>
      <c r="T168" s="1">
        <f t="shared" ca="1" si="151"/>
        <v>4.418496411376073E-2</v>
      </c>
      <c r="U168" s="1">
        <f t="shared" ca="1" si="152"/>
        <v>418</v>
      </c>
      <c r="V168" s="1">
        <f t="shared" ca="1" si="153"/>
        <v>39</v>
      </c>
      <c r="W168" s="1"/>
      <c r="X168" s="1">
        <f t="shared" ca="1" si="154"/>
        <v>5.6316635707971887</v>
      </c>
      <c r="Y168" s="1">
        <f t="shared" ca="1" si="155"/>
        <v>0.26385351650987265</v>
      </c>
      <c r="Z168" s="1">
        <f t="shared" ca="1" si="156"/>
        <v>1474</v>
      </c>
      <c r="AB168" s="1">
        <f t="shared" ca="1" si="157"/>
        <v>0.22832980462288421</v>
      </c>
      <c r="AC168" s="1">
        <f t="shared" ca="1" si="158"/>
        <v>555</v>
      </c>
      <c r="AD168" s="1">
        <f t="shared" ca="1" si="159"/>
        <v>4.6658266650578374E-3</v>
      </c>
      <c r="AE168" s="1"/>
      <c r="AF168" s="1">
        <f t="shared" ca="1" si="160"/>
        <v>0.66794019863701415</v>
      </c>
      <c r="AG168" s="1">
        <f t="shared" ca="1" si="161"/>
        <v>412</v>
      </c>
      <c r="AH168" s="1">
        <f t="shared" ca="1" si="162"/>
        <v>8.6570009225138429E-3</v>
      </c>
      <c r="AJ168" s="1">
        <f t="shared" ca="1" si="163"/>
        <v>0.20381280857895079</v>
      </c>
      <c r="AK168" s="1">
        <f t="shared" ca="1" si="164"/>
        <v>1.4670750087421094E-3</v>
      </c>
      <c r="AL168" s="1"/>
      <c r="AM168" s="1">
        <f t="shared" ca="1" si="165"/>
        <v>1.420892969531103E-2</v>
      </c>
      <c r="AN168" s="1">
        <f t="shared" ca="1" si="166"/>
        <v>22</v>
      </c>
      <c r="AO168" s="1">
        <f t="shared" ca="1" si="167"/>
        <v>6</v>
      </c>
      <c r="AQ168" s="1">
        <f t="shared" ca="1" si="168"/>
        <v>59</v>
      </c>
      <c r="AR168" s="1">
        <f t="shared" ca="1" si="169"/>
        <v>8</v>
      </c>
      <c r="AS168" s="1">
        <f t="shared" ca="1" si="170"/>
        <v>11</v>
      </c>
      <c r="AU168" s="1">
        <f t="shared" ca="1" si="171"/>
        <v>94</v>
      </c>
      <c r="AV168" s="1">
        <f t="shared" ca="1" si="172"/>
        <v>5</v>
      </c>
      <c r="AW168" s="1">
        <f t="shared" ca="1" si="173"/>
        <v>0.15063043387000596</v>
      </c>
      <c r="AY168" s="1">
        <f t="shared" ca="1" si="174"/>
        <v>1.9532165226970539</v>
      </c>
      <c r="AZ168" s="1">
        <f t="shared" ca="1" si="175"/>
        <v>76</v>
      </c>
      <c r="BA168" s="1">
        <f t="shared" ca="1" si="176"/>
        <v>7.7374645832337845E-4</v>
      </c>
      <c r="BG168" s="1">
        <f t="shared" ca="1" si="177"/>
        <v>0.25845294017854559</v>
      </c>
      <c r="BH168" s="1">
        <f t="shared" ca="1" si="178"/>
        <v>0.39634690469755729</v>
      </c>
      <c r="BI168" s="1">
        <f t="shared" ca="1" si="179"/>
        <v>427</v>
      </c>
      <c r="BV168" s="1">
        <f t="shared" ca="1" si="180"/>
        <v>0.36543235464763429</v>
      </c>
      <c r="BW168" s="1">
        <f t="shared" ca="1" si="181"/>
        <v>766</v>
      </c>
      <c r="BX168" s="1">
        <f t="shared" ca="1" si="182"/>
        <v>6.0910486044894263E-4</v>
      </c>
      <c r="BY168" s="1">
        <f t="shared" ca="1" si="183"/>
        <v>7.1797569716546272E-2</v>
      </c>
      <c r="BZ168" s="1">
        <f t="shared" ca="1" si="184"/>
        <v>0.90759798812847936</v>
      </c>
      <c r="CB168" s="1">
        <f t="shared" ca="1" si="185"/>
        <v>495</v>
      </c>
      <c r="CC168" s="1">
        <f t="shared" ca="1" si="186"/>
        <v>7</v>
      </c>
      <c r="CD168" s="1">
        <f t="shared" ca="1" si="187"/>
        <v>0.28548794381367038</v>
      </c>
      <c r="CE168" s="1">
        <f t="shared" ca="1" si="206"/>
        <v>0.87175091452976838</v>
      </c>
      <c r="CF168" s="1">
        <f t="shared" ca="1" si="206"/>
        <v>0.84936622981891208</v>
      </c>
      <c r="CH168" s="3">
        <f t="shared" ca="1" si="189"/>
        <v>0.48472629163017766</v>
      </c>
      <c r="CI168" s="3">
        <f t="shared" ca="1" si="190"/>
        <v>0.15197604601987272</v>
      </c>
      <c r="CJ168" s="3">
        <f t="shared" ca="1" si="191"/>
        <v>398</v>
      </c>
      <c r="CK168" s="3">
        <f t="shared" ca="1" si="192"/>
        <v>2.1032265915657505E-3</v>
      </c>
      <c r="CL168" s="3">
        <f t="shared" ca="1" si="193"/>
        <v>1</v>
      </c>
      <c r="CM168" s="3"/>
      <c r="CN168" s="1">
        <f t="shared" ca="1" si="194"/>
        <v>9.1522268464618399</v>
      </c>
      <c r="CO168" s="1">
        <f t="shared" ca="1" si="195"/>
        <v>0.23315059885545489</v>
      </c>
      <c r="CP168" s="1">
        <f t="shared" ca="1" si="196"/>
        <v>4</v>
      </c>
      <c r="CV168" s="1">
        <f t="shared" ca="1" si="197"/>
        <v>0.9235907301074342</v>
      </c>
      <c r="CW168" s="1">
        <f t="shared" ca="1" si="198"/>
        <v>702</v>
      </c>
      <c r="CX168" s="1">
        <f t="shared" ca="1" si="199"/>
        <v>9.9499917583032709E-3</v>
      </c>
      <c r="DH168" s="1">
        <f t="shared" ca="1" si="200"/>
        <v>99</v>
      </c>
      <c r="DI168" s="1">
        <f t="shared" ca="1" si="201"/>
        <v>0.96850503334529281</v>
      </c>
      <c r="DJ168" s="1">
        <f t="shared" ca="1" si="202"/>
        <v>10</v>
      </c>
      <c r="DL168" s="1">
        <f t="shared" ca="1" si="203"/>
        <v>1.1568915925217154E-2</v>
      </c>
      <c r="DM168" s="1">
        <f t="shared" ca="1" si="204"/>
        <v>292</v>
      </c>
      <c r="DN168" s="1">
        <f t="shared" ca="1" si="205"/>
        <v>4</v>
      </c>
    </row>
    <row r="169" spans="2:118" x14ac:dyDescent="0.25">
      <c r="B169">
        <f t="shared" ca="1" si="138"/>
        <v>357</v>
      </c>
      <c r="C169">
        <f t="shared" ca="1" si="139"/>
        <v>35</v>
      </c>
      <c r="D169">
        <f t="shared" ca="1" si="140"/>
        <v>0.18896007471846071</v>
      </c>
      <c r="F169" s="1">
        <f t="shared" ca="1" si="141"/>
        <v>44</v>
      </c>
      <c r="G169" s="1">
        <f t="shared" ca="1" si="142"/>
        <v>10</v>
      </c>
      <c r="H169" s="1">
        <f t="shared" ca="1" si="143"/>
        <v>4</v>
      </c>
      <c r="I169" s="1"/>
      <c r="J169" s="1">
        <f t="shared" ca="1" si="144"/>
        <v>25</v>
      </c>
      <c r="K169" s="1">
        <f t="shared" ca="1" si="145"/>
        <v>1.0765924024434597</v>
      </c>
      <c r="L169" s="1">
        <f t="shared" ca="1" si="146"/>
        <v>26</v>
      </c>
      <c r="M169" s="1"/>
      <c r="N169" s="1">
        <f t="shared" ca="1" si="147"/>
        <v>870</v>
      </c>
      <c r="O169" s="1">
        <f t="shared" ca="1" si="148"/>
        <v>33</v>
      </c>
      <c r="P169" s="1"/>
      <c r="Q169" s="1">
        <f t="shared" ca="1" si="149"/>
        <v>2.1375282446704866</v>
      </c>
      <c r="R169" s="1">
        <f t="shared" ca="1" si="150"/>
        <v>670</v>
      </c>
      <c r="S169" s="1"/>
      <c r="T169" s="1">
        <f t="shared" ca="1" si="151"/>
        <v>8.0817865115873869E-2</v>
      </c>
      <c r="U169" s="1">
        <f t="shared" ca="1" si="152"/>
        <v>316</v>
      </c>
      <c r="V169" s="1">
        <f t="shared" ca="1" si="153"/>
        <v>12</v>
      </c>
      <c r="W169" s="1"/>
      <c r="X169" s="1">
        <f t="shared" ca="1" si="154"/>
        <v>8.759283715009774</v>
      </c>
      <c r="Y169" s="1">
        <f t="shared" ca="1" si="155"/>
        <v>0.61559663312645951</v>
      </c>
      <c r="Z169" s="1">
        <f t="shared" ca="1" si="156"/>
        <v>908</v>
      </c>
      <c r="AB169" s="1">
        <f t="shared" ca="1" si="157"/>
        <v>0.54991246245858549</v>
      </c>
      <c r="AC169" s="1">
        <f t="shared" ca="1" si="158"/>
        <v>712</v>
      </c>
      <c r="AD169" s="1">
        <f t="shared" ca="1" si="159"/>
        <v>9.430033151509672E-3</v>
      </c>
      <c r="AE169" s="1"/>
      <c r="AF169" s="1">
        <f t="shared" ca="1" si="160"/>
        <v>0.18533591438827185</v>
      </c>
      <c r="AG169" s="1">
        <f t="shared" ca="1" si="161"/>
        <v>860</v>
      </c>
      <c r="AH169" s="1">
        <f t="shared" ca="1" si="162"/>
        <v>8.6072410342063668E-3</v>
      </c>
      <c r="AJ169" s="1">
        <f t="shared" ca="1" si="163"/>
        <v>0.43660947595479893</v>
      </c>
      <c r="AK169" s="1">
        <f t="shared" ca="1" si="164"/>
        <v>6.2207528463155103E-3</v>
      </c>
      <c r="AL169" s="1"/>
      <c r="AM169" s="1">
        <f t="shared" ca="1" si="165"/>
        <v>6.1217175153302973E-2</v>
      </c>
      <c r="AN169" s="1">
        <f t="shared" ca="1" si="166"/>
        <v>53</v>
      </c>
      <c r="AO169" s="1">
        <f t="shared" ca="1" si="167"/>
        <v>17</v>
      </c>
      <c r="AQ169" s="1">
        <f t="shared" ca="1" si="168"/>
        <v>143</v>
      </c>
      <c r="AR169" s="1">
        <f t="shared" ca="1" si="169"/>
        <v>9</v>
      </c>
      <c r="AS169" s="1">
        <f t="shared" ca="1" si="170"/>
        <v>54</v>
      </c>
      <c r="AU169" s="1">
        <f t="shared" ca="1" si="171"/>
        <v>71</v>
      </c>
      <c r="AV169" s="1">
        <f t="shared" ca="1" si="172"/>
        <v>2</v>
      </c>
      <c r="AW169" s="1">
        <f t="shared" ca="1" si="173"/>
        <v>7.9202412112832632E-2</v>
      </c>
      <c r="AY169" s="1">
        <f t="shared" ca="1" si="174"/>
        <v>1.6790379956815937</v>
      </c>
      <c r="AZ169" s="1">
        <f t="shared" ca="1" si="175"/>
        <v>316</v>
      </c>
      <c r="BA169" s="1">
        <f t="shared" ca="1" si="176"/>
        <v>3.4390338004891023E-3</v>
      </c>
      <c r="BG169" s="1">
        <f t="shared" ca="1" si="177"/>
        <v>0.18416170603390533</v>
      </c>
      <c r="BH169" s="1">
        <f t="shared" ca="1" si="178"/>
        <v>0.39441628893236758</v>
      </c>
      <c r="BI169" s="1">
        <f t="shared" ca="1" si="179"/>
        <v>537</v>
      </c>
      <c r="BV169" s="1">
        <f t="shared" ca="1" si="180"/>
        <v>0.27238748989105882</v>
      </c>
      <c r="BW169" s="1">
        <f t="shared" ca="1" si="181"/>
        <v>931</v>
      </c>
      <c r="BX169" s="1">
        <f t="shared" ca="1" si="182"/>
        <v>7.7966928997520559E-3</v>
      </c>
      <c r="BY169" s="1">
        <f t="shared" ca="1" si="183"/>
        <v>8.5235466403442053E-2</v>
      </c>
      <c r="BZ169" s="1">
        <f t="shared" ca="1" si="184"/>
        <v>0.6623036772917541</v>
      </c>
      <c r="CB169" s="1">
        <f t="shared" ca="1" si="185"/>
        <v>98</v>
      </c>
      <c r="CC169" s="1">
        <f t="shared" ca="1" si="186"/>
        <v>5</v>
      </c>
      <c r="CD169" s="1">
        <f t="shared" ca="1" si="187"/>
        <v>0.14899386177586629</v>
      </c>
      <c r="CE169" s="1">
        <f t="shared" ca="1" si="206"/>
        <v>0.77340237750822061</v>
      </c>
      <c r="CF169" s="1">
        <f t="shared" ca="1" si="206"/>
        <v>0.78149843976789524</v>
      </c>
      <c r="CH169" s="3">
        <f t="shared" ca="1" si="189"/>
        <v>0.70075862800658961</v>
      </c>
      <c r="CI169" s="3">
        <f t="shared" ca="1" si="190"/>
        <v>0.8079187634324515</v>
      </c>
      <c r="CJ169" s="3">
        <f t="shared" ca="1" si="191"/>
        <v>123</v>
      </c>
      <c r="CK169" s="3">
        <f t="shared" ca="1" si="192"/>
        <v>4.2009757094407432E-3</v>
      </c>
      <c r="CL169" s="3">
        <f t="shared" ca="1" si="193"/>
        <v>0</v>
      </c>
      <c r="CM169" s="3"/>
      <c r="CN169" s="1">
        <f t="shared" ca="1" si="194"/>
        <v>0.54495217012611519</v>
      </c>
      <c r="CO169" s="1">
        <f t="shared" ca="1" si="195"/>
        <v>7.2477218409235005E-3</v>
      </c>
      <c r="CP169" s="1">
        <f t="shared" ca="1" si="196"/>
        <v>1</v>
      </c>
      <c r="CV169" s="1">
        <f t="shared" ca="1" si="197"/>
        <v>5.6186517858503429</v>
      </c>
      <c r="CW169" s="1">
        <f t="shared" ca="1" si="198"/>
        <v>281</v>
      </c>
      <c r="CX169" s="1">
        <f t="shared" ca="1" si="199"/>
        <v>6.417038913912286E-3</v>
      </c>
      <c r="DH169" s="1">
        <f t="shared" ca="1" si="200"/>
        <v>696</v>
      </c>
      <c r="DI169" s="1">
        <f t="shared" ca="1" si="201"/>
        <v>0.69443517108807018</v>
      </c>
      <c r="DJ169" s="1">
        <f t="shared" ca="1" si="202"/>
        <v>8</v>
      </c>
      <c r="DL169" s="1">
        <f t="shared" ca="1" si="203"/>
        <v>0.11185087089314506</v>
      </c>
      <c r="DM169" s="1">
        <f t="shared" ca="1" si="204"/>
        <v>249</v>
      </c>
      <c r="DN169" s="1">
        <f t="shared" ca="1" si="205"/>
        <v>9</v>
      </c>
    </row>
    <row r="170" spans="2:118" x14ac:dyDescent="0.25">
      <c r="B170">
        <f t="shared" ca="1" si="138"/>
        <v>851</v>
      </c>
      <c r="C170">
        <f t="shared" ca="1" si="139"/>
        <v>34</v>
      </c>
      <c r="D170">
        <f t="shared" ca="1" si="140"/>
        <v>0.12080149894312403</v>
      </c>
      <c r="F170" s="1">
        <f t="shared" ca="1" si="141"/>
        <v>32</v>
      </c>
      <c r="G170" s="1">
        <f t="shared" ca="1" si="142"/>
        <v>9</v>
      </c>
      <c r="H170" s="1">
        <f t="shared" ca="1" si="143"/>
        <v>4</v>
      </c>
      <c r="I170" s="1"/>
      <c r="J170" s="1">
        <f t="shared" ca="1" si="144"/>
        <v>7</v>
      </c>
      <c r="K170" s="1">
        <f t="shared" ca="1" si="145"/>
        <v>1.9783933361407042</v>
      </c>
      <c r="L170" s="1">
        <f t="shared" ca="1" si="146"/>
        <v>7</v>
      </c>
      <c r="M170" s="1"/>
      <c r="N170" s="1">
        <f t="shared" ca="1" si="147"/>
        <v>22</v>
      </c>
      <c r="O170" s="1">
        <f t="shared" ca="1" si="148"/>
        <v>51</v>
      </c>
      <c r="P170" s="1"/>
      <c r="Q170" s="1">
        <f t="shared" ca="1" si="149"/>
        <v>1.8528281658161292</v>
      </c>
      <c r="R170" s="1">
        <f t="shared" ca="1" si="150"/>
        <v>858</v>
      </c>
      <c r="S170" s="1"/>
      <c r="T170" s="1">
        <f t="shared" ca="1" si="151"/>
        <v>0.17623866779285738</v>
      </c>
      <c r="U170" s="1">
        <f t="shared" ca="1" si="152"/>
        <v>426</v>
      </c>
      <c r="V170" s="1">
        <f t="shared" ca="1" si="153"/>
        <v>23</v>
      </c>
      <c r="W170" s="1"/>
      <c r="X170" s="1">
        <f t="shared" ca="1" si="154"/>
        <v>5.531106834331128</v>
      </c>
      <c r="Y170" s="1">
        <f t="shared" ca="1" si="155"/>
        <v>0.18530590435491789</v>
      </c>
      <c r="Z170" s="1">
        <f t="shared" ca="1" si="156"/>
        <v>558</v>
      </c>
      <c r="AB170" s="1">
        <f t="shared" ca="1" si="157"/>
        <v>0.39246803021039517</v>
      </c>
      <c r="AC170" s="1">
        <f t="shared" ca="1" si="158"/>
        <v>482</v>
      </c>
      <c r="AD170" s="1">
        <f t="shared" ca="1" si="159"/>
        <v>8.724610474266703E-3</v>
      </c>
      <c r="AE170" s="1"/>
      <c r="AF170" s="1">
        <f t="shared" ca="1" si="160"/>
        <v>0.27507501146960167</v>
      </c>
      <c r="AG170" s="1">
        <f t="shared" ca="1" si="161"/>
        <v>331</v>
      </c>
      <c r="AH170" s="1">
        <f t="shared" ca="1" si="162"/>
        <v>1.212453944343008E-4</v>
      </c>
      <c r="AJ170" s="1">
        <f t="shared" ca="1" si="163"/>
        <v>0.49911411226250224</v>
      </c>
      <c r="AK170" s="1">
        <f t="shared" ca="1" si="164"/>
        <v>7.7848480848777902E-3</v>
      </c>
      <c r="AL170" s="1"/>
      <c r="AM170" s="1">
        <f t="shared" ca="1" si="165"/>
        <v>8.5825849976710236E-2</v>
      </c>
      <c r="AN170" s="1">
        <f t="shared" ca="1" si="166"/>
        <v>78</v>
      </c>
      <c r="AO170" s="1">
        <f t="shared" ca="1" si="167"/>
        <v>4</v>
      </c>
      <c r="AQ170" s="1">
        <f t="shared" ca="1" si="168"/>
        <v>136</v>
      </c>
      <c r="AR170" s="1">
        <f t="shared" ca="1" si="169"/>
        <v>5</v>
      </c>
      <c r="AS170" s="1">
        <f t="shared" ca="1" si="170"/>
        <v>23</v>
      </c>
      <c r="AU170" s="1">
        <f t="shared" ca="1" si="171"/>
        <v>236</v>
      </c>
      <c r="AV170" s="1">
        <f t="shared" ca="1" si="172"/>
        <v>7</v>
      </c>
      <c r="AW170" s="1">
        <f t="shared" ca="1" si="173"/>
        <v>0.17643235238496219</v>
      </c>
      <c r="AY170" s="1">
        <f t="shared" ca="1" si="174"/>
        <v>1.4330281236814595</v>
      </c>
      <c r="AZ170" s="1">
        <f t="shared" ca="1" si="175"/>
        <v>477</v>
      </c>
      <c r="BA170" s="1">
        <f t="shared" ca="1" si="176"/>
        <v>8.4799095529510728E-3</v>
      </c>
      <c r="BG170" s="1">
        <f t="shared" ca="1" si="177"/>
        <v>0.19842500442433725</v>
      </c>
      <c r="BH170" s="1">
        <f t="shared" ca="1" si="178"/>
        <v>0.89437813763368212</v>
      </c>
      <c r="BI170" s="1">
        <f t="shared" ca="1" si="179"/>
        <v>727</v>
      </c>
      <c r="BV170" s="1">
        <f t="shared" ca="1" si="180"/>
        <v>0.89492152217197896</v>
      </c>
      <c r="BW170" s="1">
        <f t="shared" ca="1" si="181"/>
        <v>464</v>
      </c>
      <c r="BX170" s="1">
        <f t="shared" ca="1" si="182"/>
        <v>7.6665487427171027E-3</v>
      </c>
      <c r="BY170" s="1">
        <f t="shared" ca="1" si="183"/>
        <v>6.3672288116808112E-2</v>
      </c>
      <c r="BZ170" s="1">
        <f t="shared" ca="1" si="184"/>
        <v>0.18240033479845363</v>
      </c>
      <c r="CB170" s="1">
        <f t="shared" ca="1" si="185"/>
        <v>316</v>
      </c>
      <c r="CC170" s="1">
        <f t="shared" ca="1" si="186"/>
        <v>11</v>
      </c>
      <c r="CD170" s="1">
        <f t="shared" ca="1" si="187"/>
        <v>0.26035449228788471</v>
      </c>
      <c r="CE170" s="1">
        <f t="shared" ca="1" si="206"/>
        <v>0.91841533740049108</v>
      </c>
      <c r="CF170" s="1">
        <f t="shared" ca="1" si="206"/>
        <v>0.62099987959090575</v>
      </c>
      <c r="CH170" s="3">
        <f t="shared" ca="1" si="189"/>
        <v>0.973836054591393</v>
      </c>
      <c r="CI170" s="3">
        <f t="shared" ca="1" si="190"/>
        <v>0.46725867478429162</v>
      </c>
      <c r="CJ170" s="3">
        <f t="shared" ca="1" si="191"/>
        <v>650</v>
      </c>
      <c r="CK170" s="3">
        <f t="shared" ca="1" si="192"/>
        <v>1.9397067650988543E-3</v>
      </c>
      <c r="CL170" s="3">
        <f t="shared" ca="1" si="193"/>
        <v>0</v>
      </c>
      <c r="CM170" s="3"/>
      <c r="CN170" s="1">
        <f t="shared" ca="1" si="194"/>
        <v>15.397669518979427</v>
      </c>
      <c r="CO170" s="1">
        <f t="shared" ca="1" si="195"/>
        <v>0.16185004239568593</v>
      </c>
      <c r="CP170" s="1">
        <f t="shared" ca="1" si="196"/>
        <v>2</v>
      </c>
      <c r="CV170" s="1">
        <f t="shared" ca="1" si="197"/>
        <v>9.7955414615098206</v>
      </c>
      <c r="CW170" s="1">
        <f t="shared" ca="1" si="198"/>
        <v>481</v>
      </c>
      <c r="CX170" s="1">
        <f t="shared" ca="1" si="199"/>
        <v>7.3353174712278641E-3</v>
      </c>
      <c r="DH170" s="1">
        <f t="shared" ca="1" si="200"/>
        <v>393</v>
      </c>
      <c r="DI170" s="1">
        <f t="shared" ca="1" si="201"/>
        <v>0.21275880779697803</v>
      </c>
      <c r="DJ170" s="1">
        <f t="shared" ca="1" si="202"/>
        <v>5</v>
      </c>
      <c r="DL170" s="1">
        <f t="shared" ca="1" si="203"/>
        <v>9.0363877717150307E-2</v>
      </c>
      <c r="DM170" s="1">
        <f t="shared" ca="1" si="204"/>
        <v>101</v>
      </c>
      <c r="DN170" s="1">
        <f t="shared" ca="1" si="205"/>
        <v>5</v>
      </c>
    </row>
    <row r="171" spans="2:118" x14ac:dyDescent="0.25">
      <c r="B171">
        <f t="shared" ca="1" si="138"/>
        <v>623</v>
      </c>
      <c r="C171">
        <f t="shared" ca="1" si="139"/>
        <v>12</v>
      </c>
      <c r="D171">
        <f t="shared" ca="1" si="140"/>
        <v>0.13573036452838333</v>
      </c>
      <c r="F171" s="1">
        <f t="shared" ca="1" si="141"/>
        <v>19</v>
      </c>
      <c r="G171" s="1">
        <f t="shared" ca="1" si="142"/>
        <v>4</v>
      </c>
      <c r="H171" s="1">
        <f t="shared" ca="1" si="143"/>
        <v>2</v>
      </c>
      <c r="I171" s="1"/>
      <c r="J171" s="1">
        <f t="shared" ca="1" si="144"/>
        <v>30</v>
      </c>
      <c r="K171" s="1">
        <f t="shared" ca="1" si="145"/>
        <v>1.0556788782939308</v>
      </c>
      <c r="L171" s="1">
        <f t="shared" ca="1" si="146"/>
        <v>20</v>
      </c>
      <c r="M171" s="1"/>
      <c r="N171" s="1">
        <f t="shared" ca="1" si="147"/>
        <v>818</v>
      </c>
      <c r="O171" s="1">
        <f t="shared" ca="1" si="148"/>
        <v>28</v>
      </c>
      <c r="P171" s="1"/>
      <c r="Q171" s="1">
        <f t="shared" ca="1" si="149"/>
        <v>1.1459434318794435</v>
      </c>
      <c r="R171" s="1">
        <f t="shared" ca="1" si="150"/>
        <v>988</v>
      </c>
      <c r="S171" s="1"/>
      <c r="T171" s="1">
        <f t="shared" ca="1" si="151"/>
        <v>9.7154217553498082E-2</v>
      </c>
      <c r="U171" s="1">
        <f t="shared" ca="1" si="152"/>
        <v>251</v>
      </c>
      <c r="V171" s="1">
        <f t="shared" ca="1" si="153"/>
        <v>9</v>
      </c>
      <c r="W171" s="1"/>
      <c r="X171" s="1">
        <f t="shared" ca="1" si="154"/>
        <v>3.4841012040571648</v>
      </c>
      <c r="Y171" s="1">
        <f t="shared" ca="1" si="155"/>
        <v>0.25116003355209188</v>
      </c>
      <c r="Z171" s="1">
        <f t="shared" ca="1" si="156"/>
        <v>792</v>
      </c>
      <c r="AB171" s="1">
        <f t="shared" ca="1" si="157"/>
        <v>0.72794858662535999</v>
      </c>
      <c r="AC171" s="1">
        <f t="shared" ca="1" si="158"/>
        <v>868</v>
      </c>
      <c r="AD171" s="1">
        <f t="shared" ca="1" si="159"/>
        <v>3.8722548270633768E-4</v>
      </c>
      <c r="AE171" s="1"/>
      <c r="AF171" s="1">
        <f t="shared" ca="1" si="160"/>
        <v>0.32861017325459169</v>
      </c>
      <c r="AG171" s="1">
        <f t="shared" ca="1" si="161"/>
        <v>890</v>
      </c>
      <c r="AH171" s="1">
        <f t="shared" ca="1" si="162"/>
        <v>2.7675850001675369E-4</v>
      </c>
      <c r="AJ171" s="1">
        <f t="shared" ca="1" si="163"/>
        <v>0.62361476207166544</v>
      </c>
      <c r="AK171" s="1">
        <f t="shared" ca="1" si="164"/>
        <v>3.6069168112332728E-3</v>
      </c>
      <c r="AL171" s="1"/>
      <c r="AM171" s="1">
        <f t="shared" ca="1" si="165"/>
        <v>4.2561328628747667E-2</v>
      </c>
      <c r="AN171" s="1">
        <f t="shared" ca="1" si="166"/>
        <v>80</v>
      </c>
      <c r="AO171" s="1">
        <f t="shared" ca="1" si="167"/>
        <v>15</v>
      </c>
      <c r="AQ171" s="1">
        <f t="shared" ca="1" si="168"/>
        <v>154</v>
      </c>
      <c r="AR171" s="1">
        <f t="shared" ca="1" si="169"/>
        <v>6</v>
      </c>
      <c r="AS171" s="1">
        <f t="shared" ca="1" si="170"/>
        <v>68</v>
      </c>
      <c r="AU171" s="1">
        <f t="shared" ca="1" si="171"/>
        <v>272</v>
      </c>
      <c r="AV171" s="1">
        <f t="shared" ca="1" si="172"/>
        <v>2</v>
      </c>
      <c r="AW171" s="1">
        <f t="shared" ca="1" si="173"/>
        <v>1.9280464830004451E-2</v>
      </c>
      <c r="AY171" s="1">
        <f t="shared" ca="1" si="174"/>
        <v>1.1097852466848535</v>
      </c>
      <c r="AZ171" s="1">
        <f t="shared" ca="1" si="175"/>
        <v>441</v>
      </c>
      <c r="BA171" s="1">
        <f t="shared" ca="1" si="176"/>
        <v>3.1163799621930304E-3</v>
      </c>
      <c r="BG171" s="1">
        <f t="shared" ca="1" si="177"/>
        <v>0.2504344072211136</v>
      </c>
      <c r="BH171" s="1">
        <f t="shared" ca="1" si="178"/>
        <v>0.30500377952736257</v>
      </c>
      <c r="BI171" s="1">
        <f t="shared" ca="1" si="179"/>
        <v>795</v>
      </c>
      <c r="BV171" s="1">
        <f t="shared" ca="1" si="180"/>
        <v>0.906424987888789</v>
      </c>
      <c r="BW171" s="1">
        <f t="shared" ca="1" si="181"/>
        <v>410</v>
      </c>
      <c r="BX171" s="1">
        <f t="shared" ca="1" si="182"/>
        <v>2.4012491449723274E-3</v>
      </c>
      <c r="BY171" s="1">
        <f t="shared" ca="1" si="183"/>
        <v>4.5093773578516523E-2</v>
      </c>
      <c r="BZ171" s="1">
        <f t="shared" ca="1" si="184"/>
        <v>0.5030263666224507</v>
      </c>
      <c r="CB171" s="1">
        <f t="shared" ca="1" si="185"/>
        <v>382</v>
      </c>
      <c r="CC171" s="1">
        <f t="shared" ca="1" si="186"/>
        <v>7</v>
      </c>
      <c r="CD171" s="1">
        <f t="shared" ca="1" si="187"/>
        <v>0.29284401171994207</v>
      </c>
      <c r="CE171" s="1">
        <f t="shared" ca="1" si="206"/>
        <v>0.77490418647667758</v>
      </c>
      <c r="CF171" s="1">
        <f t="shared" ca="1" si="206"/>
        <v>0.84032895619936454</v>
      </c>
      <c r="CH171" s="3">
        <f t="shared" ca="1" si="189"/>
        <v>0.98032063774587408</v>
      </c>
      <c r="CI171" s="3">
        <f t="shared" ca="1" si="190"/>
        <v>0.41381023233058079</v>
      </c>
      <c r="CJ171" s="3">
        <f t="shared" ca="1" si="191"/>
        <v>1372</v>
      </c>
      <c r="CK171" s="3">
        <f t="shared" ca="1" si="192"/>
        <v>1.0117083407141945E-3</v>
      </c>
      <c r="CL171" s="3">
        <f t="shared" ca="1" si="193"/>
        <v>0</v>
      </c>
      <c r="CM171" s="3"/>
      <c r="CN171" s="1">
        <f t="shared" ca="1" si="194"/>
        <v>7.9064957245031584</v>
      </c>
      <c r="CO171" s="1">
        <f t="shared" ca="1" si="195"/>
        <v>0.35709849450748171</v>
      </c>
      <c r="CP171" s="1">
        <f t="shared" ca="1" si="196"/>
        <v>3</v>
      </c>
      <c r="CV171" s="1">
        <f t="shared" ca="1" si="197"/>
        <v>5.427833948362621</v>
      </c>
      <c r="CW171" s="1">
        <f t="shared" ca="1" si="198"/>
        <v>1343</v>
      </c>
      <c r="CX171" s="1">
        <f t="shared" ca="1" si="199"/>
        <v>6.1312573967675001E-3</v>
      </c>
      <c r="DH171" s="1">
        <f t="shared" ca="1" si="200"/>
        <v>728</v>
      </c>
      <c r="DI171" s="1">
        <f t="shared" ca="1" si="201"/>
        <v>0.99786305354261395</v>
      </c>
      <c r="DJ171" s="1">
        <f t="shared" ca="1" si="202"/>
        <v>22</v>
      </c>
      <c r="DL171" s="1">
        <f t="shared" ca="1" si="203"/>
        <v>0.10497383643323364</v>
      </c>
      <c r="DM171" s="1">
        <f t="shared" ca="1" si="204"/>
        <v>90</v>
      </c>
      <c r="DN171" s="1">
        <f t="shared" ca="1" si="205"/>
        <v>2</v>
      </c>
    </row>
    <row r="172" spans="2:118" x14ac:dyDescent="0.25">
      <c r="B172">
        <f t="shared" ca="1" si="138"/>
        <v>642</v>
      </c>
      <c r="C172">
        <f t="shared" ca="1" si="139"/>
        <v>36</v>
      </c>
      <c r="D172">
        <f t="shared" ca="1" si="140"/>
        <v>0.15629511952741446</v>
      </c>
      <c r="F172" s="1">
        <f t="shared" ca="1" si="141"/>
        <v>4</v>
      </c>
      <c r="G172" s="1">
        <f t="shared" ca="1" si="142"/>
        <v>20</v>
      </c>
      <c r="H172" s="1">
        <f t="shared" ca="1" si="143"/>
        <v>1</v>
      </c>
      <c r="I172" s="1"/>
      <c r="J172" s="1">
        <f t="shared" ca="1" si="144"/>
        <v>7</v>
      </c>
      <c r="K172" s="1">
        <f t="shared" ca="1" si="145"/>
        <v>1.663482411173127</v>
      </c>
      <c r="L172" s="1">
        <f t="shared" ca="1" si="146"/>
        <v>13</v>
      </c>
      <c r="M172" s="1"/>
      <c r="N172" s="1">
        <f t="shared" ca="1" si="147"/>
        <v>913</v>
      </c>
      <c r="O172" s="1">
        <f t="shared" ca="1" si="148"/>
        <v>37</v>
      </c>
      <c r="P172" s="1"/>
      <c r="Q172" s="1">
        <f t="shared" ca="1" si="149"/>
        <v>0.58683851803972464</v>
      </c>
      <c r="R172" s="1">
        <f t="shared" ca="1" si="150"/>
        <v>990</v>
      </c>
      <c r="S172" s="1"/>
      <c r="T172" s="1">
        <f t="shared" ca="1" si="151"/>
        <v>0.13342277866990518</v>
      </c>
      <c r="U172" s="1">
        <f t="shared" ca="1" si="152"/>
        <v>444</v>
      </c>
      <c r="V172" s="1">
        <f t="shared" ca="1" si="153"/>
        <v>47</v>
      </c>
      <c r="W172" s="1"/>
      <c r="X172" s="1">
        <f t="shared" ca="1" si="154"/>
        <v>9.0999860266393249</v>
      </c>
      <c r="Y172" s="1">
        <f t="shared" ca="1" si="155"/>
        <v>0.42428743278162334</v>
      </c>
      <c r="Z172" s="1">
        <f t="shared" ca="1" si="156"/>
        <v>1617</v>
      </c>
      <c r="AB172" s="1">
        <f t="shared" ca="1" si="157"/>
        <v>0.90433672762056716</v>
      </c>
      <c r="AC172" s="1">
        <f t="shared" ca="1" si="158"/>
        <v>803</v>
      </c>
      <c r="AD172" s="1">
        <f t="shared" ca="1" si="159"/>
        <v>1.8378542108228723E-3</v>
      </c>
      <c r="AE172" s="1"/>
      <c r="AF172" s="1">
        <f t="shared" ca="1" si="160"/>
        <v>0.56241172822016516</v>
      </c>
      <c r="AG172" s="1">
        <f t="shared" ca="1" si="161"/>
        <v>224</v>
      </c>
      <c r="AH172" s="1">
        <f t="shared" ca="1" si="162"/>
        <v>8.035259792713783E-3</v>
      </c>
      <c r="AJ172" s="1">
        <f t="shared" ca="1" si="163"/>
        <v>0.54480138267532308</v>
      </c>
      <c r="AK172" s="1">
        <f t="shared" ca="1" si="164"/>
        <v>7.9509230921384587E-3</v>
      </c>
      <c r="AL172" s="1"/>
      <c r="AM172" s="1">
        <f t="shared" ca="1" si="165"/>
        <v>8.4334115989589717E-2</v>
      </c>
      <c r="AN172" s="1">
        <f t="shared" ca="1" si="166"/>
        <v>53</v>
      </c>
      <c r="AO172" s="1">
        <f t="shared" ca="1" si="167"/>
        <v>13</v>
      </c>
      <c r="AQ172" s="1">
        <f t="shared" ca="1" si="168"/>
        <v>172</v>
      </c>
      <c r="AR172" s="1">
        <f t="shared" ca="1" si="169"/>
        <v>3</v>
      </c>
      <c r="AS172" s="1">
        <f t="shared" ca="1" si="170"/>
        <v>35</v>
      </c>
      <c r="AU172" s="1">
        <f t="shared" ca="1" si="171"/>
        <v>162</v>
      </c>
      <c r="AV172" s="1">
        <f t="shared" ca="1" si="172"/>
        <v>4</v>
      </c>
      <c r="AW172" s="1">
        <f t="shared" ca="1" si="173"/>
        <v>0.10075521535997356</v>
      </c>
      <c r="AY172" s="1">
        <f t="shared" ca="1" si="174"/>
        <v>1.7802283228843254</v>
      </c>
      <c r="AZ172" s="1">
        <f t="shared" ca="1" si="175"/>
        <v>68</v>
      </c>
      <c r="BA172" s="1">
        <f t="shared" ca="1" si="176"/>
        <v>7.6772349971825611E-3</v>
      </c>
      <c r="BG172" s="1">
        <f t="shared" ca="1" si="177"/>
        <v>0.8055917597185982</v>
      </c>
      <c r="BH172" s="1">
        <f t="shared" ca="1" si="178"/>
        <v>5.1058990169586371E-2</v>
      </c>
      <c r="BI172" s="1">
        <f t="shared" ca="1" si="179"/>
        <v>908</v>
      </c>
      <c r="BV172" s="1">
        <f t="shared" ca="1" si="180"/>
        <v>0.7409152402513165</v>
      </c>
      <c r="BW172" s="1">
        <f t="shared" ca="1" si="181"/>
        <v>259</v>
      </c>
      <c r="BX172" s="1">
        <f t="shared" ca="1" si="182"/>
        <v>6.5503881297956272E-3</v>
      </c>
      <c r="BY172" s="1">
        <f t="shared" ca="1" si="183"/>
        <v>9.258889544804387E-2</v>
      </c>
      <c r="BZ172" s="1">
        <f t="shared" ca="1" si="184"/>
        <v>0.87040123465509678</v>
      </c>
      <c r="CB172" s="1">
        <f t="shared" ca="1" si="185"/>
        <v>201</v>
      </c>
      <c r="CC172" s="1">
        <f t="shared" ca="1" si="186"/>
        <v>14</v>
      </c>
      <c r="CD172" s="1">
        <f t="shared" ca="1" si="187"/>
        <v>0.28298212451195787</v>
      </c>
      <c r="CE172" s="1">
        <f t="shared" ca="1" si="206"/>
        <v>0.65616165888110722</v>
      </c>
      <c r="CF172" s="1">
        <f t="shared" ca="1" si="206"/>
        <v>0.66040702431492293</v>
      </c>
      <c r="CH172" s="3">
        <f t="shared" ca="1" si="189"/>
        <v>0.14660072663462051</v>
      </c>
      <c r="CI172" s="3">
        <f t="shared" ca="1" si="190"/>
        <v>0.62120991490559141</v>
      </c>
      <c r="CJ172" s="3">
        <f t="shared" ca="1" si="191"/>
        <v>933</v>
      </c>
      <c r="CK172" s="3">
        <f t="shared" ca="1" si="192"/>
        <v>8.612139991986241E-3</v>
      </c>
      <c r="CL172" s="3">
        <f t="shared" ca="1" si="193"/>
        <v>1</v>
      </c>
      <c r="CM172" s="3"/>
      <c r="CN172" s="1">
        <f t="shared" ca="1" si="194"/>
        <v>19.011539291233007</v>
      </c>
      <c r="CO172" s="1">
        <f t="shared" ca="1" si="195"/>
        <v>0.4912943114958826</v>
      </c>
      <c r="CP172" s="1">
        <f t="shared" ca="1" si="196"/>
        <v>2</v>
      </c>
      <c r="CV172" s="1">
        <f t="shared" ca="1" si="197"/>
        <v>7.6232615369618077</v>
      </c>
      <c r="CW172" s="1">
        <f t="shared" ca="1" si="198"/>
        <v>364</v>
      </c>
      <c r="CX172" s="1">
        <f t="shared" ca="1" si="199"/>
        <v>2.911747398310501E-3</v>
      </c>
      <c r="DH172" s="1">
        <f t="shared" ca="1" si="200"/>
        <v>61</v>
      </c>
      <c r="DI172" s="1">
        <f t="shared" ca="1" si="201"/>
        <v>0.58410903265369174</v>
      </c>
      <c r="DJ172" s="1">
        <f t="shared" ca="1" si="202"/>
        <v>10</v>
      </c>
      <c r="DL172" s="1">
        <f t="shared" ca="1" si="203"/>
        <v>0.12416723698932633</v>
      </c>
      <c r="DM172" s="1">
        <f t="shared" ca="1" si="204"/>
        <v>187</v>
      </c>
      <c r="DN172" s="1">
        <f t="shared" ca="1" si="205"/>
        <v>3</v>
      </c>
    </row>
    <row r="173" spans="2:118" x14ac:dyDescent="0.25">
      <c r="B173">
        <f t="shared" ca="1" si="138"/>
        <v>130</v>
      </c>
      <c r="C173">
        <f t="shared" ca="1" si="139"/>
        <v>10</v>
      </c>
      <c r="D173">
        <f t="shared" ca="1" si="140"/>
        <v>0.17306481192923806</v>
      </c>
      <c r="F173" s="1">
        <f t="shared" ca="1" si="141"/>
        <v>51</v>
      </c>
      <c r="G173" s="1">
        <f t="shared" ca="1" si="142"/>
        <v>25</v>
      </c>
      <c r="H173" s="1">
        <f t="shared" ca="1" si="143"/>
        <v>5</v>
      </c>
      <c r="I173" s="1"/>
      <c r="J173" s="1">
        <f t="shared" ca="1" si="144"/>
        <v>39</v>
      </c>
      <c r="K173" s="1">
        <f t="shared" ca="1" si="145"/>
        <v>2.3632934194050903</v>
      </c>
      <c r="L173" s="1">
        <f t="shared" ca="1" si="146"/>
        <v>6</v>
      </c>
      <c r="M173" s="1"/>
      <c r="N173" s="1">
        <f t="shared" ca="1" si="147"/>
        <v>364</v>
      </c>
      <c r="O173" s="1">
        <f t="shared" ca="1" si="148"/>
        <v>39</v>
      </c>
      <c r="P173" s="1"/>
      <c r="Q173" s="1">
        <f t="shared" ca="1" si="149"/>
        <v>3.9020659050720563</v>
      </c>
      <c r="R173" s="1">
        <f t="shared" ca="1" si="150"/>
        <v>807</v>
      </c>
      <c r="S173" s="1"/>
      <c r="T173" s="1">
        <f t="shared" ca="1" si="151"/>
        <v>3.140299060259464E-2</v>
      </c>
      <c r="U173" s="1">
        <f t="shared" ca="1" si="152"/>
        <v>53</v>
      </c>
      <c r="V173" s="1">
        <f t="shared" ca="1" si="153"/>
        <v>17</v>
      </c>
      <c r="W173" s="1"/>
      <c r="X173" s="1">
        <f t="shared" ca="1" si="154"/>
        <v>0.26850878887992263</v>
      </c>
      <c r="Y173" s="1">
        <f t="shared" ca="1" si="155"/>
        <v>0.54809612500710481</v>
      </c>
      <c r="Z173" s="1">
        <f t="shared" ca="1" si="156"/>
        <v>265</v>
      </c>
      <c r="AB173" s="1">
        <f t="shared" ca="1" si="157"/>
        <v>0.80212603377849145</v>
      </c>
      <c r="AC173" s="1">
        <f t="shared" ca="1" si="158"/>
        <v>585</v>
      </c>
      <c r="AD173" s="1">
        <f t="shared" ca="1" si="159"/>
        <v>9.6358055981464897E-3</v>
      </c>
      <c r="AE173" s="1"/>
      <c r="AF173" s="1">
        <f t="shared" ca="1" si="160"/>
        <v>0.40372604395590306</v>
      </c>
      <c r="AG173" s="1">
        <f t="shared" ca="1" si="161"/>
        <v>839</v>
      </c>
      <c r="AH173" s="1">
        <f t="shared" ca="1" si="162"/>
        <v>1.4655314022114423E-3</v>
      </c>
      <c r="AJ173" s="1">
        <f t="shared" ca="1" si="163"/>
        <v>0.62598400137056964</v>
      </c>
      <c r="AK173" s="1">
        <f t="shared" ca="1" si="164"/>
        <v>8.9213140549363676E-3</v>
      </c>
      <c r="AL173" s="1"/>
      <c r="AM173" s="1">
        <f t="shared" ca="1" si="165"/>
        <v>7.0493045090580936E-2</v>
      </c>
      <c r="AN173" s="1">
        <f t="shared" ca="1" si="166"/>
        <v>43</v>
      </c>
      <c r="AO173" s="1">
        <f t="shared" ca="1" si="167"/>
        <v>0</v>
      </c>
      <c r="AQ173" s="1">
        <f t="shared" ca="1" si="168"/>
        <v>119</v>
      </c>
      <c r="AR173" s="1">
        <f t="shared" ca="1" si="169"/>
        <v>1</v>
      </c>
      <c r="AS173" s="1">
        <f t="shared" ca="1" si="170"/>
        <v>93</v>
      </c>
      <c r="AU173" s="1">
        <f t="shared" ca="1" si="171"/>
        <v>313</v>
      </c>
      <c r="AV173" s="1">
        <f t="shared" ca="1" si="172"/>
        <v>2</v>
      </c>
      <c r="AW173" s="1">
        <f t="shared" ca="1" si="173"/>
        <v>0.10554841505029938</v>
      </c>
      <c r="AY173" s="1">
        <f t="shared" ca="1" si="174"/>
        <v>1.8350458421315965</v>
      </c>
      <c r="AZ173" s="1">
        <f t="shared" ca="1" si="175"/>
        <v>113</v>
      </c>
      <c r="BA173" s="1">
        <f t="shared" ca="1" si="176"/>
        <v>3.3390031021991134E-3</v>
      </c>
      <c r="BG173" s="1">
        <f t="shared" ca="1" si="177"/>
        <v>0.78907912718850781</v>
      </c>
      <c r="BH173" s="1">
        <f t="shared" ca="1" si="178"/>
        <v>0.35016684454348967</v>
      </c>
      <c r="BI173" s="1">
        <f t="shared" ca="1" si="179"/>
        <v>838</v>
      </c>
      <c r="BV173" s="1">
        <f t="shared" ca="1" si="180"/>
        <v>0.41070081832039523</v>
      </c>
      <c r="BW173" s="1">
        <f t="shared" ca="1" si="181"/>
        <v>230</v>
      </c>
      <c r="BX173" s="1">
        <f t="shared" ca="1" si="182"/>
        <v>7.9501806221174299E-3</v>
      </c>
      <c r="BY173" s="1">
        <f t="shared" ca="1" si="183"/>
        <v>8.2267153297282278E-2</v>
      </c>
      <c r="BZ173" s="1">
        <f t="shared" ca="1" si="184"/>
        <v>4.5532480459272384E-2</v>
      </c>
      <c r="CB173" s="1">
        <f t="shared" ca="1" si="185"/>
        <v>85</v>
      </c>
      <c r="CC173" s="1">
        <f t="shared" ca="1" si="186"/>
        <v>9</v>
      </c>
      <c r="CD173" s="1">
        <f t="shared" ca="1" si="187"/>
        <v>0.17720819471337057</v>
      </c>
      <c r="CE173" s="1">
        <f t="shared" ca="1" si="206"/>
        <v>0.72147576959904236</v>
      </c>
      <c r="CF173" s="1">
        <f t="shared" ca="1" si="206"/>
        <v>0.76095558885501058</v>
      </c>
      <c r="CH173" s="3">
        <f t="shared" ca="1" si="189"/>
        <v>0.22600135165554508</v>
      </c>
      <c r="CI173" s="3">
        <f t="shared" ca="1" si="190"/>
        <v>0.75809282347923634</v>
      </c>
      <c r="CJ173" s="3">
        <f t="shared" ca="1" si="191"/>
        <v>112</v>
      </c>
      <c r="CK173" s="3">
        <f t="shared" ca="1" si="192"/>
        <v>6.0068465985258952E-3</v>
      </c>
      <c r="CL173" s="3">
        <f t="shared" ca="1" si="193"/>
        <v>1</v>
      </c>
      <c r="CM173" s="3"/>
      <c r="CN173" s="1">
        <f t="shared" ca="1" si="194"/>
        <v>10.794858474661707</v>
      </c>
      <c r="CO173" s="1">
        <f t="shared" ca="1" si="195"/>
        <v>0.30352684437894845</v>
      </c>
      <c r="CP173" s="1">
        <f t="shared" ca="1" si="196"/>
        <v>2</v>
      </c>
      <c r="CV173" s="1">
        <f t="shared" ca="1" si="197"/>
        <v>2.9783513658962399</v>
      </c>
      <c r="CW173" s="1">
        <f t="shared" ca="1" si="198"/>
        <v>148</v>
      </c>
      <c r="CX173" s="1">
        <f t="shared" ca="1" si="199"/>
        <v>7.5105545469250235E-3</v>
      </c>
      <c r="DH173" s="1">
        <f t="shared" ca="1" si="200"/>
        <v>734</v>
      </c>
      <c r="DI173" s="1">
        <f t="shared" ca="1" si="201"/>
        <v>0.1088738192852039</v>
      </c>
      <c r="DJ173" s="1">
        <f t="shared" ca="1" si="202"/>
        <v>28</v>
      </c>
      <c r="DL173" s="1">
        <f t="shared" ca="1" si="203"/>
        <v>0.19220488734285204</v>
      </c>
      <c r="DM173" s="1">
        <f t="shared" ca="1" si="204"/>
        <v>295</v>
      </c>
      <c r="DN173" s="1">
        <f t="shared" ca="1" si="205"/>
        <v>6</v>
      </c>
    </row>
    <row r="174" spans="2:118" x14ac:dyDescent="0.25">
      <c r="B174">
        <f t="shared" ca="1" si="138"/>
        <v>473</v>
      </c>
      <c r="C174">
        <f t="shared" ca="1" si="139"/>
        <v>51</v>
      </c>
      <c r="D174">
        <f t="shared" ca="1" si="140"/>
        <v>0.12248340142080265</v>
      </c>
      <c r="F174" s="1">
        <f t="shared" ca="1" si="141"/>
        <v>22</v>
      </c>
      <c r="G174" s="1">
        <f t="shared" ca="1" si="142"/>
        <v>18</v>
      </c>
      <c r="H174" s="1">
        <f t="shared" ca="1" si="143"/>
        <v>2</v>
      </c>
      <c r="I174" s="1"/>
      <c r="J174" s="1">
        <f t="shared" ca="1" si="144"/>
        <v>26</v>
      </c>
      <c r="K174" s="1">
        <f t="shared" ca="1" si="145"/>
        <v>2.7870392370250552</v>
      </c>
      <c r="L174" s="1">
        <f t="shared" ca="1" si="146"/>
        <v>31</v>
      </c>
      <c r="M174" s="1"/>
      <c r="N174" s="1">
        <f t="shared" ca="1" si="147"/>
        <v>791</v>
      </c>
      <c r="O174" s="1">
        <f t="shared" ca="1" si="148"/>
        <v>49</v>
      </c>
      <c r="P174" s="1"/>
      <c r="Q174" s="1">
        <f t="shared" ca="1" si="149"/>
        <v>4.9627777530926096</v>
      </c>
      <c r="R174" s="1">
        <f t="shared" ca="1" si="150"/>
        <v>374</v>
      </c>
      <c r="S174" s="1"/>
      <c r="T174" s="1">
        <f t="shared" ca="1" si="151"/>
        <v>0.19439818531586447</v>
      </c>
      <c r="U174" s="1">
        <f t="shared" ca="1" si="152"/>
        <v>62</v>
      </c>
      <c r="V174" s="1">
        <f t="shared" ca="1" si="153"/>
        <v>50</v>
      </c>
      <c r="W174" s="1"/>
      <c r="X174" s="1">
        <f t="shared" ca="1" si="154"/>
        <v>1.2645114631660785</v>
      </c>
      <c r="Y174" s="1">
        <f t="shared" ca="1" si="155"/>
        <v>0.92142006354995976</v>
      </c>
      <c r="Z174" s="1">
        <f t="shared" ca="1" si="156"/>
        <v>844</v>
      </c>
      <c r="AB174" s="1">
        <f t="shared" ca="1" si="157"/>
        <v>0.70967407342847244</v>
      </c>
      <c r="AC174" s="1">
        <f t="shared" ca="1" si="158"/>
        <v>200</v>
      </c>
      <c r="AD174" s="1">
        <f t="shared" ca="1" si="159"/>
        <v>9.0232282135087501E-3</v>
      </c>
      <c r="AE174" s="1"/>
      <c r="AF174" s="1">
        <f t="shared" ca="1" si="160"/>
        <v>0.82778061625736299</v>
      </c>
      <c r="AG174" s="1">
        <f t="shared" ca="1" si="161"/>
        <v>715</v>
      </c>
      <c r="AH174" s="1">
        <f t="shared" ca="1" si="162"/>
        <v>1.6089371173521655E-3</v>
      </c>
      <c r="AJ174" s="1">
        <f t="shared" ca="1" si="163"/>
        <v>0.35487362373015874</v>
      </c>
      <c r="AK174" s="1">
        <f t="shared" ca="1" si="164"/>
        <v>1.3469188594089332E-3</v>
      </c>
      <c r="AL174" s="1"/>
      <c r="AM174" s="1">
        <f t="shared" ca="1" si="165"/>
        <v>1.6219070229218507E-2</v>
      </c>
      <c r="AN174" s="1">
        <f t="shared" ca="1" si="166"/>
        <v>56</v>
      </c>
      <c r="AO174" s="1">
        <f t="shared" ca="1" si="167"/>
        <v>18</v>
      </c>
      <c r="AQ174" s="1">
        <f t="shared" ca="1" si="168"/>
        <v>199</v>
      </c>
      <c r="AR174" s="1">
        <f t="shared" ca="1" si="169"/>
        <v>6</v>
      </c>
      <c r="AS174" s="1">
        <f t="shared" ca="1" si="170"/>
        <v>44</v>
      </c>
      <c r="AU174" s="1">
        <f t="shared" ca="1" si="171"/>
        <v>225</v>
      </c>
      <c r="AV174" s="1">
        <f t="shared" ca="1" si="172"/>
        <v>2</v>
      </c>
      <c r="AW174" s="1">
        <f t="shared" ca="1" si="173"/>
        <v>6.3111040202547181E-2</v>
      </c>
      <c r="AY174" s="1">
        <f t="shared" ca="1" si="174"/>
        <v>1.9500220708495135</v>
      </c>
      <c r="AZ174" s="1">
        <f t="shared" ca="1" si="175"/>
        <v>253</v>
      </c>
      <c r="BA174" s="1">
        <f t="shared" ca="1" si="176"/>
        <v>6.098347906130383E-3</v>
      </c>
      <c r="BG174" s="1">
        <f t="shared" ca="1" si="177"/>
        <v>0.47158007366218352</v>
      </c>
      <c r="BH174" s="1">
        <f t="shared" ca="1" si="178"/>
        <v>1.1010106676245468E-2</v>
      </c>
      <c r="BI174" s="1">
        <f t="shared" ca="1" si="179"/>
        <v>128</v>
      </c>
      <c r="BV174" s="1">
        <f t="shared" ca="1" si="180"/>
        <v>0.12416176402389584</v>
      </c>
      <c r="BW174" s="1">
        <f t="shared" ca="1" si="181"/>
        <v>905</v>
      </c>
      <c r="BX174" s="1">
        <f t="shared" ca="1" si="182"/>
        <v>9.1268369136162739E-3</v>
      </c>
      <c r="BY174" s="1">
        <f t="shared" ca="1" si="183"/>
        <v>7.755533961833704E-3</v>
      </c>
      <c r="BZ174" s="1">
        <f t="shared" ca="1" si="184"/>
        <v>0.18958013324412071</v>
      </c>
      <c r="CB174" s="1">
        <f t="shared" ca="1" si="185"/>
        <v>324</v>
      </c>
      <c r="CC174" s="1">
        <f t="shared" ca="1" si="186"/>
        <v>5</v>
      </c>
      <c r="CD174" s="1">
        <f t="shared" ca="1" si="187"/>
        <v>0.19594421150554908</v>
      </c>
      <c r="CE174" s="1">
        <f t="shared" ca="1" si="206"/>
        <v>0.66967967286524288</v>
      </c>
      <c r="CF174" s="1">
        <f t="shared" ca="1" si="206"/>
        <v>0.7346729965115979</v>
      </c>
      <c r="CH174" s="3">
        <f t="shared" ca="1" si="189"/>
        <v>0.82170904647938314</v>
      </c>
      <c r="CI174" s="3">
        <f t="shared" ca="1" si="190"/>
        <v>0.58417166986402314</v>
      </c>
      <c r="CJ174" s="3">
        <f t="shared" ca="1" si="191"/>
        <v>1147</v>
      </c>
      <c r="CK174" s="3">
        <f t="shared" ca="1" si="192"/>
        <v>8.1756426795488064E-3</v>
      </c>
      <c r="CL174" s="3">
        <f t="shared" ca="1" si="193"/>
        <v>1</v>
      </c>
      <c r="CM174" s="3"/>
      <c r="CN174" s="1">
        <f t="shared" ca="1" si="194"/>
        <v>7.7003905872347094</v>
      </c>
      <c r="CO174" s="1">
        <f t="shared" ca="1" si="195"/>
        <v>0.4290349995171806</v>
      </c>
      <c r="CP174" s="1">
        <f t="shared" ca="1" si="196"/>
        <v>4</v>
      </c>
      <c r="CV174" s="1">
        <f t="shared" ca="1" si="197"/>
        <v>5.7465928494401277</v>
      </c>
      <c r="CW174" s="1">
        <f t="shared" ca="1" si="198"/>
        <v>1031</v>
      </c>
      <c r="CX174" s="1">
        <f t="shared" ca="1" si="199"/>
        <v>2.8987317990039709E-3</v>
      </c>
      <c r="DH174" s="1">
        <f t="shared" ca="1" si="200"/>
        <v>554</v>
      </c>
      <c r="DI174" s="1">
        <f t="shared" ca="1" si="201"/>
        <v>0.3259300276113653</v>
      </c>
      <c r="DJ174" s="1">
        <f t="shared" ca="1" si="202"/>
        <v>10</v>
      </c>
      <c r="DL174" s="1">
        <f t="shared" ca="1" si="203"/>
        <v>1.315129734552872E-2</v>
      </c>
      <c r="DM174" s="1">
        <f t="shared" ca="1" si="204"/>
        <v>300</v>
      </c>
      <c r="DN174" s="1">
        <f t="shared" ca="1" si="205"/>
        <v>4</v>
      </c>
    </row>
    <row r="175" spans="2:118" x14ac:dyDescent="0.25">
      <c r="B175">
        <f t="shared" ca="1" si="138"/>
        <v>698</v>
      </c>
      <c r="C175">
        <f t="shared" ca="1" si="139"/>
        <v>13</v>
      </c>
      <c r="D175">
        <f t="shared" ca="1" si="140"/>
        <v>0.16603481959512009</v>
      </c>
      <c r="F175" s="1">
        <f t="shared" ca="1" si="141"/>
        <v>20</v>
      </c>
      <c r="G175" s="1">
        <f t="shared" ca="1" si="142"/>
        <v>26</v>
      </c>
      <c r="H175" s="1">
        <f t="shared" ca="1" si="143"/>
        <v>5</v>
      </c>
      <c r="I175" s="1"/>
      <c r="J175" s="1">
        <f t="shared" ca="1" si="144"/>
        <v>33</v>
      </c>
      <c r="K175" s="1">
        <f t="shared" ca="1" si="145"/>
        <v>2.8025710331442992</v>
      </c>
      <c r="L175" s="1">
        <f t="shared" ca="1" si="146"/>
        <v>8</v>
      </c>
      <c r="M175" s="1"/>
      <c r="N175" s="1">
        <f t="shared" ca="1" si="147"/>
        <v>822</v>
      </c>
      <c r="O175" s="1">
        <f t="shared" ca="1" si="148"/>
        <v>9</v>
      </c>
      <c r="P175" s="1"/>
      <c r="Q175" s="1">
        <f t="shared" ca="1" si="149"/>
        <v>3.4591809852142581</v>
      </c>
      <c r="R175" s="1">
        <f t="shared" ca="1" si="150"/>
        <v>976</v>
      </c>
      <c r="S175" s="1"/>
      <c r="T175" s="1">
        <f t="shared" ca="1" si="151"/>
        <v>7.7582660279435195E-2</v>
      </c>
      <c r="U175" s="1">
        <f t="shared" ca="1" si="152"/>
        <v>283</v>
      </c>
      <c r="V175" s="1">
        <f t="shared" ca="1" si="153"/>
        <v>48</v>
      </c>
      <c r="W175" s="1"/>
      <c r="X175" s="1">
        <f t="shared" ca="1" si="154"/>
        <v>6.6828029431537388</v>
      </c>
      <c r="Y175" s="1">
        <f t="shared" ca="1" si="155"/>
        <v>0.30657030465335799</v>
      </c>
      <c r="Z175" s="1">
        <f t="shared" ca="1" si="156"/>
        <v>1899</v>
      </c>
      <c r="AB175" s="1">
        <f t="shared" ca="1" si="157"/>
        <v>0.2906536360181064</v>
      </c>
      <c r="AC175" s="1">
        <f t="shared" ca="1" si="158"/>
        <v>198</v>
      </c>
      <c r="AD175" s="1">
        <f t="shared" ca="1" si="159"/>
        <v>9.1601112618896544E-3</v>
      </c>
      <c r="AE175" s="1"/>
      <c r="AF175" s="1">
        <f t="shared" ca="1" si="160"/>
        <v>0.42108459573361079</v>
      </c>
      <c r="AG175" s="1">
        <f t="shared" ca="1" si="161"/>
        <v>489</v>
      </c>
      <c r="AH175" s="1">
        <f t="shared" ca="1" si="162"/>
        <v>4.4441291148383539E-3</v>
      </c>
      <c r="AJ175" s="1">
        <f t="shared" ca="1" si="163"/>
        <v>0.45162457315400317</v>
      </c>
      <c r="AK175" s="1">
        <f t="shared" ca="1" si="164"/>
        <v>9.5659453933736867E-4</v>
      </c>
      <c r="AL175" s="1"/>
      <c r="AM175" s="1">
        <f t="shared" ca="1" si="165"/>
        <v>5.9718054925762765E-2</v>
      </c>
      <c r="AN175" s="1">
        <f t="shared" ca="1" si="166"/>
        <v>79</v>
      </c>
      <c r="AO175" s="1">
        <f t="shared" ca="1" si="167"/>
        <v>7</v>
      </c>
      <c r="AQ175" s="1">
        <f t="shared" ca="1" si="168"/>
        <v>26</v>
      </c>
      <c r="AR175" s="1">
        <f t="shared" ca="1" si="169"/>
        <v>10</v>
      </c>
      <c r="AS175" s="1">
        <f t="shared" ca="1" si="170"/>
        <v>41</v>
      </c>
      <c r="AU175" s="1">
        <f t="shared" ca="1" si="171"/>
        <v>204</v>
      </c>
      <c r="AV175" s="1">
        <f t="shared" ca="1" si="172"/>
        <v>10</v>
      </c>
      <c r="AW175" s="1">
        <f t="shared" ca="1" si="173"/>
        <v>0.13690073829614882</v>
      </c>
      <c r="AY175" s="1">
        <f t="shared" ca="1" si="174"/>
        <v>1.8754236592011764</v>
      </c>
      <c r="AZ175" s="1">
        <f t="shared" ca="1" si="175"/>
        <v>445</v>
      </c>
      <c r="BA175" s="1">
        <f t="shared" ca="1" si="176"/>
        <v>3.9796768572248039E-3</v>
      </c>
      <c r="BG175" s="1">
        <f t="shared" ca="1" si="177"/>
        <v>0.59578292481311756</v>
      </c>
      <c r="BH175" s="1">
        <f t="shared" ca="1" si="178"/>
        <v>8.3253856828229167E-2</v>
      </c>
      <c r="BI175" s="1">
        <f t="shared" ca="1" si="179"/>
        <v>157</v>
      </c>
      <c r="BV175" s="1">
        <f t="shared" ca="1" si="180"/>
        <v>0.11277600455018919</v>
      </c>
      <c r="BW175" s="1">
        <f t="shared" ca="1" si="181"/>
        <v>993</v>
      </c>
      <c r="BX175" s="1">
        <f t="shared" ca="1" si="182"/>
        <v>2.0619541207136725E-3</v>
      </c>
      <c r="BY175" s="1">
        <f t="shared" ca="1" si="183"/>
        <v>1.7748617888823842E-2</v>
      </c>
      <c r="BZ175" s="1">
        <f t="shared" ca="1" si="184"/>
        <v>0.53985603066238896</v>
      </c>
      <c r="CB175" s="1">
        <f t="shared" ca="1" si="185"/>
        <v>214</v>
      </c>
      <c r="CC175" s="1">
        <f t="shared" ca="1" si="186"/>
        <v>3</v>
      </c>
      <c r="CD175" s="1">
        <f t="shared" ca="1" si="187"/>
        <v>2.2347526047641723E-2</v>
      </c>
      <c r="CE175" s="1">
        <f t="shared" ca="1" si="206"/>
        <v>0.6898783368731114</v>
      </c>
      <c r="CF175" s="1">
        <f t="shared" ca="1" si="206"/>
        <v>0.51718577431678103</v>
      </c>
      <c r="CH175" s="3">
        <f t="shared" ca="1" si="189"/>
        <v>0.7491616375926321</v>
      </c>
      <c r="CI175" s="3">
        <f t="shared" ca="1" si="190"/>
        <v>0.31500621279795238</v>
      </c>
      <c r="CJ175" s="3">
        <f t="shared" ca="1" si="191"/>
        <v>1061</v>
      </c>
      <c r="CK175" s="3">
        <f t="shared" ca="1" si="192"/>
        <v>8.8090883796266076E-3</v>
      </c>
      <c r="CL175" s="3">
        <f t="shared" ca="1" si="193"/>
        <v>1</v>
      </c>
      <c r="CM175" s="3"/>
      <c r="CN175" s="1">
        <f t="shared" ca="1" si="194"/>
        <v>15.640734610790105</v>
      </c>
      <c r="CO175" s="1">
        <f t="shared" ca="1" si="195"/>
        <v>0.38855517630262465</v>
      </c>
      <c r="CP175" s="1">
        <f t="shared" ca="1" si="196"/>
        <v>4</v>
      </c>
      <c r="CV175" s="1">
        <f t="shared" ca="1" si="197"/>
        <v>6.1060268421453596</v>
      </c>
      <c r="CW175" s="1">
        <f t="shared" ca="1" si="198"/>
        <v>316</v>
      </c>
      <c r="CX175" s="1">
        <f t="shared" ca="1" si="199"/>
        <v>4.2067456871161812E-3</v>
      </c>
      <c r="DH175" s="1">
        <f t="shared" ca="1" si="200"/>
        <v>746</v>
      </c>
      <c r="DI175" s="1">
        <f t="shared" ca="1" si="201"/>
        <v>0.41860455056418239</v>
      </c>
      <c r="DJ175" s="1">
        <f t="shared" ca="1" si="202"/>
        <v>13</v>
      </c>
      <c r="DL175" s="1">
        <f t="shared" ca="1" si="203"/>
        <v>0.12702272081100585</v>
      </c>
      <c r="DM175" s="1">
        <f t="shared" ca="1" si="204"/>
        <v>285</v>
      </c>
      <c r="DN175" s="1">
        <f t="shared" ca="1" si="205"/>
        <v>7</v>
      </c>
    </row>
    <row r="176" spans="2:118" x14ac:dyDescent="0.25">
      <c r="B176">
        <f t="shared" ca="1" si="138"/>
        <v>784</v>
      </c>
      <c r="C176">
        <f t="shared" ca="1" si="139"/>
        <v>19</v>
      </c>
      <c r="D176">
        <f t="shared" ca="1" si="140"/>
        <v>8.5340883323362565E-2</v>
      </c>
      <c r="F176" s="1">
        <f t="shared" ca="1" si="141"/>
        <v>25</v>
      </c>
      <c r="G176" s="1">
        <f t="shared" ca="1" si="142"/>
        <v>3</v>
      </c>
      <c r="H176" s="1">
        <f t="shared" ca="1" si="143"/>
        <v>2</v>
      </c>
      <c r="I176" s="1"/>
      <c r="J176" s="1">
        <f t="shared" ca="1" si="144"/>
        <v>36</v>
      </c>
      <c r="K176" s="1">
        <f t="shared" ca="1" si="145"/>
        <v>1.3560144565847967</v>
      </c>
      <c r="L176" s="1">
        <f t="shared" ca="1" si="146"/>
        <v>27</v>
      </c>
      <c r="M176" s="1"/>
      <c r="N176" s="1">
        <f t="shared" ca="1" si="147"/>
        <v>328</v>
      </c>
      <c r="O176" s="1">
        <f t="shared" ca="1" si="148"/>
        <v>13</v>
      </c>
      <c r="P176" s="1"/>
      <c r="Q176" s="1">
        <f t="shared" ca="1" si="149"/>
        <v>0.83721664201502299</v>
      </c>
      <c r="R176" s="1">
        <f t="shared" ca="1" si="150"/>
        <v>1070</v>
      </c>
      <c r="S176" s="1"/>
      <c r="T176" s="1">
        <f t="shared" ca="1" si="151"/>
        <v>1.8523736776253782E-2</v>
      </c>
      <c r="U176" s="1">
        <f t="shared" ca="1" si="152"/>
        <v>133</v>
      </c>
      <c r="V176" s="1">
        <f t="shared" ca="1" si="153"/>
        <v>46</v>
      </c>
      <c r="W176" s="1"/>
      <c r="X176" s="1">
        <f t="shared" ca="1" si="154"/>
        <v>8.8132545012202801</v>
      </c>
      <c r="Y176" s="1">
        <f t="shared" ca="1" si="155"/>
        <v>0.45974518970756489</v>
      </c>
      <c r="Z176" s="1">
        <f t="shared" ca="1" si="156"/>
        <v>1264</v>
      </c>
      <c r="AB176" s="1">
        <f t="shared" ca="1" si="157"/>
        <v>0.8048246320568041</v>
      </c>
      <c r="AC176" s="1">
        <f t="shared" ca="1" si="158"/>
        <v>178</v>
      </c>
      <c r="AD176" s="1">
        <f t="shared" ca="1" si="159"/>
        <v>2.6942861527897684E-3</v>
      </c>
      <c r="AE176" s="1"/>
      <c r="AF176" s="1">
        <f t="shared" ca="1" si="160"/>
        <v>0.21623700235443596</v>
      </c>
      <c r="AG176" s="1">
        <f t="shared" ca="1" si="161"/>
        <v>986</v>
      </c>
      <c r="AH176" s="1">
        <f t="shared" ca="1" si="162"/>
        <v>8.0561899696322294E-4</v>
      </c>
      <c r="AJ176" s="1">
        <f t="shared" ca="1" si="163"/>
        <v>0.26633829964229438</v>
      </c>
      <c r="AK176" s="1">
        <f t="shared" ca="1" si="164"/>
        <v>7.4622669623099051E-4</v>
      </c>
      <c r="AL176" s="1"/>
      <c r="AM176" s="1">
        <f t="shared" ca="1" si="165"/>
        <v>9.044948777836341E-2</v>
      </c>
      <c r="AN176" s="1">
        <f t="shared" ca="1" si="166"/>
        <v>68</v>
      </c>
      <c r="AO176" s="1">
        <f t="shared" ca="1" si="167"/>
        <v>6</v>
      </c>
      <c r="AQ176" s="1">
        <f t="shared" ca="1" si="168"/>
        <v>142</v>
      </c>
      <c r="AR176" s="1">
        <f t="shared" ca="1" si="169"/>
        <v>6</v>
      </c>
      <c r="AS176" s="1">
        <f t="shared" ca="1" si="170"/>
        <v>50</v>
      </c>
      <c r="AU176" s="1">
        <f t="shared" ca="1" si="171"/>
        <v>268</v>
      </c>
      <c r="AV176" s="1">
        <f t="shared" ca="1" si="172"/>
        <v>2</v>
      </c>
      <c r="AW176" s="1">
        <f t="shared" ca="1" si="173"/>
        <v>8.9629105632649766E-2</v>
      </c>
      <c r="AY176" s="1">
        <f t="shared" ca="1" si="174"/>
        <v>1.8264535557276527</v>
      </c>
      <c r="AZ176" s="1">
        <f t="shared" ca="1" si="175"/>
        <v>414</v>
      </c>
      <c r="BA176" s="1">
        <f t="shared" ca="1" si="176"/>
        <v>9.6654912479391571E-3</v>
      </c>
      <c r="BG176" s="1">
        <f t="shared" ca="1" si="177"/>
        <v>0.27476547088788517</v>
      </c>
      <c r="BH176" s="1">
        <f t="shared" ca="1" si="178"/>
        <v>0.85934075940420607</v>
      </c>
      <c r="BI176" s="1">
        <f t="shared" ca="1" si="179"/>
        <v>519</v>
      </c>
      <c r="BV176" s="1">
        <f t="shared" ca="1" si="180"/>
        <v>8.3211101674529234E-2</v>
      </c>
      <c r="BW176" s="1">
        <f t="shared" ca="1" si="181"/>
        <v>618</v>
      </c>
      <c r="BX176" s="1">
        <f t="shared" ca="1" si="182"/>
        <v>8.0837574619126648E-3</v>
      </c>
      <c r="BY176" s="1">
        <f t="shared" ca="1" si="183"/>
        <v>2.1255483273149856E-3</v>
      </c>
      <c r="BZ176" s="1">
        <f t="shared" ca="1" si="184"/>
        <v>0.36235654557329022</v>
      </c>
      <c r="CB176" s="1">
        <f t="shared" ca="1" si="185"/>
        <v>242</v>
      </c>
      <c r="CC176" s="1">
        <f t="shared" ca="1" si="186"/>
        <v>7</v>
      </c>
      <c r="CD176" s="1">
        <f t="shared" ca="1" si="187"/>
        <v>0.13983227717641572</v>
      </c>
      <c r="CE176" s="1">
        <f t="shared" ca="1" si="206"/>
        <v>0.62976507029304751</v>
      </c>
      <c r="CF176" s="1">
        <f t="shared" ca="1" si="206"/>
        <v>0.77364301231845167</v>
      </c>
      <c r="CH176" s="3">
        <f t="shared" ca="1" si="189"/>
        <v>1.1505908433389096E-2</v>
      </c>
      <c r="CI176" s="3">
        <f t="shared" ca="1" si="190"/>
        <v>0.86863693928541486</v>
      </c>
      <c r="CJ176" s="3">
        <f t="shared" ca="1" si="191"/>
        <v>1041</v>
      </c>
      <c r="CK176" s="3">
        <f t="shared" ca="1" si="192"/>
        <v>2.222946204178873E-3</v>
      </c>
      <c r="CL176" s="3">
        <f t="shared" ca="1" si="193"/>
        <v>1</v>
      </c>
      <c r="CM176" s="3"/>
      <c r="CN176" s="1">
        <f t="shared" ca="1" si="194"/>
        <v>14.989518427946193</v>
      </c>
      <c r="CO176" s="1">
        <f t="shared" ca="1" si="195"/>
        <v>0.43766430855893002</v>
      </c>
      <c r="CP176" s="1">
        <f t="shared" ca="1" si="196"/>
        <v>2</v>
      </c>
      <c r="CV176" s="1">
        <f t="shared" ca="1" si="197"/>
        <v>8.7122447428074015</v>
      </c>
      <c r="CW176" s="1">
        <f t="shared" ca="1" si="198"/>
        <v>185</v>
      </c>
      <c r="CX176" s="1">
        <f t="shared" ca="1" si="199"/>
        <v>3.9936446090605444E-3</v>
      </c>
      <c r="DH176" s="1">
        <f t="shared" ca="1" si="200"/>
        <v>834</v>
      </c>
      <c r="DI176" s="1">
        <f t="shared" ca="1" si="201"/>
        <v>0.11440380666538505</v>
      </c>
      <c r="DJ176" s="1">
        <f t="shared" ca="1" si="202"/>
        <v>7</v>
      </c>
      <c r="DL176" s="1">
        <f t="shared" ca="1" si="203"/>
        <v>8.5246523585557288E-2</v>
      </c>
      <c r="DM176" s="1">
        <f t="shared" ca="1" si="204"/>
        <v>292</v>
      </c>
      <c r="DN176" s="1">
        <f t="shared" ca="1" si="205"/>
        <v>2</v>
      </c>
    </row>
    <row r="177" spans="2:118" x14ac:dyDescent="0.25">
      <c r="B177">
        <f t="shared" ca="1" si="138"/>
        <v>132</v>
      </c>
      <c r="C177">
        <f t="shared" ca="1" si="139"/>
        <v>30</v>
      </c>
      <c r="D177">
        <f t="shared" ca="1" si="140"/>
        <v>0.23024020029421827</v>
      </c>
      <c r="F177" s="1">
        <f t="shared" ca="1" si="141"/>
        <v>25</v>
      </c>
      <c r="G177" s="1">
        <f t="shared" ca="1" si="142"/>
        <v>28</v>
      </c>
      <c r="H177" s="1">
        <f t="shared" ca="1" si="143"/>
        <v>14</v>
      </c>
      <c r="I177" s="1"/>
      <c r="J177" s="1">
        <f t="shared" ca="1" si="144"/>
        <v>15</v>
      </c>
      <c r="K177" s="1">
        <f t="shared" ca="1" si="145"/>
        <v>2.4658503358449368</v>
      </c>
      <c r="L177" s="1">
        <f t="shared" ca="1" si="146"/>
        <v>11</v>
      </c>
      <c r="M177" s="1"/>
      <c r="N177" s="1">
        <f t="shared" ca="1" si="147"/>
        <v>532</v>
      </c>
      <c r="O177" s="1">
        <f t="shared" ca="1" si="148"/>
        <v>7</v>
      </c>
      <c r="P177" s="1"/>
      <c r="Q177" s="1">
        <f t="shared" ca="1" si="149"/>
        <v>4.6802670741813781</v>
      </c>
      <c r="R177" s="1">
        <f t="shared" ca="1" si="150"/>
        <v>917</v>
      </c>
      <c r="S177" s="1"/>
      <c r="T177" s="1">
        <f t="shared" ca="1" si="151"/>
        <v>0.19306105214721211</v>
      </c>
      <c r="U177" s="1">
        <f t="shared" ca="1" si="152"/>
        <v>353</v>
      </c>
      <c r="V177" s="1">
        <f t="shared" ca="1" si="153"/>
        <v>35</v>
      </c>
      <c r="W177" s="1"/>
      <c r="X177" s="1">
        <f t="shared" ca="1" si="154"/>
        <v>5.5266120377657542</v>
      </c>
      <c r="Y177" s="1">
        <f t="shared" ca="1" si="155"/>
        <v>0.90014742422400884</v>
      </c>
      <c r="Z177" s="1">
        <f t="shared" ca="1" si="156"/>
        <v>919</v>
      </c>
      <c r="AB177" s="1">
        <f t="shared" ca="1" si="157"/>
        <v>0.59729859629922699</v>
      </c>
      <c r="AC177" s="1">
        <f t="shared" ca="1" si="158"/>
        <v>829</v>
      </c>
      <c r="AD177" s="1">
        <f t="shared" ca="1" si="159"/>
        <v>3.8141326867495067E-3</v>
      </c>
      <c r="AE177" s="1"/>
      <c r="AF177" s="1">
        <f t="shared" ca="1" si="160"/>
        <v>0.10067391644750182</v>
      </c>
      <c r="AG177" s="1">
        <f t="shared" ca="1" si="161"/>
        <v>927</v>
      </c>
      <c r="AH177" s="1">
        <f t="shared" ca="1" si="162"/>
        <v>2.1384807912999222E-3</v>
      </c>
      <c r="AJ177" s="1">
        <f t="shared" ca="1" si="163"/>
        <v>0.67108865414794228</v>
      </c>
      <c r="AK177" s="1">
        <f t="shared" ca="1" si="164"/>
        <v>7.6135216946203029E-3</v>
      </c>
      <c r="AL177" s="1"/>
      <c r="AM177" s="1">
        <f t="shared" ca="1" si="165"/>
        <v>4.5987706581701239E-2</v>
      </c>
      <c r="AN177" s="1">
        <f t="shared" ca="1" si="166"/>
        <v>57</v>
      </c>
      <c r="AO177" s="1">
        <f t="shared" ca="1" si="167"/>
        <v>13</v>
      </c>
      <c r="AQ177" s="1">
        <f t="shared" ca="1" si="168"/>
        <v>185</v>
      </c>
      <c r="AR177" s="1">
        <f t="shared" ca="1" si="169"/>
        <v>7</v>
      </c>
      <c r="AS177" s="1">
        <f t="shared" ca="1" si="170"/>
        <v>94</v>
      </c>
      <c r="AU177" s="1">
        <f t="shared" ca="1" si="171"/>
        <v>178</v>
      </c>
      <c r="AV177" s="1">
        <f t="shared" ca="1" si="172"/>
        <v>2</v>
      </c>
      <c r="AW177" s="1">
        <f t="shared" ca="1" si="173"/>
        <v>2.7089134061197701E-2</v>
      </c>
      <c r="AY177" s="1">
        <f t="shared" ca="1" si="174"/>
        <v>1.5316338542896664</v>
      </c>
      <c r="AZ177" s="1">
        <f t="shared" ca="1" si="175"/>
        <v>347</v>
      </c>
      <c r="BA177" s="1">
        <f t="shared" ca="1" si="176"/>
        <v>2.6514738710427716E-4</v>
      </c>
      <c r="BG177" s="1">
        <f t="shared" ca="1" si="177"/>
        <v>0.70244817192934539</v>
      </c>
      <c r="BH177" s="1">
        <f t="shared" ca="1" si="178"/>
        <v>0.6233964366038649</v>
      </c>
      <c r="BI177" s="1">
        <f t="shared" ca="1" si="179"/>
        <v>770</v>
      </c>
      <c r="BV177" s="1">
        <f t="shared" ca="1" si="180"/>
        <v>0.93313826284668266</v>
      </c>
      <c r="BW177" s="1">
        <f t="shared" ca="1" si="181"/>
        <v>974</v>
      </c>
      <c r="BX177" s="1">
        <f t="shared" ca="1" si="182"/>
        <v>6.7934646020199729E-3</v>
      </c>
      <c r="BY177" s="1">
        <f t="shared" ca="1" si="183"/>
        <v>6.2074606103270889E-2</v>
      </c>
      <c r="BZ177" s="1">
        <f t="shared" ca="1" si="184"/>
        <v>0.54052313912932082</v>
      </c>
      <c r="CB177" s="1">
        <f t="shared" ca="1" si="185"/>
        <v>221</v>
      </c>
      <c r="CC177" s="1">
        <f t="shared" ca="1" si="186"/>
        <v>9</v>
      </c>
      <c r="CD177" s="1">
        <f t="shared" ca="1" si="187"/>
        <v>0.17355290628089273</v>
      </c>
      <c r="CE177" s="1">
        <f t="shared" ca="1" si="206"/>
        <v>0.52830129021199146</v>
      </c>
      <c r="CF177" s="1">
        <f t="shared" ca="1" si="206"/>
        <v>0.79197506101204063</v>
      </c>
      <c r="CH177" s="3">
        <f t="shared" ca="1" si="189"/>
        <v>0.70114238093800674</v>
      </c>
      <c r="CI177" s="3">
        <f t="shared" ca="1" si="190"/>
        <v>0.73335639797637031</v>
      </c>
      <c r="CJ177" s="3">
        <f t="shared" ca="1" si="191"/>
        <v>1269</v>
      </c>
      <c r="CK177" s="3">
        <f t="shared" ca="1" si="192"/>
        <v>7.498597064036998E-3</v>
      </c>
      <c r="CL177" s="3">
        <f t="shared" ca="1" si="193"/>
        <v>1</v>
      </c>
      <c r="CM177" s="3"/>
      <c r="CN177" s="1">
        <f t="shared" ca="1" si="194"/>
        <v>13.823677249425376</v>
      </c>
      <c r="CO177" s="1">
        <f t="shared" ca="1" si="195"/>
        <v>0.49517168588929844</v>
      </c>
      <c r="CP177" s="1">
        <f t="shared" ca="1" si="196"/>
        <v>3</v>
      </c>
      <c r="CV177" s="1">
        <f t="shared" ca="1" si="197"/>
        <v>7.6648911687425603</v>
      </c>
      <c r="CW177" s="1">
        <f t="shared" ca="1" si="198"/>
        <v>1925</v>
      </c>
      <c r="CX177" s="1">
        <f t="shared" ca="1" si="199"/>
        <v>8.9393384199797142E-4</v>
      </c>
      <c r="DH177" s="1">
        <f t="shared" ca="1" si="200"/>
        <v>698</v>
      </c>
      <c r="DI177" s="1">
        <f t="shared" ca="1" si="201"/>
        <v>0.87258987110955566</v>
      </c>
      <c r="DJ177" s="1">
        <f t="shared" ca="1" si="202"/>
        <v>6</v>
      </c>
      <c r="DL177" s="1">
        <f t="shared" ca="1" si="203"/>
        <v>3.248389791734594E-2</v>
      </c>
      <c r="DM177" s="1">
        <f t="shared" ca="1" si="204"/>
        <v>161</v>
      </c>
      <c r="DN177" s="1">
        <f t="shared" ca="1" si="205"/>
        <v>5</v>
      </c>
    </row>
    <row r="178" spans="2:118" x14ac:dyDescent="0.25">
      <c r="B178">
        <f t="shared" ca="1" si="138"/>
        <v>918</v>
      </c>
      <c r="C178">
        <f t="shared" ca="1" si="139"/>
        <v>38</v>
      </c>
      <c r="D178">
        <f t="shared" ca="1" si="140"/>
        <v>0.19874090815032194</v>
      </c>
      <c r="F178" s="1">
        <f t="shared" ca="1" si="141"/>
        <v>41</v>
      </c>
      <c r="G178" s="1">
        <f t="shared" ca="1" si="142"/>
        <v>4</v>
      </c>
      <c r="H178" s="1">
        <f t="shared" ca="1" si="143"/>
        <v>6</v>
      </c>
      <c r="I178" s="1"/>
      <c r="J178" s="1">
        <f t="shared" ca="1" si="144"/>
        <v>10</v>
      </c>
      <c r="K178" s="1">
        <f t="shared" ca="1" si="145"/>
        <v>2.4581231010543347</v>
      </c>
      <c r="L178" s="1">
        <f t="shared" ca="1" si="146"/>
        <v>33</v>
      </c>
      <c r="M178" s="1"/>
      <c r="N178" s="1">
        <f t="shared" ca="1" si="147"/>
        <v>482</v>
      </c>
      <c r="O178" s="1">
        <f t="shared" ca="1" si="148"/>
        <v>47</v>
      </c>
      <c r="P178" s="1"/>
      <c r="Q178" s="1">
        <f t="shared" ca="1" si="149"/>
        <v>1.9124282355196536</v>
      </c>
      <c r="R178" s="1">
        <f t="shared" ca="1" si="150"/>
        <v>882</v>
      </c>
      <c r="S178" s="1"/>
      <c r="T178" s="1">
        <f t="shared" ca="1" si="151"/>
        <v>9.9617908385687126E-2</v>
      </c>
      <c r="U178" s="1">
        <f t="shared" ca="1" si="152"/>
        <v>82</v>
      </c>
      <c r="V178" s="1">
        <f t="shared" ca="1" si="153"/>
        <v>10</v>
      </c>
      <c r="W178" s="1"/>
      <c r="X178" s="1">
        <f t="shared" ca="1" si="154"/>
        <v>3.1173406958687622</v>
      </c>
      <c r="Y178" s="1">
        <f t="shared" ca="1" si="155"/>
        <v>0.45185074507708989</v>
      </c>
      <c r="Z178" s="1">
        <f t="shared" ca="1" si="156"/>
        <v>1434</v>
      </c>
      <c r="AB178" s="1">
        <f t="shared" ca="1" si="157"/>
        <v>0.19576515644431519</v>
      </c>
      <c r="AC178" s="1">
        <f t="shared" ca="1" si="158"/>
        <v>140</v>
      </c>
      <c r="AD178" s="1">
        <f t="shared" ca="1" si="159"/>
        <v>3.6430621222888196E-3</v>
      </c>
      <c r="AE178" s="1"/>
      <c r="AF178" s="1">
        <f t="shared" ca="1" si="160"/>
        <v>0.33697378959122259</v>
      </c>
      <c r="AG178" s="1">
        <f t="shared" ca="1" si="161"/>
        <v>409</v>
      </c>
      <c r="AH178" s="1">
        <f t="shared" ca="1" si="162"/>
        <v>6.4221004831916198E-4</v>
      </c>
      <c r="AJ178" s="1">
        <f t="shared" ca="1" si="163"/>
        <v>5.5889712590904694E-2</v>
      </c>
      <c r="AK178" s="1">
        <f t="shared" ca="1" si="164"/>
        <v>8.6232839344586735E-4</v>
      </c>
      <c r="AL178" s="1"/>
      <c r="AM178" s="1">
        <f t="shared" ca="1" si="165"/>
        <v>0.10643947079983505</v>
      </c>
      <c r="AN178" s="1">
        <f t="shared" ca="1" si="166"/>
        <v>17</v>
      </c>
      <c r="AO178" s="1">
        <f t="shared" ca="1" si="167"/>
        <v>18</v>
      </c>
      <c r="AQ178" s="1">
        <f t="shared" ca="1" si="168"/>
        <v>95</v>
      </c>
      <c r="AR178" s="1">
        <f t="shared" ca="1" si="169"/>
        <v>0</v>
      </c>
      <c r="AS178" s="1">
        <f t="shared" ca="1" si="170"/>
        <v>78</v>
      </c>
      <c r="AU178" s="1">
        <f t="shared" ca="1" si="171"/>
        <v>72</v>
      </c>
      <c r="AV178" s="1">
        <f t="shared" ca="1" si="172"/>
        <v>2</v>
      </c>
      <c r="AW178" s="1">
        <f t="shared" ca="1" si="173"/>
        <v>5.1478665427797145E-2</v>
      </c>
      <c r="AY178" s="1">
        <f t="shared" ca="1" si="174"/>
        <v>1.5449820527725178</v>
      </c>
      <c r="AZ178" s="1">
        <f t="shared" ca="1" si="175"/>
        <v>346</v>
      </c>
      <c r="BA178" s="1">
        <f t="shared" ca="1" si="176"/>
        <v>1.627013039910331E-3</v>
      </c>
      <c r="BG178" s="1">
        <f t="shared" ca="1" si="177"/>
        <v>0.64963334681795337</v>
      </c>
      <c r="BH178" s="1">
        <f t="shared" ca="1" si="178"/>
        <v>0.14196902741559025</v>
      </c>
      <c r="BI178" s="1">
        <f t="shared" ca="1" si="179"/>
        <v>796</v>
      </c>
      <c r="BV178" s="1">
        <f t="shared" ca="1" si="180"/>
        <v>0.17353837316447016</v>
      </c>
      <c r="BW178" s="1">
        <f t="shared" ca="1" si="181"/>
        <v>452</v>
      </c>
      <c r="BX178" s="1">
        <f t="shared" ca="1" si="182"/>
        <v>2.6420904082326414E-3</v>
      </c>
      <c r="BY178" s="1">
        <f t="shared" ca="1" si="183"/>
        <v>2.5532191069652203E-2</v>
      </c>
      <c r="BZ178" s="1">
        <f t="shared" ca="1" si="184"/>
        <v>0.54462073261936128</v>
      </c>
      <c r="CB178" s="1">
        <f t="shared" ca="1" si="185"/>
        <v>399</v>
      </c>
      <c r="CC178" s="1">
        <f t="shared" ca="1" si="186"/>
        <v>5</v>
      </c>
      <c r="CD178" s="1">
        <f t="shared" ca="1" si="187"/>
        <v>6.5757896985958103E-2</v>
      </c>
      <c r="CE178" s="1">
        <f t="shared" ca="1" si="206"/>
        <v>0.96782658794561183</v>
      </c>
      <c r="CF178" s="1">
        <f t="shared" ca="1" si="206"/>
        <v>0.61015523653380421</v>
      </c>
      <c r="CH178" s="3">
        <f t="shared" ca="1" si="189"/>
        <v>0.31852795019593466</v>
      </c>
      <c r="CI178" s="3">
        <f t="shared" ca="1" si="190"/>
        <v>0.97595952636166661</v>
      </c>
      <c r="CJ178" s="3">
        <f t="shared" ca="1" si="191"/>
        <v>1307</v>
      </c>
      <c r="CK178" s="3">
        <f t="shared" ca="1" si="192"/>
        <v>5.6774432730715401E-3</v>
      </c>
      <c r="CL178" s="3">
        <f t="shared" ca="1" si="193"/>
        <v>0</v>
      </c>
      <c r="CM178" s="3"/>
      <c r="CN178" s="1">
        <f t="shared" ca="1" si="194"/>
        <v>9.2734814733282747</v>
      </c>
      <c r="CO178" s="1">
        <f t="shared" ca="1" si="195"/>
        <v>4.1478290522867625E-2</v>
      </c>
      <c r="CP178" s="1">
        <f t="shared" ca="1" si="196"/>
        <v>1</v>
      </c>
      <c r="CV178" s="1">
        <f t="shared" ca="1" si="197"/>
        <v>6.8444278742182316</v>
      </c>
      <c r="CW178" s="1">
        <f t="shared" ca="1" si="198"/>
        <v>1826</v>
      </c>
      <c r="CX178" s="1">
        <f t="shared" ca="1" si="199"/>
        <v>5.519613372771774E-3</v>
      </c>
      <c r="DH178" s="1">
        <f t="shared" ca="1" si="200"/>
        <v>716</v>
      </c>
      <c r="DI178" s="1">
        <f t="shared" ca="1" si="201"/>
        <v>4.690028409799691E-2</v>
      </c>
      <c r="DJ178" s="1">
        <f t="shared" ca="1" si="202"/>
        <v>12</v>
      </c>
      <c r="DL178" s="1">
        <f t="shared" ca="1" si="203"/>
        <v>2.0688879043552585E-2</v>
      </c>
      <c r="DM178" s="1">
        <f t="shared" ca="1" si="204"/>
        <v>81</v>
      </c>
      <c r="DN178" s="1">
        <f t="shared" ca="1" si="205"/>
        <v>1</v>
      </c>
    </row>
    <row r="179" spans="2:118" x14ac:dyDescent="0.25">
      <c r="B179">
        <f t="shared" ca="1" si="138"/>
        <v>970</v>
      </c>
      <c r="C179">
        <f t="shared" ca="1" si="139"/>
        <v>26</v>
      </c>
      <c r="D179">
        <f t="shared" ca="1" si="140"/>
        <v>0.11777595915245888</v>
      </c>
      <c r="F179" s="1">
        <f t="shared" ca="1" si="141"/>
        <v>27</v>
      </c>
      <c r="G179" s="1">
        <f t="shared" ca="1" si="142"/>
        <v>6</v>
      </c>
      <c r="H179" s="1">
        <f t="shared" ca="1" si="143"/>
        <v>6</v>
      </c>
      <c r="I179" s="1"/>
      <c r="J179" s="1">
        <f t="shared" ca="1" si="144"/>
        <v>23</v>
      </c>
      <c r="K179" s="1">
        <f t="shared" ca="1" si="145"/>
        <v>2.8557688244660051</v>
      </c>
      <c r="L179" s="1">
        <f t="shared" ca="1" si="146"/>
        <v>23</v>
      </c>
      <c r="M179" s="1"/>
      <c r="N179" s="1">
        <f t="shared" ca="1" si="147"/>
        <v>563</v>
      </c>
      <c r="O179" s="1">
        <f t="shared" ca="1" si="148"/>
        <v>23</v>
      </c>
      <c r="P179" s="1"/>
      <c r="Q179" s="1">
        <f t="shared" ca="1" si="149"/>
        <v>3.714503295469751</v>
      </c>
      <c r="R179" s="1">
        <f t="shared" ca="1" si="150"/>
        <v>983</v>
      </c>
      <c r="S179" s="1"/>
      <c r="T179" s="1">
        <f t="shared" ca="1" si="151"/>
        <v>3.5929504552819652E-2</v>
      </c>
      <c r="U179" s="1">
        <f t="shared" ca="1" si="152"/>
        <v>273</v>
      </c>
      <c r="V179" s="1">
        <f t="shared" ca="1" si="153"/>
        <v>27</v>
      </c>
      <c r="W179" s="1"/>
      <c r="X179" s="1">
        <f t="shared" ca="1" si="154"/>
        <v>3.1185697755872472</v>
      </c>
      <c r="Y179" s="1">
        <f t="shared" ca="1" si="155"/>
        <v>0.98155789440276053</v>
      </c>
      <c r="Z179" s="1">
        <f t="shared" ca="1" si="156"/>
        <v>270</v>
      </c>
      <c r="AB179" s="1">
        <f t="shared" ca="1" si="157"/>
        <v>8.7367829967547661E-2</v>
      </c>
      <c r="AC179" s="1">
        <f t="shared" ca="1" si="158"/>
        <v>572</v>
      </c>
      <c r="AD179" s="1">
        <f t="shared" ca="1" si="159"/>
        <v>1.8769195910760916E-3</v>
      </c>
      <c r="AE179" s="1"/>
      <c r="AF179" s="1">
        <f t="shared" ca="1" si="160"/>
        <v>0.2623355702489607</v>
      </c>
      <c r="AG179" s="1">
        <f t="shared" ca="1" si="161"/>
        <v>218</v>
      </c>
      <c r="AH179" s="1">
        <f t="shared" ca="1" si="162"/>
        <v>8.3830875771353508E-3</v>
      </c>
      <c r="AJ179" s="1">
        <f t="shared" ca="1" si="163"/>
        <v>0.19282917970328262</v>
      </c>
      <c r="AK179" s="1">
        <f t="shared" ca="1" si="164"/>
        <v>4.239994406304297E-3</v>
      </c>
      <c r="AL179" s="1"/>
      <c r="AM179" s="1">
        <f t="shared" ca="1" si="165"/>
        <v>0.15131665065593525</v>
      </c>
      <c r="AN179" s="1">
        <f t="shared" ca="1" si="166"/>
        <v>17</v>
      </c>
      <c r="AO179" s="1">
        <f t="shared" ca="1" si="167"/>
        <v>-1</v>
      </c>
      <c r="AQ179" s="1">
        <f t="shared" ca="1" si="168"/>
        <v>21</v>
      </c>
      <c r="AR179" s="1">
        <f t="shared" ca="1" si="169"/>
        <v>8</v>
      </c>
      <c r="AS179" s="1">
        <f t="shared" ca="1" si="170"/>
        <v>86</v>
      </c>
      <c r="AU179" s="1">
        <f t="shared" ca="1" si="171"/>
        <v>217</v>
      </c>
      <c r="AV179" s="1">
        <f t="shared" ca="1" si="172"/>
        <v>10</v>
      </c>
      <c r="AW179" s="1">
        <f t="shared" ca="1" si="173"/>
        <v>5.0963415870485591E-2</v>
      </c>
      <c r="AY179" s="1">
        <f t="shared" ca="1" si="174"/>
        <v>1.6754709910012759</v>
      </c>
      <c r="AZ179" s="1">
        <f t="shared" ca="1" si="175"/>
        <v>315</v>
      </c>
      <c r="BA179" s="1">
        <f t="shared" ca="1" si="176"/>
        <v>9.8461322277115862E-3</v>
      </c>
      <c r="BG179" s="1">
        <f t="shared" ca="1" si="177"/>
        <v>0.95548056301906015</v>
      </c>
      <c r="BH179" s="1">
        <f t="shared" ca="1" si="178"/>
        <v>0.48269712861386693</v>
      </c>
      <c r="BI179" s="1">
        <f t="shared" ca="1" si="179"/>
        <v>758</v>
      </c>
      <c r="BV179" s="1">
        <f t="shared" ca="1" si="180"/>
        <v>4.3107001382997265E-2</v>
      </c>
      <c r="BW179" s="1">
        <f t="shared" ca="1" si="181"/>
        <v>464</v>
      </c>
      <c r="BX179" s="1">
        <f t="shared" ca="1" si="182"/>
        <v>8.6824069207640277E-3</v>
      </c>
      <c r="BY179" s="1">
        <f t="shared" ca="1" si="183"/>
        <v>6.1625998658981843E-2</v>
      </c>
      <c r="BZ179" s="1">
        <f t="shared" ca="1" si="184"/>
        <v>0.51672663415877829</v>
      </c>
      <c r="CB179" s="1">
        <f t="shared" ca="1" si="185"/>
        <v>497</v>
      </c>
      <c r="CC179" s="1">
        <f t="shared" ca="1" si="186"/>
        <v>14</v>
      </c>
      <c r="CD179" s="1">
        <f t="shared" ca="1" si="187"/>
        <v>0.13108602941358929</v>
      </c>
      <c r="CE179" s="1">
        <f t="shared" ca="1" si="206"/>
        <v>0.57516785284362548</v>
      </c>
      <c r="CF179" s="1">
        <f t="shared" ca="1" si="206"/>
        <v>0.960850027386566</v>
      </c>
      <c r="CH179" s="3">
        <f t="shared" ca="1" si="189"/>
        <v>0.30135253569417297</v>
      </c>
      <c r="CI179" s="3">
        <f t="shared" ca="1" si="190"/>
        <v>0.1716548504666173</v>
      </c>
      <c r="CJ179" s="3">
        <f t="shared" ca="1" si="191"/>
        <v>955</v>
      </c>
      <c r="CK179" s="3">
        <f t="shared" ca="1" si="192"/>
        <v>3.2146192384106668E-4</v>
      </c>
      <c r="CL179" s="3">
        <f t="shared" ca="1" si="193"/>
        <v>0</v>
      </c>
      <c r="CM179" s="3"/>
      <c r="CN179" s="1">
        <f t="shared" ca="1" si="194"/>
        <v>15.673796250375457</v>
      </c>
      <c r="CO179" s="1">
        <f t="shared" ca="1" si="195"/>
        <v>0.24771423155685071</v>
      </c>
      <c r="CP179" s="1">
        <f t="shared" ca="1" si="196"/>
        <v>1</v>
      </c>
      <c r="CV179" s="1">
        <f t="shared" ca="1" si="197"/>
        <v>0.55838189350675882</v>
      </c>
      <c r="CW179" s="1">
        <f t="shared" ca="1" si="198"/>
        <v>1072</v>
      </c>
      <c r="CX179" s="1">
        <f t="shared" ca="1" si="199"/>
        <v>6.9858647761728487E-4</v>
      </c>
      <c r="DH179" s="1">
        <f t="shared" ca="1" si="200"/>
        <v>42</v>
      </c>
      <c r="DI179" s="1">
        <f t="shared" ca="1" si="201"/>
        <v>0.83275146153049462</v>
      </c>
      <c r="DJ179" s="1">
        <f t="shared" ca="1" si="202"/>
        <v>18</v>
      </c>
      <c r="DL179" s="1">
        <f t="shared" ca="1" si="203"/>
        <v>0.16375474941009313</v>
      </c>
      <c r="DM179" s="1">
        <f t="shared" ca="1" si="204"/>
        <v>89</v>
      </c>
      <c r="DN179" s="1">
        <f t="shared" ca="1" si="205"/>
        <v>6</v>
      </c>
    </row>
    <row r="180" spans="2:118" x14ac:dyDescent="0.25">
      <c r="B180">
        <f t="shared" ca="1" si="138"/>
        <v>751</v>
      </c>
      <c r="C180">
        <f t="shared" ca="1" si="139"/>
        <v>36</v>
      </c>
      <c r="D180">
        <f t="shared" ca="1" si="140"/>
        <v>6.1330292969302445E-2</v>
      </c>
      <c r="F180" s="1">
        <f t="shared" ca="1" si="141"/>
        <v>4</v>
      </c>
      <c r="G180" s="1">
        <f t="shared" ca="1" si="142"/>
        <v>22</v>
      </c>
      <c r="H180" s="1">
        <f t="shared" ca="1" si="143"/>
        <v>11</v>
      </c>
      <c r="I180" s="1"/>
      <c r="J180" s="1">
        <f t="shared" ca="1" si="144"/>
        <v>28</v>
      </c>
      <c r="K180" s="1">
        <f t="shared" ca="1" si="145"/>
        <v>2.8731610498001299</v>
      </c>
      <c r="L180" s="1">
        <f t="shared" ca="1" si="146"/>
        <v>6</v>
      </c>
      <c r="M180" s="1"/>
      <c r="N180" s="1">
        <f t="shared" ca="1" si="147"/>
        <v>943</v>
      </c>
      <c r="O180" s="1">
        <f t="shared" ca="1" si="148"/>
        <v>28</v>
      </c>
      <c r="P180" s="1"/>
      <c r="Q180" s="1">
        <f t="shared" ca="1" si="149"/>
        <v>0.14707041249353189</v>
      </c>
      <c r="R180" s="1">
        <f t="shared" ca="1" si="150"/>
        <v>704</v>
      </c>
      <c r="S180" s="1"/>
      <c r="T180" s="1">
        <f t="shared" ca="1" si="151"/>
        <v>6.6808651162727786E-2</v>
      </c>
      <c r="U180" s="1">
        <f t="shared" ca="1" si="152"/>
        <v>407</v>
      </c>
      <c r="V180" s="1">
        <f t="shared" ca="1" si="153"/>
        <v>43</v>
      </c>
      <c r="W180" s="1"/>
      <c r="X180" s="1">
        <f t="shared" ca="1" si="154"/>
        <v>6.8929842108468558</v>
      </c>
      <c r="Y180" s="1">
        <f t="shared" ca="1" si="155"/>
        <v>0.9995729813177916</v>
      </c>
      <c r="Z180" s="1">
        <f t="shared" ca="1" si="156"/>
        <v>1444</v>
      </c>
      <c r="AB180" s="1">
        <f t="shared" ca="1" si="157"/>
        <v>0.76286856758172639</v>
      </c>
      <c r="AC180" s="1">
        <f t="shared" ca="1" si="158"/>
        <v>825</v>
      </c>
      <c r="AD180" s="1">
        <f t="shared" ca="1" si="159"/>
        <v>4.1163846059528407E-3</v>
      </c>
      <c r="AE180" s="1"/>
      <c r="AF180" s="1">
        <f t="shared" ca="1" si="160"/>
        <v>0.46092015844250489</v>
      </c>
      <c r="AG180" s="1">
        <f t="shared" ca="1" si="161"/>
        <v>349</v>
      </c>
      <c r="AH180" s="1">
        <f t="shared" ca="1" si="162"/>
        <v>8.4782102198550629E-3</v>
      </c>
      <c r="AJ180" s="1">
        <f t="shared" ca="1" si="163"/>
        <v>0.93456495679833662</v>
      </c>
      <c r="AK180" s="1">
        <f t="shared" ca="1" si="164"/>
        <v>1.2205767384039397E-3</v>
      </c>
      <c r="AL180" s="1"/>
      <c r="AM180" s="1">
        <f t="shared" ca="1" si="165"/>
        <v>0.11930926431941889</v>
      </c>
      <c r="AN180" s="1">
        <f t="shared" ca="1" si="166"/>
        <v>41</v>
      </c>
      <c r="AO180" s="1">
        <f t="shared" ca="1" si="167"/>
        <v>7</v>
      </c>
      <c r="AQ180" s="1">
        <f t="shared" ca="1" si="168"/>
        <v>147</v>
      </c>
      <c r="AR180" s="1">
        <f t="shared" ca="1" si="169"/>
        <v>1</v>
      </c>
      <c r="AS180" s="1">
        <f t="shared" ca="1" si="170"/>
        <v>89</v>
      </c>
      <c r="AU180" s="1">
        <f t="shared" ca="1" si="171"/>
        <v>164</v>
      </c>
      <c r="AV180" s="1">
        <f t="shared" ca="1" si="172"/>
        <v>8</v>
      </c>
      <c r="AW180" s="1">
        <f t="shared" ca="1" si="173"/>
        <v>8.546824504541288E-2</v>
      </c>
      <c r="AY180" s="1">
        <f t="shared" ca="1" si="174"/>
        <v>1.910573585432648</v>
      </c>
      <c r="AZ180" s="1">
        <f t="shared" ca="1" si="175"/>
        <v>427</v>
      </c>
      <c r="BA180" s="1">
        <f t="shared" ca="1" si="176"/>
        <v>3.2423657375965625E-3</v>
      </c>
      <c r="BG180" s="1">
        <f t="shared" ca="1" si="177"/>
        <v>5.7799585142085542E-3</v>
      </c>
      <c r="BH180" s="1">
        <f t="shared" ca="1" si="178"/>
        <v>0.39429457151075331</v>
      </c>
      <c r="BI180" s="1">
        <f t="shared" ca="1" si="179"/>
        <v>906</v>
      </c>
      <c r="BV180" s="1">
        <f t="shared" ca="1" si="180"/>
        <v>0.50439508359323804</v>
      </c>
      <c r="BW180" s="1">
        <f t="shared" ca="1" si="181"/>
        <v>907</v>
      </c>
      <c r="BX180" s="1">
        <f t="shared" ca="1" si="182"/>
        <v>7.3840858834884476E-3</v>
      </c>
      <c r="BY180" s="1">
        <f t="shared" ca="1" si="183"/>
        <v>5.0396595234459371E-2</v>
      </c>
      <c r="BZ180" s="1">
        <f t="shared" ca="1" si="184"/>
        <v>0.4197241821835217</v>
      </c>
      <c r="CB180" s="1">
        <f t="shared" ca="1" si="185"/>
        <v>98</v>
      </c>
      <c r="CC180" s="1">
        <f t="shared" ca="1" si="186"/>
        <v>8</v>
      </c>
      <c r="CD180" s="1">
        <f t="shared" ca="1" si="187"/>
        <v>0.1308506233226126</v>
      </c>
      <c r="CE180" s="1">
        <f t="shared" ca="1" si="206"/>
        <v>0.68495385065308589</v>
      </c>
      <c r="CF180" s="1">
        <f t="shared" ca="1" si="206"/>
        <v>0.50555462638649273</v>
      </c>
      <c r="CH180" s="3">
        <f t="shared" ca="1" si="189"/>
        <v>0.90915604503380942</v>
      </c>
      <c r="CI180" s="3">
        <f t="shared" ca="1" si="190"/>
        <v>0.35901604567010259</v>
      </c>
      <c r="CJ180" s="3">
        <f t="shared" ca="1" si="191"/>
        <v>1798</v>
      </c>
      <c r="CK180" s="3">
        <f t="shared" ca="1" si="192"/>
        <v>1.3997641318184452E-3</v>
      </c>
      <c r="CL180" s="3">
        <f t="shared" ca="1" si="193"/>
        <v>1</v>
      </c>
      <c r="CM180" s="3"/>
      <c r="CN180" s="1">
        <f t="shared" ca="1" si="194"/>
        <v>13.271305612725589</v>
      </c>
      <c r="CO180" s="1">
        <f t="shared" ca="1" si="195"/>
        <v>2.9134787214701342E-2</v>
      </c>
      <c r="CP180" s="1">
        <f t="shared" ca="1" si="196"/>
        <v>2</v>
      </c>
      <c r="CV180" s="1">
        <f t="shared" ca="1" si="197"/>
        <v>1.2859832109082017</v>
      </c>
      <c r="CW180" s="1">
        <f t="shared" ca="1" si="198"/>
        <v>430</v>
      </c>
      <c r="CX180" s="1">
        <f t="shared" ca="1" si="199"/>
        <v>6.2796515582965555E-3</v>
      </c>
      <c r="DH180" s="1">
        <f t="shared" ca="1" si="200"/>
        <v>155</v>
      </c>
      <c r="DI180" s="1">
        <f t="shared" ca="1" si="201"/>
        <v>0.74974006273216454</v>
      </c>
      <c r="DJ180" s="1">
        <f t="shared" ca="1" si="202"/>
        <v>8</v>
      </c>
      <c r="DL180" s="1">
        <f t="shared" ca="1" si="203"/>
        <v>3.3755459124415577E-2</v>
      </c>
      <c r="DM180" s="1">
        <f t="shared" ca="1" si="204"/>
        <v>259</v>
      </c>
      <c r="DN180" s="1">
        <f t="shared" ca="1" si="205"/>
        <v>5</v>
      </c>
    </row>
    <row r="181" spans="2:118" x14ac:dyDescent="0.25">
      <c r="B181">
        <f t="shared" ca="1" si="138"/>
        <v>336</v>
      </c>
      <c r="C181">
        <f t="shared" ca="1" si="139"/>
        <v>51</v>
      </c>
      <c r="D181">
        <f t="shared" ca="1" si="140"/>
        <v>9.3926898948356416E-2</v>
      </c>
      <c r="F181" s="1">
        <f t="shared" ca="1" si="141"/>
        <v>2</v>
      </c>
      <c r="G181" s="1">
        <f t="shared" ca="1" si="142"/>
        <v>5</v>
      </c>
      <c r="H181" s="1">
        <f t="shared" ca="1" si="143"/>
        <v>14</v>
      </c>
      <c r="I181" s="1"/>
      <c r="J181" s="1">
        <f t="shared" ca="1" si="144"/>
        <v>27</v>
      </c>
      <c r="K181" s="1">
        <f t="shared" ca="1" si="145"/>
        <v>1.0528566541083924</v>
      </c>
      <c r="L181" s="1">
        <f t="shared" ca="1" si="146"/>
        <v>21</v>
      </c>
      <c r="M181" s="1"/>
      <c r="N181" s="1">
        <f t="shared" ca="1" si="147"/>
        <v>939</v>
      </c>
      <c r="O181" s="1">
        <f t="shared" ca="1" si="148"/>
        <v>5</v>
      </c>
      <c r="P181" s="1"/>
      <c r="Q181" s="1">
        <f t="shared" ca="1" si="149"/>
        <v>1.2943842201801266</v>
      </c>
      <c r="R181" s="1">
        <f t="shared" ca="1" si="150"/>
        <v>575</v>
      </c>
      <c r="S181" s="1"/>
      <c r="T181" s="1">
        <f t="shared" ca="1" si="151"/>
        <v>0.15608783880444593</v>
      </c>
      <c r="U181" s="1">
        <f t="shared" ca="1" si="152"/>
        <v>129</v>
      </c>
      <c r="V181" s="1">
        <f t="shared" ca="1" si="153"/>
        <v>18</v>
      </c>
      <c r="W181" s="1"/>
      <c r="X181" s="1">
        <f t="shared" ca="1" si="154"/>
        <v>1.8520992568138086</v>
      </c>
      <c r="Y181" s="1">
        <f t="shared" ca="1" si="155"/>
        <v>0.40898354965430245</v>
      </c>
      <c r="Z181" s="1">
        <f t="shared" ca="1" si="156"/>
        <v>1336</v>
      </c>
      <c r="AB181" s="1">
        <f t="shared" ca="1" si="157"/>
        <v>0.13895123177715527</v>
      </c>
      <c r="AC181" s="1">
        <f t="shared" ca="1" si="158"/>
        <v>360</v>
      </c>
      <c r="AD181" s="1">
        <f t="shared" ca="1" si="159"/>
        <v>1.313572465436642E-4</v>
      </c>
      <c r="AE181" s="1"/>
      <c r="AF181" s="1">
        <f t="shared" ca="1" si="160"/>
        <v>0.63816023186012416</v>
      </c>
      <c r="AG181" s="1">
        <f t="shared" ca="1" si="161"/>
        <v>774</v>
      </c>
      <c r="AH181" s="1">
        <f t="shared" ca="1" si="162"/>
        <v>3.8719294468740097E-3</v>
      </c>
      <c r="AJ181" s="1">
        <f t="shared" ca="1" si="163"/>
        <v>0.72297537928134203</v>
      </c>
      <c r="AK181" s="1">
        <f t="shared" ca="1" si="164"/>
        <v>2.6697136031835784E-3</v>
      </c>
      <c r="AL181" s="1"/>
      <c r="AM181" s="1">
        <f t="shared" ca="1" si="165"/>
        <v>1.5575192344418544E-2</v>
      </c>
      <c r="AN181" s="1">
        <f t="shared" ca="1" si="166"/>
        <v>15</v>
      </c>
      <c r="AO181" s="1">
        <f t="shared" ca="1" si="167"/>
        <v>3</v>
      </c>
      <c r="AQ181" s="1">
        <f t="shared" ca="1" si="168"/>
        <v>71</v>
      </c>
      <c r="AR181" s="1">
        <f t="shared" ca="1" si="169"/>
        <v>1</v>
      </c>
      <c r="AS181" s="1">
        <f t="shared" ca="1" si="170"/>
        <v>67</v>
      </c>
      <c r="AU181" s="1">
        <f t="shared" ca="1" si="171"/>
        <v>67</v>
      </c>
      <c r="AV181" s="1">
        <f t="shared" ca="1" si="172"/>
        <v>4</v>
      </c>
      <c r="AW181" s="1">
        <f t="shared" ca="1" si="173"/>
        <v>0.19428128176693577</v>
      </c>
      <c r="AY181" s="1">
        <f t="shared" ca="1" si="174"/>
        <v>1.4279593018975434</v>
      </c>
      <c r="AZ181" s="1">
        <f t="shared" ca="1" si="175"/>
        <v>280</v>
      </c>
      <c r="BA181" s="1">
        <f t="shared" ca="1" si="176"/>
        <v>7.4905951900167949E-3</v>
      </c>
      <c r="BG181" s="1">
        <f t="shared" ca="1" si="177"/>
        <v>0.10246938709158364</v>
      </c>
      <c r="BH181" s="1">
        <f t="shared" ca="1" si="178"/>
        <v>0.87650221608800338</v>
      </c>
      <c r="BI181" s="1">
        <f t="shared" ca="1" si="179"/>
        <v>871</v>
      </c>
      <c r="BV181" s="1">
        <f t="shared" ca="1" si="180"/>
        <v>0.94305997393296814</v>
      </c>
      <c r="BW181" s="1">
        <f t="shared" ca="1" si="181"/>
        <v>725</v>
      </c>
      <c r="BX181" s="1">
        <f t="shared" ca="1" si="182"/>
        <v>2.7638757820961763E-3</v>
      </c>
      <c r="BY181" s="1">
        <f t="shared" ca="1" si="183"/>
        <v>4.8734734173585564E-2</v>
      </c>
      <c r="BZ181" s="1">
        <f t="shared" ca="1" si="184"/>
        <v>8.8421564534923336E-2</v>
      </c>
      <c r="CB181" s="1">
        <f t="shared" ca="1" si="185"/>
        <v>152</v>
      </c>
      <c r="CC181" s="1">
        <f t="shared" ca="1" si="186"/>
        <v>8</v>
      </c>
      <c r="CD181" s="1">
        <f t="shared" ca="1" si="187"/>
        <v>0.19115436927705423</v>
      </c>
      <c r="CE181" s="1">
        <f t="shared" ca="1" si="206"/>
        <v>0.62551795246932329</v>
      </c>
      <c r="CF181" s="1">
        <f t="shared" ca="1" si="206"/>
        <v>0.60724348613766643</v>
      </c>
      <c r="CH181" s="3">
        <f t="shared" ca="1" si="189"/>
        <v>0.1812477914539305</v>
      </c>
      <c r="CI181" s="3">
        <f t="shared" ca="1" si="190"/>
        <v>3.1286346245407971E-2</v>
      </c>
      <c r="CJ181" s="3">
        <f t="shared" ca="1" si="191"/>
        <v>478</v>
      </c>
      <c r="CK181" s="3">
        <f t="shared" ca="1" si="192"/>
        <v>2.9917466514998541E-3</v>
      </c>
      <c r="CL181" s="3">
        <f t="shared" ca="1" si="193"/>
        <v>1</v>
      </c>
      <c r="CM181" s="3"/>
      <c r="CN181" s="1">
        <f t="shared" ca="1" si="194"/>
        <v>19.116298685734183</v>
      </c>
      <c r="CO181" s="1">
        <f t="shared" ca="1" si="195"/>
        <v>0.15541560914856908</v>
      </c>
      <c r="CP181" s="1">
        <f t="shared" ca="1" si="196"/>
        <v>1</v>
      </c>
      <c r="CV181" s="1">
        <f t="shared" ca="1" si="197"/>
        <v>1.4627740064065118</v>
      </c>
      <c r="CW181" s="1">
        <f t="shared" ca="1" si="198"/>
        <v>352</v>
      </c>
      <c r="CX181" s="1">
        <f t="shared" ca="1" si="199"/>
        <v>2.1756146443759556E-3</v>
      </c>
      <c r="DH181" s="1">
        <f t="shared" ca="1" si="200"/>
        <v>242</v>
      </c>
      <c r="DI181" s="1">
        <f t="shared" ca="1" si="201"/>
        <v>0.50837628730932882</v>
      </c>
      <c r="DJ181" s="1">
        <f t="shared" ca="1" si="202"/>
        <v>29</v>
      </c>
      <c r="DL181" s="1">
        <f t="shared" ca="1" si="203"/>
        <v>8.1500810748245042E-2</v>
      </c>
      <c r="DM181" s="1">
        <f t="shared" ca="1" si="204"/>
        <v>166</v>
      </c>
      <c r="DN181" s="1">
        <f t="shared" ca="1" si="205"/>
        <v>6</v>
      </c>
    </row>
    <row r="182" spans="2:118" x14ac:dyDescent="0.25">
      <c r="B182">
        <f t="shared" ca="1" si="138"/>
        <v>692</v>
      </c>
      <c r="C182">
        <f t="shared" ca="1" si="139"/>
        <v>2</v>
      </c>
      <c r="D182">
        <f t="shared" ca="1" si="140"/>
        <v>0.17544030071456862</v>
      </c>
      <c r="F182" s="1">
        <f t="shared" ca="1" si="141"/>
        <v>41</v>
      </c>
      <c r="G182" s="1">
        <f t="shared" ca="1" si="142"/>
        <v>16</v>
      </c>
      <c r="H182" s="1">
        <f t="shared" ca="1" si="143"/>
        <v>3</v>
      </c>
      <c r="I182" s="1"/>
      <c r="J182" s="1">
        <f t="shared" ca="1" si="144"/>
        <v>36</v>
      </c>
      <c r="K182" s="1">
        <f t="shared" ca="1" si="145"/>
        <v>1.2003967239703839</v>
      </c>
      <c r="L182" s="1">
        <f t="shared" ca="1" si="146"/>
        <v>33</v>
      </c>
      <c r="M182" s="1"/>
      <c r="N182" s="1">
        <f t="shared" ca="1" si="147"/>
        <v>254</v>
      </c>
      <c r="O182" s="1">
        <f t="shared" ca="1" si="148"/>
        <v>15</v>
      </c>
      <c r="P182" s="1"/>
      <c r="Q182" s="1">
        <f t="shared" ca="1" si="149"/>
        <v>1.5052754958375274</v>
      </c>
      <c r="R182" s="1">
        <f t="shared" ca="1" si="150"/>
        <v>1010</v>
      </c>
      <c r="S182" s="1"/>
      <c r="T182" s="1">
        <f t="shared" ca="1" si="151"/>
        <v>0.13878420008369344</v>
      </c>
      <c r="U182" s="1">
        <f t="shared" ca="1" si="152"/>
        <v>362</v>
      </c>
      <c r="V182" s="1">
        <f t="shared" ca="1" si="153"/>
        <v>36</v>
      </c>
      <c r="W182" s="1"/>
      <c r="X182" s="1">
        <f t="shared" ca="1" si="154"/>
        <v>0.59709181852277038</v>
      </c>
      <c r="Y182" s="1">
        <f t="shared" ca="1" si="155"/>
        <v>3.6400562876713685E-2</v>
      </c>
      <c r="Z182" s="1">
        <f t="shared" ca="1" si="156"/>
        <v>1457</v>
      </c>
      <c r="AB182" s="1">
        <f t="shared" ca="1" si="157"/>
        <v>0.33309283337621837</v>
      </c>
      <c r="AC182" s="1">
        <f t="shared" ca="1" si="158"/>
        <v>448</v>
      </c>
      <c r="AD182" s="1">
        <f t="shared" ca="1" si="159"/>
        <v>9.3605669726999421E-3</v>
      </c>
      <c r="AE182" s="1"/>
      <c r="AF182" s="1">
        <f t="shared" ca="1" si="160"/>
        <v>0.6360389021254258</v>
      </c>
      <c r="AG182" s="1">
        <f t="shared" ca="1" si="161"/>
        <v>686</v>
      </c>
      <c r="AH182" s="1">
        <f t="shared" ca="1" si="162"/>
        <v>8.5027480265258189E-3</v>
      </c>
      <c r="AJ182" s="1">
        <f t="shared" ca="1" si="163"/>
        <v>0.82877312020293947</v>
      </c>
      <c r="AK182" s="1">
        <f t="shared" ca="1" si="164"/>
        <v>7.7401649655585575E-3</v>
      </c>
      <c r="AL182" s="1"/>
      <c r="AM182" s="1">
        <f t="shared" ca="1" si="165"/>
        <v>0.18531095849603335</v>
      </c>
      <c r="AN182" s="1">
        <f t="shared" ca="1" si="166"/>
        <v>46</v>
      </c>
      <c r="AO182" s="1">
        <f t="shared" ca="1" si="167"/>
        <v>0</v>
      </c>
      <c r="AQ182" s="1">
        <f t="shared" ca="1" si="168"/>
        <v>159</v>
      </c>
      <c r="AR182" s="1">
        <f t="shared" ca="1" si="169"/>
        <v>7</v>
      </c>
      <c r="AS182" s="1">
        <f t="shared" ca="1" si="170"/>
        <v>30</v>
      </c>
      <c r="AU182" s="1">
        <f t="shared" ca="1" si="171"/>
        <v>61</v>
      </c>
      <c r="AV182" s="1">
        <f t="shared" ca="1" si="172"/>
        <v>5</v>
      </c>
      <c r="AW182" s="1">
        <f t="shared" ca="1" si="173"/>
        <v>0.16630959905106335</v>
      </c>
      <c r="AY182" s="1">
        <f t="shared" ca="1" si="174"/>
        <v>1.6493604488490412</v>
      </c>
      <c r="AZ182" s="1">
        <f t="shared" ca="1" si="175"/>
        <v>493</v>
      </c>
      <c r="BA182" s="1">
        <f t="shared" ca="1" si="176"/>
        <v>2.3979851649524844E-3</v>
      </c>
      <c r="BG182" s="1">
        <f t="shared" ca="1" si="177"/>
        <v>0.76092186840358489</v>
      </c>
      <c r="BH182" s="1">
        <f t="shared" ca="1" si="178"/>
        <v>0.81934179613658997</v>
      </c>
      <c r="BI182" s="1">
        <f t="shared" ca="1" si="179"/>
        <v>654</v>
      </c>
      <c r="BV182" s="1">
        <f t="shared" ca="1" si="180"/>
        <v>0.44776917891845214</v>
      </c>
      <c r="BW182" s="1">
        <f t="shared" ca="1" si="181"/>
        <v>955</v>
      </c>
      <c r="BX182" s="1">
        <f t="shared" ca="1" si="182"/>
        <v>1.6402377109072926E-3</v>
      </c>
      <c r="BY182" s="1">
        <f t="shared" ca="1" si="183"/>
        <v>9.7288642619215535E-2</v>
      </c>
      <c r="BZ182" s="1">
        <f t="shared" ca="1" si="184"/>
        <v>0.61507534605753922</v>
      </c>
      <c r="CB182" s="1">
        <f t="shared" ca="1" si="185"/>
        <v>155</v>
      </c>
      <c r="CC182" s="1">
        <f t="shared" ca="1" si="186"/>
        <v>8</v>
      </c>
      <c r="CD182" s="1">
        <f t="shared" ca="1" si="187"/>
        <v>0.15293343793107739</v>
      </c>
      <c r="CE182" s="1">
        <f t="shared" ca="1" si="206"/>
        <v>0.6816038860810677</v>
      </c>
      <c r="CF182" s="1">
        <f t="shared" ca="1" si="206"/>
        <v>0.71356216044179344</v>
      </c>
      <c r="CH182" s="3">
        <f t="shared" ca="1" si="189"/>
        <v>4.3319934714220285E-2</v>
      </c>
      <c r="CI182" s="3">
        <f t="shared" ca="1" si="190"/>
        <v>0.3698090859069636</v>
      </c>
      <c r="CJ182" s="3">
        <f t="shared" ca="1" si="191"/>
        <v>211</v>
      </c>
      <c r="CK182" s="3">
        <f t="shared" ca="1" si="192"/>
        <v>3.9453482549492089E-3</v>
      </c>
      <c r="CL182" s="3">
        <f t="shared" ca="1" si="193"/>
        <v>1</v>
      </c>
      <c r="CM182" s="3"/>
      <c r="CN182" s="1">
        <f t="shared" ca="1" si="194"/>
        <v>8.893865223322484</v>
      </c>
      <c r="CO182" s="1">
        <f t="shared" ca="1" si="195"/>
        <v>0.38383633144507784</v>
      </c>
      <c r="CP182" s="1">
        <f t="shared" ca="1" si="196"/>
        <v>1</v>
      </c>
      <c r="CV182" s="1">
        <f t="shared" ca="1" si="197"/>
        <v>4.857192377519902</v>
      </c>
      <c r="CW182" s="1">
        <f t="shared" ca="1" si="198"/>
        <v>1097</v>
      </c>
      <c r="CX182" s="1">
        <f t="shared" ca="1" si="199"/>
        <v>1.8700292254519746E-3</v>
      </c>
      <c r="DH182" s="1">
        <f t="shared" ca="1" si="200"/>
        <v>376</v>
      </c>
      <c r="DI182" s="1">
        <f t="shared" ca="1" si="201"/>
        <v>0.81425744212871065</v>
      </c>
      <c r="DJ182" s="1">
        <f t="shared" ca="1" si="202"/>
        <v>17</v>
      </c>
      <c r="DL182" s="1">
        <f t="shared" ca="1" si="203"/>
        <v>0.11272782649252082</v>
      </c>
      <c r="DM182" s="1">
        <f t="shared" ca="1" si="204"/>
        <v>121</v>
      </c>
      <c r="DN182" s="1">
        <f t="shared" ca="1" si="205"/>
        <v>5</v>
      </c>
    </row>
    <row r="183" spans="2:118" x14ac:dyDescent="0.25">
      <c r="B183">
        <f t="shared" ca="1" si="138"/>
        <v>735</v>
      </c>
      <c r="C183">
        <f t="shared" ca="1" si="139"/>
        <v>16</v>
      </c>
      <c r="D183">
        <f t="shared" ca="1" si="140"/>
        <v>1.7932196286448543E-2</v>
      </c>
      <c r="F183" s="1">
        <f t="shared" ca="1" si="141"/>
        <v>9</v>
      </c>
      <c r="G183" s="1">
        <f t="shared" ca="1" si="142"/>
        <v>7</v>
      </c>
      <c r="H183" s="1">
        <f t="shared" ca="1" si="143"/>
        <v>13</v>
      </c>
      <c r="I183" s="1"/>
      <c r="J183" s="1">
        <f t="shared" ca="1" si="144"/>
        <v>11</v>
      </c>
      <c r="K183" s="1">
        <f t="shared" ca="1" si="145"/>
        <v>2.2426935575447295</v>
      </c>
      <c r="L183" s="1">
        <f t="shared" ca="1" si="146"/>
        <v>19</v>
      </c>
      <c r="M183" s="1"/>
      <c r="N183" s="1">
        <f t="shared" ca="1" si="147"/>
        <v>22</v>
      </c>
      <c r="O183" s="1">
        <f t="shared" ca="1" si="148"/>
        <v>25</v>
      </c>
      <c r="P183" s="1"/>
      <c r="Q183" s="1">
        <f t="shared" ca="1" si="149"/>
        <v>2.0582410097407355</v>
      </c>
      <c r="R183" s="1">
        <f t="shared" ca="1" si="150"/>
        <v>440</v>
      </c>
      <c r="S183" s="1"/>
      <c r="T183" s="1">
        <f t="shared" ca="1" si="151"/>
        <v>0.13895832738542774</v>
      </c>
      <c r="U183" s="1">
        <f t="shared" ca="1" si="152"/>
        <v>237</v>
      </c>
      <c r="V183" s="1">
        <f t="shared" ca="1" si="153"/>
        <v>40</v>
      </c>
      <c r="W183" s="1"/>
      <c r="X183" s="1">
        <f t="shared" ca="1" si="154"/>
        <v>5.5064162858755346</v>
      </c>
      <c r="Y183" s="1">
        <f t="shared" ca="1" si="155"/>
        <v>0.28546092869401068</v>
      </c>
      <c r="Z183" s="1">
        <f t="shared" ca="1" si="156"/>
        <v>272</v>
      </c>
      <c r="AB183" s="1">
        <f t="shared" ca="1" si="157"/>
        <v>0.26382353627240596</v>
      </c>
      <c r="AC183" s="1">
        <f t="shared" ca="1" si="158"/>
        <v>677</v>
      </c>
      <c r="AD183" s="1">
        <f t="shared" ca="1" si="159"/>
        <v>2.5539727268030247E-3</v>
      </c>
      <c r="AE183" s="1"/>
      <c r="AF183" s="1">
        <f t="shared" ca="1" si="160"/>
        <v>0.27127606107123881</v>
      </c>
      <c r="AG183" s="1">
        <f t="shared" ca="1" si="161"/>
        <v>170</v>
      </c>
      <c r="AH183" s="1">
        <f t="shared" ca="1" si="162"/>
        <v>4.3260599978014319E-3</v>
      </c>
      <c r="AJ183" s="1">
        <f t="shared" ca="1" si="163"/>
        <v>0.18769036505370407</v>
      </c>
      <c r="AK183" s="1">
        <f t="shared" ca="1" si="164"/>
        <v>6.7747537634321548E-3</v>
      </c>
      <c r="AL183" s="1"/>
      <c r="AM183" s="1">
        <f t="shared" ca="1" si="165"/>
        <v>4.9084350625934782E-2</v>
      </c>
      <c r="AN183" s="1">
        <f t="shared" ca="1" si="166"/>
        <v>53</v>
      </c>
      <c r="AO183" s="1">
        <f t="shared" ca="1" si="167"/>
        <v>-1</v>
      </c>
      <c r="AQ183" s="1">
        <f t="shared" ca="1" si="168"/>
        <v>86</v>
      </c>
      <c r="AR183" s="1">
        <f t="shared" ca="1" si="169"/>
        <v>8</v>
      </c>
      <c r="AS183" s="1">
        <f t="shared" ca="1" si="170"/>
        <v>96</v>
      </c>
      <c r="AU183" s="1">
        <f t="shared" ca="1" si="171"/>
        <v>347</v>
      </c>
      <c r="AV183" s="1">
        <f t="shared" ca="1" si="172"/>
        <v>3</v>
      </c>
      <c r="AW183" s="1">
        <f t="shared" ca="1" si="173"/>
        <v>0.11491138531177367</v>
      </c>
      <c r="AY183" s="1">
        <f t="shared" ca="1" si="174"/>
        <v>1.2494589424598503</v>
      </c>
      <c r="AZ183" s="1">
        <f t="shared" ca="1" si="175"/>
        <v>320</v>
      </c>
      <c r="BA183" s="1">
        <f t="shared" ca="1" si="176"/>
        <v>5.0503893451118494E-3</v>
      </c>
      <c r="BG183" s="1">
        <f t="shared" ca="1" si="177"/>
        <v>3.5892666621497378E-2</v>
      </c>
      <c r="BH183" s="1">
        <f t="shared" ca="1" si="178"/>
        <v>6.9549131667271391E-3</v>
      </c>
      <c r="BI183" s="1">
        <f t="shared" ca="1" si="179"/>
        <v>200</v>
      </c>
      <c r="BV183" s="1">
        <f t="shared" ca="1" si="180"/>
        <v>0.5297505730931964</v>
      </c>
      <c r="BW183" s="1">
        <f t="shared" ca="1" si="181"/>
        <v>314</v>
      </c>
      <c r="BX183" s="1">
        <f t="shared" ca="1" si="182"/>
        <v>5.2654959133717474E-3</v>
      </c>
      <c r="BY183" s="1">
        <f t="shared" ca="1" si="183"/>
        <v>3.2605706284787248E-2</v>
      </c>
      <c r="BZ183" s="1">
        <f t="shared" ca="1" si="184"/>
        <v>7.2635200188221005E-2</v>
      </c>
      <c r="CB183" s="1">
        <f t="shared" ca="1" si="185"/>
        <v>67</v>
      </c>
      <c r="CC183" s="1">
        <f t="shared" ca="1" si="186"/>
        <v>14</v>
      </c>
      <c r="CD183" s="1">
        <f t="shared" ca="1" si="187"/>
        <v>0.22676465682510297</v>
      </c>
      <c r="CE183" s="1">
        <f t="shared" ca="1" si="206"/>
        <v>0.9631242239792025</v>
      </c>
      <c r="CF183" s="1">
        <f t="shared" ca="1" si="206"/>
        <v>0.9865237766059769</v>
      </c>
      <c r="CH183" s="3">
        <f t="shared" ca="1" si="189"/>
        <v>0.98711368882491379</v>
      </c>
      <c r="CI183" s="3">
        <f t="shared" ca="1" si="190"/>
        <v>0.30934714391451468</v>
      </c>
      <c r="CJ183" s="3">
        <f t="shared" ca="1" si="191"/>
        <v>830</v>
      </c>
      <c r="CK183" s="3">
        <f t="shared" ca="1" si="192"/>
        <v>3.1452168214129803E-3</v>
      </c>
      <c r="CL183" s="3">
        <f t="shared" ca="1" si="193"/>
        <v>0</v>
      </c>
      <c r="CM183" s="3"/>
      <c r="CN183" s="1">
        <f t="shared" ca="1" si="194"/>
        <v>3.9701958643738027</v>
      </c>
      <c r="CO183" s="1">
        <f t="shared" ca="1" si="195"/>
        <v>0.39931478654403807</v>
      </c>
      <c r="CP183" s="1">
        <f t="shared" ca="1" si="196"/>
        <v>1</v>
      </c>
      <c r="CV183" s="1">
        <f t="shared" ca="1" si="197"/>
        <v>6.584712238518855</v>
      </c>
      <c r="CW183" s="1">
        <f t="shared" ca="1" si="198"/>
        <v>1933</v>
      </c>
      <c r="CX183" s="1">
        <f t="shared" ca="1" si="199"/>
        <v>9.1964080576428953E-3</v>
      </c>
      <c r="DH183" s="1">
        <f t="shared" ca="1" si="200"/>
        <v>884</v>
      </c>
      <c r="DI183" s="1">
        <f t="shared" ca="1" si="201"/>
        <v>0.16661162222366802</v>
      </c>
      <c r="DJ183" s="1">
        <f t="shared" ca="1" si="202"/>
        <v>28</v>
      </c>
      <c r="DL183" s="1">
        <f t="shared" ca="1" si="203"/>
        <v>9.2020924206809462E-2</v>
      </c>
      <c r="DM183" s="1">
        <f t="shared" ca="1" si="204"/>
        <v>222</v>
      </c>
      <c r="DN183" s="1">
        <f t="shared" ca="1" si="205"/>
        <v>9</v>
      </c>
    </row>
    <row r="184" spans="2:118" x14ac:dyDescent="0.25">
      <c r="B184">
        <f t="shared" ca="1" si="138"/>
        <v>503</v>
      </c>
      <c r="C184">
        <f t="shared" ca="1" si="139"/>
        <v>17</v>
      </c>
      <c r="D184">
        <f t="shared" ca="1" si="140"/>
        <v>5.4411310560662757E-2</v>
      </c>
      <c r="F184" s="1">
        <f t="shared" ca="1" si="141"/>
        <v>35</v>
      </c>
      <c r="G184" s="1">
        <f t="shared" ca="1" si="142"/>
        <v>2</v>
      </c>
      <c r="H184" s="1">
        <f t="shared" ca="1" si="143"/>
        <v>14</v>
      </c>
      <c r="I184" s="1"/>
      <c r="J184" s="1">
        <f t="shared" ca="1" si="144"/>
        <v>23</v>
      </c>
      <c r="K184" s="1">
        <f t="shared" ca="1" si="145"/>
        <v>2.6653610414919422</v>
      </c>
      <c r="L184" s="1">
        <f t="shared" ca="1" si="146"/>
        <v>9</v>
      </c>
      <c r="M184" s="1"/>
      <c r="N184" s="1">
        <f t="shared" ca="1" si="147"/>
        <v>49</v>
      </c>
      <c r="O184" s="1">
        <f t="shared" ca="1" si="148"/>
        <v>7</v>
      </c>
      <c r="P184" s="1"/>
      <c r="Q184" s="1">
        <f t="shared" ca="1" si="149"/>
        <v>2.6094808358943489</v>
      </c>
      <c r="R184" s="1">
        <f t="shared" ca="1" si="150"/>
        <v>686</v>
      </c>
      <c r="S184" s="1"/>
      <c r="T184" s="1">
        <f t="shared" ca="1" si="151"/>
        <v>6.9302889242082291E-2</v>
      </c>
      <c r="U184" s="1">
        <f t="shared" ca="1" si="152"/>
        <v>340</v>
      </c>
      <c r="V184" s="1">
        <f t="shared" ca="1" si="153"/>
        <v>7</v>
      </c>
      <c r="W184" s="1"/>
      <c r="X184" s="1">
        <f t="shared" ca="1" si="154"/>
        <v>7.6018295245158454</v>
      </c>
      <c r="Y184" s="1">
        <f t="shared" ca="1" si="155"/>
        <v>0.12325406036326379</v>
      </c>
      <c r="Z184" s="1">
        <f t="shared" ca="1" si="156"/>
        <v>353</v>
      </c>
      <c r="AB184" s="1">
        <f t="shared" ca="1" si="157"/>
        <v>8.0306931582141111E-2</v>
      </c>
      <c r="AC184" s="1">
        <f t="shared" ca="1" si="158"/>
        <v>969</v>
      </c>
      <c r="AD184" s="1">
        <f t="shared" ca="1" si="159"/>
        <v>5.9888944775470052E-3</v>
      </c>
      <c r="AE184" s="1"/>
      <c r="AF184" s="1">
        <f t="shared" ca="1" si="160"/>
        <v>0.45784576035136104</v>
      </c>
      <c r="AG184" s="1">
        <f t="shared" ca="1" si="161"/>
        <v>437</v>
      </c>
      <c r="AH184" s="1">
        <f t="shared" ca="1" si="162"/>
        <v>9.367612861750493E-3</v>
      </c>
      <c r="AJ184" s="1">
        <f t="shared" ca="1" si="163"/>
        <v>0.70553583015911148</v>
      </c>
      <c r="AK184" s="1">
        <f t="shared" ca="1" si="164"/>
        <v>6.1326956100228244E-4</v>
      </c>
      <c r="AL184" s="1"/>
      <c r="AM184" s="1">
        <f t="shared" ca="1" si="165"/>
        <v>0.12254708125305679</v>
      </c>
      <c r="AN184" s="1">
        <f t="shared" ca="1" si="166"/>
        <v>33</v>
      </c>
      <c r="AO184" s="1">
        <f t="shared" ca="1" si="167"/>
        <v>6</v>
      </c>
      <c r="AQ184" s="1">
        <f t="shared" ca="1" si="168"/>
        <v>166</v>
      </c>
      <c r="AR184" s="1">
        <f t="shared" ca="1" si="169"/>
        <v>3</v>
      </c>
      <c r="AS184" s="1">
        <f t="shared" ca="1" si="170"/>
        <v>66</v>
      </c>
      <c r="AU184" s="1">
        <f t="shared" ca="1" si="171"/>
        <v>173</v>
      </c>
      <c r="AV184" s="1">
        <f t="shared" ca="1" si="172"/>
        <v>4</v>
      </c>
      <c r="AW184" s="1">
        <f t="shared" ca="1" si="173"/>
        <v>8.3069658998088228E-2</v>
      </c>
      <c r="AY184" s="1">
        <f t="shared" ca="1" si="174"/>
        <v>1.8215917436384954</v>
      </c>
      <c r="AZ184" s="1">
        <f t="shared" ca="1" si="175"/>
        <v>460</v>
      </c>
      <c r="BA184" s="1">
        <f t="shared" ca="1" si="176"/>
        <v>7.8211953020031408E-3</v>
      </c>
      <c r="BG184" s="1">
        <f t="shared" ca="1" si="177"/>
        <v>0.99602841168179423</v>
      </c>
      <c r="BH184" s="1">
        <f t="shared" ca="1" si="178"/>
        <v>0.61037308046430538</v>
      </c>
      <c r="BI184" s="1">
        <f t="shared" ca="1" si="179"/>
        <v>107</v>
      </c>
      <c r="BV184" s="1">
        <f t="shared" ca="1" si="180"/>
        <v>7.2509028852948659E-2</v>
      </c>
      <c r="BW184" s="1">
        <f t="shared" ca="1" si="181"/>
        <v>276</v>
      </c>
      <c r="BX184" s="1">
        <f t="shared" ca="1" si="182"/>
        <v>4.1538271700304269E-3</v>
      </c>
      <c r="BY184" s="1">
        <f t="shared" ca="1" si="183"/>
        <v>1.6072589646751324E-2</v>
      </c>
      <c r="BZ184" s="1">
        <f t="shared" ca="1" si="184"/>
        <v>0.13406239696410704</v>
      </c>
      <c r="CB184" s="1">
        <f t="shared" ca="1" si="185"/>
        <v>412</v>
      </c>
      <c r="CC184" s="1">
        <f t="shared" ca="1" si="186"/>
        <v>6</v>
      </c>
      <c r="CD184" s="1">
        <f t="shared" ca="1" si="187"/>
        <v>0.19598385319279904</v>
      </c>
      <c r="CE184" s="1">
        <f t="shared" ca="1" si="206"/>
        <v>0.82855486744849349</v>
      </c>
      <c r="CF184" s="1">
        <f t="shared" ca="1" si="206"/>
        <v>0.73022108527872265</v>
      </c>
      <c r="CH184" s="3">
        <f t="shared" ca="1" si="189"/>
        <v>0.68686983876136953</v>
      </c>
      <c r="CI184" s="3">
        <f t="shared" ca="1" si="190"/>
        <v>0.21094922236005295</v>
      </c>
      <c r="CJ184" s="3">
        <f t="shared" ca="1" si="191"/>
        <v>1143</v>
      </c>
      <c r="CK184" s="3">
        <f t="shared" ca="1" si="192"/>
        <v>7.7267619080863548E-3</v>
      </c>
      <c r="CL184" s="3">
        <f t="shared" ca="1" si="193"/>
        <v>0</v>
      </c>
      <c r="CM184" s="3"/>
      <c r="CN184" s="1">
        <f t="shared" ca="1" si="194"/>
        <v>8.2847114884309327</v>
      </c>
      <c r="CO184" s="1">
        <f t="shared" ca="1" si="195"/>
        <v>0.34913058342158221</v>
      </c>
      <c r="CP184" s="1">
        <f t="shared" ca="1" si="196"/>
        <v>4</v>
      </c>
      <c r="CV184" s="1">
        <f t="shared" ca="1" si="197"/>
        <v>4.2857676805048337</v>
      </c>
      <c r="CW184" s="1">
        <f t="shared" ca="1" si="198"/>
        <v>383</v>
      </c>
      <c r="CX184" s="1">
        <f t="shared" ca="1" si="199"/>
        <v>8.0565342390004444E-4</v>
      </c>
      <c r="DH184" s="1">
        <f t="shared" ca="1" si="200"/>
        <v>652</v>
      </c>
      <c r="DI184" s="1">
        <f t="shared" ca="1" si="201"/>
        <v>0.20771479214908939</v>
      </c>
      <c r="DJ184" s="1">
        <f t="shared" ca="1" si="202"/>
        <v>10</v>
      </c>
      <c r="DL184" s="1">
        <f t="shared" ca="1" si="203"/>
        <v>8.1754101739881138E-2</v>
      </c>
      <c r="DM184" s="1">
        <f t="shared" ca="1" si="204"/>
        <v>283</v>
      </c>
      <c r="DN184" s="1">
        <f t="shared" ca="1" si="205"/>
        <v>6</v>
      </c>
    </row>
    <row r="185" spans="2:118" x14ac:dyDescent="0.25">
      <c r="B185">
        <f t="shared" ca="1" si="138"/>
        <v>120</v>
      </c>
      <c r="C185">
        <f t="shared" ca="1" si="139"/>
        <v>28</v>
      </c>
      <c r="D185">
        <f t="shared" ca="1" si="140"/>
        <v>4.7800585139618108E-2</v>
      </c>
      <c r="F185" s="1">
        <f t="shared" ca="1" si="141"/>
        <v>11</v>
      </c>
      <c r="G185" s="1">
        <f t="shared" ca="1" si="142"/>
        <v>18</v>
      </c>
      <c r="H185" s="1">
        <f t="shared" ca="1" si="143"/>
        <v>15</v>
      </c>
      <c r="I185" s="1"/>
      <c r="J185" s="1">
        <f t="shared" ca="1" si="144"/>
        <v>13</v>
      </c>
      <c r="K185" s="1">
        <f t="shared" ca="1" si="145"/>
        <v>2.7211642705375612</v>
      </c>
      <c r="L185" s="1">
        <f t="shared" ca="1" si="146"/>
        <v>18</v>
      </c>
      <c r="M185" s="1"/>
      <c r="N185" s="1">
        <f t="shared" ca="1" si="147"/>
        <v>202</v>
      </c>
      <c r="O185" s="1">
        <f t="shared" ca="1" si="148"/>
        <v>8</v>
      </c>
      <c r="P185" s="1"/>
      <c r="Q185" s="1">
        <f t="shared" ca="1" si="149"/>
        <v>2.0406521446033423</v>
      </c>
      <c r="R185" s="1">
        <f t="shared" ca="1" si="150"/>
        <v>872</v>
      </c>
      <c r="S185" s="1"/>
      <c r="T185" s="1">
        <f t="shared" ca="1" si="151"/>
        <v>7.3404483585455496E-2</v>
      </c>
      <c r="U185" s="1">
        <f t="shared" ca="1" si="152"/>
        <v>154</v>
      </c>
      <c r="V185" s="1">
        <f t="shared" ca="1" si="153"/>
        <v>30</v>
      </c>
      <c r="W185" s="1"/>
      <c r="X185" s="1">
        <f t="shared" ca="1" si="154"/>
        <v>0.51235418540973177</v>
      </c>
      <c r="Y185" s="1">
        <f t="shared" ca="1" si="155"/>
        <v>0.89799279267515664</v>
      </c>
      <c r="Z185" s="1">
        <f t="shared" ca="1" si="156"/>
        <v>855</v>
      </c>
      <c r="AB185" s="1">
        <f t="shared" ca="1" si="157"/>
        <v>6.3035143900265531E-2</v>
      </c>
      <c r="AC185" s="1">
        <f t="shared" ca="1" si="158"/>
        <v>981</v>
      </c>
      <c r="AD185" s="1">
        <f t="shared" ca="1" si="159"/>
        <v>2.2471227996450059E-3</v>
      </c>
      <c r="AE185" s="1"/>
      <c r="AF185" s="1">
        <f t="shared" ca="1" si="160"/>
        <v>0.50563123635308338</v>
      </c>
      <c r="AG185" s="1">
        <f t="shared" ca="1" si="161"/>
        <v>238</v>
      </c>
      <c r="AH185" s="1">
        <f t="shared" ca="1" si="162"/>
        <v>9.7959482877744263E-3</v>
      </c>
      <c r="AJ185" s="1">
        <f t="shared" ca="1" si="163"/>
        <v>0.87591569874570685</v>
      </c>
      <c r="AK185" s="1">
        <f t="shared" ca="1" si="164"/>
        <v>3.6494374552277311E-3</v>
      </c>
      <c r="AL185" s="1"/>
      <c r="AM185" s="1">
        <f t="shared" ca="1" si="165"/>
        <v>9.1967025712512036E-3</v>
      </c>
      <c r="AN185" s="1">
        <f t="shared" ca="1" si="166"/>
        <v>38</v>
      </c>
      <c r="AO185" s="1">
        <f t="shared" ca="1" si="167"/>
        <v>13</v>
      </c>
      <c r="AQ185" s="1">
        <f t="shared" ca="1" si="168"/>
        <v>42</v>
      </c>
      <c r="AR185" s="1">
        <f t="shared" ca="1" si="169"/>
        <v>2</v>
      </c>
      <c r="AS185" s="1">
        <f t="shared" ca="1" si="170"/>
        <v>87</v>
      </c>
      <c r="AU185" s="1">
        <f t="shared" ca="1" si="171"/>
        <v>372</v>
      </c>
      <c r="AV185" s="1">
        <f t="shared" ca="1" si="172"/>
        <v>4</v>
      </c>
      <c r="AW185" s="1">
        <f t="shared" ca="1" si="173"/>
        <v>2.5793276756527338E-2</v>
      </c>
      <c r="AY185" s="1">
        <f t="shared" ca="1" si="174"/>
        <v>1.125586770235943</v>
      </c>
      <c r="AZ185" s="1">
        <f t="shared" ca="1" si="175"/>
        <v>451</v>
      </c>
      <c r="BA185" s="1">
        <f t="shared" ca="1" si="176"/>
        <v>2.8196656776138737E-3</v>
      </c>
      <c r="BG185" s="1">
        <f t="shared" ca="1" si="177"/>
        <v>0.37879773898241137</v>
      </c>
      <c r="BH185" s="1">
        <f t="shared" ca="1" si="178"/>
        <v>0.13214244759498295</v>
      </c>
      <c r="BI185" s="1">
        <f t="shared" ca="1" si="179"/>
        <v>599</v>
      </c>
      <c r="BV185" s="1">
        <f t="shared" ca="1" si="180"/>
        <v>0.22428797913807175</v>
      </c>
      <c r="BW185" s="1">
        <f t="shared" ca="1" si="181"/>
        <v>273</v>
      </c>
      <c r="BX185" s="1">
        <f t="shared" ca="1" si="182"/>
        <v>1.1048024439962818E-3</v>
      </c>
      <c r="BY185" s="1">
        <f t="shared" ca="1" si="183"/>
        <v>5.8023598663968938E-2</v>
      </c>
      <c r="BZ185" s="1">
        <f t="shared" ca="1" si="184"/>
        <v>0.70095681944882704</v>
      </c>
      <c r="CB185" s="1">
        <f t="shared" ca="1" si="185"/>
        <v>245</v>
      </c>
      <c r="CC185" s="1">
        <f t="shared" ca="1" si="186"/>
        <v>7</v>
      </c>
      <c r="CD185" s="1">
        <f t="shared" ca="1" si="187"/>
        <v>3.3168761275845907E-2</v>
      </c>
      <c r="CE185" s="1">
        <f t="shared" ca="1" si="206"/>
        <v>0.83738248044645547</v>
      </c>
      <c r="CF185" s="1">
        <f t="shared" ca="1" si="206"/>
        <v>0.61218597495439608</v>
      </c>
      <c r="CH185" s="3">
        <f t="shared" ca="1" si="189"/>
        <v>0.22345431493388204</v>
      </c>
      <c r="CI185" s="3">
        <f t="shared" ca="1" si="190"/>
        <v>0.66164287183814352</v>
      </c>
      <c r="CJ185" s="3">
        <f t="shared" ca="1" si="191"/>
        <v>1034</v>
      </c>
      <c r="CK185" s="3">
        <f t="shared" ca="1" si="192"/>
        <v>8.4775017328678169E-3</v>
      </c>
      <c r="CL185" s="3">
        <f t="shared" ca="1" si="193"/>
        <v>1</v>
      </c>
      <c r="CM185" s="3"/>
      <c r="CN185" s="1">
        <f t="shared" ca="1" si="194"/>
        <v>18.093462390632546</v>
      </c>
      <c r="CO185" s="1">
        <f t="shared" ca="1" si="195"/>
        <v>0.30779582955982759</v>
      </c>
      <c r="CP185" s="1">
        <f t="shared" ca="1" si="196"/>
        <v>1</v>
      </c>
      <c r="CV185" s="1">
        <f t="shared" ca="1" si="197"/>
        <v>7.1622375503114215</v>
      </c>
      <c r="CW185" s="1">
        <f t="shared" ca="1" si="198"/>
        <v>1705</v>
      </c>
      <c r="CX185" s="1">
        <f t="shared" ca="1" si="199"/>
        <v>6.9603865420814221E-3</v>
      </c>
      <c r="DH185" s="1">
        <f t="shared" ca="1" si="200"/>
        <v>763</v>
      </c>
      <c r="DI185" s="1">
        <f t="shared" ca="1" si="201"/>
        <v>0.79119589803954271</v>
      </c>
      <c r="DJ185" s="1">
        <f t="shared" ca="1" si="202"/>
        <v>13</v>
      </c>
      <c r="DL185" s="1">
        <f t="shared" ca="1" si="203"/>
        <v>4.8916820906691513E-2</v>
      </c>
      <c r="DM185" s="1">
        <f t="shared" ca="1" si="204"/>
        <v>234</v>
      </c>
      <c r="DN185" s="1">
        <f t="shared" ca="1" si="205"/>
        <v>9</v>
      </c>
    </row>
    <row r="186" spans="2:118" x14ac:dyDescent="0.25">
      <c r="B186">
        <f t="shared" ca="1" si="138"/>
        <v>74</v>
      </c>
      <c r="C186">
        <f t="shared" ca="1" si="139"/>
        <v>31</v>
      </c>
      <c r="D186">
        <f t="shared" ca="1" si="140"/>
        <v>0.28203451201299345</v>
      </c>
      <c r="F186" s="1">
        <f t="shared" ca="1" si="141"/>
        <v>17</v>
      </c>
      <c r="G186" s="1">
        <f t="shared" ca="1" si="142"/>
        <v>25</v>
      </c>
      <c r="H186" s="1">
        <f t="shared" ca="1" si="143"/>
        <v>8</v>
      </c>
      <c r="I186" s="1"/>
      <c r="J186" s="1">
        <f t="shared" ca="1" si="144"/>
        <v>25</v>
      </c>
      <c r="K186" s="1">
        <f t="shared" ca="1" si="145"/>
        <v>1.0483337327765838</v>
      </c>
      <c r="L186" s="1">
        <f t="shared" ca="1" si="146"/>
        <v>32</v>
      </c>
      <c r="M186" s="1"/>
      <c r="N186" s="1">
        <f t="shared" ca="1" si="147"/>
        <v>921</v>
      </c>
      <c r="O186" s="1">
        <f t="shared" ca="1" si="148"/>
        <v>20</v>
      </c>
      <c r="P186" s="1"/>
      <c r="Q186" s="1">
        <f t="shared" ca="1" si="149"/>
        <v>3.8013448740296414</v>
      </c>
      <c r="R186" s="1">
        <f t="shared" ca="1" si="150"/>
        <v>1185</v>
      </c>
      <c r="S186" s="1"/>
      <c r="T186" s="1">
        <f t="shared" ca="1" si="151"/>
        <v>6.1561596615776155E-2</v>
      </c>
      <c r="U186" s="1">
        <f t="shared" ca="1" si="152"/>
        <v>200</v>
      </c>
      <c r="V186" s="1">
        <f t="shared" ca="1" si="153"/>
        <v>10</v>
      </c>
      <c r="W186" s="1"/>
      <c r="X186" s="1">
        <f t="shared" ca="1" si="154"/>
        <v>6.58075672948838</v>
      </c>
      <c r="Y186" s="1">
        <f t="shared" ca="1" si="155"/>
        <v>0.7989092160429988</v>
      </c>
      <c r="Z186" s="1">
        <f t="shared" ca="1" si="156"/>
        <v>1098</v>
      </c>
      <c r="AB186" s="1">
        <f t="shared" ca="1" si="157"/>
        <v>0.69386119483738706</v>
      </c>
      <c r="AC186" s="1">
        <f t="shared" ca="1" si="158"/>
        <v>150</v>
      </c>
      <c r="AD186" s="1">
        <f t="shared" ca="1" si="159"/>
        <v>5.3377140965843158E-4</v>
      </c>
      <c r="AE186" s="1"/>
      <c r="AF186" s="1">
        <f t="shared" ca="1" si="160"/>
        <v>0.65197798659033057</v>
      </c>
      <c r="AG186" s="1">
        <f t="shared" ca="1" si="161"/>
        <v>977</v>
      </c>
      <c r="AH186" s="1">
        <f t="shared" ca="1" si="162"/>
        <v>7.624248807039216E-3</v>
      </c>
      <c r="AJ186" s="1">
        <f t="shared" ca="1" si="163"/>
        <v>1.8408617761704105E-2</v>
      </c>
      <c r="AK186" s="1">
        <f t="shared" ca="1" si="164"/>
        <v>5.7547088245140715E-3</v>
      </c>
      <c r="AL186" s="1"/>
      <c r="AM186" s="1">
        <f t="shared" ca="1" si="165"/>
        <v>5.1011662283740364E-2</v>
      </c>
      <c r="AN186" s="1">
        <f t="shared" ca="1" si="166"/>
        <v>69</v>
      </c>
      <c r="AO186" s="1">
        <f t="shared" ca="1" si="167"/>
        <v>16</v>
      </c>
      <c r="AQ186" s="1">
        <f t="shared" ca="1" si="168"/>
        <v>188</v>
      </c>
      <c r="AR186" s="1">
        <f t="shared" ca="1" si="169"/>
        <v>4</v>
      </c>
      <c r="AS186" s="1">
        <f t="shared" ca="1" si="170"/>
        <v>82</v>
      </c>
      <c r="AU186" s="1">
        <f t="shared" ca="1" si="171"/>
        <v>90</v>
      </c>
      <c r="AV186" s="1">
        <f t="shared" ca="1" si="172"/>
        <v>3</v>
      </c>
      <c r="AW186" s="1">
        <f t="shared" ca="1" si="173"/>
        <v>9.5532866926034132E-2</v>
      </c>
      <c r="AY186" s="1">
        <f t="shared" ca="1" si="174"/>
        <v>1.6767636344934984</v>
      </c>
      <c r="AZ186" s="1">
        <f t="shared" ca="1" si="175"/>
        <v>252</v>
      </c>
      <c r="BA186" s="1">
        <f t="shared" ca="1" si="176"/>
        <v>6.6251389482707276E-3</v>
      </c>
      <c r="BG186" s="1">
        <f t="shared" ca="1" si="177"/>
        <v>0.96007304389499182</v>
      </c>
      <c r="BH186" s="1">
        <f t="shared" ca="1" si="178"/>
        <v>0.85053984378551539</v>
      </c>
      <c r="BI186" s="1">
        <f t="shared" ca="1" si="179"/>
        <v>798</v>
      </c>
      <c r="BV186" s="1">
        <f t="shared" ca="1" si="180"/>
        <v>0.97091092763578124</v>
      </c>
      <c r="BW186" s="1">
        <f t="shared" ca="1" si="181"/>
        <v>608</v>
      </c>
      <c r="BX186" s="1">
        <f t="shared" ca="1" si="182"/>
        <v>3.6865728631973321E-3</v>
      </c>
      <c r="BY186" s="1">
        <f t="shared" ca="1" si="183"/>
        <v>4.606866193428464E-2</v>
      </c>
      <c r="BZ186" s="1">
        <f t="shared" ca="1" si="184"/>
        <v>0.82142170551896798</v>
      </c>
      <c r="CB186" s="1">
        <f t="shared" ca="1" si="185"/>
        <v>203</v>
      </c>
      <c r="CC186" s="1">
        <f t="shared" ca="1" si="186"/>
        <v>7</v>
      </c>
      <c r="CD186" s="1">
        <f t="shared" ca="1" si="187"/>
        <v>0.14429537398546555</v>
      </c>
      <c r="CE186" s="1">
        <f t="shared" ca="1" si="206"/>
        <v>0.58265376106250066</v>
      </c>
      <c r="CF186" s="1">
        <f t="shared" ca="1" si="206"/>
        <v>0.62351373210862227</v>
      </c>
      <c r="CH186" s="3">
        <f t="shared" ca="1" si="189"/>
        <v>0.16277898462924542</v>
      </c>
      <c r="CI186" s="3">
        <f t="shared" ca="1" si="190"/>
        <v>0.88336268209945112</v>
      </c>
      <c r="CJ186" s="3">
        <f t="shared" ca="1" si="191"/>
        <v>1692</v>
      </c>
      <c r="CK186" s="3">
        <f t="shared" ca="1" si="192"/>
        <v>4.7856694990415722E-3</v>
      </c>
      <c r="CL186" s="3">
        <f t="shared" ca="1" si="193"/>
        <v>1</v>
      </c>
      <c r="CM186" s="3"/>
      <c r="CN186" s="1">
        <f t="shared" ca="1" si="194"/>
        <v>15.210147018738011</v>
      </c>
      <c r="CO186" s="1">
        <f t="shared" ca="1" si="195"/>
        <v>0.30070488453130934</v>
      </c>
      <c r="CP186" s="1">
        <f t="shared" ca="1" si="196"/>
        <v>5</v>
      </c>
      <c r="CV186" s="1">
        <f t="shared" ca="1" si="197"/>
        <v>3.306677306067368</v>
      </c>
      <c r="CW186" s="1">
        <f t="shared" ca="1" si="198"/>
        <v>1491</v>
      </c>
      <c r="CX186" s="1">
        <f t="shared" ca="1" si="199"/>
        <v>9.4644803682809419E-4</v>
      </c>
      <c r="DH186" s="1">
        <f t="shared" ca="1" si="200"/>
        <v>751</v>
      </c>
      <c r="DI186" s="1">
        <f t="shared" ca="1" si="201"/>
        <v>3.6749056441851502E-2</v>
      </c>
      <c r="DJ186" s="1">
        <f t="shared" ca="1" si="202"/>
        <v>25</v>
      </c>
      <c r="DL186" s="1">
        <f t="shared" ca="1" si="203"/>
        <v>0.15769568596663988</v>
      </c>
      <c r="DM186" s="1">
        <f t="shared" ca="1" si="204"/>
        <v>181</v>
      </c>
      <c r="DN186" s="1">
        <f t="shared" ca="1" si="205"/>
        <v>1</v>
      </c>
    </row>
    <row r="187" spans="2:118" x14ac:dyDescent="0.25">
      <c r="B187">
        <f t="shared" ca="1" si="138"/>
        <v>579</v>
      </c>
      <c r="C187">
        <f t="shared" ca="1" si="139"/>
        <v>17</v>
      </c>
      <c r="D187">
        <f t="shared" ca="1" si="140"/>
        <v>2.6629685444909033E-2</v>
      </c>
      <c r="F187" s="1">
        <f t="shared" ca="1" si="141"/>
        <v>11</v>
      </c>
      <c r="G187" s="1">
        <f t="shared" ca="1" si="142"/>
        <v>21</v>
      </c>
      <c r="H187" s="1">
        <f t="shared" ca="1" si="143"/>
        <v>11</v>
      </c>
      <c r="I187" s="1"/>
      <c r="J187" s="1">
        <f t="shared" ca="1" si="144"/>
        <v>8</v>
      </c>
      <c r="K187" s="1">
        <f t="shared" ca="1" si="145"/>
        <v>1.5230837229051131</v>
      </c>
      <c r="L187" s="1">
        <f t="shared" ca="1" si="146"/>
        <v>23</v>
      </c>
      <c r="M187" s="1"/>
      <c r="N187" s="1">
        <f t="shared" ca="1" si="147"/>
        <v>256</v>
      </c>
      <c r="O187" s="1">
        <f t="shared" ca="1" si="148"/>
        <v>38</v>
      </c>
      <c r="P187" s="1"/>
      <c r="Q187" s="1">
        <f t="shared" ca="1" si="149"/>
        <v>4.2838341462163712</v>
      </c>
      <c r="R187" s="1">
        <f t="shared" ca="1" si="150"/>
        <v>1187</v>
      </c>
      <c r="S187" s="1"/>
      <c r="T187" s="1">
        <f t="shared" ca="1" si="151"/>
        <v>0.19972374224014899</v>
      </c>
      <c r="U187" s="1">
        <f t="shared" ca="1" si="152"/>
        <v>227</v>
      </c>
      <c r="V187" s="1">
        <f t="shared" ca="1" si="153"/>
        <v>26</v>
      </c>
      <c r="W187" s="1"/>
      <c r="X187" s="1">
        <f t="shared" ca="1" si="154"/>
        <v>7.9795146748242445</v>
      </c>
      <c r="Y187" s="1">
        <f t="shared" ca="1" si="155"/>
        <v>0.44676213056836472</v>
      </c>
      <c r="Z187" s="1">
        <f t="shared" ca="1" si="156"/>
        <v>775</v>
      </c>
      <c r="AB187" s="1">
        <f t="shared" ca="1" si="157"/>
        <v>0.89000744564717238</v>
      </c>
      <c r="AC187" s="1">
        <f t="shared" ca="1" si="158"/>
        <v>994</v>
      </c>
      <c r="AD187" s="1">
        <f t="shared" ca="1" si="159"/>
        <v>2.7559113209891209E-3</v>
      </c>
      <c r="AE187" s="1"/>
      <c r="AF187" s="1">
        <f t="shared" ca="1" si="160"/>
        <v>0.30365325764033613</v>
      </c>
      <c r="AG187" s="1">
        <f t="shared" ca="1" si="161"/>
        <v>209</v>
      </c>
      <c r="AH187" s="1">
        <f t="shared" ca="1" si="162"/>
        <v>2.7974691511473593E-4</v>
      </c>
      <c r="AJ187" s="1">
        <f t="shared" ca="1" si="163"/>
        <v>0.55997485563204163</v>
      </c>
      <c r="AK187" s="1">
        <f t="shared" ca="1" si="164"/>
        <v>3.7053957134270841E-3</v>
      </c>
      <c r="AL187" s="1"/>
      <c r="AM187" s="1">
        <f t="shared" ca="1" si="165"/>
        <v>8.8216065874459196E-2</v>
      </c>
      <c r="AN187" s="1">
        <f t="shared" ca="1" si="166"/>
        <v>20</v>
      </c>
      <c r="AO187" s="1">
        <f t="shared" ca="1" si="167"/>
        <v>10</v>
      </c>
      <c r="AQ187" s="1">
        <f t="shared" ca="1" si="168"/>
        <v>111</v>
      </c>
      <c r="AR187" s="1">
        <f t="shared" ca="1" si="169"/>
        <v>1</v>
      </c>
      <c r="AS187" s="1">
        <f t="shared" ca="1" si="170"/>
        <v>4</v>
      </c>
      <c r="AU187" s="1">
        <f t="shared" ca="1" si="171"/>
        <v>252</v>
      </c>
      <c r="AV187" s="1">
        <f t="shared" ca="1" si="172"/>
        <v>6</v>
      </c>
      <c r="AW187" s="1">
        <f t="shared" ca="1" si="173"/>
        <v>0.11497229769918207</v>
      </c>
      <c r="AY187" s="1">
        <f t="shared" ca="1" si="174"/>
        <v>1.7248533271907949</v>
      </c>
      <c r="AZ187" s="1">
        <f t="shared" ca="1" si="175"/>
        <v>158</v>
      </c>
      <c r="BA187" s="1">
        <f t="shared" ca="1" si="176"/>
        <v>4.7222830266400095E-3</v>
      </c>
      <c r="BG187" s="1">
        <f t="shared" ca="1" si="177"/>
        <v>0.60540322143188974</v>
      </c>
      <c r="BH187" s="1">
        <f t="shared" ca="1" si="178"/>
        <v>0.85163915360455944</v>
      </c>
      <c r="BI187" s="1">
        <f t="shared" ca="1" si="179"/>
        <v>135</v>
      </c>
      <c r="BV187" s="1">
        <f t="shared" ca="1" si="180"/>
        <v>0.25790014958302465</v>
      </c>
      <c r="BW187" s="1">
        <f t="shared" ca="1" si="181"/>
        <v>293</v>
      </c>
      <c r="BX187" s="1">
        <f t="shared" ca="1" si="182"/>
        <v>7.5323506839690604E-3</v>
      </c>
      <c r="BY187" s="1">
        <f t="shared" ca="1" si="183"/>
        <v>1.362720734111054E-2</v>
      </c>
      <c r="BZ187" s="1">
        <f t="shared" ca="1" si="184"/>
        <v>0.74588118549953952</v>
      </c>
      <c r="CB187" s="1">
        <f t="shared" ca="1" si="185"/>
        <v>202</v>
      </c>
      <c r="CC187" s="1">
        <f t="shared" ca="1" si="186"/>
        <v>15</v>
      </c>
      <c r="CD187" s="1">
        <f t="shared" ca="1" si="187"/>
        <v>0.16805836915806469</v>
      </c>
      <c r="CE187" s="1">
        <f t="shared" ca="1" si="206"/>
        <v>0.67251725619264058</v>
      </c>
      <c r="CF187" s="1">
        <f t="shared" ca="1" si="206"/>
        <v>0.5078986137832755</v>
      </c>
      <c r="CH187" s="3">
        <f t="shared" ca="1" si="189"/>
        <v>0.19721789459479275</v>
      </c>
      <c r="CI187" s="3">
        <f t="shared" ca="1" si="190"/>
        <v>0.39223969795768249</v>
      </c>
      <c r="CJ187" s="3">
        <f t="shared" ca="1" si="191"/>
        <v>1366</v>
      </c>
      <c r="CK187" s="3">
        <f t="shared" ca="1" si="192"/>
        <v>1.4456905008722903E-4</v>
      </c>
      <c r="CL187" s="3">
        <f t="shared" ca="1" si="193"/>
        <v>0</v>
      </c>
      <c r="CM187" s="3"/>
      <c r="CN187" s="1">
        <f t="shared" ca="1" si="194"/>
        <v>14.504025693888343</v>
      </c>
      <c r="CO187" s="1">
        <f t="shared" ca="1" si="195"/>
        <v>0.2540137571810468</v>
      </c>
      <c r="CP187" s="1">
        <f t="shared" ca="1" si="196"/>
        <v>4</v>
      </c>
      <c r="CV187" s="1">
        <f t="shared" ca="1" si="197"/>
        <v>6.7504604399291761</v>
      </c>
      <c r="CW187" s="1">
        <f t="shared" ca="1" si="198"/>
        <v>687</v>
      </c>
      <c r="CX187" s="1">
        <f t="shared" ca="1" si="199"/>
        <v>3.0769287762046418E-4</v>
      </c>
      <c r="DH187" s="1">
        <f t="shared" ca="1" si="200"/>
        <v>618</v>
      </c>
      <c r="DI187" s="1">
        <f t="shared" ca="1" si="201"/>
        <v>0.71618222993225855</v>
      </c>
      <c r="DJ187" s="1">
        <f t="shared" ca="1" si="202"/>
        <v>9</v>
      </c>
      <c r="DL187" s="1">
        <f t="shared" ca="1" si="203"/>
        <v>2.3142418363630721E-2</v>
      </c>
      <c r="DM187" s="1">
        <f t="shared" ca="1" si="204"/>
        <v>260</v>
      </c>
      <c r="DN187" s="1">
        <f t="shared" ca="1" si="205"/>
        <v>1</v>
      </c>
    </row>
    <row r="188" spans="2:118" x14ac:dyDescent="0.25">
      <c r="B188">
        <f t="shared" ca="1" si="138"/>
        <v>306</v>
      </c>
      <c r="C188">
        <f t="shared" ca="1" si="139"/>
        <v>50</v>
      </c>
      <c r="D188">
        <f t="shared" ca="1" si="140"/>
        <v>0.21281689041143395</v>
      </c>
      <c r="F188" s="1">
        <f t="shared" ca="1" si="141"/>
        <v>52</v>
      </c>
      <c r="G188" s="1">
        <f t="shared" ca="1" si="142"/>
        <v>11</v>
      </c>
      <c r="H188" s="1">
        <f t="shared" ca="1" si="143"/>
        <v>1</v>
      </c>
      <c r="I188" s="1"/>
      <c r="J188" s="1">
        <f t="shared" ca="1" si="144"/>
        <v>16</v>
      </c>
      <c r="K188" s="1">
        <f t="shared" ca="1" si="145"/>
        <v>2.3935010183693839</v>
      </c>
      <c r="L188" s="1">
        <f t="shared" ca="1" si="146"/>
        <v>16</v>
      </c>
      <c r="M188" s="1"/>
      <c r="N188" s="1">
        <f t="shared" ca="1" si="147"/>
        <v>651</v>
      </c>
      <c r="O188" s="1">
        <f t="shared" ca="1" si="148"/>
        <v>48</v>
      </c>
      <c r="P188" s="1"/>
      <c r="Q188" s="1">
        <f t="shared" ca="1" si="149"/>
        <v>4.5562179579015014</v>
      </c>
      <c r="R188" s="1">
        <f t="shared" ca="1" si="150"/>
        <v>1120</v>
      </c>
      <c r="S188" s="1"/>
      <c r="T188" s="1">
        <f t="shared" ca="1" si="151"/>
        <v>0.14427691067159043</v>
      </c>
      <c r="U188" s="1">
        <f t="shared" ca="1" si="152"/>
        <v>167</v>
      </c>
      <c r="V188" s="1">
        <f t="shared" ca="1" si="153"/>
        <v>21</v>
      </c>
      <c r="W188" s="1"/>
      <c r="X188" s="1">
        <f t="shared" ca="1" si="154"/>
        <v>8.3572488909852876</v>
      </c>
      <c r="Y188" s="1">
        <f t="shared" ca="1" si="155"/>
        <v>4.7512235677078282E-2</v>
      </c>
      <c r="Z188" s="1">
        <f t="shared" ca="1" si="156"/>
        <v>1368</v>
      </c>
      <c r="AB188" s="1">
        <f t="shared" ca="1" si="157"/>
        <v>0.70048992384936004</v>
      </c>
      <c r="AC188" s="1">
        <f t="shared" ca="1" si="158"/>
        <v>463</v>
      </c>
      <c r="AD188" s="1">
        <f t="shared" ca="1" si="159"/>
        <v>2.0291816505270434E-3</v>
      </c>
      <c r="AE188" s="1"/>
      <c r="AF188" s="1">
        <f t="shared" ca="1" si="160"/>
        <v>0.58180644461156905</v>
      </c>
      <c r="AG188" s="1">
        <f t="shared" ca="1" si="161"/>
        <v>884</v>
      </c>
      <c r="AH188" s="1">
        <f t="shared" ca="1" si="162"/>
        <v>1.0993712542968356E-3</v>
      </c>
      <c r="AJ188" s="1">
        <f t="shared" ca="1" si="163"/>
        <v>0.50588927815521434</v>
      </c>
      <c r="AK188" s="1">
        <f t="shared" ca="1" si="164"/>
        <v>6.7133502725032971E-4</v>
      </c>
      <c r="AL188" s="1"/>
      <c r="AM188" s="1">
        <f t="shared" ca="1" si="165"/>
        <v>7.9514317858642075E-2</v>
      </c>
      <c r="AN188" s="1">
        <f t="shared" ca="1" si="166"/>
        <v>26</v>
      </c>
      <c r="AO188" s="1">
        <f t="shared" ca="1" si="167"/>
        <v>20</v>
      </c>
      <c r="AQ188" s="1">
        <f t="shared" ca="1" si="168"/>
        <v>33</v>
      </c>
      <c r="AR188" s="1">
        <f t="shared" ca="1" si="169"/>
        <v>4</v>
      </c>
      <c r="AS188" s="1">
        <f t="shared" ca="1" si="170"/>
        <v>36</v>
      </c>
      <c r="AU188" s="1">
        <f t="shared" ca="1" si="171"/>
        <v>307</v>
      </c>
      <c r="AV188" s="1">
        <f t="shared" ca="1" si="172"/>
        <v>7</v>
      </c>
      <c r="AW188" s="1">
        <f t="shared" ca="1" si="173"/>
        <v>5.2019490908086698E-2</v>
      </c>
      <c r="AY188" s="1">
        <f t="shared" ca="1" si="174"/>
        <v>1.2013713548141398</v>
      </c>
      <c r="AZ188" s="1">
        <f t="shared" ca="1" si="175"/>
        <v>237</v>
      </c>
      <c r="BA188" s="1">
        <f t="shared" ca="1" si="176"/>
        <v>5.0142141765841539E-3</v>
      </c>
      <c r="BG188" s="1">
        <f t="shared" ca="1" si="177"/>
        <v>0.4875141477701293</v>
      </c>
      <c r="BH188" s="1">
        <f t="shared" ca="1" si="178"/>
        <v>0.90179558124436032</v>
      </c>
      <c r="BI188" s="1">
        <f t="shared" ca="1" si="179"/>
        <v>788</v>
      </c>
      <c r="BV188" s="1">
        <f t="shared" ca="1" si="180"/>
        <v>0.90734371035818806</v>
      </c>
      <c r="BW188" s="1">
        <f t="shared" ca="1" si="181"/>
        <v>439</v>
      </c>
      <c r="BX188" s="1">
        <f t="shared" ca="1" si="182"/>
        <v>9.0491003183784339E-3</v>
      </c>
      <c r="BY188" s="1">
        <f t="shared" ca="1" si="183"/>
        <v>1.0052541335614208E-2</v>
      </c>
      <c r="BZ188" s="1">
        <f t="shared" ca="1" si="184"/>
        <v>0.84036037469382796</v>
      </c>
      <c r="CB188" s="1">
        <f t="shared" ca="1" si="185"/>
        <v>353</v>
      </c>
      <c r="CC188" s="1">
        <f t="shared" ca="1" si="186"/>
        <v>9</v>
      </c>
      <c r="CD188" s="1">
        <f t="shared" ca="1" si="187"/>
        <v>6.576844798894077E-2</v>
      </c>
      <c r="CE188" s="1">
        <f t="shared" ca="1" si="206"/>
        <v>0.93121463081831535</v>
      </c>
      <c r="CF188" s="1">
        <f t="shared" ca="1" si="206"/>
        <v>0.67802449729857717</v>
      </c>
      <c r="CH188" s="3">
        <f t="shared" ca="1" si="189"/>
        <v>0.87299433308148267</v>
      </c>
      <c r="CI188" s="3">
        <f t="shared" ca="1" si="190"/>
        <v>0.15480352669343647</v>
      </c>
      <c r="CJ188" s="3">
        <f t="shared" ca="1" si="191"/>
        <v>814</v>
      </c>
      <c r="CK188" s="3">
        <f t="shared" ca="1" si="192"/>
        <v>4.9404143852887366E-4</v>
      </c>
      <c r="CL188" s="3">
        <f t="shared" ca="1" si="193"/>
        <v>0</v>
      </c>
      <c r="CM188" s="3"/>
      <c r="CN188" s="1">
        <f t="shared" ca="1" si="194"/>
        <v>0.84443281890037825</v>
      </c>
      <c r="CO188" s="1">
        <f t="shared" ca="1" si="195"/>
        <v>0.30373631876926294</v>
      </c>
      <c r="CP188" s="1">
        <f t="shared" ca="1" si="196"/>
        <v>3</v>
      </c>
      <c r="CV188" s="1">
        <f t="shared" ca="1" si="197"/>
        <v>7.8822503428531121</v>
      </c>
      <c r="CW188" s="1">
        <f t="shared" ca="1" si="198"/>
        <v>867</v>
      </c>
      <c r="CX188" s="1">
        <f t="shared" ca="1" si="199"/>
        <v>2.8345110417378762E-3</v>
      </c>
      <c r="DH188" s="1">
        <f t="shared" ca="1" si="200"/>
        <v>836</v>
      </c>
      <c r="DI188" s="1">
        <f t="shared" ca="1" si="201"/>
        <v>0.53836803926118593</v>
      </c>
      <c r="DJ188" s="1">
        <f t="shared" ca="1" si="202"/>
        <v>8</v>
      </c>
      <c r="DL188" s="1">
        <f t="shared" ca="1" si="203"/>
        <v>9.8232903548377007E-2</v>
      </c>
      <c r="DM188" s="1">
        <f t="shared" ca="1" si="204"/>
        <v>110</v>
      </c>
      <c r="DN188" s="1">
        <f t="shared" ca="1" si="205"/>
        <v>2</v>
      </c>
    </row>
    <row r="189" spans="2:118" x14ac:dyDescent="0.25">
      <c r="B189">
        <f t="shared" ca="1" si="138"/>
        <v>110</v>
      </c>
      <c r="C189">
        <f t="shared" ca="1" si="139"/>
        <v>36</v>
      </c>
      <c r="D189">
        <f t="shared" ca="1" si="140"/>
        <v>5.9494773686943621E-2</v>
      </c>
      <c r="F189" s="1">
        <f t="shared" ca="1" si="141"/>
        <v>29</v>
      </c>
      <c r="G189" s="1">
        <f t="shared" ca="1" si="142"/>
        <v>2</v>
      </c>
      <c r="H189" s="1">
        <f t="shared" ca="1" si="143"/>
        <v>11</v>
      </c>
      <c r="I189" s="1"/>
      <c r="J189" s="1">
        <f t="shared" ca="1" si="144"/>
        <v>13</v>
      </c>
      <c r="K189" s="1">
        <f t="shared" ca="1" si="145"/>
        <v>2.0976404402134996</v>
      </c>
      <c r="L189" s="1">
        <f t="shared" ca="1" si="146"/>
        <v>26</v>
      </c>
      <c r="M189" s="1"/>
      <c r="N189" s="1">
        <f t="shared" ca="1" si="147"/>
        <v>790</v>
      </c>
      <c r="O189" s="1">
        <f t="shared" ca="1" si="148"/>
        <v>50</v>
      </c>
      <c r="P189" s="1"/>
      <c r="Q189" s="1">
        <f t="shared" ca="1" si="149"/>
        <v>0.22331960064813947</v>
      </c>
      <c r="R189" s="1">
        <f t="shared" ca="1" si="150"/>
        <v>584</v>
      </c>
      <c r="S189" s="1"/>
      <c r="T189" s="1">
        <f t="shared" ca="1" si="151"/>
        <v>2.5601854607629697E-2</v>
      </c>
      <c r="U189" s="1">
        <f t="shared" ca="1" si="152"/>
        <v>411</v>
      </c>
      <c r="V189" s="1">
        <f t="shared" ca="1" si="153"/>
        <v>20</v>
      </c>
      <c r="W189" s="1"/>
      <c r="X189" s="1">
        <f t="shared" ca="1" si="154"/>
        <v>1.6750120157332902</v>
      </c>
      <c r="Y189" s="1">
        <f t="shared" ca="1" si="155"/>
        <v>0.80533274543530087</v>
      </c>
      <c r="Z189" s="1">
        <f t="shared" ca="1" si="156"/>
        <v>171</v>
      </c>
      <c r="AB189" s="1">
        <f t="shared" ca="1" si="157"/>
        <v>0.30613800928068297</v>
      </c>
      <c r="AC189" s="1">
        <f t="shared" ca="1" si="158"/>
        <v>831</v>
      </c>
      <c r="AD189" s="1">
        <f t="shared" ca="1" si="159"/>
        <v>6.5272382326479273E-3</v>
      </c>
      <c r="AE189" s="1"/>
      <c r="AF189" s="1">
        <f t="shared" ca="1" si="160"/>
        <v>0.51772149871761497</v>
      </c>
      <c r="AG189" s="1">
        <f t="shared" ca="1" si="161"/>
        <v>734</v>
      </c>
      <c r="AH189" s="1">
        <f t="shared" ca="1" si="162"/>
        <v>3.3257049468045571E-3</v>
      </c>
      <c r="AJ189" s="1">
        <f t="shared" ca="1" si="163"/>
        <v>0.60627578811586103</v>
      </c>
      <c r="AK189" s="1">
        <f t="shared" ca="1" si="164"/>
        <v>2.4332708492357936E-3</v>
      </c>
      <c r="AL189" s="1"/>
      <c r="AM189" s="1">
        <f t="shared" ca="1" si="165"/>
        <v>1.438418814111516E-2</v>
      </c>
      <c r="AN189" s="1">
        <f t="shared" ca="1" si="166"/>
        <v>53</v>
      </c>
      <c r="AO189" s="1">
        <f t="shared" ca="1" si="167"/>
        <v>4</v>
      </c>
      <c r="AQ189" s="1">
        <f t="shared" ca="1" si="168"/>
        <v>36</v>
      </c>
      <c r="AR189" s="1">
        <f t="shared" ca="1" si="169"/>
        <v>10</v>
      </c>
      <c r="AS189" s="1">
        <f t="shared" ca="1" si="170"/>
        <v>58</v>
      </c>
      <c r="AU189" s="1">
        <f t="shared" ca="1" si="171"/>
        <v>213</v>
      </c>
      <c r="AV189" s="1">
        <f t="shared" ca="1" si="172"/>
        <v>9</v>
      </c>
      <c r="AW189" s="1">
        <f t="shared" ca="1" si="173"/>
        <v>8.7876229913491311E-2</v>
      </c>
      <c r="AY189" s="1">
        <f t="shared" ca="1" si="174"/>
        <v>1.1653621738908326</v>
      </c>
      <c r="AZ189" s="1">
        <f t="shared" ca="1" si="175"/>
        <v>188</v>
      </c>
      <c r="BA189" s="1">
        <f t="shared" ca="1" si="176"/>
        <v>4.1237666466161817E-3</v>
      </c>
      <c r="BG189" s="1">
        <f t="shared" ca="1" si="177"/>
        <v>0.58073233911398003</v>
      </c>
      <c r="BH189" s="1">
        <f t="shared" ca="1" si="178"/>
        <v>0.56471371271062887</v>
      </c>
      <c r="BI189" s="1">
        <f t="shared" ca="1" si="179"/>
        <v>342</v>
      </c>
      <c r="BV189" s="1">
        <f t="shared" ca="1" si="180"/>
        <v>0.11326917301271608</v>
      </c>
      <c r="BW189" s="1">
        <f t="shared" ca="1" si="181"/>
        <v>950</v>
      </c>
      <c r="BX189" s="1">
        <f t="shared" ca="1" si="182"/>
        <v>9.9496376069123874E-3</v>
      </c>
      <c r="BY189" s="1">
        <f t="shared" ca="1" si="183"/>
        <v>9.9872069374259728E-2</v>
      </c>
      <c r="BZ189" s="1">
        <f t="shared" ca="1" si="184"/>
        <v>0.1710709318835828</v>
      </c>
      <c r="CB189" s="1">
        <f t="shared" ca="1" si="185"/>
        <v>293</v>
      </c>
      <c r="CC189" s="1">
        <f t="shared" ca="1" si="186"/>
        <v>12</v>
      </c>
      <c r="CD189" s="1">
        <f t="shared" ca="1" si="187"/>
        <v>0.19365020671004518</v>
      </c>
      <c r="CE189" s="1">
        <f t="shared" ca="1" si="206"/>
        <v>0.65325886836672709</v>
      </c>
      <c r="CF189" s="1">
        <f t="shared" ca="1" si="206"/>
        <v>0.54130188263062329</v>
      </c>
      <c r="CH189" s="3">
        <f t="shared" ca="1" si="189"/>
        <v>7.2870155023998157E-2</v>
      </c>
      <c r="CI189" s="3">
        <f t="shared" ca="1" si="190"/>
        <v>0.14774733166099366</v>
      </c>
      <c r="CJ189" s="3">
        <f t="shared" ca="1" si="191"/>
        <v>736</v>
      </c>
      <c r="CK189" s="3">
        <f t="shared" ca="1" si="192"/>
        <v>1.56252897164499E-3</v>
      </c>
      <c r="CL189" s="3">
        <f t="shared" ca="1" si="193"/>
        <v>1</v>
      </c>
      <c r="CM189" s="3"/>
      <c r="CN189" s="1">
        <f t="shared" ca="1" si="194"/>
        <v>16.90988799698313</v>
      </c>
      <c r="CO189" s="1">
        <f t="shared" ca="1" si="195"/>
        <v>0.15791373076557705</v>
      </c>
      <c r="CP189" s="1">
        <f t="shared" ca="1" si="196"/>
        <v>2</v>
      </c>
      <c r="CV189" s="1">
        <f t="shared" ca="1" si="197"/>
        <v>9.3248204869949607</v>
      </c>
      <c r="CW189" s="1">
        <f t="shared" ca="1" si="198"/>
        <v>1788</v>
      </c>
      <c r="CX189" s="1">
        <f t="shared" ca="1" si="199"/>
        <v>8.2951439218638054E-3</v>
      </c>
      <c r="DH189" s="1">
        <f t="shared" ca="1" si="200"/>
        <v>212</v>
      </c>
      <c r="DI189" s="1">
        <f t="shared" ca="1" si="201"/>
        <v>0.2626947595986448</v>
      </c>
      <c r="DJ189" s="1">
        <f t="shared" ca="1" si="202"/>
        <v>15</v>
      </c>
      <c r="DL189" s="1">
        <f t="shared" ca="1" si="203"/>
        <v>4.0507399509608133E-2</v>
      </c>
      <c r="DM189" s="1">
        <f t="shared" ca="1" si="204"/>
        <v>239</v>
      </c>
      <c r="DN189" s="1">
        <f t="shared" ca="1" si="205"/>
        <v>4</v>
      </c>
    </row>
    <row r="190" spans="2:118" x14ac:dyDescent="0.25">
      <c r="B190">
        <f t="shared" ca="1" si="138"/>
        <v>853</v>
      </c>
      <c r="C190">
        <f t="shared" ca="1" si="139"/>
        <v>18</v>
      </c>
      <c r="D190">
        <f t="shared" ca="1" si="140"/>
        <v>0.18597471746672653</v>
      </c>
      <c r="F190" s="1">
        <f t="shared" ca="1" si="141"/>
        <v>15</v>
      </c>
      <c r="G190" s="1">
        <f t="shared" ca="1" si="142"/>
        <v>9</v>
      </c>
      <c r="H190" s="1">
        <f t="shared" ca="1" si="143"/>
        <v>13</v>
      </c>
      <c r="I190" s="1"/>
      <c r="J190" s="1">
        <f t="shared" ca="1" si="144"/>
        <v>23</v>
      </c>
      <c r="K190" s="1">
        <f t="shared" ca="1" si="145"/>
        <v>1.7534584126550605</v>
      </c>
      <c r="L190" s="1">
        <f t="shared" ca="1" si="146"/>
        <v>18</v>
      </c>
      <c r="M190" s="1"/>
      <c r="N190" s="1">
        <f t="shared" ca="1" si="147"/>
        <v>342</v>
      </c>
      <c r="O190" s="1">
        <f t="shared" ca="1" si="148"/>
        <v>51</v>
      </c>
      <c r="P190" s="1"/>
      <c r="Q190" s="1">
        <f t="shared" ca="1" si="149"/>
        <v>4.8633709260900364</v>
      </c>
      <c r="R190" s="1">
        <f t="shared" ca="1" si="150"/>
        <v>488</v>
      </c>
      <c r="S190" s="1"/>
      <c r="T190" s="1">
        <f t="shared" ca="1" si="151"/>
        <v>0.19367200239333979</v>
      </c>
      <c r="U190" s="1">
        <f t="shared" ca="1" si="152"/>
        <v>112</v>
      </c>
      <c r="V190" s="1">
        <f t="shared" ca="1" si="153"/>
        <v>20</v>
      </c>
      <c r="W190" s="1"/>
      <c r="X190" s="1">
        <f t="shared" ca="1" si="154"/>
        <v>8.761941730396428</v>
      </c>
      <c r="Y190" s="1">
        <f t="shared" ca="1" si="155"/>
        <v>0.86206988505889914</v>
      </c>
      <c r="Z190" s="1">
        <f t="shared" ca="1" si="156"/>
        <v>466</v>
      </c>
      <c r="AB190" s="1">
        <f t="shared" ca="1" si="157"/>
        <v>3.0996899294086659E-2</v>
      </c>
      <c r="AC190" s="1">
        <f t="shared" ca="1" si="158"/>
        <v>321</v>
      </c>
      <c r="AD190" s="1">
        <f t="shared" ca="1" si="159"/>
        <v>1.6563068405439521E-4</v>
      </c>
      <c r="AE190" s="1"/>
      <c r="AF190" s="1">
        <f t="shared" ca="1" si="160"/>
        <v>0.51567112265944492</v>
      </c>
      <c r="AG190" s="1">
        <f t="shared" ca="1" si="161"/>
        <v>235</v>
      </c>
      <c r="AH190" s="1">
        <f t="shared" ca="1" si="162"/>
        <v>3.8389014272061507E-3</v>
      </c>
      <c r="AJ190" s="1">
        <f t="shared" ca="1" si="163"/>
        <v>0.89874658188538559</v>
      </c>
      <c r="AK190" s="1">
        <f t="shared" ca="1" si="164"/>
        <v>2.3367188352286564E-3</v>
      </c>
      <c r="AL190" s="1"/>
      <c r="AM190" s="1">
        <f t="shared" ca="1" si="165"/>
        <v>9.5440915401439012E-3</v>
      </c>
      <c r="AN190" s="1">
        <f t="shared" ca="1" si="166"/>
        <v>62</v>
      </c>
      <c r="AO190" s="1">
        <f t="shared" ca="1" si="167"/>
        <v>1</v>
      </c>
      <c r="AQ190" s="1">
        <f t="shared" ca="1" si="168"/>
        <v>110</v>
      </c>
      <c r="AR190" s="1">
        <f t="shared" ca="1" si="169"/>
        <v>9</v>
      </c>
      <c r="AS190" s="1">
        <f t="shared" ca="1" si="170"/>
        <v>62</v>
      </c>
      <c r="AU190" s="1">
        <f t="shared" ca="1" si="171"/>
        <v>258</v>
      </c>
      <c r="AV190" s="1">
        <f t="shared" ca="1" si="172"/>
        <v>2</v>
      </c>
      <c r="AW190" s="1">
        <f t="shared" ca="1" si="173"/>
        <v>1.1046525893003686E-2</v>
      </c>
      <c r="AY190" s="1">
        <f t="shared" ca="1" si="174"/>
        <v>1.3535611417645297</v>
      </c>
      <c r="AZ190" s="1">
        <f t="shared" ca="1" si="175"/>
        <v>122</v>
      </c>
      <c r="BA190" s="1">
        <f t="shared" ca="1" si="176"/>
        <v>3.3727840488983135E-3</v>
      </c>
      <c r="BG190" s="1">
        <f t="shared" ca="1" si="177"/>
        <v>0.51189473337155145</v>
      </c>
      <c r="BH190" s="1">
        <f t="shared" ca="1" si="178"/>
        <v>0.77298097176419611</v>
      </c>
      <c r="BI190" s="1">
        <f t="shared" ca="1" si="179"/>
        <v>823</v>
      </c>
      <c r="BV190" s="1">
        <f t="shared" ca="1" si="180"/>
        <v>8.4381945820089316E-2</v>
      </c>
      <c r="BW190" s="1">
        <f t="shared" ca="1" si="181"/>
        <v>569</v>
      </c>
      <c r="BX190" s="1">
        <f t="shared" ca="1" si="182"/>
        <v>6.7054785092437799E-3</v>
      </c>
      <c r="BY190" s="1">
        <f t="shared" ca="1" si="183"/>
        <v>6.370521384026423E-2</v>
      </c>
      <c r="BZ190" s="1">
        <f t="shared" ca="1" si="184"/>
        <v>0.58886752924636254</v>
      </c>
      <c r="CB190" s="1">
        <f t="shared" ca="1" si="185"/>
        <v>112</v>
      </c>
      <c r="CC190" s="1">
        <f t="shared" ca="1" si="186"/>
        <v>8</v>
      </c>
      <c r="CD190" s="1">
        <f t="shared" ca="1" si="187"/>
        <v>1.934313826797884E-2</v>
      </c>
      <c r="CE190" s="1">
        <f t="shared" ca="1" si="206"/>
        <v>0.9083355933331414</v>
      </c>
      <c r="CF190" s="1">
        <f t="shared" ca="1" si="206"/>
        <v>0.76494509580067227</v>
      </c>
      <c r="CH190" s="3">
        <f t="shared" ca="1" si="189"/>
        <v>0.47221025247215864</v>
      </c>
      <c r="CI190" s="3">
        <f t="shared" ca="1" si="190"/>
        <v>0.7815292424334277</v>
      </c>
      <c r="CJ190" s="3">
        <f t="shared" ca="1" si="191"/>
        <v>1267</v>
      </c>
      <c r="CK190" s="3">
        <f t="shared" ca="1" si="192"/>
        <v>7.8048680026883413E-3</v>
      </c>
      <c r="CL190" s="3">
        <f t="shared" ca="1" si="193"/>
        <v>0</v>
      </c>
      <c r="CM190" s="3"/>
      <c r="CN190" s="1">
        <f t="shared" ca="1" si="194"/>
        <v>16.304721912986892</v>
      </c>
      <c r="CO190" s="1">
        <f t="shared" ca="1" si="195"/>
        <v>0.33813808617659891</v>
      </c>
      <c r="CP190" s="1">
        <f t="shared" ca="1" si="196"/>
        <v>4</v>
      </c>
      <c r="CV190" s="1">
        <f t="shared" ca="1" si="197"/>
        <v>0.89178776037026941</v>
      </c>
      <c r="CW190" s="1">
        <f t="shared" ca="1" si="198"/>
        <v>431</v>
      </c>
      <c r="CX190" s="1">
        <f t="shared" ca="1" si="199"/>
        <v>8.6989904852512578E-3</v>
      </c>
      <c r="DH190" s="1">
        <f t="shared" ca="1" si="200"/>
        <v>421</v>
      </c>
      <c r="DI190" s="1">
        <f t="shared" ca="1" si="201"/>
        <v>0.91383607572664904</v>
      </c>
      <c r="DJ190" s="1">
        <f t="shared" ca="1" si="202"/>
        <v>28</v>
      </c>
      <c r="DL190" s="1">
        <f t="shared" ca="1" si="203"/>
        <v>1.1357643457887739E-2</v>
      </c>
      <c r="DM190" s="1">
        <f t="shared" ca="1" si="204"/>
        <v>56</v>
      </c>
      <c r="DN190" s="1">
        <f t="shared" ca="1" si="205"/>
        <v>9</v>
      </c>
    </row>
    <row r="191" spans="2:118" x14ac:dyDescent="0.25">
      <c r="B191">
        <f t="shared" ca="1" si="138"/>
        <v>696</v>
      </c>
      <c r="C191">
        <f t="shared" ca="1" si="139"/>
        <v>5</v>
      </c>
      <c r="D191">
        <f t="shared" ca="1" si="140"/>
        <v>0.13294379374594811</v>
      </c>
      <c r="F191" s="1">
        <f t="shared" ca="1" si="141"/>
        <v>52</v>
      </c>
      <c r="G191" s="1">
        <f t="shared" ca="1" si="142"/>
        <v>26</v>
      </c>
      <c r="H191" s="1">
        <f t="shared" ca="1" si="143"/>
        <v>11</v>
      </c>
      <c r="I191" s="1"/>
      <c r="J191" s="1">
        <f t="shared" ca="1" si="144"/>
        <v>31</v>
      </c>
      <c r="K191" s="1">
        <f t="shared" ca="1" si="145"/>
        <v>2.3915584432387353</v>
      </c>
      <c r="L191" s="1">
        <f t="shared" ca="1" si="146"/>
        <v>14</v>
      </c>
      <c r="M191" s="1"/>
      <c r="N191" s="1">
        <f t="shared" ca="1" si="147"/>
        <v>416</v>
      </c>
      <c r="O191" s="1">
        <f t="shared" ca="1" si="148"/>
        <v>30</v>
      </c>
      <c r="P191" s="1"/>
      <c r="Q191" s="1">
        <f t="shared" ca="1" si="149"/>
        <v>4.2274908281183414</v>
      </c>
      <c r="R191" s="1">
        <f t="shared" ca="1" si="150"/>
        <v>610</v>
      </c>
      <c r="S191" s="1"/>
      <c r="T191" s="1">
        <f t="shared" ca="1" si="151"/>
        <v>0.17348687842451727</v>
      </c>
      <c r="U191" s="1">
        <f t="shared" ca="1" si="152"/>
        <v>377</v>
      </c>
      <c r="V191" s="1">
        <f t="shared" ca="1" si="153"/>
        <v>24</v>
      </c>
      <c r="W191" s="1"/>
      <c r="X191" s="1">
        <f t="shared" ca="1" si="154"/>
        <v>7.6399594479597468</v>
      </c>
      <c r="Y191" s="1">
        <f t="shared" ca="1" si="155"/>
        <v>0.46793639684646199</v>
      </c>
      <c r="Z191" s="1">
        <f t="shared" ca="1" si="156"/>
        <v>1658</v>
      </c>
      <c r="AB191" s="1">
        <f t="shared" ca="1" si="157"/>
        <v>0.27706507460361318</v>
      </c>
      <c r="AC191" s="1">
        <f t="shared" ca="1" si="158"/>
        <v>858</v>
      </c>
      <c r="AD191" s="1">
        <f t="shared" ca="1" si="159"/>
        <v>8.059104572782215E-3</v>
      </c>
      <c r="AE191" s="1"/>
      <c r="AF191" s="1">
        <f t="shared" ca="1" si="160"/>
        <v>0.22924921811129251</v>
      </c>
      <c r="AG191" s="1">
        <f t="shared" ca="1" si="161"/>
        <v>233</v>
      </c>
      <c r="AH191" s="1">
        <f t="shared" ca="1" si="162"/>
        <v>4.6602351667405272E-3</v>
      </c>
      <c r="AJ191" s="1">
        <f t="shared" ca="1" si="163"/>
        <v>9.2840625593317405E-2</v>
      </c>
      <c r="AK191" s="1">
        <f t="shared" ca="1" si="164"/>
        <v>7.5495607909955549E-3</v>
      </c>
      <c r="AL191" s="1"/>
      <c r="AM191" s="1">
        <f t="shared" ca="1" si="165"/>
        <v>0.12042610711705079</v>
      </c>
      <c r="AN191" s="1">
        <f t="shared" ca="1" si="166"/>
        <v>48</v>
      </c>
      <c r="AO191" s="1">
        <f t="shared" ca="1" si="167"/>
        <v>18</v>
      </c>
      <c r="AQ191" s="1">
        <f t="shared" ca="1" si="168"/>
        <v>160</v>
      </c>
      <c r="AR191" s="1">
        <f t="shared" ca="1" si="169"/>
        <v>2</v>
      </c>
      <c r="AS191" s="1">
        <f t="shared" ca="1" si="170"/>
        <v>33</v>
      </c>
      <c r="AU191" s="1">
        <f t="shared" ca="1" si="171"/>
        <v>344</v>
      </c>
      <c r="AV191" s="1">
        <f t="shared" ca="1" si="172"/>
        <v>8</v>
      </c>
      <c r="AW191" s="1">
        <f t="shared" ca="1" si="173"/>
        <v>0.14309875065665648</v>
      </c>
      <c r="AY191" s="1">
        <f t="shared" ca="1" si="174"/>
        <v>1.2041510795603645</v>
      </c>
      <c r="AZ191" s="1">
        <f t="shared" ca="1" si="175"/>
        <v>473</v>
      </c>
      <c r="BA191" s="1">
        <f t="shared" ca="1" si="176"/>
        <v>6.3328428792597626E-4</v>
      </c>
      <c r="BG191" s="1">
        <f t="shared" ca="1" si="177"/>
        <v>0.68090573180573899</v>
      </c>
      <c r="BH191" s="1">
        <f t="shared" ca="1" si="178"/>
        <v>0.21818183959856519</v>
      </c>
      <c r="BI191" s="1">
        <f t="shared" ca="1" si="179"/>
        <v>112</v>
      </c>
      <c r="BV191" s="1">
        <f t="shared" ca="1" si="180"/>
        <v>9.2445324419786437E-2</v>
      </c>
      <c r="BW191" s="1">
        <f t="shared" ca="1" si="181"/>
        <v>614</v>
      </c>
      <c r="BX191" s="1">
        <f t="shared" ca="1" si="182"/>
        <v>6.0202687758414272E-3</v>
      </c>
      <c r="BY191" s="1">
        <f t="shared" ca="1" si="183"/>
        <v>2.4933820731693961E-2</v>
      </c>
      <c r="BZ191" s="1">
        <f t="shared" ca="1" si="184"/>
        <v>0.42308313055694247</v>
      </c>
      <c r="CB191" s="1">
        <f t="shared" ca="1" si="185"/>
        <v>399</v>
      </c>
      <c r="CC191" s="1">
        <f t="shared" ca="1" si="186"/>
        <v>15</v>
      </c>
      <c r="CD191" s="1">
        <f t="shared" ca="1" si="187"/>
        <v>0.19498048528907383</v>
      </c>
      <c r="CE191" s="1">
        <f t="shared" ca="1" si="206"/>
        <v>0.86416653463127036</v>
      </c>
      <c r="CF191" s="1">
        <f t="shared" ca="1" si="206"/>
        <v>0.6704951130212935</v>
      </c>
      <c r="CH191" s="3">
        <f t="shared" ca="1" si="189"/>
        <v>0.20660542985829691</v>
      </c>
      <c r="CI191" s="3">
        <f t="shared" ca="1" si="190"/>
        <v>0.15563271886985472</v>
      </c>
      <c r="CJ191" s="3">
        <f t="shared" ca="1" si="191"/>
        <v>1011</v>
      </c>
      <c r="CK191" s="3">
        <f t="shared" ca="1" si="192"/>
        <v>8.1301853684557796E-3</v>
      </c>
      <c r="CL191" s="3">
        <f t="shared" ca="1" si="193"/>
        <v>0</v>
      </c>
      <c r="CM191" s="3"/>
      <c r="CN191" s="1">
        <f t="shared" ca="1" si="194"/>
        <v>9.4098439873422741</v>
      </c>
      <c r="CO191" s="1">
        <f t="shared" ca="1" si="195"/>
        <v>6.9920031797867863E-2</v>
      </c>
      <c r="CP191" s="1">
        <f t="shared" ca="1" si="196"/>
        <v>1</v>
      </c>
      <c r="CV191" s="1">
        <f t="shared" ca="1" si="197"/>
        <v>9.2336400011773154</v>
      </c>
      <c r="CW191" s="1">
        <f t="shared" ca="1" si="198"/>
        <v>346</v>
      </c>
      <c r="CX191" s="1">
        <f t="shared" ca="1" si="199"/>
        <v>1.7338634964821947E-3</v>
      </c>
      <c r="DH191" s="1">
        <f t="shared" ca="1" si="200"/>
        <v>654</v>
      </c>
      <c r="DI191" s="1">
        <f t="shared" ca="1" si="201"/>
        <v>0.38272222766200076</v>
      </c>
      <c r="DJ191" s="1">
        <f t="shared" ca="1" si="202"/>
        <v>8</v>
      </c>
      <c r="DL191" s="1">
        <f t="shared" ca="1" si="203"/>
        <v>0.19463282276781041</v>
      </c>
      <c r="DM191" s="1">
        <f t="shared" ca="1" si="204"/>
        <v>168</v>
      </c>
      <c r="DN191" s="1">
        <f t="shared" ca="1" si="205"/>
        <v>10</v>
      </c>
    </row>
    <row r="192" spans="2:118" x14ac:dyDescent="0.25">
      <c r="B192">
        <f t="shared" ca="1" si="138"/>
        <v>650</v>
      </c>
      <c r="C192">
        <f t="shared" ca="1" si="139"/>
        <v>28</v>
      </c>
      <c r="D192">
        <f t="shared" ca="1" si="140"/>
        <v>0.22059017471725514</v>
      </c>
      <c r="F192" s="1">
        <f t="shared" ca="1" si="141"/>
        <v>46</v>
      </c>
      <c r="G192" s="1">
        <f t="shared" ca="1" si="142"/>
        <v>20</v>
      </c>
      <c r="H192" s="1">
        <f t="shared" ca="1" si="143"/>
        <v>2</v>
      </c>
      <c r="I192" s="1"/>
      <c r="J192" s="1">
        <f t="shared" ca="1" si="144"/>
        <v>29</v>
      </c>
      <c r="K192" s="1">
        <f t="shared" ca="1" si="145"/>
        <v>2.8059029781656175</v>
      </c>
      <c r="L192" s="1">
        <f t="shared" ca="1" si="146"/>
        <v>6</v>
      </c>
      <c r="M192" s="1"/>
      <c r="N192" s="1">
        <f t="shared" ca="1" si="147"/>
        <v>791</v>
      </c>
      <c r="O192" s="1">
        <f t="shared" ca="1" si="148"/>
        <v>22</v>
      </c>
      <c r="P192" s="1"/>
      <c r="Q192" s="1">
        <f t="shared" ca="1" si="149"/>
        <v>1.2128643770422396</v>
      </c>
      <c r="R192" s="1">
        <f t="shared" ca="1" si="150"/>
        <v>1105</v>
      </c>
      <c r="S192" s="1"/>
      <c r="T192" s="1">
        <f t="shared" ca="1" si="151"/>
        <v>6.323571729062559E-2</v>
      </c>
      <c r="U192" s="1">
        <f t="shared" ca="1" si="152"/>
        <v>327</v>
      </c>
      <c r="V192" s="1">
        <f t="shared" ca="1" si="153"/>
        <v>22</v>
      </c>
      <c r="W192" s="1"/>
      <c r="X192" s="1">
        <f t="shared" ca="1" si="154"/>
        <v>4.9247082397022002</v>
      </c>
      <c r="Y192" s="1">
        <f t="shared" ca="1" si="155"/>
        <v>0.14478729900269299</v>
      </c>
      <c r="Z192" s="1">
        <f t="shared" ca="1" si="156"/>
        <v>197</v>
      </c>
      <c r="AB192" s="1">
        <f t="shared" ca="1" si="157"/>
        <v>0.44413112998402149</v>
      </c>
      <c r="AC192" s="1">
        <f t="shared" ca="1" si="158"/>
        <v>317</v>
      </c>
      <c r="AD192" s="1">
        <f t="shared" ca="1" si="159"/>
        <v>9.9235846612108717E-3</v>
      </c>
      <c r="AE192" s="1"/>
      <c r="AF192" s="1">
        <f t="shared" ca="1" si="160"/>
        <v>0.65714912132822279</v>
      </c>
      <c r="AG192" s="1">
        <f t="shared" ca="1" si="161"/>
        <v>546</v>
      </c>
      <c r="AH192" s="1">
        <f t="shared" ca="1" si="162"/>
        <v>8.557715178572586E-3</v>
      </c>
      <c r="AJ192" s="1">
        <f t="shared" ca="1" si="163"/>
        <v>0.75882552198297182</v>
      </c>
      <c r="AK192" s="1">
        <f t="shared" ca="1" si="164"/>
        <v>6.0724572219030453E-3</v>
      </c>
      <c r="AL192" s="1"/>
      <c r="AM192" s="1">
        <f t="shared" ca="1" si="165"/>
        <v>0.14593957496897528</v>
      </c>
      <c r="AN192" s="1">
        <f t="shared" ca="1" si="166"/>
        <v>12</v>
      </c>
      <c r="AO192" s="1">
        <f t="shared" ca="1" si="167"/>
        <v>6</v>
      </c>
      <c r="AQ192" s="1">
        <f t="shared" ca="1" si="168"/>
        <v>144</v>
      </c>
      <c r="AR192" s="1">
        <f t="shared" ca="1" si="169"/>
        <v>0</v>
      </c>
      <c r="AS192" s="1">
        <f t="shared" ca="1" si="170"/>
        <v>17</v>
      </c>
      <c r="AU192" s="1">
        <f t="shared" ca="1" si="171"/>
        <v>279</v>
      </c>
      <c r="AV192" s="1">
        <f t="shared" ca="1" si="172"/>
        <v>7</v>
      </c>
      <c r="AW192" s="1">
        <f t="shared" ca="1" si="173"/>
        <v>0.11283758904626036</v>
      </c>
      <c r="AY192" s="1">
        <f t="shared" ca="1" si="174"/>
        <v>1.7093804502759555</v>
      </c>
      <c r="AZ192" s="1">
        <f t="shared" ca="1" si="175"/>
        <v>72</v>
      </c>
      <c r="BA192" s="1">
        <f t="shared" ca="1" si="176"/>
        <v>8.1239475746646608E-3</v>
      </c>
      <c r="BG192" s="1">
        <f t="shared" ca="1" si="177"/>
        <v>0.98822671627412983</v>
      </c>
      <c r="BH192" s="1">
        <f t="shared" ca="1" si="178"/>
        <v>0.91178666271492104</v>
      </c>
      <c r="BI192" s="1">
        <f t="shared" ca="1" si="179"/>
        <v>156</v>
      </c>
      <c r="BV192" s="1">
        <f t="shared" ca="1" si="180"/>
        <v>3.130739273903632E-3</v>
      </c>
      <c r="BW192" s="1">
        <f t="shared" ca="1" si="181"/>
        <v>183</v>
      </c>
      <c r="BX192" s="1">
        <f t="shared" ca="1" si="182"/>
        <v>1.0015684664493282E-3</v>
      </c>
      <c r="BY192" s="1">
        <f t="shared" ca="1" si="183"/>
        <v>5.4131972123234298E-2</v>
      </c>
      <c r="BZ192" s="1">
        <f t="shared" ca="1" si="184"/>
        <v>0.11612929725880738</v>
      </c>
      <c r="CB192" s="1">
        <f t="shared" ca="1" si="185"/>
        <v>52</v>
      </c>
      <c r="CC192" s="1">
        <f t="shared" ca="1" si="186"/>
        <v>9</v>
      </c>
      <c r="CD192" s="1">
        <f t="shared" ca="1" si="187"/>
        <v>0.23016056003999935</v>
      </c>
      <c r="CE192" s="1">
        <f t="shared" ca="1" si="206"/>
        <v>0.90801368456524334</v>
      </c>
      <c r="CF192" s="1">
        <f t="shared" ca="1" si="206"/>
        <v>0.63670360245085744</v>
      </c>
      <c r="CH192" s="3">
        <f t="shared" ca="1" si="189"/>
        <v>0.44218523589978964</v>
      </c>
      <c r="CI192" s="3">
        <f t="shared" ca="1" si="190"/>
        <v>0.21794919433242044</v>
      </c>
      <c r="CJ192" s="3">
        <f t="shared" ca="1" si="191"/>
        <v>881</v>
      </c>
      <c r="CK192" s="3">
        <f t="shared" ca="1" si="192"/>
        <v>4.6915853175441558E-3</v>
      </c>
      <c r="CL192" s="3">
        <f t="shared" ca="1" si="193"/>
        <v>1</v>
      </c>
      <c r="CM192" s="3"/>
      <c r="CN192" s="1">
        <f t="shared" ca="1" si="194"/>
        <v>1.0981879348937711</v>
      </c>
      <c r="CO192" s="1">
        <f t="shared" ca="1" si="195"/>
        <v>0.11475907594504643</v>
      </c>
      <c r="CP192" s="1">
        <f t="shared" ca="1" si="196"/>
        <v>2</v>
      </c>
      <c r="CV192" s="1">
        <f t="shared" ca="1" si="197"/>
        <v>6.1365783890727359</v>
      </c>
      <c r="CW192" s="1">
        <f t="shared" ca="1" si="198"/>
        <v>852</v>
      </c>
      <c r="CX192" s="1">
        <f t="shared" ca="1" si="199"/>
        <v>3.241266558866889E-3</v>
      </c>
      <c r="DH192" s="1">
        <f t="shared" ca="1" si="200"/>
        <v>890</v>
      </c>
      <c r="DI192" s="1">
        <f t="shared" ca="1" si="201"/>
        <v>0.57400024000808836</v>
      </c>
      <c r="DJ192" s="1">
        <f t="shared" ca="1" si="202"/>
        <v>15</v>
      </c>
      <c r="DL192" s="1">
        <f t="shared" ca="1" si="203"/>
        <v>0.11803686493866314</v>
      </c>
      <c r="DM192" s="1">
        <f t="shared" ca="1" si="204"/>
        <v>60</v>
      </c>
      <c r="DN192" s="1">
        <f t="shared" ca="1" si="205"/>
        <v>10</v>
      </c>
    </row>
    <row r="193" spans="2:118" x14ac:dyDescent="0.25">
      <c r="B193">
        <f t="shared" ca="1" si="138"/>
        <v>397</v>
      </c>
      <c r="C193">
        <f t="shared" ca="1" si="139"/>
        <v>22</v>
      </c>
      <c r="D193">
        <f t="shared" ca="1" si="140"/>
        <v>0.10211283273249105</v>
      </c>
      <c r="F193" s="1">
        <f t="shared" ca="1" si="141"/>
        <v>22</v>
      </c>
      <c r="G193" s="1">
        <f t="shared" ca="1" si="142"/>
        <v>30</v>
      </c>
      <c r="H193" s="1">
        <f t="shared" ca="1" si="143"/>
        <v>4</v>
      </c>
      <c r="I193" s="1"/>
      <c r="J193" s="1">
        <f t="shared" ca="1" si="144"/>
        <v>1</v>
      </c>
      <c r="K193" s="1">
        <f t="shared" ca="1" si="145"/>
        <v>1.4566911254934456</v>
      </c>
      <c r="L193" s="1">
        <f t="shared" ca="1" si="146"/>
        <v>9</v>
      </c>
      <c r="M193" s="1"/>
      <c r="N193" s="1">
        <f t="shared" ca="1" si="147"/>
        <v>303</v>
      </c>
      <c r="O193" s="1">
        <f t="shared" ca="1" si="148"/>
        <v>45</v>
      </c>
      <c r="P193" s="1"/>
      <c r="Q193" s="1">
        <f t="shared" ca="1" si="149"/>
        <v>1.9610438216848673</v>
      </c>
      <c r="R193" s="1">
        <f t="shared" ca="1" si="150"/>
        <v>692</v>
      </c>
      <c r="S193" s="1"/>
      <c r="T193" s="1">
        <f t="shared" ca="1" si="151"/>
        <v>8.4272576580039837E-2</v>
      </c>
      <c r="U193" s="1">
        <f t="shared" ca="1" si="152"/>
        <v>181</v>
      </c>
      <c r="V193" s="1">
        <f t="shared" ca="1" si="153"/>
        <v>50</v>
      </c>
      <c r="W193" s="1"/>
      <c r="X193" s="1">
        <f t="shared" ca="1" si="154"/>
        <v>7.8281468933152807</v>
      </c>
      <c r="Y193" s="1">
        <f t="shared" ca="1" si="155"/>
        <v>0.87069682740339505</v>
      </c>
      <c r="Z193" s="1">
        <f t="shared" ca="1" si="156"/>
        <v>1173</v>
      </c>
      <c r="AB193" s="1">
        <f t="shared" ca="1" si="157"/>
        <v>0.3684432477826679</v>
      </c>
      <c r="AC193" s="1">
        <f t="shared" ca="1" si="158"/>
        <v>693</v>
      </c>
      <c r="AD193" s="1">
        <f t="shared" ca="1" si="159"/>
        <v>1.8154569075555581E-3</v>
      </c>
      <c r="AE193" s="1"/>
      <c r="AF193" s="1">
        <f t="shared" ca="1" si="160"/>
        <v>0.44180756354869899</v>
      </c>
      <c r="AG193" s="1">
        <f t="shared" ca="1" si="161"/>
        <v>942</v>
      </c>
      <c r="AH193" s="1">
        <f t="shared" ca="1" si="162"/>
        <v>9.478900413267672E-3</v>
      </c>
      <c r="AJ193" s="1">
        <f t="shared" ca="1" si="163"/>
        <v>9.9709870698363456E-2</v>
      </c>
      <c r="AK193" s="1">
        <f t="shared" ca="1" si="164"/>
        <v>8.6925956342101263E-3</v>
      </c>
      <c r="AL193" s="1"/>
      <c r="AM193" s="1">
        <f t="shared" ca="1" si="165"/>
        <v>1.9617150699229976E-2</v>
      </c>
      <c r="AN193" s="1">
        <f t="shared" ca="1" si="166"/>
        <v>30</v>
      </c>
      <c r="AO193" s="1">
        <f t="shared" ca="1" si="167"/>
        <v>4</v>
      </c>
      <c r="AQ193" s="1">
        <f t="shared" ca="1" si="168"/>
        <v>79</v>
      </c>
      <c r="AR193" s="1">
        <f t="shared" ca="1" si="169"/>
        <v>7</v>
      </c>
      <c r="AS193" s="1">
        <f t="shared" ca="1" si="170"/>
        <v>21</v>
      </c>
      <c r="AU193" s="1">
        <f t="shared" ca="1" si="171"/>
        <v>101</v>
      </c>
      <c r="AV193" s="1">
        <f t="shared" ca="1" si="172"/>
        <v>2</v>
      </c>
      <c r="AW193" s="1">
        <f t="shared" ca="1" si="173"/>
        <v>0.12818477471584439</v>
      </c>
      <c r="AY193" s="1">
        <f t="shared" ca="1" si="174"/>
        <v>1.9153332872393221</v>
      </c>
      <c r="AZ193" s="1">
        <f t="shared" ca="1" si="175"/>
        <v>264</v>
      </c>
      <c r="BA193" s="1">
        <f t="shared" ca="1" si="176"/>
        <v>9.7867431650777541E-3</v>
      </c>
      <c r="BG193" s="1">
        <f t="shared" ca="1" si="177"/>
        <v>0.79163316066019795</v>
      </c>
      <c r="BH193" s="1">
        <f t="shared" ca="1" si="178"/>
        <v>0.74514426131900269</v>
      </c>
      <c r="BI193" s="1">
        <f t="shared" ca="1" si="179"/>
        <v>777</v>
      </c>
      <c r="BV193" s="1">
        <f t="shared" ca="1" si="180"/>
        <v>1.6395275438585627E-2</v>
      </c>
      <c r="BW193" s="1">
        <f t="shared" ca="1" si="181"/>
        <v>817</v>
      </c>
      <c r="BX193" s="1">
        <f t="shared" ca="1" si="182"/>
        <v>2.6223026603851046E-3</v>
      </c>
      <c r="BY193" s="1">
        <f t="shared" ca="1" si="183"/>
        <v>5.2533113208241252E-3</v>
      </c>
      <c r="BZ193" s="1">
        <f t="shared" ca="1" si="184"/>
        <v>0.76109296869900955</v>
      </c>
      <c r="CB193" s="1">
        <f t="shared" ca="1" si="185"/>
        <v>339</v>
      </c>
      <c r="CC193" s="1">
        <f t="shared" ca="1" si="186"/>
        <v>5</v>
      </c>
      <c r="CD193" s="1">
        <f t="shared" ca="1" si="187"/>
        <v>0.25627294416954399</v>
      </c>
      <c r="CE193" s="1">
        <f t="shared" ca="1" si="206"/>
        <v>0.84873202181328067</v>
      </c>
      <c r="CF193" s="1">
        <f t="shared" ca="1" si="206"/>
        <v>0.50029141557899148</v>
      </c>
      <c r="CH193" s="3">
        <f t="shared" ca="1" si="189"/>
        <v>0.92460198210965883</v>
      </c>
      <c r="CI193" s="3">
        <f t="shared" ca="1" si="190"/>
        <v>0.61608177917538309</v>
      </c>
      <c r="CJ193" s="3">
        <f t="shared" ca="1" si="191"/>
        <v>124</v>
      </c>
      <c r="CK193" s="3">
        <f t="shared" ca="1" si="192"/>
        <v>1.8032669878420499E-3</v>
      </c>
      <c r="CL193" s="3">
        <f t="shared" ca="1" si="193"/>
        <v>1</v>
      </c>
      <c r="CM193" s="3"/>
      <c r="CN193" s="1">
        <f t="shared" ca="1" si="194"/>
        <v>4.6702011635553822</v>
      </c>
      <c r="CO193" s="1">
        <f t="shared" ca="1" si="195"/>
        <v>0.15460873728709104</v>
      </c>
      <c r="CP193" s="1">
        <f t="shared" ca="1" si="196"/>
        <v>5</v>
      </c>
      <c r="CV193" s="1">
        <f t="shared" ca="1" si="197"/>
        <v>7.6742468423485102</v>
      </c>
      <c r="CW193" s="1">
        <f t="shared" ca="1" si="198"/>
        <v>1916</v>
      </c>
      <c r="CX193" s="1">
        <f t="shared" ca="1" si="199"/>
        <v>9.8088529715766593E-3</v>
      </c>
      <c r="DH193" s="1">
        <f t="shared" ca="1" si="200"/>
        <v>91</v>
      </c>
      <c r="DI193" s="1">
        <f t="shared" ca="1" si="201"/>
        <v>0.51574943886100622</v>
      </c>
      <c r="DJ193" s="1">
        <f t="shared" ca="1" si="202"/>
        <v>12</v>
      </c>
      <c r="DL193" s="1">
        <f t="shared" ca="1" si="203"/>
        <v>0.1227387216399926</v>
      </c>
      <c r="DM193" s="1">
        <f t="shared" ca="1" si="204"/>
        <v>288</v>
      </c>
      <c r="DN193" s="1">
        <f t="shared" ca="1" si="205"/>
        <v>8</v>
      </c>
    </row>
    <row r="194" spans="2:118" x14ac:dyDescent="0.25">
      <c r="B194">
        <f t="shared" ca="1" si="138"/>
        <v>294</v>
      </c>
      <c r="C194">
        <f t="shared" ca="1" si="139"/>
        <v>7</v>
      </c>
      <c r="D194">
        <f t="shared" ca="1" si="140"/>
        <v>8.5515317288102646E-2</v>
      </c>
      <c r="F194" s="1">
        <f t="shared" ca="1" si="141"/>
        <v>37</v>
      </c>
      <c r="G194" s="1">
        <f t="shared" ca="1" si="142"/>
        <v>11</v>
      </c>
      <c r="H194" s="1">
        <f t="shared" ca="1" si="143"/>
        <v>13</v>
      </c>
      <c r="I194" s="1"/>
      <c r="J194" s="1">
        <f t="shared" ca="1" si="144"/>
        <v>10</v>
      </c>
      <c r="K194" s="1">
        <f t="shared" ca="1" si="145"/>
        <v>2.9442377331887126</v>
      </c>
      <c r="L194" s="1">
        <f t="shared" ca="1" si="146"/>
        <v>21</v>
      </c>
      <c r="M194" s="1"/>
      <c r="N194" s="1">
        <f t="shared" ca="1" si="147"/>
        <v>558</v>
      </c>
      <c r="O194" s="1">
        <f t="shared" ca="1" si="148"/>
        <v>43</v>
      </c>
      <c r="P194" s="1"/>
      <c r="Q194" s="1">
        <f t="shared" ca="1" si="149"/>
        <v>1.1385700425981244</v>
      </c>
      <c r="R194" s="1">
        <f t="shared" ca="1" si="150"/>
        <v>265</v>
      </c>
      <c r="S194" s="1"/>
      <c r="T194" s="1">
        <f t="shared" ca="1" si="151"/>
        <v>2.9896118465689944E-2</v>
      </c>
      <c r="U194" s="1">
        <f t="shared" ca="1" si="152"/>
        <v>178</v>
      </c>
      <c r="V194" s="1">
        <f t="shared" ca="1" si="153"/>
        <v>26</v>
      </c>
      <c r="W194" s="1"/>
      <c r="X194" s="1">
        <f t="shared" ca="1" si="154"/>
        <v>9.3023495423357456</v>
      </c>
      <c r="Y194" s="1">
        <f t="shared" ca="1" si="155"/>
        <v>0.33828127340534686</v>
      </c>
      <c r="Z194" s="1">
        <f t="shared" ca="1" si="156"/>
        <v>1445</v>
      </c>
      <c r="AB194" s="1">
        <f t="shared" ca="1" si="157"/>
        <v>3.0779347117771114E-2</v>
      </c>
      <c r="AC194" s="1">
        <f t="shared" ca="1" si="158"/>
        <v>183</v>
      </c>
      <c r="AD194" s="1">
        <f t="shared" ca="1" si="159"/>
        <v>3.6676328561603662E-3</v>
      </c>
      <c r="AE194" s="1"/>
      <c r="AF194" s="1">
        <f t="shared" ca="1" si="160"/>
        <v>0.38996497501851513</v>
      </c>
      <c r="AG194" s="1">
        <f t="shared" ca="1" si="161"/>
        <v>647</v>
      </c>
      <c r="AH194" s="1">
        <f t="shared" ca="1" si="162"/>
        <v>7.4359075588386562E-3</v>
      </c>
      <c r="AJ194" s="1">
        <f t="shared" ca="1" si="163"/>
        <v>0.47179209697253821</v>
      </c>
      <c r="AK194" s="1">
        <f t="shared" ca="1" si="164"/>
        <v>9.1087628004046899E-3</v>
      </c>
      <c r="AL194" s="1"/>
      <c r="AM194" s="1">
        <f t="shared" ca="1" si="165"/>
        <v>0.1181077418307085</v>
      </c>
      <c r="AN194" s="1">
        <f t="shared" ca="1" si="166"/>
        <v>53</v>
      </c>
      <c r="AO194" s="1">
        <f t="shared" ca="1" si="167"/>
        <v>0</v>
      </c>
      <c r="AQ194" s="1">
        <f t="shared" ca="1" si="168"/>
        <v>148</v>
      </c>
      <c r="AR194" s="1">
        <f t="shared" ca="1" si="169"/>
        <v>4</v>
      </c>
      <c r="AS194" s="1">
        <f t="shared" ca="1" si="170"/>
        <v>93</v>
      </c>
      <c r="AU194" s="1">
        <f t="shared" ca="1" si="171"/>
        <v>164</v>
      </c>
      <c r="AV194" s="1">
        <f t="shared" ca="1" si="172"/>
        <v>7</v>
      </c>
      <c r="AW194" s="1">
        <f t="shared" ca="1" si="173"/>
        <v>0.17647304795144281</v>
      </c>
      <c r="AY194" s="1">
        <f t="shared" ca="1" si="174"/>
        <v>1.4309794668169777</v>
      </c>
      <c r="AZ194" s="1">
        <f t="shared" ca="1" si="175"/>
        <v>82</v>
      </c>
      <c r="BA194" s="1">
        <f t="shared" ca="1" si="176"/>
        <v>3.9054683259268966E-3</v>
      </c>
      <c r="BG194" s="1">
        <f t="shared" ca="1" si="177"/>
        <v>0.84005160520810296</v>
      </c>
      <c r="BH194" s="1">
        <f t="shared" ca="1" si="178"/>
        <v>0.30195056972055878</v>
      </c>
      <c r="BI194" s="1">
        <f t="shared" ca="1" si="179"/>
        <v>331</v>
      </c>
      <c r="BV194" s="1">
        <f t="shared" ca="1" si="180"/>
        <v>0.55042018955474525</v>
      </c>
      <c r="BW194" s="1">
        <f t="shared" ca="1" si="181"/>
        <v>937</v>
      </c>
      <c r="BX194" s="1">
        <f t="shared" ca="1" si="182"/>
        <v>3.741380679022732E-3</v>
      </c>
      <c r="BY194" s="1">
        <f t="shared" ca="1" si="183"/>
        <v>9.571525709501498E-2</v>
      </c>
      <c r="BZ194" s="1">
        <f t="shared" ca="1" si="184"/>
        <v>0.66835838327177777</v>
      </c>
      <c r="CB194" s="1">
        <f t="shared" ca="1" si="185"/>
        <v>148</v>
      </c>
      <c r="CC194" s="1">
        <f t="shared" ca="1" si="186"/>
        <v>12</v>
      </c>
      <c r="CD194" s="1">
        <f t="shared" ca="1" si="187"/>
        <v>0.16243809005732124</v>
      </c>
      <c r="CE194" s="1">
        <f t="shared" ca="1" si="206"/>
        <v>0.77166666956113117</v>
      </c>
      <c r="CF194" s="1">
        <f t="shared" ca="1" si="206"/>
        <v>0.50291317968176386</v>
      </c>
      <c r="CH194" s="3">
        <f t="shared" ca="1" si="189"/>
        <v>0.11563216527939377</v>
      </c>
      <c r="CI194" s="3">
        <f t="shared" ca="1" si="190"/>
        <v>0.5273001228185602</v>
      </c>
      <c r="CJ194" s="3">
        <f t="shared" ca="1" si="191"/>
        <v>928</v>
      </c>
      <c r="CK194" s="3">
        <f t="shared" ca="1" si="192"/>
        <v>4.4063455239336646E-3</v>
      </c>
      <c r="CL194" s="3">
        <f t="shared" ca="1" si="193"/>
        <v>1</v>
      </c>
      <c r="CM194" s="3"/>
      <c r="CN194" s="1">
        <f t="shared" ca="1" si="194"/>
        <v>8.665405510002115</v>
      </c>
      <c r="CO194" s="1">
        <f t="shared" ca="1" si="195"/>
        <v>0.13816197758119525</v>
      </c>
      <c r="CP194" s="1">
        <f t="shared" ca="1" si="196"/>
        <v>5</v>
      </c>
      <c r="CV194" s="1">
        <f t="shared" ca="1" si="197"/>
        <v>8.3528151579646259</v>
      </c>
      <c r="CW194" s="1">
        <f t="shared" ca="1" si="198"/>
        <v>216</v>
      </c>
      <c r="CX194" s="1">
        <f t="shared" ca="1" si="199"/>
        <v>9.4426970027513548E-4</v>
      </c>
      <c r="DH194" s="1">
        <f t="shared" ca="1" si="200"/>
        <v>752</v>
      </c>
      <c r="DI194" s="1">
        <f t="shared" ca="1" si="201"/>
        <v>0.53279815754222826</v>
      </c>
      <c r="DJ194" s="1">
        <f t="shared" ca="1" si="202"/>
        <v>20</v>
      </c>
      <c r="DL194" s="1">
        <f t="shared" ca="1" si="203"/>
        <v>6.5078900409017149E-2</v>
      </c>
      <c r="DM194" s="1">
        <f t="shared" ca="1" si="204"/>
        <v>91</v>
      </c>
      <c r="DN194" s="1">
        <f t="shared" ca="1" si="205"/>
        <v>9</v>
      </c>
    </row>
    <row r="195" spans="2:118" x14ac:dyDescent="0.25">
      <c r="B195">
        <f t="shared" ca="1" si="138"/>
        <v>392</v>
      </c>
      <c r="C195">
        <f t="shared" ca="1" si="139"/>
        <v>35</v>
      </c>
      <c r="D195">
        <f t="shared" ca="1" si="140"/>
        <v>1.7568112692174353E-2</v>
      </c>
      <c r="F195" s="1">
        <f t="shared" ca="1" si="141"/>
        <v>31</v>
      </c>
      <c r="G195" s="1">
        <f t="shared" ca="1" si="142"/>
        <v>25</v>
      </c>
      <c r="H195" s="1">
        <f t="shared" ca="1" si="143"/>
        <v>6</v>
      </c>
      <c r="I195" s="1"/>
      <c r="J195" s="1">
        <f t="shared" ca="1" si="144"/>
        <v>6</v>
      </c>
      <c r="K195" s="1">
        <f t="shared" ca="1" si="145"/>
        <v>1.238368088053033</v>
      </c>
      <c r="L195" s="1">
        <f t="shared" ca="1" si="146"/>
        <v>34</v>
      </c>
      <c r="M195" s="1"/>
      <c r="N195" s="1">
        <f t="shared" ca="1" si="147"/>
        <v>203</v>
      </c>
      <c r="O195" s="1">
        <f t="shared" ca="1" si="148"/>
        <v>21</v>
      </c>
      <c r="P195" s="1"/>
      <c r="Q195" s="1">
        <f t="shared" ca="1" si="149"/>
        <v>4.9603681008015634</v>
      </c>
      <c r="R195" s="1">
        <f t="shared" ca="1" si="150"/>
        <v>935</v>
      </c>
      <c r="S195" s="1"/>
      <c r="T195" s="1">
        <f t="shared" ca="1" si="151"/>
        <v>0.15727421541695885</v>
      </c>
      <c r="U195" s="1">
        <f t="shared" ca="1" si="152"/>
        <v>415</v>
      </c>
      <c r="V195" s="1">
        <f t="shared" ca="1" si="153"/>
        <v>9</v>
      </c>
      <c r="W195" s="1"/>
      <c r="X195" s="1">
        <f t="shared" ca="1" si="154"/>
        <v>4.1919967152125075</v>
      </c>
      <c r="Y195" s="1">
        <f t="shared" ca="1" si="155"/>
        <v>0.1569335658655743</v>
      </c>
      <c r="Z195" s="1">
        <f t="shared" ca="1" si="156"/>
        <v>1519</v>
      </c>
      <c r="AB195" s="1">
        <f t="shared" ca="1" si="157"/>
        <v>0.3975322399332874</v>
      </c>
      <c r="AC195" s="1">
        <f t="shared" ca="1" si="158"/>
        <v>407</v>
      </c>
      <c r="AD195" s="1">
        <f t="shared" ca="1" si="159"/>
        <v>3.0409940204036249E-4</v>
      </c>
      <c r="AE195" s="1"/>
      <c r="AF195" s="1">
        <f t="shared" ca="1" si="160"/>
        <v>0.32244433862736643</v>
      </c>
      <c r="AG195" s="1">
        <f t="shared" ca="1" si="161"/>
        <v>488</v>
      </c>
      <c r="AH195" s="1">
        <f t="shared" ca="1" si="162"/>
        <v>6.2556877101123086E-3</v>
      </c>
      <c r="AJ195" s="1">
        <f t="shared" ca="1" si="163"/>
        <v>0.35800524410111778</v>
      </c>
      <c r="AK195" s="1">
        <f t="shared" ca="1" si="164"/>
        <v>9.1996708453158643E-3</v>
      </c>
      <c r="AL195" s="1"/>
      <c r="AM195" s="1">
        <f t="shared" ca="1" si="165"/>
        <v>8.8974473016653358E-2</v>
      </c>
      <c r="AN195" s="1">
        <f t="shared" ca="1" si="166"/>
        <v>10</v>
      </c>
      <c r="AO195" s="1">
        <f t="shared" ca="1" si="167"/>
        <v>3</v>
      </c>
      <c r="AQ195" s="1">
        <f t="shared" ca="1" si="168"/>
        <v>10</v>
      </c>
      <c r="AR195" s="1">
        <f t="shared" ca="1" si="169"/>
        <v>3</v>
      </c>
      <c r="AS195" s="1">
        <f t="shared" ca="1" si="170"/>
        <v>26</v>
      </c>
      <c r="AU195" s="1">
        <f t="shared" ca="1" si="171"/>
        <v>248</v>
      </c>
      <c r="AV195" s="1">
        <f t="shared" ca="1" si="172"/>
        <v>6</v>
      </c>
      <c r="AW195" s="1">
        <f t="shared" ca="1" si="173"/>
        <v>9.2414430737363759E-2</v>
      </c>
      <c r="AY195" s="1">
        <f t="shared" ca="1" si="174"/>
        <v>1.7958539602629806</v>
      </c>
      <c r="AZ195" s="1">
        <f t="shared" ca="1" si="175"/>
        <v>313</v>
      </c>
      <c r="BA195" s="1">
        <f t="shared" ca="1" si="176"/>
        <v>3.1576719296811332E-3</v>
      </c>
      <c r="BG195" s="1">
        <f t="shared" ca="1" si="177"/>
        <v>0.9527852186154917</v>
      </c>
      <c r="BH195" s="1">
        <f t="shared" ca="1" si="178"/>
        <v>0.88571398575766147</v>
      </c>
      <c r="BI195" s="1">
        <f t="shared" ca="1" si="179"/>
        <v>212</v>
      </c>
      <c r="BV195" s="1">
        <f t="shared" ca="1" si="180"/>
        <v>0.16207175358032239</v>
      </c>
      <c r="BW195" s="1">
        <f t="shared" ca="1" si="181"/>
        <v>966</v>
      </c>
      <c r="BX195" s="1">
        <f t="shared" ca="1" si="182"/>
        <v>8.943874759735751E-3</v>
      </c>
      <c r="BY195" s="1">
        <f t="shared" ca="1" si="183"/>
        <v>4.4730985841498407E-2</v>
      </c>
      <c r="BZ195" s="1">
        <f t="shared" ca="1" si="184"/>
        <v>0.38333329407187544</v>
      </c>
      <c r="CB195" s="1">
        <f t="shared" ca="1" si="185"/>
        <v>194</v>
      </c>
      <c r="CC195" s="1">
        <f t="shared" ca="1" si="186"/>
        <v>8</v>
      </c>
      <c r="CD195" s="1">
        <f t="shared" ca="1" si="187"/>
        <v>0.12514350334209412</v>
      </c>
      <c r="CE195" s="1">
        <f t="shared" ca="1" si="206"/>
        <v>0.91554564257374027</v>
      </c>
      <c r="CF195" s="1">
        <f t="shared" ca="1" si="206"/>
        <v>0.89467834643348187</v>
      </c>
      <c r="CH195" s="3">
        <f t="shared" ca="1" si="189"/>
        <v>6.1058084535985664E-2</v>
      </c>
      <c r="CI195" s="3">
        <f t="shared" ca="1" si="190"/>
        <v>0.76820378951082058</v>
      </c>
      <c r="CJ195" s="3">
        <f t="shared" ca="1" si="191"/>
        <v>477</v>
      </c>
      <c r="CK195" s="3">
        <f t="shared" ca="1" si="192"/>
        <v>5.2733538533911561E-3</v>
      </c>
      <c r="CL195" s="3">
        <f t="shared" ca="1" si="193"/>
        <v>0</v>
      </c>
      <c r="CM195" s="3"/>
      <c r="CN195" s="1">
        <f t="shared" ca="1" si="194"/>
        <v>7.2303393314153448</v>
      </c>
      <c r="CO195" s="1">
        <f t="shared" ca="1" si="195"/>
        <v>0.25603883645253878</v>
      </c>
      <c r="CP195" s="1">
        <f t="shared" ca="1" si="196"/>
        <v>2</v>
      </c>
      <c r="CV195" s="1">
        <f t="shared" ca="1" si="197"/>
        <v>8.7652419330265658</v>
      </c>
      <c r="CW195" s="1">
        <f t="shared" ca="1" si="198"/>
        <v>1108</v>
      </c>
      <c r="CX195" s="1">
        <f t="shared" ca="1" si="199"/>
        <v>7.3529692325969695E-3</v>
      </c>
      <c r="DH195" s="1">
        <f t="shared" ca="1" si="200"/>
        <v>830</v>
      </c>
      <c r="DI195" s="1">
        <f t="shared" ca="1" si="201"/>
        <v>0.77940782483840099</v>
      </c>
      <c r="DJ195" s="1">
        <f t="shared" ca="1" si="202"/>
        <v>21</v>
      </c>
      <c r="DL195" s="1">
        <f t="shared" ca="1" si="203"/>
        <v>3.1445591323135832E-2</v>
      </c>
      <c r="DM195" s="1">
        <f t="shared" ca="1" si="204"/>
        <v>295</v>
      </c>
      <c r="DN195" s="1">
        <f t="shared" ca="1" si="205"/>
        <v>8</v>
      </c>
    </row>
    <row r="196" spans="2:118" x14ac:dyDescent="0.25">
      <c r="B196">
        <f t="shared" ref="B196:B202" ca="1" si="207">RANDBETWEEN(15,1000)</f>
        <v>934</v>
      </c>
      <c r="C196">
        <f t="shared" ref="C196:C202" ca="1" si="208">RANDBETWEEN(2,52)</f>
        <v>41</v>
      </c>
      <c r="D196">
        <f t="shared" ref="D196:D202" ca="1" si="209">RAND()*(0.3-0.01)+0.01</f>
        <v>2.4165728304449696E-2</v>
      </c>
      <c r="F196" s="1">
        <f t="shared" ref="F196:F202" ca="1" si="210">RANDBETWEEN(2,52)</f>
        <v>40</v>
      </c>
      <c r="G196" s="1">
        <f t="shared" ref="G196:G202" ca="1" si="211">RANDBETWEEN(2,30)</f>
        <v>10</v>
      </c>
      <c r="H196" s="1">
        <f t="shared" ref="H196:H202" ca="1" si="212">RANDBETWEEN(1,15)</f>
        <v>10</v>
      </c>
      <c r="I196" s="1"/>
      <c r="J196" s="1">
        <f t="shared" ref="J196:J202" ca="1" si="213">RANDBETWEEN(1,39)</f>
        <v>1</v>
      </c>
      <c r="K196" s="1">
        <f t="shared" ref="K196:K202" ca="1" si="214">RAND()*(3-1)+1</f>
        <v>2.6352796173680151</v>
      </c>
      <c r="L196" s="1">
        <f t="shared" ref="L196:L202" ca="1" si="215">RANDBETWEEN(2,35)</f>
        <v>21</v>
      </c>
      <c r="M196" s="1"/>
      <c r="N196" s="1">
        <f t="shared" ref="N196:N202" ca="1" si="216">RANDBETWEEN(15,1000)</f>
        <v>102</v>
      </c>
      <c r="O196" s="1">
        <f t="shared" ref="O196:O202" ca="1" si="217">RANDBETWEEN(2,52)</f>
        <v>25</v>
      </c>
      <c r="P196" s="1"/>
      <c r="Q196" s="1">
        <f t="shared" ref="Q196:Q202" ca="1" si="218">RAND()*(5-0.01)+0.01</f>
        <v>3.3933960214761916</v>
      </c>
      <c r="R196" s="1">
        <f t="shared" ref="R196:R202" ca="1" si="219">RANDBETWEEN(200,1200)</f>
        <v>902</v>
      </c>
      <c r="S196" s="1"/>
      <c r="T196" s="1">
        <f t="shared" ref="T196:T202" ca="1" si="220">RAND()*(0.2-0.01)+0.01</f>
        <v>8.7874960374612801E-2</v>
      </c>
      <c r="U196" s="1">
        <f t="shared" ref="U196:U202" ca="1" si="221">RANDBETWEEN(50,450)</f>
        <v>90</v>
      </c>
      <c r="V196" s="1">
        <f t="shared" ref="V196:V202" ca="1" si="222">RANDBETWEEN(2,52)</f>
        <v>37</v>
      </c>
      <c r="W196" s="1"/>
      <c r="X196" s="1">
        <f t="shared" ref="X196:X202" ca="1" si="223">RAND()*(10-0.01)+0.01</f>
        <v>8.924615389085595</v>
      </c>
      <c r="Y196" s="1">
        <f t="shared" ref="Y196:Y202" ca="1" si="224">RAND()*(1-0.0001)+0.0001</f>
        <v>0.15382969732649021</v>
      </c>
      <c r="Z196" s="1">
        <f t="shared" ref="Z196:Z202" ca="1" si="225">RANDBETWEEN(100,2000)</f>
        <v>621</v>
      </c>
      <c r="AB196" s="1">
        <f t="shared" ref="AB196:AB202" ca="1" si="226">RAND()*(1-0.0001)+0.0001</f>
        <v>0.92590493722548173</v>
      </c>
      <c r="AC196" s="1">
        <f t="shared" ref="AC196:AC202" ca="1" si="227">RANDBETWEEN(100,1000)</f>
        <v>815</v>
      </c>
      <c r="AD196" s="1">
        <f t="shared" ref="AD196:AD202" ca="1" si="228">RAND()*(0.01-0.00001)+0.00001</f>
        <v>8.8829522395848255E-3</v>
      </c>
      <c r="AE196" s="1"/>
      <c r="AF196" s="1">
        <f t="shared" ref="AF196:AF202" ca="1" si="229">RAND()*(0.9-0.1)+0.1</f>
        <v>0.23511091523009187</v>
      </c>
      <c r="AG196" s="1">
        <f t="shared" ref="AG196:AG202" ca="1" si="230">RANDBETWEEN(100,1000)</f>
        <v>697</v>
      </c>
      <c r="AH196" s="1">
        <f t="shared" ref="AH196:AH202" ca="1" si="231">RAND()*(0.01-0.00001)+0.00001</f>
        <v>8.8676551564522278E-4</v>
      </c>
      <c r="AJ196" s="1">
        <f t="shared" ref="AJ196:AJ202" ca="1" si="232">RAND()*(1-0)+0</f>
        <v>0.4393473115514116</v>
      </c>
      <c r="AK196" s="1">
        <f t="shared" ref="AK196:AK202" ca="1" si="233">RAND()*(0.01-0.00001)+0.00001</f>
        <v>5.5884860000551331E-3</v>
      </c>
      <c r="AL196" s="1"/>
      <c r="AM196" s="1">
        <f t="shared" ref="AM196:AM202" ca="1" si="234">RAND()*(0.2-0.005)+0.005</f>
        <v>0.18596170992528804</v>
      </c>
      <c r="AN196" s="1">
        <f t="shared" ref="AN196:AN202" ca="1" si="235">RANDBETWEEN(10,80)</f>
        <v>36</v>
      </c>
      <c r="AO196" s="1">
        <f t="shared" ref="AO196:AO202" ca="1" si="236">RANDBETWEEN(-1,20)</f>
        <v>3</v>
      </c>
      <c r="AQ196" s="1">
        <f t="shared" ref="AQ196:AQ202" ca="1" si="237">RANDBETWEEN(10,200)</f>
        <v>69</v>
      </c>
      <c r="AR196" s="1">
        <f t="shared" ref="AR196:AR202" ca="1" si="238">RANDBETWEEN(0,10)</f>
        <v>1</v>
      </c>
      <c r="AS196" s="1">
        <f t="shared" ref="AS196:AS202" ca="1" si="239">RANDBETWEEN(1,100)</f>
        <v>50</v>
      </c>
      <c r="AU196" s="1">
        <f t="shared" ref="AU196:AU202" ca="1" si="240">RANDBETWEEN(50,400)</f>
        <v>154</v>
      </c>
      <c r="AV196" s="1">
        <f t="shared" ref="AV196:AV202" ca="1" si="241">RANDBETWEEN(2,10)</f>
        <v>6</v>
      </c>
      <c r="AW196" s="1">
        <f t="shared" ref="AW196:AW202" ca="1" si="242">RAND()*(0.2-0.01)+0.01</f>
        <v>4.9263155095986805E-2</v>
      </c>
      <c r="AY196" s="1">
        <f t="shared" ref="AY196:AY202" ca="1" si="243">RAND()*(2-1.1)+1.1</f>
        <v>1.8934564552195432</v>
      </c>
      <c r="AZ196" s="1">
        <f t="shared" ref="AZ196:AZ202" ca="1" si="244">RANDBETWEEN(50,500)</f>
        <v>243</v>
      </c>
      <c r="BA196" s="1">
        <f t="shared" ref="BA196:BA202" ca="1" si="245">RAND()*(0.01-0.00001)+0.00001</f>
        <v>9.2189242692934728E-3</v>
      </c>
      <c r="BG196" s="1">
        <f t="shared" ref="BG196:BG202" ca="1" si="246">RAND()*(1-0.0001)+0.0001</f>
        <v>0.44759484403733568</v>
      </c>
      <c r="BH196" s="1">
        <f t="shared" ref="BH196:BH202" ca="1" si="247">RAND()*(1-0)+0</f>
        <v>0.46980031146834067</v>
      </c>
      <c r="BI196" s="1">
        <f t="shared" ref="BI196:BI202" ca="1" si="248">RANDBETWEEN(100,1000)</f>
        <v>764</v>
      </c>
      <c r="BV196" s="1">
        <f t="shared" ref="BV196:BV202" ca="1" si="249">RAND()*(1-0.0001)+0.0001</f>
        <v>0.72161176502993107</v>
      </c>
      <c r="BW196" s="1">
        <f t="shared" ref="BW196:BW202" ca="1" si="250">RANDBETWEEN(100,1000)</f>
        <v>635</v>
      </c>
      <c r="BX196" s="1">
        <f t="shared" ref="BX196:BX202" ca="1" si="251">RAND()*(0.01-0.00001)+0.00001</f>
        <v>2.3353687640372159E-3</v>
      </c>
      <c r="BY196" s="1">
        <f t="shared" ref="BY196:BY202" ca="1" si="252">RAND()*(0.1-0.0001)+0.0001</f>
        <v>9.5722022801820791E-3</v>
      </c>
      <c r="BZ196" s="1">
        <f t="shared" ref="BZ196:BZ202" ca="1" si="253">RAND()*(1-0)+0</f>
        <v>0.83344677740440576</v>
      </c>
      <c r="CB196" s="1">
        <f t="shared" ref="CB196:CB202" ca="1" si="254">RANDBETWEEN(50,500)</f>
        <v>252</v>
      </c>
      <c r="CC196" s="1">
        <f t="shared" ref="CC196:CC202" ca="1" si="255">RANDBETWEEN(3,15)</f>
        <v>4</v>
      </c>
      <c r="CD196" s="1">
        <f t="shared" ref="CD196:CD202" ca="1" si="256">RAND()*(0.3-0.01)+0.01</f>
        <v>0.17512500004735543</v>
      </c>
      <c r="CE196" s="1">
        <f t="shared" ca="1" si="206"/>
        <v>0.51000570401273082</v>
      </c>
      <c r="CF196" s="1">
        <f t="shared" ca="1" si="206"/>
        <v>0.5901677328300089</v>
      </c>
      <c r="CH196" s="3">
        <f t="shared" ref="CH196:CH202" ca="1" si="257">RAND()*(1-0.0001)+0.0001</f>
        <v>0.28458270915899381</v>
      </c>
      <c r="CI196" s="3">
        <f t="shared" ref="CI196:CI202" ca="1" si="258">RAND()*(0.99-0.01)+0.01</f>
        <v>0.37407391469837326</v>
      </c>
      <c r="CJ196" s="3">
        <f t="shared" ref="CJ196:CJ202" ca="1" si="259">RANDBETWEEN(100,2000)</f>
        <v>1665</v>
      </c>
      <c r="CK196" s="3">
        <f t="shared" ref="CK196:CK202" ca="1" si="260">RAND()*(0.01-0.000001)+0.000001</f>
        <v>5.2153614046716017E-3</v>
      </c>
      <c r="CL196" s="3">
        <f t="shared" ref="CL196:CL202" ca="1" si="261">RANDBETWEEN(0,1)</f>
        <v>1</v>
      </c>
      <c r="CM196" s="3"/>
      <c r="CN196" s="1">
        <f t="shared" ref="CN196:CN202" ca="1" si="262">RAND()*(20-0.1)+0.1</f>
        <v>5.1198985540087367</v>
      </c>
      <c r="CO196" s="1">
        <f t="shared" ref="CO196:CO202" ca="1" si="263">RAND()*(0.5-0.001)+0.001</f>
        <v>0.12899576817628389</v>
      </c>
      <c r="CP196" s="1">
        <f t="shared" ref="CP196:CP202" ca="1" si="264">RANDBETWEEN(1,5)</f>
        <v>1</v>
      </c>
      <c r="CV196" s="1">
        <f t="shared" ref="CV196:CV202" ca="1" si="265">RAND()*(10-0.0001)+0.0001</f>
        <v>3.7139524523867271</v>
      </c>
      <c r="CW196" s="1">
        <f t="shared" ref="CW196:CW202" ca="1" si="266">RANDBETWEEN(100,2000)</f>
        <v>1599</v>
      </c>
      <c r="CX196" s="1">
        <f t="shared" ref="CX196:CX202" ca="1" si="267">RAND()*(0.01-0.000001)+0.000001</f>
        <v>2.9451741887674609E-3</v>
      </c>
      <c r="DH196" s="1">
        <f t="shared" ref="DH196:DH202" ca="1" si="268">RANDBETWEEN(10,900)</f>
        <v>141</v>
      </c>
      <c r="DI196" s="1">
        <f t="shared" ref="DI196:DI202" ca="1" si="269">RAND()*(1-0.001)+0.001</f>
        <v>0.86590526497294362</v>
      </c>
      <c r="DJ196" s="1">
        <f t="shared" ref="DJ196:DJ202" ca="1" si="270">RANDBETWEEN(1,30)</f>
        <v>11</v>
      </c>
      <c r="DL196" s="1">
        <f t="shared" ref="DL196:DL202" ca="1" si="271">RAND()*(0.2-0.01)+0.01</f>
        <v>0.11763922243016213</v>
      </c>
      <c r="DM196" s="1">
        <f t="shared" ref="DM196:DM202" ca="1" si="272">RANDBETWEEN(50,300)</f>
        <v>214</v>
      </c>
      <c r="DN196" s="1">
        <f t="shared" ref="DN196:DN202" ca="1" si="273">RANDBETWEEN(1,10)</f>
        <v>6</v>
      </c>
    </row>
    <row r="197" spans="2:118" x14ac:dyDescent="0.25">
      <c r="B197">
        <f t="shared" ca="1" si="207"/>
        <v>563</v>
      </c>
      <c r="C197">
        <f t="shared" ca="1" si="208"/>
        <v>6</v>
      </c>
      <c r="D197">
        <f t="shared" ca="1" si="209"/>
        <v>0.18640391012292917</v>
      </c>
      <c r="F197" s="1">
        <f t="shared" ca="1" si="210"/>
        <v>22</v>
      </c>
      <c r="G197" s="1">
        <f t="shared" ca="1" si="211"/>
        <v>3</v>
      </c>
      <c r="H197" s="1">
        <f t="shared" ca="1" si="212"/>
        <v>9</v>
      </c>
      <c r="I197" s="1"/>
      <c r="J197" s="1">
        <f t="shared" ca="1" si="213"/>
        <v>4</v>
      </c>
      <c r="K197" s="1">
        <f t="shared" ca="1" si="214"/>
        <v>2.3874966448048558</v>
      </c>
      <c r="L197" s="1">
        <f t="shared" ca="1" si="215"/>
        <v>23</v>
      </c>
      <c r="M197" s="1"/>
      <c r="N197" s="1">
        <f t="shared" ca="1" si="216"/>
        <v>591</v>
      </c>
      <c r="O197" s="1">
        <f t="shared" ca="1" si="217"/>
        <v>14</v>
      </c>
      <c r="P197" s="1"/>
      <c r="Q197" s="1">
        <f t="shared" ca="1" si="218"/>
        <v>0.37926290019870595</v>
      </c>
      <c r="R197" s="1">
        <f t="shared" ca="1" si="219"/>
        <v>712</v>
      </c>
      <c r="S197" s="1"/>
      <c r="T197" s="1">
        <f t="shared" ca="1" si="220"/>
        <v>0.13223856703084155</v>
      </c>
      <c r="U197" s="1">
        <f t="shared" ca="1" si="221"/>
        <v>315</v>
      </c>
      <c r="V197" s="1">
        <f t="shared" ca="1" si="222"/>
        <v>16</v>
      </c>
      <c r="W197" s="1"/>
      <c r="X197" s="1">
        <f t="shared" ca="1" si="223"/>
        <v>9.8158308897430508</v>
      </c>
      <c r="Y197" s="1">
        <f t="shared" ca="1" si="224"/>
        <v>0.54833307353283045</v>
      </c>
      <c r="Z197" s="1">
        <f t="shared" ca="1" si="225"/>
        <v>1939</v>
      </c>
      <c r="AB197" s="1">
        <f t="shared" ca="1" si="226"/>
        <v>0.55257902773818157</v>
      </c>
      <c r="AC197" s="1">
        <f t="shared" ca="1" si="227"/>
        <v>290</v>
      </c>
      <c r="AD197" s="1">
        <f t="shared" ca="1" si="228"/>
        <v>6.815288774574553E-3</v>
      </c>
      <c r="AE197" s="1"/>
      <c r="AF197" s="1">
        <f t="shared" ca="1" si="229"/>
        <v>0.58563456390726087</v>
      </c>
      <c r="AG197" s="1">
        <f t="shared" ca="1" si="230"/>
        <v>431</v>
      </c>
      <c r="AH197" s="1">
        <f t="shared" ca="1" si="231"/>
        <v>2.9245204755435029E-3</v>
      </c>
      <c r="AJ197" s="1">
        <f t="shared" ca="1" si="232"/>
        <v>0.19001257076842137</v>
      </c>
      <c r="AK197" s="1">
        <f t="shared" ca="1" si="233"/>
        <v>3.0020171605681756E-3</v>
      </c>
      <c r="AL197" s="1"/>
      <c r="AM197" s="1">
        <f t="shared" ca="1" si="234"/>
        <v>6.1384665065660884E-2</v>
      </c>
      <c r="AN197" s="1">
        <f t="shared" ca="1" si="235"/>
        <v>13</v>
      </c>
      <c r="AO197" s="1">
        <f t="shared" ca="1" si="236"/>
        <v>4</v>
      </c>
      <c r="AQ197" s="1">
        <f t="shared" ca="1" si="237"/>
        <v>113</v>
      </c>
      <c r="AR197" s="1">
        <f t="shared" ca="1" si="238"/>
        <v>0</v>
      </c>
      <c r="AS197" s="1">
        <f t="shared" ca="1" si="239"/>
        <v>56</v>
      </c>
      <c r="AU197" s="1">
        <f t="shared" ca="1" si="240"/>
        <v>96</v>
      </c>
      <c r="AV197" s="1">
        <f t="shared" ca="1" si="241"/>
        <v>3</v>
      </c>
      <c r="AW197" s="1">
        <f t="shared" ca="1" si="242"/>
        <v>0.12690180089050093</v>
      </c>
      <c r="AY197" s="1">
        <f t="shared" ca="1" si="243"/>
        <v>1.6929770806449966</v>
      </c>
      <c r="AZ197" s="1">
        <f t="shared" ca="1" si="244"/>
        <v>268</v>
      </c>
      <c r="BA197" s="1">
        <f t="shared" ca="1" si="245"/>
        <v>8.7992297656548767E-3</v>
      </c>
      <c r="BG197" s="1">
        <f t="shared" ca="1" si="246"/>
        <v>0.96977737078547799</v>
      </c>
      <c r="BH197" s="1">
        <f t="shared" ca="1" si="247"/>
        <v>0.84992264109103655</v>
      </c>
      <c r="BI197" s="1">
        <f t="shared" ca="1" si="248"/>
        <v>128</v>
      </c>
      <c r="BV197" s="1">
        <f t="shared" ca="1" si="249"/>
        <v>0.69840710159825115</v>
      </c>
      <c r="BW197" s="1">
        <f t="shared" ca="1" si="250"/>
        <v>150</v>
      </c>
      <c r="BX197" s="1">
        <f t="shared" ca="1" si="251"/>
        <v>3.9466785639615401E-3</v>
      </c>
      <c r="BY197" s="1">
        <f t="shared" ca="1" si="252"/>
        <v>4.1580662691373456E-2</v>
      </c>
      <c r="BZ197" s="1">
        <f t="shared" ca="1" si="253"/>
        <v>0.6966785802662766</v>
      </c>
      <c r="CB197" s="1">
        <f t="shared" ca="1" si="254"/>
        <v>230</v>
      </c>
      <c r="CC197" s="1">
        <f t="shared" ca="1" si="255"/>
        <v>4</v>
      </c>
      <c r="CD197" s="1">
        <f t="shared" ca="1" si="256"/>
        <v>0.13629924654071035</v>
      </c>
      <c r="CE197" s="1">
        <f t="shared" ca="1" si="206"/>
        <v>0.92430010577467447</v>
      </c>
      <c r="CF197" s="1">
        <f t="shared" ca="1" si="206"/>
        <v>0.85337054909797128</v>
      </c>
      <c r="CH197" s="3">
        <f t="shared" ca="1" si="257"/>
        <v>0.79275742296685081</v>
      </c>
      <c r="CI197" s="3">
        <f t="shared" ca="1" si="258"/>
        <v>0.28807030942582829</v>
      </c>
      <c r="CJ197" s="3">
        <f t="shared" ca="1" si="259"/>
        <v>965</v>
      </c>
      <c r="CK197" s="3">
        <f t="shared" ca="1" si="260"/>
        <v>2.0203822561097088E-3</v>
      </c>
      <c r="CL197" s="3">
        <f t="shared" ca="1" si="261"/>
        <v>1</v>
      </c>
      <c r="CM197" s="3"/>
      <c r="CN197" s="1">
        <f t="shared" ca="1" si="262"/>
        <v>13.731804888333022</v>
      </c>
      <c r="CO197" s="1">
        <f t="shared" ca="1" si="263"/>
        <v>0.30183885112893899</v>
      </c>
      <c r="CP197" s="1">
        <f t="shared" ca="1" si="264"/>
        <v>2</v>
      </c>
      <c r="CV197" s="1">
        <f t="shared" ca="1" si="265"/>
        <v>2.8401187947352109</v>
      </c>
      <c r="CW197" s="1">
        <f t="shared" ca="1" si="266"/>
        <v>1081</v>
      </c>
      <c r="CX197" s="1">
        <f t="shared" ca="1" si="267"/>
        <v>9.2113282255813561E-4</v>
      </c>
      <c r="DH197" s="1">
        <f t="shared" ca="1" si="268"/>
        <v>841</v>
      </c>
      <c r="DI197" s="1">
        <f t="shared" ca="1" si="269"/>
        <v>0.24859725360337709</v>
      </c>
      <c r="DJ197" s="1">
        <f t="shared" ca="1" si="270"/>
        <v>6</v>
      </c>
      <c r="DL197" s="1">
        <f t="shared" ca="1" si="271"/>
        <v>0.196199830925959</v>
      </c>
      <c r="DM197" s="1">
        <f t="shared" ca="1" si="272"/>
        <v>62</v>
      </c>
      <c r="DN197" s="1">
        <f t="shared" ca="1" si="273"/>
        <v>6</v>
      </c>
    </row>
    <row r="198" spans="2:118" x14ac:dyDescent="0.25">
      <c r="B198">
        <f t="shared" ca="1" si="207"/>
        <v>933</v>
      </c>
      <c r="C198">
        <f t="shared" ca="1" si="208"/>
        <v>11</v>
      </c>
      <c r="D198">
        <f t="shared" ca="1" si="209"/>
        <v>0.25288359219303497</v>
      </c>
      <c r="F198" s="1">
        <f t="shared" ca="1" si="210"/>
        <v>16</v>
      </c>
      <c r="G198" s="1">
        <f t="shared" ca="1" si="211"/>
        <v>3</v>
      </c>
      <c r="H198" s="1">
        <f t="shared" ca="1" si="212"/>
        <v>7</v>
      </c>
      <c r="I198" s="1"/>
      <c r="J198" s="1">
        <f t="shared" ca="1" si="213"/>
        <v>37</v>
      </c>
      <c r="K198" s="1">
        <f t="shared" ca="1" si="214"/>
        <v>1.5697045893088024</v>
      </c>
      <c r="L198" s="1">
        <f t="shared" ca="1" si="215"/>
        <v>29</v>
      </c>
      <c r="M198" s="1"/>
      <c r="N198" s="1">
        <f t="shared" ca="1" si="216"/>
        <v>229</v>
      </c>
      <c r="O198" s="1">
        <f t="shared" ca="1" si="217"/>
        <v>42</v>
      </c>
      <c r="P198" s="1"/>
      <c r="Q198" s="1">
        <f t="shared" ca="1" si="218"/>
        <v>1.6792025144062557</v>
      </c>
      <c r="R198" s="1">
        <f t="shared" ca="1" si="219"/>
        <v>747</v>
      </c>
      <c r="S198" s="1"/>
      <c r="T198" s="1">
        <f t="shared" ca="1" si="220"/>
        <v>6.1293570850430142E-2</v>
      </c>
      <c r="U198" s="1">
        <f t="shared" ca="1" si="221"/>
        <v>266</v>
      </c>
      <c r="V198" s="1">
        <f t="shared" ca="1" si="222"/>
        <v>24</v>
      </c>
      <c r="W198" s="1"/>
      <c r="X198" s="1">
        <f t="shared" ca="1" si="223"/>
        <v>8.5436897083719288</v>
      </c>
      <c r="Y198" s="1">
        <f t="shared" ca="1" si="224"/>
        <v>0.54145934833886999</v>
      </c>
      <c r="Z198" s="1">
        <f t="shared" ca="1" si="225"/>
        <v>806</v>
      </c>
      <c r="AB198" s="1">
        <f t="shared" ca="1" si="226"/>
        <v>0.96797551903026702</v>
      </c>
      <c r="AC198" s="1">
        <f t="shared" ca="1" si="227"/>
        <v>651</v>
      </c>
      <c r="AD198" s="1">
        <f t="shared" ca="1" si="228"/>
        <v>9.7250222245451531E-3</v>
      </c>
      <c r="AE198" s="1"/>
      <c r="AF198" s="1">
        <f t="shared" ca="1" si="229"/>
        <v>0.36258502738971699</v>
      </c>
      <c r="AG198" s="1">
        <f t="shared" ca="1" si="230"/>
        <v>994</v>
      </c>
      <c r="AH198" s="1">
        <f t="shared" ca="1" si="231"/>
        <v>7.5948529584915639E-3</v>
      </c>
      <c r="AJ198" s="1">
        <f t="shared" ca="1" si="232"/>
        <v>8.4885397311540101E-2</v>
      </c>
      <c r="AK198" s="1">
        <f t="shared" ca="1" si="233"/>
        <v>9.5312790486052866E-3</v>
      </c>
      <c r="AL198" s="1"/>
      <c r="AM198" s="1">
        <f t="shared" ca="1" si="234"/>
        <v>3.3841152192790651E-2</v>
      </c>
      <c r="AN198" s="1">
        <f t="shared" ca="1" si="235"/>
        <v>47</v>
      </c>
      <c r="AO198" s="1">
        <f t="shared" ca="1" si="236"/>
        <v>17</v>
      </c>
      <c r="AQ198" s="1">
        <f t="shared" ca="1" si="237"/>
        <v>86</v>
      </c>
      <c r="AR198" s="1">
        <f t="shared" ca="1" si="238"/>
        <v>6</v>
      </c>
      <c r="AS198" s="1">
        <f t="shared" ca="1" si="239"/>
        <v>74</v>
      </c>
      <c r="AU198" s="1">
        <f t="shared" ca="1" si="240"/>
        <v>199</v>
      </c>
      <c r="AV198" s="1">
        <f t="shared" ca="1" si="241"/>
        <v>10</v>
      </c>
      <c r="AW198" s="1">
        <f t="shared" ca="1" si="242"/>
        <v>0.1489520466734098</v>
      </c>
      <c r="AY198" s="1">
        <f t="shared" ca="1" si="243"/>
        <v>1.3419453602206326</v>
      </c>
      <c r="AZ198" s="1">
        <f t="shared" ca="1" si="244"/>
        <v>261</v>
      </c>
      <c r="BA198" s="1">
        <f t="shared" ca="1" si="245"/>
        <v>8.0631844084379425E-3</v>
      </c>
      <c r="BG198" s="1">
        <f t="shared" ca="1" si="246"/>
        <v>4.8253729103978536E-2</v>
      </c>
      <c r="BH198" s="1">
        <f t="shared" ca="1" si="247"/>
        <v>0.13156908954009283</v>
      </c>
      <c r="BI198" s="1">
        <f t="shared" ca="1" si="248"/>
        <v>656</v>
      </c>
      <c r="BV198" s="1">
        <f t="shared" ca="1" si="249"/>
        <v>0.31814724059288829</v>
      </c>
      <c r="BW198" s="1">
        <f t="shared" ca="1" si="250"/>
        <v>916</v>
      </c>
      <c r="BX198" s="1">
        <f t="shared" ca="1" si="251"/>
        <v>3.7764906780870943E-3</v>
      </c>
      <c r="BY198" s="1">
        <f t="shared" ca="1" si="252"/>
        <v>7.6015082731499747E-2</v>
      </c>
      <c r="BZ198" s="1">
        <f t="shared" ca="1" si="253"/>
        <v>0.53810527409398956</v>
      </c>
      <c r="CB198" s="1">
        <f t="shared" ca="1" si="254"/>
        <v>349</v>
      </c>
      <c r="CC198" s="1">
        <f t="shared" ca="1" si="255"/>
        <v>3</v>
      </c>
      <c r="CD198" s="1">
        <f t="shared" ca="1" si="256"/>
        <v>0.22441023805120572</v>
      </c>
      <c r="CE198" s="1">
        <f t="shared" ca="1" si="206"/>
        <v>0.67940445253371484</v>
      </c>
      <c r="CF198" s="1">
        <f t="shared" ca="1" si="206"/>
        <v>0.68489326422304808</v>
      </c>
      <c r="CH198" s="3">
        <f t="shared" ca="1" si="257"/>
        <v>0.8080967539608449</v>
      </c>
      <c r="CI198" s="3">
        <f t="shared" ca="1" si="258"/>
        <v>0.65743003406797951</v>
      </c>
      <c r="CJ198" s="3">
        <f t="shared" ca="1" si="259"/>
        <v>1192</v>
      </c>
      <c r="CK198" s="3">
        <f t="shared" ca="1" si="260"/>
        <v>5.6169503001839679E-3</v>
      </c>
      <c r="CL198" s="3">
        <f t="shared" ca="1" si="261"/>
        <v>1</v>
      </c>
      <c r="CM198" s="3"/>
      <c r="CN198" s="1">
        <f t="shared" ca="1" si="262"/>
        <v>15.672943438895937</v>
      </c>
      <c r="CO198" s="1">
        <f t="shared" ca="1" si="263"/>
        <v>3.8211623232686558E-2</v>
      </c>
      <c r="CP198" s="1">
        <f t="shared" ca="1" si="264"/>
        <v>3</v>
      </c>
      <c r="CV198" s="1">
        <f t="shared" ca="1" si="265"/>
        <v>9.2210468109228909</v>
      </c>
      <c r="CW198" s="1">
        <f t="shared" ca="1" si="266"/>
        <v>1221</v>
      </c>
      <c r="CX198" s="1">
        <f t="shared" ca="1" si="267"/>
        <v>3.6517971120145435E-3</v>
      </c>
      <c r="DH198" s="1">
        <f t="shared" ca="1" si="268"/>
        <v>70</v>
      </c>
      <c r="DI198" s="1">
        <f t="shared" ca="1" si="269"/>
        <v>0.90276138601867884</v>
      </c>
      <c r="DJ198" s="1">
        <f t="shared" ca="1" si="270"/>
        <v>22</v>
      </c>
      <c r="DL198" s="1">
        <f t="shared" ca="1" si="271"/>
        <v>9.7185311065121988E-2</v>
      </c>
      <c r="DM198" s="1">
        <f t="shared" ca="1" si="272"/>
        <v>275</v>
      </c>
      <c r="DN198" s="1">
        <f t="shared" ca="1" si="273"/>
        <v>2</v>
      </c>
    </row>
    <row r="199" spans="2:118" x14ac:dyDescent="0.25">
      <c r="B199">
        <f t="shared" ca="1" si="207"/>
        <v>140</v>
      </c>
      <c r="C199">
        <f t="shared" ca="1" si="208"/>
        <v>24</v>
      </c>
      <c r="D199">
        <f t="shared" ca="1" si="209"/>
        <v>0.28330185820290571</v>
      </c>
      <c r="F199" s="1">
        <f t="shared" ca="1" si="210"/>
        <v>34</v>
      </c>
      <c r="G199" s="1">
        <f t="shared" ca="1" si="211"/>
        <v>13</v>
      </c>
      <c r="H199" s="1">
        <f t="shared" ca="1" si="212"/>
        <v>3</v>
      </c>
      <c r="I199" s="1"/>
      <c r="J199" s="1">
        <f t="shared" ca="1" si="213"/>
        <v>1</v>
      </c>
      <c r="K199" s="1">
        <f t="shared" ca="1" si="214"/>
        <v>2.0966078250746927</v>
      </c>
      <c r="L199" s="1">
        <f t="shared" ca="1" si="215"/>
        <v>4</v>
      </c>
      <c r="M199" s="1"/>
      <c r="N199" s="1">
        <f t="shared" ca="1" si="216"/>
        <v>651</v>
      </c>
      <c r="O199" s="1">
        <f t="shared" ca="1" si="217"/>
        <v>19</v>
      </c>
      <c r="P199" s="1"/>
      <c r="Q199" s="1">
        <f t="shared" ca="1" si="218"/>
        <v>2.4121145673587407</v>
      </c>
      <c r="R199" s="1">
        <f t="shared" ca="1" si="219"/>
        <v>395</v>
      </c>
      <c r="S199" s="1"/>
      <c r="T199" s="1">
        <f t="shared" ca="1" si="220"/>
        <v>0.19145417943606427</v>
      </c>
      <c r="U199" s="1">
        <f t="shared" ca="1" si="221"/>
        <v>169</v>
      </c>
      <c r="V199" s="1">
        <f t="shared" ca="1" si="222"/>
        <v>38</v>
      </c>
      <c r="W199" s="1"/>
      <c r="X199" s="1">
        <f t="shared" ca="1" si="223"/>
        <v>4.5369312888227986</v>
      </c>
      <c r="Y199" s="1">
        <f t="shared" ca="1" si="224"/>
        <v>0.6508318960175532</v>
      </c>
      <c r="Z199" s="1">
        <f t="shared" ca="1" si="225"/>
        <v>986</v>
      </c>
      <c r="AB199" s="1">
        <f t="shared" ca="1" si="226"/>
        <v>0.55609358117114804</v>
      </c>
      <c r="AC199" s="1">
        <f t="shared" ca="1" si="227"/>
        <v>112</v>
      </c>
      <c r="AD199" s="1">
        <f t="shared" ca="1" si="228"/>
        <v>4.1523737409321767E-3</v>
      </c>
      <c r="AE199" s="1"/>
      <c r="AF199" s="1">
        <f t="shared" ca="1" si="229"/>
        <v>0.75727112996201396</v>
      </c>
      <c r="AG199" s="1">
        <f t="shared" ca="1" si="230"/>
        <v>489</v>
      </c>
      <c r="AH199" s="1">
        <f t="shared" ca="1" si="231"/>
        <v>4.8958533257945332E-3</v>
      </c>
      <c r="AJ199" s="1">
        <f t="shared" ca="1" si="232"/>
        <v>0.66740690781021828</v>
      </c>
      <c r="AK199" s="1">
        <f t="shared" ca="1" si="233"/>
        <v>6.448734514668074E-3</v>
      </c>
      <c r="AL199" s="1"/>
      <c r="AM199" s="1">
        <f t="shared" ca="1" si="234"/>
        <v>4.6028024895032743E-2</v>
      </c>
      <c r="AN199" s="1">
        <f t="shared" ca="1" si="235"/>
        <v>20</v>
      </c>
      <c r="AO199" s="1">
        <f t="shared" ca="1" si="236"/>
        <v>10</v>
      </c>
      <c r="AQ199" s="1">
        <f t="shared" ca="1" si="237"/>
        <v>95</v>
      </c>
      <c r="AR199" s="1">
        <f t="shared" ca="1" si="238"/>
        <v>9</v>
      </c>
      <c r="AS199" s="1">
        <f t="shared" ca="1" si="239"/>
        <v>36</v>
      </c>
      <c r="AU199" s="1">
        <f t="shared" ca="1" si="240"/>
        <v>57</v>
      </c>
      <c r="AV199" s="1">
        <f t="shared" ca="1" si="241"/>
        <v>10</v>
      </c>
      <c r="AW199" s="1">
        <f t="shared" ca="1" si="242"/>
        <v>0.1738097639663376</v>
      </c>
      <c r="AY199" s="1">
        <f t="shared" ca="1" si="243"/>
        <v>1.2622173804940562</v>
      </c>
      <c r="AZ199" s="1">
        <f t="shared" ca="1" si="244"/>
        <v>307</v>
      </c>
      <c r="BA199" s="1">
        <f t="shared" ca="1" si="245"/>
        <v>4.3585711312442398E-3</v>
      </c>
      <c r="BG199" s="1">
        <f t="shared" ca="1" si="246"/>
        <v>0.12974690005309938</v>
      </c>
      <c r="BH199" s="1">
        <f t="shared" ca="1" si="247"/>
        <v>0.34825904870437663</v>
      </c>
      <c r="BI199" s="1">
        <f t="shared" ca="1" si="248"/>
        <v>696</v>
      </c>
      <c r="BV199" s="1">
        <f t="shared" ca="1" si="249"/>
        <v>0.29566843237198143</v>
      </c>
      <c r="BW199" s="1">
        <f t="shared" ca="1" si="250"/>
        <v>636</v>
      </c>
      <c r="BX199" s="1">
        <f t="shared" ca="1" si="251"/>
        <v>1.8746926302892928E-3</v>
      </c>
      <c r="BY199" s="1">
        <f t="shared" ca="1" si="252"/>
        <v>7.7349557170264469E-2</v>
      </c>
      <c r="BZ199" s="1">
        <f t="shared" ca="1" si="253"/>
        <v>0.5239383334445108</v>
      </c>
      <c r="CB199" s="1">
        <f t="shared" ca="1" si="254"/>
        <v>79</v>
      </c>
      <c r="CC199" s="1">
        <f t="shared" ca="1" si="255"/>
        <v>8</v>
      </c>
      <c r="CD199" s="1">
        <f t="shared" ca="1" si="256"/>
        <v>7.2708331965716855E-2</v>
      </c>
      <c r="CE199" s="1">
        <f t="shared" ca="1" si="206"/>
        <v>0.65624680955903725</v>
      </c>
      <c r="CF199" s="1">
        <f t="shared" ca="1" si="206"/>
        <v>0.95941192206244885</v>
      </c>
      <c r="CH199" s="3">
        <f t="shared" ca="1" si="257"/>
        <v>0.82268512402743987</v>
      </c>
      <c r="CI199" s="3">
        <f t="shared" ca="1" si="258"/>
        <v>0.56131526886739969</v>
      </c>
      <c r="CJ199" s="3">
        <f t="shared" ca="1" si="259"/>
        <v>1490</v>
      </c>
      <c r="CK199" s="3">
        <f t="shared" ca="1" si="260"/>
        <v>8.4806214650874579E-4</v>
      </c>
      <c r="CL199" s="3">
        <f t="shared" ca="1" si="261"/>
        <v>1</v>
      </c>
      <c r="CM199" s="3"/>
      <c r="CN199" s="1">
        <f t="shared" ca="1" si="262"/>
        <v>18.512259965014021</v>
      </c>
      <c r="CO199" s="1">
        <f t="shared" ca="1" si="263"/>
        <v>0.31233656506512314</v>
      </c>
      <c r="CP199" s="1">
        <f t="shared" ca="1" si="264"/>
        <v>2</v>
      </c>
      <c r="CV199" s="1">
        <f t="shared" ca="1" si="265"/>
        <v>5.7536788658292206</v>
      </c>
      <c r="CW199" s="1">
        <f t="shared" ca="1" si="266"/>
        <v>709</v>
      </c>
      <c r="CX199" s="1">
        <f t="shared" ca="1" si="267"/>
        <v>8.3879990555526043E-3</v>
      </c>
      <c r="DH199" s="1">
        <f t="shared" ca="1" si="268"/>
        <v>102</v>
      </c>
      <c r="DI199" s="1">
        <f t="shared" ca="1" si="269"/>
        <v>0.76723732401991629</v>
      </c>
      <c r="DJ199" s="1">
        <f t="shared" ca="1" si="270"/>
        <v>12</v>
      </c>
      <c r="DL199" s="1">
        <f t="shared" ca="1" si="271"/>
        <v>8.9495366129443171E-2</v>
      </c>
      <c r="DM199" s="1">
        <f t="shared" ca="1" si="272"/>
        <v>65</v>
      </c>
      <c r="DN199" s="1">
        <f t="shared" ca="1" si="273"/>
        <v>2</v>
      </c>
    </row>
    <row r="200" spans="2:118" x14ac:dyDescent="0.25">
      <c r="B200">
        <f t="shared" ca="1" si="207"/>
        <v>105</v>
      </c>
      <c r="C200">
        <f t="shared" ca="1" si="208"/>
        <v>5</v>
      </c>
      <c r="D200">
        <f t="shared" ca="1" si="209"/>
        <v>0.19751858024633354</v>
      </c>
      <c r="F200" s="1">
        <f t="shared" ca="1" si="210"/>
        <v>4</v>
      </c>
      <c r="G200" s="1">
        <f t="shared" ca="1" si="211"/>
        <v>8</v>
      </c>
      <c r="H200" s="1">
        <f t="shared" ca="1" si="212"/>
        <v>14</v>
      </c>
      <c r="I200" s="1"/>
      <c r="J200" s="1">
        <f t="shared" ca="1" si="213"/>
        <v>17</v>
      </c>
      <c r="K200" s="1">
        <f t="shared" ca="1" si="214"/>
        <v>2.226330128008676</v>
      </c>
      <c r="L200" s="1">
        <f t="shared" ca="1" si="215"/>
        <v>32</v>
      </c>
      <c r="M200" s="1"/>
      <c r="N200" s="1">
        <f t="shared" ca="1" si="216"/>
        <v>200</v>
      </c>
      <c r="O200" s="1">
        <f t="shared" ca="1" si="217"/>
        <v>25</v>
      </c>
      <c r="P200" s="1"/>
      <c r="Q200" s="1">
        <f t="shared" ca="1" si="218"/>
        <v>4.4493810437077652</v>
      </c>
      <c r="R200" s="1">
        <f t="shared" ca="1" si="219"/>
        <v>645</v>
      </c>
      <c r="S200" s="1"/>
      <c r="T200" s="1">
        <f t="shared" ca="1" si="220"/>
        <v>0.18521155165491771</v>
      </c>
      <c r="U200" s="1">
        <f t="shared" ca="1" si="221"/>
        <v>363</v>
      </c>
      <c r="V200" s="1">
        <f t="shared" ca="1" si="222"/>
        <v>51</v>
      </c>
      <c r="W200" s="1"/>
      <c r="X200" s="1">
        <f t="shared" ca="1" si="223"/>
        <v>9.1419569144514821</v>
      </c>
      <c r="Y200" s="1">
        <f t="shared" ca="1" si="224"/>
        <v>0.29176616988734433</v>
      </c>
      <c r="Z200" s="1">
        <f t="shared" ca="1" si="225"/>
        <v>1633</v>
      </c>
      <c r="AB200" s="1">
        <f t="shared" ca="1" si="226"/>
        <v>0.95062571989644296</v>
      </c>
      <c r="AC200" s="1">
        <f t="shared" ca="1" si="227"/>
        <v>423</v>
      </c>
      <c r="AD200" s="1">
        <f t="shared" ca="1" si="228"/>
        <v>5.449745210127855E-3</v>
      </c>
      <c r="AE200" s="1"/>
      <c r="AF200" s="1">
        <f t="shared" ca="1" si="229"/>
        <v>0.86652443747496211</v>
      </c>
      <c r="AG200" s="1">
        <f t="shared" ca="1" si="230"/>
        <v>795</v>
      </c>
      <c r="AH200" s="1">
        <f t="shared" ca="1" si="231"/>
        <v>9.1511096268007425E-3</v>
      </c>
      <c r="AJ200" s="1">
        <f t="shared" ca="1" si="232"/>
        <v>0.27897552107661705</v>
      </c>
      <c r="AK200" s="1">
        <f t="shared" ca="1" si="233"/>
        <v>3.4736352995495337E-3</v>
      </c>
      <c r="AL200" s="1"/>
      <c r="AM200" s="1">
        <f t="shared" ca="1" si="234"/>
        <v>0.12250019093943476</v>
      </c>
      <c r="AN200" s="1">
        <f t="shared" ca="1" si="235"/>
        <v>59</v>
      </c>
      <c r="AO200" s="1">
        <f t="shared" ca="1" si="236"/>
        <v>15</v>
      </c>
      <c r="AQ200" s="1">
        <f t="shared" ca="1" si="237"/>
        <v>30</v>
      </c>
      <c r="AR200" s="1">
        <f t="shared" ca="1" si="238"/>
        <v>4</v>
      </c>
      <c r="AS200" s="1">
        <f t="shared" ca="1" si="239"/>
        <v>76</v>
      </c>
      <c r="AU200" s="1">
        <f t="shared" ca="1" si="240"/>
        <v>52</v>
      </c>
      <c r="AV200" s="1">
        <f t="shared" ca="1" si="241"/>
        <v>5</v>
      </c>
      <c r="AW200" s="1">
        <f t="shared" ca="1" si="242"/>
        <v>2.5261675008976248E-2</v>
      </c>
      <c r="AY200" s="1">
        <f t="shared" ca="1" si="243"/>
        <v>1.3200377839958797</v>
      </c>
      <c r="AZ200" s="1">
        <f t="shared" ca="1" si="244"/>
        <v>281</v>
      </c>
      <c r="BA200" s="1">
        <f t="shared" ca="1" si="245"/>
        <v>3.1971607038256832E-3</v>
      </c>
      <c r="BG200" s="1">
        <f t="shared" ca="1" si="246"/>
        <v>0.53003193546307048</v>
      </c>
      <c r="BH200" s="1">
        <f t="shared" ca="1" si="247"/>
        <v>0.13974948811774701</v>
      </c>
      <c r="BI200" s="1">
        <f t="shared" ca="1" si="248"/>
        <v>901</v>
      </c>
      <c r="BV200" s="1">
        <f t="shared" ca="1" si="249"/>
        <v>0.53940975307377403</v>
      </c>
      <c r="BW200" s="1">
        <f t="shared" ca="1" si="250"/>
        <v>969</v>
      </c>
      <c r="BX200" s="1">
        <f t="shared" ca="1" si="251"/>
        <v>5.401631698868114E-3</v>
      </c>
      <c r="BY200" s="1">
        <f t="shared" ca="1" si="252"/>
        <v>8.9349563334747792E-2</v>
      </c>
      <c r="BZ200" s="1">
        <f t="shared" ca="1" si="253"/>
        <v>0.91950798160116454</v>
      </c>
      <c r="CB200" s="1">
        <f t="shared" ca="1" si="254"/>
        <v>51</v>
      </c>
      <c r="CC200" s="1">
        <f t="shared" ca="1" si="255"/>
        <v>11</v>
      </c>
      <c r="CD200" s="1">
        <f t="shared" ca="1" si="256"/>
        <v>0.15925359049536664</v>
      </c>
      <c r="CE200" s="1">
        <f t="shared" ca="1" si="206"/>
        <v>0.64720769236766318</v>
      </c>
      <c r="CF200" s="1">
        <f t="shared" ca="1" si="206"/>
        <v>0.89925509821989202</v>
      </c>
      <c r="CH200" s="3">
        <f t="shared" ca="1" si="257"/>
        <v>0.30993405962612941</v>
      </c>
      <c r="CI200" s="3">
        <f t="shared" ca="1" si="258"/>
        <v>0.22144935396192544</v>
      </c>
      <c r="CJ200" s="3">
        <f t="shared" ca="1" si="259"/>
        <v>499</v>
      </c>
      <c r="CK200" s="3">
        <f t="shared" ca="1" si="260"/>
        <v>5.4522643989707107E-3</v>
      </c>
      <c r="CL200" s="3">
        <f t="shared" ca="1" si="261"/>
        <v>1</v>
      </c>
      <c r="CM200" s="3"/>
      <c r="CN200" s="1">
        <f t="shared" ca="1" si="262"/>
        <v>4.8747466506369097</v>
      </c>
      <c r="CO200" s="1">
        <f t="shared" ca="1" si="263"/>
        <v>0.20540983431697918</v>
      </c>
      <c r="CP200" s="1">
        <f t="shared" ca="1" si="264"/>
        <v>5</v>
      </c>
      <c r="CV200" s="1">
        <f t="shared" ca="1" si="265"/>
        <v>5.8421587887709157</v>
      </c>
      <c r="CW200" s="1">
        <f t="shared" ca="1" si="266"/>
        <v>1699</v>
      </c>
      <c r="CX200" s="1">
        <f t="shared" ca="1" si="267"/>
        <v>8.2647493349331542E-3</v>
      </c>
      <c r="DH200" s="1">
        <f t="shared" ca="1" si="268"/>
        <v>570</v>
      </c>
      <c r="DI200" s="1">
        <f t="shared" ca="1" si="269"/>
        <v>0.46140986316883198</v>
      </c>
      <c r="DJ200" s="1">
        <f t="shared" ca="1" si="270"/>
        <v>20</v>
      </c>
      <c r="DL200" s="1">
        <f t="shared" ca="1" si="271"/>
        <v>0.12112911268497098</v>
      </c>
      <c r="DM200" s="1">
        <f t="shared" ca="1" si="272"/>
        <v>68</v>
      </c>
      <c r="DN200" s="1">
        <f t="shared" ca="1" si="273"/>
        <v>7</v>
      </c>
    </row>
    <row r="201" spans="2:118" x14ac:dyDescent="0.25">
      <c r="B201">
        <f t="shared" ca="1" si="207"/>
        <v>777</v>
      </c>
      <c r="C201">
        <f t="shared" ca="1" si="208"/>
        <v>49</v>
      </c>
      <c r="D201">
        <f t="shared" ca="1" si="209"/>
        <v>2.9711814546680614E-2</v>
      </c>
      <c r="F201" s="1">
        <f t="shared" ca="1" si="210"/>
        <v>44</v>
      </c>
      <c r="G201" s="1">
        <f t="shared" ca="1" si="211"/>
        <v>28</v>
      </c>
      <c r="H201" s="1">
        <f t="shared" ca="1" si="212"/>
        <v>15</v>
      </c>
      <c r="I201" s="1"/>
      <c r="J201" s="1">
        <f t="shared" ca="1" si="213"/>
        <v>8</v>
      </c>
      <c r="K201" s="1">
        <f t="shared" ca="1" si="214"/>
        <v>2.4855096008799071</v>
      </c>
      <c r="L201" s="1">
        <f t="shared" ca="1" si="215"/>
        <v>9</v>
      </c>
      <c r="M201" s="1"/>
      <c r="N201" s="1">
        <f t="shared" ca="1" si="216"/>
        <v>151</v>
      </c>
      <c r="O201" s="1">
        <f t="shared" ca="1" si="217"/>
        <v>47</v>
      </c>
      <c r="P201" s="1"/>
      <c r="Q201" s="1">
        <f t="shared" ca="1" si="218"/>
        <v>2.3750407800231073</v>
      </c>
      <c r="R201" s="1">
        <f t="shared" ca="1" si="219"/>
        <v>364</v>
      </c>
      <c r="S201" s="1"/>
      <c r="T201" s="1">
        <f t="shared" ca="1" si="220"/>
        <v>0.19562601506777647</v>
      </c>
      <c r="U201" s="1">
        <f t="shared" ca="1" si="221"/>
        <v>366</v>
      </c>
      <c r="V201" s="1">
        <f t="shared" ca="1" si="222"/>
        <v>44</v>
      </c>
      <c r="W201" s="1"/>
      <c r="X201" s="1">
        <f t="shared" ca="1" si="223"/>
        <v>2.6467914590683521</v>
      </c>
      <c r="Y201" s="1">
        <f t="shared" ca="1" si="224"/>
        <v>0.14187801873067898</v>
      </c>
      <c r="Z201" s="1">
        <f t="shared" ca="1" si="225"/>
        <v>655</v>
      </c>
      <c r="AB201" s="1">
        <f t="shared" ca="1" si="226"/>
        <v>0.54675067762515861</v>
      </c>
      <c r="AC201" s="1">
        <f t="shared" ca="1" si="227"/>
        <v>886</v>
      </c>
      <c r="AD201" s="1">
        <f t="shared" ca="1" si="228"/>
        <v>7.2674451734424852E-3</v>
      </c>
      <c r="AE201" s="1"/>
      <c r="AF201" s="1">
        <f t="shared" ca="1" si="229"/>
        <v>0.46083718547094044</v>
      </c>
      <c r="AG201" s="1">
        <f t="shared" ca="1" si="230"/>
        <v>172</v>
      </c>
      <c r="AH201" s="1">
        <f t="shared" ca="1" si="231"/>
        <v>2.2910740598029275E-3</v>
      </c>
      <c r="AJ201" s="1">
        <f t="shared" ca="1" si="232"/>
        <v>0.14670302597345886</v>
      </c>
      <c r="AK201" s="1">
        <f t="shared" ca="1" si="233"/>
        <v>6.2120903087661602E-3</v>
      </c>
      <c r="AL201" s="1"/>
      <c r="AM201" s="1">
        <f t="shared" ca="1" si="234"/>
        <v>0.17385914499649902</v>
      </c>
      <c r="AN201" s="1">
        <f t="shared" ca="1" si="235"/>
        <v>35</v>
      </c>
      <c r="AO201" s="1">
        <f t="shared" ca="1" si="236"/>
        <v>15</v>
      </c>
      <c r="AQ201" s="1">
        <f t="shared" ca="1" si="237"/>
        <v>126</v>
      </c>
      <c r="AR201" s="1">
        <f t="shared" ca="1" si="238"/>
        <v>7</v>
      </c>
      <c r="AS201" s="1">
        <f t="shared" ca="1" si="239"/>
        <v>56</v>
      </c>
      <c r="AU201" s="1">
        <f t="shared" ca="1" si="240"/>
        <v>140</v>
      </c>
      <c r="AV201" s="1">
        <f t="shared" ca="1" si="241"/>
        <v>6</v>
      </c>
      <c r="AW201" s="1">
        <f t="shared" ca="1" si="242"/>
        <v>0.17433130736579849</v>
      </c>
      <c r="AY201" s="1">
        <f t="shared" ca="1" si="243"/>
        <v>1.2635027380376245</v>
      </c>
      <c r="AZ201" s="1">
        <f t="shared" ca="1" si="244"/>
        <v>255</v>
      </c>
      <c r="BA201" s="1">
        <f t="shared" ca="1" si="245"/>
        <v>8.8400116386934732E-3</v>
      </c>
      <c r="BG201" s="1">
        <f t="shared" ca="1" si="246"/>
        <v>0.5128275217505982</v>
      </c>
      <c r="BH201" s="1">
        <f t="shared" ca="1" si="247"/>
        <v>0.67158167831657656</v>
      </c>
      <c r="BI201" s="1">
        <f t="shared" ca="1" si="248"/>
        <v>900</v>
      </c>
      <c r="BV201" s="1">
        <f t="shared" ca="1" si="249"/>
        <v>0.83757802129359649</v>
      </c>
      <c r="BW201" s="1">
        <f t="shared" ca="1" si="250"/>
        <v>525</v>
      </c>
      <c r="BX201" s="1">
        <f t="shared" ca="1" si="251"/>
        <v>7.7953683780177473E-4</v>
      </c>
      <c r="BY201" s="1">
        <f t="shared" ca="1" si="252"/>
        <v>4.5069316342222873E-2</v>
      </c>
      <c r="BZ201" s="1">
        <f t="shared" ca="1" si="253"/>
        <v>0.41134486073826315</v>
      </c>
      <c r="CB201" s="1">
        <f t="shared" ca="1" si="254"/>
        <v>358</v>
      </c>
      <c r="CC201" s="1">
        <f t="shared" ca="1" si="255"/>
        <v>15</v>
      </c>
      <c r="CD201" s="1">
        <f t="shared" ca="1" si="256"/>
        <v>0.27281924732121265</v>
      </c>
      <c r="CE201" s="1">
        <f t="shared" ca="1" si="206"/>
        <v>0.98356183700133748</v>
      </c>
      <c r="CF201" s="1">
        <f t="shared" ca="1" si="206"/>
        <v>0.83749596631770495</v>
      </c>
      <c r="CH201" s="3">
        <f t="shared" ca="1" si="257"/>
        <v>0.51538840248012285</v>
      </c>
      <c r="CI201" s="3">
        <f t="shared" ca="1" si="258"/>
        <v>0.26402875561067951</v>
      </c>
      <c r="CJ201" s="3">
        <f t="shared" ca="1" si="259"/>
        <v>1314</v>
      </c>
      <c r="CK201" s="3">
        <f t="shared" ca="1" si="260"/>
        <v>1.4137178971517651E-3</v>
      </c>
      <c r="CL201" s="3">
        <f t="shared" ca="1" si="261"/>
        <v>1</v>
      </c>
      <c r="CM201" s="3"/>
      <c r="CN201" s="1">
        <f t="shared" ca="1" si="262"/>
        <v>2.3490933172197788</v>
      </c>
      <c r="CO201" s="1">
        <f t="shared" ca="1" si="263"/>
        <v>0.48862864371205944</v>
      </c>
      <c r="CP201" s="1">
        <f t="shared" ca="1" si="264"/>
        <v>2</v>
      </c>
      <c r="CV201" s="1">
        <f t="shared" ca="1" si="265"/>
        <v>4.625586292075706</v>
      </c>
      <c r="CW201" s="1">
        <f t="shared" ca="1" si="266"/>
        <v>1335</v>
      </c>
      <c r="CX201" s="1">
        <f t="shared" ca="1" si="267"/>
        <v>1.6635415445146943E-3</v>
      </c>
      <c r="DH201" s="1">
        <f t="shared" ca="1" si="268"/>
        <v>655</v>
      </c>
      <c r="DI201" s="1">
        <f t="shared" ca="1" si="269"/>
        <v>0.19207354196596688</v>
      </c>
      <c r="DJ201" s="1">
        <f t="shared" ca="1" si="270"/>
        <v>21</v>
      </c>
      <c r="DL201" s="1">
        <f t="shared" ca="1" si="271"/>
        <v>0.13366283041920993</v>
      </c>
      <c r="DM201" s="1">
        <f t="shared" ca="1" si="272"/>
        <v>133</v>
      </c>
      <c r="DN201" s="1">
        <f t="shared" ca="1" si="273"/>
        <v>6</v>
      </c>
    </row>
    <row r="202" spans="2:118" x14ac:dyDescent="0.25">
      <c r="B202">
        <f t="shared" ca="1" si="207"/>
        <v>835</v>
      </c>
      <c r="C202">
        <f t="shared" ca="1" si="208"/>
        <v>12</v>
      </c>
      <c r="D202">
        <f t="shared" ca="1" si="209"/>
        <v>0.11199972187001914</v>
      </c>
      <c r="F202" s="1">
        <f t="shared" ca="1" si="210"/>
        <v>42</v>
      </c>
      <c r="G202" s="1">
        <f t="shared" ca="1" si="211"/>
        <v>11</v>
      </c>
      <c r="H202" s="1">
        <f t="shared" ca="1" si="212"/>
        <v>2</v>
      </c>
      <c r="I202" s="1"/>
      <c r="J202" s="1">
        <f t="shared" ca="1" si="213"/>
        <v>14</v>
      </c>
      <c r="K202" s="1">
        <f t="shared" ca="1" si="214"/>
        <v>1.9489166167386172</v>
      </c>
      <c r="L202" s="1">
        <f t="shared" ca="1" si="215"/>
        <v>19</v>
      </c>
      <c r="M202" s="1"/>
      <c r="N202" s="1">
        <f t="shared" ca="1" si="216"/>
        <v>439</v>
      </c>
      <c r="O202" s="1">
        <f t="shared" ca="1" si="217"/>
        <v>51</v>
      </c>
      <c r="P202" s="1"/>
      <c r="Q202" s="1">
        <f t="shared" ca="1" si="218"/>
        <v>1.2468274611333263</v>
      </c>
      <c r="R202" s="1">
        <f t="shared" ca="1" si="219"/>
        <v>570</v>
      </c>
      <c r="S202" s="1"/>
      <c r="T202" s="1">
        <f t="shared" ca="1" si="220"/>
        <v>0.18657276362711306</v>
      </c>
      <c r="U202" s="1">
        <f t="shared" ca="1" si="221"/>
        <v>263</v>
      </c>
      <c r="V202" s="1">
        <f t="shared" ca="1" si="222"/>
        <v>29</v>
      </c>
      <c r="W202" s="1"/>
      <c r="X202" s="1">
        <f t="shared" ca="1" si="223"/>
        <v>9.344706912385405</v>
      </c>
      <c r="Y202" s="1">
        <f t="shared" ca="1" si="224"/>
        <v>0.18791650804547383</v>
      </c>
      <c r="Z202" s="1">
        <f t="shared" ca="1" si="225"/>
        <v>861</v>
      </c>
      <c r="AB202" s="1">
        <f t="shared" ca="1" si="226"/>
        <v>0.51606575401118859</v>
      </c>
      <c r="AC202" s="1">
        <f t="shared" ca="1" si="227"/>
        <v>734</v>
      </c>
      <c r="AD202" s="1">
        <f t="shared" ca="1" si="228"/>
        <v>7.0609761871826444E-3</v>
      </c>
      <c r="AE202" s="1"/>
      <c r="AF202" s="1">
        <f t="shared" ca="1" si="229"/>
        <v>0.21290839707833495</v>
      </c>
      <c r="AG202" s="1">
        <f t="shared" ca="1" si="230"/>
        <v>527</v>
      </c>
      <c r="AH202" s="1">
        <f t="shared" ca="1" si="231"/>
        <v>3.274426944735898E-5</v>
      </c>
      <c r="AJ202" s="1">
        <f t="shared" ca="1" si="232"/>
        <v>0.56923871146499438</v>
      </c>
      <c r="AK202" s="1">
        <f t="shared" ca="1" si="233"/>
        <v>8.8967836384063487E-3</v>
      </c>
      <c r="AL202" s="1"/>
      <c r="AM202" s="1">
        <f t="shared" ca="1" si="234"/>
        <v>8.2430521861248052E-2</v>
      </c>
      <c r="AN202" s="1">
        <f t="shared" ca="1" si="235"/>
        <v>29</v>
      </c>
      <c r="AO202" s="1">
        <f t="shared" ca="1" si="236"/>
        <v>18</v>
      </c>
      <c r="AQ202" s="1">
        <f t="shared" ca="1" si="237"/>
        <v>10</v>
      </c>
      <c r="AR202" s="1">
        <f t="shared" ca="1" si="238"/>
        <v>9</v>
      </c>
      <c r="AS202" s="1">
        <f t="shared" ca="1" si="239"/>
        <v>87</v>
      </c>
      <c r="AU202" s="1">
        <f t="shared" ca="1" si="240"/>
        <v>279</v>
      </c>
      <c r="AV202" s="1">
        <f t="shared" ca="1" si="241"/>
        <v>8</v>
      </c>
      <c r="AW202" s="1">
        <f t="shared" ca="1" si="242"/>
        <v>0.14379439494261623</v>
      </c>
      <c r="AY202" s="1">
        <f t="shared" ca="1" si="243"/>
        <v>1.5259923503195765</v>
      </c>
      <c r="AZ202" s="1">
        <f t="shared" ca="1" si="244"/>
        <v>380</v>
      </c>
      <c r="BA202" s="1">
        <f t="shared" ca="1" si="245"/>
        <v>1.1158504039970943E-3</v>
      </c>
      <c r="BG202" s="1">
        <f t="shared" ca="1" si="246"/>
        <v>0.40462529964878646</v>
      </c>
      <c r="BH202" s="1">
        <f t="shared" ca="1" si="247"/>
        <v>0.7850713557866611</v>
      </c>
      <c r="BI202" s="1">
        <f t="shared" ca="1" si="248"/>
        <v>403</v>
      </c>
      <c r="BV202" s="1">
        <f t="shared" ca="1" si="249"/>
        <v>0.43629874649416506</v>
      </c>
      <c r="BW202" s="1">
        <f t="shared" ca="1" si="250"/>
        <v>865</v>
      </c>
      <c r="BX202" s="1">
        <f t="shared" ca="1" si="251"/>
        <v>8.3107047335810019E-3</v>
      </c>
      <c r="BY202" s="1">
        <f t="shared" ca="1" si="252"/>
        <v>8.58632300251016E-2</v>
      </c>
      <c r="BZ202" s="1">
        <f t="shared" ca="1" si="253"/>
        <v>0.62045828075690335</v>
      </c>
      <c r="CB202" s="1">
        <f t="shared" ca="1" si="254"/>
        <v>460</v>
      </c>
      <c r="CC202" s="1">
        <f t="shared" ca="1" si="255"/>
        <v>6</v>
      </c>
      <c r="CD202" s="1">
        <f t="shared" ca="1" si="256"/>
        <v>0.17338835158682048</v>
      </c>
      <c r="CE202" s="1">
        <f t="shared" ca="1" si="206"/>
        <v>0.55362402157611934</v>
      </c>
      <c r="CF202" s="1">
        <f t="shared" ca="1" si="206"/>
        <v>0.57476202914006569</v>
      </c>
      <c r="CH202" s="3">
        <f t="shared" ca="1" si="257"/>
        <v>0.86163665914247267</v>
      </c>
      <c r="CI202" s="3">
        <f t="shared" ca="1" si="258"/>
        <v>0.42245929962909212</v>
      </c>
      <c r="CJ202" s="3">
        <f t="shared" ca="1" si="259"/>
        <v>708</v>
      </c>
      <c r="CK202" s="3">
        <f t="shared" ca="1" si="260"/>
        <v>9.6697142937512241E-3</v>
      </c>
      <c r="CL202" s="3">
        <f t="shared" ca="1" si="261"/>
        <v>0</v>
      </c>
      <c r="CM202" s="3"/>
      <c r="CN202" s="1">
        <f t="shared" ca="1" si="262"/>
        <v>17.222863993841923</v>
      </c>
      <c r="CO202" s="1">
        <f t="shared" ca="1" si="263"/>
        <v>0.20528272357091149</v>
      </c>
      <c r="CP202" s="1">
        <f t="shared" ca="1" si="264"/>
        <v>4</v>
      </c>
      <c r="CV202" s="1">
        <f t="shared" ca="1" si="265"/>
        <v>1.630607606509767</v>
      </c>
      <c r="CW202" s="1">
        <f t="shared" ca="1" si="266"/>
        <v>1537</v>
      </c>
      <c r="CX202" s="1">
        <f t="shared" ca="1" si="267"/>
        <v>2.9693598635864523E-3</v>
      </c>
      <c r="DH202" s="1">
        <f t="shared" ca="1" si="268"/>
        <v>488</v>
      </c>
      <c r="DI202" s="1">
        <f t="shared" ca="1" si="269"/>
        <v>0.81044346094566733</v>
      </c>
      <c r="DJ202" s="1">
        <f t="shared" ca="1" si="270"/>
        <v>19</v>
      </c>
      <c r="DL202" s="1">
        <f t="shared" ca="1" si="271"/>
        <v>8.7379810167524247E-2</v>
      </c>
      <c r="DM202" s="1">
        <f t="shared" ca="1" si="272"/>
        <v>255</v>
      </c>
      <c r="DN202" s="1">
        <f t="shared" ca="1" si="273"/>
        <v>4</v>
      </c>
    </row>
  </sheetData>
  <mergeCells count="29">
    <mergeCell ref="CZ1:DB1"/>
    <mergeCell ref="T1:V1"/>
    <mergeCell ref="X1:Z1"/>
    <mergeCell ref="B1:D1"/>
    <mergeCell ref="F1:H1"/>
    <mergeCell ref="J1:L1"/>
    <mergeCell ref="N1:O1"/>
    <mergeCell ref="Q1:R1"/>
    <mergeCell ref="AJ1:AK1"/>
    <mergeCell ref="AB1:AD1"/>
    <mergeCell ref="AF1:AH1"/>
    <mergeCell ref="AY1:BA1"/>
    <mergeCell ref="BC1:BE1"/>
    <mergeCell ref="DL1:DN1"/>
    <mergeCell ref="CB1:CF1"/>
    <mergeCell ref="AU1:AW1"/>
    <mergeCell ref="AQ1:AS1"/>
    <mergeCell ref="AM1:AO1"/>
    <mergeCell ref="BV1:BZ1"/>
    <mergeCell ref="BO1:BP1"/>
    <mergeCell ref="BR1:BT1"/>
    <mergeCell ref="BG1:BI1"/>
    <mergeCell ref="BK1:BM1"/>
    <mergeCell ref="CR1:CT1"/>
    <mergeCell ref="CV1:CX1"/>
    <mergeCell ref="CN1:CP1"/>
    <mergeCell ref="CH1:CL1"/>
    <mergeCell ref="DH1:DJ1"/>
    <mergeCell ref="DD1:DF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Moradian</dc:creator>
  <cp:lastModifiedBy>Sam Moradian</cp:lastModifiedBy>
  <dcterms:created xsi:type="dcterms:W3CDTF">2015-06-05T18:17:20Z</dcterms:created>
  <dcterms:modified xsi:type="dcterms:W3CDTF">2026-07-16T05:47:15Z</dcterms:modified>
</cp:coreProperties>
</file>