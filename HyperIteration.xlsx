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D8A0AE66-40E9-4E25-806E-F244F43FCD24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4" i="1" l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<sst xmlns="http://schemas.openxmlformats.org/spreadsheetml/2006/main" count="94" uniqueCount="53">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</sst>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2" xfId="1" applyBorder="1" applyAlignment="1">
      <alignment horizontal="center"/>
    </xf>
    <xf numFmtId="0" fontId="3" fillId="4" borderId="4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1" xfId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P202"/>
  <sheetViews>
    <sheetView tabSelected="1" topLeftCell="BQ1" zoomScale="70" zoomScaleNormal="70" workbookViewId="0">
      <selection activeCell="CP15" sqref="CP15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94" x14ac:dyDescent="0.25">
      <c r="B1" s="9" t="s">
        <v>3</v>
      </c>
      <c r="C1" s="9"/>
      <c r="D1" s="9"/>
      <c r="F1" s="9" t="s">
        <v>14</v>
      </c>
      <c r="G1" s="9"/>
      <c r="H1" s="9"/>
      <c r="I1" s="1"/>
      <c r="J1" s="9" t="s">
        <v>6</v>
      </c>
      <c r="K1" s="9"/>
      <c r="L1" s="9"/>
      <c r="M1" s="1"/>
      <c r="N1" s="6" t="s">
        <v>10</v>
      </c>
      <c r="O1" s="8"/>
      <c r="P1" s="1"/>
      <c r="Q1" s="6" t="s">
        <v>11</v>
      </c>
      <c r="R1" s="8"/>
      <c r="S1" s="1"/>
      <c r="T1" s="9" t="s">
        <v>15</v>
      </c>
      <c r="U1" s="9"/>
      <c r="V1" s="9"/>
      <c r="W1" s="1"/>
      <c r="X1" s="9" t="s">
        <v>16</v>
      </c>
      <c r="Y1" s="9"/>
      <c r="Z1" s="9"/>
      <c r="AB1" s="9" t="s">
        <v>20</v>
      </c>
      <c r="AC1" s="9"/>
      <c r="AD1" s="9"/>
      <c r="AE1" s="1"/>
      <c r="AF1" s="9" t="s">
        <v>22</v>
      </c>
      <c r="AG1" s="9"/>
      <c r="AH1" s="9"/>
      <c r="AJ1" s="6" t="s">
        <v>24</v>
      </c>
      <c r="AK1" s="8"/>
      <c r="AM1" s="6" t="s">
        <v>26</v>
      </c>
      <c r="AN1" s="7"/>
      <c r="AO1" s="7"/>
      <c r="AQ1" s="6" t="s">
        <v>30</v>
      </c>
      <c r="AR1" s="7"/>
      <c r="AS1" s="7"/>
      <c r="AU1" s="6" t="s">
        <v>31</v>
      </c>
      <c r="AV1" s="7"/>
      <c r="AW1" s="7"/>
      <c r="AY1" s="9" t="s">
        <v>33</v>
      </c>
      <c r="AZ1" s="9"/>
      <c r="BA1" s="9"/>
      <c r="BC1" s="9" t="s">
        <v>35</v>
      </c>
      <c r="BD1" s="9"/>
      <c r="BE1" s="9"/>
      <c r="BG1" s="9" t="s">
        <v>37</v>
      </c>
      <c r="BH1" s="9"/>
      <c r="BI1" s="9"/>
      <c r="BK1" s="9" t="s">
        <v>40</v>
      </c>
      <c r="BL1" s="9"/>
      <c r="BM1" s="9"/>
      <c r="BO1" s="6" t="s">
        <v>41</v>
      </c>
      <c r="BP1" s="8"/>
      <c r="BR1" s="9" t="s">
        <v>44</v>
      </c>
      <c r="BS1" s="9"/>
      <c r="BT1" s="9"/>
      <c r="BV1" s="4" t="s">
        <v>37</v>
      </c>
      <c r="BW1" s="5"/>
      <c r="BX1" s="5"/>
      <c r="BY1" s="5"/>
      <c r="BZ1" s="5"/>
      <c r="CB1" s="4" t="s">
        <v>50</v>
      </c>
      <c r="CC1" s="5"/>
      <c r="CD1" s="5"/>
      <c r="CE1" s="5"/>
      <c r="CF1" s="5"/>
      <c r="CH1" s="4" t="s">
        <v>22</v>
      </c>
      <c r="CI1" s="5"/>
      <c r="CJ1" s="5"/>
      <c r="CK1" s="5"/>
      <c r="CL1" s="5"/>
      <c r="CM1" s="3"/>
      <c r="CN1" s="9" t="s">
        <v>52</v>
      </c>
      <c r="CO1" s="9"/>
      <c r="CP1" s="9"/>
    </row>
    <row r="2" spans="2:94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</row>
    <row r="3" spans="2:94" x14ac:dyDescent="0.25">
      <c r="B3">
        <f ca="1">RANDBETWEEN(15,1000)</f>
        <v>470</v>
      </c>
      <c r="C3">
        <f ca="1">RANDBETWEEN(2,52)</f>
        <v>10</v>
      </c>
      <c r="D3">
        <f ca="1">RAND()*(0.3-0.01)+0.01</f>
        <v>0.14858264580889696</v>
      </c>
      <c r="F3" s="1">
        <f ca="1">RANDBETWEEN(2,52)</f>
        <v>46</v>
      </c>
      <c r="G3" s="1">
        <f ca="1">RANDBETWEEN(2,30)</f>
        <v>7</v>
      </c>
      <c r="H3" s="1">
        <f ca="1">RANDBETWEEN(1,15)</f>
        <v>3</v>
      </c>
      <c r="I3" s="1"/>
      <c r="J3" s="1">
        <f ca="1">RANDBETWEEN(1,39)</f>
        <v>30</v>
      </c>
      <c r="K3" s="1">
        <f ca="1">RAND()*(3-1)+1</f>
        <v>1.3778851492847082</v>
      </c>
      <c r="L3" s="1">
        <f ca="1">RANDBETWEEN(2,35)</f>
        <v>22</v>
      </c>
      <c r="M3" s="1"/>
      <c r="N3" s="1">
        <f ca="1">RANDBETWEEN(15,1000)</f>
        <v>396</v>
      </c>
      <c r="O3" s="1">
        <f ca="1">RANDBETWEEN(2,52)</f>
        <v>21</v>
      </c>
      <c r="P3" s="1"/>
      <c r="Q3" s="1">
        <f ca="1">RAND()*(5-0.01)+0.01</f>
        <v>1.1644088068991887</v>
      </c>
      <c r="R3" s="1">
        <f ca="1">RANDBETWEEN(200,1200)</f>
        <v>956</v>
      </c>
      <c r="S3" s="1"/>
      <c r="T3" s="1">
        <f ca="1">RAND()*(0.2-0.01)+0.01</f>
        <v>0.14696133218606608</v>
      </c>
      <c r="U3" s="1">
        <f ca="1">RANDBETWEEN(50,450)</f>
        <v>226</v>
      </c>
      <c r="V3" s="1">
        <f ca="1">RANDBETWEEN(2,52)</f>
        <v>31</v>
      </c>
      <c r="W3" s="1"/>
      <c r="X3" s="1">
        <f ca="1">RAND()*(10-0.01)+0.01</f>
        <v>8.9462719947410978</v>
      </c>
      <c r="Y3" s="1">
        <f ca="1">RAND()*(1-0.0001)+0.0001</f>
        <v>0.93939662627140663</v>
      </c>
      <c r="Z3" s="1">
        <f ca="1">RANDBETWEEN(100,2000)</f>
        <v>1523</v>
      </c>
      <c r="AB3" s="1">
        <f ca="1">RAND()*(1-0.0001)+0.0001</f>
        <v>0.73841479002407873</v>
      </c>
      <c r="AC3" s="1">
        <f ca="1">RANDBETWEEN(100,1000)</f>
        <v>944</v>
      </c>
      <c r="AD3" s="1">
        <f ca="1">RAND()*(0.01-0.00001)+0.00001</f>
        <v>3.9918731287795441E-4</v>
      </c>
      <c r="AE3" s="1"/>
      <c r="AF3" s="1">
        <f ca="1">RAND()*(0.9-0.1)+0.1</f>
        <v>0.78171058447280073</v>
      </c>
      <c r="AG3" s="1">
        <f ca="1">RANDBETWEEN(100,1000)</f>
        <v>542</v>
      </c>
      <c r="AH3" s="1">
        <f ca="1">RAND()*(0.01-0.00001)+0.00001</f>
        <v>9.3064865853473913E-3</v>
      </c>
      <c r="AJ3" s="1">
        <f ca="1">RAND()*(1-0)+0</f>
        <v>0.5484142484602702</v>
      </c>
      <c r="AK3" s="1">
        <f ca="1">RAND()*(0.01-0.00001)+0.00001</f>
        <v>8.5692262639194324E-3</v>
      </c>
      <c r="AM3" s="1">
        <f ca="1">RAND()*(0.2-0.005)+0.005</f>
        <v>0.1635041701696916</v>
      </c>
      <c r="AN3" s="1">
        <f ca="1">RANDBETWEEN(10,80)</f>
        <v>30</v>
      </c>
      <c r="AO3" s="1">
        <f ca="1">RANDBETWEEN(-1,20)</f>
        <v>18</v>
      </c>
      <c r="AQ3" s="1">
        <f ca="1">RANDBETWEEN(10,200)</f>
        <v>55</v>
      </c>
      <c r="AR3" s="1">
        <f ca="1">RANDBETWEEN(0,10)</f>
        <v>3</v>
      </c>
      <c r="AS3" s="1">
        <f ca="1">RANDBETWEEN(1,100)</f>
        <v>9</v>
      </c>
      <c r="AU3" s="1">
        <f ca="1">RANDBETWEEN(50,400)</f>
        <v>248</v>
      </c>
      <c r="AV3" s="1">
        <f ca="1">RANDBETWEEN(2,10)</f>
        <v>3</v>
      </c>
      <c r="AW3" s="1">
        <f ca="1">RAND()*(0.2-0.01)+0.01</f>
        <v>0.13002494087056882</v>
      </c>
      <c r="AY3" s="1">
        <f ca="1">RAND()*(2-1.1)+1.1</f>
        <v>1.5741075587528455</v>
      </c>
      <c r="AZ3" s="1">
        <f ca="1">RANDBETWEEN(50,500)</f>
        <v>157</v>
      </c>
      <c r="BA3" s="1">
        <f ca="1">RAND()*(0.01-0.00001)+0.00001</f>
        <v>1.07995017426291E-3</v>
      </c>
      <c r="BC3" s="1">
        <f ca="1">RAND()*(1-0.0001)+0.0001</f>
        <v>0.46243804066920485</v>
      </c>
      <c r="BD3" s="1">
        <f ca="1">RAND()*(1-0.0001)+0.0001</f>
        <v>0.62017241835057135</v>
      </c>
      <c r="BE3" s="1">
        <f ca="1">RANDBETWEEN(0,2)</f>
        <v>1</v>
      </c>
      <c r="BG3" s="1">
        <f ca="1">RAND()*(1-0.0001)+0.0001</f>
        <v>0.40648728722261573</v>
      </c>
      <c r="BH3" s="1">
        <f ca="1">RAND()*(1-0)+0</f>
        <v>0.98803638604594624</v>
      </c>
      <c r="BI3" s="1">
        <f ca="1">RANDBETWEEN(100,1000)</f>
        <v>171</v>
      </c>
      <c r="BK3" s="1">
        <f ca="1">RANDBETWEEN(100,600)</f>
        <v>266</v>
      </c>
      <c r="BL3" s="1">
        <f ca="1">RANDBETWEEN(3,10)</f>
        <v>8</v>
      </c>
      <c r="BM3" s="1">
        <f ca="1">RAND()*(0.3-0.01)+0.01</f>
        <v>1.1847917365922184E-2</v>
      </c>
      <c r="BO3" s="1">
        <f ca="1">RAND()*(0.1-0.000001)+0.000001</f>
        <v>1.2096439353836873E-2</v>
      </c>
      <c r="BP3" s="1">
        <f ca="1">RANDBETWEEN(0,15)</f>
        <v>14</v>
      </c>
      <c r="BR3" s="1">
        <f ca="1">RAND()*(0.01-0.000001)+0.000001</f>
        <v>7.47368219063146E-3</v>
      </c>
      <c r="BS3" s="1">
        <f ca="1">RAND()*(0.01-0.000001)+0.000001</f>
        <v>2.9929587563919443E-3</v>
      </c>
      <c r="BT3" s="1">
        <f ca="1">RANDBETWEEN(100,1000)</f>
        <v>609</v>
      </c>
      <c r="BV3" s="1">
        <f ca="1">RAND()*(1-0.0001)+0.0001</f>
        <v>0.72865140096119818</v>
      </c>
      <c r="BW3" s="1">
        <f ca="1">RANDBETWEEN(100,1000)</f>
        <v>779</v>
      </c>
      <c r="BX3" s="1">
        <f ca="1">RAND()*(0.01-0.00001)+0.00001</f>
        <v>3.9530099472251841E-3</v>
      </c>
      <c r="BY3" s="1">
        <f ca="1">RAND()*(0.1-0.0001)+0.0001</f>
        <v>1.5606318576508422E-2</v>
      </c>
      <c r="BZ3" s="1">
        <f ca="1">RAND()*(1-0)+0</f>
        <v>0.3250197343963338</v>
      </c>
      <c r="CB3" s="1">
        <f ca="1">RANDBETWEEN(50,500)</f>
        <v>220</v>
      </c>
      <c r="CC3" s="1">
        <f ca="1">RANDBETWEEN(3,15)</f>
        <v>10</v>
      </c>
      <c r="CD3" s="1">
        <f ca="1">RAND()*(0.3-0.01)+0.01</f>
        <v>0.29128838887341302</v>
      </c>
      <c r="CE3" s="1">
        <f ca="1">RAND()*(1-0.5)+0.5</f>
        <v>0.76876823207014089</v>
      </c>
      <c r="CF3" s="1">
        <f ca="1">RAND()*(1-0.5)+0.5</f>
        <v>0.56219758151610477</v>
      </c>
      <c r="CH3" s="3">
        <f ca="1">RAND()*(1-0.0001)+0.0001</f>
        <v>0.31373523999522457</v>
      </c>
      <c r="CI3" s="3">
        <f ca="1">RAND()*(0.99-0.01)+0.01</f>
        <v>0.14616081936279873</v>
      </c>
      <c r="CJ3" s="3">
        <f ca="1">RANDBETWEEN(100,2000)</f>
        <v>747</v>
      </c>
      <c r="CK3" s="3">
        <f ca="1">RAND()*(0.01-0.000001)+0.000001</f>
        <v>7.6876442168640402E-3</v>
      </c>
      <c r="CL3" s="3">
        <f ca="1">RANDBETWEEN(0,1)</f>
        <v>0</v>
      </c>
      <c r="CM3" s="3"/>
      <c r="CN3" s="1">
        <f ca="1">RAND()*(20-0.1)+0.1</f>
        <v>3.1346974330415525</v>
      </c>
      <c r="CO3" s="1">
        <f ca="1">RAND()*(0.5-0.001)+0.001</f>
        <v>0.35986988010568993</v>
      </c>
      <c r="CP3" s="1">
        <f ca="1">RANDBETWEEN(1,5)</f>
        <v>3</v>
      </c>
    </row>
    <row r="4" spans="2:94" x14ac:dyDescent="0.25">
      <c r="B4">
        <f t="shared" ref="B4:B67" ca="1" si="0">RANDBETWEEN(15,1000)</f>
        <v>32</v>
      </c>
      <c r="C4">
        <f t="shared" ref="C4:C67" ca="1" si="1">RANDBETWEEN(2,52)</f>
        <v>27</v>
      </c>
      <c r="D4">
        <f t="shared" ref="D4:D67" ca="1" si="2">RAND()*(0.3-0.01)+0.01</f>
        <v>0.12893418240822241</v>
      </c>
      <c r="F4" s="1">
        <f t="shared" ref="F4:F67" ca="1" si="3">RANDBETWEEN(2,52)</f>
        <v>50</v>
      </c>
      <c r="G4" s="1">
        <f t="shared" ref="G4:G67" ca="1" si="4">RANDBETWEEN(2,30)</f>
        <v>5</v>
      </c>
      <c r="H4" s="1">
        <f t="shared" ref="H4:H67" ca="1" si="5">RANDBETWEEN(1,15)</f>
        <v>12</v>
      </c>
      <c r="I4" s="1"/>
      <c r="J4" s="1">
        <f t="shared" ref="J4:J67" ca="1" si="6">RANDBETWEEN(1,39)</f>
        <v>11</v>
      </c>
      <c r="K4" s="1">
        <f t="shared" ref="K4:K67" ca="1" si="7">RAND()*(3-1)+1</f>
        <v>1.4580291975494193</v>
      </c>
      <c r="L4" s="1">
        <f t="shared" ref="L4:L67" ca="1" si="8">RANDBETWEEN(2,35)</f>
        <v>5</v>
      </c>
      <c r="M4" s="1"/>
      <c r="N4" s="1">
        <f t="shared" ref="N4:N67" ca="1" si="9">RANDBETWEEN(15,1000)</f>
        <v>761</v>
      </c>
      <c r="O4" s="1">
        <f t="shared" ref="O4:O67" ca="1" si="10">RANDBETWEEN(2,52)</f>
        <v>5</v>
      </c>
      <c r="P4" s="1"/>
      <c r="Q4" s="1">
        <f t="shared" ref="Q4:Q67" ca="1" si="11">RAND()*(5-0.01)+0.01</f>
        <v>2.963912057778225</v>
      </c>
      <c r="R4" s="1">
        <f t="shared" ref="R4:R67" ca="1" si="12">RANDBETWEEN(200,1200)</f>
        <v>960</v>
      </c>
      <c r="S4" s="1"/>
      <c r="T4" s="1">
        <f t="shared" ref="T4:T67" ca="1" si="13">RAND()*(0.2-0.01)+0.01</f>
        <v>8.1041200900309363E-2</v>
      </c>
      <c r="U4" s="1">
        <f t="shared" ref="U4:U67" ca="1" si="14">RANDBETWEEN(50,450)</f>
        <v>99</v>
      </c>
      <c r="V4" s="1">
        <f t="shared" ref="V4:V67" ca="1" si="15">RANDBETWEEN(2,52)</f>
        <v>16</v>
      </c>
      <c r="W4" s="1"/>
      <c r="X4" s="1">
        <f t="shared" ref="X4:X67" ca="1" si="16">RAND()*(10-0.01)+0.01</f>
        <v>8.6426348251275993</v>
      </c>
      <c r="Y4" s="1">
        <f t="shared" ref="Y4:Y67" ca="1" si="17">RAND()*(1-0.0001)+0.0001</f>
        <v>0.1481878115035323</v>
      </c>
      <c r="Z4" s="1">
        <f t="shared" ref="Z4:Z67" ca="1" si="18">RANDBETWEEN(100,2000)</f>
        <v>221</v>
      </c>
      <c r="AB4" s="1">
        <f t="shared" ref="AB4:AB67" ca="1" si="19">RAND()*(1-0.0001)+0.0001</f>
        <v>0.40947421584398214</v>
      </c>
      <c r="AC4" s="1">
        <f t="shared" ref="AC4:AC67" ca="1" si="20">RANDBETWEEN(100,1000)</f>
        <v>680</v>
      </c>
      <c r="AD4" s="1">
        <f t="shared" ref="AD4:AD67" ca="1" si="21">RAND()*(0.01-0.00001)+0.00001</f>
        <v>2.8730102903731652E-3</v>
      </c>
      <c r="AE4" s="1"/>
      <c r="AF4" s="1">
        <f t="shared" ref="AF4:AF67" ca="1" si="22">RAND()*(0.9-0.1)+0.1</f>
        <v>0.290806233437369</v>
      </c>
      <c r="AG4" s="1">
        <f t="shared" ref="AG4:AG67" ca="1" si="23">RANDBETWEEN(100,1000)</f>
        <v>519</v>
      </c>
      <c r="AH4" s="1">
        <f t="shared" ref="AH4:AH67" ca="1" si="24">RAND()*(0.01-0.00001)+0.00001</f>
        <v>3.3916592927436943E-3</v>
      </c>
      <c r="AJ4" s="1">
        <f t="shared" ref="AJ4:AJ67" ca="1" si="25">RAND()*(1-0)+0</f>
        <v>8.6751573070765087E-2</v>
      </c>
      <c r="AK4" s="1">
        <f t="shared" ref="AK4:AK67" ca="1" si="26">RAND()*(0.01-0.00001)+0.00001</f>
        <v>8.4032072320282779E-4</v>
      </c>
      <c r="AL4" s="1"/>
      <c r="AM4" s="1">
        <f t="shared" ref="AM4:AM67" ca="1" si="27">RAND()*(0.2-0.005)+0.005</f>
        <v>9.6767596134936226E-2</v>
      </c>
      <c r="AN4" s="1">
        <f t="shared" ref="AN4:AN67" ca="1" si="28">RANDBETWEEN(10,80)</f>
        <v>35</v>
      </c>
      <c r="AO4" s="1">
        <f t="shared" ref="AO4:AO67" ca="1" si="29">RANDBETWEEN(-1,20)</f>
        <v>15</v>
      </c>
      <c r="AQ4" s="1">
        <f t="shared" ref="AQ4:AQ67" ca="1" si="30">RANDBETWEEN(10,200)</f>
        <v>151</v>
      </c>
      <c r="AR4" s="1">
        <f t="shared" ref="AR4:AR67" ca="1" si="31">RANDBETWEEN(0,10)</f>
        <v>6</v>
      </c>
      <c r="AS4" s="1">
        <f t="shared" ref="AS4:AS67" ca="1" si="32">RANDBETWEEN(1,100)</f>
        <v>75</v>
      </c>
      <c r="AU4" s="1">
        <f t="shared" ref="AU4:AU67" ca="1" si="33">RANDBETWEEN(50,400)</f>
        <v>138</v>
      </c>
      <c r="AV4" s="1">
        <f t="shared" ref="AV4:AV67" ca="1" si="34">RANDBETWEEN(2,10)</f>
        <v>2</v>
      </c>
      <c r="AW4" s="1">
        <f t="shared" ref="AW4:AW67" ca="1" si="35">RAND()*(0.2-0.01)+0.01</f>
        <v>5.0268937739736078E-2</v>
      </c>
      <c r="AY4" s="1">
        <f t="shared" ref="AY4:AY67" ca="1" si="36">RAND()*(2-1.1)+1.1</f>
        <v>1.8899564369414352</v>
      </c>
      <c r="AZ4" s="1">
        <f t="shared" ref="AZ4:AZ67" ca="1" si="37">RANDBETWEEN(50,500)</f>
        <v>201</v>
      </c>
      <c r="BA4" s="1">
        <f t="shared" ref="BA4:BA67" ca="1" si="38">RAND()*(0.01-0.00001)+0.00001</f>
        <v>1.8970826150322972E-3</v>
      </c>
      <c r="BV4" s="1">
        <f t="shared" ref="BV4:BV67" ca="1" si="39">RAND()*(1-0.0001)+0.0001</f>
        <v>5.6818668292171783E-3</v>
      </c>
      <c r="BW4" s="1">
        <f t="shared" ref="BW4:BW67" ca="1" si="40">RANDBETWEEN(100,1000)</f>
        <v>476</v>
      </c>
      <c r="BX4" s="1">
        <f t="shared" ref="BX4:BX67" ca="1" si="41">RAND()*(0.01-0.00001)+0.00001</f>
        <v>9.9534807633613488E-3</v>
      </c>
      <c r="BY4" s="1">
        <f t="shared" ref="BY4:BY67" ca="1" si="42">RAND()*(0.1-0.0001)+0.0001</f>
        <v>2.8503518918434341E-2</v>
      </c>
      <c r="BZ4" s="1">
        <f t="shared" ref="BZ4:BZ67" ca="1" si="43">RAND()*(1-0)+0</f>
        <v>0.12471335607103018</v>
      </c>
      <c r="CB4" s="1">
        <f t="shared" ref="CB4:CB67" ca="1" si="44">RANDBETWEEN(50,500)</f>
        <v>500</v>
      </c>
      <c r="CC4" s="1">
        <f t="shared" ref="CC4:CC67" ca="1" si="45">RANDBETWEEN(3,15)</f>
        <v>9</v>
      </c>
      <c r="CD4" s="1">
        <f t="shared" ref="CD4:CD67" ca="1" si="46">RAND()*(0.3-0.01)+0.01</f>
        <v>0.100446381619027</v>
      </c>
      <c r="CE4" s="1">
        <f t="shared" ref="CE4:CF35" ca="1" si="47">RAND()*(1-0.5)+0.5</f>
        <v>0.84455377922996822</v>
      </c>
      <c r="CF4" s="1">
        <f t="shared" ca="1" si="47"/>
        <v>0.73859956161342977</v>
      </c>
      <c r="CH4" s="3">
        <f t="shared" ref="CH4:CH67" ca="1" si="48">RAND()*(1-0.0001)+0.0001</f>
        <v>0.65421467545160605</v>
      </c>
      <c r="CI4" s="3">
        <f t="shared" ref="CI4:CI67" ca="1" si="49">RAND()*(0.99-0.01)+0.01</f>
        <v>0.42562496293482743</v>
      </c>
      <c r="CJ4" s="3">
        <f t="shared" ref="CJ4:CJ67" ca="1" si="50">RANDBETWEEN(100,2000)</f>
        <v>1523</v>
      </c>
      <c r="CK4" s="3">
        <f t="shared" ref="CK4:CK67" ca="1" si="51">RAND()*(0.01-0.000001)+0.000001</f>
        <v>9.069575209634884E-3</v>
      </c>
      <c r="CL4" s="3">
        <f t="shared" ref="CL4:CL67" ca="1" si="52">RANDBETWEEN(0,1)</f>
        <v>1</v>
      </c>
      <c r="CM4" s="3"/>
      <c r="CN4" s="1">
        <f t="shared" ref="CN4:CN67" ca="1" si="53">RAND()*(20-0.1)+0.1</f>
        <v>1.453209035394323</v>
      </c>
      <c r="CO4" s="1">
        <f t="shared" ref="CO4:CO67" ca="1" si="54">RAND()*(0.5-0.001)+0.001</f>
        <v>0.17492243784373609</v>
      </c>
      <c r="CP4" s="1">
        <f t="shared" ref="CP4:CP67" ca="1" si="55">RANDBETWEEN(1,5)</f>
        <v>4</v>
      </c>
    </row>
    <row r="5" spans="2:94" x14ac:dyDescent="0.25">
      <c r="B5">
        <f t="shared" ca="1" si="0"/>
        <v>886</v>
      </c>
      <c r="C5">
        <f t="shared" ca="1" si="1"/>
        <v>47</v>
      </c>
      <c r="D5">
        <f t="shared" ca="1" si="2"/>
        <v>0.18346441902868482</v>
      </c>
      <c r="F5" s="1">
        <f t="shared" ca="1" si="3"/>
        <v>33</v>
      </c>
      <c r="G5" s="1">
        <f t="shared" ca="1" si="4"/>
        <v>16</v>
      </c>
      <c r="H5" s="1">
        <f t="shared" ca="1" si="5"/>
        <v>7</v>
      </c>
      <c r="I5" s="1"/>
      <c r="J5" s="1">
        <f t="shared" ca="1" si="6"/>
        <v>35</v>
      </c>
      <c r="K5" s="1">
        <f t="shared" ca="1" si="7"/>
        <v>1.9839640055536185</v>
      </c>
      <c r="L5" s="1">
        <f t="shared" ca="1" si="8"/>
        <v>11</v>
      </c>
      <c r="M5" s="1"/>
      <c r="N5" s="1">
        <f t="shared" ca="1" si="9"/>
        <v>279</v>
      </c>
      <c r="O5" s="1">
        <f t="shared" ca="1" si="10"/>
        <v>37</v>
      </c>
      <c r="P5" s="1"/>
      <c r="Q5" s="1">
        <f t="shared" ca="1" si="11"/>
        <v>1.2997402510207827E-2</v>
      </c>
      <c r="R5" s="1">
        <f t="shared" ca="1" si="12"/>
        <v>493</v>
      </c>
      <c r="S5" s="1"/>
      <c r="T5" s="1">
        <f t="shared" ca="1" si="13"/>
        <v>7.6542469725020906E-2</v>
      </c>
      <c r="U5" s="1">
        <f t="shared" ca="1" si="14"/>
        <v>256</v>
      </c>
      <c r="V5" s="1">
        <f t="shared" ca="1" si="15"/>
        <v>23</v>
      </c>
      <c r="W5" s="1"/>
      <c r="X5" s="1">
        <f t="shared" ca="1" si="16"/>
        <v>2.4170304436400505</v>
      </c>
      <c r="Y5" s="1">
        <f t="shared" ca="1" si="17"/>
        <v>0.41002911405471854</v>
      </c>
      <c r="Z5" s="1">
        <f t="shared" ca="1" si="18"/>
        <v>1659</v>
      </c>
      <c r="AB5" s="1">
        <f t="shared" ca="1" si="19"/>
        <v>0.21596014130260471</v>
      </c>
      <c r="AC5" s="1">
        <f t="shared" ca="1" si="20"/>
        <v>149</v>
      </c>
      <c r="AD5" s="1">
        <f t="shared" ca="1" si="21"/>
        <v>1.8336441436212538E-4</v>
      </c>
      <c r="AE5" s="1"/>
      <c r="AF5" s="1">
        <f t="shared" ca="1" si="22"/>
        <v>0.50146963495357089</v>
      </c>
      <c r="AG5" s="1">
        <f t="shared" ca="1" si="23"/>
        <v>490</v>
      </c>
      <c r="AH5" s="1">
        <f t="shared" ca="1" si="24"/>
        <v>6.7515150263727387E-3</v>
      </c>
      <c r="AJ5" s="1">
        <f t="shared" ca="1" si="25"/>
        <v>0.13632254825334678</v>
      </c>
      <c r="AK5" s="1">
        <f t="shared" ca="1" si="26"/>
        <v>6.7927958493261891E-3</v>
      </c>
      <c r="AL5" s="1"/>
      <c r="AM5" s="1">
        <f t="shared" ca="1" si="27"/>
        <v>3.5927479756627079E-2</v>
      </c>
      <c r="AN5" s="1">
        <f t="shared" ca="1" si="28"/>
        <v>12</v>
      </c>
      <c r="AO5" s="1">
        <f t="shared" ca="1" si="29"/>
        <v>20</v>
      </c>
      <c r="AQ5" s="1">
        <f t="shared" ca="1" si="30"/>
        <v>85</v>
      </c>
      <c r="AR5" s="1">
        <f t="shared" ca="1" si="31"/>
        <v>1</v>
      </c>
      <c r="AS5" s="1">
        <f t="shared" ca="1" si="32"/>
        <v>93</v>
      </c>
      <c r="AU5" s="1">
        <f t="shared" ca="1" si="33"/>
        <v>363</v>
      </c>
      <c r="AV5" s="1">
        <f t="shared" ca="1" si="34"/>
        <v>9</v>
      </c>
      <c r="AW5" s="1">
        <f t="shared" ca="1" si="35"/>
        <v>0.15583808979999692</v>
      </c>
      <c r="AY5" s="1">
        <f t="shared" ca="1" si="36"/>
        <v>1.4180032593064356</v>
      </c>
      <c r="AZ5" s="1">
        <f t="shared" ca="1" si="37"/>
        <v>284</v>
      </c>
      <c r="BA5" s="1">
        <f t="shared" ca="1" si="38"/>
        <v>1.2886773987624153E-4</v>
      </c>
      <c r="BV5" s="1">
        <f t="shared" ca="1" si="39"/>
        <v>1.3943416328483017E-2</v>
      </c>
      <c r="BW5" s="1">
        <f t="shared" ca="1" si="40"/>
        <v>451</v>
      </c>
      <c r="BX5" s="1">
        <f t="shared" ca="1" si="41"/>
        <v>7.1493387490473128E-3</v>
      </c>
      <c r="BY5" s="1">
        <f t="shared" ca="1" si="42"/>
        <v>7.4036885805151192E-2</v>
      </c>
      <c r="BZ5" s="1">
        <f t="shared" ca="1" si="43"/>
        <v>0.17040532005658549</v>
      </c>
      <c r="CB5" s="1">
        <f t="shared" ca="1" si="44"/>
        <v>401</v>
      </c>
      <c r="CC5" s="1">
        <f t="shared" ca="1" si="45"/>
        <v>12</v>
      </c>
      <c r="CD5" s="1">
        <f t="shared" ca="1" si="46"/>
        <v>0.14331870964726295</v>
      </c>
      <c r="CE5" s="1">
        <f t="shared" ca="1" si="47"/>
        <v>0.98102474056497102</v>
      </c>
      <c r="CF5" s="1">
        <f t="shared" ca="1" si="47"/>
        <v>0.97625185203222042</v>
      </c>
      <c r="CH5" s="3">
        <f t="shared" ca="1" si="48"/>
        <v>0.49831683717382341</v>
      </c>
      <c r="CI5" s="3">
        <f t="shared" ca="1" si="49"/>
        <v>0.47270221325770317</v>
      </c>
      <c r="CJ5" s="3">
        <f t="shared" ca="1" si="50"/>
        <v>509</v>
      </c>
      <c r="CK5" s="3">
        <f t="shared" ca="1" si="51"/>
        <v>5.1440756694755459E-3</v>
      </c>
      <c r="CL5" s="3">
        <f t="shared" ca="1" si="52"/>
        <v>1</v>
      </c>
      <c r="CM5" s="3"/>
      <c r="CN5" s="1">
        <f t="shared" ca="1" si="53"/>
        <v>7.321653099124819</v>
      </c>
      <c r="CO5" s="1">
        <f t="shared" ca="1" si="54"/>
        <v>0.19928573339180891</v>
      </c>
      <c r="CP5" s="1">
        <f t="shared" ca="1" si="55"/>
        <v>1</v>
      </c>
    </row>
    <row r="6" spans="2:94" x14ac:dyDescent="0.25">
      <c r="B6">
        <f t="shared" ca="1" si="0"/>
        <v>320</v>
      </c>
      <c r="C6">
        <f t="shared" ca="1" si="1"/>
        <v>16</v>
      </c>
      <c r="D6">
        <f t="shared" ca="1" si="2"/>
        <v>0.24039788417627664</v>
      </c>
      <c r="F6" s="1">
        <f t="shared" ca="1" si="3"/>
        <v>42</v>
      </c>
      <c r="G6" s="1">
        <f t="shared" ca="1" si="4"/>
        <v>16</v>
      </c>
      <c r="H6" s="1">
        <f t="shared" ca="1" si="5"/>
        <v>7</v>
      </c>
      <c r="I6" s="1"/>
      <c r="J6" s="1">
        <f t="shared" ca="1" si="6"/>
        <v>24</v>
      </c>
      <c r="K6" s="1">
        <f t="shared" ca="1" si="7"/>
        <v>1.5018274517153423</v>
      </c>
      <c r="L6" s="1">
        <f t="shared" ca="1" si="8"/>
        <v>4</v>
      </c>
      <c r="M6" s="1"/>
      <c r="N6" s="1">
        <f t="shared" ca="1" si="9"/>
        <v>364</v>
      </c>
      <c r="O6" s="1">
        <f t="shared" ca="1" si="10"/>
        <v>9</v>
      </c>
      <c r="P6" s="1"/>
      <c r="Q6" s="1">
        <f t="shared" ca="1" si="11"/>
        <v>1.0198435914574868</v>
      </c>
      <c r="R6" s="1">
        <f t="shared" ca="1" si="12"/>
        <v>292</v>
      </c>
      <c r="S6" s="1"/>
      <c r="T6" s="1">
        <f t="shared" ca="1" si="13"/>
        <v>4.8821519882946925E-2</v>
      </c>
      <c r="U6" s="1">
        <f t="shared" ca="1" si="14"/>
        <v>290</v>
      </c>
      <c r="V6" s="1">
        <f t="shared" ca="1" si="15"/>
        <v>26</v>
      </c>
      <c r="W6" s="1"/>
      <c r="X6" s="1">
        <f t="shared" ca="1" si="16"/>
        <v>4.6019681759475786</v>
      </c>
      <c r="Y6" s="1">
        <f t="shared" ca="1" si="17"/>
        <v>0.26132174586015328</v>
      </c>
      <c r="Z6" s="1">
        <f t="shared" ca="1" si="18"/>
        <v>679</v>
      </c>
      <c r="AB6" s="1">
        <f t="shared" ca="1" si="19"/>
        <v>9.4895862749805257E-3</v>
      </c>
      <c r="AC6" s="1">
        <f t="shared" ca="1" si="20"/>
        <v>196</v>
      </c>
      <c r="AD6" s="1">
        <f t="shared" ca="1" si="21"/>
        <v>3.8260272307242093E-3</v>
      </c>
      <c r="AE6" s="1"/>
      <c r="AF6" s="1">
        <f t="shared" ca="1" si="22"/>
        <v>0.24902837478381096</v>
      </c>
      <c r="AG6" s="1">
        <f t="shared" ca="1" si="23"/>
        <v>116</v>
      </c>
      <c r="AH6" s="1">
        <f t="shared" ca="1" si="24"/>
        <v>9.8905982150140834E-3</v>
      </c>
      <c r="AJ6" s="1">
        <f t="shared" ca="1" si="25"/>
        <v>0.21659707199616862</v>
      </c>
      <c r="AK6" s="1">
        <f t="shared" ca="1" si="26"/>
        <v>3.9331509342158434E-3</v>
      </c>
      <c r="AL6" s="1"/>
      <c r="AM6" s="1">
        <f t="shared" ca="1" si="27"/>
        <v>0.18480042675206737</v>
      </c>
      <c r="AN6" s="1">
        <f t="shared" ca="1" si="28"/>
        <v>70</v>
      </c>
      <c r="AO6" s="1">
        <f t="shared" ca="1" si="29"/>
        <v>12</v>
      </c>
      <c r="AQ6" s="1">
        <f t="shared" ca="1" si="30"/>
        <v>146</v>
      </c>
      <c r="AR6" s="1">
        <f t="shared" ca="1" si="31"/>
        <v>0</v>
      </c>
      <c r="AS6" s="1">
        <f t="shared" ca="1" si="32"/>
        <v>92</v>
      </c>
      <c r="AU6" s="1">
        <f t="shared" ca="1" si="33"/>
        <v>302</v>
      </c>
      <c r="AV6" s="1">
        <f t="shared" ca="1" si="34"/>
        <v>10</v>
      </c>
      <c r="AW6" s="1">
        <f t="shared" ca="1" si="35"/>
        <v>2.0927055065248237E-2</v>
      </c>
      <c r="AY6" s="1">
        <f t="shared" ca="1" si="36"/>
        <v>1.6379319022615373</v>
      </c>
      <c r="AZ6" s="1">
        <f t="shared" ca="1" si="37"/>
        <v>313</v>
      </c>
      <c r="BA6" s="1">
        <f t="shared" ca="1" si="38"/>
        <v>2.3761690048206443E-3</v>
      </c>
      <c r="BV6" s="1">
        <f t="shared" ca="1" si="39"/>
        <v>0.73243856501320459</v>
      </c>
      <c r="BW6" s="1">
        <f t="shared" ca="1" si="40"/>
        <v>463</v>
      </c>
      <c r="BX6" s="1">
        <f t="shared" ca="1" si="41"/>
        <v>6.6929988293855033E-3</v>
      </c>
      <c r="BY6" s="1">
        <f t="shared" ca="1" si="42"/>
        <v>2.0818018194014076E-2</v>
      </c>
      <c r="BZ6" s="1">
        <f t="shared" ca="1" si="43"/>
        <v>0.14971708034435272</v>
      </c>
      <c r="CB6" s="1">
        <f t="shared" ca="1" si="44"/>
        <v>498</v>
      </c>
      <c r="CC6" s="1">
        <f t="shared" ca="1" si="45"/>
        <v>5</v>
      </c>
      <c r="CD6" s="1">
        <f t="shared" ca="1" si="46"/>
        <v>0.18063683348953849</v>
      </c>
      <c r="CE6" s="1">
        <f t="shared" ca="1" si="47"/>
        <v>0.74990830941761466</v>
      </c>
      <c r="CF6" s="1">
        <f t="shared" ca="1" si="47"/>
        <v>0.78612017329127881</v>
      </c>
      <c r="CH6" s="3">
        <f t="shared" ca="1" si="48"/>
        <v>0.38861124733146635</v>
      </c>
      <c r="CI6" s="3">
        <f t="shared" ca="1" si="49"/>
        <v>0.70087261771486076</v>
      </c>
      <c r="CJ6" s="3">
        <f t="shared" ca="1" si="50"/>
        <v>1829</v>
      </c>
      <c r="CK6" s="3">
        <f t="shared" ca="1" si="51"/>
        <v>9.7017301493474845E-3</v>
      </c>
      <c r="CL6" s="3">
        <f t="shared" ca="1" si="52"/>
        <v>0</v>
      </c>
      <c r="CM6" s="3"/>
      <c r="CN6" s="1">
        <f t="shared" ca="1" si="53"/>
        <v>0.5639101244306377</v>
      </c>
      <c r="CO6" s="1">
        <f t="shared" ca="1" si="54"/>
        <v>0.27970246179389735</v>
      </c>
      <c r="CP6" s="1">
        <f t="shared" ca="1" si="55"/>
        <v>5</v>
      </c>
    </row>
    <row r="7" spans="2:94" x14ac:dyDescent="0.25">
      <c r="B7">
        <f t="shared" ca="1" si="0"/>
        <v>145</v>
      </c>
      <c r="C7">
        <f t="shared" ca="1" si="1"/>
        <v>3</v>
      </c>
      <c r="D7">
        <f t="shared" ca="1" si="2"/>
        <v>8.1076480563160608E-2</v>
      </c>
      <c r="F7" s="1">
        <f t="shared" ca="1" si="3"/>
        <v>30</v>
      </c>
      <c r="G7" s="1">
        <f t="shared" ca="1" si="4"/>
        <v>19</v>
      </c>
      <c r="H7" s="1">
        <f t="shared" ca="1" si="5"/>
        <v>12</v>
      </c>
      <c r="I7" s="1"/>
      <c r="J7" s="1">
        <f t="shared" ca="1" si="6"/>
        <v>8</v>
      </c>
      <c r="K7" s="1">
        <f t="shared" ca="1" si="7"/>
        <v>1.8817911111063625</v>
      </c>
      <c r="L7" s="1">
        <f t="shared" ca="1" si="8"/>
        <v>27</v>
      </c>
      <c r="M7" s="1"/>
      <c r="N7" s="1">
        <f t="shared" ca="1" si="9"/>
        <v>945</v>
      </c>
      <c r="O7" s="1">
        <f t="shared" ca="1" si="10"/>
        <v>9</v>
      </c>
      <c r="P7" s="1"/>
      <c r="Q7" s="1">
        <f t="shared" ca="1" si="11"/>
        <v>1.0986111613712504</v>
      </c>
      <c r="R7" s="1">
        <f t="shared" ca="1" si="12"/>
        <v>604</v>
      </c>
      <c r="S7" s="1"/>
      <c r="T7" s="1">
        <f t="shared" ca="1" si="13"/>
        <v>0.18579905884540354</v>
      </c>
      <c r="U7" s="1">
        <f t="shared" ca="1" si="14"/>
        <v>131</v>
      </c>
      <c r="V7" s="1">
        <f t="shared" ca="1" si="15"/>
        <v>34</v>
      </c>
      <c r="W7" s="1"/>
      <c r="X7" s="1">
        <f t="shared" ca="1" si="16"/>
        <v>5.3817714321453103</v>
      </c>
      <c r="Y7" s="1">
        <f t="shared" ca="1" si="17"/>
        <v>0.99791344769092216</v>
      </c>
      <c r="Z7" s="1">
        <f t="shared" ca="1" si="18"/>
        <v>386</v>
      </c>
      <c r="AB7" s="1">
        <f t="shared" ca="1" si="19"/>
        <v>0.4065066298803568</v>
      </c>
      <c r="AC7" s="1">
        <f t="shared" ca="1" si="20"/>
        <v>722</v>
      </c>
      <c r="AD7" s="1">
        <f t="shared" ca="1" si="21"/>
        <v>7.5346185604546348E-3</v>
      </c>
      <c r="AE7" s="1"/>
      <c r="AF7" s="1">
        <f t="shared" ca="1" si="22"/>
        <v>0.15359940869343883</v>
      </c>
      <c r="AG7" s="1">
        <f t="shared" ca="1" si="23"/>
        <v>300</v>
      </c>
      <c r="AH7" s="1">
        <f t="shared" ca="1" si="24"/>
        <v>9.7087975039814346E-3</v>
      </c>
      <c r="AJ7" s="1">
        <f t="shared" ca="1" si="25"/>
        <v>0.60590808817701902</v>
      </c>
      <c r="AK7" s="1">
        <f t="shared" ca="1" si="26"/>
        <v>5.707735297073921E-4</v>
      </c>
      <c r="AL7" s="1"/>
      <c r="AM7" s="1">
        <f t="shared" ca="1" si="27"/>
        <v>0.10732509093542154</v>
      </c>
      <c r="AN7" s="1">
        <f t="shared" ca="1" si="28"/>
        <v>32</v>
      </c>
      <c r="AO7" s="1">
        <f t="shared" ca="1" si="29"/>
        <v>13</v>
      </c>
      <c r="AQ7" s="1">
        <f t="shared" ca="1" si="30"/>
        <v>23</v>
      </c>
      <c r="AR7" s="1">
        <f t="shared" ca="1" si="31"/>
        <v>1</v>
      </c>
      <c r="AS7" s="1">
        <f t="shared" ca="1" si="32"/>
        <v>68</v>
      </c>
      <c r="AU7" s="1">
        <f t="shared" ca="1" si="33"/>
        <v>203</v>
      </c>
      <c r="AV7" s="1">
        <f t="shared" ca="1" si="34"/>
        <v>4</v>
      </c>
      <c r="AW7" s="1">
        <f t="shared" ca="1" si="35"/>
        <v>0.14088485935822118</v>
      </c>
      <c r="AY7" s="1">
        <f t="shared" ca="1" si="36"/>
        <v>1.7667931863115038</v>
      </c>
      <c r="AZ7" s="1">
        <f t="shared" ca="1" si="37"/>
        <v>141</v>
      </c>
      <c r="BA7" s="1">
        <f t="shared" ca="1" si="38"/>
        <v>1.547899381460744E-3</v>
      </c>
      <c r="BV7" s="1">
        <f t="shared" ca="1" si="39"/>
        <v>0.55622865144340339</v>
      </c>
      <c r="BW7" s="1">
        <f t="shared" ca="1" si="40"/>
        <v>846</v>
      </c>
      <c r="BX7" s="1">
        <f t="shared" ca="1" si="41"/>
        <v>7.8864216362814683E-4</v>
      </c>
      <c r="BY7" s="1">
        <f t="shared" ca="1" si="42"/>
        <v>5.7405982757729242E-2</v>
      </c>
      <c r="BZ7" s="1">
        <f t="shared" ca="1" si="43"/>
        <v>0.75537087392514568</v>
      </c>
      <c r="CB7" s="1">
        <f t="shared" ca="1" si="44"/>
        <v>433</v>
      </c>
      <c r="CC7" s="1">
        <f t="shared" ca="1" si="45"/>
        <v>4</v>
      </c>
      <c r="CD7" s="1">
        <f t="shared" ca="1" si="46"/>
        <v>0.12737046312383821</v>
      </c>
      <c r="CE7" s="1">
        <f t="shared" ca="1" si="47"/>
        <v>0.94568044081508873</v>
      </c>
      <c r="CF7" s="1">
        <f t="shared" ca="1" si="47"/>
        <v>0.76687421536499722</v>
      </c>
      <c r="CH7" s="3">
        <f t="shared" ca="1" si="48"/>
        <v>0.83845621495857825</v>
      </c>
      <c r="CI7" s="3">
        <f t="shared" ca="1" si="49"/>
        <v>0.46032929005034939</v>
      </c>
      <c r="CJ7" s="3">
        <f t="shared" ca="1" si="50"/>
        <v>1355</v>
      </c>
      <c r="CK7" s="3">
        <f t="shared" ca="1" si="51"/>
        <v>6.2548768815767885E-3</v>
      </c>
      <c r="CL7" s="3">
        <f t="shared" ca="1" si="52"/>
        <v>1</v>
      </c>
      <c r="CM7" s="3"/>
      <c r="CN7" s="1">
        <f t="shared" ca="1" si="53"/>
        <v>3.9908131493704007</v>
      </c>
      <c r="CO7" s="1">
        <f t="shared" ca="1" si="54"/>
        <v>3.2986142179072572E-2</v>
      </c>
      <c r="CP7" s="1">
        <f t="shared" ca="1" si="55"/>
        <v>3</v>
      </c>
    </row>
    <row r="8" spans="2:94" x14ac:dyDescent="0.25">
      <c r="B8">
        <f t="shared" ca="1" si="0"/>
        <v>992</v>
      </c>
      <c r="C8">
        <f t="shared" ca="1" si="1"/>
        <v>45</v>
      </c>
      <c r="D8">
        <f t="shared" ca="1" si="2"/>
        <v>0.29960030406059007</v>
      </c>
      <c r="F8" s="1">
        <f t="shared" ca="1" si="3"/>
        <v>42</v>
      </c>
      <c r="G8" s="1">
        <f t="shared" ca="1" si="4"/>
        <v>13</v>
      </c>
      <c r="H8" s="1">
        <f t="shared" ca="1" si="5"/>
        <v>12</v>
      </c>
      <c r="I8" s="1"/>
      <c r="J8" s="1">
        <f t="shared" ca="1" si="6"/>
        <v>1</v>
      </c>
      <c r="K8" s="1">
        <f t="shared" ca="1" si="7"/>
        <v>1.3439171565501087</v>
      </c>
      <c r="L8" s="1">
        <f t="shared" ca="1" si="8"/>
        <v>26</v>
      </c>
      <c r="M8" s="1"/>
      <c r="N8" s="1">
        <f t="shared" ca="1" si="9"/>
        <v>389</v>
      </c>
      <c r="O8" s="1">
        <f t="shared" ca="1" si="10"/>
        <v>14</v>
      </c>
      <c r="P8" s="1"/>
      <c r="Q8" s="1">
        <f t="shared" ca="1" si="11"/>
        <v>2.2736828226227042</v>
      </c>
      <c r="R8" s="1">
        <f t="shared" ca="1" si="12"/>
        <v>1124</v>
      </c>
      <c r="S8" s="1"/>
      <c r="T8" s="1">
        <f t="shared" ca="1" si="13"/>
        <v>8.325481787898513E-2</v>
      </c>
      <c r="U8" s="1">
        <f t="shared" ca="1" si="14"/>
        <v>226</v>
      </c>
      <c r="V8" s="1">
        <f t="shared" ca="1" si="15"/>
        <v>26</v>
      </c>
      <c r="W8" s="1"/>
      <c r="X8" s="1">
        <f t="shared" ca="1" si="16"/>
        <v>0.81457571443251797</v>
      </c>
      <c r="Y8" s="1">
        <f t="shared" ca="1" si="17"/>
        <v>0.75091133446209579</v>
      </c>
      <c r="Z8" s="1">
        <f t="shared" ca="1" si="18"/>
        <v>1580</v>
      </c>
      <c r="AB8" s="1">
        <f t="shared" ca="1" si="19"/>
        <v>0.16098906793838427</v>
      </c>
      <c r="AC8" s="1">
        <f t="shared" ca="1" si="20"/>
        <v>690</v>
      </c>
      <c r="AD8" s="1">
        <f t="shared" ca="1" si="21"/>
        <v>4.8508318911772413E-3</v>
      </c>
      <c r="AE8" s="1"/>
      <c r="AF8" s="1">
        <f t="shared" ca="1" si="22"/>
        <v>0.33989135716808005</v>
      </c>
      <c r="AG8" s="1">
        <f t="shared" ca="1" si="23"/>
        <v>680</v>
      </c>
      <c r="AH8" s="1">
        <f t="shared" ca="1" si="24"/>
        <v>6.7011061107881903E-3</v>
      </c>
      <c r="AJ8" s="1">
        <f t="shared" ca="1" si="25"/>
        <v>0.70783268382481712</v>
      </c>
      <c r="AK8" s="1">
        <f t="shared" ca="1" si="26"/>
        <v>4.4820931472545622E-3</v>
      </c>
      <c r="AL8" s="1"/>
      <c r="AM8" s="1">
        <f t="shared" ca="1" si="27"/>
        <v>1.8732945561529407E-2</v>
      </c>
      <c r="AN8" s="1">
        <f t="shared" ca="1" si="28"/>
        <v>62</v>
      </c>
      <c r="AO8" s="1">
        <f t="shared" ca="1" si="29"/>
        <v>11</v>
      </c>
      <c r="AQ8" s="1">
        <f t="shared" ca="1" si="30"/>
        <v>16</v>
      </c>
      <c r="AR8" s="1">
        <f t="shared" ca="1" si="31"/>
        <v>5</v>
      </c>
      <c r="AS8" s="1">
        <f t="shared" ca="1" si="32"/>
        <v>58</v>
      </c>
      <c r="AU8" s="1">
        <f t="shared" ca="1" si="33"/>
        <v>318</v>
      </c>
      <c r="AV8" s="1">
        <f t="shared" ca="1" si="34"/>
        <v>6</v>
      </c>
      <c r="AW8" s="1">
        <f t="shared" ca="1" si="35"/>
        <v>6.8228458189771635E-2</v>
      </c>
      <c r="AY8" s="1">
        <f t="shared" ca="1" si="36"/>
        <v>1.8897609713822672</v>
      </c>
      <c r="AZ8" s="1">
        <f t="shared" ca="1" si="37"/>
        <v>421</v>
      </c>
      <c r="BA8" s="1">
        <f t="shared" ca="1" si="38"/>
        <v>6.4717398926560192E-3</v>
      </c>
      <c r="BV8" s="1">
        <f t="shared" ca="1" si="39"/>
        <v>0.48269884659121881</v>
      </c>
      <c r="BW8" s="1">
        <f t="shared" ca="1" si="40"/>
        <v>495</v>
      </c>
      <c r="BX8" s="1">
        <f t="shared" ca="1" si="41"/>
        <v>8.8104541143245608E-3</v>
      </c>
      <c r="BY8" s="1">
        <f t="shared" ca="1" si="42"/>
        <v>1.9785384165047552E-2</v>
      </c>
      <c r="BZ8" s="1">
        <f t="shared" ca="1" si="43"/>
        <v>0.70546035191725398</v>
      </c>
      <c r="CB8" s="1">
        <f t="shared" ca="1" si="44"/>
        <v>79</v>
      </c>
      <c r="CC8" s="1">
        <f t="shared" ca="1" si="45"/>
        <v>8</v>
      </c>
      <c r="CD8" s="1">
        <f t="shared" ca="1" si="46"/>
        <v>0.10888384651694746</v>
      </c>
      <c r="CE8" s="1">
        <f t="shared" ca="1" si="47"/>
        <v>0.63493503057802025</v>
      </c>
      <c r="CF8" s="1">
        <f t="shared" ca="1" si="47"/>
        <v>0.83536634695651368</v>
      </c>
      <c r="CH8" s="3">
        <f t="shared" ca="1" si="48"/>
        <v>0.9422883830796146</v>
      </c>
      <c r="CI8" s="3">
        <f t="shared" ca="1" si="49"/>
        <v>0.75644027083139165</v>
      </c>
      <c r="CJ8" s="3">
        <f t="shared" ca="1" si="50"/>
        <v>127</v>
      </c>
      <c r="CK8" s="3">
        <f t="shared" ca="1" si="51"/>
        <v>3.8531537903200102E-3</v>
      </c>
      <c r="CL8" s="3">
        <f t="shared" ca="1" si="52"/>
        <v>0</v>
      </c>
      <c r="CM8" s="3"/>
      <c r="CN8" s="1">
        <f t="shared" ca="1" si="53"/>
        <v>17.453073575486091</v>
      </c>
      <c r="CO8" s="1">
        <f t="shared" ca="1" si="54"/>
        <v>1.725949706628838E-2</v>
      </c>
      <c r="CP8" s="1">
        <f t="shared" ca="1" si="55"/>
        <v>4</v>
      </c>
    </row>
    <row r="9" spans="2:94" x14ac:dyDescent="0.25">
      <c r="B9">
        <f t="shared" ca="1" si="0"/>
        <v>625</v>
      </c>
      <c r="C9">
        <f t="shared" ca="1" si="1"/>
        <v>40</v>
      </c>
      <c r="D9">
        <f t="shared" ca="1" si="2"/>
        <v>0.21403803622827347</v>
      </c>
      <c r="F9" s="1">
        <f t="shared" ca="1" si="3"/>
        <v>51</v>
      </c>
      <c r="G9" s="1">
        <f t="shared" ca="1" si="4"/>
        <v>11</v>
      </c>
      <c r="H9" s="1">
        <f t="shared" ca="1" si="5"/>
        <v>14</v>
      </c>
      <c r="I9" s="1"/>
      <c r="J9" s="1">
        <f t="shared" ca="1" si="6"/>
        <v>36</v>
      </c>
      <c r="K9" s="1">
        <f t="shared" ca="1" si="7"/>
        <v>2.0350245146547019</v>
      </c>
      <c r="L9" s="1">
        <f t="shared" ca="1" si="8"/>
        <v>2</v>
      </c>
      <c r="M9" s="1"/>
      <c r="N9" s="1">
        <f t="shared" ca="1" si="9"/>
        <v>817</v>
      </c>
      <c r="O9" s="1">
        <f t="shared" ca="1" si="10"/>
        <v>32</v>
      </c>
      <c r="P9" s="1"/>
      <c r="Q9" s="1">
        <f t="shared" ca="1" si="11"/>
        <v>0.54509122491193607</v>
      </c>
      <c r="R9" s="1">
        <f t="shared" ca="1" si="12"/>
        <v>790</v>
      </c>
      <c r="S9" s="1"/>
      <c r="T9" s="1">
        <f t="shared" ca="1" si="13"/>
        <v>9.3455500401445554E-2</v>
      </c>
      <c r="U9" s="1">
        <f t="shared" ca="1" si="14"/>
        <v>415</v>
      </c>
      <c r="V9" s="1">
        <f t="shared" ca="1" si="15"/>
        <v>34</v>
      </c>
      <c r="W9" s="1"/>
      <c r="X9" s="1">
        <f t="shared" ca="1" si="16"/>
        <v>8.0990360126165939</v>
      </c>
      <c r="Y9" s="1">
        <f t="shared" ca="1" si="17"/>
        <v>0.1717926800184526</v>
      </c>
      <c r="Z9" s="1">
        <f t="shared" ca="1" si="18"/>
        <v>244</v>
      </c>
      <c r="AB9" s="1">
        <f t="shared" ca="1" si="19"/>
        <v>0.89899901049841979</v>
      </c>
      <c r="AC9" s="1">
        <f t="shared" ca="1" si="20"/>
        <v>402</v>
      </c>
      <c r="AD9" s="1">
        <f t="shared" ca="1" si="21"/>
        <v>5.1239102293453983E-3</v>
      </c>
      <c r="AE9" s="1"/>
      <c r="AF9" s="1">
        <f t="shared" ca="1" si="22"/>
        <v>0.13740473063893255</v>
      </c>
      <c r="AG9" s="1">
        <f t="shared" ca="1" si="23"/>
        <v>323</v>
      </c>
      <c r="AH9" s="1">
        <f t="shared" ca="1" si="24"/>
        <v>9.1456852554118433E-3</v>
      </c>
      <c r="AJ9" s="1">
        <f t="shared" ca="1" si="25"/>
        <v>0.48074196421669224</v>
      </c>
      <c r="AK9" s="1">
        <f t="shared" ca="1" si="26"/>
        <v>9.6770338018316582E-3</v>
      </c>
      <c r="AL9" s="1"/>
      <c r="AM9" s="1">
        <f t="shared" ca="1" si="27"/>
        <v>1.1178322495394046E-2</v>
      </c>
      <c r="AN9" s="1">
        <f t="shared" ca="1" si="28"/>
        <v>22</v>
      </c>
      <c r="AO9" s="1">
        <f t="shared" ca="1" si="29"/>
        <v>6</v>
      </c>
      <c r="AQ9" s="1">
        <f t="shared" ca="1" si="30"/>
        <v>97</v>
      </c>
      <c r="AR9" s="1">
        <f t="shared" ca="1" si="31"/>
        <v>9</v>
      </c>
      <c r="AS9" s="1">
        <f t="shared" ca="1" si="32"/>
        <v>97</v>
      </c>
      <c r="AU9" s="1">
        <f t="shared" ca="1" si="33"/>
        <v>82</v>
      </c>
      <c r="AV9" s="1">
        <f t="shared" ca="1" si="34"/>
        <v>8</v>
      </c>
      <c r="AW9" s="1">
        <f t="shared" ca="1" si="35"/>
        <v>0.1168316633682923</v>
      </c>
      <c r="AY9" s="1">
        <f t="shared" ca="1" si="36"/>
        <v>1.9665087076593397</v>
      </c>
      <c r="AZ9" s="1">
        <f t="shared" ca="1" si="37"/>
        <v>109</v>
      </c>
      <c r="BA9" s="1">
        <f t="shared" ca="1" si="38"/>
        <v>4.2023386792752592E-3</v>
      </c>
      <c r="BV9" s="1">
        <f t="shared" ca="1" si="39"/>
        <v>0.3330990119773542</v>
      </c>
      <c r="BW9" s="1">
        <f t="shared" ca="1" si="40"/>
        <v>801</v>
      </c>
      <c r="BX9" s="1">
        <f t="shared" ca="1" si="41"/>
        <v>4.6288805361058465E-3</v>
      </c>
      <c r="BY9" s="1">
        <f t="shared" ca="1" si="42"/>
        <v>5.6985710766931562E-2</v>
      </c>
      <c r="BZ9" s="1">
        <f t="shared" ca="1" si="43"/>
        <v>0.49231710904353509</v>
      </c>
      <c r="CB9" s="1">
        <f t="shared" ca="1" si="44"/>
        <v>185</v>
      </c>
      <c r="CC9" s="1">
        <f t="shared" ca="1" si="45"/>
        <v>9</v>
      </c>
      <c r="CD9" s="1">
        <f t="shared" ca="1" si="46"/>
        <v>2.4498831985392384E-2</v>
      </c>
      <c r="CE9" s="1">
        <f t="shared" ca="1" si="47"/>
        <v>0.80335962768970393</v>
      </c>
      <c r="CF9" s="1">
        <f t="shared" ca="1" si="47"/>
        <v>0.59280171224186895</v>
      </c>
      <c r="CH9" s="3">
        <f t="shared" ca="1" si="48"/>
        <v>0.18584046990218159</v>
      </c>
      <c r="CI9" s="3">
        <f t="shared" ca="1" si="49"/>
        <v>0.50750923190342423</v>
      </c>
      <c r="CJ9" s="3">
        <f t="shared" ca="1" si="50"/>
        <v>514</v>
      </c>
      <c r="CK9" s="3">
        <f t="shared" ca="1" si="51"/>
        <v>6.6774596261888423E-3</v>
      </c>
      <c r="CL9" s="3">
        <f t="shared" ca="1" si="52"/>
        <v>0</v>
      </c>
      <c r="CM9" s="3"/>
      <c r="CN9" s="1">
        <f t="shared" ca="1" si="53"/>
        <v>18.204893767683128</v>
      </c>
      <c r="CO9" s="1">
        <f t="shared" ca="1" si="54"/>
        <v>2.4273476790265675E-2</v>
      </c>
      <c r="CP9" s="1">
        <f t="shared" ca="1" si="55"/>
        <v>2</v>
      </c>
    </row>
    <row r="10" spans="2:94" x14ac:dyDescent="0.25">
      <c r="B10">
        <f t="shared" ca="1" si="0"/>
        <v>593</v>
      </c>
      <c r="C10">
        <f t="shared" ca="1" si="1"/>
        <v>51</v>
      </c>
      <c r="D10">
        <f t="shared" ca="1" si="2"/>
        <v>0.11578717125461653</v>
      </c>
      <c r="F10" s="1">
        <f t="shared" ca="1" si="3"/>
        <v>19</v>
      </c>
      <c r="G10" s="1">
        <f t="shared" ca="1" si="4"/>
        <v>6</v>
      </c>
      <c r="H10" s="1">
        <f t="shared" ca="1" si="5"/>
        <v>2</v>
      </c>
      <c r="I10" s="1"/>
      <c r="J10" s="1">
        <f t="shared" ca="1" si="6"/>
        <v>15</v>
      </c>
      <c r="K10" s="1">
        <f t="shared" ca="1" si="7"/>
        <v>1.8690298883583774</v>
      </c>
      <c r="L10" s="1">
        <f t="shared" ca="1" si="8"/>
        <v>29</v>
      </c>
      <c r="M10" s="1"/>
      <c r="N10" s="1">
        <f t="shared" ca="1" si="9"/>
        <v>113</v>
      </c>
      <c r="O10" s="1">
        <f t="shared" ca="1" si="10"/>
        <v>30</v>
      </c>
      <c r="P10" s="1"/>
      <c r="Q10" s="1">
        <f t="shared" ca="1" si="11"/>
        <v>1.2131929236196166</v>
      </c>
      <c r="R10" s="1">
        <f t="shared" ca="1" si="12"/>
        <v>478</v>
      </c>
      <c r="S10" s="1"/>
      <c r="T10" s="1">
        <f t="shared" ca="1" si="13"/>
        <v>2.3751606988664908E-2</v>
      </c>
      <c r="U10" s="1">
        <f t="shared" ca="1" si="14"/>
        <v>120</v>
      </c>
      <c r="V10" s="1">
        <f t="shared" ca="1" si="15"/>
        <v>49</v>
      </c>
      <c r="W10" s="1"/>
      <c r="X10" s="1">
        <f t="shared" ca="1" si="16"/>
        <v>5.3058539611426285</v>
      </c>
      <c r="Y10" s="1">
        <f t="shared" ca="1" si="17"/>
        <v>0.76772253114476563</v>
      </c>
      <c r="Z10" s="1">
        <f t="shared" ca="1" si="18"/>
        <v>365</v>
      </c>
      <c r="AB10" s="1">
        <f t="shared" ca="1" si="19"/>
        <v>1.0839087955961441E-2</v>
      </c>
      <c r="AC10" s="1">
        <f t="shared" ca="1" si="20"/>
        <v>562</v>
      </c>
      <c r="AD10" s="1">
        <f t="shared" ca="1" si="21"/>
        <v>2.4832456680619229E-3</v>
      </c>
      <c r="AE10" s="1"/>
      <c r="AF10" s="1">
        <f t="shared" ca="1" si="22"/>
        <v>0.88937610339126927</v>
      </c>
      <c r="AG10" s="1">
        <f t="shared" ca="1" si="23"/>
        <v>729</v>
      </c>
      <c r="AH10" s="1">
        <f t="shared" ca="1" si="24"/>
        <v>6.6647445057487504E-3</v>
      </c>
      <c r="AJ10" s="1">
        <f t="shared" ca="1" si="25"/>
        <v>0.79225228269091563</v>
      </c>
      <c r="AK10" s="1">
        <f t="shared" ca="1" si="26"/>
        <v>6.0379809120502505E-3</v>
      </c>
      <c r="AL10" s="1"/>
      <c r="AM10" s="1">
        <f t="shared" ca="1" si="27"/>
        <v>0.11367912037964369</v>
      </c>
      <c r="AN10" s="1">
        <f t="shared" ca="1" si="28"/>
        <v>37</v>
      </c>
      <c r="AO10" s="1">
        <f t="shared" ca="1" si="29"/>
        <v>9</v>
      </c>
      <c r="AQ10" s="1">
        <f t="shared" ca="1" si="30"/>
        <v>40</v>
      </c>
      <c r="AR10" s="1">
        <f t="shared" ca="1" si="31"/>
        <v>10</v>
      </c>
      <c r="AS10" s="1">
        <f t="shared" ca="1" si="32"/>
        <v>55</v>
      </c>
      <c r="AU10" s="1">
        <f t="shared" ca="1" si="33"/>
        <v>212</v>
      </c>
      <c r="AV10" s="1">
        <f t="shared" ca="1" si="34"/>
        <v>8</v>
      </c>
      <c r="AW10" s="1">
        <f t="shared" ca="1" si="35"/>
        <v>0.18494922662571356</v>
      </c>
      <c r="AY10" s="1">
        <f t="shared" ca="1" si="36"/>
        <v>1.9570647902190912</v>
      </c>
      <c r="AZ10" s="1">
        <f t="shared" ca="1" si="37"/>
        <v>436</v>
      </c>
      <c r="BA10" s="1">
        <f t="shared" ca="1" si="38"/>
        <v>2.0819712261594737E-3</v>
      </c>
      <c r="BV10" s="1">
        <f t="shared" ca="1" si="39"/>
        <v>0.22357171055075994</v>
      </c>
      <c r="BW10" s="1">
        <f t="shared" ca="1" si="40"/>
        <v>360</v>
      </c>
      <c r="BX10" s="1">
        <f t="shared" ca="1" si="41"/>
        <v>1.8158133200715874E-3</v>
      </c>
      <c r="BY10" s="1">
        <f t="shared" ca="1" si="42"/>
        <v>9.5496940263769217E-2</v>
      </c>
      <c r="BZ10" s="1">
        <f t="shared" ca="1" si="43"/>
        <v>0.38209233703298617</v>
      </c>
      <c r="CB10" s="1">
        <f t="shared" ca="1" si="44"/>
        <v>193</v>
      </c>
      <c r="CC10" s="1">
        <f t="shared" ca="1" si="45"/>
        <v>9</v>
      </c>
      <c r="CD10" s="1">
        <f t="shared" ca="1" si="46"/>
        <v>7.8718562757184543E-2</v>
      </c>
      <c r="CE10" s="1">
        <f t="shared" ca="1" si="47"/>
        <v>0.71212735560984464</v>
      </c>
      <c r="CF10" s="1">
        <f t="shared" ca="1" si="47"/>
        <v>0.90119171887241856</v>
      </c>
      <c r="CH10" s="3">
        <f t="shared" ca="1" si="48"/>
        <v>0.62340283665076623</v>
      </c>
      <c r="CI10" s="3">
        <f t="shared" ca="1" si="49"/>
        <v>0.44016267770040102</v>
      </c>
      <c r="CJ10" s="3">
        <f t="shared" ca="1" si="50"/>
        <v>427</v>
      </c>
      <c r="CK10" s="3">
        <f t="shared" ca="1" si="51"/>
        <v>2.7376416455530332E-3</v>
      </c>
      <c r="CL10" s="3">
        <f t="shared" ca="1" si="52"/>
        <v>0</v>
      </c>
      <c r="CM10" s="3"/>
      <c r="CN10" s="1">
        <f t="shared" ca="1" si="53"/>
        <v>15.43020967717322</v>
      </c>
      <c r="CO10" s="1">
        <f t="shared" ca="1" si="54"/>
        <v>0.15285918291521355</v>
      </c>
      <c r="CP10" s="1">
        <f t="shared" ca="1" si="55"/>
        <v>5</v>
      </c>
    </row>
    <row r="11" spans="2:94" x14ac:dyDescent="0.25">
      <c r="B11">
        <f t="shared" ca="1" si="0"/>
        <v>973</v>
      </c>
      <c r="C11">
        <f t="shared" ca="1" si="1"/>
        <v>7</v>
      </c>
      <c r="D11">
        <f t="shared" ca="1" si="2"/>
        <v>0.23890001696624549</v>
      </c>
      <c r="F11" s="1">
        <f t="shared" ca="1" si="3"/>
        <v>52</v>
      </c>
      <c r="G11" s="1">
        <f t="shared" ca="1" si="4"/>
        <v>3</v>
      </c>
      <c r="H11" s="1">
        <f t="shared" ca="1" si="5"/>
        <v>1</v>
      </c>
      <c r="I11" s="1"/>
      <c r="J11" s="1">
        <f t="shared" ca="1" si="6"/>
        <v>18</v>
      </c>
      <c r="K11" s="1">
        <f t="shared" ca="1" si="7"/>
        <v>2.8974471460590814</v>
      </c>
      <c r="L11" s="1">
        <f t="shared" ca="1" si="8"/>
        <v>11</v>
      </c>
      <c r="M11" s="1"/>
      <c r="N11" s="1">
        <f t="shared" ca="1" si="9"/>
        <v>894</v>
      </c>
      <c r="O11" s="1">
        <f t="shared" ca="1" si="10"/>
        <v>14</v>
      </c>
      <c r="P11" s="1"/>
      <c r="Q11" s="1">
        <f t="shared" ca="1" si="11"/>
        <v>4.243093953179697</v>
      </c>
      <c r="R11" s="1">
        <f t="shared" ca="1" si="12"/>
        <v>451</v>
      </c>
      <c r="S11" s="1"/>
      <c r="T11" s="1">
        <f t="shared" ca="1" si="13"/>
        <v>0.11721169224047043</v>
      </c>
      <c r="U11" s="1">
        <f t="shared" ca="1" si="14"/>
        <v>393</v>
      </c>
      <c r="V11" s="1">
        <f t="shared" ca="1" si="15"/>
        <v>22</v>
      </c>
      <c r="W11" s="1"/>
      <c r="X11" s="1">
        <f t="shared" ca="1" si="16"/>
        <v>8.3813782282027134</v>
      </c>
      <c r="Y11" s="1">
        <f t="shared" ca="1" si="17"/>
        <v>0.20620676666029772</v>
      </c>
      <c r="Z11" s="1">
        <f t="shared" ca="1" si="18"/>
        <v>265</v>
      </c>
      <c r="AB11" s="1">
        <f t="shared" ca="1" si="19"/>
        <v>0.81820375014083824</v>
      </c>
      <c r="AC11" s="1">
        <f t="shared" ca="1" si="20"/>
        <v>502</v>
      </c>
      <c r="AD11" s="1">
        <f t="shared" ca="1" si="21"/>
        <v>1.0951612517563648E-3</v>
      </c>
      <c r="AE11" s="1"/>
      <c r="AF11" s="1">
        <f t="shared" ca="1" si="22"/>
        <v>0.61958202006879615</v>
      </c>
      <c r="AG11" s="1">
        <f t="shared" ca="1" si="23"/>
        <v>860</v>
      </c>
      <c r="AH11" s="1">
        <f t="shared" ca="1" si="24"/>
        <v>5.8297452061310236E-3</v>
      </c>
      <c r="AJ11" s="1">
        <f t="shared" ca="1" si="25"/>
        <v>0.32979458278668561</v>
      </c>
      <c r="AK11" s="1">
        <f t="shared" ca="1" si="26"/>
        <v>8.5649500342521191E-4</v>
      </c>
      <c r="AL11" s="1"/>
      <c r="AM11" s="1">
        <f t="shared" ca="1" si="27"/>
        <v>0.17898079507543388</v>
      </c>
      <c r="AN11" s="1">
        <f t="shared" ca="1" si="28"/>
        <v>52</v>
      </c>
      <c r="AO11" s="1">
        <f t="shared" ca="1" si="29"/>
        <v>16</v>
      </c>
      <c r="AQ11" s="1">
        <f t="shared" ca="1" si="30"/>
        <v>12</v>
      </c>
      <c r="AR11" s="1">
        <f t="shared" ca="1" si="31"/>
        <v>7</v>
      </c>
      <c r="AS11" s="1">
        <f t="shared" ca="1" si="32"/>
        <v>45</v>
      </c>
      <c r="AU11" s="1">
        <f t="shared" ca="1" si="33"/>
        <v>171</v>
      </c>
      <c r="AV11" s="1">
        <f t="shared" ca="1" si="34"/>
        <v>7</v>
      </c>
      <c r="AW11" s="1">
        <f t="shared" ca="1" si="35"/>
        <v>0.1107889783314582</v>
      </c>
      <c r="AY11" s="1">
        <f t="shared" ca="1" si="36"/>
        <v>1.4945655926823345</v>
      </c>
      <c r="AZ11" s="1">
        <f t="shared" ca="1" si="37"/>
        <v>143</v>
      </c>
      <c r="BA11" s="1">
        <f t="shared" ca="1" si="38"/>
        <v>7.2491356348357103E-3</v>
      </c>
      <c r="BV11" s="1">
        <f t="shared" ca="1" si="39"/>
        <v>0.61101736013907126</v>
      </c>
      <c r="BW11" s="1">
        <f t="shared" ca="1" si="40"/>
        <v>724</v>
      </c>
      <c r="BX11" s="1">
        <f t="shared" ca="1" si="41"/>
        <v>2.7416229687644428E-3</v>
      </c>
      <c r="BY11" s="1">
        <f t="shared" ca="1" si="42"/>
        <v>5.9018329360382999E-3</v>
      </c>
      <c r="BZ11" s="1">
        <f t="shared" ca="1" si="43"/>
        <v>0.84314904115803335</v>
      </c>
      <c r="CB11" s="1">
        <f t="shared" ca="1" si="44"/>
        <v>82</v>
      </c>
      <c r="CC11" s="1">
        <f t="shared" ca="1" si="45"/>
        <v>8</v>
      </c>
      <c r="CD11" s="1">
        <f t="shared" ca="1" si="46"/>
        <v>0.14019719418611998</v>
      </c>
      <c r="CE11" s="1">
        <f t="shared" ca="1" si="47"/>
        <v>0.60937723372036878</v>
      </c>
      <c r="CF11" s="1">
        <f t="shared" ca="1" si="47"/>
        <v>0.72397787340236874</v>
      </c>
      <c r="CH11" s="3">
        <f t="shared" ca="1" si="48"/>
        <v>9.6715021921212257E-2</v>
      </c>
      <c r="CI11" s="3">
        <f t="shared" ca="1" si="49"/>
        <v>0.84004611858002354</v>
      </c>
      <c r="CJ11" s="3">
        <f t="shared" ca="1" si="50"/>
        <v>1404</v>
      </c>
      <c r="CK11" s="3">
        <f t="shared" ca="1" si="51"/>
        <v>4.9021846319078173E-3</v>
      </c>
      <c r="CL11" s="3">
        <f t="shared" ca="1" si="52"/>
        <v>1</v>
      </c>
      <c r="CM11" s="3"/>
      <c r="CN11" s="1">
        <f t="shared" ca="1" si="53"/>
        <v>18.193031087063389</v>
      </c>
      <c r="CO11" s="1">
        <f t="shared" ca="1" si="54"/>
        <v>9.3578907757773222E-2</v>
      </c>
      <c r="CP11" s="1">
        <f t="shared" ca="1" si="55"/>
        <v>4</v>
      </c>
    </row>
    <row r="12" spans="2:94" x14ac:dyDescent="0.25">
      <c r="B12">
        <f t="shared" ca="1" si="0"/>
        <v>869</v>
      </c>
      <c r="C12">
        <f t="shared" ca="1" si="1"/>
        <v>15</v>
      </c>
      <c r="D12">
        <f t="shared" ca="1" si="2"/>
        <v>0.16267754662406975</v>
      </c>
      <c r="F12" s="1">
        <f t="shared" ca="1" si="3"/>
        <v>5</v>
      </c>
      <c r="G12" s="1">
        <f t="shared" ca="1" si="4"/>
        <v>3</v>
      </c>
      <c r="H12" s="1">
        <f t="shared" ca="1" si="5"/>
        <v>4</v>
      </c>
      <c r="I12" s="1"/>
      <c r="J12" s="1">
        <f t="shared" ca="1" si="6"/>
        <v>28</v>
      </c>
      <c r="K12" s="1">
        <f t="shared" ca="1" si="7"/>
        <v>1.7170192060774636</v>
      </c>
      <c r="L12" s="1">
        <f t="shared" ca="1" si="8"/>
        <v>35</v>
      </c>
      <c r="M12" s="1"/>
      <c r="N12" s="1">
        <f t="shared" ca="1" si="9"/>
        <v>376</v>
      </c>
      <c r="O12" s="1">
        <f t="shared" ca="1" si="10"/>
        <v>31</v>
      </c>
      <c r="P12" s="1"/>
      <c r="Q12" s="1">
        <f t="shared" ca="1" si="11"/>
        <v>3.0648487592673059</v>
      </c>
      <c r="R12" s="1">
        <f t="shared" ca="1" si="12"/>
        <v>723</v>
      </c>
      <c r="S12" s="1"/>
      <c r="T12" s="1">
        <f t="shared" ca="1" si="13"/>
        <v>0.11333226938298964</v>
      </c>
      <c r="U12" s="1">
        <f t="shared" ca="1" si="14"/>
        <v>397</v>
      </c>
      <c r="V12" s="1">
        <f t="shared" ca="1" si="15"/>
        <v>48</v>
      </c>
      <c r="W12" s="1"/>
      <c r="X12" s="1">
        <f t="shared" ca="1" si="16"/>
        <v>8.9826789071795954</v>
      </c>
      <c r="Y12" s="1">
        <f t="shared" ca="1" si="17"/>
        <v>0.35896815116774439</v>
      </c>
      <c r="Z12" s="1">
        <f t="shared" ca="1" si="18"/>
        <v>1104</v>
      </c>
      <c r="AB12" s="1">
        <f t="shared" ca="1" si="19"/>
        <v>0.13390965353437514</v>
      </c>
      <c r="AC12" s="1">
        <f t="shared" ca="1" si="20"/>
        <v>309</v>
      </c>
      <c r="AD12" s="1">
        <f t="shared" ca="1" si="21"/>
        <v>3.6060551272713663E-4</v>
      </c>
      <c r="AE12" s="1"/>
      <c r="AF12" s="1">
        <f t="shared" ca="1" si="22"/>
        <v>0.73230919886322088</v>
      </c>
      <c r="AG12" s="1">
        <f t="shared" ca="1" si="23"/>
        <v>762</v>
      </c>
      <c r="AH12" s="1">
        <f t="shared" ca="1" si="24"/>
        <v>4.1272390680501397E-3</v>
      </c>
      <c r="AJ12" s="1">
        <f t="shared" ca="1" si="25"/>
        <v>5.4267420893461593E-2</v>
      </c>
      <c r="AK12" s="1">
        <f t="shared" ca="1" si="26"/>
        <v>3.1933608262553963E-3</v>
      </c>
      <c r="AL12" s="1"/>
      <c r="AM12" s="1">
        <f t="shared" ca="1" si="27"/>
        <v>3.4803731783764537E-2</v>
      </c>
      <c r="AN12" s="1">
        <f t="shared" ca="1" si="28"/>
        <v>39</v>
      </c>
      <c r="AO12" s="1">
        <f t="shared" ca="1" si="29"/>
        <v>1</v>
      </c>
      <c r="AQ12" s="1">
        <f t="shared" ca="1" si="30"/>
        <v>44</v>
      </c>
      <c r="AR12" s="1">
        <f t="shared" ca="1" si="31"/>
        <v>5</v>
      </c>
      <c r="AS12" s="1">
        <f t="shared" ca="1" si="32"/>
        <v>90</v>
      </c>
      <c r="AU12" s="1">
        <f t="shared" ca="1" si="33"/>
        <v>66</v>
      </c>
      <c r="AV12" s="1">
        <f t="shared" ca="1" si="34"/>
        <v>6</v>
      </c>
      <c r="AW12" s="1">
        <f t="shared" ca="1" si="35"/>
        <v>5.6659851473004563E-2</v>
      </c>
      <c r="AY12" s="1">
        <f t="shared" ca="1" si="36"/>
        <v>1.8817669534719361</v>
      </c>
      <c r="AZ12" s="1">
        <f t="shared" ca="1" si="37"/>
        <v>468</v>
      </c>
      <c r="BA12" s="1">
        <f t="shared" ca="1" si="38"/>
        <v>3.3714234358491746E-3</v>
      </c>
      <c r="BV12" s="1">
        <f t="shared" ca="1" si="39"/>
        <v>0.63517017555759969</v>
      </c>
      <c r="BW12" s="1">
        <f t="shared" ca="1" si="40"/>
        <v>448</v>
      </c>
      <c r="BX12" s="1">
        <f t="shared" ca="1" si="41"/>
        <v>9.0108853409648759E-3</v>
      </c>
      <c r="BY12" s="1">
        <f t="shared" ca="1" si="42"/>
        <v>4.0513565728201507E-2</v>
      </c>
      <c r="BZ12" s="1">
        <f t="shared" ca="1" si="43"/>
        <v>0.71149435414836615</v>
      </c>
      <c r="CB12" s="1">
        <f t="shared" ca="1" si="44"/>
        <v>50</v>
      </c>
      <c r="CC12" s="1">
        <f t="shared" ca="1" si="45"/>
        <v>14</v>
      </c>
      <c r="CD12" s="1">
        <f t="shared" ca="1" si="46"/>
        <v>0.17892915252776484</v>
      </c>
      <c r="CE12" s="1">
        <f t="shared" ca="1" si="47"/>
        <v>0.5589931809229598</v>
      </c>
      <c r="CF12" s="1">
        <f t="shared" ca="1" si="47"/>
        <v>0.51136651496497465</v>
      </c>
      <c r="CH12" s="3">
        <f t="shared" ca="1" si="48"/>
        <v>0.81529964004839917</v>
      </c>
      <c r="CI12" s="3">
        <f t="shared" ca="1" si="49"/>
        <v>4.8433952932956631E-2</v>
      </c>
      <c r="CJ12" s="3">
        <f t="shared" ca="1" si="50"/>
        <v>227</v>
      </c>
      <c r="CK12" s="3">
        <f t="shared" ca="1" si="51"/>
        <v>7.2506242501718813E-3</v>
      </c>
      <c r="CL12" s="3">
        <f t="shared" ca="1" si="52"/>
        <v>1</v>
      </c>
      <c r="CM12" s="3"/>
      <c r="CN12" s="1">
        <f t="shared" ca="1" si="53"/>
        <v>19.560452095577244</v>
      </c>
      <c r="CO12" s="1">
        <f t="shared" ca="1" si="54"/>
        <v>0.34259783910805724</v>
      </c>
      <c r="CP12" s="1">
        <f t="shared" ca="1" si="55"/>
        <v>2</v>
      </c>
    </row>
    <row r="13" spans="2:94" x14ac:dyDescent="0.25">
      <c r="B13">
        <f t="shared" ca="1" si="0"/>
        <v>643</v>
      </c>
      <c r="C13">
        <f t="shared" ca="1" si="1"/>
        <v>45</v>
      </c>
      <c r="D13">
        <f t="shared" ca="1" si="2"/>
        <v>1.5141811678051885E-2</v>
      </c>
      <c r="F13" s="1">
        <f t="shared" ca="1" si="3"/>
        <v>49</v>
      </c>
      <c r="G13" s="1">
        <f t="shared" ca="1" si="4"/>
        <v>21</v>
      </c>
      <c r="H13" s="1">
        <f t="shared" ca="1" si="5"/>
        <v>11</v>
      </c>
      <c r="I13" s="1"/>
      <c r="J13" s="1">
        <f t="shared" ca="1" si="6"/>
        <v>10</v>
      </c>
      <c r="K13" s="1">
        <f t="shared" ca="1" si="7"/>
        <v>1.3245899125578897</v>
      </c>
      <c r="L13" s="1">
        <f t="shared" ca="1" si="8"/>
        <v>15</v>
      </c>
      <c r="M13" s="1"/>
      <c r="N13" s="1">
        <f t="shared" ca="1" si="9"/>
        <v>645</v>
      </c>
      <c r="O13" s="1">
        <f t="shared" ca="1" si="10"/>
        <v>42</v>
      </c>
      <c r="P13" s="1"/>
      <c r="Q13" s="1">
        <f t="shared" ca="1" si="11"/>
        <v>3.7387545878689314</v>
      </c>
      <c r="R13" s="1">
        <f t="shared" ca="1" si="12"/>
        <v>657</v>
      </c>
      <c r="S13" s="1"/>
      <c r="T13" s="1">
        <f t="shared" ca="1" si="13"/>
        <v>0.17831211003402558</v>
      </c>
      <c r="U13" s="1">
        <f t="shared" ca="1" si="14"/>
        <v>447</v>
      </c>
      <c r="V13" s="1">
        <f t="shared" ca="1" si="15"/>
        <v>13</v>
      </c>
      <c r="W13" s="1"/>
      <c r="X13" s="1">
        <f t="shared" ca="1" si="16"/>
        <v>9.4822524746285275</v>
      </c>
      <c r="Y13" s="1">
        <f t="shared" ca="1" si="17"/>
        <v>0.40975105385985522</v>
      </c>
      <c r="Z13" s="1">
        <f t="shared" ca="1" si="18"/>
        <v>1556</v>
      </c>
      <c r="AB13" s="1">
        <f t="shared" ca="1" si="19"/>
        <v>0.98292975688479789</v>
      </c>
      <c r="AC13" s="1">
        <f t="shared" ca="1" si="20"/>
        <v>588</v>
      </c>
      <c r="AD13" s="1">
        <f t="shared" ca="1" si="21"/>
        <v>3.0091118116071144E-4</v>
      </c>
      <c r="AE13" s="1"/>
      <c r="AF13" s="1">
        <f t="shared" ca="1" si="22"/>
        <v>0.84888774612636275</v>
      </c>
      <c r="AG13" s="1">
        <f t="shared" ca="1" si="23"/>
        <v>892</v>
      </c>
      <c r="AH13" s="1">
        <f t="shared" ca="1" si="24"/>
        <v>5.7737229333630156E-3</v>
      </c>
      <c r="AJ13" s="1">
        <f t="shared" ca="1" si="25"/>
        <v>7.4642881423606533E-2</v>
      </c>
      <c r="AK13" s="1">
        <f t="shared" ca="1" si="26"/>
        <v>2.0221263469818356E-3</v>
      </c>
      <c r="AL13" s="1"/>
      <c r="AM13" s="1">
        <f t="shared" ca="1" si="27"/>
        <v>0.15625688511331975</v>
      </c>
      <c r="AN13" s="1">
        <f t="shared" ca="1" si="28"/>
        <v>16</v>
      </c>
      <c r="AO13" s="1">
        <f t="shared" ca="1" si="29"/>
        <v>16</v>
      </c>
      <c r="AQ13" s="1">
        <f t="shared" ca="1" si="30"/>
        <v>126</v>
      </c>
      <c r="AR13" s="1">
        <f t="shared" ca="1" si="31"/>
        <v>1</v>
      </c>
      <c r="AS13" s="1">
        <f t="shared" ca="1" si="32"/>
        <v>78</v>
      </c>
      <c r="AU13" s="1">
        <f t="shared" ca="1" si="33"/>
        <v>135</v>
      </c>
      <c r="AV13" s="1">
        <f t="shared" ca="1" si="34"/>
        <v>8</v>
      </c>
      <c r="AW13" s="1">
        <f t="shared" ca="1" si="35"/>
        <v>0.10588291499559982</v>
      </c>
      <c r="AY13" s="1">
        <f t="shared" ca="1" si="36"/>
        <v>1.5065150656146662</v>
      </c>
      <c r="AZ13" s="1">
        <f t="shared" ca="1" si="37"/>
        <v>178</v>
      </c>
      <c r="BA13" s="1">
        <f t="shared" ca="1" si="38"/>
        <v>9.7163324677929433E-4</v>
      </c>
      <c r="BV13" s="1">
        <f t="shared" ca="1" si="39"/>
        <v>0.26214737143300193</v>
      </c>
      <c r="BW13" s="1">
        <f t="shared" ca="1" si="40"/>
        <v>451</v>
      </c>
      <c r="BX13" s="1">
        <f t="shared" ca="1" si="41"/>
        <v>2.4650740430096556E-3</v>
      </c>
      <c r="BY13" s="1">
        <f t="shared" ca="1" si="42"/>
        <v>3.3196718956004921E-2</v>
      </c>
      <c r="BZ13" s="1">
        <f t="shared" ca="1" si="43"/>
        <v>0.46930628053619139</v>
      </c>
      <c r="CB13" s="1">
        <f t="shared" ca="1" si="44"/>
        <v>194</v>
      </c>
      <c r="CC13" s="1">
        <f t="shared" ca="1" si="45"/>
        <v>7</v>
      </c>
      <c r="CD13" s="1">
        <f t="shared" ca="1" si="46"/>
        <v>7.8890092994126318E-2</v>
      </c>
      <c r="CE13" s="1">
        <f t="shared" ca="1" si="47"/>
        <v>0.58525655456367653</v>
      </c>
      <c r="CF13" s="1">
        <f t="shared" ca="1" si="47"/>
        <v>0.5784033390962573</v>
      </c>
      <c r="CH13" s="3">
        <f t="shared" ca="1" si="48"/>
        <v>0.77624515181955689</v>
      </c>
      <c r="CI13" s="3">
        <f t="shared" ca="1" si="49"/>
        <v>0.25440661815088178</v>
      </c>
      <c r="CJ13" s="3">
        <f t="shared" ca="1" si="50"/>
        <v>1153</v>
      </c>
      <c r="CK13" s="3">
        <f t="shared" ca="1" si="51"/>
        <v>3.9585942041011919E-3</v>
      </c>
      <c r="CL13" s="3">
        <f t="shared" ca="1" si="52"/>
        <v>0</v>
      </c>
      <c r="CM13" s="3"/>
      <c r="CN13" s="1">
        <f t="shared" ca="1" si="53"/>
        <v>0.32870179363404117</v>
      </c>
      <c r="CO13" s="1">
        <f t="shared" ca="1" si="54"/>
        <v>0.24552233975307056</v>
      </c>
      <c r="CP13" s="1">
        <f t="shared" ca="1" si="55"/>
        <v>5</v>
      </c>
    </row>
    <row r="14" spans="2:94" x14ac:dyDescent="0.25">
      <c r="B14">
        <f t="shared" ca="1" si="0"/>
        <v>609</v>
      </c>
      <c r="C14">
        <f t="shared" ca="1" si="1"/>
        <v>26</v>
      </c>
      <c r="D14">
        <f t="shared" ca="1" si="2"/>
        <v>5.7804321205942068E-2</v>
      </c>
      <c r="F14" s="1">
        <f t="shared" ca="1" si="3"/>
        <v>37</v>
      </c>
      <c r="G14" s="1">
        <f t="shared" ca="1" si="4"/>
        <v>27</v>
      </c>
      <c r="H14" s="1">
        <f t="shared" ca="1" si="5"/>
        <v>10</v>
      </c>
      <c r="I14" s="1"/>
      <c r="J14" s="1">
        <f t="shared" ca="1" si="6"/>
        <v>24</v>
      </c>
      <c r="K14" s="1">
        <f t="shared" ca="1" si="7"/>
        <v>1.4755044469808711</v>
      </c>
      <c r="L14" s="1">
        <f t="shared" ca="1" si="8"/>
        <v>9</v>
      </c>
      <c r="M14" s="1"/>
      <c r="N14" s="1">
        <f t="shared" ca="1" si="9"/>
        <v>177</v>
      </c>
      <c r="O14" s="1">
        <f t="shared" ca="1" si="10"/>
        <v>47</v>
      </c>
      <c r="P14" s="1"/>
      <c r="Q14" s="1">
        <f t="shared" ca="1" si="11"/>
        <v>2.4678398325061366</v>
      </c>
      <c r="R14" s="1">
        <f t="shared" ca="1" si="12"/>
        <v>705</v>
      </c>
      <c r="S14" s="1"/>
      <c r="T14" s="1">
        <f t="shared" ca="1" si="13"/>
        <v>5.8187953938486532E-2</v>
      </c>
      <c r="U14" s="1">
        <f t="shared" ca="1" si="14"/>
        <v>223</v>
      </c>
      <c r="V14" s="1">
        <f t="shared" ca="1" si="15"/>
        <v>48</v>
      </c>
      <c r="W14" s="1"/>
      <c r="X14" s="1">
        <f t="shared" ca="1" si="16"/>
        <v>9.6836054313497275</v>
      </c>
      <c r="Y14" s="1">
        <f t="shared" ca="1" si="17"/>
        <v>0.55523205570826017</v>
      </c>
      <c r="Z14" s="1">
        <f t="shared" ca="1" si="18"/>
        <v>160</v>
      </c>
      <c r="AB14" s="1">
        <f t="shared" ca="1" si="19"/>
        <v>3.5109698329245542E-2</v>
      </c>
      <c r="AC14" s="1">
        <f t="shared" ca="1" si="20"/>
        <v>610</v>
      </c>
      <c r="AD14" s="1">
        <f t="shared" ca="1" si="21"/>
        <v>7.0265268228638118E-3</v>
      </c>
      <c r="AE14" s="1"/>
      <c r="AF14" s="1">
        <f t="shared" ca="1" si="22"/>
        <v>0.86290031151680535</v>
      </c>
      <c r="AG14" s="1">
        <f t="shared" ca="1" si="23"/>
        <v>839</v>
      </c>
      <c r="AH14" s="1">
        <f t="shared" ca="1" si="24"/>
        <v>8.6368394424949819E-3</v>
      </c>
      <c r="AJ14" s="1">
        <f t="shared" ca="1" si="25"/>
        <v>0.45838667406168498</v>
      </c>
      <c r="AK14" s="1">
        <f t="shared" ca="1" si="26"/>
        <v>3.2562883540553224E-3</v>
      </c>
      <c r="AL14" s="1"/>
      <c r="AM14" s="1">
        <f t="shared" ca="1" si="27"/>
        <v>0.13132663270939265</v>
      </c>
      <c r="AN14" s="1">
        <f t="shared" ca="1" si="28"/>
        <v>11</v>
      </c>
      <c r="AO14" s="1">
        <f t="shared" ca="1" si="29"/>
        <v>19</v>
      </c>
      <c r="AQ14" s="1">
        <f t="shared" ca="1" si="30"/>
        <v>125</v>
      </c>
      <c r="AR14" s="1">
        <f t="shared" ca="1" si="31"/>
        <v>1</v>
      </c>
      <c r="AS14" s="1">
        <f t="shared" ca="1" si="32"/>
        <v>56</v>
      </c>
      <c r="AU14" s="1">
        <f t="shared" ca="1" si="33"/>
        <v>329</v>
      </c>
      <c r="AV14" s="1">
        <f t="shared" ca="1" si="34"/>
        <v>9</v>
      </c>
      <c r="AW14" s="1">
        <f t="shared" ca="1" si="35"/>
        <v>0.13809681698312584</v>
      </c>
      <c r="AY14" s="1">
        <f t="shared" ca="1" si="36"/>
        <v>1.9996656459781588</v>
      </c>
      <c r="AZ14" s="1">
        <f t="shared" ca="1" si="37"/>
        <v>329</v>
      </c>
      <c r="BA14" s="1">
        <f t="shared" ca="1" si="38"/>
        <v>9.3263254586491791E-4</v>
      </c>
      <c r="BV14" s="1">
        <f t="shared" ca="1" si="39"/>
        <v>0.20889290143449446</v>
      </c>
      <c r="BW14" s="1">
        <f t="shared" ca="1" si="40"/>
        <v>535</v>
      </c>
      <c r="BX14" s="1">
        <f t="shared" ca="1" si="41"/>
        <v>4.5301014815994529E-3</v>
      </c>
      <c r="BY14" s="1">
        <f t="shared" ca="1" si="42"/>
        <v>6.068070905273322E-2</v>
      </c>
      <c r="BZ14" s="1">
        <f t="shared" ca="1" si="43"/>
        <v>0.12381865241913159</v>
      </c>
      <c r="CB14" s="1">
        <f t="shared" ca="1" si="44"/>
        <v>352</v>
      </c>
      <c r="CC14" s="1">
        <f t="shared" ca="1" si="45"/>
        <v>3</v>
      </c>
      <c r="CD14" s="1">
        <f t="shared" ca="1" si="46"/>
        <v>6.4802990824045628E-2</v>
      </c>
      <c r="CE14" s="1">
        <f t="shared" ca="1" si="47"/>
        <v>0.76113595232716136</v>
      </c>
      <c r="CF14" s="1">
        <f t="shared" ca="1" si="47"/>
        <v>0.980139962599474</v>
      </c>
      <c r="CH14" s="3">
        <f t="shared" ca="1" si="48"/>
        <v>0.1585352666897796</v>
      </c>
      <c r="CI14" s="3">
        <f t="shared" ca="1" si="49"/>
        <v>0.33013011069367609</v>
      </c>
      <c r="CJ14" s="3">
        <f t="shared" ca="1" si="50"/>
        <v>1991</v>
      </c>
      <c r="CK14" s="3">
        <f t="shared" ca="1" si="51"/>
        <v>6.7205788039406585E-3</v>
      </c>
      <c r="CL14" s="3">
        <f t="shared" ca="1" si="52"/>
        <v>0</v>
      </c>
      <c r="CM14" s="3"/>
      <c r="CN14" s="1">
        <f t="shared" ca="1" si="53"/>
        <v>11.177415648416975</v>
      </c>
      <c r="CO14" s="1">
        <f t="shared" ca="1" si="54"/>
        <v>2.0271824642443446E-2</v>
      </c>
      <c r="CP14" s="1">
        <f t="shared" ca="1" si="55"/>
        <v>2</v>
      </c>
    </row>
    <row r="15" spans="2:94" x14ac:dyDescent="0.25">
      <c r="B15">
        <f t="shared" ca="1" si="0"/>
        <v>210</v>
      </c>
      <c r="C15">
        <f t="shared" ca="1" si="1"/>
        <v>50</v>
      </c>
      <c r="D15">
        <f t="shared" ca="1" si="2"/>
        <v>0.20168478677863597</v>
      </c>
      <c r="F15" s="1">
        <f t="shared" ca="1" si="3"/>
        <v>46</v>
      </c>
      <c r="G15" s="1">
        <f t="shared" ca="1" si="4"/>
        <v>19</v>
      </c>
      <c r="H15" s="1">
        <f t="shared" ca="1" si="5"/>
        <v>1</v>
      </c>
      <c r="I15" s="1"/>
      <c r="J15" s="1">
        <f t="shared" ca="1" si="6"/>
        <v>23</v>
      </c>
      <c r="K15" s="1">
        <f t="shared" ca="1" si="7"/>
        <v>1.2583576523645228</v>
      </c>
      <c r="L15" s="1">
        <f t="shared" ca="1" si="8"/>
        <v>14</v>
      </c>
      <c r="M15" s="1"/>
      <c r="N15" s="1">
        <f t="shared" ca="1" si="9"/>
        <v>994</v>
      </c>
      <c r="O15" s="1">
        <f t="shared" ca="1" si="10"/>
        <v>15</v>
      </c>
      <c r="P15" s="1"/>
      <c r="Q15" s="1">
        <f t="shared" ca="1" si="11"/>
        <v>4.3640792989514363</v>
      </c>
      <c r="R15" s="1">
        <f t="shared" ca="1" si="12"/>
        <v>1106</v>
      </c>
      <c r="S15" s="1"/>
      <c r="T15" s="1">
        <f t="shared" ca="1" si="13"/>
        <v>0.14072982487167712</v>
      </c>
      <c r="U15" s="1">
        <f t="shared" ca="1" si="14"/>
        <v>199</v>
      </c>
      <c r="V15" s="1">
        <f t="shared" ca="1" si="15"/>
        <v>17</v>
      </c>
      <c r="W15" s="1"/>
      <c r="X15" s="1">
        <f t="shared" ca="1" si="16"/>
        <v>0.25560808083163822</v>
      </c>
      <c r="Y15" s="1">
        <f t="shared" ca="1" si="17"/>
        <v>0.52671262605847113</v>
      </c>
      <c r="Z15" s="1">
        <f t="shared" ca="1" si="18"/>
        <v>1626</v>
      </c>
      <c r="AB15" s="1">
        <f t="shared" ca="1" si="19"/>
        <v>2.0464874354247951E-2</v>
      </c>
      <c r="AC15" s="1">
        <f t="shared" ca="1" si="20"/>
        <v>154</v>
      </c>
      <c r="AD15" s="1">
        <f t="shared" ca="1" si="21"/>
        <v>5.0747134323968638E-3</v>
      </c>
      <c r="AE15" s="1"/>
      <c r="AF15" s="1">
        <f t="shared" ca="1" si="22"/>
        <v>0.34137296337678535</v>
      </c>
      <c r="AG15" s="1">
        <f t="shared" ca="1" si="23"/>
        <v>204</v>
      </c>
      <c r="AH15" s="1">
        <f t="shared" ca="1" si="24"/>
        <v>4.5524933261879025E-3</v>
      </c>
      <c r="AJ15" s="1">
        <f t="shared" ca="1" si="25"/>
        <v>0.29426317317049833</v>
      </c>
      <c r="AK15" s="1">
        <f t="shared" ca="1" si="26"/>
        <v>7.065341438322029E-3</v>
      </c>
      <c r="AL15" s="1"/>
      <c r="AM15" s="1">
        <f t="shared" ca="1" si="27"/>
        <v>9.1609394211955852E-2</v>
      </c>
      <c r="AN15" s="1">
        <f t="shared" ca="1" si="28"/>
        <v>80</v>
      </c>
      <c r="AO15" s="1">
        <f t="shared" ca="1" si="29"/>
        <v>9</v>
      </c>
      <c r="AQ15" s="1">
        <f t="shared" ca="1" si="30"/>
        <v>95</v>
      </c>
      <c r="AR15" s="1">
        <f t="shared" ca="1" si="31"/>
        <v>5</v>
      </c>
      <c r="AS15" s="1">
        <f t="shared" ca="1" si="32"/>
        <v>49</v>
      </c>
      <c r="AU15" s="1">
        <f t="shared" ca="1" si="33"/>
        <v>131</v>
      </c>
      <c r="AV15" s="1">
        <f t="shared" ca="1" si="34"/>
        <v>10</v>
      </c>
      <c r="AW15" s="1">
        <f t="shared" ca="1" si="35"/>
        <v>8.8657524617686626E-2</v>
      </c>
      <c r="AY15" s="1">
        <f t="shared" ca="1" si="36"/>
        <v>1.8324829913382883</v>
      </c>
      <c r="AZ15" s="1">
        <f t="shared" ca="1" si="37"/>
        <v>326</v>
      </c>
      <c r="BA15" s="1">
        <f t="shared" ca="1" si="38"/>
        <v>8.1235844428620627E-3</v>
      </c>
      <c r="BV15" s="1">
        <f t="shared" ca="1" si="39"/>
        <v>0.9984481328492788</v>
      </c>
      <c r="BW15" s="1">
        <f t="shared" ca="1" si="40"/>
        <v>778</v>
      </c>
      <c r="BX15" s="1">
        <f t="shared" ca="1" si="41"/>
        <v>4.3679113471686059E-3</v>
      </c>
      <c r="BY15" s="1">
        <f t="shared" ca="1" si="42"/>
        <v>6.0207792634134352E-2</v>
      </c>
      <c r="BZ15" s="1">
        <f t="shared" ca="1" si="43"/>
        <v>0.26693438498110278</v>
      </c>
      <c r="CB15" s="1">
        <f t="shared" ca="1" si="44"/>
        <v>346</v>
      </c>
      <c r="CC15" s="1">
        <f t="shared" ca="1" si="45"/>
        <v>3</v>
      </c>
      <c r="CD15" s="1">
        <f t="shared" ca="1" si="46"/>
        <v>0.18027771826220457</v>
      </c>
      <c r="CE15" s="1">
        <f t="shared" ca="1" si="47"/>
        <v>0.82338956194399393</v>
      </c>
      <c r="CF15" s="1">
        <f t="shared" ca="1" si="47"/>
        <v>0.96830583615974986</v>
      </c>
      <c r="CH15" s="3">
        <f t="shared" ca="1" si="48"/>
        <v>0.22802349943716752</v>
      </c>
      <c r="CI15" s="3">
        <f t="shared" ca="1" si="49"/>
        <v>0.94566704170549931</v>
      </c>
      <c r="CJ15" s="3">
        <f t="shared" ca="1" si="50"/>
        <v>1711</v>
      </c>
      <c r="CK15" s="3">
        <f t="shared" ca="1" si="51"/>
        <v>1.110755174544728E-3</v>
      </c>
      <c r="CL15" s="3">
        <f t="shared" ca="1" si="52"/>
        <v>0</v>
      </c>
      <c r="CM15" s="3"/>
      <c r="CN15" s="1">
        <f t="shared" ca="1" si="53"/>
        <v>14.143403175350846</v>
      </c>
      <c r="CO15" s="1">
        <f t="shared" ca="1" si="54"/>
        <v>0.4522113255345091</v>
      </c>
      <c r="CP15" s="1">
        <f t="shared" ca="1" si="55"/>
        <v>4</v>
      </c>
    </row>
    <row r="16" spans="2:94" x14ac:dyDescent="0.25">
      <c r="B16">
        <f t="shared" ca="1" si="0"/>
        <v>544</v>
      </c>
      <c r="C16">
        <f t="shared" ca="1" si="1"/>
        <v>19</v>
      </c>
      <c r="D16">
        <f t="shared" ca="1" si="2"/>
        <v>0.24934030820868253</v>
      </c>
      <c r="F16" s="1">
        <f t="shared" ca="1" si="3"/>
        <v>23</v>
      </c>
      <c r="G16" s="1">
        <f t="shared" ca="1" si="4"/>
        <v>2</v>
      </c>
      <c r="H16" s="1">
        <f t="shared" ca="1" si="5"/>
        <v>3</v>
      </c>
      <c r="I16" s="1"/>
      <c r="J16" s="1">
        <f t="shared" ca="1" si="6"/>
        <v>4</v>
      </c>
      <c r="K16" s="1">
        <f t="shared" ca="1" si="7"/>
        <v>2.1091201289818189</v>
      </c>
      <c r="L16" s="1">
        <f t="shared" ca="1" si="8"/>
        <v>32</v>
      </c>
      <c r="M16" s="1"/>
      <c r="N16" s="1">
        <f t="shared" ca="1" si="9"/>
        <v>972</v>
      </c>
      <c r="O16" s="1">
        <f t="shared" ca="1" si="10"/>
        <v>30</v>
      </c>
      <c r="P16" s="1"/>
      <c r="Q16" s="1">
        <f t="shared" ca="1" si="11"/>
        <v>2.2305093150900963</v>
      </c>
      <c r="R16" s="1">
        <f t="shared" ca="1" si="12"/>
        <v>341</v>
      </c>
      <c r="S16" s="1"/>
      <c r="T16" s="1">
        <f t="shared" ca="1" si="13"/>
        <v>0.16415458304870098</v>
      </c>
      <c r="U16" s="1">
        <f t="shared" ca="1" si="14"/>
        <v>400</v>
      </c>
      <c r="V16" s="1">
        <f t="shared" ca="1" si="15"/>
        <v>15</v>
      </c>
      <c r="W16" s="1"/>
      <c r="X16" s="1">
        <f t="shared" ca="1" si="16"/>
        <v>1.7198236722485449</v>
      </c>
      <c r="Y16" s="1">
        <f t="shared" ca="1" si="17"/>
        <v>4.0619269496490154E-2</v>
      </c>
      <c r="Z16" s="1">
        <f t="shared" ca="1" si="18"/>
        <v>1417</v>
      </c>
      <c r="AB16" s="1">
        <f t="shared" ca="1" si="19"/>
        <v>0.67806649571372268</v>
      </c>
      <c r="AC16" s="1">
        <f t="shared" ca="1" si="20"/>
        <v>696</v>
      </c>
      <c r="AD16" s="1">
        <f t="shared" ca="1" si="21"/>
        <v>6.4661529615861286E-3</v>
      </c>
      <c r="AE16" s="1"/>
      <c r="AF16" s="1">
        <f t="shared" ca="1" si="22"/>
        <v>0.1334941334926385</v>
      </c>
      <c r="AG16" s="1">
        <f t="shared" ca="1" si="23"/>
        <v>591</v>
      </c>
      <c r="AH16" s="1">
        <f t="shared" ca="1" si="24"/>
        <v>9.1138319504868916E-3</v>
      </c>
      <c r="AJ16" s="1">
        <f t="shared" ca="1" si="25"/>
        <v>0.54472464326757053</v>
      </c>
      <c r="AK16" s="1">
        <f t="shared" ca="1" si="26"/>
        <v>9.7052548521524241E-4</v>
      </c>
      <c r="AL16" s="1"/>
      <c r="AM16" s="1">
        <f t="shared" ca="1" si="27"/>
        <v>0.14105468671559596</v>
      </c>
      <c r="AN16" s="1">
        <f t="shared" ca="1" si="28"/>
        <v>17</v>
      </c>
      <c r="AO16" s="1">
        <f t="shared" ca="1" si="29"/>
        <v>14</v>
      </c>
      <c r="AQ16" s="1">
        <f t="shared" ca="1" si="30"/>
        <v>55</v>
      </c>
      <c r="AR16" s="1">
        <f t="shared" ca="1" si="31"/>
        <v>5</v>
      </c>
      <c r="AS16" s="1">
        <f t="shared" ca="1" si="32"/>
        <v>90</v>
      </c>
      <c r="AU16" s="1">
        <f t="shared" ca="1" si="33"/>
        <v>332</v>
      </c>
      <c r="AV16" s="1">
        <f t="shared" ca="1" si="34"/>
        <v>10</v>
      </c>
      <c r="AW16" s="1">
        <f t="shared" ca="1" si="35"/>
        <v>0.13242326417425698</v>
      </c>
      <c r="AY16" s="1">
        <f t="shared" ca="1" si="36"/>
        <v>1.861691662180168</v>
      </c>
      <c r="AZ16" s="1">
        <f t="shared" ca="1" si="37"/>
        <v>250</v>
      </c>
      <c r="BA16" s="1">
        <f t="shared" ca="1" si="38"/>
        <v>9.1974098741416429E-3</v>
      </c>
      <c r="BV16" s="1">
        <f t="shared" ca="1" si="39"/>
        <v>0.83235215942501428</v>
      </c>
      <c r="BW16" s="1">
        <f t="shared" ca="1" si="40"/>
        <v>318</v>
      </c>
      <c r="BX16" s="1">
        <f t="shared" ca="1" si="41"/>
        <v>6.0193704732531246E-3</v>
      </c>
      <c r="BY16" s="1">
        <f t="shared" ca="1" si="42"/>
        <v>1.4249243327000916E-2</v>
      </c>
      <c r="BZ16" s="1">
        <f t="shared" ca="1" si="43"/>
        <v>0.87632779405758399</v>
      </c>
      <c r="CB16" s="1">
        <f t="shared" ca="1" si="44"/>
        <v>471</v>
      </c>
      <c r="CC16" s="1">
        <f t="shared" ca="1" si="45"/>
        <v>15</v>
      </c>
      <c r="CD16" s="1">
        <f t="shared" ca="1" si="46"/>
        <v>9.4547447769314744E-2</v>
      </c>
      <c r="CE16" s="1">
        <f t="shared" ca="1" si="47"/>
        <v>0.64801852583947994</v>
      </c>
      <c r="CF16" s="1">
        <f t="shared" ca="1" si="47"/>
        <v>0.72362156702140079</v>
      </c>
      <c r="CH16" s="3">
        <f t="shared" ca="1" si="48"/>
        <v>0.12145681967780668</v>
      </c>
      <c r="CI16" s="3">
        <f t="shared" ca="1" si="49"/>
        <v>0.19005254009462966</v>
      </c>
      <c r="CJ16" s="3">
        <f t="shared" ca="1" si="50"/>
        <v>249</v>
      </c>
      <c r="CK16" s="3">
        <f t="shared" ca="1" si="51"/>
        <v>9.3790606294615071E-3</v>
      </c>
      <c r="CL16" s="3">
        <f t="shared" ca="1" si="52"/>
        <v>1</v>
      </c>
      <c r="CM16" s="3"/>
      <c r="CN16" s="1">
        <f t="shared" ca="1" si="53"/>
        <v>6.9106927987357656</v>
      </c>
      <c r="CO16" s="1">
        <f t="shared" ca="1" si="54"/>
        <v>0.33090079410344925</v>
      </c>
      <c r="CP16" s="1">
        <f t="shared" ca="1" si="55"/>
        <v>4</v>
      </c>
    </row>
    <row r="17" spans="2:94" x14ac:dyDescent="0.25">
      <c r="B17">
        <f t="shared" ca="1" si="0"/>
        <v>941</v>
      </c>
      <c r="C17">
        <f t="shared" ca="1" si="1"/>
        <v>44</v>
      </c>
      <c r="D17">
        <f t="shared" ca="1" si="2"/>
        <v>0.15902253099724031</v>
      </c>
      <c r="F17" s="1">
        <f t="shared" ca="1" si="3"/>
        <v>8</v>
      </c>
      <c r="G17" s="1">
        <f t="shared" ca="1" si="4"/>
        <v>20</v>
      </c>
      <c r="H17" s="1">
        <f t="shared" ca="1" si="5"/>
        <v>10</v>
      </c>
      <c r="I17" s="1"/>
      <c r="J17" s="1">
        <f t="shared" ca="1" si="6"/>
        <v>26</v>
      </c>
      <c r="K17" s="1">
        <f t="shared" ca="1" si="7"/>
        <v>1.6612127902414409</v>
      </c>
      <c r="L17" s="1">
        <f t="shared" ca="1" si="8"/>
        <v>31</v>
      </c>
      <c r="M17" s="1"/>
      <c r="N17" s="1">
        <f t="shared" ca="1" si="9"/>
        <v>140</v>
      </c>
      <c r="O17" s="1">
        <f t="shared" ca="1" si="10"/>
        <v>15</v>
      </c>
      <c r="P17" s="1"/>
      <c r="Q17" s="1">
        <f t="shared" ca="1" si="11"/>
        <v>0.51941799991049253</v>
      </c>
      <c r="R17" s="1">
        <f t="shared" ca="1" si="12"/>
        <v>806</v>
      </c>
      <c r="S17" s="1"/>
      <c r="T17" s="1">
        <f t="shared" ca="1" si="13"/>
        <v>0.18909165651705304</v>
      </c>
      <c r="U17" s="1">
        <f t="shared" ca="1" si="14"/>
        <v>62</v>
      </c>
      <c r="V17" s="1">
        <f t="shared" ca="1" si="15"/>
        <v>37</v>
      </c>
      <c r="W17" s="1"/>
      <c r="X17" s="1">
        <f t="shared" ca="1" si="16"/>
        <v>2.9497367809269877</v>
      </c>
      <c r="Y17" s="1">
        <f t="shared" ca="1" si="17"/>
        <v>0.22513853318440602</v>
      </c>
      <c r="Z17" s="1">
        <f t="shared" ca="1" si="18"/>
        <v>299</v>
      </c>
      <c r="AB17" s="1">
        <f t="shared" ca="1" si="19"/>
        <v>0.40883637451823962</v>
      </c>
      <c r="AC17" s="1">
        <f t="shared" ca="1" si="20"/>
        <v>437</v>
      </c>
      <c r="AD17" s="1">
        <f t="shared" ca="1" si="21"/>
        <v>4.6473567000652012E-3</v>
      </c>
      <c r="AE17" s="1"/>
      <c r="AF17" s="1">
        <f t="shared" ca="1" si="22"/>
        <v>0.2347083760347787</v>
      </c>
      <c r="AG17" s="1">
        <f t="shared" ca="1" si="23"/>
        <v>397</v>
      </c>
      <c r="AH17" s="1">
        <f t="shared" ca="1" si="24"/>
        <v>4.2296978737108139E-3</v>
      </c>
      <c r="AJ17" s="1">
        <f t="shared" ca="1" si="25"/>
        <v>0.65834060382699044</v>
      </c>
      <c r="AK17" s="1">
        <f t="shared" ca="1" si="26"/>
        <v>2.1613036413772385E-3</v>
      </c>
      <c r="AL17" s="1"/>
      <c r="AM17" s="1">
        <f t="shared" ca="1" si="27"/>
        <v>7.3591072493529294E-2</v>
      </c>
      <c r="AN17" s="1">
        <f t="shared" ca="1" si="28"/>
        <v>64</v>
      </c>
      <c r="AO17" s="1">
        <f t="shared" ca="1" si="29"/>
        <v>13</v>
      </c>
      <c r="AQ17" s="1">
        <f t="shared" ca="1" si="30"/>
        <v>106</v>
      </c>
      <c r="AR17" s="1">
        <f t="shared" ca="1" si="31"/>
        <v>1</v>
      </c>
      <c r="AS17" s="1">
        <f t="shared" ca="1" si="32"/>
        <v>3</v>
      </c>
      <c r="AU17" s="1">
        <f t="shared" ca="1" si="33"/>
        <v>279</v>
      </c>
      <c r="AV17" s="1">
        <f t="shared" ca="1" si="34"/>
        <v>9</v>
      </c>
      <c r="AW17" s="1">
        <f t="shared" ca="1" si="35"/>
        <v>1.8194536238967066E-2</v>
      </c>
      <c r="AY17" s="1">
        <f t="shared" ca="1" si="36"/>
        <v>1.8184267430166399</v>
      </c>
      <c r="AZ17" s="1">
        <f t="shared" ca="1" si="37"/>
        <v>406</v>
      </c>
      <c r="BA17" s="1">
        <f t="shared" ca="1" si="38"/>
        <v>9.2135902345164156E-3</v>
      </c>
      <c r="BV17" s="1">
        <f t="shared" ca="1" si="39"/>
        <v>0.43487368785251096</v>
      </c>
      <c r="BW17" s="1">
        <f t="shared" ca="1" si="40"/>
        <v>723</v>
      </c>
      <c r="BX17" s="1">
        <f t="shared" ca="1" si="41"/>
        <v>2.4266115653781492E-3</v>
      </c>
      <c r="BY17" s="1">
        <f t="shared" ca="1" si="42"/>
        <v>1.171400241401388E-2</v>
      </c>
      <c r="BZ17" s="1">
        <f t="shared" ca="1" si="43"/>
        <v>4.4216709608921878E-2</v>
      </c>
      <c r="CB17" s="1">
        <f t="shared" ca="1" si="44"/>
        <v>440</v>
      </c>
      <c r="CC17" s="1">
        <f t="shared" ca="1" si="45"/>
        <v>5</v>
      </c>
      <c r="CD17" s="1">
        <f t="shared" ca="1" si="46"/>
        <v>1.1127771469419815E-2</v>
      </c>
      <c r="CE17" s="1">
        <f t="shared" ca="1" si="47"/>
        <v>0.84424586914264932</v>
      </c>
      <c r="CF17" s="1">
        <f t="shared" ca="1" si="47"/>
        <v>0.88739235895871382</v>
      </c>
      <c r="CH17" s="3">
        <f t="shared" ca="1" si="48"/>
        <v>0.98532756098346896</v>
      </c>
      <c r="CI17" s="3">
        <f t="shared" ca="1" si="49"/>
        <v>0.59633673589721536</v>
      </c>
      <c r="CJ17" s="3">
        <f t="shared" ca="1" si="50"/>
        <v>825</v>
      </c>
      <c r="CK17" s="3">
        <f t="shared" ca="1" si="51"/>
        <v>1.6365671185439418E-3</v>
      </c>
      <c r="CL17" s="3">
        <f t="shared" ca="1" si="52"/>
        <v>1</v>
      </c>
      <c r="CM17" s="3"/>
      <c r="CN17" s="1">
        <f t="shared" ca="1" si="53"/>
        <v>17.540221858972458</v>
      </c>
      <c r="CO17" s="1">
        <f t="shared" ca="1" si="54"/>
        <v>0.46576113908753236</v>
      </c>
      <c r="CP17" s="1">
        <f t="shared" ca="1" si="55"/>
        <v>2</v>
      </c>
    </row>
    <row r="18" spans="2:94" x14ac:dyDescent="0.25">
      <c r="B18">
        <f t="shared" ca="1" si="0"/>
        <v>804</v>
      </c>
      <c r="C18">
        <f t="shared" ca="1" si="1"/>
        <v>36</v>
      </c>
      <c r="D18">
        <f t="shared" ca="1" si="2"/>
        <v>0.17746327256347735</v>
      </c>
      <c r="F18" s="1">
        <f t="shared" ca="1" si="3"/>
        <v>25</v>
      </c>
      <c r="G18" s="1">
        <f t="shared" ca="1" si="4"/>
        <v>11</v>
      </c>
      <c r="H18" s="1">
        <f t="shared" ca="1" si="5"/>
        <v>1</v>
      </c>
      <c r="I18" s="1"/>
      <c r="J18" s="1">
        <f t="shared" ca="1" si="6"/>
        <v>13</v>
      </c>
      <c r="K18" s="1">
        <f t="shared" ca="1" si="7"/>
        <v>1.2389267738001435</v>
      </c>
      <c r="L18" s="1">
        <f t="shared" ca="1" si="8"/>
        <v>22</v>
      </c>
      <c r="M18" s="1"/>
      <c r="N18" s="1">
        <f t="shared" ca="1" si="9"/>
        <v>707</v>
      </c>
      <c r="O18" s="1">
        <f t="shared" ca="1" si="10"/>
        <v>36</v>
      </c>
      <c r="P18" s="1"/>
      <c r="Q18" s="1">
        <f t="shared" ca="1" si="11"/>
        <v>3.9275200641954626</v>
      </c>
      <c r="R18" s="1">
        <f t="shared" ca="1" si="12"/>
        <v>1006</v>
      </c>
      <c r="S18" s="1"/>
      <c r="T18" s="1">
        <f t="shared" ca="1" si="13"/>
        <v>6.3497120868383605E-2</v>
      </c>
      <c r="U18" s="1">
        <f t="shared" ca="1" si="14"/>
        <v>421</v>
      </c>
      <c r="V18" s="1">
        <f t="shared" ca="1" si="15"/>
        <v>47</v>
      </c>
      <c r="W18" s="1"/>
      <c r="X18" s="1">
        <f t="shared" ca="1" si="16"/>
        <v>0.52242627873437608</v>
      </c>
      <c r="Y18" s="1">
        <f t="shared" ca="1" si="17"/>
        <v>0.21076998542736183</v>
      </c>
      <c r="Z18" s="1">
        <f t="shared" ca="1" si="18"/>
        <v>1336</v>
      </c>
      <c r="AB18" s="1">
        <f t="shared" ca="1" si="19"/>
        <v>0.36820264745134512</v>
      </c>
      <c r="AC18" s="1">
        <f t="shared" ca="1" si="20"/>
        <v>524</v>
      </c>
      <c r="AD18" s="1">
        <f t="shared" ca="1" si="21"/>
        <v>2.120284200013756E-3</v>
      </c>
      <c r="AE18" s="1"/>
      <c r="AF18" s="1">
        <f t="shared" ca="1" si="22"/>
        <v>0.5267877831813228</v>
      </c>
      <c r="AG18" s="1">
        <f t="shared" ca="1" si="23"/>
        <v>351</v>
      </c>
      <c r="AH18" s="1">
        <f t="shared" ca="1" si="24"/>
        <v>1.5851624859497221E-3</v>
      </c>
      <c r="AJ18" s="1">
        <f t="shared" ca="1" si="25"/>
        <v>0.95746978983569386</v>
      </c>
      <c r="AK18" s="1">
        <f t="shared" ca="1" si="26"/>
        <v>8.1119525840691233E-3</v>
      </c>
      <c r="AL18" s="1"/>
      <c r="AM18" s="1">
        <f t="shared" ca="1" si="27"/>
        <v>0.12645151020178261</v>
      </c>
      <c r="AN18" s="1">
        <f t="shared" ca="1" si="28"/>
        <v>66</v>
      </c>
      <c r="AO18" s="1">
        <f t="shared" ca="1" si="29"/>
        <v>11</v>
      </c>
      <c r="AQ18" s="1">
        <f t="shared" ca="1" si="30"/>
        <v>11</v>
      </c>
      <c r="AR18" s="1">
        <f t="shared" ca="1" si="31"/>
        <v>5</v>
      </c>
      <c r="AS18" s="1">
        <f t="shared" ca="1" si="32"/>
        <v>79</v>
      </c>
      <c r="AU18" s="1">
        <f t="shared" ca="1" si="33"/>
        <v>104</v>
      </c>
      <c r="AV18" s="1">
        <f t="shared" ca="1" si="34"/>
        <v>6</v>
      </c>
      <c r="AW18" s="1">
        <f t="shared" ca="1" si="35"/>
        <v>9.9083316523571593E-2</v>
      </c>
      <c r="AY18" s="1">
        <f t="shared" ca="1" si="36"/>
        <v>1.4469335583621439</v>
      </c>
      <c r="AZ18" s="1">
        <f t="shared" ca="1" si="37"/>
        <v>498</v>
      </c>
      <c r="BA18" s="1">
        <f t="shared" ca="1" si="38"/>
        <v>6.0315706414134822E-3</v>
      </c>
      <c r="BV18" s="1">
        <f t="shared" ca="1" si="39"/>
        <v>0.66547346275111507</v>
      </c>
      <c r="BW18" s="1">
        <f t="shared" ca="1" si="40"/>
        <v>529</v>
      </c>
      <c r="BX18" s="1">
        <f t="shared" ca="1" si="41"/>
        <v>4.4259105479098476E-3</v>
      </c>
      <c r="BY18" s="1">
        <f t="shared" ca="1" si="42"/>
        <v>9.7278080203602069E-2</v>
      </c>
      <c r="BZ18" s="1">
        <f t="shared" ca="1" si="43"/>
        <v>0.29138778192317472</v>
      </c>
      <c r="CB18" s="1">
        <f t="shared" ca="1" si="44"/>
        <v>439</v>
      </c>
      <c r="CC18" s="1">
        <f t="shared" ca="1" si="45"/>
        <v>8</v>
      </c>
      <c r="CD18" s="1">
        <f t="shared" ca="1" si="46"/>
        <v>0.20633781566834133</v>
      </c>
      <c r="CE18" s="1">
        <f t="shared" ca="1" si="47"/>
        <v>0.88142741609856778</v>
      </c>
      <c r="CF18" s="1">
        <f t="shared" ca="1" si="47"/>
        <v>0.72910641294820056</v>
      </c>
      <c r="CH18" s="3">
        <f t="shared" ca="1" si="48"/>
        <v>0.83841835262746922</v>
      </c>
      <c r="CI18" s="3">
        <f t="shared" ca="1" si="49"/>
        <v>0.41550044727116259</v>
      </c>
      <c r="CJ18" s="3">
        <f t="shared" ca="1" si="50"/>
        <v>877</v>
      </c>
      <c r="CK18" s="3">
        <f t="shared" ca="1" si="51"/>
        <v>6.1841043869184289E-3</v>
      </c>
      <c r="CL18" s="3">
        <f t="shared" ca="1" si="52"/>
        <v>1</v>
      </c>
      <c r="CM18" s="3"/>
      <c r="CN18" s="1">
        <f t="shared" ca="1" si="53"/>
        <v>17.599865990231738</v>
      </c>
      <c r="CO18" s="1">
        <f t="shared" ca="1" si="54"/>
        <v>0.10981723970479378</v>
      </c>
      <c r="CP18" s="1">
        <f t="shared" ca="1" si="55"/>
        <v>1</v>
      </c>
    </row>
    <row r="19" spans="2:94" x14ac:dyDescent="0.25">
      <c r="B19">
        <f t="shared" ca="1" si="0"/>
        <v>222</v>
      </c>
      <c r="C19">
        <f t="shared" ca="1" si="1"/>
        <v>12</v>
      </c>
      <c r="D19">
        <f t="shared" ca="1" si="2"/>
        <v>0.28727513202518234</v>
      </c>
      <c r="F19" s="1">
        <f t="shared" ca="1" si="3"/>
        <v>3</v>
      </c>
      <c r="G19" s="1">
        <f t="shared" ca="1" si="4"/>
        <v>13</v>
      </c>
      <c r="H19" s="1">
        <f t="shared" ca="1" si="5"/>
        <v>2</v>
      </c>
      <c r="I19" s="1"/>
      <c r="J19" s="1">
        <f t="shared" ca="1" si="6"/>
        <v>31</v>
      </c>
      <c r="K19" s="1">
        <f t="shared" ca="1" si="7"/>
        <v>2.0158013723709569</v>
      </c>
      <c r="L19" s="1">
        <f t="shared" ca="1" si="8"/>
        <v>16</v>
      </c>
      <c r="M19" s="1"/>
      <c r="N19" s="1">
        <f t="shared" ca="1" si="9"/>
        <v>703</v>
      </c>
      <c r="O19" s="1">
        <f t="shared" ca="1" si="10"/>
        <v>30</v>
      </c>
      <c r="P19" s="1"/>
      <c r="Q19" s="1">
        <f t="shared" ca="1" si="11"/>
        <v>1.7544494116013873</v>
      </c>
      <c r="R19" s="1">
        <f t="shared" ca="1" si="12"/>
        <v>947</v>
      </c>
      <c r="S19" s="1"/>
      <c r="T19" s="1">
        <f t="shared" ca="1" si="13"/>
        <v>0.14765421483645574</v>
      </c>
      <c r="U19" s="1">
        <f t="shared" ca="1" si="14"/>
        <v>128</v>
      </c>
      <c r="V19" s="1">
        <f t="shared" ca="1" si="15"/>
        <v>48</v>
      </c>
      <c r="W19" s="1"/>
      <c r="X19" s="1">
        <f t="shared" ca="1" si="16"/>
        <v>5.4338476009873418</v>
      </c>
      <c r="Y19" s="1">
        <f t="shared" ca="1" si="17"/>
        <v>0.98966172678911701</v>
      </c>
      <c r="Z19" s="1">
        <f t="shared" ca="1" si="18"/>
        <v>1458</v>
      </c>
      <c r="AB19" s="1">
        <f t="shared" ca="1" si="19"/>
        <v>0.22033004963850358</v>
      </c>
      <c r="AC19" s="1">
        <f t="shared" ca="1" si="20"/>
        <v>764</v>
      </c>
      <c r="AD19" s="1">
        <f t="shared" ca="1" si="21"/>
        <v>4.2199017832868033E-3</v>
      </c>
      <c r="AE19" s="1"/>
      <c r="AF19" s="1">
        <f t="shared" ca="1" si="22"/>
        <v>0.29859819784790331</v>
      </c>
      <c r="AG19" s="1">
        <f t="shared" ca="1" si="23"/>
        <v>145</v>
      </c>
      <c r="AH19" s="1">
        <f t="shared" ca="1" si="24"/>
        <v>5.185347803398771E-3</v>
      </c>
      <c r="AJ19" s="1">
        <f t="shared" ca="1" si="25"/>
        <v>0.3143115174729243</v>
      </c>
      <c r="AK19" s="1">
        <f t="shared" ca="1" si="26"/>
        <v>8.2624899607826093E-3</v>
      </c>
      <c r="AL19" s="1"/>
      <c r="AM19" s="1">
        <f t="shared" ca="1" si="27"/>
        <v>7.8397208846943373E-2</v>
      </c>
      <c r="AN19" s="1">
        <f t="shared" ca="1" si="28"/>
        <v>40</v>
      </c>
      <c r="AO19" s="1">
        <f t="shared" ca="1" si="29"/>
        <v>7</v>
      </c>
      <c r="AQ19" s="1">
        <f t="shared" ca="1" si="30"/>
        <v>128</v>
      </c>
      <c r="AR19" s="1">
        <f t="shared" ca="1" si="31"/>
        <v>10</v>
      </c>
      <c r="AS19" s="1">
        <f t="shared" ca="1" si="32"/>
        <v>26</v>
      </c>
      <c r="AU19" s="1">
        <f t="shared" ca="1" si="33"/>
        <v>164</v>
      </c>
      <c r="AV19" s="1">
        <f t="shared" ca="1" si="34"/>
        <v>3</v>
      </c>
      <c r="AW19" s="1">
        <f t="shared" ca="1" si="35"/>
        <v>2.0894560667267605E-2</v>
      </c>
      <c r="AY19" s="1">
        <f t="shared" ca="1" si="36"/>
        <v>1.7896984737420456</v>
      </c>
      <c r="AZ19" s="1">
        <f t="shared" ca="1" si="37"/>
        <v>71</v>
      </c>
      <c r="BA19" s="1">
        <f t="shared" ca="1" si="38"/>
        <v>4.2421013677926977E-4</v>
      </c>
      <c r="BV19" s="1">
        <f t="shared" ca="1" si="39"/>
        <v>0.93564179791478019</v>
      </c>
      <c r="BW19" s="1">
        <f t="shared" ca="1" si="40"/>
        <v>428</v>
      </c>
      <c r="BX19" s="1">
        <f t="shared" ca="1" si="41"/>
        <v>7.6703566500612354E-3</v>
      </c>
      <c r="BY19" s="1">
        <f t="shared" ca="1" si="42"/>
        <v>3.8015468615155895E-2</v>
      </c>
      <c r="BZ19" s="1">
        <f t="shared" ca="1" si="43"/>
        <v>0.87080766629675166</v>
      </c>
      <c r="CB19" s="1">
        <f t="shared" ca="1" si="44"/>
        <v>58</v>
      </c>
      <c r="CC19" s="1">
        <f t="shared" ca="1" si="45"/>
        <v>3</v>
      </c>
      <c r="CD19" s="1">
        <f t="shared" ca="1" si="46"/>
        <v>6.2223196298525817E-2</v>
      </c>
      <c r="CE19" s="1">
        <f t="shared" ca="1" si="47"/>
        <v>0.51948672946845353</v>
      </c>
      <c r="CF19" s="1">
        <f t="shared" ca="1" si="47"/>
        <v>0.66015979796492208</v>
      </c>
      <c r="CH19" s="3">
        <f t="shared" ca="1" si="48"/>
        <v>0.8785681030274477</v>
      </c>
      <c r="CI19" s="3">
        <f t="shared" ca="1" si="49"/>
        <v>0.54323087366804512</v>
      </c>
      <c r="CJ19" s="3">
        <f t="shared" ca="1" si="50"/>
        <v>977</v>
      </c>
      <c r="CK19" s="3">
        <f t="shared" ca="1" si="51"/>
        <v>9.4129501255960199E-4</v>
      </c>
      <c r="CL19" s="3">
        <f t="shared" ca="1" si="52"/>
        <v>1</v>
      </c>
      <c r="CM19" s="3"/>
      <c r="CN19" s="1">
        <f t="shared" ca="1" si="53"/>
        <v>19.41750485591318</v>
      </c>
      <c r="CO19" s="1">
        <f t="shared" ca="1" si="54"/>
        <v>0.23193766786225584</v>
      </c>
      <c r="CP19" s="1">
        <f t="shared" ca="1" si="55"/>
        <v>4</v>
      </c>
    </row>
    <row r="20" spans="2:94" x14ac:dyDescent="0.25">
      <c r="B20">
        <f t="shared" ca="1" si="0"/>
        <v>443</v>
      </c>
      <c r="C20">
        <f t="shared" ca="1" si="1"/>
        <v>3</v>
      </c>
      <c r="D20">
        <f t="shared" ca="1" si="2"/>
        <v>0.13473527954387346</v>
      </c>
      <c r="F20" s="1">
        <f t="shared" ca="1" si="3"/>
        <v>24</v>
      </c>
      <c r="G20" s="1">
        <f t="shared" ca="1" si="4"/>
        <v>9</v>
      </c>
      <c r="H20" s="1">
        <f t="shared" ca="1" si="5"/>
        <v>1</v>
      </c>
      <c r="I20" s="1"/>
      <c r="J20" s="1">
        <f t="shared" ca="1" si="6"/>
        <v>24</v>
      </c>
      <c r="K20" s="1">
        <f t="shared" ca="1" si="7"/>
        <v>2.3769438910697755</v>
      </c>
      <c r="L20" s="1">
        <f t="shared" ca="1" si="8"/>
        <v>31</v>
      </c>
      <c r="M20" s="1"/>
      <c r="N20" s="1">
        <f t="shared" ca="1" si="9"/>
        <v>475</v>
      </c>
      <c r="O20" s="1">
        <f t="shared" ca="1" si="10"/>
        <v>22</v>
      </c>
      <c r="P20" s="1"/>
      <c r="Q20" s="1">
        <f t="shared" ca="1" si="11"/>
        <v>4.7686025510853742</v>
      </c>
      <c r="R20" s="1">
        <f t="shared" ca="1" si="12"/>
        <v>351</v>
      </c>
      <c r="S20" s="1"/>
      <c r="T20" s="1">
        <f t="shared" ca="1" si="13"/>
        <v>1.4929251295441802E-2</v>
      </c>
      <c r="U20" s="1">
        <f t="shared" ca="1" si="14"/>
        <v>439</v>
      </c>
      <c r="V20" s="1">
        <f t="shared" ca="1" si="15"/>
        <v>36</v>
      </c>
      <c r="W20" s="1"/>
      <c r="X20" s="1">
        <f t="shared" ca="1" si="16"/>
        <v>1.0309217296692788</v>
      </c>
      <c r="Y20" s="1">
        <f t="shared" ca="1" si="17"/>
        <v>0.46928205800335288</v>
      </c>
      <c r="Z20" s="1">
        <f t="shared" ca="1" si="18"/>
        <v>737</v>
      </c>
      <c r="AB20" s="1">
        <f t="shared" ca="1" si="19"/>
        <v>0.828441972933737</v>
      </c>
      <c r="AC20" s="1">
        <f t="shared" ca="1" si="20"/>
        <v>892</v>
      </c>
      <c r="AD20" s="1">
        <f t="shared" ca="1" si="21"/>
        <v>6.8705606076967744E-3</v>
      </c>
      <c r="AE20" s="1"/>
      <c r="AF20" s="1">
        <f t="shared" ca="1" si="22"/>
        <v>0.82386429150880358</v>
      </c>
      <c r="AG20" s="1">
        <f t="shared" ca="1" si="23"/>
        <v>431</v>
      </c>
      <c r="AH20" s="1">
        <f t="shared" ca="1" si="24"/>
        <v>2.7114836652990348E-3</v>
      </c>
      <c r="AJ20" s="1">
        <f t="shared" ca="1" si="25"/>
        <v>0.17079045311957364</v>
      </c>
      <c r="AK20" s="1">
        <f t="shared" ca="1" si="26"/>
        <v>4.4344010863287767E-3</v>
      </c>
      <c r="AL20" s="1"/>
      <c r="AM20" s="1">
        <f t="shared" ca="1" si="27"/>
        <v>4.8087060157935069E-2</v>
      </c>
      <c r="AN20" s="1">
        <f t="shared" ca="1" si="28"/>
        <v>36</v>
      </c>
      <c r="AO20" s="1">
        <f t="shared" ca="1" si="29"/>
        <v>14</v>
      </c>
      <c r="AQ20" s="1">
        <f t="shared" ca="1" si="30"/>
        <v>87</v>
      </c>
      <c r="AR20" s="1">
        <f t="shared" ca="1" si="31"/>
        <v>5</v>
      </c>
      <c r="AS20" s="1">
        <f t="shared" ca="1" si="32"/>
        <v>38</v>
      </c>
      <c r="AU20" s="1">
        <f t="shared" ca="1" si="33"/>
        <v>314</v>
      </c>
      <c r="AV20" s="1">
        <f t="shared" ca="1" si="34"/>
        <v>4</v>
      </c>
      <c r="AW20" s="1">
        <f t="shared" ca="1" si="35"/>
        <v>0.16424904202890939</v>
      </c>
      <c r="AY20" s="1">
        <f t="shared" ca="1" si="36"/>
        <v>1.339605412763647</v>
      </c>
      <c r="AZ20" s="1">
        <f t="shared" ca="1" si="37"/>
        <v>489</v>
      </c>
      <c r="BA20" s="1">
        <f t="shared" ca="1" si="38"/>
        <v>2.2672857613821561E-3</v>
      </c>
      <c r="BV20" s="1">
        <f t="shared" ca="1" si="39"/>
        <v>0.27635444345953003</v>
      </c>
      <c r="BW20" s="1">
        <f t="shared" ca="1" si="40"/>
        <v>670</v>
      </c>
      <c r="BX20" s="1">
        <f t="shared" ca="1" si="41"/>
        <v>3.0145398112157587E-3</v>
      </c>
      <c r="BY20" s="1">
        <f t="shared" ca="1" si="42"/>
        <v>1.4615860273224427E-2</v>
      </c>
      <c r="BZ20" s="1">
        <f t="shared" ca="1" si="43"/>
        <v>0.57612823429124638</v>
      </c>
      <c r="CB20" s="1">
        <f t="shared" ca="1" si="44"/>
        <v>377</v>
      </c>
      <c r="CC20" s="1">
        <f t="shared" ca="1" si="45"/>
        <v>7</v>
      </c>
      <c r="CD20" s="1">
        <f t="shared" ca="1" si="46"/>
        <v>0.14200829549990174</v>
      </c>
      <c r="CE20" s="1">
        <f t="shared" ca="1" si="47"/>
        <v>0.56872764604118053</v>
      </c>
      <c r="CF20" s="1">
        <f t="shared" ca="1" si="47"/>
        <v>0.90142283462588446</v>
      </c>
      <c r="CH20" s="3">
        <f t="shared" ca="1" si="48"/>
        <v>0.2538463226175135</v>
      </c>
      <c r="CI20" s="3">
        <f t="shared" ca="1" si="49"/>
        <v>0.79927381942264131</v>
      </c>
      <c r="CJ20" s="3">
        <f t="shared" ca="1" si="50"/>
        <v>1516</v>
      </c>
      <c r="CK20" s="3">
        <f t="shared" ca="1" si="51"/>
        <v>3.0756917631269915E-3</v>
      </c>
      <c r="CL20" s="3">
        <f t="shared" ca="1" si="52"/>
        <v>0</v>
      </c>
      <c r="CM20" s="3"/>
      <c r="CN20" s="1">
        <f t="shared" ca="1" si="53"/>
        <v>16.52845420889911</v>
      </c>
      <c r="CO20" s="1">
        <f t="shared" ca="1" si="54"/>
        <v>0.2591492107731555</v>
      </c>
      <c r="CP20" s="1">
        <f t="shared" ca="1" si="55"/>
        <v>4</v>
      </c>
    </row>
    <row r="21" spans="2:94" x14ac:dyDescent="0.25">
      <c r="B21">
        <f t="shared" ca="1" si="0"/>
        <v>845</v>
      </c>
      <c r="C21">
        <f t="shared" ca="1" si="1"/>
        <v>52</v>
      </c>
      <c r="D21">
        <f t="shared" ca="1" si="2"/>
        <v>7.4808180444534703E-2</v>
      </c>
      <c r="F21" s="1">
        <f t="shared" ca="1" si="3"/>
        <v>38</v>
      </c>
      <c r="G21" s="1">
        <f t="shared" ca="1" si="4"/>
        <v>26</v>
      </c>
      <c r="H21" s="1">
        <f t="shared" ca="1" si="5"/>
        <v>15</v>
      </c>
      <c r="I21" s="1"/>
      <c r="J21" s="1">
        <f t="shared" ca="1" si="6"/>
        <v>11</v>
      </c>
      <c r="K21" s="1">
        <f t="shared" ca="1" si="7"/>
        <v>2.118424557758666</v>
      </c>
      <c r="L21" s="1">
        <f t="shared" ca="1" si="8"/>
        <v>12</v>
      </c>
      <c r="M21" s="1"/>
      <c r="N21" s="1">
        <f t="shared" ca="1" si="9"/>
        <v>975</v>
      </c>
      <c r="O21" s="1">
        <f t="shared" ca="1" si="10"/>
        <v>3</v>
      </c>
      <c r="P21" s="1"/>
      <c r="Q21" s="1">
        <f t="shared" ca="1" si="11"/>
        <v>2.6589309415658593</v>
      </c>
      <c r="R21" s="1">
        <f t="shared" ca="1" si="12"/>
        <v>1027</v>
      </c>
      <c r="S21" s="1"/>
      <c r="T21" s="1">
        <f t="shared" ca="1" si="13"/>
        <v>6.039170066310387E-2</v>
      </c>
      <c r="U21" s="1">
        <f t="shared" ca="1" si="14"/>
        <v>279</v>
      </c>
      <c r="V21" s="1">
        <f t="shared" ca="1" si="15"/>
        <v>21</v>
      </c>
      <c r="W21" s="1"/>
      <c r="X21" s="1">
        <f t="shared" ca="1" si="16"/>
        <v>6.8579680080081742</v>
      </c>
      <c r="Y21" s="1">
        <f t="shared" ca="1" si="17"/>
        <v>0.76076473177754822</v>
      </c>
      <c r="Z21" s="1">
        <f t="shared" ca="1" si="18"/>
        <v>1559</v>
      </c>
      <c r="AB21" s="1">
        <f t="shared" ca="1" si="19"/>
        <v>0.7269933911484433</v>
      </c>
      <c r="AC21" s="1">
        <f t="shared" ca="1" si="20"/>
        <v>739</v>
      </c>
      <c r="AD21" s="1">
        <f t="shared" ca="1" si="21"/>
        <v>5.0926322615452785E-5</v>
      </c>
      <c r="AE21" s="1"/>
      <c r="AF21" s="1">
        <f t="shared" ca="1" si="22"/>
        <v>0.70958916878904954</v>
      </c>
      <c r="AG21" s="1">
        <f t="shared" ca="1" si="23"/>
        <v>490</v>
      </c>
      <c r="AH21" s="1">
        <f t="shared" ca="1" si="24"/>
        <v>4.7090957151277625E-3</v>
      </c>
      <c r="AJ21" s="1">
        <f t="shared" ca="1" si="25"/>
        <v>0.6067940333627484</v>
      </c>
      <c r="AK21" s="1">
        <f t="shared" ca="1" si="26"/>
        <v>5.834017678214851E-3</v>
      </c>
      <c r="AL21" s="1"/>
      <c r="AM21" s="1">
        <f t="shared" ca="1" si="27"/>
        <v>6.6683112209262319E-2</v>
      </c>
      <c r="AN21" s="1">
        <f t="shared" ca="1" si="28"/>
        <v>33</v>
      </c>
      <c r="AO21" s="1">
        <f t="shared" ca="1" si="29"/>
        <v>5</v>
      </c>
      <c r="AQ21" s="1">
        <f t="shared" ca="1" si="30"/>
        <v>37</v>
      </c>
      <c r="AR21" s="1">
        <f t="shared" ca="1" si="31"/>
        <v>1</v>
      </c>
      <c r="AS21" s="1">
        <f t="shared" ca="1" si="32"/>
        <v>29</v>
      </c>
      <c r="AU21" s="1">
        <f t="shared" ca="1" si="33"/>
        <v>290</v>
      </c>
      <c r="AV21" s="1">
        <f t="shared" ca="1" si="34"/>
        <v>3</v>
      </c>
      <c r="AW21" s="1">
        <f t="shared" ca="1" si="35"/>
        <v>0.1805088079820508</v>
      </c>
      <c r="AY21" s="1">
        <f t="shared" ca="1" si="36"/>
        <v>1.6964789206463824</v>
      </c>
      <c r="AZ21" s="1">
        <f t="shared" ca="1" si="37"/>
        <v>446</v>
      </c>
      <c r="BA21" s="1">
        <f t="shared" ca="1" si="38"/>
        <v>1.4062544862126678E-3</v>
      </c>
      <c r="BV21" s="1">
        <f t="shared" ca="1" si="39"/>
        <v>0.97080014237517842</v>
      </c>
      <c r="BW21" s="1">
        <f t="shared" ca="1" si="40"/>
        <v>874</v>
      </c>
      <c r="BX21" s="1">
        <f t="shared" ca="1" si="41"/>
        <v>8.5661790438963745E-3</v>
      </c>
      <c r="BY21" s="1">
        <f t="shared" ca="1" si="42"/>
        <v>9.8078695439520192E-2</v>
      </c>
      <c r="BZ21" s="1">
        <f t="shared" ca="1" si="43"/>
        <v>0.46983771263189533</v>
      </c>
      <c r="CB21" s="1">
        <f t="shared" ca="1" si="44"/>
        <v>440</v>
      </c>
      <c r="CC21" s="1">
        <f t="shared" ca="1" si="45"/>
        <v>12</v>
      </c>
      <c r="CD21" s="1">
        <f t="shared" ca="1" si="46"/>
        <v>0.2048292051531776</v>
      </c>
      <c r="CE21" s="1">
        <f t="shared" ca="1" si="47"/>
        <v>0.68041909167192127</v>
      </c>
      <c r="CF21" s="1">
        <f t="shared" ca="1" si="47"/>
        <v>0.54299019361452605</v>
      </c>
      <c r="CH21" s="3">
        <f t="shared" ca="1" si="48"/>
        <v>0.29729167511457089</v>
      </c>
      <c r="CI21" s="3">
        <f t="shared" ca="1" si="49"/>
        <v>0.56988520124984665</v>
      </c>
      <c r="CJ21" s="3">
        <f t="shared" ca="1" si="50"/>
        <v>1802</v>
      </c>
      <c r="CK21" s="3">
        <f t="shared" ca="1" si="51"/>
        <v>8.4602908029264724E-3</v>
      </c>
      <c r="CL21" s="3">
        <f t="shared" ca="1" si="52"/>
        <v>0</v>
      </c>
      <c r="CM21" s="3"/>
      <c r="CN21" s="1">
        <f t="shared" ca="1" si="53"/>
        <v>18.206782341765322</v>
      </c>
      <c r="CO21" s="1">
        <f t="shared" ca="1" si="54"/>
        <v>0.17356746383994501</v>
      </c>
      <c r="CP21" s="1">
        <f t="shared" ca="1" si="55"/>
        <v>4</v>
      </c>
    </row>
    <row r="22" spans="2:94" x14ac:dyDescent="0.25">
      <c r="B22">
        <f t="shared" ca="1" si="0"/>
        <v>844</v>
      </c>
      <c r="C22">
        <f t="shared" ca="1" si="1"/>
        <v>42</v>
      </c>
      <c r="D22">
        <f t="shared" ca="1" si="2"/>
        <v>6.4135047117191119E-2</v>
      </c>
      <c r="F22" s="1">
        <f t="shared" ca="1" si="3"/>
        <v>34</v>
      </c>
      <c r="G22" s="1">
        <f t="shared" ca="1" si="4"/>
        <v>5</v>
      </c>
      <c r="H22" s="1">
        <f t="shared" ca="1" si="5"/>
        <v>13</v>
      </c>
      <c r="I22" s="1"/>
      <c r="J22" s="1">
        <f t="shared" ca="1" si="6"/>
        <v>8</v>
      </c>
      <c r="K22" s="1">
        <f t="shared" ca="1" si="7"/>
        <v>2.7294939672604328</v>
      </c>
      <c r="L22" s="1">
        <f t="shared" ca="1" si="8"/>
        <v>32</v>
      </c>
      <c r="M22" s="1"/>
      <c r="N22" s="1">
        <f t="shared" ca="1" si="9"/>
        <v>565</v>
      </c>
      <c r="O22" s="1">
        <f t="shared" ca="1" si="10"/>
        <v>35</v>
      </c>
      <c r="P22" s="1"/>
      <c r="Q22" s="1">
        <f t="shared" ca="1" si="11"/>
        <v>1.3205077609494573</v>
      </c>
      <c r="R22" s="1">
        <f t="shared" ca="1" si="12"/>
        <v>362</v>
      </c>
      <c r="S22" s="1"/>
      <c r="T22" s="1">
        <f t="shared" ca="1" si="13"/>
        <v>9.4466100258352323E-2</v>
      </c>
      <c r="U22" s="1">
        <f t="shared" ca="1" si="14"/>
        <v>289</v>
      </c>
      <c r="V22" s="1">
        <f t="shared" ca="1" si="15"/>
        <v>25</v>
      </c>
      <c r="W22" s="1"/>
      <c r="X22" s="1">
        <f t="shared" ca="1" si="16"/>
        <v>3.368975294084497</v>
      </c>
      <c r="Y22" s="1">
        <f t="shared" ca="1" si="17"/>
        <v>0.48888347428741735</v>
      </c>
      <c r="Z22" s="1">
        <f t="shared" ca="1" si="18"/>
        <v>310</v>
      </c>
      <c r="AB22" s="1">
        <f t="shared" ca="1" si="19"/>
        <v>0.42044632012342387</v>
      </c>
      <c r="AC22" s="1">
        <f t="shared" ca="1" si="20"/>
        <v>949</v>
      </c>
      <c r="AD22" s="1">
        <f t="shared" ca="1" si="21"/>
        <v>5.5784084644356132E-3</v>
      </c>
      <c r="AE22" s="1"/>
      <c r="AF22" s="1">
        <f t="shared" ca="1" si="22"/>
        <v>0.15813873676025453</v>
      </c>
      <c r="AG22" s="1">
        <f t="shared" ca="1" si="23"/>
        <v>855</v>
      </c>
      <c r="AH22" s="1">
        <f t="shared" ca="1" si="24"/>
        <v>2.9186062188425589E-3</v>
      </c>
      <c r="AJ22" s="1">
        <f t="shared" ca="1" si="25"/>
        <v>0.22642273572523364</v>
      </c>
      <c r="AK22" s="1">
        <f t="shared" ca="1" si="26"/>
        <v>8.4533698864932127E-3</v>
      </c>
      <c r="AL22" s="1"/>
      <c r="AM22" s="1">
        <f t="shared" ca="1" si="27"/>
        <v>9.4858476024338598E-2</v>
      </c>
      <c r="AN22" s="1">
        <f t="shared" ca="1" si="28"/>
        <v>53</v>
      </c>
      <c r="AO22" s="1">
        <f t="shared" ca="1" si="29"/>
        <v>18</v>
      </c>
      <c r="AQ22" s="1">
        <f t="shared" ca="1" si="30"/>
        <v>198</v>
      </c>
      <c r="AR22" s="1">
        <f t="shared" ca="1" si="31"/>
        <v>8</v>
      </c>
      <c r="AS22" s="1">
        <f t="shared" ca="1" si="32"/>
        <v>62</v>
      </c>
      <c r="AU22" s="1">
        <f t="shared" ca="1" si="33"/>
        <v>235</v>
      </c>
      <c r="AV22" s="1">
        <f t="shared" ca="1" si="34"/>
        <v>8</v>
      </c>
      <c r="AW22" s="1">
        <f t="shared" ca="1" si="35"/>
        <v>0.1997606486244333</v>
      </c>
      <c r="AY22" s="1">
        <f t="shared" ca="1" si="36"/>
        <v>1.710721057509371</v>
      </c>
      <c r="AZ22" s="1">
        <f t="shared" ca="1" si="37"/>
        <v>411</v>
      </c>
      <c r="BA22" s="1">
        <f t="shared" ca="1" si="38"/>
        <v>4.0764197882411455E-3</v>
      </c>
      <c r="BV22" s="1">
        <f t="shared" ca="1" si="39"/>
        <v>0.22815563348508169</v>
      </c>
      <c r="BW22" s="1">
        <f t="shared" ca="1" si="40"/>
        <v>917</v>
      </c>
      <c r="BX22" s="1">
        <f t="shared" ca="1" si="41"/>
        <v>9.5976057554508012E-3</v>
      </c>
      <c r="BY22" s="1">
        <f t="shared" ca="1" si="42"/>
        <v>3.7430161586463825E-2</v>
      </c>
      <c r="BZ22" s="1">
        <f t="shared" ca="1" si="43"/>
        <v>0.14498023395393311</v>
      </c>
      <c r="CB22" s="1">
        <f t="shared" ca="1" si="44"/>
        <v>249</v>
      </c>
      <c r="CC22" s="1">
        <f t="shared" ca="1" si="45"/>
        <v>3</v>
      </c>
      <c r="CD22" s="1">
        <f t="shared" ca="1" si="46"/>
        <v>0.26323247087948792</v>
      </c>
      <c r="CE22" s="1">
        <f t="shared" ca="1" si="47"/>
        <v>0.64309587598504958</v>
      </c>
      <c r="CF22" s="1">
        <f t="shared" ca="1" si="47"/>
        <v>0.52379208150307899</v>
      </c>
      <c r="CH22" s="3">
        <f t="shared" ca="1" si="48"/>
        <v>0.25855346719099731</v>
      </c>
      <c r="CI22" s="3">
        <f t="shared" ca="1" si="49"/>
        <v>0.18348848652558827</v>
      </c>
      <c r="CJ22" s="3">
        <f t="shared" ca="1" si="50"/>
        <v>113</v>
      </c>
      <c r="CK22" s="3">
        <f t="shared" ca="1" si="51"/>
        <v>1.827951276625574E-3</v>
      </c>
      <c r="CL22" s="3">
        <f t="shared" ca="1" si="52"/>
        <v>0</v>
      </c>
      <c r="CM22" s="3"/>
      <c r="CN22" s="1">
        <f t="shared" ca="1" si="53"/>
        <v>17.084829728124134</v>
      </c>
      <c r="CO22" s="1">
        <f t="shared" ca="1" si="54"/>
        <v>6.7646152982261273E-2</v>
      </c>
      <c r="CP22" s="1">
        <f t="shared" ca="1" si="55"/>
        <v>3</v>
      </c>
    </row>
    <row r="23" spans="2:94" x14ac:dyDescent="0.25">
      <c r="B23">
        <f t="shared" ca="1" si="0"/>
        <v>863</v>
      </c>
      <c r="C23">
        <f t="shared" ca="1" si="1"/>
        <v>2</v>
      </c>
      <c r="D23">
        <f t="shared" ca="1" si="2"/>
        <v>0.19929408567258827</v>
      </c>
      <c r="F23" s="1">
        <f t="shared" ca="1" si="3"/>
        <v>39</v>
      </c>
      <c r="G23" s="1">
        <f t="shared" ca="1" si="4"/>
        <v>23</v>
      </c>
      <c r="H23" s="1">
        <f t="shared" ca="1" si="5"/>
        <v>15</v>
      </c>
      <c r="I23" s="1"/>
      <c r="J23" s="1">
        <f t="shared" ca="1" si="6"/>
        <v>15</v>
      </c>
      <c r="K23" s="1">
        <f t="shared" ca="1" si="7"/>
        <v>2.629968800281921</v>
      </c>
      <c r="L23" s="1">
        <f t="shared" ca="1" si="8"/>
        <v>8</v>
      </c>
      <c r="M23" s="1"/>
      <c r="N23" s="1">
        <f t="shared" ca="1" si="9"/>
        <v>449</v>
      </c>
      <c r="O23" s="1">
        <f t="shared" ca="1" si="10"/>
        <v>6</v>
      </c>
      <c r="P23" s="1"/>
      <c r="Q23" s="1">
        <f t="shared" ca="1" si="11"/>
        <v>1.4639998426494536</v>
      </c>
      <c r="R23" s="1">
        <f t="shared" ca="1" si="12"/>
        <v>605</v>
      </c>
      <c r="S23" s="1"/>
      <c r="T23" s="1">
        <f t="shared" ca="1" si="13"/>
        <v>0.1011096374871886</v>
      </c>
      <c r="U23" s="1">
        <f t="shared" ca="1" si="14"/>
        <v>60</v>
      </c>
      <c r="V23" s="1">
        <f t="shared" ca="1" si="15"/>
        <v>42</v>
      </c>
      <c r="W23" s="1"/>
      <c r="X23" s="1">
        <f t="shared" ca="1" si="16"/>
        <v>6.1718571374824434</v>
      </c>
      <c r="Y23" s="1">
        <f t="shared" ca="1" si="17"/>
        <v>0.57218839569401736</v>
      </c>
      <c r="Z23" s="1">
        <f t="shared" ca="1" si="18"/>
        <v>501</v>
      </c>
      <c r="AB23" s="1">
        <f t="shared" ca="1" si="19"/>
        <v>0.74369444638703797</v>
      </c>
      <c r="AC23" s="1">
        <f t="shared" ca="1" si="20"/>
        <v>351</v>
      </c>
      <c r="AD23" s="1">
        <f t="shared" ca="1" si="21"/>
        <v>9.9896032634554034E-4</v>
      </c>
      <c r="AE23" s="1"/>
      <c r="AF23" s="1">
        <f t="shared" ca="1" si="22"/>
        <v>0.18215633488794947</v>
      </c>
      <c r="AG23" s="1">
        <f t="shared" ca="1" si="23"/>
        <v>965</v>
      </c>
      <c r="AH23" s="1">
        <f t="shared" ca="1" si="24"/>
        <v>6.2705701490460078E-3</v>
      </c>
      <c r="AJ23" s="1">
        <f t="shared" ca="1" si="25"/>
        <v>0.69806212198641404</v>
      </c>
      <c r="AK23" s="1">
        <f t="shared" ca="1" si="26"/>
        <v>5.8390291533422182E-3</v>
      </c>
      <c r="AL23" s="1"/>
      <c r="AM23" s="1">
        <f t="shared" ca="1" si="27"/>
        <v>5.8636457864319147E-2</v>
      </c>
      <c r="AN23" s="1">
        <f t="shared" ca="1" si="28"/>
        <v>35</v>
      </c>
      <c r="AO23" s="1">
        <f t="shared" ca="1" si="29"/>
        <v>19</v>
      </c>
      <c r="AQ23" s="1">
        <f t="shared" ca="1" si="30"/>
        <v>83</v>
      </c>
      <c r="AR23" s="1">
        <f t="shared" ca="1" si="31"/>
        <v>10</v>
      </c>
      <c r="AS23" s="1">
        <f t="shared" ca="1" si="32"/>
        <v>69</v>
      </c>
      <c r="AU23" s="1">
        <f t="shared" ca="1" si="33"/>
        <v>91</v>
      </c>
      <c r="AV23" s="1">
        <f t="shared" ca="1" si="34"/>
        <v>7</v>
      </c>
      <c r="AW23" s="1">
        <f t="shared" ca="1" si="35"/>
        <v>0.16461645484152376</v>
      </c>
      <c r="AY23" s="1">
        <f t="shared" ca="1" si="36"/>
        <v>1.5885962759763688</v>
      </c>
      <c r="AZ23" s="1">
        <f t="shared" ca="1" si="37"/>
        <v>328</v>
      </c>
      <c r="BA23" s="1">
        <f t="shared" ca="1" si="38"/>
        <v>2.6314460861088964E-3</v>
      </c>
      <c r="BV23" s="1">
        <f t="shared" ca="1" si="39"/>
        <v>0.33611648493733581</v>
      </c>
      <c r="BW23" s="1">
        <f t="shared" ca="1" si="40"/>
        <v>710</v>
      </c>
      <c r="BX23" s="1">
        <f t="shared" ca="1" si="41"/>
        <v>6.1276964333323537E-3</v>
      </c>
      <c r="BY23" s="1">
        <f t="shared" ca="1" si="42"/>
        <v>9.3459672394984983E-2</v>
      </c>
      <c r="BZ23" s="1">
        <f t="shared" ca="1" si="43"/>
        <v>0.47206386129095823</v>
      </c>
      <c r="CB23" s="1">
        <f t="shared" ca="1" si="44"/>
        <v>250</v>
      </c>
      <c r="CC23" s="1">
        <f t="shared" ca="1" si="45"/>
        <v>11</v>
      </c>
      <c r="CD23" s="1">
        <f t="shared" ca="1" si="46"/>
        <v>0.21717230913027916</v>
      </c>
      <c r="CE23" s="1">
        <f t="shared" ca="1" si="47"/>
        <v>0.58991820021629904</v>
      </c>
      <c r="CF23" s="1">
        <f t="shared" ca="1" si="47"/>
        <v>0.9893095076846713</v>
      </c>
      <c r="CH23" s="3">
        <f t="shared" ca="1" si="48"/>
        <v>0.21672791554708509</v>
      </c>
      <c r="CI23" s="3">
        <f t="shared" ca="1" si="49"/>
        <v>0.18710274330258825</v>
      </c>
      <c r="CJ23" s="3">
        <f t="shared" ca="1" si="50"/>
        <v>1034</v>
      </c>
      <c r="CK23" s="3">
        <f t="shared" ca="1" si="51"/>
        <v>4.7564263155288828E-3</v>
      </c>
      <c r="CL23" s="3">
        <f t="shared" ca="1" si="52"/>
        <v>1</v>
      </c>
      <c r="CM23" s="3"/>
      <c r="CN23" s="1">
        <f t="shared" ca="1" si="53"/>
        <v>5.4359566203902929</v>
      </c>
      <c r="CO23" s="1">
        <f t="shared" ca="1" si="54"/>
        <v>0.33936995799548314</v>
      </c>
      <c r="CP23" s="1">
        <f t="shared" ca="1" si="55"/>
        <v>5</v>
      </c>
    </row>
    <row r="24" spans="2:94" x14ac:dyDescent="0.25">
      <c r="B24">
        <f t="shared" ca="1" si="0"/>
        <v>572</v>
      </c>
      <c r="C24">
        <f t="shared" ca="1" si="1"/>
        <v>42</v>
      </c>
      <c r="D24">
        <f t="shared" ca="1" si="2"/>
        <v>8.6854687359462793E-2</v>
      </c>
      <c r="F24" s="1">
        <f t="shared" ca="1" si="3"/>
        <v>39</v>
      </c>
      <c r="G24" s="1">
        <f t="shared" ca="1" si="4"/>
        <v>12</v>
      </c>
      <c r="H24" s="1">
        <f t="shared" ca="1" si="5"/>
        <v>3</v>
      </c>
      <c r="I24" s="1"/>
      <c r="J24" s="1">
        <f t="shared" ca="1" si="6"/>
        <v>37</v>
      </c>
      <c r="K24" s="1">
        <f t="shared" ca="1" si="7"/>
        <v>1.8719843434673009</v>
      </c>
      <c r="L24" s="1">
        <f t="shared" ca="1" si="8"/>
        <v>32</v>
      </c>
      <c r="M24" s="1"/>
      <c r="N24" s="1">
        <f t="shared" ca="1" si="9"/>
        <v>911</v>
      </c>
      <c r="O24" s="1">
        <f t="shared" ca="1" si="10"/>
        <v>47</v>
      </c>
      <c r="P24" s="1"/>
      <c r="Q24" s="1">
        <f t="shared" ca="1" si="11"/>
        <v>3.0881102831753662</v>
      </c>
      <c r="R24" s="1">
        <f t="shared" ca="1" si="12"/>
        <v>444</v>
      </c>
      <c r="S24" s="1"/>
      <c r="T24" s="1">
        <f t="shared" ca="1" si="13"/>
        <v>0.17263986232321124</v>
      </c>
      <c r="U24" s="1">
        <f t="shared" ca="1" si="14"/>
        <v>417</v>
      </c>
      <c r="V24" s="1">
        <f t="shared" ca="1" si="15"/>
        <v>44</v>
      </c>
      <c r="W24" s="1"/>
      <c r="X24" s="1">
        <f t="shared" ca="1" si="16"/>
        <v>8.2035759208943944</v>
      </c>
      <c r="Y24" s="1">
        <f t="shared" ca="1" si="17"/>
        <v>2.5149275559621546E-2</v>
      </c>
      <c r="Z24" s="1">
        <f t="shared" ca="1" si="18"/>
        <v>805</v>
      </c>
      <c r="AB24" s="1">
        <f t="shared" ca="1" si="19"/>
        <v>0.66798219804674408</v>
      </c>
      <c r="AC24" s="1">
        <f t="shared" ca="1" si="20"/>
        <v>834</v>
      </c>
      <c r="AD24" s="1">
        <f t="shared" ca="1" si="21"/>
        <v>6.4045318576850339E-3</v>
      </c>
      <c r="AE24" s="1"/>
      <c r="AF24" s="1">
        <f t="shared" ca="1" si="22"/>
        <v>0.68965541295799104</v>
      </c>
      <c r="AG24" s="1">
        <f t="shared" ca="1" si="23"/>
        <v>996</v>
      </c>
      <c r="AH24" s="1">
        <f t="shared" ca="1" si="24"/>
        <v>4.3505653454166049E-3</v>
      </c>
      <c r="AJ24" s="1">
        <f t="shared" ca="1" si="25"/>
        <v>0.62792701269354367</v>
      </c>
      <c r="AK24" s="1">
        <f t="shared" ca="1" si="26"/>
        <v>7.6837513392090792E-3</v>
      </c>
      <c r="AL24" s="1"/>
      <c r="AM24" s="1">
        <f t="shared" ca="1" si="27"/>
        <v>2.82590004844144E-2</v>
      </c>
      <c r="AN24" s="1">
        <f t="shared" ca="1" si="28"/>
        <v>67</v>
      </c>
      <c r="AO24" s="1">
        <f t="shared" ca="1" si="29"/>
        <v>1</v>
      </c>
      <c r="AQ24" s="1">
        <f t="shared" ca="1" si="30"/>
        <v>11</v>
      </c>
      <c r="AR24" s="1">
        <f t="shared" ca="1" si="31"/>
        <v>8</v>
      </c>
      <c r="AS24" s="1">
        <f t="shared" ca="1" si="32"/>
        <v>94</v>
      </c>
      <c r="AU24" s="1">
        <f t="shared" ca="1" si="33"/>
        <v>358</v>
      </c>
      <c r="AV24" s="1">
        <f t="shared" ca="1" si="34"/>
        <v>7</v>
      </c>
      <c r="AW24" s="1">
        <f t="shared" ca="1" si="35"/>
        <v>8.0088416193969406E-2</v>
      </c>
      <c r="AY24" s="1">
        <f t="shared" ca="1" si="36"/>
        <v>1.7840119373775138</v>
      </c>
      <c r="AZ24" s="1">
        <f t="shared" ca="1" si="37"/>
        <v>126</v>
      </c>
      <c r="BA24" s="1">
        <f t="shared" ca="1" si="38"/>
        <v>5.0729624290093674E-3</v>
      </c>
      <c r="BV24" s="1">
        <f t="shared" ca="1" si="39"/>
        <v>0.69653421716318276</v>
      </c>
      <c r="BW24" s="1">
        <f t="shared" ca="1" si="40"/>
        <v>389</v>
      </c>
      <c r="BX24" s="1">
        <f t="shared" ca="1" si="41"/>
        <v>4.1034985496559827E-3</v>
      </c>
      <c r="BY24" s="1">
        <f t="shared" ca="1" si="42"/>
        <v>8.7495425327710943E-2</v>
      </c>
      <c r="BZ24" s="1">
        <f t="shared" ca="1" si="43"/>
        <v>0.14789012279335345</v>
      </c>
      <c r="CB24" s="1">
        <f t="shared" ca="1" si="44"/>
        <v>297</v>
      </c>
      <c r="CC24" s="1">
        <f t="shared" ca="1" si="45"/>
        <v>3</v>
      </c>
      <c r="CD24" s="1">
        <f t="shared" ca="1" si="46"/>
        <v>0.17398329368378471</v>
      </c>
      <c r="CE24" s="1">
        <f t="shared" ca="1" si="47"/>
        <v>0.94225841721832326</v>
      </c>
      <c r="CF24" s="1">
        <f t="shared" ca="1" si="47"/>
        <v>0.55011988805499978</v>
      </c>
      <c r="CH24" s="3">
        <f t="shared" ca="1" si="48"/>
        <v>0.29456013119379998</v>
      </c>
      <c r="CI24" s="3">
        <f t="shared" ca="1" si="49"/>
        <v>0.77781083422646302</v>
      </c>
      <c r="CJ24" s="3">
        <f t="shared" ca="1" si="50"/>
        <v>1724</v>
      </c>
      <c r="CK24" s="3">
        <f t="shared" ca="1" si="51"/>
        <v>6.3570991117552602E-3</v>
      </c>
      <c r="CL24" s="3">
        <f t="shared" ca="1" si="52"/>
        <v>1</v>
      </c>
      <c r="CM24" s="3"/>
      <c r="CN24" s="1">
        <f t="shared" ca="1" si="53"/>
        <v>16.343386197637059</v>
      </c>
      <c r="CO24" s="1">
        <f t="shared" ca="1" si="54"/>
        <v>0.24363442020937578</v>
      </c>
      <c r="CP24" s="1">
        <f t="shared" ca="1" si="55"/>
        <v>2</v>
      </c>
    </row>
    <row r="25" spans="2:94" x14ac:dyDescent="0.25">
      <c r="B25">
        <f t="shared" ca="1" si="0"/>
        <v>841</v>
      </c>
      <c r="C25">
        <f t="shared" ca="1" si="1"/>
        <v>3</v>
      </c>
      <c r="D25">
        <f t="shared" ca="1" si="2"/>
        <v>7.613490581323093E-2</v>
      </c>
      <c r="F25" s="1">
        <f t="shared" ca="1" si="3"/>
        <v>43</v>
      </c>
      <c r="G25" s="1">
        <f t="shared" ca="1" si="4"/>
        <v>26</v>
      </c>
      <c r="H25" s="1">
        <f t="shared" ca="1" si="5"/>
        <v>12</v>
      </c>
      <c r="I25" s="1"/>
      <c r="J25" s="1">
        <f t="shared" ca="1" si="6"/>
        <v>33</v>
      </c>
      <c r="K25" s="1">
        <f t="shared" ca="1" si="7"/>
        <v>2.8130732865702717</v>
      </c>
      <c r="L25" s="1">
        <f t="shared" ca="1" si="8"/>
        <v>18</v>
      </c>
      <c r="M25" s="1"/>
      <c r="N25" s="1">
        <f t="shared" ca="1" si="9"/>
        <v>333</v>
      </c>
      <c r="O25" s="1">
        <f t="shared" ca="1" si="10"/>
        <v>17</v>
      </c>
      <c r="P25" s="1"/>
      <c r="Q25" s="1">
        <f t="shared" ca="1" si="11"/>
        <v>4.8472671191080767</v>
      </c>
      <c r="R25" s="1">
        <f t="shared" ca="1" si="12"/>
        <v>931</v>
      </c>
      <c r="S25" s="1"/>
      <c r="T25" s="1">
        <f t="shared" ca="1" si="13"/>
        <v>0.12869963308108096</v>
      </c>
      <c r="U25" s="1">
        <f t="shared" ca="1" si="14"/>
        <v>291</v>
      </c>
      <c r="V25" s="1">
        <f t="shared" ca="1" si="15"/>
        <v>24</v>
      </c>
      <c r="W25" s="1"/>
      <c r="X25" s="1">
        <f t="shared" ca="1" si="16"/>
        <v>5.7169417300912206</v>
      </c>
      <c r="Y25" s="1">
        <f t="shared" ca="1" si="17"/>
        <v>0.8092755881585616</v>
      </c>
      <c r="Z25" s="1">
        <f t="shared" ca="1" si="18"/>
        <v>1403</v>
      </c>
      <c r="AB25" s="1">
        <f t="shared" ca="1" si="19"/>
        <v>0.53144240748128613</v>
      </c>
      <c r="AC25" s="1">
        <f t="shared" ca="1" si="20"/>
        <v>892</v>
      </c>
      <c r="AD25" s="1">
        <f t="shared" ca="1" si="21"/>
        <v>1.3953384192575639E-3</v>
      </c>
      <c r="AE25" s="1"/>
      <c r="AF25" s="1">
        <f t="shared" ca="1" si="22"/>
        <v>0.36419011117972622</v>
      </c>
      <c r="AG25" s="1">
        <f t="shared" ca="1" si="23"/>
        <v>220</v>
      </c>
      <c r="AH25" s="1">
        <f t="shared" ca="1" si="24"/>
        <v>7.7534343062662624E-3</v>
      </c>
      <c r="AJ25" s="1">
        <f t="shared" ca="1" si="25"/>
        <v>0.6717658311037531</v>
      </c>
      <c r="AK25" s="1">
        <f t="shared" ca="1" si="26"/>
        <v>6.6471873825686058E-3</v>
      </c>
      <c r="AL25" s="1"/>
      <c r="AM25" s="1">
        <f t="shared" ca="1" si="27"/>
        <v>6.6535193200800133E-2</v>
      </c>
      <c r="AN25" s="1">
        <f t="shared" ca="1" si="28"/>
        <v>10</v>
      </c>
      <c r="AO25" s="1">
        <f t="shared" ca="1" si="29"/>
        <v>16</v>
      </c>
      <c r="AQ25" s="1">
        <f t="shared" ca="1" si="30"/>
        <v>77</v>
      </c>
      <c r="AR25" s="1">
        <f t="shared" ca="1" si="31"/>
        <v>3</v>
      </c>
      <c r="AS25" s="1">
        <f t="shared" ca="1" si="32"/>
        <v>53</v>
      </c>
      <c r="AU25" s="1">
        <f t="shared" ca="1" si="33"/>
        <v>119</v>
      </c>
      <c r="AV25" s="1">
        <f t="shared" ca="1" si="34"/>
        <v>4</v>
      </c>
      <c r="AW25" s="1">
        <f t="shared" ca="1" si="35"/>
        <v>0.15330864416410755</v>
      </c>
      <c r="AY25" s="1">
        <f t="shared" ca="1" si="36"/>
        <v>1.5931482015102287</v>
      </c>
      <c r="AZ25" s="1">
        <f t="shared" ca="1" si="37"/>
        <v>83</v>
      </c>
      <c r="BA25" s="1">
        <f t="shared" ca="1" si="38"/>
        <v>8.974644395003565E-3</v>
      </c>
      <c r="BV25" s="1">
        <f t="shared" ca="1" si="39"/>
        <v>0.44460431462792349</v>
      </c>
      <c r="BW25" s="1">
        <f t="shared" ca="1" si="40"/>
        <v>865</v>
      </c>
      <c r="BX25" s="1">
        <f t="shared" ca="1" si="41"/>
        <v>8.4989160365034917E-3</v>
      </c>
      <c r="BY25" s="1">
        <f t="shared" ca="1" si="42"/>
        <v>5.420397845544387E-2</v>
      </c>
      <c r="BZ25" s="1">
        <f t="shared" ca="1" si="43"/>
        <v>0.59041220222369861</v>
      </c>
      <c r="CB25" s="1">
        <f t="shared" ca="1" si="44"/>
        <v>135</v>
      </c>
      <c r="CC25" s="1">
        <f t="shared" ca="1" si="45"/>
        <v>8</v>
      </c>
      <c r="CD25" s="1">
        <f t="shared" ca="1" si="46"/>
        <v>4.9049782457118558E-2</v>
      </c>
      <c r="CE25" s="1">
        <f t="shared" ca="1" si="47"/>
        <v>0.85939203984525292</v>
      </c>
      <c r="CF25" s="1">
        <f t="shared" ca="1" si="47"/>
        <v>0.56454472883296791</v>
      </c>
      <c r="CH25" s="3">
        <f t="shared" ca="1" si="48"/>
        <v>8.4909660803481238E-2</v>
      </c>
      <c r="CI25" s="3">
        <f t="shared" ca="1" si="49"/>
        <v>0.25494522942562575</v>
      </c>
      <c r="CJ25" s="3">
        <f t="shared" ca="1" si="50"/>
        <v>1167</v>
      </c>
      <c r="CK25" s="3">
        <f t="shared" ca="1" si="51"/>
        <v>1.6221137500277809E-3</v>
      </c>
      <c r="CL25" s="3">
        <f t="shared" ca="1" si="52"/>
        <v>1</v>
      </c>
      <c r="CM25" s="3"/>
      <c r="CN25" s="1">
        <f t="shared" ca="1" si="53"/>
        <v>19.051503947214833</v>
      </c>
      <c r="CO25" s="1">
        <f t="shared" ca="1" si="54"/>
        <v>6.783342851778644E-2</v>
      </c>
      <c r="CP25" s="1">
        <f t="shared" ca="1" si="55"/>
        <v>2</v>
      </c>
    </row>
    <row r="26" spans="2:94" x14ac:dyDescent="0.25">
      <c r="B26">
        <f t="shared" ca="1" si="0"/>
        <v>904</v>
      </c>
      <c r="C26">
        <f t="shared" ca="1" si="1"/>
        <v>38</v>
      </c>
      <c r="D26">
        <f t="shared" ca="1" si="2"/>
        <v>3.209057666069997E-2</v>
      </c>
      <c r="F26" s="1">
        <f t="shared" ca="1" si="3"/>
        <v>19</v>
      </c>
      <c r="G26" s="1">
        <f t="shared" ca="1" si="4"/>
        <v>18</v>
      </c>
      <c r="H26" s="1">
        <f t="shared" ca="1" si="5"/>
        <v>11</v>
      </c>
      <c r="I26" s="1"/>
      <c r="J26" s="1">
        <f t="shared" ca="1" si="6"/>
        <v>3</v>
      </c>
      <c r="K26" s="1">
        <f t="shared" ca="1" si="7"/>
        <v>2.629925875742408</v>
      </c>
      <c r="L26" s="1">
        <f t="shared" ca="1" si="8"/>
        <v>24</v>
      </c>
      <c r="M26" s="1"/>
      <c r="N26" s="1">
        <f t="shared" ca="1" si="9"/>
        <v>239</v>
      </c>
      <c r="O26" s="1">
        <f t="shared" ca="1" si="10"/>
        <v>39</v>
      </c>
      <c r="P26" s="1"/>
      <c r="Q26" s="1">
        <f t="shared" ca="1" si="11"/>
        <v>9.1400366210908995E-2</v>
      </c>
      <c r="R26" s="1">
        <f t="shared" ca="1" si="12"/>
        <v>463</v>
      </c>
      <c r="S26" s="1"/>
      <c r="T26" s="1">
        <f t="shared" ca="1" si="13"/>
        <v>6.5567734491142532E-2</v>
      </c>
      <c r="U26" s="1">
        <f t="shared" ca="1" si="14"/>
        <v>108</v>
      </c>
      <c r="V26" s="1">
        <f t="shared" ca="1" si="15"/>
        <v>23</v>
      </c>
      <c r="W26" s="1"/>
      <c r="X26" s="1">
        <f t="shared" ca="1" si="16"/>
        <v>7.9755890219884664</v>
      </c>
      <c r="Y26" s="1">
        <f t="shared" ca="1" si="17"/>
        <v>0.54275510886419198</v>
      </c>
      <c r="Z26" s="1">
        <f t="shared" ca="1" si="18"/>
        <v>513</v>
      </c>
      <c r="AB26" s="1">
        <f t="shared" ca="1" si="19"/>
        <v>0.93253088014445573</v>
      </c>
      <c r="AC26" s="1">
        <f t="shared" ca="1" si="20"/>
        <v>862</v>
      </c>
      <c r="AD26" s="1">
        <f t="shared" ca="1" si="21"/>
        <v>2.6016194734637685E-3</v>
      </c>
      <c r="AE26" s="1"/>
      <c r="AF26" s="1">
        <f t="shared" ca="1" si="22"/>
        <v>0.68845446304128444</v>
      </c>
      <c r="AG26" s="1">
        <f t="shared" ca="1" si="23"/>
        <v>811</v>
      </c>
      <c r="AH26" s="1">
        <f t="shared" ca="1" si="24"/>
        <v>8.3802276689353104E-3</v>
      </c>
      <c r="AJ26" s="1">
        <f t="shared" ca="1" si="25"/>
        <v>0.79644568741651844</v>
      </c>
      <c r="AK26" s="1">
        <f t="shared" ca="1" si="26"/>
        <v>3.5490828354693888E-3</v>
      </c>
      <c r="AL26" s="1"/>
      <c r="AM26" s="1">
        <f t="shared" ca="1" si="27"/>
        <v>3.8056661434701634E-2</v>
      </c>
      <c r="AN26" s="1">
        <f t="shared" ca="1" si="28"/>
        <v>51</v>
      </c>
      <c r="AO26" s="1">
        <f t="shared" ca="1" si="29"/>
        <v>5</v>
      </c>
      <c r="AQ26" s="1">
        <f t="shared" ca="1" si="30"/>
        <v>46</v>
      </c>
      <c r="AR26" s="1">
        <f t="shared" ca="1" si="31"/>
        <v>8</v>
      </c>
      <c r="AS26" s="1">
        <f t="shared" ca="1" si="32"/>
        <v>62</v>
      </c>
      <c r="AU26" s="1">
        <f t="shared" ca="1" si="33"/>
        <v>374</v>
      </c>
      <c r="AV26" s="1">
        <f t="shared" ca="1" si="34"/>
        <v>2</v>
      </c>
      <c r="AW26" s="1">
        <f t="shared" ca="1" si="35"/>
        <v>3.4054950024548392E-2</v>
      </c>
      <c r="AY26" s="1">
        <f t="shared" ca="1" si="36"/>
        <v>1.5253692275467978</v>
      </c>
      <c r="AZ26" s="1">
        <f t="shared" ca="1" si="37"/>
        <v>287</v>
      </c>
      <c r="BA26" s="1">
        <f t="shared" ca="1" si="38"/>
        <v>4.2202151099640173E-3</v>
      </c>
      <c r="BV26" s="1">
        <f t="shared" ca="1" si="39"/>
        <v>0.84887761143260421</v>
      </c>
      <c r="BW26" s="1">
        <f t="shared" ca="1" si="40"/>
        <v>572</v>
      </c>
      <c r="BX26" s="1">
        <f t="shared" ca="1" si="41"/>
        <v>7.3935497649735603E-3</v>
      </c>
      <c r="BY26" s="1">
        <f t="shared" ca="1" si="42"/>
        <v>5.4267610411846474E-2</v>
      </c>
      <c r="BZ26" s="1">
        <f t="shared" ca="1" si="43"/>
        <v>0.22017791494996786</v>
      </c>
      <c r="CB26" s="1">
        <f t="shared" ca="1" si="44"/>
        <v>191</v>
      </c>
      <c r="CC26" s="1">
        <f t="shared" ca="1" si="45"/>
        <v>4</v>
      </c>
      <c r="CD26" s="1">
        <f t="shared" ca="1" si="46"/>
        <v>6.6112900368505201E-2</v>
      </c>
      <c r="CE26" s="1">
        <f t="shared" ca="1" si="47"/>
        <v>0.8683673679146896</v>
      </c>
      <c r="CF26" s="1">
        <f t="shared" ca="1" si="47"/>
        <v>0.97600139056370594</v>
      </c>
      <c r="CH26" s="3">
        <f t="shared" ca="1" si="48"/>
        <v>0.38295659552188199</v>
      </c>
      <c r="CI26" s="3">
        <f t="shared" ca="1" si="49"/>
        <v>0.6766767814325555</v>
      </c>
      <c r="CJ26" s="3">
        <f t="shared" ca="1" si="50"/>
        <v>1898</v>
      </c>
      <c r="CK26" s="3">
        <f t="shared" ca="1" si="51"/>
        <v>1.5263892203352472E-4</v>
      </c>
      <c r="CL26" s="3">
        <f t="shared" ca="1" si="52"/>
        <v>1</v>
      </c>
      <c r="CM26" s="3"/>
      <c r="CN26" s="1">
        <f t="shared" ca="1" si="53"/>
        <v>1.5935884412576298</v>
      </c>
      <c r="CO26" s="1">
        <f t="shared" ca="1" si="54"/>
        <v>0.48890266093017659</v>
      </c>
      <c r="CP26" s="1">
        <f t="shared" ca="1" si="55"/>
        <v>3</v>
      </c>
    </row>
    <row r="27" spans="2:94" x14ac:dyDescent="0.25">
      <c r="B27">
        <f t="shared" ca="1" si="0"/>
        <v>748</v>
      </c>
      <c r="C27">
        <f t="shared" ca="1" si="1"/>
        <v>35</v>
      </c>
      <c r="D27">
        <f t="shared" ca="1" si="2"/>
        <v>0.12953522033708609</v>
      </c>
      <c r="F27" s="1">
        <f t="shared" ca="1" si="3"/>
        <v>51</v>
      </c>
      <c r="G27" s="1">
        <f t="shared" ca="1" si="4"/>
        <v>29</v>
      </c>
      <c r="H27" s="1">
        <f t="shared" ca="1" si="5"/>
        <v>2</v>
      </c>
      <c r="I27" s="1"/>
      <c r="J27" s="1">
        <f t="shared" ca="1" si="6"/>
        <v>8</v>
      </c>
      <c r="K27" s="1">
        <f t="shared" ca="1" si="7"/>
        <v>2.6088489309242289</v>
      </c>
      <c r="L27" s="1">
        <f t="shared" ca="1" si="8"/>
        <v>24</v>
      </c>
      <c r="M27" s="1"/>
      <c r="N27" s="1">
        <f t="shared" ca="1" si="9"/>
        <v>177</v>
      </c>
      <c r="O27" s="1">
        <f t="shared" ca="1" si="10"/>
        <v>36</v>
      </c>
      <c r="P27" s="1"/>
      <c r="Q27" s="1">
        <f t="shared" ca="1" si="11"/>
        <v>0.13188769517303101</v>
      </c>
      <c r="R27" s="1">
        <f t="shared" ca="1" si="12"/>
        <v>967</v>
      </c>
      <c r="S27" s="1"/>
      <c r="T27" s="1">
        <f t="shared" ca="1" si="13"/>
        <v>0.17054209208685581</v>
      </c>
      <c r="U27" s="1">
        <f t="shared" ca="1" si="14"/>
        <v>386</v>
      </c>
      <c r="V27" s="1">
        <f t="shared" ca="1" si="15"/>
        <v>21</v>
      </c>
      <c r="W27" s="1"/>
      <c r="X27" s="1">
        <f t="shared" ca="1" si="16"/>
        <v>8.7767966501344787</v>
      </c>
      <c r="Y27" s="1">
        <f t="shared" ca="1" si="17"/>
        <v>7.390475232663514E-3</v>
      </c>
      <c r="Z27" s="1">
        <f t="shared" ca="1" si="18"/>
        <v>1920</v>
      </c>
      <c r="AB27" s="1">
        <f t="shared" ca="1" si="19"/>
        <v>0.68471849343685764</v>
      </c>
      <c r="AC27" s="1">
        <f t="shared" ca="1" si="20"/>
        <v>372</v>
      </c>
      <c r="AD27" s="1">
        <f t="shared" ca="1" si="21"/>
        <v>8.6682148575505501E-3</v>
      </c>
      <c r="AE27" s="1"/>
      <c r="AF27" s="1">
        <f t="shared" ca="1" si="22"/>
        <v>0.15467634847107645</v>
      </c>
      <c r="AG27" s="1">
        <f t="shared" ca="1" si="23"/>
        <v>181</v>
      </c>
      <c r="AH27" s="1">
        <f t="shared" ca="1" si="24"/>
        <v>4.8686329310518974E-3</v>
      </c>
      <c r="AJ27" s="1">
        <f t="shared" ca="1" si="25"/>
        <v>0.72512267070427894</v>
      </c>
      <c r="AK27" s="1">
        <f t="shared" ca="1" si="26"/>
        <v>9.3845278335357649E-3</v>
      </c>
      <c r="AL27" s="1"/>
      <c r="AM27" s="1">
        <f t="shared" ca="1" si="27"/>
        <v>0.13002330314906688</v>
      </c>
      <c r="AN27" s="1">
        <f t="shared" ca="1" si="28"/>
        <v>12</v>
      </c>
      <c r="AO27" s="1">
        <f t="shared" ca="1" si="29"/>
        <v>6</v>
      </c>
      <c r="AQ27" s="1">
        <f t="shared" ca="1" si="30"/>
        <v>63</v>
      </c>
      <c r="AR27" s="1">
        <f t="shared" ca="1" si="31"/>
        <v>5</v>
      </c>
      <c r="AS27" s="1">
        <f t="shared" ca="1" si="32"/>
        <v>50</v>
      </c>
      <c r="AU27" s="1">
        <f t="shared" ca="1" si="33"/>
        <v>146</v>
      </c>
      <c r="AV27" s="1">
        <f t="shared" ca="1" si="34"/>
        <v>9</v>
      </c>
      <c r="AW27" s="1">
        <f t="shared" ca="1" si="35"/>
        <v>9.4356540179198409E-2</v>
      </c>
      <c r="AY27" s="1">
        <f t="shared" ca="1" si="36"/>
        <v>1.1848955840763549</v>
      </c>
      <c r="AZ27" s="1">
        <f t="shared" ca="1" si="37"/>
        <v>451</v>
      </c>
      <c r="BA27" s="1">
        <f t="shared" ca="1" si="38"/>
        <v>6.8791226643016741E-3</v>
      </c>
      <c r="BV27" s="1">
        <f t="shared" ca="1" si="39"/>
        <v>0.11731827280052728</v>
      </c>
      <c r="BW27" s="1">
        <f t="shared" ca="1" si="40"/>
        <v>526</v>
      </c>
      <c r="BX27" s="1">
        <f t="shared" ca="1" si="41"/>
        <v>6.2979340996030878E-4</v>
      </c>
      <c r="BY27" s="1">
        <f t="shared" ca="1" si="42"/>
        <v>6.0293370381082595E-2</v>
      </c>
      <c r="BZ27" s="1">
        <f t="shared" ca="1" si="43"/>
        <v>0.54438401952286719</v>
      </c>
      <c r="CB27" s="1">
        <f t="shared" ca="1" si="44"/>
        <v>87</v>
      </c>
      <c r="CC27" s="1">
        <f t="shared" ca="1" si="45"/>
        <v>3</v>
      </c>
      <c r="CD27" s="1">
        <f t="shared" ca="1" si="46"/>
        <v>0.16602833909135717</v>
      </c>
      <c r="CE27" s="1">
        <f t="shared" ca="1" si="47"/>
        <v>0.96883636527138228</v>
      </c>
      <c r="CF27" s="1">
        <f t="shared" ca="1" si="47"/>
        <v>0.88637869087659171</v>
      </c>
      <c r="CH27" s="3">
        <f t="shared" ca="1" si="48"/>
        <v>0.69442876160167244</v>
      </c>
      <c r="CI27" s="3">
        <f t="shared" ca="1" si="49"/>
        <v>0.10222275737388023</v>
      </c>
      <c r="CJ27" s="3">
        <f t="shared" ca="1" si="50"/>
        <v>394</v>
      </c>
      <c r="CK27" s="3">
        <f t="shared" ca="1" si="51"/>
        <v>5.9663922790602958E-3</v>
      </c>
      <c r="CL27" s="3">
        <f t="shared" ca="1" si="52"/>
        <v>0</v>
      </c>
      <c r="CM27" s="3"/>
      <c r="CN27" s="1">
        <f t="shared" ca="1" si="53"/>
        <v>17.900834216688526</v>
      </c>
      <c r="CO27" s="1">
        <f t="shared" ca="1" si="54"/>
        <v>0.22787223874622256</v>
      </c>
      <c r="CP27" s="1">
        <f t="shared" ca="1" si="55"/>
        <v>2</v>
      </c>
    </row>
    <row r="28" spans="2:94" x14ac:dyDescent="0.25">
      <c r="B28">
        <f t="shared" ca="1" si="0"/>
        <v>102</v>
      </c>
      <c r="C28">
        <f t="shared" ca="1" si="1"/>
        <v>30</v>
      </c>
      <c r="D28">
        <f t="shared" ca="1" si="2"/>
        <v>0.16097692623425922</v>
      </c>
      <c r="F28" s="1">
        <f t="shared" ca="1" si="3"/>
        <v>24</v>
      </c>
      <c r="G28" s="1">
        <f t="shared" ca="1" si="4"/>
        <v>5</v>
      </c>
      <c r="H28" s="1">
        <f t="shared" ca="1" si="5"/>
        <v>2</v>
      </c>
      <c r="I28" s="1"/>
      <c r="J28" s="1">
        <f t="shared" ca="1" si="6"/>
        <v>33</v>
      </c>
      <c r="K28" s="1">
        <f t="shared" ca="1" si="7"/>
        <v>1.0092352569545573</v>
      </c>
      <c r="L28" s="1">
        <f t="shared" ca="1" si="8"/>
        <v>19</v>
      </c>
      <c r="M28" s="1"/>
      <c r="N28" s="1">
        <f t="shared" ca="1" si="9"/>
        <v>133</v>
      </c>
      <c r="O28" s="1">
        <f t="shared" ca="1" si="10"/>
        <v>32</v>
      </c>
      <c r="P28" s="1"/>
      <c r="Q28" s="1">
        <f t="shared" ca="1" si="11"/>
        <v>0.34945572569356337</v>
      </c>
      <c r="R28" s="1">
        <f t="shared" ca="1" si="12"/>
        <v>851</v>
      </c>
      <c r="S28" s="1"/>
      <c r="T28" s="1">
        <f t="shared" ca="1" si="13"/>
        <v>0.12141285107132552</v>
      </c>
      <c r="U28" s="1">
        <f t="shared" ca="1" si="14"/>
        <v>425</v>
      </c>
      <c r="V28" s="1">
        <f t="shared" ca="1" si="15"/>
        <v>32</v>
      </c>
      <c r="W28" s="1"/>
      <c r="X28" s="1">
        <f t="shared" ca="1" si="16"/>
        <v>8.1788854361597405</v>
      </c>
      <c r="Y28" s="1">
        <f t="shared" ca="1" si="17"/>
        <v>0.74755949264454613</v>
      </c>
      <c r="Z28" s="1">
        <f t="shared" ca="1" si="18"/>
        <v>232</v>
      </c>
      <c r="AB28" s="1">
        <f t="shared" ca="1" si="19"/>
        <v>0.13383784875880753</v>
      </c>
      <c r="AC28" s="1">
        <f t="shared" ca="1" si="20"/>
        <v>288</v>
      </c>
      <c r="AD28" s="1">
        <f t="shared" ca="1" si="21"/>
        <v>5.8058354741894293E-4</v>
      </c>
      <c r="AE28" s="1"/>
      <c r="AF28" s="1">
        <f t="shared" ca="1" si="22"/>
        <v>0.56719509778020716</v>
      </c>
      <c r="AG28" s="1">
        <f t="shared" ca="1" si="23"/>
        <v>362</v>
      </c>
      <c r="AH28" s="1">
        <f t="shared" ca="1" si="24"/>
        <v>2.2265977773767145E-3</v>
      </c>
      <c r="AJ28" s="1">
        <f t="shared" ca="1" si="25"/>
        <v>0.25227020812810697</v>
      </c>
      <c r="AK28" s="1">
        <f t="shared" ca="1" si="26"/>
        <v>9.4897286905625347E-4</v>
      </c>
      <c r="AL28" s="1"/>
      <c r="AM28" s="1">
        <f t="shared" ca="1" si="27"/>
        <v>0.17744910523741439</v>
      </c>
      <c r="AN28" s="1">
        <f t="shared" ca="1" si="28"/>
        <v>47</v>
      </c>
      <c r="AO28" s="1">
        <f t="shared" ca="1" si="29"/>
        <v>6</v>
      </c>
      <c r="AQ28" s="1">
        <f t="shared" ca="1" si="30"/>
        <v>11</v>
      </c>
      <c r="AR28" s="1">
        <f t="shared" ca="1" si="31"/>
        <v>4</v>
      </c>
      <c r="AS28" s="1">
        <f t="shared" ca="1" si="32"/>
        <v>37</v>
      </c>
      <c r="AU28" s="1">
        <f t="shared" ca="1" si="33"/>
        <v>101</v>
      </c>
      <c r="AV28" s="1">
        <f t="shared" ca="1" si="34"/>
        <v>8</v>
      </c>
      <c r="AW28" s="1">
        <f t="shared" ca="1" si="35"/>
        <v>0.1454657304813082</v>
      </c>
      <c r="AY28" s="1">
        <f t="shared" ca="1" si="36"/>
        <v>1.3565419389228566</v>
      </c>
      <c r="AZ28" s="1">
        <f t="shared" ca="1" si="37"/>
        <v>434</v>
      </c>
      <c r="BA28" s="1">
        <f t="shared" ca="1" si="38"/>
        <v>8.7077100391409566E-3</v>
      </c>
      <c r="BV28" s="1">
        <f t="shared" ca="1" si="39"/>
        <v>0.54612132885080045</v>
      </c>
      <c r="BW28" s="1">
        <f t="shared" ca="1" si="40"/>
        <v>800</v>
      </c>
      <c r="BX28" s="1">
        <f t="shared" ca="1" si="41"/>
        <v>6.7453674477585867E-3</v>
      </c>
      <c r="BY28" s="1">
        <f t="shared" ca="1" si="42"/>
        <v>2.4502570930188129E-2</v>
      </c>
      <c r="BZ28" s="1">
        <f t="shared" ca="1" si="43"/>
        <v>0.9527825162634963</v>
      </c>
      <c r="CB28" s="1">
        <f t="shared" ca="1" si="44"/>
        <v>494</v>
      </c>
      <c r="CC28" s="1">
        <f t="shared" ca="1" si="45"/>
        <v>14</v>
      </c>
      <c r="CD28" s="1">
        <f t="shared" ca="1" si="46"/>
        <v>0.14602070241518952</v>
      </c>
      <c r="CE28" s="1">
        <f t="shared" ca="1" si="47"/>
        <v>0.54183008097353236</v>
      </c>
      <c r="CF28" s="1">
        <f t="shared" ca="1" si="47"/>
        <v>0.97294608829761564</v>
      </c>
      <c r="CH28" s="3">
        <f t="shared" ca="1" si="48"/>
        <v>0.39056816695507246</v>
      </c>
      <c r="CI28" s="3">
        <f t="shared" ca="1" si="49"/>
        <v>0.36732487424441074</v>
      </c>
      <c r="CJ28" s="3">
        <f t="shared" ca="1" si="50"/>
        <v>403</v>
      </c>
      <c r="CK28" s="3">
        <f t="shared" ca="1" si="51"/>
        <v>1.0985539591036591E-3</v>
      </c>
      <c r="CL28" s="3">
        <f t="shared" ca="1" si="52"/>
        <v>1</v>
      </c>
      <c r="CM28" s="3"/>
      <c r="CN28" s="1">
        <f t="shared" ca="1" si="53"/>
        <v>12.346917982301653</v>
      </c>
      <c r="CO28" s="1">
        <f t="shared" ca="1" si="54"/>
        <v>0.38317559543933866</v>
      </c>
      <c r="CP28" s="1">
        <f t="shared" ca="1" si="55"/>
        <v>2</v>
      </c>
    </row>
    <row r="29" spans="2:94" x14ac:dyDescent="0.25">
      <c r="B29">
        <f t="shared" ca="1" si="0"/>
        <v>846</v>
      </c>
      <c r="C29">
        <f t="shared" ca="1" si="1"/>
        <v>11</v>
      </c>
      <c r="D29">
        <f t="shared" ca="1" si="2"/>
        <v>4.0894485220922136E-2</v>
      </c>
      <c r="F29" s="1">
        <f t="shared" ca="1" si="3"/>
        <v>4</v>
      </c>
      <c r="G29" s="1">
        <f t="shared" ca="1" si="4"/>
        <v>25</v>
      </c>
      <c r="H29" s="1">
        <f t="shared" ca="1" si="5"/>
        <v>5</v>
      </c>
      <c r="I29" s="1"/>
      <c r="J29" s="1">
        <f t="shared" ca="1" si="6"/>
        <v>4</v>
      </c>
      <c r="K29" s="1">
        <f t="shared" ca="1" si="7"/>
        <v>2.6455488779386993</v>
      </c>
      <c r="L29" s="1">
        <f t="shared" ca="1" si="8"/>
        <v>17</v>
      </c>
      <c r="M29" s="1"/>
      <c r="N29" s="1">
        <f t="shared" ca="1" si="9"/>
        <v>557</v>
      </c>
      <c r="O29" s="1">
        <f t="shared" ca="1" si="10"/>
        <v>27</v>
      </c>
      <c r="P29" s="1"/>
      <c r="Q29" s="1">
        <f t="shared" ca="1" si="11"/>
        <v>4.4630705608259174</v>
      </c>
      <c r="R29" s="1">
        <f t="shared" ca="1" si="12"/>
        <v>404</v>
      </c>
      <c r="S29" s="1"/>
      <c r="T29" s="1">
        <f t="shared" ca="1" si="13"/>
        <v>0.1767380168334981</v>
      </c>
      <c r="U29" s="1">
        <f t="shared" ca="1" si="14"/>
        <v>72</v>
      </c>
      <c r="V29" s="1">
        <f t="shared" ca="1" si="15"/>
        <v>33</v>
      </c>
      <c r="W29" s="1"/>
      <c r="X29" s="1">
        <f t="shared" ca="1" si="16"/>
        <v>7.7815726697817871</v>
      </c>
      <c r="Y29" s="1">
        <f t="shared" ca="1" si="17"/>
        <v>0.57265861879363267</v>
      </c>
      <c r="Z29" s="1">
        <f t="shared" ca="1" si="18"/>
        <v>1074</v>
      </c>
      <c r="AB29" s="1">
        <f t="shared" ca="1" si="19"/>
        <v>0.83893310253702735</v>
      </c>
      <c r="AC29" s="1">
        <f t="shared" ca="1" si="20"/>
        <v>164</v>
      </c>
      <c r="AD29" s="1">
        <f t="shared" ca="1" si="21"/>
        <v>2.9591379677257109E-3</v>
      </c>
      <c r="AE29" s="1"/>
      <c r="AF29" s="1">
        <f t="shared" ca="1" si="22"/>
        <v>0.21751767827187019</v>
      </c>
      <c r="AG29" s="1">
        <f t="shared" ca="1" si="23"/>
        <v>691</v>
      </c>
      <c r="AH29" s="1">
        <f t="shared" ca="1" si="24"/>
        <v>3.8268528065466254E-3</v>
      </c>
      <c r="AJ29" s="1">
        <f t="shared" ca="1" si="25"/>
        <v>0.46295171891775744</v>
      </c>
      <c r="AK29" s="1">
        <f t="shared" ca="1" si="26"/>
        <v>1.0947451400369571E-3</v>
      </c>
      <c r="AL29" s="1"/>
      <c r="AM29" s="1">
        <f t="shared" ca="1" si="27"/>
        <v>0.11528215385605436</v>
      </c>
      <c r="AN29" s="1">
        <f t="shared" ca="1" si="28"/>
        <v>35</v>
      </c>
      <c r="AO29" s="1">
        <f t="shared" ca="1" si="29"/>
        <v>11</v>
      </c>
      <c r="AQ29" s="1">
        <f t="shared" ca="1" si="30"/>
        <v>165</v>
      </c>
      <c r="AR29" s="1">
        <f t="shared" ca="1" si="31"/>
        <v>9</v>
      </c>
      <c r="AS29" s="1">
        <f t="shared" ca="1" si="32"/>
        <v>96</v>
      </c>
      <c r="AU29" s="1">
        <f t="shared" ca="1" si="33"/>
        <v>193</v>
      </c>
      <c r="AV29" s="1">
        <f t="shared" ca="1" si="34"/>
        <v>8</v>
      </c>
      <c r="AW29" s="1">
        <f t="shared" ca="1" si="35"/>
        <v>0.14183971073803037</v>
      </c>
      <c r="AY29" s="1">
        <f t="shared" ca="1" si="36"/>
        <v>1.6005157744139944</v>
      </c>
      <c r="AZ29" s="1">
        <f t="shared" ca="1" si="37"/>
        <v>500</v>
      </c>
      <c r="BA29" s="1">
        <f t="shared" ca="1" si="38"/>
        <v>5.5336521231365808E-3</v>
      </c>
      <c r="BV29" s="1">
        <f t="shared" ca="1" si="39"/>
        <v>0.8151949474787642</v>
      </c>
      <c r="BW29" s="1">
        <f t="shared" ca="1" si="40"/>
        <v>681</v>
      </c>
      <c r="BX29" s="1">
        <f t="shared" ca="1" si="41"/>
        <v>2.01433197377866E-3</v>
      </c>
      <c r="BY29" s="1">
        <f t="shared" ca="1" si="42"/>
        <v>1.8862457145413663E-2</v>
      </c>
      <c r="BZ29" s="1">
        <f t="shared" ca="1" si="43"/>
        <v>0.46351335063264165</v>
      </c>
      <c r="CB29" s="1">
        <f t="shared" ca="1" si="44"/>
        <v>55</v>
      </c>
      <c r="CC29" s="1">
        <f t="shared" ca="1" si="45"/>
        <v>6</v>
      </c>
      <c r="CD29" s="1">
        <f t="shared" ca="1" si="46"/>
        <v>0.21530640898587949</v>
      </c>
      <c r="CE29" s="1">
        <f t="shared" ca="1" si="47"/>
        <v>0.57395677759200225</v>
      </c>
      <c r="CF29" s="1">
        <f t="shared" ca="1" si="47"/>
        <v>0.84044061546327287</v>
      </c>
      <c r="CH29" s="3">
        <f t="shared" ca="1" si="48"/>
        <v>0.4419855755081688</v>
      </c>
      <c r="CI29" s="3">
        <f t="shared" ca="1" si="49"/>
        <v>0.2694002120119417</v>
      </c>
      <c r="CJ29" s="3">
        <f t="shared" ca="1" si="50"/>
        <v>923</v>
      </c>
      <c r="CK29" s="3">
        <f t="shared" ca="1" si="51"/>
        <v>2.2398009516042478E-3</v>
      </c>
      <c r="CL29" s="3">
        <f t="shared" ca="1" si="52"/>
        <v>0</v>
      </c>
      <c r="CM29" s="3"/>
      <c r="CN29" s="1">
        <f t="shared" ca="1" si="53"/>
        <v>3.7980623764037094</v>
      </c>
      <c r="CO29" s="1">
        <f t="shared" ca="1" si="54"/>
        <v>0.25490890841564451</v>
      </c>
      <c r="CP29" s="1">
        <f t="shared" ca="1" si="55"/>
        <v>3</v>
      </c>
    </row>
    <row r="30" spans="2:94" x14ac:dyDescent="0.25">
      <c r="B30">
        <f t="shared" ca="1" si="0"/>
        <v>981</v>
      </c>
      <c r="C30">
        <f t="shared" ca="1" si="1"/>
        <v>49</v>
      </c>
      <c r="D30">
        <f t="shared" ca="1" si="2"/>
        <v>6.8644914632188303E-2</v>
      </c>
      <c r="F30" s="1">
        <f t="shared" ca="1" si="3"/>
        <v>23</v>
      </c>
      <c r="G30" s="1">
        <f t="shared" ca="1" si="4"/>
        <v>4</v>
      </c>
      <c r="H30" s="1">
        <f t="shared" ca="1" si="5"/>
        <v>14</v>
      </c>
      <c r="I30" s="1"/>
      <c r="J30" s="1">
        <f t="shared" ca="1" si="6"/>
        <v>14</v>
      </c>
      <c r="K30" s="1">
        <f t="shared" ca="1" si="7"/>
        <v>1.1781469691849769</v>
      </c>
      <c r="L30" s="1">
        <f t="shared" ca="1" si="8"/>
        <v>29</v>
      </c>
      <c r="M30" s="1"/>
      <c r="N30" s="1">
        <f t="shared" ca="1" si="9"/>
        <v>657</v>
      </c>
      <c r="O30" s="1">
        <f t="shared" ca="1" si="10"/>
        <v>2</v>
      </c>
      <c r="P30" s="1"/>
      <c r="Q30" s="1">
        <f t="shared" ca="1" si="11"/>
        <v>2.4008679852015113</v>
      </c>
      <c r="R30" s="1">
        <f t="shared" ca="1" si="12"/>
        <v>310</v>
      </c>
      <c r="S30" s="1"/>
      <c r="T30" s="1">
        <f t="shared" ca="1" si="13"/>
        <v>0.12034889313900998</v>
      </c>
      <c r="U30" s="1">
        <f t="shared" ca="1" si="14"/>
        <v>276</v>
      </c>
      <c r="V30" s="1">
        <f t="shared" ca="1" si="15"/>
        <v>32</v>
      </c>
      <c r="W30" s="1"/>
      <c r="X30" s="1">
        <f t="shared" ca="1" si="16"/>
        <v>8.8446198622201777</v>
      </c>
      <c r="Y30" s="1">
        <f t="shared" ca="1" si="17"/>
        <v>0.89691014163652316</v>
      </c>
      <c r="Z30" s="1">
        <f t="shared" ca="1" si="18"/>
        <v>601</v>
      </c>
      <c r="AB30" s="1">
        <f t="shared" ca="1" si="19"/>
        <v>0.86914134369880858</v>
      </c>
      <c r="AC30" s="1">
        <f t="shared" ca="1" si="20"/>
        <v>920</v>
      </c>
      <c r="AD30" s="1">
        <f t="shared" ca="1" si="21"/>
        <v>8.3190540391769891E-3</v>
      </c>
      <c r="AE30" s="1"/>
      <c r="AF30" s="1">
        <f t="shared" ca="1" si="22"/>
        <v>0.2120046466593454</v>
      </c>
      <c r="AG30" s="1">
        <f t="shared" ca="1" si="23"/>
        <v>836</v>
      </c>
      <c r="AH30" s="1">
        <f t="shared" ca="1" si="24"/>
        <v>4.2832656884349502E-3</v>
      </c>
      <c r="AJ30" s="1">
        <f t="shared" ca="1" si="25"/>
        <v>0.48798783199700646</v>
      </c>
      <c r="AK30" s="1">
        <f t="shared" ca="1" si="26"/>
        <v>2.8624377223230423E-3</v>
      </c>
      <c r="AL30" s="1"/>
      <c r="AM30" s="1">
        <f t="shared" ca="1" si="27"/>
        <v>5.3879567135759442E-2</v>
      </c>
      <c r="AN30" s="1">
        <f t="shared" ca="1" si="28"/>
        <v>65</v>
      </c>
      <c r="AO30" s="1">
        <f t="shared" ca="1" si="29"/>
        <v>15</v>
      </c>
      <c r="AQ30" s="1">
        <f t="shared" ca="1" si="30"/>
        <v>86</v>
      </c>
      <c r="AR30" s="1">
        <f t="shared" ca="1" si="31"/>
        <v>0</v>
      </c>
      <c r="AS30" s="1">
        <f t="shared" ca="1" si="32"/>
        <v>50</v>
      </c>
      <c r="AU30" s="1">
        <f t="shared" ca="1" si="33"/>
        <v>400</v>
      </c>
      <c r="AV30" s="1">
        <f t="shared" ca="1" si="34"/>
        <v>4</v>
      </c>
      <c r="AW30" s="1">
        <f t="shared" ca="1" si="35"/>
        <v>0.13982151349030914</v>
      </c>
      <c r="AY30" s="1">
        <f t="shared" ca="1" si="36"/>
        <v>1.6137124112962598</v>
      </c>
      <c r="AZ30" s="1">
        <f t="shared" ca="1" si="37"/>
        <v>110</v>
      </c>
      <c r="BA30" s="1">
        <f t="shared" ca="1" si="38"/>
        <v>9.4519336404622536E-3</v>
      </c>
      <c r="BV30" s="1">
        <f t="shared" ca="1" si="39"/>
        <v>0.97579303094199021</v>
      </c>
      <c r="BW30" s="1">
        <f t="shared" ca="1" si="40"/>
        <v>740</v>
      </c>
      <c r="BX30" s="1">
        <f t="shared" ca="1" si="41"/>
        <v>7.9753897232234267E-3</v>
      </c>
      <c r="BY30" s="1">
        <f t="shared" ca="1" si="42"/>
        <v>7.7644252614135018E-2</v>
      </c>
      <c r="BZ30" s="1">
        <f t="shared" ca="1" si="43"/>
        <v>0.46538443434786692</v>
      </c>
      <c r="CB30" s="1">
        <f t="shared" ca="1" si="44"/>
        <v>412</v>
      </c>
      <c r="CC30" s="1">
        <f t="shared" ca="1" si="45"/>
        <v>4</v>
      </c>
      <c r="CD30" s="1">
        <f t="shared" ca="1" si="46"/>
        <v>0.17643073226607456</v>
      </c>
      <c r="CE30" s="1">
        <f t="shared" ca="1" si="47"/>
        <v>0.72244753423499952</v>
      </c>
      <c r="CF30" s="1">
        <f t="shared" ca="1" si="47"/>
        <v>0.95823944441481368</v>
      </c>
      <c r="CH30" s="3">
        <f t="shared" ca="1" si="48"/>
        <v>0.49287510503204851</v>
      </c>
      <c r="CI30" s="3">
        <f t="shared" ca="1" si="49"/>
        <v>0.41010912562494561</v>
      </c>
      <c r="CJ30" s="3">
        <f t="shared" ca="1" si="50"/>
        <v>1380</v>
      </c>
      <c r="CK30" s="3">
        <f t="shared" ca="1" si="51"/>
        <v>3.2613795558051541E-3</v>
      </c>
      <c r="CL30" s="3">
        <f t="shared" ca="1" si="52"/>
        <v>1</v>
      </c>
      <c r="CM30" s="3"/>
      <c r="CN30" s="1">
        <f t="shared" ca="1" si="53"/>
        <v>5.3040787931328151</v>
      </c>
      <c r="CO30" s="1">
        <f t="shared" ca="1" si="54"/>
        <v>0.42389162921917645</v>
      </c>
      <c r="CP30" s="1">
        <f t="shared" ca="1" si="55"/>
        <v>4</v>
      </c>
    </row>
    <row r="31" spans="2:94" x14ac:dyDescent="0.25">
      <c r="B31">
        <f t="shared" ca="1" si="0"/>
        <v>684</v>
      </c>
      <c r="C31">
        <f t="shared" ca="1" si="1"/>
        <v>34</v>
      </c>
      <c r="D31">
        <f t="shared" ca="1" si="2"/>
        <v>5.9855046224963765E-2</v>
      </c>
      <c r="F31" s="1">
        <f t="shared" ca="1" si="3"/>
        <v>27</v>
      </c>
      <c r="G31" s="1">
        <f t="shared" ca="1" si="4"/>
        <v>27</v>
      </c>
      <c r="H31" s="1">
        <f t="shared" ca="1" si="5"/>
        <v>4</v>
      </c>
      <c r="I31" s="1"/>
      <c r="J31" s="1">
        <f t="shared" ca="1" si="6"/>
        <v>14</v>
      </c>
      <c r="K31" s="1">
        <f t="shared" ca="1" si="7"/>
        <v>2.2758220255452306</v>
      </c>
      <c r="L31" s="1">
        <f t="shared" ca="1" si="8"/>
        <v>25</v>
      </c>
      <c r="M31" s="1"/>
      <c r="N31" s="1">
        <f t="shared" ca="1" si="9"/>
        <v>741</v>
      </c>
      <c r="O31" s="1">
        <f t="shared" ca="1" si="10"/>
        <v>26</v>
      </c>
      <c r="P31" s="1"/>
      <c r="Q31" s="1">
        <f t="shared" ca="1" si="11"/>
        <v>4.7702152592110298</v>
      </c>
      <c r="R31" s="1">
        <f t="shared" ca="1" si="12"/>
        <v>749</v>
      </c>
      <c r="S31" s="1"/>
      <c r="T31" s="1">
        <f t="shared" ca="1" si="13"/>
        <v>0.10187332855950093</v>
      </c>
      <c r="U31" s="1">
        <f t="shared" ca="1" si="14"/>
        <v>421</v>
      </c>
      <c r="V31" s="1">
        <f t="shared" ca="1" si="15"/>
        <v>43</v>
      </c>
      <c r="W31" s="1"/>
      <c r="X31" s="1">
        <f t="shared" ca="1" si="16"/>
        <v>6.3453366510312454</v>
      </c>
      <c r="Y31" s="1">
        <f t="shared" ca="1" si="17"/>
        <v>0.54871114100530871</v>
      </c>
      <c r="Z31" s="1">
        <f t="shared" ca="1" si="18"/>
        <v>347</v>
      </c>
      <c r="AB31" s="1">
        <f t="shared" ca="1" si="19"/>
        <v>0.10035757660796882</v>
      </c>
      <c r="AC31" s="1">
        <f t="shared" ca="1" si="20"/>
        <v>301</v>
      </c>
      <c r="AD31" s="1">
        <f t="shared" ca="1" si="21"/>
        <v>1.0556937839425844E-3</v>
      </c>
      <c r="AE31" s="1"/>
      <c r="AF31" s="1">
        <f t="shared" ca="1" si="22"/>
        <v>0.67870816742998741</v>
      </c>
      <c r="AG31" s="1">
        <f t="shared" ca="1" si="23"/>
        <v>780</v>
      </c>
      <c r="AH31" s="1">
        <f t="shared" ca="1" si="24"/>
        <v>4.5676078879410614E-3</v>
      </c>
      <c r="AJ31" s="1">
        <f t="shared" ca="1" si="25"/>
        <v>0.58716835915931243</v>
      </c>
      <c r="AK31" s="1">
        <f t="shared" ca="1" si="26"/>
        <v>1.7371407905328823E-3</v>
      </c>
      <c r="AL31" s="1"/>
      <c r="AM31" s="1">
        <f t="shared" ca="1" si="27"/>
        <v>8.7226093821831538E-2</v>
      </c>
      <c r="AN31" s="1">
        <f t="shared" ca="1" si="28"/>
        <v>69</v>
      </c>
      <c r="AO31" s="1">
        <f t="shared" ca="1" si="29"/>
        <v>0</v>
      </c>
      <c r="AQ31" s="1">
        <f t="shared" ca="1" si="30"/>
        <v>37</v>
      </c>
      <c r="AR31" s="1">
        <f t="shared" ca="1" si="31"/>
        <v>8</v>
      </c>
      <c r="AS31" s="1">
        <f t="shared" ca="1" si="32"/>
        <v>34</v>
      </c>
      <c r="AU31" s="1">
        <f t="shared" ca="1" si="33"/>
        <v>53</v>
      </c>
      <c r="AV31" s="1">
        <f t="shared" ca="1" si="34"/>
        <v>9</v>
      </c>
      <c r="AW31" s="1">
        <f t="shared" ca="1" si="35"/>
        <v>3.8445787260462154E-2</v>
      </c>
      <c r="AY31" s="1">
        <f t="shared" ca="1" si="36"/>
        <v>1.6758547985824146</v>
      </c>
      <c r="AZ31" s="1">
        <f t="shared" ca="1" si="37"/>
        <v>115</v>
      </c>
      <c r="BA31" s="1">
        <f t="shared" ca="1" si="38"/>
        <v>8.4544960394728474E-3</v>
      </c>
      <c r="BV31" s="1">
        <f t="shared" ca="1" si="39"/>
        <v>0.24333897370922075</v>
      </c>
      <c r="BW31" s="1">
        <f t="shared" ca="1" si="40"/>
        <v>347</v>
      </c>
      <c r="BX31" s="1">
        <f t="shared" ca="1" si="41"/>
        <v>5.374330760331141E-3</v>
      </c>
      <c r="BY31" s="1">
        <f t="shared" ca="1" si="42"/>
        <v>2.3463913890130719E-2</v>
      </c>
      <c r="BZ31" s="1">
        <f t="shared" ca="1" si="43"/>
        <v>0.44929636349741775</v>
      </c>
      <c r="CB31" s="1">
        <f t="shared" ca="1" si="44"/>
        <v>231</v>
      </c>
      <c r="CC31" s="1">
        <f t="shared" ca="1" si="45"/>
        <v>11</v>
      </c>
      <c r="CD31" s="1">
        <f t="shared" ca="1" si="46"/>
        <v>0.14462230149937988</v>
      </c>
      <c r="CE31" s="1">
        <f t="shared" ca="1" si="47"/>
        <v>0.53558098849671965</v>
      </c>
      <c r="CF31" s="1">
        <f t="shared" ca="1" si="47"/>
        <v>0.80124996175959762</v>
      </c>
      <c r="CH31" s="3">
        <f t="shared" ca="1" si="48"/>
        <v>0.74164667119942562</v>
      </c>
      <c r="CI31" s="3">
        <f t="shared" ca="1" si="49"/>
        <v>0.39862973001898167</v>
      </c>
      <c r="CJ31" s="3">
        <f t="shared" ca="1" si="50"/>
        <v>194</v>
      </c>
      <c r="CK31" s="3">
        <f t="shared" ca="1" si="51"/>
        <v>3.0422251155959416E-3</v>
      </c>
      <c r="CL31" s="3">
        <f t="shared" ca="1" si="52"/>
        <v>0</v>
      </c>
      <c r="CM31" s="3"/>
      <c r="CN31" s="1">
        <f t="shared" ca="1" si="53"/>
        <v>17.471772855404154</v>
      </c>
      <c r="CO31" s="1">
        <f t="shared" ca="1" si="54"/>
        <v>1.7830779913541202E-2</v>
      </c>
      <c r="CP31" s="1">
        <f t="shared" ca="1" si="55"/>
        <v>4</v>
      </c>
    </row>
    <row r="32" spans="2:94" x14ac:dyDescent="0.25">
      <c r="B32">
        <f t="shared" ca="1" si="0"/>
        <v>777</v>
      </c>
      <c r="C32">
        <f t="shared" ca="1" si="1"/>
        <v>20</v>
      </c>
      <c r="D32">
        <f t="shared" ca="1" si="2"/>
        <v>0.14712079480667378</v>
      </c>
      <c r="F32" s="1">
        <f t="shared" ca="1" si="3"/>
        <v>38</v>
      </c>
      <c r="G32" s="1">
        <f t="shared" ca="1" si="4"/>
        <v>13</v>
      </c>
      <c r="H32" s="1">
        <f t="shared" ca="1" si="5"/>
        <v>7</v>
      </c>
      <c r="I32" s="1"/>
      <c r="J32" s="1">
        <f t="shared" ca="1" si="6"/>
        <v>21</v>
      </c>
      <c r="K32" s="1">
        <f t="shared" ca="1" si="7"/>
        <v>1.5133822461464748</v>
      </c>
      <c r="L32" s="1">
        <f t="shared" ca="1" si="8"/>
        <v>23</v>
      </c>
      <c r="M32" s="1"/>
      <c r="N32" s="1">
        <f t="shared" ca="1" si="9"/>
        <v>742</v>
      </c>
      <c r="O32" s="1">
        <f t="shared" ca="1" si="10"/>
        <v>12</v>
      </c>
      <c r="P32" s="1"/>
      <c r="Q32" s="1">
        <f t="shared" ca="1" si="11"/>
        <v>4.8360731435651978</v>
      </c>
      <c r="R32" s="1">
        <f t="shared" ca="1" si="12"/>
        <v>285</v>
      </c>
      <c r="S32" s="1"/>
      <c r="T32" s="1">
        <f t="shared" ca="1" si="13"/>
        <v>0.17733693313358587</v>
      </c>
      <c r="U32" s="1">
        <f t="shared" ca="1" si="14"/>
        <v>386</v>
      </c>
      <c r="V32" s="1">
        <f t="shared" ca="1" si="15"/>
        <v>8</v>
      </c>
      <c r="W32" s="1"/>
      <c r="X32" s="1">
        <f t="shared" ca="1" si="16"/>
        <v>1.0412051790392389</v>
      </c>
      <c r="Y32" s="1">
        <f t="shared" ca="1" si="17"/>
        <v>0.92926034391176249</v>
      </c>
      <c r="Z32" s="1">
        <f t="shared" ca="1" si="18"/>
        <v>313</v>
      </c>
      <c r="AB32" s="1">
        <f t="shared" ca="1" si="19"/>
        <v>3.4958367751166175E-2</v>
      </c>
      <c r="AC32" s="1">
        <f t="shared" ca="1" si="20"/>
        <v>128</v>
      </c>
      <c r="AD32" s="1">
        <f t="shared" ca="1" si="21"/>
        <v>7.0736402335037328E-3</v>
      </c>
      <c r="AE32" s="1"/>
      <c r="AF32" s="1">
        <f t="shared" ca="1" si="22"/>
        <v>0.48056095601049531</v>
      </c>
      <c r="AG32" s="1">
        <f t="shared" ca="1" si="23"/>
        <v>976</v>
      </c>
      <c r="AH32" s="1">
        <f t="shared" ca="1" si="24"/>
        <v>8.9039822165567894E-3</v>
      </c>
      <c r="AJ32" s="1">
        <f t="shared" ca="1" si="25"/>
        <v>0.44317072247721645</v>
      </c>
      <c r="AK32" s="1">
        <f t="shared" ca="1" si="26"/>
        <v>2.4809747700533539E-3</v>
      </c>
      <c r="AL32" s="1"/>
      <c r="AM32" s="1">
        <f t="shared" ca="1" si="27"/>
        <v>0.14015013925009961</v>
      </c>
      <c r="AN32" s="1">
        <f t="shared" ca="1" si="28"/>
        <v>61</v>
      </c>
      <c r="AO32" s="1">
        <f t="shared" ca="1" si="29"/>
        <v>7</v>
      </c>
      <c r="AQ32" s="1">
        <f t="shared" ca="1" si="30"/>
        <v>199</v>
      </c>
      <c r="AR32" s="1">
        <f t="shared" ca="1" si="31"/>
        <v>8</v>
      </c>
      <c r="AS32" s="1">
        <f t="shared" ca="1" si="32"/>
        <v>67</v>
      </c>
      <c r="AU32" s="1">
        <f t="shared" ca="1" si="33"/>
        <v>235</v>
      </c>
      <c r="AV32" s="1">
        <f t="shared" ca="1" si="34"/>
        <v>5</v>
      </c>
      <c r="AW32" s="1">
        <f t="shared" ca="1" si="35"/>
        <v>0.10075142899574333</v>
      </c>
      <c r="AY32" s="1">
        <f t="shared" ca="1" si="36"/>
        <v>1.936270697692406</v>
      </c>
      <c r="AZ32" s="1">
        <f t="shared" ca="1" si="37"/>
        <v>230</v>
      </c>
      <c r="BA32" s="1">
        <f t="shared" ca="1" si="38"/>
        <v>6.7963736501001817E-3</v>
      </c>
      <c r="BV32" s="1">
        <f t="shared" ca="1" si="39"/>
        <v>0.32037681001461971</v>
      </c>
      <c r="BW32" s="1">
        <f t="shared" ca="1" si="40"/>
        <v>730</v>
      </c>
      <c r="BX32" s="1">
        <f t="shared" ca="1" si="41"/>
        <v>6.1596708013323745E-3</v>
      </c>
      <c r="BY32" s="1">
        <f t="shared" ca="1" si="42"/>
        <v>5.1639991862387019E-2</v>
      </c>
      <c r="BZ32" s="1">
        <f t="shared" ca="1" si="43"/>
        <v>0.5308589429486128</v>
      </c>
      <c r="CB32" s="1">
        <f t="shared" ca="1" si="44"/>
        <v>301</v>
      </c>
      <c r="CC32" s="1">
        <f t="shared" ca="1" si="45"/>
        <v>15</v>
      </c>
      <c r="CD32" s="1">
        <f t="shared" ca="1" si="46"/>
        <v>0.20824319382389003</v>
      </c>
      <c r="CE32" s="1">
        <f t="shared" ca="1" si="47"/>
        <v>0.60888838076051588</v>
      </c>
      <c r="CF32" s="1">
        <f t="shared" ca="1" si="47"/>
        <v>0.92490640055621931</v>
      </c>
      <c r="CH32" s="3">
        <f t="shared" ca="1" si="48"/>
        <v>8.6537756654480769E-2</v>
      </c>
      <c r="CI32" s="3">
        <f t="shared" ca="1" si="49"/>
        <v>0.98841109646903336</v>
      </c>
      <c r="CJ32" s="3">
        <f t="shared" ca="1" si="50"/>
        <v>1202</v>
      </c>
      <c r="CK32" s="3">
        <f t="shared" ca="1" si="51"/>
        <v>8.2370167986268849E-3</v>
      </c>
      <c r="CL32" s="3">
        <f t="shared" ca="1" si="52"/>
        <v>0</v>
      </c>
      <c r="CM32" s="3"/>
      <c r="CN32" s="1">
        <f t="shared" ca="1" si="53"/>
        <v>13.153365911493765</v>
      </c>
      <c r="CO32" s="1">
        <f t="shared" ca="1" si="54"/>
        <v>0.22756271726416161</v>
      </c>
      <c r="CP32" s="1">
        <f t="shared" ca="1" si="55"/>
        <v>4</v>
      </c>
    </row>
    <row r="33" spans="2:94" x14ac:dyDescent="0.25">
      <c r="B33">
        <f t="shared" ca="1" si="0"/>
        <v>585</v>
      </c>
      <c r="C33">
        <f t="shared" ca="1" si="1"/>
        <v>41</v>
      </c>
      <c r="D33">
        <f t="shared" ca="1" si="2"/>
        <v>0.27901030071020111</v>
      </c>
      <c r="F33" s="1">
        <f t="shared" ca="1" si="3"/>
        <v>21</v>
      </c>
      <c r="G33" s="1">
        <f t="shared" ca="1" si="4"/>
        <v>14</v>
      </c>
      <c r="H33" s="1">
        <f t="shared" ca="1" si="5"/>
        <v>12</v>
      </c>
      <c r="I33" s="1"/>
      <c r="J33" s="1">
        <f t="shared" ca="1" si="6"/>
        <v>19</v>
      </c>
      <c r="K33" s="1">
        <f t="shared" ca="1" si="7"/>
        <v>1.351207950583021</v>
      </c>
      <c r="L33" s="1">
        <f t="shared" ca="1" si="8"/>
        <v>5</v>
      </c>
      <c r="M33" s="1"/>
      <c r="N33" s="1">
        <f t="shared" ca="1" si="9"/>
        <v>438</v>
      </c>
      <c r="O33" s="1">
        <f t="shared" ca="1" si="10"/>
        <v>30</v>
      </c>
      <c r="P33" s="1"/>
      <c r="Q33" s="1">
        <f t="shared" ca="1" si="11"/>
        <v>1.1244813931338002</v>
      </c>
      <c r="R33" s="1">
        <f t="shared" ca="1" si="12"/>
        <v>600</v>
      </c>
      <c r="S33" s="1"/>
      <c r="T33" s="1">
        <f t="shared" ca="1" si="13"/>
        <v>2.8355133902577948E-2</v>
      </c>
      <c r="U33" s="1">
        <f t="shared" ca="1" si="14"/>
        <v>123</v>
      </c>
      <c r="V33" s="1">
        <f t="shared" ca="1" si="15"/>
        <v>47</v>
      </c>
      <c r="W33" s="1"/>
      <c r="X33" s="1">
        <f t="shared" ca="1" si="16"/>
        <v>6.2064957110460561</v>
      </c>
      <c r="Y33" s="1">
        <f t="shared" ca="1" si="17"/>
        <v>0.51004461422985281</v>
      </c>
      <c r="Z33" s="1">
        <f t="shared" ca="1" si="18"/>
        <v>374</v>
      </c>
      <c r="AB33" s="1">
        <f t="shared" ca="1" si="19"/>
        <v>1.7220501013416361E-2</v>
      </c>
      <c r="AC33" s="1">
        <f t="shared" ca="1" si="20"/>
        <v>521</v>
      </c>
      <c r="AD33" s="1">
        <f t="shared" ca="1" si="21"/>
        <v>3.2218245647211517E-4</v>
      </c>
      <c r="AE33" s="1"/>
      <c r="AF33" s="1">
        <f t="shared" ca="1" si="22"/>
        <v>0.53343332863496429</v>
      </c>
      <c r="AG33" s="1">
        <f t="shared" ca="1" si="23"/>
        <v>602</v>
      </c>
      <c r="AH33" s="1">
        <f t="shared" ca="1" si="24"/>
        <v>5.0883687641642677E-3</v>
      </c>
      <c r="AJ33" s="1">
        <f t="shared" ca="1" si="25"/>
        <v>0.50021161515405943</v>
      </c>
      <c r="AK33" s="1">
        <f t="shared" ca="1" si="26"/>
        <v>2.8432311700578462E-3</v>
      </c>
      <c r="AL33" s="1"/>
      <c r="AM33" s="1">
        <f t="shared" ca="1" si="27"/>
        <v>0.10612191598829539</v>
      </c>
      <c r="AN33" s="1">
        <f t="shared" ca="1" si="28"/>
        <v>56</v>
      </c>
      <c r="AO33" s="1">
        <f t="shared" ca="1" si="29"/>
        <v>0</v>
      </c>
      <c r="AQ33" s="1">
        <f t="shared" ca="1" si="30"/>
        <v>101</v>
      </c>
      <c r="AR33" s="1">
        <f t="shared" ca="1" si="31"/>
        <v>8</v>
      </c>
      <c r="AS33" s="1">
        <f t="shared" ca="1" si="32"/>
        <v>66</v>
      </c>
      <c r="AU33" s="1">
        <f t="shared" ca="1" si="33"/>
        <v>191</v>
      </c>
      <c r="AV33" s="1">
        <f t="shared" ca="1" si="34"/>
        <v>4</v>
      </c>
      <c r="AW33" s="1">
        <f t="shared" ca="1" si="35"/>
        <v>0.11103060829525042</v>
      </c>
      <c r="AY33" s="1">
        <f t="shared" ca="1" si="36"/>
        <v>1.9462900416365128</v>
      </c>
      <c r="AZ33" s="1">
        <f t="shared" ca="1" si="37"/>
        <v>267</v>
      </c>
      <c r="BA33" s="1">
        <f t="shared" ca="1" si="38"/>
        <v>8.4564822945850729E-3</v>
      </c>
      <c r="BV33" s="1">
        <f t="shared" ca="1" si="39"/>
        <v>0.97299856017432673</v>
      </c>
      <c r="BW33" s="1">
        <f t="shared" ca="1" si="40"/>
        <v>874</v>
      </c>
      <c r="BX33" s="1">
        <f t="shared" ca="1" si="41"/>
        <v>9.2372939492793536E-3</v>
      </c>
      <c r="BY33" s="1">
        <f t="shared" ca="1" si="42"/>
        <v>9.1999578196027318E-2</v>
      </c>
      <c r="BZ33" s="1">
        <f t="shared" ca="1" si="43"/>
        <v>0.6338874492046157</v>
      </c>
      <c r="CB33" s="1">
        <f t="shared" ca="1" si="44"/>
        <v>487</v>
      </c>
      <c r="CC33" s="1">
        <f t="shared" ca="1" si="45"/>
        <v>12</v>
      </c>
      <c r="CD33" s="1">
        <f t="shared" ca="1" si="46"/>
        <v>0.10085131717085902</v>
      </c>
      <c r="CE33" s="1">
        <f t="shared" ca="1" si="47"/>
        <v>0.96747103889086228</v>
      </c>
      <c r="CF33" s="1">
        <f t="shared" ca="1" si="47"/>
        <v>0.99930370112130418</v>
      </c>
      <c r="CH33" s="3">
        <f t="shared" ca="1" si="48"/>
        <v>0.76314548291966711</v>
      </c>
      <c r="CI33" s="3">
        <f t="shared" ca="1" si="49"/>
        <v>0.6195467481264374</v>
      </c>
      <c r="CJ33" s="3">
        <f t="shared" ca="1" si="50"/>
        <v>1309</v>
      </c>
      <c r="CK33" s="3">
        <f t="shared" ca="1" si="51"/>
        <v>7.446827893601164E-3</v>
      </c>
      <c r="CL33" s="3">
        <f t="shared" ca="1" si="52"/>
        <v>1</v>
      </c>
      <c r="CM33" s="3"/>
      <c r="CN33" s="1">
        <f t="shared" ca="1" si="53"/>
        <v>5.7624380313050967</v>
      </c>
      <c r="CO33" s="1">
        <f t="shared" ca="1" si="54"/>
        <v>4.0192889784385268E-2</v>
      </c>
      <c r="CP33" s="1">
        <f t="shared" ca="1" si="55"/>
        <v>5</v>
      </c>
    </row>
    <row r="34" spans="2:94" x14ac:dyDescent="0.25">
      <c r="B34">
        <f t="shared" ca="1" si="0"/>
        <v>393</v>
      </c>
      <c r="C34">
        <f t="shared" ca="1" si="1"/>
        <v>30</v>
      </c>
      <c r="D34">
        <f t="shared" ca="1" si="2"/>
        <v>0.12453867386967707</v>
      </c>
      <c r="F34" s="1">
        <f t="shared" ca="1" si="3"/>
        <v>13</v>
      </c>
      <c r="G34" s="1">
        <f t="shared" ca="1" si="4"/>
        <v>20</v>
      </c>
      <c r="H34" s="1">
        <f t="shared" ca="1" si="5"/>
        <v>11</v>
      </c>
      <c r="I34" s="1"/>
      <c r="J34" s="1">
        <f t="shared" ca="1" si="6"/>
        <v>29</v>
      </c>
      <c r="K34" s="1">
        <f t="shared" ca="1" si="7"/>
        <v>1.9177221946943572</v>
      </c>
      <c r="L34" s="1">
        <f t="shared" ca="1" si="8"/>
        <v>32</v>
      </c>
      <c r="M34" s="1"/>
      <c r="N34" s="1">
        <f t="shared" ca="1" si="9"/>
        <v>163</v>
      </c>
      <c r="O34" s="1">
        <f t="shared" ca="1" si="10"/>
        <v>41</v>
      </c>
      <c r="P34" s="1"/>
      <c r="Q34" s="1">
        <f t="shared" ca="1" si="11"/>
        <v>2.0474662362052052</v>
      </c>
      <c r="R34" s="1">
        <f t="shared" ca="1" si="12"/>
        <v>458</v>
      </c>
      <c r="S34" s="1"/>
      <c r="T34" s="1">
        <f t="shared" ca="1" si="13"/>
        <v>0.14751955424144655</v>
      </c>
      <c r="U34" s="1">
        <f t="shared" ca="1" si="14"/>
        <v>141</v>
      </c>
      <c r="V34" s="1">
        <f t="shared" ca="1" si="15"/>
        <v>50</v>
      </c>
      <c r="W34" s="1"/>
      <c r="X34" s="1">
        <f t="shared" ca="1" si="16"/>
        <v>2.7329935670790366</v>
      </c>
      <c r="Y34" s="1">
        <f t="shared" ca="1" si="17"/>
        <v>0.33844234805920959</v>
      </c>
      <c r="Z34" s="1">
        <f t="shared" ca="1" si="18"/>
        <v>1436</v>
      </c>
      <c r="AB34" s="1">
        <f t="shared" ca="1" si="19"/>
        <v>0.80557799114620798</v>
      </c>
      <c r="AC34" s="1">
        <f t="shared" ca="1" si="20"/>
        <v>178</v>
      </c>
      <c r="AD34" s="1">
        <f t="shared" ca="1" si="21"/>
        <v>9.7913965277757753E-3</v>
      </c>
      <c r="AE34" s="1"/>
      <c r="AF34" s="1">
        <f t="shared" ca="1" si="22"/>
        <v>0.18886421375403917</v>
      </c>
      <c r="AG34" s="1">
        <f t="shared" ca="1" si="23"/>
        <v>579</v>
      </c>
      <c r="AH34" s="1">
        <f t="shared" ca="1" si="24"/>
        <v>8.7002251654319171E-3</v>
      </c>
      <c r="AJ34" s="1">
        <f t="shared" ca="1" si="25"/>
        <v>0.75564746679688433</v>
      </c>
      <c r="AK34" s="1">
        <f t="shared" ca="1" si="26"/>
        <v>7.6975594835277626E-3</v>
      </c>
      <c r="AL34" s="1"/>
      <c r="AM34" s="1">
        <f t="shared" ca="1" si="27"/>
        <v>0.13175450841569181</v>
      </c>
      <c r="AN34" s="1">
        <f t="shared" ca="1" si="28"/>
        <v>30</v>
      </c>
      <c r="AO34" s="1">
        <f t="shared" ca="1" si="29"/>
        <v>15</v>
      </c>
      <c r="AQ34" s="1">
        <f t="shared" ca="1" si="30"/>
        <v>115</v>
      </c>
      <c r="AR34" s="1">
        <f t="shared" ca="1" si="31"/>
        <v>0</v>
      </c>
      <c r="AS34" s="1">
        <f t="shared" ca="1" si="32"/>
        <v>39</v>
      </c>
      <c r="AU34" s="1">
        <f t="shared" ca="1" si="33"/>
        <v>101</v>
      </c>
      <c r="AV34" s="1">
        <f t="shared" ca="1" si="34"/>
        <v>10</v>
      </c>
      <c r="AW34" s="1">
        <f t="shared" ca="1" si="35"/>
        <v>0.14746259929217193</v>
      </c>
      <c r="AY34" s="1">
        <f t="shared" ca="1" si="36"/>
        <v>1.9468901975706334</v>
      </c>
      <c r="AZ34" s="1">
        <f t="shared" ca="1" si="37"/>
        <v>299</v>
      </c>
      <c r="BA34" s="1">
        <f t="shared" ca="1" si="38"/>
        <v>6.3966489079238177E-4</v>
      </c>
      <c r="BV34" s="1">
        <f t="shared" ca="1" si="39"/>
        <v>0.42901427447671464</v>
      </c>
      <c r="BW34" s="1">
        <f t="shared" ca="1" si="40"/>
        <v>814</v>
      </c>
      <c r="BX34" s="1">
        <f t="shared" ca="1" si="41"/>
        <v>6.629031681848376E-3</v>
      </c>
      <c r="BY34" s="1">
        <f t="shared" ca="1" si="42"/>
        <v>3.9384120309288485E-2</v>
      </c>
      <c r="BZ34" s="1">
        <f t="shared" ca="1" si="43"/>
        <v>4.1678181598486463E-2</v>
      </c>
      <c r="CB34" s="1">
        <f t="shared" ca="1" si="44"/>
        <v>218</v>
      </c>
      <c r="CC34" s="1">
        <f t="shared" ca="1" si="45"/>
        <v>3</v>
      </c>
      <c r="CD34" s="1">
        <f t="shared" ca="1" si="46"/>
        <v>0.16060388160081843</v>
      </c>
      <c r="CE34" s="1">
        <f t="shared" ca="1" si="47"/>
        <v>0.8066198158657526</v>
      </c>
      <c r="CF34" s="1">
        <f t="shared" ca="1" si="47"/>
        <v>0.8958837107503359</v>
      </c>
      <c r="CH34" s="3">
        <f t="shared" ca="1" si="48"/>
        <v>0.74756569225646352</v>
      </c>
      <c r="CI34" s="3">
        <f t="shared" ca="1" si="49"/>
        <v>0.35647026131763054</v>
      </c>
      <c r="CJ34" s="3">
        <f t="shared" ca="1" si="50"/>
        <v>1188</v>
      </c>
      <c r="CK34" s="3">
        <f t="shared" ca="1" si="51"/>
        <v>8.6291597549442885E-3</v>
      </c>
      <c r="CL34" s="3">
        <f t="shared" ca="1" si="52"/>
        <v>1</v>
      </c>
      <c r="CM34" s="3"/>
      <c r="CN34" s="1">
        <f t="shared" ca="1" si="53"/>
        <v>15.879955240426773</v>
      </c>
      <c r="CO34" s="1">
        <f t="shared" ca="1" si="54"/>
        <v>0.41164052738918083</v>
      </c>
      <c r="CP34" s="1">
        <f t="shared" ca="1" si="55"/>
        <v>1</v>
      </c>
    </row>
    <row r="35" spans="2:94" x14ac:dyDescent="0.25">
      <c r="B35">
        <f t="shared" ca="1" si="0"/>
        <v>790</v>
      </c>
      <c r="C35">
        <f t="shared" ca="1" si="1"/>
        <v>45</v>
      </c>
      <c r="D35">
        <f t="shared" ca="1" si="2"/>
        <v>5.3821062842081872E-2</v>
      </c>
      <c r="F35" s="1">
        <f t="shared" ca="1" si="3"/>
        <v>14</v>
      </c>
      <c r="G35" s="1">
        <f t="shared" ca="1" si="4"/>
        <v>20</v>
      </c>
      <c r="H35" s="1">
        <f t="shared" ca="1" si="5"/>
        <v>10</v>
      </c>
      <c r="I35" s="1"/>
      <c r="J35" s="1">
        <f t="shared" ca="1" si="6"/>
        <v>33</v>
      </c>
      <c r="K35" s="1">
        <f t="shared" ca="1" si="7"/>
        <v>1.5021471334081562</v>
      </c>
      <c r="L35" s="1">
        <f t="shared" ca="1" si="8"/>
        <v>10</v>
      </c>
      <c r="M35" s="1"/>
      <c r="N35" s="1">
        <f t="shared" ca="1" si="9"/>
        <v>127</v>
      </c>
      <c r="O35" s="1">
        <f t="shared" ca="1" si="10"/>
        <v>48</v>
      </c>
      <c r="P35" s="1"/>
      <c r="Q35" s="1">
        <f t="shared" ca="1" si="11"/>
        <v>1.0301349179598134</v>
      </c>
      <c r="R35" s="1">
        <f t="shared" ca="1" si="12"/>
        <v>558</v>
      </c>
      <c r="S35" s="1"/>
      <c r="T35" s="1">
        <f t="shared" ca="1" si="13"/>
        <v>2.504420434146138E-2</v>
      </c>
      <c r="U35" s="1">
        <f t="shared" ca="1" si="14"/>
        <v>260</v>
      </c>
      <c r="V35" s="1">
        <f t="shared" ca="1" si="15"/>
        <v>41</v>
      </c>
      <c r="W35" s="1"/>
      <c r="X35" s="1">
        <f t="shared" ca="1" si="16"/>
        <v>4.4298496528703062</v>
      </c>
      <c r="Y35" s="1">
        <f t="shared" ca="1" si="17"/>
        <v>0.98503658765403002</v>
      </c>
      <c r="Z35" s="1">
        <f t="shared" ca="1" si="18"/>
        <v>1607</v>
      </c>
      <c r="AB35" s="1">
        <f t="shared" ca="1" si="19"/>
        <v>0.47237940517694538</v>
      </c>
      <c r="AC35" s="1">
        <f t="shared" ca="1" si="20"/>
        <v>971</v>
      </c>
      <c r="AD35" s="1">
        <f t="shared" ca="1" si="21"/>
        <v>8.9239374644457681E-3</v>
      </c>
      <c r="AE35" s="1"/>
      <c r="AF35" s="1">
        <f t="shared" ca="1" si="22"/>
        <v>0.29783608530773253</v>
      </c>
      <c r="AG35" s="1">
        <f t="shared" ca="1" si="23"/>
        <v>724</v>
      </c>
      <c r="AH35" s="1">
        <f t="shared" ca="1" si="24"/>
        <v>6.37096643502311E-3</v>
      </c>
      <c r="AJ35" s="1">
        <f t="shared" ca="1" si="25"/>
        <v>0.39391308357065524</v>
      </c>
      <c r="AK35" s="1">
        <f t="shared" ca="1" si="26"/>
        <v>6.0471548045957771E-3</v>
      </c>
      <c r="AL35" s="1"/>
      <c r="AM35" s="1">
        <f t="shared" ca="1" si="27"/>
        <v>0.11024101257894069</v>
      </c>
      <c r="AN35" s="1">
        <f t="shared" ca="1" si="28"/>
        <v>70</v>
      </c>
      <c r="AO35" s="1">
        <f t="shared" ca="1" si="29"/>
        <v>19</v>
      </c>
      <c r="AQ35" s="1">
        <f t="shared" ca="1" si="30"/>
        <v>24</v>
      </c>
      <c r="AR35" s="1">
        <f t="shared" ca="1" si="31"/>
        <v>7</v>
      </c>
      <c r="AS35" s="1">
        <f t="shared" ca="1" si="32"/>
        <v>54</v>
      </c>
      <c r="AU35" s="1">
        <f t="shared" ca="1" si="33"/>
        <v>277</v>
      </c>
      <c r="AV35" s="1">
        <f t="shared" ca="1" si="34"/>
        <v>10</v>
      </c>
      <c r="AW35" s="1">
        <f t="shared" ca="1" si="35"/>
        <v>0.16545613056977543</v>
      </c>
      <c r="AY35" s="1">
        <f t="shared" ca="1" si="36"/>
        <v>1.9109070628128531</v>
      </c>
      <c r="AZ35" s="1">
        <f t="shared" ca="1" si="37"/>
        <v>283</v>
      </c>
      <c r="BA35" s="1">
        <f t="shared" ca="1" si="38"/>
        <v>9.5001183587403934E-3</v>
      </c>
      <c r="BV35" s="1">
        <f t="shared" ca="1" si="39"/>
        <v>0.20669417572270382</v>
      </c>
      <c r="BW35" s="1">
        <f t="shared" ca="1" si="40"/>
        <v>607</v>
      </c>
      <c r="BX35" s="1">
        <f t="shared" ca="1" si="41"/>
        <v>7.9300391565424212E-3</v>
      </c>
      <c r="BY35" s="1">
        <f t="shared" ca="1" si="42"/>
        <v>4.8267842847698056E-2</v>
      </c>
      <c r="BZ35" s="1">
        <f t="shared" ca="1" si="43"/>
        <v>0.16437191979413701</v>
      </c>
      <c r="CB35" s="1">
        <f t="shared" ca="1" si="44"/>
        <v>471</v>
      </c>
      <c r="CC35" s="1">
        <f t="shared" ca="1" si="45"/>
        <v>3</v>
      </c>
      <c r="CD35" s="1">
        <f t="shared" ca="1" si="46"/>
        <v>0.28089390385865953</v>
      </c>
      <c r="CE35" s="1">
        <f t="shared" ca="1" si="47"/>
        <v>0.81859747986142495</v>
      </c>
      <c r="CF35" s="1">
        <f t="shared" ca="1" si="47"/>
        <v>0.76593068543344933</v>
      </c>
      <c r="CH35" s="3">
        <f t="shared" ca="1" si="48"/>
        <v>0.30698992296642996</v>
      </c>
      <c r="CI35" s="3">
        <f t="shared" ca="1" si="49"/>
        <v>0.98591529756333074</v>
      </c>
      <c r="CJ35" s="3">
        <f t="shared" ca="1" si="50"/>
        <v>1143</v>
      </c>
      <c r="CK35" s="3">
        <f t="shared" ca="1" si="51"/>
        <v>6.7955611104531478E-3</v>
      </c>
      <c r="CL35" s="3">
        <f t="shared" ca="1" si="52"/>
        <v>0</v>
      </c>
      <c r="CM35" s="3"/>
      <c r="CN35" s="1">
        <f t="shared" ca="1" si="53"/>
        <v>19.711331769139832</v>
      </c>
      <c r="CO35" s="1">
        <f t="shared" ca="1" si="54"/>
        <v>0.32711660779453267</v>
      </c>
      <c r="CP35" s="1">
        <f t="shared" ca="1" si="55"/>
        <v>4</v>
      </c>
    </row>
    <row r="36" spans="2:94" x14ac:dyDescent="0.25">
      <c r="B36">
        <f t="shared" ca="1" si="0"/>
        <v>954</v>
      </c>
      <c r="C36">
        <f t="shared" ca="1" si="1"/>
        <v>16</v>
      </c>
      <c r="D36">
        <f t="shared" ca="1" si="2"/>
        <v>0.23143953178714385</v>
      </c>
      <c r="F36" s="1">
        <f t="shared" ca="1" si="3"/>
        <v>46</v>
      </c>
      <c r="G36" s="1">
        <f t="shared" ca="1" si="4"/>
        <v>19</v>
      </c>
      <c r="H36" s="1">
        <f t="shared" ca="1" si="5"/>
        <v>4</v>
      </c>
      <c r="I36" s="1"/>
      <c r="J36" s="1">
        <f t="shared" ca="1" si="6"/>
        <v>1</v>
      </c>
      <c r="K36" s="1">
        <f t="shared" ca="1" si="7"/>
        <v>1.0654470157003948</v>
      </c>
      <c r="L36" s="1">
        <f t="shared" ca="1" si="8"/>
        <v>29</v>
      </c>
      <c r="M36" s="1"/>
      <c r="N36" s="1">
        <f t="shared" ca="1" si="9"/>
        <v>37</v>
      </c>
      <c r="O36" s="1">
        <f t="shared" ca="1" si="10"/>
        <v>38</v>
      </c>
      <c r="P36" s="1"/>
      <c r="Q36" s="1">
        <f t="shared" ca="1" si="11"/>
        <v>1.461822813896936</v>
      </c>
      <c r="R36" s="1">
        <f t="shared" ca="1" si="12"/>
        <v>538</v>
      </c>
      <c r="S36" s="1"/>
      <c r="T36" s="1">
        <f t="shared" ca="1" si="13"/>
        <v>0.1481436616841165</v>
      </c>
      <c r="U36" s="1">
        <f t="shared" ca="1" si="14"/>
        <v>324</v>
      </c>
      <c r="V36" s="1">
        <f t="shared" ca="1" si="15"/>
        <v>11</v>
      </c>
      <c r="W36" s="1"/>
      <c r="X36" s="1">
        <f t="shared" ca="1" si="16"/>
        <v>2.508582758685711E-2</v>
      </c>
      <c r="Y36" s="1">
        <f t="shared" ca="1" si="17"/>
        <v>0.32823915749189891</v>
      </c>
      <c r="Z36" s="1">
        <f t="shared" ca="1" si="18"/>
        <v>1485</v>
      </c>
      <c r="AB36" s="1">
        <f t="shared" ca="1" si="19"/>
        <v>0.6424240926268574</v>
      </c>
      <c r="AC36" s="1">
        <f t="shared" ca="1" si="20"/>
        <v>115</v>
      </c>
      <c r="AD36" s="1">
        <f t="shared" ca="1" si="21"/>
        <v>3.7947560674232534E-3</v>
      </c>
      <c r="AE36" s="1"/>
      <c r="AF36" s="1">
        <f t="shared" ca="1" si="22"/>
        <v>0.83612721930637102</v>
      </c>
      <c r="AG36" s="1">
        <f t="shared" ca="1" si="23"/>
        <v>647</v>
      </c>
      <c r="AH36" s="1">
        <f t="shared" ca="1" si="24"/>
        <v>9.9512104042312702E-3</v>
      </c>
      <c r="AJ36" s="1">
        <f t="shared" ca="1" si="25"/>
        <v>0.32023005760800838</v>
      </c>
      <c r="AK36" s="1">
        <f t="shared" ca="1" si="26"/>
        <v>2.3665474338416415E-3</v>
      </c>
      <c r="AL36" s="1"/>
      <c r="AM36" s="1">
        <f t="shared" ca="1" si="27"/>
        <v>7.8316862792311093E-2</v>
      </c>
      <c r="AN36" s="1">
        <f t="shared" ca="1" si="28"/>
        <v>50</v>
      </c>
      <c r="AO36" s="1">
        <f t="shared" ca="1" si="29"/>
        <v>15</v>
      </c>
      <c r="AQ36" s="1">
        <f t="shared" ca="1" si="30"/>
        <v>15</v>
      </c>
      <c r="AR36" s="1">
        <f t="shared" ca="1" si="31"/>
        <v>8</v>
      </c>
      <c r="AS36" s="1">
        <f t="shared" ca="1" si="32"/>
        <v>59</v>
      </c>
      <c r="AU36" s="1">
        <f t="shared" ca="1" si="33"/>
        <v>373</v>
      </c>
      <c r="AV36" s="1">
        <f t="shared" ca="1" si="34"/>
        <v>8</v>
      </c>
      <c r="AW36" s="1">
        <f t="shared" ca="1" si="35"/>
        <v>2.233036847061684E-2</v>
      </c>
      <c r="AY36" s="1">
        <f t="shared" ca="1" si="36"/>
        <v>1.6397510704572018</v>
      </c>
      <c r="AZ36" s="1">
        <f t="shared" ca="1" si="37"/>
        <v>184</v>
      </c>
      <c r="BA36" s="1">
        <f t="shared" ca="1" si="38"/>
        <v>7.6606340425580495E-3</v>
      </c>
      <c r="BV36" s="1">
        <f t="shared" ca="1" si="39"/>
        <v>0.50891326312494822</v>
      </c>
      <c r="BW36" s="1">
        <f t="shared" ca="1" si="40"/>
        <v>697</v>
      </c>
      <c r="BX36" s="1">
        <f t="shared" ca="1" si="41"/>
        <v>7.2705027160991651E-3</v>
      </c>
      <c r="BY36" s="1">
        <f t="shared" ca="1" si="42"/>
        <v>3.8549249976937802E-2</v>
      </c>
      <c r="BZ36" s="1">
        <f t="shared" ca="1" si="43"/>
        <v>4.8729967936383844E-2</v>
      </c>
      <c r="CB36" s="1">
        <f t="shared" ca="1" si="44"/>
        <v>139</v>
      </c>
      <c r="CC36" s="1">
        <f t="shared" ca="1" si="45"/>
        <v>14</v>
      </c>
      <c r="CD36" s="1">
        <f t="shared" ca="1" si="46"/>
        <v>0.14612021097246808</v>
      </c>
      <c r="CE36" s="1">
        <f t="shared" ref="CE36:CF67" ca="1" si="56">RAND()*(1-0.5)+0.5</f>
        <v>0.99972038781219519</v>
      </c>
      <c r="CF36" s="1">
        <f t="shared" ca="1" si="56"/>
        <v>0.69716014636248946</v>
      </c>
      <c r="CH36" s="3">
        <f t="shared" ca="1" si="48"/>
        <v>0.72884356320539179</v>
      </c>
      <c r="CI36" s="3">
        <f t="shared" ca="1" si="49"/>
        <v>2.211343970735432E-2</v>
      </c>
      <c r="CJ36" s="3">
        <f t="shared" ca="1" si="50"/>
        <v>663</v>
      </c>
      <c r="CK36" s="3">
        <f t="shared" ca="1" si="51"/>
        <v>1.6581748800970544E-3</v>
      </c>
      <c r="CL36" s="3">
        <f t="shared" ca="1" si="52"/>
        <v>0</v>
      </c>
      <c r="CM36" s="3"/>
      <c r="CN36" s="1">
        <f t="shared" ca="1" si="53"/>
        <v>1.150318596735644</v>
      </c>
      <c r="CO36" s="1">
        <f t="shared" ca="1" si="54"/>
        <v>0.2592482573299415</v>
      </c>
      <c r="CP36" s="1">
        <f t="shared" ca="1" si="55"/>
        <v>5</v>
      </c>
    </row>
    <row r="37" spans="2:94" x14ac:dyDescent="0.25">
      <c r="B37">
        <f t="shared" ca="1" si="0"/>
        <v>243</v>
      </c>
      <c r="C37">
        <f t="shared" ca="1" si="1"/>
        <v>39</v>
      </c>
      <c r="D37">
        <f t="shared" ca="1" si="2"/>
        <v>0.22849346349622127</v>
      </c>
      <c r="F37" s="1">
        <f t="shared" ca="1" si="3"/>
        <v>12</v>
      </c>
      <c r="G37" s="1">
        <f t="shared" ca="1" si="4"/>
        <v>3</v>
      </c>
      <c r="H37" s="1">
        <f t="shared" ca="1" si="5"/>
        <v>4</v>
      </c>
      <c r="I37" s="1"/>
      <c r="J37" s="1">
        <f t="shared" ca="1" si="6"/>
        <v>25</v>
      </c>
      <c r="K37" s="1">
        <f t="shared" ca="1" si="7"/>
        <v>2.2803394846321194</v>
      </c>
      <c r="L37" s="1">
        <f t="shared" ca="1" si="8"/>
        <v>13</v>
      </c>
      <c r="M37" s="1"/>
      <c r="N37" s="1">
        <f t="shared" ca="1" si="9"/>
        <v>794</v>
      </c>
      <c r="O37" s="1">
        <f t="shared" ca="1" si="10"/>
        <v>30</v>
      </c>
      <c r="P37" s="1"/>
      <c r="Q37" s="1">
        <f t="shared" ca="1" si="11"/>
        <v>3.102119751640219</v>
      </c>
      <c r="R37" s="1">
        <f t="shared" ca="1" si="12"/>
        <v>707</v>
      </c>
      <c r="S37" s="1"/>
      <c r="T37" s="1">
        <f t="shared" ca="1" si="13"/>
        <v>9.1825448057043513E-2</v>
      </c>
      <c r="U37" s="1">
        <f t="shared" ca="1" si="14"/>
        <v>197</v>
      </c>
      <c r="V37" s="1">
        <f t="shared" ca="1" si="15"/>
        <v>39</v>
      </c>
      <c r="W37" s="1"/>
      <c r="X37" s="1">
        <f t="shared" ca="1" si="16"/>
        <v>7.0998363244802745</v>
      </c>
      <c r="Y37" s="1">
        <f t="shared" ca="1" si="17"/>
        <v>0.6220843980404912</v>
      </c>
      <c r="Z37" s="1">
        <f t="shared" ca="1" si="18"/>
        <v>1895</v>
      </c>
      <c r="AB37" s="1">
        <f t="shared" ca="1" si="19"/>
        <v>0.49035666015348156</v>
      </c>
      <c r="AC37" s="1">
        <f t="shared" ca="1" si="20"/>
        <v>752</v>
      </c>
      <c r="AD37" s="1">
        <f t="shared" ca="1" si="21"/>
        <v>9.179478385158004E-3</v>
      </c>
      <c r="AE37" s="1"/>
      <c r="AF37" s="1">
        <f t="shared" ca="1" si="22"/>
        <v>0.863829914175543</v>
      </c>
      <c r="AG37" s="1">
        <f t="shared" ca="1" si="23"/>
        <v>714</v>
      </c>
      <c r="AH37" s="1">
        <f t="shared" ca="1" si="24"/>
        <v>2.2922938738426605E-3</v>
      </c>
      <c r="AJ37" s="1">
        <f t="shared" ca="1" si="25"/>
        <v>0.42029675472089356</v>
      </c>
      <c r="AK37" s="1">
        <f t="shared" ca="1" si="26"/>
        <v>1.0019025228446563E-3</v>
      </c>
      <c r="AL37" s="1"/>
      <c r="AM37" s="1">
        <f t="shared" ca="1" si="27"/>
        <v>1.1408626059746258E-2</v>
      </c>
      <c r="AN37" s="1">
        <f t="shared" ca="1" si="28"/>
        <v>28</v>
      </c>
      <c r="AO37" s="1">
        <f t="shared" ca="1" si="29"/>
        <v>1</v>
      </c>
      <c r="AQ37" s="1">
        <f t="shared" ca="1" si="30"/>
        <v>108</v>
      </c>
      <c r="AR37" s="1">
        <f t="shared" ca="1" si="31"/>
        <v>7</v>
      </c>
      <c r="AS37" s="1">
        <f t="shared" ca="1" si="32"/>
        <v>48</v>
      </c>
      <c r="AU37" s="1">
        <f t="shared" ca="1" si="33"/>
        <v>116</v>
      </c>
      <c r="AV37" s="1">
        <f t="shared" ca="1" si="34"/>
        <v>5</v>
      </c>
      <c r="AW37" s="1">
        <f t="shared" ca="1" si="35"/>
        <v>7.671476365157201E-2</v>
      </c>
      <c r="AY37" s="1">
        <f t="shared" ca="1" si="36"/>
        <v>1.260614788940764</v>
      </c>
      <c r="AZ37" s="1">
        <f t="shared" ca="1" si="37"/>
        <v>304</v>
      </c>
      <c r="BA37" s="1">
        <f t="shared" ca="1" si="38"/>
        <v>5.2297314345504326E-3</v>
      </c>
      <c r="BV37" s="1">
        <f t="shared" ca="1" si="39"/>
        <v>1.9834334862558787E-2</v>
      </c>
      <c r="BW37" s="1">
        <f t="shared" ca="1" si="40"/>
        <v>977</v>
      </c>
      <c r="BX37" s="1">
        <f t="shared" ca="1" si="41"/>
        <v>7.3365587796565693E-3</v>
      </c>
      <c r="BY37" s="1">
        <f t="shared" ca="1" si="42"/>
        <v>7.3287767600584267E-2</v>
      </c>
      <c r="BZ37" s="1">
        <f t="shared" ca="1" si="43"/>
        <v>0.70902113197929217</v>
      </c>
      <c r="CB37" s="1">
        <f t="shared" ca="1" si="44"/>
        <v>136</v>
      </c>
      <c r="CC37" s="1">
        <f t="shared" ca="1" si="45"/>
        <v>11</v>
      </c>
      <c r="CD37" s="1">
        <f t="shared" ca="1" si="46"/>
        <v>0.22888588532807619</v>
      </c>
      <c r="CE37" s="1">
        <f t="shared" ca="1" si="56"/>
        <v>0.69120819963176872</v>
      </c>
      <c r="CF37" s="1">
        <f t="shared" ca="1" si="56"/>
        <v>0.89906475979577394</v>
      </c>
      <c r="CH37" s="3">
        <f t="shared" ca="1" si="48"/>
        <v>0.92898864412623716</v>
      </c>
      <c r="CI37" s="3">
        <f t="shared" ca="1" si="49"/>
        <v>0.14504914710862676</v>
      </c>
      <c r="CJ37" s="3">
        <f t="shared" ca="1" si="50"/>
        <v>1897</v>
      </c>
      <c r="CK37" s="3">
        <f t="shared" ca="1" si="51"/>
        <v>8.3591555950362165E-3</v>
      </c>
      <c r="CL37" s="3">
        <f t="shared" ca="1" si="52"/>
        <v>0</v>
      </c>
      <c r="CM37" s="3"/>
      <c r="CN37" s="1">
        <f t="shared" ca="1" si="53"/>
        <v>0.54768395143527593</v>
      </c>
      <c r="CO37" s="1">
        <f t="shared" ca="1" si="54"/>
        <v>0.13894619829105365</v>
      </c>
      <c r="CP37" s="1">
        <f t="shared" ca="1" si="55"/>
        <v>2</v>
      </c>
    </row>
    <row r="38" spans="2:94" x14ac:dyDescent="0.25">
      <c r="B38">
        <f t="shared" ca="1" si="0"/>
        <v>490</v>
      </c>
      <c r="C38">
        <f t="shared" ca="1" si="1"/>
        <v>15</v>
      </c>
      <c r="D38">
        <f t="shared" ca="1" si="2"/>
        <v>0.11170576179173351</v>
      </c>
      <c r="F38" s="1">
        <f t="shared" ca="1" si="3"/>
        <v>47</v>
      </c>
      <c r="G38" s="1">
        <f t="shared" ca="1" si="4"/>
        <v>29</v>
      </c>
      <c r="H38" s="1">
        <f t="shared" ca="1" si="5"/>
        <v>7</v>
      </c>
      <c r="I38" s="1"/>
      <c r="J38" s="1">
        <f t="shared" ca="1" si="6"/>
        <v>28</v>
      </c>
      <c r="K38" s="1">
        <f t="shared" ca="1" si="7"/>
        <v>2.1357838313947006</v>
      </c>
      <c r="L38" s="1">
        <f t="shared" ca="1" si="8"/>
        <v>5</v>
      </c>
      <c r="M38" s="1"/>
      <c r="N38" s="1">
        <f t="shared" ca="1" si="9"/>
        <v>205</v>
      </c>
      <c r="O38" s="1">
        <f t="shared" ca="1" si="10"/>
        <v>51</v>
      </c>
      <c r="P38" s="1"/>
      <c r="Q38" s="1">
        <f t="shared" ca="1" si="11"/>
        <v>4.9948427761615815</v>
      </c>
      <c r="R38" s="1">
        <f t="shared" ca="1" si="12"/>
        <v>890</v>
      </c>
      <c r="S38" s="1"/>
      <c r="T38" s="1">
        <f t="shared" ca="1" si="13"/>
        <v>9.4502886143274165E-2</v>
      </c>
      <c r="U38" s="1">
        <f t="shared" ca="1" si="14"/>
        <v>262</v>
      </c>
      <c r="V38" s="1">
        <f t="shared" ca="1" si="15"/>
        <v>8</v>
      </c>
      <c r="W38" s="1"/>
      <c r="X38" s="1">
        <f t="shared" ca="1" si="16"/>
        <v>8.7355745717246904</v>
      </c>
      <c r="Y38" s="1">
        <f t="shared" ca="1" si="17"/>
        <v>4.0641363191614458E-3</v>
      </c>
      <c r="Z38" s="1">
        <f t="shared" ca="1" si="18"/>
        <v>1150</v>
      </c>
      <c r="AB38" s="1">
        <f t="shared" ca="1" si="19"/>
        <v>0.62237818826616598</v>
      </c>
      <c r="AC38" s="1">
        <f t="shared" ca="1" si="20"/>
        <v>456</v>
      </c>
      <c r="AD38" s="1">
        <f t="shared" ca="1" si="21"/>
        <v>6.3667210358364021E-3</v>
      </c>
      <c r="AE38" s="1"/>
      <c r="AF38" s="1">
        <f t="shared" ca="1" si="22"/>
        <v>0.58524199425541112</v>
      </c>
      <c r="AG38" s="1">
        <f t="shared" ca="1" si="23"/>
        <v>102</v>
      </c>
      <c r="AH38" s="1">
        <f t="shared" ca="1" si="24"/>
        <v>1.794914246514375E-3</v>
      </c>
      <c r="AJ38" s="1">
        <f t="shared" ca="1" si="25"/>
        <v>0.11710075988649349</v>
      </c>
      <c r="AK38" s="1">
        <f t="shared" ca="1" si="26"/>
        <v>8.6048105148982135E-3</v>
      </c>
      <c r="AL38" s="1"/>
      <c r="AM38" s="1">
        <f t="shared" ca="1" si="27"/>
        <v>4.6052618654762442E-2</v>
      </c>
      <c r="AN38" s="1">
        <f t="shared" ca="1" si="28"/>
        <v>71</v>
      </c>
      <c r="AO38" s="1">
        <f t="shared" ca="1" si="29"/>
        <v>13</v>
      </c>
      <c r="AQ38" s="1">
        <f t="shared" ca="1" si="30"/>
        <v>130</v>
      </c>
      <c r="AR38" s="1">
        <f t="shared" ca="1" si="31"/>
        <v>3</v>
      </c>
      <c r="AS38" s="1">
        <f t="shared" ca="1" si="32"/>
        <v>7</v>
      </c>
      <c r="AU38" s="1">
        <f t="shared" ca="1" si="33"/>
        <v>138</v>
      </c>
      <c r="AV38" s="1">
        <f t="shared" ca="1" si="34"/>
        <v>2</v>
      </c>
      <c r="AW38" s="1">
        <f t="shared" ca="1" si="35"/>
        <v>9.883656085236131E-2</v>
      </c>
      <c r="AY38" s="1">
        <f t="shared" ca="1" si="36"/>
        <v>1.2485507607638133</v>
      </c>
      <c r="AZ38" s="1">
        <f t="shared" ca="1" si="37"/>
        <v>77</v>
      </c>
      <c r="BA38" s="1">
        <f t="shared" ca="1" si="38"/>
        <v>3.1150101671217276E-3</v>
      </c>
      <c r="BV38" s="1">
        <f t="shared" ca="1" si="39"/>
        <v>0.73087880575354269</v>
      </c>
      <c r="BW38" s="1">
        <f t="shared" ca="1" si="40"/>
        <v>504</v>
      </c>
      <c r="BX38" s="1">
        <f t="shared" ca="1" si="41"/>
        <v>9.4673721871225275E-3</v>
      </c>
      <c r="BY38" s="1">
        <f t="shared" ca="1" si="42"/>
        <v>2.4906373658884146E-4</v>
      </c>
      <c r="BZ38" s="1">
        <f t="shared" ca="1" si="43"/>
        <v>0.11728000711615028</v>
      </c>
      <c r="CB38" s="1">
        <f t="shared" ca="1" si="44"/>
        <v>79</v>
      </c>
      <c r="CC38" s="1">
        <f t="shared" ca="1" si="45"/>
        <v>9</v>
      </c>
      <c r="CD38" s="1">
        <f t="shared" ca="1" si="46"/>
        <v>0.16308075136357988</v>
      </c>
      <c r="CE38" s="1">
        <f t="shared" ca="1" si="56"/>
        <v>0.90921001150318426</v>
      </c>
      <c r="CF38" s="1">
        <f t="shared" ca="1" si="56"/>
        <v>0.98444361265449443</v>
      </c>
      <c r="CH38" s="3">
        <f t="shared" ca="1" si="48"/>
        <v>0.63216230786068395</v>
      </c>
      <c r="CI38" s="3">
        <f t="shared" ca="1" si="49"/>
        <v>0.6317864718689169</v>
      </c>
      <c r="CJ38" s="3">
        <f t="shared" ca="1" si="50"/>
        <v>278</v>
      </c>
      <c r="CK38" s="3">
        <f t="shared" ca="1" si="51"/>
        <v>1.8428802925936855E-3</v>
      </c>
      <c r="CL38" s="3">
        <f t="shared" ca="1" si="52"/>
        <v>1</v>
      </c>
      <c r="CM38" s="3"/>
      <c r="CN38" s="1">
        <f t="shared" ca="1" si="53"/>
        <v>13.711575312164308</v>
      </c>
      <c r="CO38" s="1">
        <f t="shared" ca="1" si="54"/>
        <v>0.31920693050703752</v>
      </c>
      <c r="CP38" s="1">
        <f t="shared" ca="1" si="55"/>
        <v>1</v>
      </c>
    </row>
    <row r="39" spans="2:94" x14ac:dyDescent="0.25">
      <c r="B39">
        <f t="shared" ca="1" si="0"/>
        <v>964</v>
      </c>
      <c r="C39">
        <f t="shared" ca="1" si="1"/>
        <v>5</v>
      </c>
      <c r="D39">
        <f t="shared" ca="1" si="2"/>
        <v>0.16243673187741189</v>
      </c>
      <c r="F39" s="1">
        <f t="shared" ca="1" si="3"/>
        <v>47</v>
      </c>
      <c r="G39" s="1">
        <f t="shared" ca="1" si="4"/>
        <v>12</v>
      </c>
      <c r="H39" s="1">
        <f t="shared" ca="1" si="5"/>
        <v>3</v>
      </c>
      <c r="I39" s="1"/>
      <c r="J39" s="1">
        <f t="shared" ca="1" si="6"/>
        <v>4</v>
      </c>
      <c r="K39" s="1">
        <f t="shared" ca="1" si="7"/>
        <v>1.424569814952559</v>
      </c>
      <c r="L39" s="1">
        <f t="shared" ca="1" si="8"/>
        <v>8</v>
      </c>
      <c r="M39" s="1"/>
      <c r="N39" s="1">
        <f t="shared" ca="1" si="9"/>
        <v>122</v>
      </c>
      <c r="O39" s="1">
        <f t="shared" ca="1" si="10"/>
        <v>9</v>
      </c>
      <c r="P39" s="1"/>
      <c r="Q39" s="1">
        <f t="shared" ca="1" si="11"/>
        <v>3.9620902861455312</v>
      </c>
      <c r="R39" s="1">
        <f t="shared" ca="1" si="12"/>
        <v>955</v>
      </c>
      <c r="S39" s="1"/>
      <c r="T39" s="1">
        <f t="shared" ca="1" si="13"/>
        <v>0.1448834507958692</v>
      </c>
      <c r="U39" s="1">
        <f t="shared" ca="1" si="14"/>
        <v>364</v>
      </c>
      <c r="V39" s="1">
        <f t="shared" ca="1" si="15"/>
        <v>11</v>
      </c>
      <c r="W39" s="1"/>
      <c r="X39" s="1">
        <f t="shared" ca="1" si="16"/>
        <v>4.3115338144088762</v>
      </c>
      <c r="Y39" s="1">
        <f t="shared" ca="1" si="17"/>
        <v>0.14040681819133843</v>
      </c>
      <c r="Z39" s="1">
        <f t="shared" ca="1" si="18"/>
        <v>406</v>
      </c>
      <c r="AB39" s="1">
        <f t="shared" ca="1" si="19"/>
        <v>0.51732831844009375</v>
      </c>
      <c r="AC39" s="1">
        <f t="shared" ca="1" si="20"/>
        <v>990</v>
      </c>
      <c r="AD39" s="1">
        <f t="shared" ca="1" si="21"/>
        <v>7.7917617083502651E-3</v>
      </c>
      <c r="AE39" s="1"/>
      <c r="AF39" s="1">
        <f t="shared" ca="1" si="22"/>
        <v>0.10675173060636318</v>
      </c>
      <c r="AG39" s="1">
        <f t="shared" ca="1" si="23"/>
        <v>912</v>
      </c>
      <c r="AH39" s="1">
        <f t="shared" ca="1" si="24"/>
        <v>4.5568734313590374E-3</v>
      </c>
      <c r="AJ39" s="1">
        <f t="shared" ca="1" si="25"/>
        <v>0.42116512608994083</v>
      </c>
      <c r="AK39" s="1">
        <f t="shared" ca="1" si="26"/>
        <v>6.0593790032505916E-4</v>
      </c>
      <c r="AL39" s="1"/>
      <c r="AM39" s="1">
        <f t="shared" ca="1" si="27"/>
        <v>3.3712523464383769E-2</v>
      </c>
      <c r="AN39" s="1">
        <f t="shared" ca="1" si="28"/>
        <v>49</v>
      </c>
      <c r="AO39" s="1">
        <f t="shared" ca="1" si="29"/>
        <v>8</v>
      </c>
      <c r="AQ39" s="1">
        <f t="shared" ca="1" si="30"/>
        <v>35</v>
      </c>
      <c r="AR39" s="1">
        <f t="shared" ca="1" si="31"/>
        <v>7</v>
      </c>
      <c r="AS39" s="1">
        <f t="shared" ca="1" si="32"/>
        <v>34</v>
      </c>
      <c r="AU39" s="1">
        <f t="shared" ca="1" si="33"/>
        <v>374</v>
      </c>
      <c r="AV39" s="1">
        <f t="shared" ca="1" si="34"/>
        <v>2</v>
      </c>
      <c r="AW39" s="1">
        <f t="shared" ca="1" si="35"/>
        <v>0.10103229892547526</v>
      </c>
      <c r="AY39" s="1">
        <f t="shared" ca="1" si="36"/>
        <v>1.2937394469001984</v>
      </c>
      <c r="AZ39" s="1">
        <f t="shared" ca="1" si="37"/>
        <v>405</v>
      </c>
      <c r="BA39" s="1">
        <f t="shared" ca="1" si="38"/>
        <v>3.616309691664446E-3</v>
      </c>
      <c r="BV39" s="1">
        <f t="shared" ca="1" si="39"/>
        <v>0.30142488498985981</v>
      </c>
      <c r="BW39" s="1">
        <f t="shared" ca="1" si="40"/>
        <v>799</v>
      </c>
      <c r="BX39" s="1">
        <f t="shared" ca="1" si="41"/>
        <v>2.639755128121167E-3</v>
      </c>
      <c r="BY39" s="1">
        <f t="shared" ca="1" si="42"/>
        <v>2.4764369961015494E-2</v>
      </c>
      <c r="BZ39" s="1">
        <f t="shared" ca="1" si="43"/>
        <v>0.76513742009832553</v>
      </c>
      <c r="CB39" s="1">
        <f t="shared" ca="1" si="44"/>
        <v>187</v>
      </c>
      <c r="CC39" s="1">
        <f t="shared" ca="1" si="45"/>
        <v>6</v>
      </c>
      <c r="CD39" s="1">
        <f t="shared" ca="1" si="46"/>
        <v>0.22634640681743548</v>
      </c>
      <c r="CE39" s="1">
        <f t="shared" ca="1" si="56"/>
        <v>0.95636493445733928</v>
      </c>
      <c r="CF39" s="1">
        <f t="shared" ca="1" si="56"/>
        <v>0.64387214559609685</v>
      </c>
      <c r="CH39" s="3">
        <f t="shared" ca="1" si="48"/>
        <v>0.9864458102727206</v>
      </c>
      <c r="CI39" s="3">
        <f t="shared" ca="1" si="49"/>
        <v>0.82456950445271371</v>
      </c>
      <c r="CJ39" s="3">
        <f t="shared" ca="1" si="50"/>
        <v>1668</v>
      </c>
      <c r="CK39" s="3">
        <f t="shared" ca="1" si="51"/>
        <v>7.6663006941323202E-3</v>
      </c>
      <c r="CL39" s="3">
        <f t="shared" ca="1" si="52"/>
        <v>1</v>
      </c>
      <c r="CM39" s="3"/>
      <c r="CN39" s="1">
        <f t="shared" ca="1" si="53"/>
        <v>11.812287616274942</v>
      </c>
      <c r="CO39" s="1">
        <f t="shared" ca="1" si="54"/>
        <v>0.10823047751507094</v>
      </c>
      <c r="CP39" s="1">
        <f t="shared" ca="1" si="55"/>
        <v>4</v>
      </c>
    </row>
    <row r="40" spans="2:94" x14ac:dyDescent="0.25">
      <c r="B40">
        <f t="shared" ca="1" si="0"/>
        <v>502</v>
      </c>
      <c r="C40">
        <f t="shared" ca="1" si="1"/>
        <v>48</v>
      </c>
      <c r="D40">
        <f t="shared" ca="1" si="2"/>
        <v>0.21503587919800907</v>
      </c>
      <c r="F40" s="1">
        <f t="shared" ca="1" si="3"/>
        <v>25</v>
      </c>
      <c r="G40" s="1">
        <f t="shared" ca="1" si="4"/>
        <v>7</v>
      </c>
      <c r="H40" s="1">
        <f t="shared" ca="1" si="5"/>
        <v>3</v>
      </c>
      <c r="I40" s="1"/>
      <c r="J40" s="1">
        <f t="shared" ca="1" si="6"/>
        <v>3</v>
      </c>
      <c r="K40" s="1">
        <f t="shared" ca="1" si="7"/>
        <v>1.7654923629724517</v>
      </c>
      <c r="L40" s="1">
        <f t="shared" ca="1" si="8"/>
        <v>15</v>
      </c>
      <c r="M40" s="1"/>
      <c r="N40" s="1">
        <f t="shared" ca="1" si="9"/>
        <v>873</v>
      </c>
      <c r="O40" s="1">
        <f t="shared" ca="1" si="10"/>
        <v>26</v>
      </c>
      <c r="P40" s="1"/>
      <c r="Q40" s="1">
        <f t="shared" ca="1" si="11"/>
        <v>4.7022984627640207</v>
      </c>
      <c r="R40" s="1">
        <f t="shared" ca="1" si="12"/>
        <v>793</v>
      </c>
      <c r="S40" s="1"/>
      <c r="T40" s="1">
        <f t="shared" ca="1" si="13"/>
        <v>0.19272019273379781</v>
      </c>
      <c r="U40" s="1">
        <f t="shared" ca="1" si="14"/>
        <v>394</v>
      </c>
      <c r="V40" s="1">
        <f t="shared" ca="1" si="15"/>
        <v>10</v>
      </c>
      <c r="W40" s="1"/>
      <c r="X40" s="1">
        <f t="shared" ca="1" si="16"/>
        <v>4.0507671466813573</v>
      </c>
      <c r="Y40" s="1">
        <f t="shared" ca="1" si="17"/>
        <v>0.85981928415825504</v>
      </c>
      <c r="Z40" s="1">
        <f t="shared" ca="1" si="18"/>
        <v>274</v>
      </c>
      <c r="AB40" s="1">
        <f t="shared" ca="1" si="19"/>
        <v>0.33533494811206915</v>
      </c>
      <c r="AC40" s="1">
        <f t="shared" ca="1" si="20"/>
        <v>252</v>
      </c>
      <c r="AD40" s="1">
        <f t="shared" ca="1" si="21"/>
        <v>7.2799952457736428E-3</v>
      </c>
      <c r="AE40" s="1"/>
      <c r="AF40" s="1">
        <f t="shared" ca="1" si="22"/>
        <v>0.31729754056280823</v>
      </c>
      <c r="AG40" s="1">
        <f t="shared" ca="1" si="23"/>
        <v>720</v>
      </c>
      <c r="AH40" s="1">
        <f t="shared" ca="1" si="24"/>
        <v>5.6856524228777018E-3</v>
      </c>
      <c r="AJ40" s="1">
        <f t="shared" ca="1" si="25"/>
        <v>0.29515960300063449</v>
      </c>
      <c r="AK40" s="1">
        <f t="shared" ca="1" si="26"/>
        <v>4.9145647782533946E-3</v>
      </c>
      <c r="AL40" s="1"/>
      <c r="AM40" s="1">
        <f t="shared" ca="1" si="27"/>
        <v>0.15713125664447358</v>
      </c>
      <c r="AN40" s="1">
        <f t="shared" ca="1" si="28"/>
        <v>36</v>
      </c>
      <c r="AO40" s="1">
        <f t="shared" ca="1" si="29"/>
        <v>12</v>
      </c>
      <c r="AQ40" s="1">
        <f t="shared" ca="1" si="30"/>
        <v>122</v>
      </c>
      <c r="AR40" s="1">
        <f t="shared" ca="1" si="31"/>
        <v>3</v>
      </c>
      <c r="AS40" s="1">
        <f t="shared" ca="1" si="32"/>
        <v>35</v>
      </c>
      <c r="AU40" s="1">
        <f t="shared" ca="1" si="33"/>
        <v>318</v>
      </c>
      <c r="AV40" s="1">
        <f t="shared" ca="1" si="34"/>
        <v>10</v>
      </c>
      <c r="AW40" s="1">
        <f t="shared" ca="1" si="35"/>
        <v>0.13266428423010937</v>
      </c>
      <c r="AY40" s="1">
        <f t="shared" ca="1" si="36"/>
        <v>1.1227565757802389</v>
      </c>
      <c r="AZ40" s="1">
        <f t="shared" ca="1" si="37"/>
        <v>228</v>
      </c>
      <c r="BA40" s="1">
        <f t="shared" ca="1" si="38"/>
        <v>8.4432022384596881E-3</v>
      </c>
      <c r="BV40" s="1">
        <f t="shared" ca="1" si="39"/>
        <v>0.94923616622098128</v>
      </c>
      <c r="BW40" s="1">
        <f t="shared" ca="1" si="40"/>
        <v>595</v>
      </c>
      <c r="BX40" s="1">
        <f t="shared" ca="1" si="41"/>
        <v>5.5961571056169068E-3</v>
      </c>
      <c r="BY40" s="1">
        <f t="shared" ca="1" si="42"/>
        <v>9.430004741457472E-2</v>
      </c>
      <c r="BZ40" s="1">
        <f t="shared" ca="1" si="43"/>
        <v>0.53429505275135203</v>
      </c>
      <c r="CB40" s="1">
        <f t="shared" ca="1" si="44"/>
        <v>494</v>
      </c>
      <c r="CC40" s="1">
        <f t="shared" ca="1" si="45"/>
        <v>8</v>
      </c>
      <c r="CD40" s="1">
        <f t="shared" ca="1" si="46"/>
        <v>0.27771971285896879</v>
      </c>
      <c r="CE40" s="1">
        <f t="shared" ca="1" si="56"/>
        <v>0.85771909018439385</v>
      </c>
      <c r="CF40" s="1">
        <f t="shared" ca="1" si="56"/>
        <v>0.76447022446471191</v>
      </c>
      <c r="CH40" s="3">
        <f t="shared" ca="1" si="48"/>
        <v>0.36113053647456517</v>
      </c>
      <c r="CI40" s="3">
        <f t="shared" ca="1" si="49"/>
        <v>0.90303148747201345</v>
      </c>
      <c r="CJ40" s="3">
        <f t="shared" ca="1" si="50"/>
        <v>881</v>
      </c>
      <c r="CK40" s="3">
        <f t="shared" ca="1" si="51"/>
        <v>7.26440458295541E-3</v>
      </c>
      <c r="CL40" s="3">
        <f t="shared" ca="1" si="52"/>
        <v>0</v>
      </c>
      <c r="CM40" s="3"/>
      <c r="CN40" s="1">
        <f t="shared" ca="1" si="53"/>
        <v>7.0330361467038403</v>
      </c>
      <c r="CO40" s="1">
        <f t="shared" ca="1" si="54"/>
        <v>0.42858607284886863</v>
      </c>
      <c r="CP40" s="1">
        <f t="shared" ca="1" si="55"/>
        <v>5</v>
      </c>
    </row>
    <row r="41" spans="2:94" x14ac:dyDescent="0.25">
      <c r="B41">
        <f t="shared" ca="1" si="0"/>
        <v>848</v>
      </c>
      <c r="C41">
        <f t="shared" ca="1" si="1"/>
        <v>25</v>
      </c>
      <c r="D41">
        <f t="shared" ca="1" si="2"/>
        <v>0.21721778028982353</v>
      </c>
      <c r="F41" s="1">
        <f t="shared" ca="1" si="3"/>
        <v>46</v>
      </c>
      <c r="G41" s="1">
        <f t="shared" ca="1" si="4"/>
        <v>25</v>
      </c>
      <c r="H41" s="1">
        <f t="shared" ca="1" si="5"/>
        <v>8</v>
      </c>
      <c r="I41" s="1"/>
      <c r="J41" s="1">
        <f t="shared" ca="1" si="6"/>
        <v>8</v>
      </c>
      <c r="K41" s="1">
        <f t="shared" ca="1" si="7"/>
        <v>2.5725982133832437</v>
      </c>
      <c r="L41" s="1">
        <f t="shared" ca="1" si="8"/>
        <v>8</v>
      </c>
      <c r="M41" s="1"/>
      <c r="N41" s="1">
        <f t="shared" ca="1" si="9"/>
        <v>521</v>
      </c>
      <c r="O41" s="1">
        <f t="shared" ca="1" si="10"/>
        <v>51</v>
      </c>
      <c r="P41" s="1"/>
      <c r="Q41" s="1">
        <f t="shared" ca="1" si="11"/>
        <v>1.3262456482421683</v>
      </c>
      <c r="R41" s="1">
        <f t="shared" ca="1" si="12"/>
        <v>1051</v>
      </c>
      <c r="S41" s="1"/>
      <c r="T41" s="1">
        <f t="shared" ca="1" si="13"/>
        <v>0.17576386931842816</v>
      </c>
      <c r="U41" s="1">
        <f t="shared" ca="1" si="14"/>
        <v>265</v>
      </c>
      <c r="V41" s="1">
        <f t="shared" ca="1" si="15"/>
        <v>23</v>
      </c>
      <c r="W41" s="1"/>
      <c r="X41" s="1">
        <f t="shared" ca="1" si="16"/>
        <v>4.3244022221450873</v>
      </c>
      <c r="Y41" s="1">
        <f t="shared" ca="1" si="17"/>
        <v>0.28623809184734522</v>
      </c>
      <c r="Z41" s="1">
        <f t="shared" ca="1" si="18"/>
        <v>303</v>
      </c>
      <c r="AB41" s="1">
        <f t="shared" ca="1" si="19"/>
        <v>0.57733599511148337</v>
      </c>
      <c r="AC41" s="1">
        <f t="shared" ca="1" si="20"/>
        <v>391</v>
      </c>
      <c r="AD41" s="1">
        <f t="shared" ca="1" si="21"/>
        <v>8.7082127177673385E-4</v>
      </c>
      <c r="AE41" s="1"/>
      <c r="AF41" s="1">
        <f t="shared" ca="1" si="22"/>
        <v>0.65665338357047509</v>
      </c>
      <c r="AG41" s="1">
        <f t="shared" ca="1" si="23"/>
        <v>920</v>
      </c>
      <c r="AH41" s="1">
        <f t="shared" ca="1" si="24"/>
        <v>9.3844171621475687E-3</v>
      </c>
      <c r="AJ41" s="1">
        <f t="shared" ca="1" si="25"/>
        <v>0.19528333779625484</v>
      </c>
      <c r="AK41" s="1">
        <f t="shared" ca="1" si="26"/>
        <v>8.1719318613710078E-3</v>
      </c>
      <c r="AL41" s="1"/>
      <c r="AM41" s="1">
        <f t="shared" ca="1" si="27"/>
        <v>0.10777868205905794</v>
      </c>
      <c r="AN41" s="1">
        <f t="shared" ca="1" si="28"/>
        <v>29</v>
      </c>
      <c r="AO41" s="1">
        <f t="shared" ca="1" si="29"/>
        <v>14</v>
      </c>
      <c r="AQ41" s="1">
        <f t="shared" ca="1" si="30"/>
        <v>30</v>
      </c>
      <c r="AR41" s="1">
        <f t="shared" ca="1" si="31"/>
        <v>6</v>
      </c>
      <c r="AS41" s="1">
        <f t="shared" ca="1" si="32"/>
        <v>23</v>
      </c>
      <c r="AU41" s="1">
        <f t="shared" ca="1" si="33"/>
        <v>394</v>
      </c>
      <c r="AV41" s="1">
        <f t="shared" ca="1" si="34"/>
        <v>3</v>
      </c>
      <c r="AW41" s="1">
        <f t="shared" ca="1" si="35"/>
        <v>8.6124826873437588E-2</v>
      </c>
      <c r="AY41" s="1">
        <f t="shared" ca="1" si="36"/>
        <v>1.9831443847836259</v>
      </c>
      <c r="AZ41" s="1">
        <f t="shared" ca="1" si="37"/>
        <v>171</v>
      </c>
      <c r="BA41" s="1">
        <f t="shared" ca="1" si="38"/>
        <v>6.5050387122258567E-3</v>
      </c>
      <c r="BV41" s="1">
        <f t="shared" ca="1" si="39"/>
        <v>0.66358196186857488</v>
      </c>
      <c r="BW41" s="1">
        <f t="shared" ca="1" si="40"/>
        <v>144</v>
      </c>
      <c r="BX41" s="1">
        <f t="shared" ca="1" si="41"/>
        <v>8.5042227200369334E-3</v>
      </c>
      <c r="BY41" s="1">
        <f t="shared" ca="1" si="42"/>
        <v>3.4844728840113322E-3</v>
      </c>
      <c r="BZ41" s="1">
        <f t="shared" ca="1" si="43"/>
        <v>0.85454310639325848</v>
      </c>
      <c r="CB41" s="1">
        <f t="shared" ca="1" si="44"/>
        <v>331</v>
      </c>
      <c r="CC41" s="1">
        <f t="shared" ca="1" si="45"/>
        <v>13</v>
      </c>
      <c r="CD41" s="1">
        <f t="shared" ca="1" si="46"/>
        <v>6.5855936500683873E-2</v>
      </c>
      <c r="CE41" s="1">
        <f t="shared" ca="1" si="56"/>
        <v>0.63543411658971793</v>
      </c>
      <c r="CF41" s="1">
        <f t="shared" ca="1" si="56"/>
        <v>0.61370205768744968</v>
      </c>
      <c r="CH41" s="3">
        <f t="shared" ca="1" si="48"/>
        <v>0.14215262610525886</v>
      </c>
      <c r="CI41" s="3">
        <f t="shared" ca="1" si="49"/>
        <v>0.35201018890499663</v>
      </c>
      <c r="CJ41" s="3">
        <f t="shared" ca="1" si="50"/>
        <v>884</v>
      </c>
      <c r="CK41" s="3">
        <f t="shared" ca="1" si="51"/>
        <v>9.8141549256522045E-3</v>
      </c>
      <c r="CL41" s="3">
        <f t="shared" ca="1" si="52"/>
        <v>0</v>
      </c>
      <c r="CM41" s="3"/>
      <c r="CN41" s="1">
        <f t="shared" ca="1" si="53"/>
        <v>8.8289858463982345</v>
      </c>
      <c r="CO41" s="1">
        <f t="shared" ca="1" si="54"/>
        <v>7.4433467230236167E-2</v>
      </c>
      <c r="CP41" s="1">
        <f t="shared" ca="1" si="55"/>
        <v>2</v>
      </c>
    </row>
    <row r="42" spans="2:94" x14ac:dyDescent="0.25">
      <c r="B42">
        <f t="shared" ca="1" si="0"/>
        <v>557</v>
      </c>
      <c r="C42">
        <f t="shared" ca="1" si="1"/>
        <v>29</v>
      </c>
      <c r="D42">
        <f t="shared" ca="1" si="2"/>
        <v>0.12153210068881302</v>
      </c>
      <c r="F42" s="1">
        <f t="shared" ca="1" si="3"/>
        <v>3</v>
      </c>
      <c r="G42" s="1">
        <f t="shared" ca="1" si="4"/>
        <v>10</v>
      </c>
      <c r="H42" s="1">
        <f t="shared" ca="1" si="5"/>
        <v>2</v>
      </c>
      <c r="I42" s="1"/>
      <c r="J42" s="1">
        <f t="shared" ca="1" si="6"/>
        <v>16</v>
      </c>
      <c r="K42" s="1">
        <f t="shared" ca="1" si="7"/>
        <v>1.2819166223655927</v>
      </c>
      <c r="L42" s="1">
        <f t="shared" ca="1" si="8"/>
        <v>5</v>
      </c>
      <c r="M42" s="1"/>
      <c r="N42" s="1">
        <f t="shared" ca="1" si="9"/>
        <v>268</v>
      </c>
      <c r="O42" s="1">
        <f t="shared" ca="1" si="10"/>
        <v>52</v>
      </c>
      <c r="P42" s="1"/>
      <c r="Q42" s="1">
        <f t="shared" ca="1" si="11"/>
        <v>1.4949027781448458</v>
      </c>
      <c r="R42" s="1">
        <f t="shared" ca="1" si="12"/>
        <v>496</v>
      </c>
      <c r="S42" s="1"/>
      <c r="T42" s="1">
        <f t="shared" ca="1" si="13"/>
        <v>0.17345072181348592</v>
      </c>
      <c r="U42" s="1">
        <f t="shared" ca="1" si="14"/>
        <v>139</v>
      </c>
      <c r="V42" s="1">
        <f t="shared" ca="1" si="15"/>
        <v>16</v>
      </c>
      <c r="W42" s="1"/>
      <c r="X42" s="1">
        <f t="shared" ca="1" si="16"/>
        <v>8.1755498964498319</v>
      </c>
      <c r="Y42" s="1">
        <f t="shared" ca="1" si="17"/>
        <v>0.1520775897161489</v>
      </c>
      <c r="Z42" s="1">
        <f t="shared" ca="1" si="18"/>
        <v>1069</v>
      </c>
      <c r="AB42" s="1">
        <f t="shared" ca="1" si="19"/>
        <v>0.30993335021889373</v>
      </c>
      <c r="AC42" s="1">
        <f t="shared" ca="1" si="20"/>
        <v>483</v>
      </c>
      <c r="AD42" s="1">
        <f t="shared" ca="1" si="21"/>
        <v>4.373729244406965E-3</v>
      </c>
      <c r="AE42" s="1"/>
      <c r="AF42" s="1">
        <f t="shared" ca="1" si="22"/>
        <v>0.20772800447812578</v>
      </c>
      <c r="AG42" s="1">
        <f t="shared" ca="1" si="23"/>
        <v>778</v>
      </c>
      <c r="AH42" s="1">
        <f t="shared" ca="1" si="24"/>
        <v>1.263535951702787E-3</v>
      </c>
      <c r="AJ42" s="1">
        <f t="shared" ca="1" si="25"/>
        <v>0.91629591736954752</v>
      </c>
      <c r="AK42" s="1">
        <f t="shared" ca="1" si="26"/>
        <v>3.1778276781787864E-3</v>
      </c>
      <c r="AL42" s="1"/>
      <c r="AM42" s="1">
        <f t="shared" ca="1" si="27"/>
        <v>0.13876213116589428</v>
      </c>
      <c r="AN42" s="1">
        <f t="shared" ca="1" si="28"/>
        <v>10</v>
      </c>
      <c r="AO42" s="1">
        <f t="shared" ca="1" si="29"/>
        <v>2</v>
      </c>
      <c r="AQ42" s="1">
        <f t="shared" ca="1" si="30"/>
        <v>188</v>
      </c>
      <c r="AR42" s="1">
        <f t="shared" ca="1" si="31"/>
        <v>3</v>
      </c>
      <c r="AS42" s="1">
        <f t="shared" ca="1" si="32"/>
        <v>70</v>
      </c>
      <c r="AU42" s="1">
        <f t="shared" ca="1" si="33"/>
        <v>292</v>
      </c>
      <c r="AV42" s="1">
        <f t="shared" ca="1" si="34"/>
        <v>10</v>
      </c>
      <c r="AW42" s="1">
        <f t="shared" ca="1" si="35"/>
        <v>0.10081885143160142</v>
      </c>
      <c r="AY42" s="1">
        <f t="shared" ca="1" si="36"/>
        <v>1.4778233703576797</v>
      </c>
      <c r="AZ42" s="1">
        <f t="shared" ca="1" si="37"/>
        <v>237</v>
      </c>
      <c r="BA42" s="1">
        <f t="shared" ca="1" si="38"/>
        <v>4.8474444020373455E-3</v>
      </c>
      <c r="BV42" s="1">
        <f t="shared" ca="1" si="39"/>
        <v>0.35760451576051566</v>
      </c>
      <c r="BW42" s="1">
        <f t="shared" ca="1" si="40"/>
        <v>155</v>
      </c>
      <c r="BX42" s="1">
        <f t="shared" ca="1" si="41"/>
        <v>5.5593253000707325E-3</v>
      </c>
      <c r="BY42" s="1">
        <f t="shared" ca="1" si="42"/>
        <v>2.8858774505340648E-2</v>
      </c>
      <c r="BZ42" s="1">
        <f t="shared" ca="1" si="43"/>
        <v>0.41311821415214467</v>
      </c>
      <c r="CB42" s="1">
        <f t="shared" ca="1" si="44"/>
        <v>109</v>
      </c>
      <c r="CC42" s="1">
        <f t="shared" ca="1" si="45"/>
        <v>6</v>
      </c>
      <c r="CD42" s="1">
        <f t="shared" ca="1" si="46"/>
        <v>0.16013796465767521</v>
      </c>
      <c r="CE42" s="1">
        <f t="shared" ca="1" si="56"/>
        <v>0.78129821040655278</v>
      </c>
      <c r="CF42" s="1">
        <f t="shared" ca="1" si="56"/>
        <v>0.90902254576939823</v>
      </c>
      <c r="CH42" s="3">
        <f t="shared" ca="1" si="48"/>
        <v>0.87870412259746322</v>
      </c>
      <c r="CI42" s="3">
        <f t="shared" ca="1" si="49"/>
        <v>0.35133428210872636</v>
      </c>
      <c r="CJ42" s="3">
        <f t="shared" ca="1" si="50"/>
        <v>501</v>
      </c>
      <c r="CK42" s="3">
        <f t="shared" ca="1" si="51"/>
        <v>7.6775310611717348E-3</v>
      </c>
      <c r="CL42" s="3">
        <f t="shared" ca="1" si="52"/>
        <v>1</v>
      </c>
      <c r="CM42" s="3"/>
      <c r="CN42" s="1">
        <f t="shared" ca="1" si="53"/>
        <v>15.932471114900526</v>
      </c>
      <c r="CO42" s="1">
        <f t="shared" ca="1" si="54"/>
        <v>0.26095886538820906</v>
      </c>
      <c r="CP42" s="1">
        <f t="shared" ca="1" si="55"/>
        <v>1</v>
      </c>
    </row>
    <row r="43" spans="2:94" x14ac:dyDescent="0.25">
      <c r="B43">
        <f t="shared" ca="1" si="0"/>
        <v>284</v>
      </c>
      <c r="C43">
        <f t="shared" ca="1" si="1"/>
        <v>20</v>
      </c>
      <c r="D43">
        <f t="shared" ca="1" si="2"/>
        <v>0.15860001117857753</v>
      </c>
      <c r="F43" s="1">
        <f t="shared" ca="1" si="3"/>
        <v>13</v>
      </c>
      <c r="G43" s="1">
        <f t="shared" ca="1" si="4"/>
        <v>16</v>
      </c>
      <c r="H43" s="1">
        <f t="shared" ca="1" si="5"/>
        <v>13</v>
      </c>
      <c r="I43" s="1"/>
      <c r="J43" s="1">
        <f t="shared" ca="1" si="6"/>
        <v>10</v>
      </c>
      <c r="K43" s="1">
        <f t="shared" ca="1" si="7"/>
        <v>1.1672254005834566</v>
      </c>
      <c r="L43" s="1">
        <f t="shared" ca="1" si="8"/>
        <v>33</v>
      </c>
      <c r="M43" s="1"/>
      <c r="N43" s="1">
        <f t="shared" ca="1" si="9"/>
        <v>412</v>
      </c>
      <c r="O43" s="1">
        <f t="shared" ca="1" si="10"/>
        <v>38</v>
      </c>
      <c r="P43" s="1"/>
      <c r="Q43" s="1">
        <f t="shared" ca="1" si="11"/>
        <v>4.9041908422712135</v>
      </c>
      <c r="R43" s="1">
        <f t="shared" ca="1" si="12"/>
        <v>702</v>
      </c>
      <c r="S43" s="1"/>
      <c r="T43" s="1">
        <f t="shared" ca="1" si="13"/>
        <v>1.4575421766194033E-2</v>
      </c>
      <c r="U43" s="1">
        <f t="shared" ca="1" si="14"/>
        <v>421</v>
      </c>
      <c r="V43" s="1">
        <f t="shared" ca="1" si="15"/>
        <v>43</v>
      </c>
      <c r="W43" s="1"/>
      <c r="X43" s="1">
        <f t="shared" ca="1" si="16"/>
        <v>3.6045747700037722</v>
      </c>
      <c r="Y43" s="1">
        <f t="shared" ca="1" si="17"/>
        <v>0.38142916399689075</v>
      </c>
      <c r="Z43" s="1">
        <f t="shared" ca="1" si="18"/>
        <v>1476</v>
      </c>
      <c r="AB43" s="1">
        <f t="shared" ca="1" si="19"/>
        <v>0.6070791779659781</v>
      </c>
      <c r="AC43" s="1">
        <f t="shared" ca="1" si="20"/>
        <v>767</v>
      </c>
      <c r="AD43" s="1">
        <f t="shared" ca="1" si="21"/>
        <v>7.9989820325535674E-3</v>
      </c>
      <c r="AE43" s="1"/>
      <c r="AF43" s="1">
        <f t="shared" ca="1" si="22"/>
        <v>0.62055542642463002</v>
      </c>
      <c r="AG43" s="1">
        <f t="shared" ca="1" si="23"/>
        <v>235</v>
      </c>
      <c r="AH43" s="1">
        <f t="shared" ca="1" si="24"/>
        <v>7.4754913922273148E-3</v>
      </c>
      <c r="AJ43" s="1">
        <f t="shared" ca="1" si="25"/>
        <v>0.39880764828174509</v>
      </c>
      <c r="AK43" s="1">
        <f t="shared" ca="1" si="26"/>
        <v>1.3089387700908927E-3</v>
      </c>
      <c r="AL43" s="1"/>
      <c r="AM43" s="1">
        <f t="shared" ca="1" si="27"/>
        <v>0.12083035997436384</v>
      </c>
      <c r="AN43" s="1">
        <f t="shared" ca="1" si="28"/>
        <v>25</v>
      </c>
      <c r="AO43" s="1">
        <f t="shared" ca="1" si="29"/>
        <v>10</v>
      </c>
      <c r="AQ43" s="1">
        <f t="shared" ca="1" si="30"/>
        <v>104</v>
      </c>
      <c r="AR43" s="1">
        <f t="shared" ca="1" si="31"/>
        <v>5</v>
      </c>
      <c r="AS43" s="1">
        <f t="shared" ca="1" si="32"/>
        <v>74</v>
      </c>
      <c r="AU43" s="1">
        <f t="shared" ca="1" si="33"/>
        <v>280</v>
      </c>
      <c r="AV43" s="1">
        <f t="shared" ca="1" si="34"/>
        <v>8</v>
      </c>
      <c r="AW43" s="1">
        <f t="shared" ca="1" si="35"/>
        <v>0.15863766912330249</v>
      </c>
      <c r="AY43" s="1">
        <f t="shared" ca="1" si="36"/>
        <v>1.6463936145088551</v>
      </c>
      <c r="AZ43" s="1">
        <f t="shared" ca="1" si="37"/>
        <v>68</v>
      </c>
      <c r="BA43" s="1">
        <f t="shared" ca="1" si="38"/>
        <v>4.3490349038633244E-3</v>
      </c>
      <c r="BV43" s="1">
        <f t="shared" ca="1" si="39"/>
        <v>0.94506785100425839</v>
      </c>
      <c r="BW43" s="1">
        <f t="shared" ca="1" si="40"/>
        <v>740</v>
      </c>
      <c r="BX43" s="1">
        <f t="shared" ca="1" si="41"/>
        <v>4.8241862831150642E-4</v>
      </c>
      <c r="BY43" s="1">
        <f t="shared" ca="1" si="42"/>
        <v>2.3352637588827673E-2</v>
      </c>
      <c r="BZ43" s="1">
        <f t="shared" ca="1" si="43"/>
        <v>0.77540412440606166</v>
      </c>
      <c r="CB43" s="1">
        <f t="shared" ca="1" si="44"/>
        <v>162</v>
      </c>
      <c r="CC43" s="1">
        <f t="shared" ca="1" si="45"/>
        <v>6</v>
      </c>
      <c r="CD43" s="1">
        <f t="shared" ca="1" si="46"/>
        <v>0.2564555626562216</v>
      </c>
      <c r="CE43" s="1">
        <f t="shared" ca="1" si="56"/>
        <v>0.50662601701624199</v>
      </c>
      <c r="CF43" s="1">
        <f t="shared" ca="1" si="56"/>
        <v>0.72807612078919293</v>
      </c>
      <c r="CH43" s="3">
        <f t="shared" ca="1" si="48"/>
        <v>8.9759146131535225E-2</v>
      </c>
      <c r="CI43" s="3">
        <f t="shared" ca="1" si="49"/>
        <v>0.41261057934437662</v>
      </c>
      <c r="CJ43" s="3">
        <f t="shared" ca="1" si="50"/>
        <v>1680</v>
      </c>
      <c r="CK43" s="3">
        <f t="shared" ca="1" si="51"/>
        <v>1.5169676787735297E-3</v>
      </c>
      <c r="CL43" s="3">
        <f t="shared" ca="1" si="52"/>
        <v>0</v>
      </c>
      <c r="CM43" s="3"/>
      <c r="CN43" s="1">
        <f t="shared" ca="1" si="53"/>
        <v>17.098263124451144</v>
      </c>
      <c r="CO43" s="1">
        <f t="shared" ca="1" si="54"/>
        <v>0.23134549073188368</v>
      </c>
      <c r="CP43" s="1">
        <f t="shared" ca="1" si="55"/>
        <v>2</v>
      </c>
    </row>
    <row r="44" spans="2:94" x14ac:dyDescent="0.25">
      <c r="B44">
        <f t="shared" ca="1" si="0"/>
        <v>181</v>
      </c>
      <c r="C44">
        <f t="shared" ca="1" si="1"/>
        <v>11</v>
      </c>
      <c r="D44">
        <f t="shared" ca="1" si="2"/>
        <v>0.11008500327578626</v>
      </c>
      <c r="F44" s="1">
        <f t="shared" ca="1" si="3"/>
        <v>33</v>
      </c>
      <c r="G44" s="1">
        <f t="shared" ca="1" si="4"/>
        <v>6</v>
      </c>
      <c r="H44" s="1">
        <f t="shared" ca="1" si="5"/>
        <v>9</v>
      </c>
      <c r="I44" s="1"/>
      <c r="J44" s="1">
        <f t="shared" ca="1" si="6"/>
        <v>15</v>
      </c>
      <c r="K44" s="1">
        <f t="shared" ca="1" si="7"/>
        <v>2.8610843578787901</v>
      </c>
      <c r="L44" s="1">
        <f t="shared" ca="1" si="8"/>
        <v>14</v>
      </c>
      <c r="M44" s="1"/>
      <c r="N44" s="1">
        <f t="shared" ca="1" si="9"/>
        <v>414</v>
      </c>
      <c r="O44" s="1">
        <f t="shared" ca="1" si="10"/>
        <v>4</v>
      </c>
      <c r="P44" s="1"/>
      <c r="Q44" s="1">
        <f t="shared" ca="1" si="11"/>
        <v>2.8525186649176724</v>
      </c>
      <c r="R44" s="1">
        <f t="shared" ca="1" si="12"/>
        <v>292</v>
      </c>
      <c r="S44" s="1"/>
      <c r="T44" s="1">
        <f t="shared" ca="1" si="13"/>
        <v>7.7909503156861792E-2</v>
      </c>
      <c r="U44" s="1">
        <f t="shared" ca="1" si="14"/>
        <v>129</v>
      </c>
      <c r="V44" s="1">
        <f t="shared" ca="1" si="15"/>
        <v>46</v>
      </c>
      <c r="W44" s="1"/>
      <c r="X44" s="1">
        <f t="shared" ca="1" si="16"/>
        <v>0.93985452638487155</v>
      </c>
      <c r="Y44" s="1">
        <f t="shared" ca="1" si="17"/>
        <v>0.68571046769947896</v>
      </c>
      <c r="Z44" s="1">
        <f t="shared" ca="1" si="18"/>
        <v>850</v>
      </c>
      <c r="AB44" s="1">
        <f t="shared" ca="1" si="19"/>
        <v>0.52239181326766626</v>
      </c>
      <c r="AC44" s="1">
        <f t="shared" ca="1" si="20"/>
        <v>388</v>
      </c>
      <c r="AD44" s="1">
        <f t="shared" ca="1" si="21"/>
        <v>9.5853118491393639E-3</v>
      </c>
      <c r="AE44" s="1"/>
      <c r="AF44" s="1">
        <f t="shared" ca="1" si="22"/>
        <v>0.11016988888741919</v>
      </c>
      <c r="AG44" s="1">
        <f t="shared" ca="1" si="23"/>
        <v>571</v>
      </c>
      <c r="AH44" s="1">
        <f t="shared" ca="1" si="24"/>
        <v>1.5983728034334656E-3</v>
      </c>
      <c r="AJ44" s="1">
        <f t="shared" ca="1" si="25"/>
        <v>0.17866669422271808</v>
      </c>
      <c r="AK44" s="1">
        <f t="shared" ca="1" si="26"/>
        <v>2.7121454316295203E-3</v>
      </c>
      <c r="AL44" s="1"/>
      <c r="AM44" s="1">
        <f t="shared" ca="1" si="27"/>
        <v>7.503123418169752E-2</v>
      </c>
      <c r="AN44" s="1">
        <f t="shared" ca="1" si="28"/>
        <v>66</v>
      </c>
      <c r="AO44" s="1">
        <f t="shared" ca="1" si="29"/>
        <v>19</v>
      </c>
      <c r="AQ44" s="1">
        <f t="shared" ca="1" si="30"/>
        <v>88</v>
      </c>
      <c r="AR44" s="1">
        <f t="shared" ca="1" si="31"/>
        <v>10</v>
      </c>
      <c r="AS44" s="1">
        <f t="shared" ca="1" si="32"/>
        <v>33</v>
      </c>
      <c r="AU44" s="1">
        <f t="shared" ca="1" si="33"/>
        <v>105</v>
      </c>
      <c r="AV44" s="1">
        <f t="shared" ca="1" si="34"/>
        <v>8</v>
      </c>
      <c r="AW44" s="1">
        <f t="shared" ca="1" si="35"/>
        <v>1.8559893239935212E-2</v>
      </c>
      <c r="AY44" s="1">
        <f t="shared" ca="1" si="36"/>
        <v>1.4359162098050338</v>
      </c>
      <c r="AZ44" s="1">
        <f t="shared" ca="1" si="37"/>
        <v>330</v>
      </c>
      <c r="BA44" s="1">
        <f t="shared" ca="1" si="38"/>
        <v>9.2232814211495161E-3</v>
      </c>
      <c r="BV44" s="1">
        <f t="shared" ca="1" si="39"/>
        <v>0.63675732835297083</v>
      </c>
      <c r="BW44" s="1">
        <f t="shared" ca="1" si="40"/>
        <v>232</v>
      </c>
      <c r="BX44" s="1">
        <f t="shared" ca="1" si="41"/>
        <v>5.5739981948251817E-4</v>
      </c>
      <c r="BY44" s="1">
        <f t="shared" ca="1" si="42"/>
        <v>6.7103677760639566E-2</v>
      </c>
      <c r="BZ44" s="1">
        <f t="shared" ca="1" si="43"/>
        <v>0.65037971251909121</v>
      </c>
      <c r="CB44" s="1">
        <f t="shared" ca="1" si="44"/>
        <v>138</v>
      </c>
      <c r="CC44" s="1">
        <f t="shared" ca="1" si="45"/>
        <v>13</v>
      </c>
      <c r="CD44" s="1">
        <f t="shared" ca="1" si="46"/>
        <v>0.20045395721560783</v>
      </c>
      <c r="CE44" s="1">
        <f t="shared" ca="1" si="56"/>
        <v>0.80853071336771642</v>
      </c>
      <c r="CF44" s="1">
        <f t="shared" ca="1" si="56"/>
        <v>0.90386907246591353</v>
      </c>
      <c r="CH44" s="3">
        <f t="shared" ca="1" si="48"/>
        <v>0.42046446906274193</v>
      </c>
      <c r="CI44" s="3">
        <f t="shared" ca="1" si="49"/>
        <v>0.94689514534664054</v>
      </c>
      <c r="CJ44" s="3">
        <f t="shared" ca="1" si="50"/>
        <v>1631</v>
      </c>
      <c r="CK44" s="3">
        <f t="shared" ca="1" si="51"/>
        <v>8.3400604230725178E-3</v>
      </c>
      <c r="CL44" s="3">
        <f t="shared" ca="1" si="52"/>
        <v>0</v>
      </c>
      <c r="CM44" s="3"/>
      <c r="CN44" s="1">
        <f t="shared" ca="1" si="53"/>
        <v>9.0162483973265619</v>
      </c>
      <c r="CO44" s="1">
        <f t="shared" ca="1" si="54"/>
        <v>9.1867598449153556E-2</v>
      </c>
      <c r="CP44" s="1">
        <f t="shared" ca="1" si="55"/>
        <v>4</v>
      </c>
    </row>
    <row r="45" spans="2:94" x14ac:dyDescent="0.25">
      <c r="B45">
        <f t="shared" ca="1" si="0"/>
        <v>924</v>
      </c>
      <c r="C45">
        <f t="shared" ca="1" si="1"/>
        <v>17</v>
      </c>
      <c r="D45">
        <f t="shared" ca="1" si="2"/>
        <v>0.24640672459314944</v>
      </c>
      <c r="F45" s="1">
        <f t="shared" ca="1" si="3"/>
        <v>29</v>
      </c>
      <c r="G45" s="1">
        <f t="shared" ca="1" si="4"/>
        <v>30</v>
      </c>
      <c r="H45" s="1">
        <f t="shared" ca="1" si="5"/>
        <v>4</v>
      </c>
      <c r="I45" s="1"/>
      <c r="J45" s="1">
        <f t="shared" ca="1" si="6"/>
        <v>22</v>
      </c>
      <c r="K45" s="1">
        <f t="shared" ca="1" si="7"/>
        <v>2.9821675465615507</v>
      </c>
      <c r="L45" s="1">
        <f t="shared" ca="1" si="8"/>
        <v>32</v>
      </c>
      <c r="M45" s="1"/>
      <c r="N45" s="1">
        <f t="shared" ca="1" si="9"/>
        <v>851</v>
      </c>
      <c r="O45" s="1">
        <f t="shared" ca="1" si="10"/>
        <v>47</v>
      </c>
      <c r="P45" s="1"/>
      <c r="Q45" s="1">
        <f t="shared" ca="1" si="11"/>
        <v>3.3603852608808702</v>
      </c>
      <c r="R45" s="1">
        <f t="shared" ca="1" si="12"/>
        <v>1165</v>
      </c>
      <c r="S45" s="1"/>
      <c r="T45" s="1">
        <f t="shared" ca="1" si="13"/>
        <v>8.7281793871667054E-2</v>
      </c>
      <c r="U45" s="1">
        <f t="shared" ca="1" si="14"/>
        <v>178</v>
      </c>
      <c r="V45" s="1">
        <f t="shared" ca="1" si="15"/>
        <v>7</v>
      </c>
      <c r="W45" s="1"/>
      <c r="X45" s="1">
        <f t="shared" ca="1" si="16"/>
        <v>8.7120996314428005</v>
      </c>
      <c r="Y45" s="1">
        <f t="shared" ca="1" si="17"/>
        <v>0.10063062298359186</v>
      </c>
      <c r="Z45" s="1">
        <f t="shared" ca="1" si="18"/>
        <v>720</v>
      </c>
      <c r="AB45" s="1">
        <f t="shared" ca="1" si="19"/>
        <v>0.92403137280790559</v>
      </c>
      <c r="AC45" s="1">
        <f t="shared" ca="1" si="20"/>
        <v>369</v>
      </c>
      <c r="AD45" s="1">
        <f t="shared" ca="1" si="21"/>
        <v>9.3718052787286447E-3</v>
      </c>
      <c r="AE45" s="1"/>
      <c r="AF45" s="1">
        <f t="shared" ca="1" si="22"/>
        <v>0.73410176526528603</v>
      </c>
      <c r="AG45" s="1">
        <f t="shared" ca="1" si="23"/>
        <v>788</v>
      </c>
      <c r="AH45" s="1">
        <f t="shared" ca="1" si="24"/>
        <v>2.1082917430942593E-3</v>
      </c>
      <c r="AJ45" s="1">
        <f t="shared" ca="1" si="25"/>
        <v>0.63776863567705022</v>
      </c>
      <c r="AK45" s="1">
        <f t="shared" ca="1" si="26"/>
        <v>6.3682196345683402E-3</v>
      </c>
      <c r="AL45" s="1"/>
      <c r="AM45" s="1">
        <f t="shared" ca="1" si="27"/>
        <v>3.0022905176978504E-2</v>
      </c>
      <c r="AN45" s="1">
        <f t="shared" ca="1" si="28"/>
        <v>14</v>
      </c>
      <c r="AO45" s="1">
        <f t="shared" ca="1" si="29"/>
        <v>18</v>
      </c>
      <c r="AQ45" s="1">
        <f t="shared" ca="1" si="30"/>
        <v>71</v>
      </c>
      <c r="AR45" s="1">
        <f t="shared" ca="1" si="31"/>
        <v>5</v>
      </c>
      <c r="AS45" s="1">
        <f t="shared" ca="1" si="32"/>
        <v>8</v>
      </c>
      <c r="AU45" s="1">
        <f t="shared" ca="1" si="33"/>
        <v>71</v>
      </c>
      <c r="AV45" s="1">
        <f t="shared" ca="1" si="34"/>
        <v>6</v>
      </c>
      <c r="AW45" s="1">
        <f t="shared" ca="1" si="35"/>
        <v>0.13486639754321769</v>
      </c>
      <c r="AY45" s="1">
        <f t="shared" ca="1" si="36"/>
        <v>1.5898652438491787</v>
      </c>
      <c r="AZ45" s="1">
        <f t="shared" ca="1" si="37"/>
        <v>156</v>
      </c>
      <c r="BA45" s="1">
        <f t="shared" ca="1" si="38"/>
        <v>7.2088121011421452E-3</v>
      </c>
      <c r="BV45" s="1">
        <f t="shared" ca="1" si="39"/>
        <v>0.19560475403769711</v>
      </c>
      <c r="BW45" s="1">
        <f t="shared" ca="1" si="40"/>
        <v>348</v>
      </c>
      <c r="BX45" s="1">
        <f t="shared" ca="1" si="41"/>
        <v>6.5027948142287999E-3</v>
      </c>
      <c r="BY45" s="1">
        <f t="shared" ca="1" si="42"/>
        <v>9.1205487913585501E-2</v>
      </c>
      <c r="BZ45" s="1">
        <f t="shared" ca="1" si="43"/>
        <v>0.52760694523663254</v>
      </c>
      <c r="CB45" s="1">
        <f t="shared" ca="1" si="44"/>
        <v>377</v>
      </c>
      <c r="CC45" s="1">
        <f t="shared" ca="1" si="45"/>
        <v>6</v>
      </c>
      <c r="CD45" s="1">
        <f t="shared" ca="1" si="46"/>
        <v>3.5583607959769913E-2</v>
      </c>
      <c r="CE45" s="1">
        <f t="shared" ca="1" si="56"/>
        <v>0.58936647423210964</v>
      </c>
      <c r="CF45" s="1">
        <f t="shared" ca="1" si="56"/>
        <v>0.95163765570544268</v>
      </c>
      <c r="CH45" s="3">
        <f t="shared" ca="1" si="48"/>
        <v>0.18261942165936698</v>
      </c>
      <c r="CI45" s="3">
        <f t="shared" ca="1" si="49"/>
        <v>0.70562548634681632</v>
      </c>
      <c r="CJ45" s="3">
        <f t="shared" ca="1" si="50"/>
        <v>216</v>
      </c>
      <c r="CK45" s="3">
        <f t="shared" ca="1" si="51"/>
        <v>3.8542293034780472E-4</v>
      </c>
      <c r="CL45" s="3">
        <f t="shared" ca="1" si="52"/>
        <v>0</v>
      </c>
      <c r="CM45" s="3"/>
      <c r="CN45" s="1">
        <f t="shared" ca="1" si="53"/>
        <v>5.0235624596511732</v>
      </c>
      <c r="CO45" s="1">
        <f t="shared" ca="1" si="54"/>
        <v>0.28098722136137383</v>
      </c>
      <c r="CP45" s="1">
        <f t="shared" ca="1" si="55"/>
        <v>2</v>
      </c>
    </row>
    <row r="46" spans="2:94" x14ac:dyDescent="0.25">
      <c r="B46">
        <f t="shared" ca="1" si="0"/>
        <v>870</v>
      </c>
      <c r="C46">
        <f t="shared" ca="1" si="1"/>
        <v>34</v>
      </c>
      <c r="D46">
        <f t="shared" ca="1" si="2"/>
        <v>3.9281198732828988E-2</v>
      </c>
      <c r="F46" s="1">
        <f t="shared" ca="1" si="3"/>
        <v>10</v>
      </c>
      <c r="G46" s="1">
        <f t="shared" ca="1" si="4"/>
        <v>16</v>
      </c>
      <c r="H46" s="1">
        <f t="shared" ca="1" si="5"/>
        <v>14</v>
      </c>
      <c r="I46" s="1"/>
      <c r="J46" s="1">
        <f t="shared" ca="1" si="6"/>
        <v>6</v>
      </c>
      <c r="K46" s="1">
        <f t="shared" ca="1" si="7"/>
        <v>2.5052851049522262</v>
      </c>
      <c r="L46" s="1">
        <f t="shared" ca="1" si="8"/>
        <v>25</v>
      </c>
      <c r="M46" s="1"/>
      <c r="N46" s="1">
        <f t="shared" ca="1" si="9"/>
        <v>242</v>
      </c>
      <c r="O46" s="1">
        <f t="shared" ca="1" si="10"/>
        <v>27</v>
      </c>
      <c r="P46" s="1"/>
      <c r="Q46" s="1">
        <f t="shared" ca="1" si="11"/>
        <v>2.8534135617570344</v>
      </c>
      <c r="R46" s="1">
        <f t="shared" ca="1" si="12"/>
        <v>1000</v>
      </c>
      <c r="S46" s="1"/>
      <c r="T46" s="1">
        <f t="shared" ca="1" si="13"/>
        <v>0.17895382141959587</v>
      </c>
      <c r="U46" s="1">
        <f t="shared" ca="1" si="14"/>
        <v>423</v>
      </c>
      <c r="V46" s="1">
        <f t="shared" ca="1" si="15"/>
        <v>51</v>
      </c>
      <c r="W46" s="1"/>
      <c r="X46" s="1">
        <f t="shared" ca="1" si="16"/>
        <v>3.606747744522754</v>
      </c>
      <c r="Y46" s="1">
        <f t="shared" ca="1" si="17"/>
        <v>0.10120288660565382</v>
      </c>
      <c r="Z46" s="1">
        <f t="shared" ca="1" si="18"/>
        <v>628</v>
      </c>
      <c r="AB46" s="1">
        <f t="shared" ca="1" si="19"/>
        <v>1.132010680292953E-2</v>
      </c>
      <c r="AC46" s="1">
        <f t="shared" ca="1" si="20"/>
        <v>509</v>
      </c>
      <c r="AD46" s="1">
        <f t="shared" ca="1" si="21"/>
        <v>6.1026340469286381E-3</v>
      </c>
      <c r="AE46" s="1"/>
      <c r="AF46" s="1">
        <f t="shared" ca="1" si="22"/>
        <v>0.75784484815694297</v>
      </c>
      <c r="AG46" s="1">
        <f t="shared" ca="1" si="23"/>
        <v>381</v>
      </c>
      <c r="AH46" s="1">
        <f t="shared" ca="1" si="24"/>
        <v>1.4450217711631818E-3</v>
      </c>
      <c r="AJ46" s="1">
        <f t="shared" ca="1" si="25"/>
        <v>0.59118797036208892</v>
      </c>
      <c r="AK46" s="1">
        <f t="shared" ca="1" si="26"/>
        <v>3.6105072264890287E-4</v>
      </c>
      <c r="AL46" s="1"/>
      <c r="AM46" s="1">
        <f t="shared" ca="1" si="27"/>
        <v>9.4837915142207616E-3</v>
      </c>
      <c r="AN46" s="1">
        <f t="shared" ca="1" si="28"/>
        <v>14</v>
      </c>
      <c r="AO46" s="1">
        <f t="shared" ca="1" si="29"/>
        <v>17</v>
      </c>
      <c r="AQ46" s="1">
        <f t="shared" ca="1" si="30"/>
        <v>167</v>
      </c>
      <c r="AR46" s="1">
        <f t="shared" ca="1" si="31"/>
        <v>7</v>
      </c>
      <c r="AS46" s="1">
        <f t="shared" ca="1" si="32"/>
        <v>73</v>
      </c>
      <c r="AU46" s="1">
        <f t="shared" ca="1" si="33"/>
        <v>63</v>
      </c>
      <c r="AV46" s="1">
        <f t="shared" ca="1" si="34"/>
        <v>4</v>
      </c>
      <c r="AW46" s="1">
        <f t="shared" ca="1" si="35"/>
        <v>0.19086264690940366</v>
      </c>
      <c r="AY46" s="1">
        <f t="shared" ca="1" si="36"/>
        <v>1.9060490096944922</v>
      </c>
      <c r="AZ46" s="1">
        <f t="shared" ca="1" si="37"/>
        <v>214</v>
      </c>
      <c r="BA46" s="1">
        <f t="shared" ca="1" si="38"/>
        <v>5.1675456128057158E-3</v>
      </c>
      <c r="BV46" s="1">
        <f t="shared" ca="1" si="39"/>
        <v>0.34345440471976391</v>
      </c>
      <c r="BW46" s="1">
        <f t="shared" ca="1" si="40"/>
        <v>716</v>
      </c>
      <c r="BX46" s="1">
        <f t="shared" ca="1" si="41"/>
        <v>9.883157626253121E-4</v>
      </c>
      <c r="BY46" s="1">
        <f t="shared" ca="1" si="42"/>
        <v>5.466883133132059E-2</v>
      </c>
      <c r="BZ46" s="1">
        <f t="shared" ca="1" si="43"/>
        <v>0.86229601878132878</v>
      </c>
      <c r="CB46" s="1">
        <f t="shared" ca="1" si="44"/>
        <v>251</v>
      </c>
      <c r="CC46" s="1">
        <f t="shared" ca="1" si="45"/>
        <v>9</v>
      </c>
      <c r="CD46" s="1">
        <f t="shared" ca="1" si="46"/>
        <v>0.16163331739001724</v>
      </c>
      <c r="CE46" s="1">
        <f t="shared" ca="1" si="56"/>
        <v>0.65549059409923305</v>
      </c>
      <c r="CF46" s="1">
        <f t="shared" ca="1" si="56"/>
        <v>0.66597955414323784</v>
      </c>
      <c r="CH46" s="3">
        <f t="shared" ca="1" si="48"/>
        <v>0.94227473867471334</v>
      </c>
      <c r="CI46" s="3">
        <f t="shared" ca="1" si="49"/>
        <v>0.33548960345590312</v>
      </c>
      <c r="CJ46" s="3">
        <f t="shared" ca="1" si="50"/>
        <v>164</v>
      </c>
      <c r="CK46" s="3">
        <f t="shared" ca="1" si="51"/>
        <v>4.3938561397422297E-3</v>
      </c>
      <c r="CL46" s="3">
        <f t="shared" ca="1" si="52"/>
        <v>1</v>
      </c>
      <c r="CM46" s="3"/>
      <c r="CN46" s="1">
        <f t="shared" ca="1" si="53"/>
        <v>1.9813356886363778</v>
      </c>
      <c r="CO46" s="1">
        <f t="shared" ca="1" si="54"/>
        <v>4.7864229300928582E-2</v>
      </c>
      <c r="CP46" s="1">
        <f t="shared" ca="1" si="55"/>
        <v>4</v>
      </c>
    </row>
    <row r="47" spans="2:94" x14ac:dyDescent="0.25">
      <c r="B47">
        <f t="shared" ca="1" si="0"/>
        <v>24</v>
      </c>
      <c r="C47">
        <f t="shared" ca="1" si="1"/>
        <v>44</v>
      </c>
      <c r="D47">
        <f t="shared" ca="1" si="2"/>
        <v>5.0253075257133975E-2</v>
      </c>
      <c r="F47" s="1">
        <f t="shared" ca="1" si="3"/>
        <v>13</v>
      </c>
      <c r="G47" s="1">
        <f t="shared" ca="1" si="4"/>
        <v>24</v>
      </c>
      <c r="H47" s="1">
        <f t="shared" ca="1" si="5"/>
        <v>5</v>
      </c>
      <c r="I47" s="1"/>
      <c r="J47" s="1">
        <f t="shared" ca="1" si="6"/>
        <v>35</v>
      </c>
      <c r="K47" s="1">
        <f t="shared" ca="1" si="7"/>
        <v>2.0643336732443083</v>
      </c>
      <c r="L47" s="1">
        <f t="shared" ca="1" si="8"/>
        <v>24</v>
      </c>
      <c r="M47" s="1"/>
      <c r="N47" s="1">
        <f t="shared" ca="1" si="9"/>
        <v>237</v>
      </c>
      <c r="O47" s="1">
        <f t="shared" ca="1" si="10"/>
        <v>6</v>
      </c>
      <c r="P47" s="1"/>
      <c r="Q47" s="1">
        <f t="shared" ca="1" si="11"/>
        <v>0.33341983923418855</v>
      </c>
      <c r="R47" s="1">
        <f t="shared" ca="1" si="12"/>
        <v>228</v>
      </c>
      <c r="S47" s="1"/>
      <c r="T47" s="1">
        <f t="shared" ca="1" si="13"/>
        <v>0.11680307946986675</v>
      </c>
      <c r="U47" s="1">
        <f t="shared" ca="1" si="14"/>
        <v>315</v>
      </c>
      <c r="V47" s="1">
        <f t="shared" ca="1" si="15"/>
        <v>13</v>
      </c>
      <c r="W47" s="1"/>
      <c r="X47" s="1">
        <f t="shared" ca="1" si="16"/>
        <v>1.836513381534131</v>
      </c>
      <c r="Y47" s="1">
        <f t="shared" ca="1" si="17"/>
        <v>0.19952761618473897</v>
      </c>
      <c r="Z47" s="1">
        <f t="shared" ca="1" si="18"/>
        <v>1385</v>
      </c>
      <c r="AB47" s="1">
        <f t="shared" ca="1" si="19"/>
        <v>0.81619063181434059</v>
      </c>
      <c r="AC47" s="1">
        <f t="shared" ca="1" si="20"/>
        <v>777</v>
      </c>
      <c r="AD47" s="1">
        <f t="shared" ca="1" si="21"/>
        <v>4.8718467641467632E-3</v>
      </c>
      <c r="AE47" s="1"/>
      <c r="AF47" s="1">
        <f t="shared" ca="1" si="22"/>
        <v>0.77279024580290201</v>
      </c>
      <c r="AG47" s="1">
        <f t="shared" ca="1" si="23"/>
        <v>690</v>
      </c>
      <c r="AH47" s="1">
        <f t="shared" ca="1" si="24"/>
        <v>7.3699912553022243E-5</v>
      </c>
      <c r="AJ47" s="1">
        <f t="shared" ca="1" si="25"/>
        <v>0.30911854480899015</v>
      </c>
      <c r="AK47" s="1">
        <f t="shared" ca="1" si="26"/>
        <v>6.9196488541478458E-3</v>
      </c>
      <c r="AL47" s="1"/>
      <c r="AM47" s="1">
        <f t="shared" ca="1" si="27"/>
        <v>0.19327154962180332</v>
      </c>
      <c r="AN47" s="1">
        <f t="shared" ca="1" si="28"/>
        <v>14</v>
      </c>
      <c r="AO47" s="1">
        <f t="shared" ca="1" si="29"/>
        <v>-1</v>
      </c>
      <c r="AQ47" s="1">
        <f t="shared" ca="1" si="30"/>
        <v>198</v>
      </c>
      <c r="AR47" s="1">
        <f t="shared" ca="1" si="31"/>
        <v>6</v>
      </c>
      <c r="AS47" s="1">
        <f t="shared" ca="1" si="32"/>
        <v>38</v>
      </c>
      <c r="AU47" s="1">
        <f t="shared" ca="1" si="33"/>
        <v>154</v>
      </c>
      <c r="AV47" s="1">
        <f t="shared" ca="1" si="34"/>
        <v>2</v>
      </c>
      <c r="AW47" s="1">
        <f t="shared" ca="1" si="35"/>
        <v>2.5116799101203038E-2</v>
      </c>
      <c r="AY47" s="1">
        <f t="shared" ca="1" si="36"/>
        <v>1.6261975516648539</v>
      </c>
      <c r="AZ47" s="1">
        <f t="shared" ca="1" si="37"/>
        <v>142</v>
      </c>
      <c r="BA47" s="1">
        <f t="shared" ca="1" si="38"/>
        <v>5.703043412499601E-3</v>
      </c>
      <c r="BV47" s="1">
        <f t="shared" ca="1" si="39"/>
        <v>0.24551320598235771</v>
      </c>
      <c r="BW47" s="1">
        <f t="shared" ca="1" si="40"/>
        <v>847</v>
      </c>
      <c r="BX47" s="1">
        <f t="shared" ca="1" si="41"/>
        <v>5.3441866789852234E-5</v>
      </c>
      <c r="BY47" s="1">
        <f t="shared" ca="1" si="42"/>
        <v>5.9540630209004852E-2</v>
      </c>
      <c r="BZ47" s="1">
        <f t="shared" ca="1" si="43"/>
        <v>0.56621026553012477</v>
      </c>
      <c r="CB47" s="1">
        <f t="shared" ca="1" si="44"/>
        <v>484</v>
      </c>
      <c r="CC47" s="1">
        <f t="shared" ca="1" si="45"/>
        <v>11</v>
      </c>
      <c r="CD47" s="1">
        <f t="shared" ca="1" si="46"/>
        <v>0.14261939954329508</v>
      </c>
      <c r="CE47" s="1">
        <f t="shared" ca="1" si="56"/>
        <v>0.50747267032544185</v>
      </c>
      <c r="CF47" s="1">
        <f t="shared" ca="1" si="56"/>
        <v>0.95815512905658506</v>
      </c>
      <c r="CH47" s="3">
        <f t="shared" ca="1" si="48"/>
        <v>0.16543414994412856</v>
      </c>
      <c r="CI47" s="3">
        <f t="shared" ca="1" si="49"/>
        <v>0.53176746833468402</v>
      </c>
      <c r="CJ47" s="3">
        <f t="shared" ca="1" si="50"/>
        <v>869</v>
      </c>
      <c r="CK47" s="3">
        <f t="shared" ca="1" si="51"/>
        <v>6.8196393532134756E-4</v>
      </c>
      <c r="CL47" s="3">
        <f t="shared" ca="1" si="52"/>
        <v>0</v>
      </c>
      <c r="CM47" s="3"/>
      <c r="CN47" s="1">
        <f t="shared" ca="1" si="53"/>
        <v>10.432010348555664</v>
      </c>
      <c r="CO47" s="1">
        <f t="shared" ca="1" si="54"/>
        <v>0.15589812073013384</v>
      </c>
      <c r="CP47" s="1">
        <f t="shared" ca="1" si="55"/>
        <v>5</v>
      </c>
    </row>
    <row r="48" spans="2:94" x14ac:dyDescent="0.25">
      <c r="B48">
        <f t="shared" ca="1" si="0"/>
        <v>761</v>
      </c>
      <c r="C48">
        <f t="shared" ca="1" si="1"/>
        <v>42</v>
      </c>
      <c r="D48">
        <f t="shared" ca="1" si="2"/>
        <v>0.12590617248115787</v>
      </c>
      <c r="F48" s="1">
        <f t="shared" ca="1" si="3"/>
        <v>8</v>
      </c>
      <c r="G48" s="1">
        <f t="shared" ca="1" si="4"/>
        <v>15</v>
      </c>
      <c r="H48" s="1">
        <f t="shared" ca="1" si="5"/>
        <v>5</v>
      </c>
      <c r="I48" s="1"/>
      <c r="J48" s="1">
        <f t="shared" ca="1" si="6"/>
        <v>33</v>
      </c>
      <c r="K48" s="1">
        <f t="shared" ca="1" si="7"/>
        <v>1.6486288005934941</v>
      </c>
      <c r="L48" s="1">
        <f t="shared" ca="1" si="8"/>
        <v>19</v>
      </c>
      <c r="M48" s="1"/>
      <c r="N48" s="1">
        <f t="shared" ca="1" si="9"/>
        <v>697</v>
      </c>
      <c r="O48" s="1">
        <f t="shared" ca="1" si="10"/>
        <v>13</v>
      </c>
      <c r="P48" s="1"/>
      <c r="Q48" s="1">
        <f t="shared" ca="1" si="11"/>
        <v>2.1279777978028442</v>
      </c>
      <c r="R48" s="1">
        <f t="shared" ca="1" si="12"/>
        <v>1001</v>
      </c>
      <c r="S48" s="1"/>
      <c r="T48" s="1">
        <f t="shared" ca="1" si="13"/>
        <v>4.5415201257205919E-2</v>
      </c>
      <c r="U48" s="1">
        <f t="shared" ca="1" si="14"/>
        <v>444</v>
      </c>
      <c r="V48" s="1">
        <f t="shared" ca="1" si="15"/>
        <v>14</v>
      </c>
      <c r="W48" s="1"/>
      <c r="X48" s="1">
        <f t="shared" ca="1" si="16"/>
        <v>7.7611531332390449</v>
      </c>
      <c r="Y48" s="1">
        <f t="shared" ca="1" si="17"/>
        <v>8.953612265255163E-3</v>
      </c>
      <c r="Z48" s="1">
        <f t="shared" ca="1" si="18"/>
        <v>320</v>
      </c>
      <c r="AB48" s="1">
        <f t="shared" ca="1" si="19"/>
        <v>3.7085395284269865E-2</v>
      </c>
      <c r="AC48" s="1">
        <f t="shared" ca="1" si="20"/>
        <v>286</v>
      </c>
      <c r="AD48" s="1">
        <f t="shared" ca="1" si="21"/>
        <v>1.8029064759967345E-4</v>
      </c>
      <c r="AE48" s="1"/>
      <c r="AF48" s="1">
        <f t="shared" ca="1" si="22"/>
        <v>0.80328984611847287</v>
      </c>
      <c r="AG48" s="1">
        <f t="shared" ca="1" si="23"/>
        <v>477</v>
      </c>
      <c r="AH48" s="1">
        <f t="shared" ca="1" si="24"/>
        <v>9.3441890320499366E-3</v>
      </c>
      <c r="AJ48" s="1">
        <f t="shared" ca="1" si="25"/>
        <v>8.718955202781653E-3</v>
      </c>
      <c r="AK48" s="1">
        <f t="shared" ca="1" si="26"/>
        <v>2.7650329317314927E-4</v>
      </c>
      <c r="AL48" s="1"/>
      <c r="AM48" s="1">
        <f t="shared" ca="1" si="27"/>
        <v>0.15275676284024334</v>
      </c>
      <c r="AN48" s="1">
        <f t="shared" ca="1" si="28"/>
        <v>23</v>
      </c>
      <c r="AO48" s="1">
        <f t="shared" ca="1" si="29"/>
        <v>6</v>
      </c>
      <c r="AQ48" s="1">
        <f t="shared" ca="1" si="30"/>
        <v>13</v>
      </c>
      <c r="AR48" s="1">
        <f t="shared" ca="1" si="31"/>
        <v>0</v>
      </c>
      <c r="AS48" s="1">
        <f t="shared" ca="1" si="32"/>
        <v>20</v>
      </c>
      <c r="AU48" s="1">
        <f t="shared" ca="1" si="33"/>
        <v>235</v>
      </c>
      <c r="AV48" s="1">
        <f t="shared" ca="1" si="34"/>
        <v>3</v>
      </c>
      <c r="AW48" s="1">
        <f t="shared" ca="1" si="35"/>
        <v>0.18690406350655386</v>
      </c>
      <c r="AY48" s="1">
        <f t="shared" ca="1" si="36"/>
        <v>1.1212574718031485</v>
      </c>
      <c r="AZ48" s="1">
        <f t="shared" ca="1" si="37"/>
        <v>388</v>
      </c>
      <c r="BA48" s="1">
        <f t="shared" ca="1" si="38"/>
        <v>5.3215403202545638E-3</v>
      </c>
      <c r="BV48" s="1">
        <f t="shared" ca="1" si="39"/>
        <v>0.62871305631536689</v>
      </c>
      <c r="BW48" s="1">
        <f t="shared" ca="1" si="40"/>
        <v>917</v>
      </c>
      <c r="BX48" s="1">
        <f t="shared" ca="1" si="41"/>
        <v>3.9135427583122341E-3</v>
      </c>
      <c r="BY48" s="1">
        <f t="shared" ca="1" si="42"/>
        <v>1.1963809082988388E-3</v>
      </c>
      <c r="BZ48" s="1">
        <f t="shared" ca="1" si="43"/>
        <v>7.2188845509361665E-2</v>
      </c>
      <c r="CB48" s="1">
        <f t="shared" ca="1" si="44"/>
        <v>330</v>
      </c>
      <c r="CC48" s="1">
        <f t="shared" ca="1" si="45"/>
        <v>5</v>
      </c>
      <c r="CD48" s="1">
        <f t="shared" ca="1" si="46"/>
        <v>0.29038010772695416</v>
      </c>
      <c r="CE48" s="1">
        <f t="shared" ca="1" si="56"/>
        <v>0.73510291381566062</v>
      </c>
      <c r="CF48" s="1">
        <f t="shared" ca="1" si="56"/>
        <v>0.63981838005614311</v>
      </c>
      <c r="CH48" s="3">
        <f t="shared" ca="1" si="48"/>
        <v>0.99191409590147783</v>
      </c>
      <c r="CI48" s="3">
        <f t="shared" ca="1" si="49"/>
        <v>0.44312964437722191</v>
      </c>
      <c r="CJ48" s="3">
        <f t="shared" ca="1" si="50"/>
        <v>1925</v>
      </c>
      <c r="CK48" s="3">
        <f t="shared" ca="1" si="51"/>
        <v>7.0563156905958336E-3</v>
      </c>
      <c r="CL48" s="3">
        <f t="shared" ca="1" si="52"/>
        <v>0</v>
      </c>
      <c r="CM48" s="3"/>
      <c r="CN48" s="1">
        <f t="shared" ca="1" si="53"/>
        <v>10.086464983841523</v>
      </c>
      <c r="CO48" s="1">
        <f t="shared" ca="1" si="54"/>
        <v>5.2368831733692424E-2</v>
      </c>
      <c r="CP48" s="1">
        <f t="shared" ca="1" si="55"/>
        <v>3</v>
      </c>
    </row>
    <row r="49" spans="2:94" x14ac:dyDescent="0.25">
      <c r="B49">
        <f t="shared" ca="1" si="0"/>
        <v>655</v>
      </c>
      <c r="C49">
        <f t="shared" ca="1" si="1"/>
        <v>21</v>
      </c>
      <c r="D49">
        <f t="shared" ca="1" si="2"/>
        <v>1.8694383772610627E-2</v>
      </c>
      <c r="F49" s="1">
        <f t="shared" ca="1" si="3"/>
        <v>17</v>
      </c>
      <c r="G49" s="1">
        <f t="shared" ca="1" si="4"/>
        <v>14</v>
      </c>
      <c r="H49" s="1">
        <f t="shared" ca="1" si="5"/>
        <v>6</v>
      </c>
      <c r="I49" s="1"/>
      <c r="J49" s="1">
        <f t="shared" ca="1" si="6"/>
        <v>1</v>
      </c>
      <c r="K49" s="1">
        <f t="shared" ca="1" si="7"/>
        <v>2.5266959385939991</v>
      </c>
      <c r="L49" s="1">
        <f t="shared" ca="1" si="8"/>
        <v>28</v>
      </c>
      <c r="M49" s="1"/>
      <c r="N49" s="1">
        <f t="shared" ca="1" si="9"/>
        <v>238</v>
      </c>
      <c r="O49" s="1">
        <f t="shared" ca="1" si="10"/>
        <v>13</v>
      </c>
      <c r="P49" s="1"/>
      <c r="Q49" s="1">
        <f t="shared" ca="1" si="11"/>
        <v>1.723569991041674</v>
      </c>
      <c r="R49" s="1">
        <f t="shared" ca="1" si="12"/>
        <v>722</v>
      </c>
      <c r="S49" s="1"/>
      <c r="T49" s="1">
        <f t="shared" ca="1" si="13"/>
        <v>3.0016026056436843E-2</v>
      </c>
      <c r="U49" s="1">
        <f t="shared" ca="1" si="14"/>
        <v>167</v>
      </c>
      <c r="V49" s="1">
        <f t="shared" ca="1" si="15"/>
        <v>51</v>
      </c>
      <c r="W49" s="1"/>
      <c r="X49" s="1">
        <f t="shared" ca="1" si="16"/>
        <v>2.1715649160596389</v>
      </c>
      <c r="Y49" s="1">
        <f t="shared" ca="1" si="17"/>
        <v>2.3422521088459925E-2</v>
      </c>
      <c r="Z49" s="1">
        <f t="shared" ca="1" si="18"/>
        <v>1627</v>
      </c>
      <c r="AB49" s="1">
        <f t="shared" ca="1" si="19"/>
        <v>0.12642414851268607</v>
      </c>
      <c r="AC49" s="1">
        <f t="shared" ca="1" si="20"/>
        <v>437</v>
      </c>
      <c r="AD49" s="1">
        <f t="shared" ca="1" si="21"/>
        <v>3.1113488351651101E-3</v>
      </c>
      <c r="AE49" s="1"/>
      <c r="AF49" s="1">
        <f t="shared" ca="1" si="22"/>
        <v>0.58898007608323999</v>
      </c>
      <c r="AG49" s="1">
        <f t="shared" ca="1" si="23"/>
        <v>249</v>
      </c>
      <c r="AH49" s="1">
        <f t="shared" ca="1" si="24"/>
        <v>9.3188964184310538E-3</v>
      </c>
      <c r="AJ49" s="1">
        <f t="shared" ca="1" si="25"/>
        <v>0.92637589228300998</v>
      </c>
      <c r="AK49" s="1">
        <f t="shared" ca="1" si="26"/>
        <v>9.0421464576056158E-3</v>
      </c>
      <c r="AL49" s="1"/>
      <c r="AM49" s="1">
        <f t="shared" ca="1" si="27"/>
        <v>0.12494276421609798</v>
      </c>
      <c r="AN49" s="1">
        <f t="shared" ca="1" si="28"/>
        <v>56</v>
      </c>
      <c r="AO49" s="1">
        <f t="shared" ca="1" si="29"/>
        <v>4</v>
      </c>
      <c r="AQ49" s="1">
        <f t="shared" ca="1" si="30"/>
        <v>115</v>
      </c>
      <c r="AR49" s="1">
        <f t="shared" ca="1" si="31"/>
        <v>8</v>
      </c>
      <c r="AS49" s="1">
        <f t="shared" ca="1" si="32"/>
        <v>77</v>
      </c>
      <c r="AU49" s="1">
        <f t="shared" ca="1" si="33"/>
        <v>181</v>
      </c>
      <c r="AV49" s="1">
        <f t="shared" ca="1" si="34"/>
        <v>7</v>
      </c>
      <c r="AW49" s="1">
        <f t="shared" ca="1" si="35"/>
        <v>3.7366739916222365E-2</v>
      </c>
      <c r="AY49" s="1">
        <f t="shared" ca="1" si="36"/>
        <v>1.4966591301516838</v>
      </c>
      <c r="AZ49" s="1">
        <f t="shared" ca="1" si="37"/>
        <v>279</v>
      </c>
      <c r="BA49" s="1">
        <f t="shared" ca="1" si="38"/>
        <v>8.533489492670656E-3</v>
      </c>
      <c r="BV49" s="1">
        <f t="shared" ca="1" si="39"/>
        <v>0.25233119844471197</v>
      </c>
      <c r="BW49" s="1">
        <f t="shared" ca="1" si="40"/>
        <v>869</v>
      </c>
      <c r="BX49" s="1">
        <f t="shared" ca="1" si="41"/>
        <v>4.3007609022458751E-3</v>
      </c>
      <c r="BY49" s="1">
        <f t="shared" ca="1" si="42"/>
        <v>4.5721928379787072E-2</v>
      </c>
      <c r="BZ49" s="1">
        <f t="shared" ca="1" si="43"/>
        <v>0.55066654303380713</v>
      </c>
      <c r="CB49" s="1">
        <f t="shared" ca="1" si="44"/>
        <v>292</v>
      </c>
      <c r="CC49" s="1">
        <f t="shared" ca="1" si="45"/>
        <v>11</v>
      </c>
      <c r="CD49" s="1">
        <f t="shared" ca="1" si="46"/>
        <v>0.25985376971965851</v>
      </c>
      <c r="CE49" s="1">
        <f t="shared" ca="1" si="56"/>
        <v>0.72737812761141529</v>
      </c>
      <c r="CF49" s="1">
        <f t="shared" ca="1" si="56"/>
        <v>0.5878599121815874</v>
      </c>
      <c r="CH49" s="3">
        <f t="shared" ca="1" si="48"/>
        <v>0.42435114696059634</v>
      </c>
      <c r="CI49" s="3">
        <f t="shared" ca="1" si="49"/>
        <v>0.2747467622892093</v>
      </c>
      <c r="CJ49" s="3">
        <f t="shared" ca="1" si="50"/>
        <v>1772</v>
      </c>
      <c r="CK49" s="3">
        <f t="shared" ca="1" si="51"/>
        <v>2.8381082402154285E-3</v>
      </c>
      <c r="CL49" s="3">
        <f t="shared" ca="1" si="52"/>
        <v>0</v>
      </c>
      <c r="CM49" s="3"/>
      <c r="CN49" s="1">
        <f t="shared" ca="1" si="53"/>
        <v>4.6277241313638067</v>
      </c>
      <c r="CO49" s="1">
        <f t="shared" ca="1" si="54"/>
        <v>0.44016438638165561</v>
      </c>
      <c r="CP49" s="1">
        <f t="shared" ca="1" si="55"/>
        <v>1</v>
      </c>
    </row>
    <row r="50" spans="2:94" x14ac:dyDescent="0.25">
      <c r="B50">
        <f t="shared" ca="1" si="0"/>
        <v>140</v>
      </c>
      <c r="C50">
        <f t="shared" ca="1" si="1"/>
        <v>48</v>
      </c>
      <c r="D50">
        <f t="shared" ca="1" si="2"/>
        <v>6.8738493908038309E-2</v>
      </c>
      <c r="F50" s="1">
        <f t="shared" ca="1" si="3"/>
        <v>24</v>
      </c>
      <c r="G50" s="1">
        <f t="shared" ca="1" si="4"/>
        <v>28</v>
      </c>
      <c r="H50" s="1">
        <f t="shared" ca="1" si="5"/>
        <v>13</v>
      </c>
      <c r="I50" s="1"/>
      <c r="J50" s="1">
        <f t="shared" ca="1" si="6"/>
        <v>27</v>
      </c>
      <c r="K50" s="1">
        <f t="shared" ca="1" si="7"/>
        <v>2.7204037365522291</v>
      </c>
      <c r="L50" s="1">
        <f t="shared" ca="1" si="8"/>
        <v>9</v>
      </c>
      <c r="M50" s="1"/>
      <c r="N50" s="1">
        <f t="shared" ca="1" si="9"/>
        <v>124</v>
      </c>
      <c r="O50" s="1">
        <f t="shared" ca="1" si="10"/>
        <v>42</v>
      </c>
      <c r="P50" s="1"/>
      <c r="Q50" s="1">
        <f t="shared" ca="1" si="11"/>
        <v>1.5758214540571929</v>
      </c>
      <c r="R50" s="1">
        <f t="shared" ca="1" si="12"/>
        <v>436</v>
      </c>
      <c r="S50" s="1"/>
      <c r="T50" s="1">
        <f t="shared" ca="1" si="13"/>
        <v>0.12743671306722171</v>
      </c>
      <c r="U50" s="1">
        <f t="shared" ca="1" si="14"/>
        <v>412</v>
      </c>
      <c r="V50" s="1">
        <f t="shared" ca="1" si="15"/>
        <v>3</v>
      </c>
      <c r="W50" s="1"/>
      <c r="X50" s="1">
        <f t="shared" ca="1" si="16"/>
        <v>3.8131408154671012</v>
      </c>
      <c r="Y50" s="1">
        <f t="shared" ca="1" si="17"/>
        <v>0.24763961293684608</v>
      </c>
      <c r="Z50" s="1">
        <f t="shared" ca="1" si="18"/>
        <v>292</v>
      </c>
      <c r="AB50" s="1">
        <f t="shared" ca="1" si="19"/>
        <v>0.51523710106305853</v>
      </c>
      <c r="AC50" s="1">
        <f t="shared" ca="1" si="20"/>
        <v>444</v>
      </c>
      <c r="AD50" s="1">
        <f t="shared" ca="1" si="21"/>
        <v>2.2908879734772554E-4</v>
      </c>
      <c r="AE50" s="1"/>
      <c r="AF50" s="1">
        <f t="shared" ca="1" si="22"/>
        <v>0.37311358805009076</v>
      </c>
      <c r="AG50" s="1">
        <f t="shared" ca="1" si="23"/>
        <v>855</v>
      </c>
      <c r="AH50" s="1">
        <f t="shared" ca="1" si="24"/>
        <v>9.4147281204151247E-3</v>
      </c>
      <c r="AJ50" s="1">
        <f t="shared" ca="1" si="25"/>
        <v>0.69256969002494373</v>
      </c>
      <c r="AK50" s="1">
        <f t="shared" ca="1" si="26"/>
        <v>7.5797820857648E-3</v>
      </c>
      <c r="AL50" s="1"/>
      <c r="AM50" s="1">
        <f t="shared" ca="1" si="27"/>
        <v>0.16613534415847164</v>
      </c>
      <c r="AN50" s="1">
        <f t="shared" ca="1" si="28"/>
        <v>59</v>
      </c>
      <c r="AO50" s="1">
        <f t="shared" ca="1" si="29"/>
        <v>3</v>
      </c>
      <c r="AQ50" s="1">
        <f t="shared" ca="1" si="30"/>
        <v>19</v>
      </c>
      <c r="AR50" s="1">
        <f t="shared" ca="1" si="31"/>
        <v>1</v>
      </c>
      <c r="AS50" s="1">
        <f t="shared" ca="1" si="32"/>
        <v>84</v>
      </c>
      <c r="AU50" s="1">
        <f t="shared" ca="1" si="33"/>
        <v>72</v>
      </c>
      <c r="AV50" s="1">
        <f t="shared" ca="1" si="34"/>
        <v>8</v>
      </c>
      <c r="AW50" s="1">
        <f t="shared" ca="1" si="35"/>
        <v>0.13014982712636702</v>
      </c>
      <c r="AY50" s="1">
        <f t="shared" ca="1" si="36"/>
        <v>1.2849522171247403</v>
      </c>
      <c r="AZ50" s="1">
        <f t="shared" ca="1" si="37"/>
        <v>218</v>
      </c>
      <c r="BA50" s="1">
        <f t="shared" ca="1" si="38"/>
        <v>6.3917179959267012E-3</v>
      </c>
      <c r="BV50" s="1">
        <f t="shared" ca="1" si="39"/>
        <v>0.412197542852487</v>
      </c>
      <c r="BW50" s="1">
        <f t="shared" ca="1" si="40"/>
        <v>412</v>
      </c>
      <c r="BX50" s="1">
        <f t="shared" ca="1" si="41"/>
        <v>5.1910132565618139E-3</v>
      </c>
      <c r="BY50" s="1">
        <f t="shared" ca="1" si="42"/>
        <v>5.7929638102934042E-2</v>
      </c>
      <c r="BZ50" s="1">
        <f t="shared" ca="1" si="43"/>
        <v>0.85255837055747474</v>
      </c>
      <c r="CB50" s="1">
        <f t="shared" ca="1" si="44"/>
        <v>165</v>
      </c>
      <c r="CC50" s="1">
        <f t="shared" ca="1" si="45"/>
        <v>9</v>
      </c>
      <c r="CD50" s="1">
        <f t="shared" ca="1" si="46"/>
        <v>0.13629043353947909</v>
      </c>
      <c r="CE50" s="1">
        <f t="shared" ca="1" si="56"/>
        <v>0.56504245871250836</v>
      </c>
      <c r="CF50" s="1">
        <f t="shared" ca="1" si="56"/>
        <v>0.96999545254908881</v>
      </c>
      <c r="CH50" s="3">
        <f t="shared" ca="1" si="48"/>
        <v>7.7066470420934048E-4</v>
      </c>
      <c r="CI50" s="3">
        <f t="shared" ca="1" si="49"/>
        <v>0.60289600712123714</v>
      </c>
      <c r="CJ50" s="3">
        <f t="shared" ca="1" si="50"/>
        <v>562</v>
      </c>
      <c r="CK50" s="3">
        <f t="shared" ca="1" si="51"/>
        <v>4.0943780586704783E-3</v>
      </c>
      <c r="CL50" s="3">
        <f t="shared" ca="1" si="52"/>
        <v>0</v>
      </c>
      <c r="CM50" s="3"/>
      <c r="CN50" s="1">
        <f t="shared" ca="1" si="53"/>
        <v>13.155291425037264</v>
      </c>
      <c r="CO50" s="1">
        <f t="shared" ca="1" si="54"/>
        <v>0.44468777673236459</v>
      </c>
      <c r="CP50" s="1">
        <f t="shared" ca="1" si="55"/>
        <v>2</v>
      </c>
    </row>
    <row r="51" spans="2:94" x14ac:dyDescent="0.25">
      <c r="B51">
        <f t="shared" ca="1" si="0"/>
        <v>424</v>
      </c>
      <c r="C51">
        <f t="shared" ca="1" si="1"/>
        <v>46</v>
      </c>
      <c r="D51">
        <f t="shared" ca="1" si="2"/>
        <v>0.27735416479226666</v>
      </c>
      <c r="F51" s="1">
        <f t="shared" ca="1" si="3"/>
        <v>22</v>
      </c>
      <c r="G51" s="1">
        <f t="shared" ca="1" si="4"/>
        <v>8</v>
      </c>
      <c r="H51" s="1">
        <f t="shared" ca="1" si="5"/>
        <v>15</v>
      </c>
      <c r="I51" s="1"/>
      <c r="J51" s="1">
        <f t="shared" ca="1" si="6"/>
        <v>2</v>
      </c>
      <c r="K51" s="1">
        <f t="shared" ca="1" si="7"/>
        <v>1.6295904082857038</v>
      </c>
      <c r="L51" s="1">
        <f t="shared" ca="1" si="8"/>
        <v>21</v>
      </c>
      <c r="M51" s="1"/>
      <c r="N51" s="1">
        <f t="shared" ca="1" si="9"/>
        <v>573</v>
      </c>
      <c r="O51" s="1">
        <f t="shared" ca="1" si="10"/>
        <v>10</v>
      </c>
      <c r="P51" s="1"/>
      <c r="Q51" s="1">
        <f t="shared" ca="1" si="11"/>
        <v>4.31026339447829</v>
      </c>
      <c r="R51" s="1">
        <f t="shared" ca="1" si="12"/>
        <v>919</v>
      </c>
      <c r="S51" s="1"/>
      <c r="T51" s="1">
        <f t="shared" ca="1" si="13"/>
        <v>2.9947087964978414E-2</v>
      </c>
      <c r="U51" s="1">
        <f t="shared" ca="1" si="14"/>
        <v>276</v>
      </c>
      <c r="V51" s="1">
        <f t="shared" ca="1" si="15"/>
        <v>40</v>
      </c>
      <c r="W51" s="1"/>
      <c r="X51" s="1">
        <f t="shared" ca="1" si="16"/>
        <v>3.5143927363447536</v>
      </c>
      <c r="Y51" s="1">
        <f t="shared" ca="1" si="17"/>
        <v>0.5478107632660808</v>
      </c>
      <c r="Z51" s="1">
        <f t="shared" ca="1" si="18"/>
        <v>1827</v>
      </c>
      <c r="AB51" s="1">
        <f t="shared" ca="1" si="19"/>
        <v>0.76868833286757909</v>
      </c>
      <c r="AC51" s="1">
        <f t="shared" ca="1" si="20"/>
        <v>209</v>
      </c>
      <c r="AD51" s="1">
        <f t="shared" ca="1" si="21"/>
        <v>2.568895426261444E-3</v>
      </c>
      <c r="AE51" s="1"/>
      <c r="AF51" s="1">
        <f t="shared" ca="1" si="22"/>
        <v>0.36654649663927863</v>
      </c>
      <c r="AG51" s="1">
        <f t="shared" ca="1" si="23"/>
        <v>964</v>
      </c>
      <c r="AH51" s="1">
        <f t="shared" ca="1" si="24"/>
        <v>3.5897294265748035E-3</v>
      </c>
      <c r="AJ51" s="1">
        <f t="shared" ca="1" si="25"/>
        <v>1.1398505546097337E-2</v>
      </c>
      <c r="AK51" s="1">
        <f t="shared" ca="1" si="26"/>
        <v>2.4736570295455771E-3</v>
      </c>
      <c r="AL51" s="1"/>
      <c r="AM51" s="1">
        <f t="shared" ca="1" si="27"/>
        <v>2.4842427090961142E-2</v>
      </c>
      <c r="AN51" s="1">
        <f t="shared" ca="1" si="28"/>
        <v>26</v>
      </c>
      <c r="AO51" s="1">
        <f t="shared" ca="1" si="29"/>
        <v>12</v>
      </c>
      <c r="AQ51" s="1">
        <f t="shared" ca="1" si="30"/>
        <v>14</v>
      </c>
      <c r="AR51" s="1">
        <f t="shared" ca="1" si="31"/>
        <v>0</v>
      </c>
      <c r="AS51" s="1">
        <f t="shared" ca="1" si="32"/>
        <v>2</v>
      </c>
      <c r="AU51" s="1">
        <f t="shared" ca="1" si="33"/>
        <v>138</v>
      </c>
      <c r="AV51" s="1">
        <f t="shared" ca="1" si="34"/>
        <v>2</v>
      </c>
      <c r="AW51" s="1">
        <f t="shared" ca="1" si="35"/>
        <v>5.7566747978329169E-2</v>
      </c>
      <c r="AY51" s="1">
        <f t="shared" ca="1" si="36"/>
        <v>1.7247687217091479</v>
      </c>
      <c r="AZ51" s="1">
        <f t="shared" ca="1" si="37"/>
        <v>160</v>
      </c>
      <c r="BA51" s="1">
        <f t="shared" ca="1" si="38"/>
        <v>3.077758391647071E-3</v>
      </c>
      <c r="BV51" s="1">
        <f t="shared" ca="1" si="39"/>
        <v>0.48512943349752474</v>
      </c>
      <c r="BW51" s="1">
        <f t="shared" ca="1" si="40"/>
        <v>294</v>
      </c>
      <c r="BX51" s="1">
        <f t="shared" ca="1" si="41"/>
        <v>9.9451591119601255E-3</v>
      </c>
      <c r="BY51" s="1">
        <f t="shared" ca="1" si="42"/>
        <v>1.0678920425792163E-2</v>
      </c>
      <c r="BZ51" s="1">
        <f t="shared" ca="1" si="43"/>
        <v>0.55953662673255589</v>
      </c>
      <c r="CB51" s="1">
        <f t="shared" ca="1" si="44"/>
        <v>155</v>
      </c>
      <c r="CC51" s="1">
        <f t="shared" ca="1" si="45"/>
        <v>4</v>
      </c>
      <c r="CD51" s="1">
        <f t="shared" ca="1" si="46"/>
        <v>8.5510656649472036E-2</v>
      </c>
      <c r="CE51" s="1">
        <f t="shared" ca="1" si="56"/>
        <v>0.73056479124181728</v>
      </c>
      <c r="CF51" s="1">
        <f t="shared" ca="1" si="56"/>
        <v>0.8312323331289766</v>
      </c>
      <c r="CH51" s="3">
        <f t="shared" ca="1" si="48"/>
        <v>0.77810701197218657</v>
      </c>
      <c r="CI51" s="3">
        <f t="shared" ca="1" si="49"/>
        <v>0.38060981659161991</v>
      </c>
      <c r="CJ51" s="3">
        <f t="shared" ca="1" si="50"/>
        <v>1727</v>
      </c>
      <c r="CK51" s="3">
        <f t="shared" ca="1" si="51"/>
        <v>2.9607776769346597E-3</v>
      </c>
      <c r="CL51" s="3">
        <f t="shared" ca="1" si="52"/>
        <v>0</v>
      </c>
      <c r="CM51" s="3"/>
      <c r="CN51" s="1">
        <f t="shared" ca="1" si="53"/>
        <v>1.3300899538893047</v>
      </c>
      <c r="CO51" s="1">
        <f t="shared" ca="1" si="54"/>
        <v>0.44460159624663265</v>
      </c>
      <c r="CP51" s="1">
        <f t="shared" ca="1" si="55"/>
        <v>3</v>
      </c>
    </row>
    <row r="52" spans="2:94" x14ac:dyDescent="0.25">
      <c r="B52">
        <f t="shared" ca="1" si="0"/>
        <v>445</v>
      </c>
      <c r="C52">
        <f t="shared" ca="1" si="1"/>
        <v>3</v>
      </c>
      <c r="D52">
        <f t="shared" ca="1" si="2"/>
        <v>0.17532222183173773</v>
      </c>
      <c r="F52" s="1">
        <f t="shared" ca="1" si="3"/>
        <v>49</v>
      </c>
      <c r="G52" s="1">
        <f t="shared" ca="1" si="4"/>
        <v>22</v>
      </c>
      <c r="H52" s="1">
        <f t="shared" ca="1" si="5"/>
        <v>5</v>
      </c>
      <c r="I52" s="1"/>
      <c r="J52" s="1">
        <f t="shared" ca="1" si="6"/>
        <v>32</v>
      </c>
      <c r="K52" s="1">
        <f t="shared" ca="1" si="7"/>
        <v>2.9354625963020924</v>
      </c>
      <c r="L52" s="1">
        <f t="shared" ca="1" si="8"/>
        <v>8</v>
      </c>
      <c r="M52" s="1"/>
      <c r="N52" s="1">
        <f t="shared" ca="1" si="9"/>
        <v>70</v>
      </c>
      <c r="O52" s="1">
        <f t="shared" ca="1" si="10"/>
        <v>47</v>
      </c>
      <c r="P52" s="1"/>
      <c r="Q52" s="1">
        <f t="shared" ca="1" si="11"/>
        <v>3.3135120182958793</v>
      </c>
      <c r="R52" s="1">
        <f t="shared" ca="1" si="12"/>
        <v>887</v>
      </c>
      <c r="S52" s="1"/>
      <c r="T52" s="1">
        <f t="shared" ca="1" si="13"/>
        <v>0.1914434134282568</v>
      </c>
      <c r="U52" s="1">
        <f t="shared" ca="1" si="14"/>
        <v>442</v>
      </c>
      <c r="V52" s="1">
        <f t="shared" ca="1" si="15"/>
        <v>33</v>
      </c>
      <c r="W52" s="1"/>
      <c r="X52" s="1">
        <f t="shared" ca="1" si="16"/>
        <v>6.6510332817058764</v>
      </c>
      <c r="Y52" s="1">
        <f t="shared" ca="1" si="17"/>
        <v>0.95005265456022248</v>
      </c>
      <c r="Z52" s="1">
        <f t="shared" ca="1" si="18"/>
        <v>1830</v>
      </c>
      <c r="AB52" s="1">
        <f t="shared" ca="1" si="19"/>
        <v>0.90684380193491532</v>
      </c>
      <c r="AC52" s="1">
        <f t="shared" ca="1" si="20"/>
        <v>525</v>
      </c>
      <c r="AD52" s="1">
        <f t="shared" ca="1" si="21"/>
        <v>1.3365213575497843E-3</v>
      </c>
      <c r="AE52" s="1"/>
      <c r="AF52" s="1">
        <f t="shared" ca="1" si="22"/>
        <v>0.55239190701709917</v>
      </c>
      <c r="AG52" s="1">
        <f t="shared" ca="1" si="23"/>
        <v>174</v>
      </c>
      <c r="AH52" s="1">
        <f t="shared" ca="1" si="24"/>
        <v>2.0960366616808827E-4</v>
      </c>
      <c r="AJ52" s="1">
        <f t="shared" ca="1" si="25"/>
        <v>0.71431890802875753</v>
      </c>
      <c r="AK52" s="1">
        <f t="shared" ca="1" si="26"/>
        <v>1.6788121722414785E-3</v>
      </c>
      <c r="AL52" s="1"/>
      <c r="AM52" s="1">
        <f t="shared" ca="1" si="27"/>
        <v>0.18670082968747612</v>
      </c>
      <c r="AN52" s="1">
        <f t="shared" ca="1" si="28"/>
        <v>78</v>
      </c>
      <c r="AO52" s="1">
        <f t="shared" ca="1" si="29"/>
        <v>11</v>
      </c>
      <c r="AQ52" s="1">
        <f t="shared" ca="1" si="30"/>
        <v>18</v>
      </c>
      <c r="AR52" s="1">
        <f t="shared" ca="1" si="31"/>
        <v>1</v>
      </c>
      <c r="AS52" s="1">
        <f t="shared" ca="1" si="32"/>
        <v>38</v>
      </c>
      <c r="AU52" s="1">
        <f t="shared" ca="1" si="33"/>
        <v>335</v>
      </c>
      <c r="AV52" s="1">
        <f t="shared" ca="1" si="34"/>
        <v>7</v>
      </c>
      <c r="AW52" s="1">
        <f t="shared" ca="1" si="35"/>
        <v>0.16578999138503098</v>
      </c>
      <c r="AY52" s="1">
        <f t="shared" ca="1" si="36"/>
        <v>1.1944837501228454</v>
      </c>
      <c r="AZ52" s="1">
        <f t="shared" ca="1" si="37"/>
        <v>164</v>
      </c>
      <c r="BA52" s="1">
        <f t="shared" ca="1" si="38"/>
        <v>9.8286264291724372E-3</v>
      </c>
      <c r="BV52" s="1">
        <f t="shared" ca="1" si="39"/>
        <v>0.85622155736348182</v>
      </c>
      <c r="BW52" s="1">
        <f t="shared" ca="1" si="40"/>
        <v>514</v>
      </c>
      <c r="BX52" s="1">
        <f t="shared" ca="1" si="41"/>
        <v>3.7976896954126628E-4</v>
      </c>
      <c r="BY52" s="1">
        <f t="shared" ca="1" si="42"/>
        <v>6.9454812070230354E-2</v>
      </c>
      <c r="BZ52" s="1">
        <f t="shared" ca="1" si="43"/>
        <v>0.89419369492521261</v>
      </c>
      <c r="CB52" s="1">
        <f t="shared" ca="1" si="44"/>
        <v>500</v>
      </c>
      <c r="CC52" s="1">
        <f t="shared" ca="1" si="45"/>
        <v>7</v>
      </c>
      <c r="CD52" s="1">
        <f t="shared" ca="1" si="46"/>
        <v>2.9080693072414059E-2</v>
      </c>
      <c r="CE52" s="1">
        <f t="shared" ca="1" si="56"/>
        <v>0.6007426576774556</v>
      </c>
      <c r="CF52" s="1">
        <f t="shared" ca="1" si="56"/>
        <v>0.96329378793215514</v>
      </c>
      <c r="CH52" s="3">
        <f t="shared" ca="1" si="48"/>
        <v>0.95159666247500252</v>
      </c>
      <c r="CI52" s="3">
        <f t="shared" ca="1" si="49"/>
        <v>8.0872079897711779E-2</v>
      </c>
      <c r="CJ52" s="3">
        <f t="shared" ca="1" si="50"/>
        <v>310</v>
      </c>
      <c r="CK52" s="3">
        <f t="shared" ca="1" si="51"/>
        <v>6.4518200486361572E-3</v>
      </c>
      <c r="CL52" s="3">
        <f t="shared" ca="1" si="52"/>
        <v>0</v>
      </c>
      <c r="CM52" s="3"/>
      <c r="CN52" s="1">
        <f t="shared" ca="1" si="53"/>
        <v>11.144309576714637</v>
      </c>
      <c r="CO52" s="1">
        <f t="shared" ca="1" si="54"/>
        <v>0.10782603408590113</v>
      </c>
      <c r="CP52" s="1">
        <f t="shared" ca="1" si="55"/>
        <v>2</v>
      </c>
    </row>
    <row r="53" spans="2:94" x14ac:dyDescent="0.25">
      <c r="B53">
        <f t="shared" ca="1" si="0"/>
        <v>311</v>
      </c>
      <c r="C53">
        <f t="shared" ca="1" si="1"/>
        <v>11</v>
      </c>
      <c r="D53">
        <f t="shared" ca="1" si="2"/>
        <v>0.16602376970155217</v>
      </c>
      <c r="F53" s="1">
        <f t="shared" ca="1" si="3"/>
        <v>29</v>
      </c>
      <c r="G53" s="1">
        <f t="shared" ca="1" si="4"/>
        <v>14</v>
      </c>
      <c r="H53" s="1">
        <f t="shared" ca="1" si="5"/>
        <v>11</v>
      </c>
      <c r="I53" s="1"/>
      <c r="J53" s="1">
        <f t="shared" ca="1" si="6"/>
        <v>5</v>
      </c>
      <c r="K53" s="1">
        <f t="shared" ca="1" si="7"/>
        <v>1.1174113789955091</v>
      </c>
      <c r="L53" s="1">
        <f t="shared" ca="1" si="8"/>
        <v>11</v>
      </c>
      <c r="M53" s="1"/>
      <c r="N53" s="1">
        <f t="shared" ca="1" si="9"/>
        <v>471</v>
      </c>
      <c r="O53" s="1">
        <f t="shared" ca="1" si="10"/>
        <v>5</v>
      </c>
      <c r="P53" s="1"/>
      <c r="Q53" s="1">
        <f t="shared" ca="1" si="11"/>
        <v>4.8440244369708765</v>
      </c>
      <c r="R53" s="1">
        <f t="shared" ca="1" si="12"/>
        <v>236</v>
      </c>
      <c r="S53" s="1"/>
      <c r="T53" s="1">
        <f t="shared" ca="1" si="13"/>
        <v>9.569692816684007E-2</v>
      </c>
      <c r="U53" s="1">
        <f t="shared" ca="1" si="14"/>
        <v>146</v>
      </c>
      <c r="V53" s="1">
        <f t="shared" ca="1" si="15"/>
        <v>7</v>
      </c>
      <c r="W53" s="1"/>
      <c r="X53" s="1">
        <f t="shared" ca="1" si="16"/>
        <v>1.917570804057118</v>
      </c>
      <c r="Y53" s="1">
        <f t="shared" ca="1" si="17"/>
        <v>0.53900733918238408</v>
      </c>
      <c r="Z53" s="1">
        <f t="shared" ca="1" si="18"/>
        <v>273</v>
      </c>
      <c r="AB53" s="1">
        <f t="shared" ca="1" si="19"/>
        <v>0.69009659195123041</v>
      </c>
      <c r="AC53" s="1">
        <f t="shared" ca="1" si="20"/>
        <v>1000</v>
      </c>
      <c r="AD53" s="1">
        <f t="shared" ca="1" si="21"/>
        <v>1.3542312409620791E-3</v>
      </c>
      <c r="AE53" s="1"/>
      <c r="AF53" s="1">
        <f t="shared" ca="1" si="22"/>
        <v>0.85382570277605241</v>
      </c>
      <c r="AG53" s="1">
        <f t="shared" ca="1" si="23"/>
        <v>117</v>
      </c>
      <c r="AH53" s="1">
        <f t="shared" ca="1" si="24"/>
        <v>4.9395924978288324E-3</v>
      </c>
      <c r="AJ53" s="1">
        <f t="shared" ca="1" si="25"/>
        <v>0.52532556827063936</v>
      </c>
      <c r="AK53" s="1">
        <f t="shared" ca="1" si="26"/>
        <v>3.020155268833868E-3</v>
      </c>
      <c r="AL53" s="1"/>
      <c r="AM53" s="1">
        <f t="shared" ca="1" si="27"/>
        <v>0.17484038573853641</v>
      </c>
      <c r="AN53" s="1">
        <f t="shared" ca="1" si="28"/>
        <v>34</v>
      </c>
      <c r="AO53" s="1">
        <f t="shared" ca="1" si="29"/>
        <v>10</v>
      </c>
      <c r="AQ53" s="1">
        <f t="shared" ca="1" si="30"/>
        <v>31</v>
      </c>
      <c r="AR53" s="1">
        <f t="shared" ca="1" si="31"/>
        <v>1</v>
      </c>
      <c r="AS53" s="1">
        <f t="shared" ca="1" si="32"/>
        <v>39</v>
      </c>
      <c r="AU53" s="1">
        <f t="shared" ca="1" si="33"/>
        <v>371</v>
      </c>
      <c r="AV53" s="1">
        <f t="shared" ca="1" si="34"/>
        <v>6</v>
      </c>
      <c r="AW53" s="1">
        <f t="shared" ca="1" si="35"/>
        <v>7.5993468128428429E-2</v>
      </c>
      <c r="AY53" s="1">
        <f t="shared" ca="1" si="36"/>
        <v>1.6587630182204407</v>
      </c>
      <c r="AZ53" s="1">
        <f t="shared" ca="1" si="37"/>
        <v>351</v>
      </c>
      <c r="BA53" s="1">
        <f t="shared" ca="1" si="38"/>
        <v>1.54597737245526E-3</v>
      </c>
      <c r="BV53" s="1">
        <f t="shared" ca="1" si="39"/>
        <v>0.2317323135080247</v>
      </c>
      <c r="BW53" s="1">
        <f t="shared" ca="1" si="40"/>
        <v>996</v>
      </c>
      <c r="BX53" s="1">
        <f t="shared" ca="1" si="41"/>
        <v>2.0544247295030921E-3</v>
      </c>
      <c r="BY53" s="1">
        <f t="shared" ca="1" si="42"/>
        <v>4.0849997958410768E-3</v>
      </c>
      <c r="BZ53" s="1">
        <f t="shared" ca="1" si="43"/>
        <v>0.99886806441108</v>
      </c>
      <c r="CB53" s="1">
        <f t="shared" ca="1" si="44"/>
        <v>298</v>
      </c>
      <c r="CC53" s="1">
        <f t="shared" ca="1" si="45"/>
        <v>13</v>
      </c>
      <c r="CD53" s="1">
        <f t="shared" ca="1" si="46"/>
        <v>0.26317060470611697</v>
      </c>
      <c r="CE53" s="1">
        <f t="shared" ca="1" si="56"/>
        <v>0.80195398048646116</v>
      </c>
      <c r="CF53" s="1">
        <f t="shared" ca="1" si="56"/>
        <v>0.91926706416825121</v>
      </c>
      <c r="CH53" s="3">
        <f t="shared" ca="1" si="48"/>
        <v>0.75494878135975174</v>
      </c>
      <c r="CI53" s="3">
        <f t="shared" ca="1" si="49"/>
        <v>0.75175095651603563</v>
      </c>
      <c r="CJ53" s="3">
        <f t="shared" ca="1" si="50"/>
        <v>844</v>
      </c>
      <c r="CK53" s="3">
        <f t="shared" ca="1" si="51"/>
        <v>7.2232695989140857E-4</v>
      </c>
      <c r="CL53" s="3">
        <f t="shared" ca="1" si="52"/>
        <v>1</v>
      </c>
      <c r="CM53" s="3"/>
      <c r="CN53" s="1">
        <f t="shared" ca="1" si="53"/>
        <v>2.1765022305550636</v>
      </c>
      <c r="CO53" s="1">
        <f t="shared" ca="1" si="54"/>
        <v>0.12955842139274873</v>
      </c>
      <c r="CP53" s="1">
        <f t="shared" ca="1" si="55"/>
        <v>1</v>
      </c>
    </row>
    <row r="54" spans="2:94" x14ac:dyDescent="0.25">
      <c r="B54">
        <f t="shared" ca="1" si="0"/>
        <v>508</v>
      </c>
      <c r="C54">
        <f t="shared" ca="1" si="1"/>
        <v>2</v>
      </c>
      <c r="D54">
        <f t="shared" ca="1" si="2"/>
        <v>0.29708196209481236</v>
      </c>
      <c r="F54" s="1">
        <f t="shared" ca="1" si="3"/>
        <v>28</v>
      </c>
      <c r="G54" s="1">
        <f t="shared" ca="1" si="4"/>
        <v>11</v>
      </c>
      <c r="H54" s="1">
        <f t="shared" ca="1" si="5"/>
        <v>9</v>
      </c>
      <c r="I54" s="1"/>
      <c r="J54" s="1">
        <f t="shared" ca="1" si="6"/>
        <v>23</v>
      </c>
      <c r="K54" s="1">
        <f t="shared" ca="1" si="7"/>
        <v>1.5319302315123045</v>
      </c>
      <c r="L54" s="1">
        <f t="shared" ca="1" si="8"/>
        <v>23</v>
      </c>
      <c r="M54" s="1"/>
      <c r="N54" s="1">
        <f t="shared" ca="1" si="9"/>
        <v>70</v>
      </c>
      <c r="O54" s="1">
        <f t="shared" ca="1" si="10"/>
        <v>30</v>
      </c>
      <c r="P54" s="1"/>
      <c r="Q54" s="1">
        <f t="shared" ca="1" si="11"/>
        <v>0.76806438765612306</v>
      </c>
      <c r="R54" s="1">
        <f t="shared" ca="1" si="12"/>
        <v>459</v>
      </c>
      <c r="S54" s="1"/>
      <c r="T54" s="1">
        <f t="shared" ca="1" si="13"/>
        <v>2.2198660262298955E-2</v>
      </c>
      <c r="U54" s="1">
        <f t="shared" ca="1" si="14"/>
        <v>415</v>
      </c>
      <c r="V54" s="1">
        <f t="shared" ca="1" si="15"/>
        <v>8</v>
      </c>
      <c r="W54" s="1"/>
      <c r="X54" s="1">
        <f t="shared" ca="1" si="16"/>
        <v>9.904684278040067</v>
      </c>
      <c r="Y54" s="1">
        <f t="shared" ca="1" si="17"/>
        <v>0.43144570114362202</v>
      </c>
      <c r="Z54" s="1">
        <f t="shared" ca="1" si="18"/>
        <v>312</v>
      </c>
      <c r="AB54" s="1">
        <f t="shared" ca="1" si="19"/>
        <v>0.24798559216301139</v>
      </c>
      <c r="AC54" s="1">
        <f t="shared" ca="1" si="20"/>
        <v>187</v>
      </c>
      <c r="AD54" s="1">
        <f t="shared" ca="1" si="21"/>
        <v>9.2542414836151408E-3</v>
      </c>
      <c r="AE54" s="1"/>
      <c r="AF54" s="1">
        <f t="shared" ca="1" si="22"/>
        <v>0.48094960497798134</v>
      </c>
      <c r="AG54" s="1">
        <f t="shared" ca="1" si="23"/>
        <v>761</v>
      </c>
      <c r="AH54" s="1">
        <f t="shared" ca="1" si="24"/>
        <v>7.0636677900906214E-3</v>
      </c>
      <c r="AJ54" s="1">
        <f t="shared" ca="1" si="25"/>
        <v>3.0445778793397604E-2</v>
      </c>
      <c r="AK54" s="1">
        <f t="shared" ca="1" si="26"/>
        <v>1.3192381531646877E-3</v>
      </c>
      <c r="AL54" s="1"/>
      <c r="AM54" s="1">
        <f t="shared" ca="1" si="27"/>
        <v>8.4615721547571285E-2</v>
      </c>
      <c r="AN54" s="1">
        <f t="shared" ca="1" si="28"/>
        <v>57</v>
      </c>
      <c r="AO54" s="1">
        <f t="shared" ca="1" si="29"/>
        <v>8</v>
      </c>
      <c r="AQ54" s="1">
        <f t="shared" ca="1" si="30"/>
        <v>99</v>
      </c>
      <c r="AR54" s="1">
        <f t="shared" ca="1" si="31"/>
        <v>6</v>
      </c>
      <c r="AS54" s="1">
        <f t="shared" ca="1" si="32"/>
        <v>99</v>
      </c>
      <c r="AU54" s="1">
        <f t="shared" ca="1" si="33"/>
        <v>209</v>
      </c>
      <c r="AV54" s="1">
        <f t="shared" ca="1" si="34"/>
        <v>7</v>
      </c>
      <c r="AW54" s="1">
        <f t="shared" ca="1" si="35"/>
        <v>0.13933180527523267</v>
      </c>
      <c r="AY54" s="1">
        <f t="shared" ca="1" si="36"/>
        <v>1.6665163623969173</v>
      </c>
      <c r="AZ54" s="1">
        <f t="shared" ca="1" si="37"/>
        <v>280</v>
      </c>
      <c r="BA54" s="1">
        <f t="shared" ca="1" si="38"/>
        <v>5.2482783317204058E-3</v>
      </c>
      <c r="BV54" s="1">
        <f t="shared" ca="1" si="39"/>
        <v>0.76133132942085635</v>
      </c>
      <c r="BW54" s="1">
        <f t="shared" ca="1" si="40"/>
        <v>273</v>
      </c>
      <c r="BX54" s="1">
        <f t="shared" ca="1" si="41"/>
        <v>3.0864084978684636E-3</v>
      </c>
      <c r="BY54" s="1">
        <f t="shared" ca="1" si="42"/>
        <v>5.5653327877732049E-2</v>
      </c>
      <c r="BZ54" s="1">
        <f t="shared" ca="1" si="43"/>
        <v>0.83163435338307723</v>
      </c>
      <c r="CB54" s="1">
        <f t="shared" ca="1" si="44"/>
        <v>338</v>
      </c>
      <c r="CC54" s="1">
        <f t="shared" ca="1" si="45"/>
        <v>9</v>
      </c>
      <c r="CD54" s="1">
        <f t="shared" ca="1" si="46"/>
        <v>7.9174193451287123E-2</v>
      </c>
      <c r="CE54" s="1">
        <f t="shared" ca="1" si="56"/>
        <v>0.77979669865597312</v>
      </c>
      <c r="CF54" s="1">
        <f t="shared" ca="1" si="56"/>
        <v>0.98051783296882267</v>
      </c>
      <c r="CH54" s="3">
        <f t="shared" ca="1" si="48"/>
        <v>0.5838799398320581</v>
      </c>
      <c r="CI54" s="3">
        <f t="shared" ca="1" si="49"/>
        <v>0.31141487281872243</v>
      </c>
      <c r="CJ54" s="3">
        <f t="shared" ca="1" si="50"/>
        <v>1233</v>
      </c>
      <c r="CK54" s="3">
        <f t="shared" ca="1" si="51"/>
        <v>8.5335806357347086E-3</v>
      </c>
      <c r="CL54" s="3">
        <f t="shared" ca="1" si="52"/>
        <v>0</v>
      </c>
      <c r="CM54" s="3"/>
      <c r="CN54" s="1">
        <f t="shared" ca="1" si="53"/>
        <v>1.193984229603819</v>
      </c>
      <c r="CO54" s="1">
        <f t="shared" ca="1" si="54"/>
        <v>0.43020175177492898</v>
      </c>
      <c r="CP54" s="1">
        <f t="shared" ca="1" si="55"/>
        <v>2</v>
      </c>
    </row>
    <row r="55" spans="2:94" x14ac:dyDescent="0.25">
      <c r="B55">
        <f t="shared" ca="1" si="0"/>
        <v>138</v>
      </c>
      <c r="C55">
        <f t="shared" ca="1" si="1"/>
        <v>31</v>
      </c>
      <c r="D55">
        <f t="shared" ca="1" si="2"/>
        <v>0.17865248810063214</v>
      </c>
      <c r="F55" s="1">
        <f t="shared" ca="1" si="3"/>
        <v>35</v>
      </c>
      <c r="G55" s="1">
        <f t="shared" ca="1" si="4"/>
        <v>4</v>
      </c>
      <c r="H55" s="1">
        <f t="shared" ca="1" si="5"/>
        <v>13</v>
      </c>
      <c r="I55" s="1"/>
      <c r="J55" s="1">
        <f t="shared" ca="1" si="6"/>
        <v>4</v>
      </c>
      <c r="K55" s="1">
        <f t="shared" ca="1" si="7"/>
        <v>1.6833033271236275</v>
      </c>
      <c r="L55" s="1">
        <f t="shared" ca="1" si="8"/>
        <v>15</v>
      </c>
      <c r="M55" s="1"/>
      <c r="N55" s="1">
        <f t="shared" ca="1" si="9"/>
        <v>880</v>
      </c>
      <c r="O55" s="1">
        <f t="shared" ca="1" si="10"/>
        <v>7</v>
      </c>
      <c r="P55" s="1"/>
      <c r="Q55" s="1">
        <f t="shared" ca="1" si="11"/>
        <v>2.2945668725412109</v>
      </c>
      <c r="R55" s="1">
        <f t="shared" ca="1" si="12"/>
        <v>882</v>
      </c>
      <c r="S55" s="1"/>
      <c r="T55" s="1">
        <f t="shared" ca="1" si="13"/>
        <v>0.19116434037565197</v>
      </c>
      <c r="U55" s="1">
        <f t="shared" ca="1" si="14"/>
        <v>222</v>
      </c>
      <c r="V55" s="1">
        <f t="shared" ca="1" si="15"/>
        <v>28</v>
      </c>
      <c r="W55" s="1"/>
      <c r="X55" s="1">
        <f t="shared" ca="1" si="16"/>
        <v>4.2680654782744138</v>
      </c>
      <c r="Y55" s="1">
        <f t="shared" ca="1" si="17"/>
        <v>0.4561061394932599</v>
      </c>
      <c r="Z55" s="1">
        <f t="shared" ca="1" si="18"/>
        <v>1679</v>
      </c>
      <c r="AB55" s="1">
        <f t="shared" ca="1" si="19"/>
        <v>0.515669980717962</v>
      </c>
      <c r="AC55" s="1">
        <f t="shared" ca="1" si="20"/>
        <v>829</v>
      </c>
      <c r="AD55" s="1">
        <f t="shared" ca="1" si="21"/>
        <v>4.1821881576004674E-4</v>
      </c>
      <c r="AE55" s="1"/>
      <c r="AF55" s="1">
        <f t="shared" ca="1" si="22"/>
        <v>0.74491726314537343</v>
      </c>
      <c r="AG55" s="1">
        <f t="shared" ca="1" si="23"/>
        <v>535</v>
      </c>
      <c r="AH55" s="1">
        <f t="shared" ca="1" si="24"/>
        <v>6.725811671854316E-3</v>
      </c>
      <c r="AJ55" s="1">
        <f t="shared" ca="1" si="25"/>
        <v>0.95191819751391815</v>
      </c>
      <c r="AK55" s="1">
        <f t="shared" ca="1" si="26"/>
        <v>2.466757440553303E-3</v>
      </c>
      <c r="AL55" s="1"/>
      <c r="AM55" s="1">
        <f t="shared" ca="1" si="27"/>
        <v>2.6372625228634657E-2</v>
      </c>
      <c r="AN55" s="1">
        <f t="shared" ca="1" si="28"/>
        <v>25</v>
      </c>
      <c r="AO55" s="1">
        <f t="shared" ca="1" si="29"/>
        <v>8</v>
      </c>
      <c r="AQ55" s="1">
        <f t="shared" ca="1" si="30"/>
        <v>199</v>
      </c>
      <c r="AR55" s="1">
        <f t="shared" ca="1" si="31"/>
        <v>10</v>
      </c>
      <c r="AS55" s="1">
        <f t="shared" ca="1" si="32"/>
        <v>95</v>
      </c>
      <c r="AU55" s="1">
        <f t="shared" ca="1" si="33"/>
        <v>390</v>
      </c>
      <c r="AV55" s="1">
        <f t="shared" ca="1" si="34"/>
        <v>10</v>
      </c>
      <c r="AW55" s="1">
        <f t="shared" ca="1" si="35"/>
        <v>9.092316943026342E-2</v>
      </c>
      <c r="AY55" s="1">
        <f t="shared" ca="1" si="36"/>
        <v>1.3851807721064575</v>
      </c>
      <c r="AZ55" s="1">
        <f t="shared" ca="1" si="37"/>
        <v>71</v>
      </c>
      <c r="BA55" s="1">
        <f t="shared" ca="1" si="38"/>
        <v>3.3131370478456943E-3</v>
      </c>
      <c r="BV55" s="1">
        <f t="shared" ca="1" si="39"/>
        <v>0.91962122262388601</v>
      </c>
      <c r="BW55" s="1">
        <f t="shared" ca="1" si="40"/>
        <v>769</v>
      </c>
      <c r="BX55" s="1">
        <f t="shared" ca="1" si="41"/>
        <v>1.8195087461701752E-3</v>
      </c>
      <c r="BY55" s="1">
        <f t="shared" ca="1" si="42"/>
        <v>5.1073833786808749E-2</v>
      </c>
      <c r="BZ55" s="1">
        <f t="shared" ca="1" si="43"/>
        <v>0.91703871240831225</v>
      </c>
      <c r="CB55" s="1">
        <f t="shared" ca="1" si="44"/>
        <v>84</v>
      </c>
      <c r="CC55" s="1">
        <f t="shared" ca="1" si="45"/>
        <v>10</v>
      </c>
      <c r="CD55" s="1">
        <f t="shared" ca="1" si="46"/>
        <v>0.24836364534675101</v>
      </c>
      <c r="CE55" s="1">
        <f t="shared" ca="1" si="56"/>
        <v>0.87905432263830674</v>
      </c>
      <c r="CF55" s="1">
        <f t="shared" ca="1" si="56"/>
        <v>0.84634306535632275</v>
      </c>
      <c r="CH55" s="3">
        <f t="shared" ca="1" si="48"/>
        <v>8.0365400206262441E-2</v>
      </c>
      <c r="CI55" s="3">
        <f t="shared" ca="1" si="49"/>
        <v>0.43045691560469851</v>
      </c>
      <c r="CJ55" s="3">
        <f t="shared" ca="1" si="50"/>
        <v>502</v>
      </c>
      <c r="CK55" s="3">
        <f t="shared" ca="1" si="51"/>
        <v>5.0514198011729211E-3</v>
      </c>
      <c r="CL55" s="3">
        <f t="shared" ca="1" si="52"/>
        <v>1</v>
      </c>
      <c r="CM55" s="3"/>
      <c r="CN55" s="1">
        <f t="shared" ca="1" si="53"/>
        <v>18.409392689875393</v>
      </c>
      <c r="CO55" s="1">
        <f t="shared" ca="1" si="54"/>
        <v>1.3419805784750348E-2</v>
      </c>
      <c r="CP55" s="1">
        <f t="shared" ca="1" si="55"/>
        <v>4</v>
      </c>
    </row>
    <row r="56" spans="2:94" x14ac:dyDescent="0.25">
      <c r="B56">
        <f t="shared" ca="1" si="0"/>
        <v>73</v>
      </c>
      <c r="C56">
        <f t="shared" ca="1" si="1"/>
        <v>5</v>
      </c>
      <c r="D56">
        <f t="shared" ca="1" si="2"/>
        <v>0.13539656545861914</v>
      </c>
      <c r="F56" s="1">
        <f t="shared" ca="1" si="3"/>
        <v>40</v>
      </c>
      <c r="G56" s="1">
        <f t="shared" ca="1" si="4"/>
        <v>25</v>
      </c>
      <c r="H56" s="1">
        <f t="shared" ca="1" si="5"/>
        <v>3</v>
      </c>
      <c r="I56" s="1"/>
      <c r="J56" s="1">
        <f t="shared" ca="1" si="6"/>
        <v>32</v>
      </c>
      <c r="K56" s="1">
        <f t="shared" ca="1" si="7"/>
        <v>2.2706113555882617</v>
      </c>
      <c r="L56" s="1">
        <f t="shared" ca="1" si="8"/>
        <v>32</v>
      </c>
      <c r="M56" s="1"/>
      <c r="N56" s="1">
        <f t="shared" ca="1" si="9"/>
        <v>23</v>
      </c>
      <c r="O56" s="1">
        <f t="shared" ca="1" si="10"/>
        <v>14</v>
      </c>
      <c r="P56" s="1"/>
      <c r="Q56" s="1">
        <f t="shared" ca="1" si="11"/>
        <v>0.78416198754692867</v>
      </c>
      <c r="R56" s="1">
        <f t="shared" ca="1" si="12"/>
        <v>284</v>
      </c>
      <c r="S56" s="1"/>
      <c r="T56" s="1">
        <f t="shared" ca="1" si="13"/>
        <v>4.1550958887452735E-2</v>
      </c>
      <c r="U56" s="1">
        <f t="shared" ca="1" si="14"/>
        <v>148</v>
      </c>
      <c r="V56" s="1">
        <f t="shared" ca="1" si="15"/>
        <v>37</v>
      </c>
      <c r="W56" s="1"/>
      <c r="X56" s="1">
        <f t="shared" ca="1" si="16"/>
        <v>4.5674334879595054E-2</v>
      </c>
      <c r="Y56" s="1">
        <f t="shared" ca="1" si="17"/>
        <v>0.33319840389471844</v>
      </c>
      <c r="Z56" s="1">
        <f t="shared" ca="1" si="18"/>
        <v>156</v>
      </c>
      <c r="AB56" s="1">
        <f t="shared" ca="1" si="19"/>
        <v>0.49326208687195572</v>
      </c>
      <c r="AC56" s="1">
        <f t="shared" ca="1" si="20"/>
        <v>292</v>
      </c>
      <c r="AD56" s="1">
        <f t="shared" ca="1" si="21"/>
        <v>7.0523354313459024E-4</v>
      </c>
      <c r="AE56" s="1"/>
      <c r="AF56" s="1">
        <f t="shared" ca="1" si="22"/>
        <v>0.46542521298696393</v>
      </c>
      <c r="AG56" s="1">
        <f t="shared" ca="1" si="23"/>
        <v>600</v>
      </c>
      <c r="AH56" s="1">
        <f t="shared" ca="1" si="24"/>
        <v>8.1262645882391599E-3</v>
      </c>
      <c r="AJ56" s="1">
        <f t="shared" ca="1" si="25"/>
        <v>0.76058733049602401</v>
      </c>
      <c r="AK56" s="1">
        <f t="shared" ca="1" si="26"/>
        <v>6.2674777160885518E-3</v>
      </c>
      <c r="AL56" s="1"/>
      <c r="AM56" s="1">
        <f t="shared" ca="1" si="27"/>
        <v>0.1834084242070263</v>
      </c>
      <c r="AN56" s="1">
        <f t="shared" ca="1" si="28"/>
        <v>17</v>
      </c>
      <c r="AO56" s="1">
        <f t="shared" ca="1" si="29"/>
        <v>0</v>
      </c>
      <c r="AQ56" s="1">
        <f t="shared" ca="1" si="30"/>
        <v>125</v>
      </c>
      <c r="AR56" s="1">
        <f t="shared" ca="1" si="31"/>
        <v>1</v>
      </c>
      <c r="AS56" s="1">
        <f t="shared" ca="1" si="32"/>
        <v>43</v>
      </c>
      <c r="AU56" s="1">
        <f t="shared" ca="1" si="33"/>
        <v>379</v>
      </c>
      <c r="AV56" s="1">
        <f t="shared" ca="1" si="34"/>
        <v>8</v>
      </c>
      <c r="AW56" s="1">
        <f t="shared" ca="1" si="35"/>
        <v>1.9579733849243566E-2</v>
      </c>
      <c r="AY56" s="1">
        <f t="shared" ca="1" si="36"/>
        <v>1.2152492938417647</v>
      </c>
      <c r="AZ56" s="1">
        <f t="shared" ca="1" si="37"/>
        <v>263</v>
      </c>
      <c r="BA56" s="1">
        <f t="shared" ca="1" si="38"/>
        <v>4.6834434546480222E-3</v>
      </c>
      <c r="BV56" s="1">
        <f t="shared" ca="1" si="39"/>
        <v>0.65311633567338523</v>
      </c>
      <c r="BW56" s="1">
        <f t="shared" ca="1" si="40"/>
        <v>890</v>
      </c>
      <c r="BX56" s="1">
        <f t="shared" ca="1" si="41"/>
        <v>2.2419503597229033E-3</v>
      </c>
      <c r="BY56" s="1">
        <f t="shared" ca="1" si="42"/>
        <v>3.5036814079921548E-2</v>
      </c>
      <c r="BZ56" s="1">
        <f t="shared" ca="1" si="43"/>
        <v>0.95405002540929862</v>
      </c>
      <c r="CB56" s="1">
        <f t="shared" ca="1" si="44"/>
        <v>311</v>
      </c>
      <c r="CC56" s="1">
        <f t="shared" ca="1" si="45"/>
        <v>10</v>
      </c>
      <c r="CD56" s="1">
        <f t="shared" ca="1" si="46"/>
        <v>0.20600655452835989</v>
      </c>
      <c r="CE56" s="1">
        <f t="shared" ca="1" si="56"/>
        <v>0.86736708775120075</v>
      </c>
      <c r="CF56" s="1">
        <f t="shared" ca="1" si="56"/>
        <v>0.72299393427747272</v>
      </c>
      <c r="CH56" s="3">
        <f t="shared" ca="1" si="48"/>
        <v>0.4986805980911953</v>
      </c>
      <c r="CI56" s="3">
        <f t="shared" ca="1" si="49"/>
        <v>0.37871669804511687</v>
      </c>
      <c r="CJ56" s="3">
        <f t="shared" ca="1" si="50"/>
        <v>127</v>
      </c>
      <c r="CK56" s="3">
        <f t="shared" ca="1" si="51"/>
        <v>5.0350600897183335E-3</v>
      </c>
      <c r="CL56" s="3">
        <f t="shared" ca="1" si="52"/>
        <v>1</v>
      </c>
      <c r="CM56" s="3"/>
      <c r="CN56" s="1">
        <f t="shared" ca="1" si="53"/>
        <v>2.3736317191919483</v>
      </c>
      <c r="CO56" s="1">
        <f t="shared" ca="1" si="54"/>
        <v>0.20090908526281781</v>
      </c>
      <c r="CP56" s="1">
        <f t="shared" ca="1" si="55"/>
        <v>1</v>
      </c>
    </row>
    <row r="57" spans="2:94" x14ac:dyDescent="0.25">
      <c r="B57">
        <f t="shared" ca="1" si="0"/>
        <v>863</v>
      </c>
      <c r="C57">
        <f t="shared" ca="1" si="1"/>
        <v>6</v>
      </c>
      <c r="D57">
        <f t="shared" ca="1" si="2"/>
        <v>0.26213223948849013</v>
      </c>
      <c r="F57" s="1">
        <f t="shared" ca="1" si="3"/>
        <v>18</v>
      </c>
      <c r="G57" s="1">
        <f t="shared" ca="1" si="4"/>
        <v>29</v>
      </c>
      <c r="H57" s="1">
        <f t="shared" ca="1" si="5"/>
        <v>8</v>
      </c>
      <c r="I57" s="1"/>
      <c r="J57" s="1">
        <f t="shared" ca="1" si="6"/>
        <v>23</v>
      </c>
      <c r="K57" s="1">
        <f t="shared" ca="1" si="7"/>
        <v>2.887056819581419</v>
      </c>
      <c r="L57" s="1">
        <f t="shared" ca="1" si="8"/>
        <v>19</v>
      </c>
      <c r="M57" s="1"/>
      <c r="N57" s="1">
        <f t="shared" ca="1" si="9"/>
        <v>502</v>
      </c>
      <c r="O57" s="1">
        <f t="shared" ca="1" si="10"/>
        <v>12</v>
      </c>
      <c r="P57" s="1"/>
      <c r="Q57" s="1">
        <f t="shared" ca="1" si="11"/>
        <v>1.1305625574588998</v>
      </c>
      <c r="R57" s="1">
        <f t="shared" ca="1" si="12"/>
        <v>626</v>
      </c>
      <c r="S57" s="1"/>
      <c r="T57" s="1">
        <f t="shared" ca="1" si="13"/>
        <v>0.11985257000185041</v>
      </c>
      <c r="U57" s="1">
        <f t="shared" ca="1" si="14"/>
        <v>416</v>
      </c>
      <c r="V57" s="1">
        <f t="shared" ca="1" si="15"/>
        <v>50</v>
      </c>
      <c r="W57" s="1"/>
      <c r="X57" s="1">
        <f t="shared" ca="1" si="16"/>
        <v>6.2646568018225386</v>
      </c>
      <c r="Y57" s="1">
        <f t="shared" ca="1" si="17"/>
        <v>0.2833840944492404</v>
      </c>
      <c r="Z57" s="1">
        <f t="shared" ca="1" si="18"/>
        <v>210</v>
      </c>
      <c r="AB57" s="1">
        <f t="shared" ca="1" si="19"/>
        <v>0.64434594373170007</v>
      </c>
      <c r="AC57" s="1">
        <f t="shared" ca="1" si="20"/>
        <v>936</v>
      </c>
      <c r="AD57" s="1">
        <f t="shared" ca="1" si="21"/>
        <v>4.4885871897679726E-3</v>
      </c>
      <c r="AE57" s="1"/>
      <c r="AF57" s="1">
        <f t="shared" ca="1" si="22"/>
        <v>0.52756338333987984</v>
      </c>
      <c r="AG57" s="1">
        <f t="shared" ca="1" si="23"/>
        <v>805</v>
      </c>
      <c r="AH57" s="1">
        <f t="shared" ca="1" si="24"/>
        <v>8.4908894039024407E-3</v>
      </c>
      <c r="AJ57" s="1">
        <f t="shared" ca="1" si="25"/>
        <v>0.78777521385392668</v>
      </c>
      <c r="AK57" s="1">
        <f t="shared" ca="1" si="26"/>
        <v>7.2591449230023967E-4</v>
      </c>
      <c r="AL57" s="1"/>
      <c r="AM57" s="1">
        <f t="shared" ca="1" si="27"/>
        <v>0.18745320922259984</v>
      </c>
      <c r="AN57" s="1">
        <f t="shared" ca="1" si="28"/>
        <v>41</v>
      </c>
      <c r="AO57" s="1">
        <f t="shared" ca="1" si="29"/>
        <v>20</v>
      </c>
      <c r="AQ57" s="1">
        <f t="shared" ca="1" si="30"/>
        <v>119</v>
      </c>
      <c r="AR57" s="1">
        <f t="shared" ca="1" si="31"/>
        <v>1</v>
      </c>
      <c r="AS57" s="1">
        <f t="shared" ca="1" si="32"/>
        <v>73</v>
      </c>
      <c r="AU57" s="1">
        <f t="shared" ca="1" si="33"/>
        <v>250</v>
      </c>
      <c r="AV57" s="1">
        <f t="shared" ca="1" si="34"/>
        <v>9</v>
      </c>
      <c r="AW57" s="1">
        <f t="shared" ca="1" si="35"/>
        <v>0.15419389682361179</v>
      </c>
      <c r="AY57" s="1">
        <f t="shared" ca="1" si="36"/>
        <v>1.3045016979757962</v>
      </c>
      <c r="AZ57" s="1">
        <f t="shared" ca="1" si="37"/>
        <v>185</v>
      </c>
      <c r="BA57" s="1">
        <f t="shared" ca="1" si="38"/>
        <v>8.5047376997871016E-3</v>
      </c>
      <c r="BV57" s="1">
        <f t="shared" ca="1" si="39"/>
        <v>0.25207241385819779</v>
      </c>
      <c r="BW57" s="1">
        <f t="shared" ca="1" si="40"/>
        <v>652</v>
      </c>
      <c r="BX57" s="1">
        <f t="shared" ca="1" si="41"/>
        <v>6.6530902982126503E-3</v>
      </c>
      <c r="BY57" s="1">
        <f t="shared" ca="1" si="42"/>
        <v>1.9994784610636425E-2</v>
      </c>
      <c r="BZ57" s="1">
        <f t="shared" ca="1" si="43"/>
        <v>0.73225882366872508</v>
      </c>
      <c r="CB57" s="1">
        <f t="shared" ca="1" si="44"/>
        <v>387</v>
      </c>
      <c r="CC57" s="1">
        <f t="shared" ca="1" si="45"/>
        <v>10</v>
      </c>
      <c r="CD57" s="1">
        <f t="shared" ca="1" si="46"/>
        <v>0.10280464837199316</v>
      </c>
      <c r="CE57" s="1">
        <f t="shared" ca="1" si="56"/>
        <v>0.92175849456641068</v>
      </c>
      <c r="CF57" s="1">
        <f t="shared" ca="1" si="56"/>
        <v>0.78546544370412619</v>
      </c>
      <c r="CH57" s="3">
        <f t="shared" ca="1" si="48"/>
        <v>4.2068785312399971E-3</v>
      </c>
      <c r="CI57" s="3">
        <f t="shared" ca="1" si="49"/>
        <v>0.88967715446900741</v>
      </c>
      <c r="CJ57" s="3">
        <f t="shared" ca="1" si="50"/>
        <v>378</v>
      </c>
      <c r="CK57" s="3">
        <f t="shared" ca="1" si="51"/>
        <v>4.9713482862185797E-3</v>
      </c>
      <c r="CL57" s="3">
        <f t="shared" ca="1" si="52"/>
        <v>0</v>
      </c>
      <c r="CM57" s="3"/>
      <c r="CN57" s="1">
        <f t="shared" ca="1" si="53"/>
        <v>19.372552806544839</v>
      </c>
      <c r="CO57" s="1">
        <f t="shared" ca="1" si="54"/>
        <v>7.6674102234957048E-2</v>
      </c>
      <c r="CP57" s="1">
        <f t="shared" ca="1" si="55"/>
        <v>5</v>
      </c>
    </row>
    <row r="58" spans="2:94" x14ac:dyDescent="0.25">
      <c r="B58">
        <f t="shared" ca="1" si="0"/>
        <v>170</v>
      </c>
      <c r="C58">
        <f t="shared" ca="1" si="1"/>
        <v>26</v>
      </c>
      <c r="D58">
        <f t="shared" ca="1" si="2"/>
        <v>0.19598510238398439</v>
      </c>
      <c r="F58" s="1">
        <f t="shared" ca="1" si="3"/>
        <v>2</v>
      </c>
      <c r="G58" s="1">
        <f t="shared" ca="1" si="4"/>
        <v>13</v>
      </c>
      <c r="H58" s="1">
        <f t="shared" ca="1" si="5"/>
        <v>2</v>
      </c>
      <c r="I58" s="1"/>
      <c r="J58" s="1">
        <f t="shared" ca="1" si="6"/>
        <v>6</v>
      </c>
      <c r="K58" s="1">
        <f t="shared" ca="1" si="7"/>
        <v>2.3566751451213177</v>
      </c>
      <c r="L58" s="1">
        <f t="shared" ca="1" si="8"/>
        <v>28</v>
      </c>
      <c r="M58" s="1"/>
      <c r="N58" s="1">
        <f t="shared" ca="1" si="9"/>
        <v>218</v>
      </c>
      <c r="O58" s="1">
        <f t="shared" ca="1" si="10"/>
        <v>23</v>
      </c>
      <c r="P58" s="1"/>
      <c r="Q58" s="1">
        <f t="shared" ca="1" si="11"/>
        <v>1.8613042350994398</v>
      </c>
      <c r="R58" s="1">
        <f t="shared" ca="1" si="12"/>
        <v>1055</v>
      </c>
      <c r="S58" s="1"/>
      <c r="T58" s="1">
        <f t="shared" ca="1" si="13"/>
        <v>6.836678499074085E-2</v>
      </c>
      <c r="U58" s="1">
        <f t="shared" ca="1" si="14"/>
        <v>195</v>
      </c>
      <c r="V58" s="1">
        <f t="shared" ca="1" si="15"/>
        <v>27</v>
      </c>
      <c r="W58" s="1"/>
      <c r="X58" s="1">
        <f t="shared" ca="1" si="16"/>
        <v>9.6153587389126969</v>
      </c>
      <c r="Y58" s="1">
        <f t="shared" ca="1" si="17"/>
        <v>0.43357451784706441</v>
      </c>
      <c r="Z58" s="1">
        <f t="shared" ca="1" si="18"/>
        <v>840</v>
      </c>
      <c r="AB58" s="1">
        <f t="shared" ca="1" si="19"/>
        <v>0.94572601347294316</v>
      </c>
      <c r="AC58" s="1">
        <f t="shared" ca="1" si="20"/>
        <v>755</v>
      </c>
      <c r="AD58" s="1">
        <f t="shared" ca="1" si="21"/>
        <v>5.1007628621907971E-3</v>
      </c>
      <c r="AE58" s="1"/>
      <c r="AF58" s="1">
        <f t="shared" ca="1" si="22"/>
        <v>0.85955881122367817</v>
      </c>
      <c r="AG58" s="1">
        <f t="shared" ca="1" si="23"/>
        <v>183</v>
      </c>
      <c r="AH58" s="1">
        <f t="shared" ca="1" si="24"/>
        <v>8.5099200313768861E-3</v>
      </c>
      <c r="AJ58" s="1">
        <f t="shared" ca="1" si="25"/>
        <v>0.51990425573875421</v>
      </c>
      <c r="AK58" s="1">
        <f t="shared" ca="1" si="26"/>
        <v>5.8622154531836118E-3</v>
      </c>
      <c r="AL58" s="1"/>
      <c r="AM58" s="1">
        <f t="shared" ca="1" si="27"/>
        <v>9.8632888831823737E-2</v>
      </c>
      <c r="AN58" s="1">
        <f t="shared" ca="1" si="28"/>
        <v>54</v>
      </c>
      <c r="AO58" s="1">
        <f t="shared" ca="1" si="29"/>
        <v>13</v>
      </c>
      <c r="AQ58" s="1">
        <f t="shared" ca="1" si="30"/>
        <v>167</v>
      </c>
      <c r="AR58" s="1">
        <f t="shared" ca="1" si="31"/>
        <v>4</v>
      </c>
      <c r="AS58" s="1">
        <f t="shared" ca="1" si="32"/>
        <v>14</v>
      </c>
      <c r="AU58" s="1">
        <f t="shared" ca="1" si="33"/>
        <v>84</v>
      </c>
      <c r="AV58" s="1">
        <f t="shared" ca="1" si="34"/>
        <v>2</v>
      </c>
      <c r="AW58" s="1">
        <f t="shared" ca="1" si="35"/>
        <v>7.3192567554721921E-2</v>
      </c>
      <c r="AY58" s="1">
        <f t="shared" ca="1" si="36"/>
        <v>1.5676176715265453</v>
      </c>
      <c r="AZ58" s="1">
        <f t="shared" ca="1" si="37"/>
        <v>95</v>
      </c>
      <c r="BA58" s="1">
        <f t="shared" ca="1" si="38"/>
        <v>8.9950680683973105E-3</v>
      </c>
      <c r="BV58" s="1">
        <f t="shared" ca="1" si="39"/>
        <v>3.9028519898304748E-2</v>
      </c>
      <c r="BW58" s="1">
        <f t="shared" ca="1" si="40"/>
        <v>787</v>
      </c>
      <c r="BX58" s="1">
        <f t="shared" ca="1" si="41"/>
        <v>3.0821361399027674E-3</v>
      </c>
      <c r="BY58" s="1">
        <f t="shared" ca="1" si="42"/>
        <v>2.2157064339730732E-3</v>
      </c>
      <c r="BZ58" s="1">
        <f t="shared" ca="1" si="43"/>
        <v>0.66970489791500742</v>
      </c>
      <c r="CB58" s="1">
        <f t="shared" ca="1" si="44"/>
        <v>336</v>
      </c>
      <c r="CC58" s="1">
        <f t="shared" ca="1" si="45"/>
        <v>13</v>
      </c>
      <c r="CD58" s="1">
        <f t="shared" ca="1" si="46"/>
        <v>0.2391843060604037</v>
      </c>
      <c r="CE58" s="1">
        <f t="shared" ca="1" si="56"/>
        <v>0.61997885658322183</v>
      </c>
      <c r="CF58" s="1">
        <f t="shared" ca="1" si="56"/>
        <v>0.74509780998294994</v>
      </c>
      <c r="CH58" s="3">
        <f t="shared" ca="1" si="48"/>
        <v>0.18363841365226968</v>
      </c>
      <c r="CI58" s="3">
        <f t="shared" ca="1" si="49"/>
        <v>0.64164947934815197</v>
      </c>
      <c r="CJ58" s="3">
        <f t="shared" ca="1" si="50"/>
        <v>595</v>
      </c>
      <c r="CK58" s="3">
        <f t="shared" ca="1" si="51"/>
        <v>3.4445797846893293E-3</v>
      </c>
      <c r="CL58" s="3">
        <f t="shared" ca="1" si="52"/>
        <v>1</v>
      </c>
      <c r="CM58" s="3"/>
      <c r="CN58" s="1">
        <f t="shared" ca="1" si="53"/>
        <v>18.252438351810234</v>
      </c>
      <c r="CO58" s="1">
        <f t="shared" ca="1" si="54"/>
        <v>0.39657059275752354</v>
      </c>
      <c r="CP58" s="1">
        <f t="shared" ca="1" si="55"/>
        <v>5</v>
      </c>
    </row>
    <row r="59" spans="2:94" x14ac:dyDescent="0.25">
      <c r="B59">
        <f t="shared" ca="1" si="0"/>
        <v>646</v>
      </c>
      <c r="C59">
        <f t="shared" ca="1" si="1"/>
        <v>22</v>
      </c>
      <c r="D59">
        <f t="shared" ca="1" si="2"/>
        <v>0.11685916492433898</v>
      </c>
      <c r="F59" s="1">
        <f t="shared" ca="1" si="3"/>
        <v>29</v>
      </c>
      <c r="G59" s="1">
        <f t="shared" ca="1" si="4"/>
        <v>18</v>
      </c>
      <c r="H59" s="1">
        <f t="shared" ca="1" si="5"/>
        <v>13</v>
      </c>
      <c r="I59" s="1"/>
      <c r="J59" s="1">
        <f t="shared" ca="1" si="6"/>
        <v>28</v>
      </c>
      <c r="K59" s="1">
        <f t="shared" ca="1" si="7"/>
        <v>2.0765684819302401</v>
      </c>
      <c r="L59" s="1">
        <f t="shared" ca="1" si="8"/>
        <v>32</v>
      </c>
      <c r="M59" s="1"/>
      <c r="N59" s="1">
        <f t="shared" ca="1" si="9"/>
        <v>833</v>
      </c>
      <c r="O59" s="1">
        <f t="shared" ca="1" si="10"/>
        <v>41</v>
      </c>
      <c r="P59" s="1"/>
      <c r="Q59" s="1">
        <f t="shared" ca="1" si="11"/>
        <v>3.8651283234997376</v>
      </c>
      <c r="R59" s="1">
        <f t="shared" ca="1" si="12"/>
        <v>330</v>
      </c>
      <c r="S59" s="1"/>
      <c r="T59" s="1">
        <f t="shared" ca="1" si="13"/>
        <v>2.858766528897741E-2</v>
      </c>
      <c r="U59" s="1">
        <f t="shared" ca="1" si="14"/>
        <v>96</v>
      </c>
      <c r="V59" s="1">
        <f t="shared" ca="1" si="15"/>
        <v>30</v>
      </c>
      <c r="W59" s="1"/>
      <c r="X59" s="1">
        <f t="shared" ca="1" si="16"/>
        <v>6.2106187856511559</v>
      </c>
      <c r="Y59" s="1">
        <f t="shared" ca="1" si="17"/>
        <v>0.9161456223630845</v>
      </c>
      <c r="Z59" s="1">
        <f t="shared" ca="1" si="18"/>
        <v>913</v>
      </c>
      <c r="AB59" s="1">
        <f t="shared" ca="1" si="19"/>
        <v>0.48315134597997178</v>
      </c>
      <c r="AC59" s="1">
        <f t="shared" ca="1" si="20"/>
        <v>221</v>
      </c>
      <c r="AD59" s="1">
        <f t="shared" ca="1" si="21"/>
        <v>5.3518036138592772E-3</v>
      </c>
      <c r="AE59" s="1"/>
      <c r="AF59" s="1">
        <f t="shared" ca="1" si="22"/>
        <v>0.77414471117765848</v>
      </c>
      <c r="AG59" s="1">
        <f t="shared" ca="1" si="23"/>
        <v>894</v>
      </c>
      <c r="AH59" s="1">
        <f t="shared" ca="1" si="24"/>
        <v>9.4868837295621171E-3</v>
      </c>
      <c r="AJ59" s="1">
        <f t="shared" ca="1" si="25"/>
        <v>0.76718271672232741</v>
      </c>
      <c r="AK59" s="1">
        <f t="shared" ca="1" si="26"/>
        <v>7.0395230582471135E-3</v>
      </c>
      <c r="AL59" s="1"/>
      <c r="AM59" s="1">
        <f t="shared" ca="1" si="27"/>
        <v>0.15371627665793416</v>
      </c>
      <c r="AN59" s="1">
        <f t="shared" ca="1" si="28"/>
        <v>43</v>
      </c>
      <c r="AO59" s="1">
        <f t="shared" ca="1" si="29"/>
        <v>14</v>
      </c>
      <c r="AQ59" s="1">
        <f t="shared" ca="1" si="30"/>
        <v>177</v>
      </c>
      <c r="AR59" s="1">
        <f t="shared" ca="1" si="31"/>
        <v>7</v>
      </c>
      <c r="AS59" s="1">
        <f t="shared" ca="1" si="32"/>
        <v>83</v>
      </c>
      <c r="AU59" s="1">
        <f t="shared" ca="1" si="33"/>
        <v>107</v>
      </c>
      <c r="AV59" s="1">
        <f t="shared" ca="1" si="34"/>
        <v>2</v>
      </c>
      <c r="AW59" s="1">
        <f t="shared" ca="1" si="35"/>
        <v>3.2709774599588536E-2</v>
      </c>
      <c r="AY59" s="1">
        <f t="shared" ca="1" si="36"/>
        <v>1.5014281848296414</v>
      </c>
      <c r="AZ59" s="1">
        <f t="shared" ca="1" si="37"/>
        <v>468</v>
      </c>
      <c r="BA59" s="1">
        <f t="shared" ca="1" si="38"/>
        <v>2.6810779497725879E-3</v>
      </c>
      <c r="BV59" s="1">
        <f t="shared" ca="1" si="39"/>
        <v>0.99055127992982461</v>
      </c>
      <c r="BW59" s="1">
        <f t="shared" ca="1" si="40"/>
        <v>840</v>
      </c>
      <c r="BX59" s="1">
        <f t="shared" ca="1" si="41"/>
        <v>3.6209697170973137E-3</v>
      </c>
      <c r="BY59" s="1">
        <f t="shared" ca="1" si="42"/>
        <v>4.1945659549912286E-2</v>
      </c>
      <c r="BZ59" s="1">
        <f t="shared" ca="1" si="43"/>
        <v>0.12235198021995242</v>
      </c>
      <c r="CB59" s="1">
        <f t="shared" ca="1" si="44"/>
        <v>383</v>
      </c>
      <c r="CC59" s="1">
        <f t="shared" ca="1" si="45"/>
        <v>13</v>
      </c>
      <c r="CD59" s="1">
        <f t="shared" ca="1" si="46"/>
        <v>0.13709259922269632</v>
      </c>
      <c r="CE59" s="1">
        <f t="shared" ca="1" si="56"/>
        <v>0.85396429951617203</v>
      </c>
      <c r="CF59" s="1">
        <f t="shared" ca="1" si="56"/>
        <v>0.9784519565574965</v>
      </c>
      <c r="CH59" s="3">
        <f t="shared" ca="1" si="48"/>
        <v>0.27102043373864682</v>
      </c>
      <c r="CI59" s="3">
        <f t="shared" ca="1" si="49"/>
        <v>0.79285162360811356</v>
      </c>
      <c r="CJ59" s="3">
        <f t="shared" ca="1" si="50"/>
        <v>240</v>
      </c>
      <c r="CK59" s="3">
        <f t="shared" ca="1" si="51"/>
        <v>5.8585536123296035E-3</v>
      </c>
      <c r="CL59" s="3">
        <f t="shared" ca="1" si="52"/>
        <v>1</v>
      </c>
      <c r="CM59" s="3"/>
      <c r="CN59" s="1">
        <f t="shared" ca="1" si="53"/>
        <v>1.0310427627712764</v>
      </c>
      <c r="CO59" s="1">
        <f t="shared" ca="1" si="54"/>
        <v>0.20160846541295455</v>
      </c>
      <c r="CP59" s="1">
        <f t="shared" ca="1" si="55"/>
        <v>1</v>
      </c>
    </row>
    <row r="60" spans="2:94" x14ac:dyDescent="0.25">
      <c r="B60">
        <f t="shared" ca="1" si="0"/>
        <v>625</v>
      </c>
      <c r="C60">
        <f t="shared" ca="1" si="1"/>
        <v>34</v>
      </c>
      <c r="D60">
        <f t="shared" ca="1" si="2"/>
        <v>1.6336303298472361E-2</v>
      </c>
      <c r="F60" s="1">
        <f t="shared" ca="1" si="3"/>
        <v>13</v>
      </c>
      <c r="G60" s="1">
        <f t="shared" ca="1" si="4"/>
        <v>29</v>
      </c>
      <c r="H60" s="1">
        <f t="shared" ca="1" si="5"/>
        <v>12</v>
      </c>
      <c r="I60" s="1"/>
      <c r="J60" s="1">
        <f t="shared" ca="1" si="6"/>
        <v>7</v>
      </c>
      <c r="K60" s="1">
        <f t="shared" ca="1" si="7"/>
        <v>1.0146766438784738</v>
      </c>
      <c r="L60" s="1">
        <f t="shared" ca="1" si="8"/>
        <v>22</v>
      </c>
      <c r="M60" s="1"/>
      <c r="N60" s="1">
        <f t="shared" ca="1" si="9"/>
        <v>60</v>
      </c>
      <c r="O60" s="1">
        <f t="shared" ca="1" si="10"/>
        <v>25</v>
      </c>
      <c r="P60" s="1"/>
      <c r="Q60" s="1">
        <f t="shared" ca="1" si="11"/>
        <v>4.6805311155398632</v>
      </c>
      <c r="R60" s="1">
        <f t="shared" ca="1" si="12"/>
        <v>480</v>
      </c>
      <c r="S60" s="1"/>
      <c r="T60" s="1">
        <f t="shared" ca="1" si="13"/>
        <v>1.1022244593915414E-2</v>
      </c>
      <c r="U60" s="1">
        <f t="shared" ca="1" si="14"/>
        <v>301</v>
      </c>
      <c r="V60" s="1">
        <f t="shared" ca="1" si="15"/>
        <v>16</v>
      </c>
      <c r="W60" s="1"/>
      <c r="X60" s="1">
        <f t="shared" ca="1" si="16"/>
        <v>9.9114246043403806</v>
      </c>
      <c r="Y60" s="1">
        <f t="shared" ca="1" si="17"/>
        <v>0.58808060379801341</v>
      </c>
      <c r="Z60" s="1">
        <f t="shared" ca="1" si="18"/>
        <v>851</v>
      </c>
      <c r="AB60" s="1">
        <f t="shared" ca="1" si="19"/>
        <v>0.46423520914185845</v>
      </c>
      <c r="AC60" s="1">
        <f t="shared" ca="1" si="20"/>
        <v>449</v>
      </c>
      <c r="AD60" s="1">
        <f t="shared" ca="1" si="21"/>
        <v>7.0356315222869755E-3</v>
      </c>
      <c r="AE60" s="1"/>
      <c r="AF60" s="1">
        <f t="shared" ca="1" si="22"/>
        <v>0.30977982712587482</v>
      </c>
      <c r="AG60" s="1">
        <f t="shared" ca="1" si="23"/>
        <v>304</v>
      </c>
      <c r="AH60" s="1">
        <f t="shared" ca="1" si="24"/>
        <v>5.8707947963329964E-3</v>
      </c>
      <c r="AJ60" s="1">
        <f t="shared" ca="1" si="25"/>
        <v>0.34816978085718175</v>
      </c>
      <c r="AK60" s="1">
        <f t="shared" ca="1" si="26"/>
        <v>7.3858318716805791E-3</v>
      </c>
      <c r="AL60" s="1"/>
      <c r="AM60" s="1">
        <f t="shared" ca="1" si="27"/>
        <v>0.16627460033330099</v>
      </c>
      <c r="AN60" s="1">
        <f t="shared" ca="1" si="28"/>
        <v>52</v>
      </c>
      <c r="AO60" s="1">
        <f t="shared" ca="1" si="29"/>
        <v>0</v>
      </c>
      <c r="AQ60" s="1">
        <f t="shared" ca="1" si="30"/>
        <v>93</v>
      </c>
      <c r="AR60" s="1">
        <f t="shared" ca="1" si="31"/>
        <v>4</v>
      </c>
      <c r="AS60" s="1">
        <f t="shared" ca="1" si="32"/>
        <v>90</v>
      </c>
      <c r="AU60" s="1">
        <f t="shared" ca="1" si="33"/>
        <v>275</v>
      </c>
      <c r="AV60" s="1">
        <f t="shared" ca="1" si="34"/>
        <v>8</v>
      </c>
      <c r="AW60" s="1">
        <f t="shared" ca="1" si="35"/>
        <v>1.3737035153078402E-2</v>
      </c>
      <c r="AY60" s="1">
        <f t="shared" ca="1" si="36"/>
        <v>1.4533275621881294</v>
      </c>
      <c r="AZ60" s="1">
        <f t="shared" ca="1" si="37"/>
        <v>235</v>
      </c>
      <c r="BA60" s="1">
        <f t="shared" ca="1" si="38"/>
        <v>5.7710669935892743E-3</v>
      </c>
      <c r="BV60" s="1">
        <f t="shared" ca="1" si="39"/>
        <v>0.20614527376466463</v>
      </c>
      <c r="BW60" s="1">
        <f t="shared" ca="1" si="40"/>
        <v>396</v>
      </c>
      <c r="BX60" s="1">
        <f t="shared" ca="1" si="41"/>
        <v>2.8171421491832386E-3</v>
      </c>
      <c r="BY60" s="1">
        <f t="shared" ca="1" si="42"/>
        <v>2.3122351712696613E-2</v>
      </c>
      <c r="BZ60" s="1">
        <f t="shared" ca="1" si="43"/>
        <v>3.666602743063696E-2</v>
      </c>
      <c r="CB60" s="1">
        <f t="shared" ca="1" si="44"/>
        <v>297</v>
      </c>
      <c r="CC60" s="1">
        <f t="shared" ca="1" si="45"/>
        <v>11</v>
      </c>
      <c r="CD60" s="1">
        <f t="shared" ca="1" si="46"/>
        <v>0.28575734881137099</v>
      </c>
      <c r="CE60" s="1">
        <f t="shared" ca="1" si="56"/>
        <v>0.88435281975967117</v>
      </c>
      <c r="CF60" s="1">
        <f t="shared" ca="1" si="56"/>
        <v>0.92403298354575258</v>
      </c>
      <c r="CH60" s="3">
        <f t="shared" ca="1" si="48"/>
        <v>5.6971062377284311E-2</v>
      </c>
      <c r="CI60" s="3">
        <f t="shared" ca="1" si="49"/>
        <v>0.48762345606335655</v>
      </c>
      <c r="CJ60" s="3">
        <f t="shared" ca="1" si="50"/>
        <v>210</v>
      </c>
      <c r="CK60" s="3">
        <f t="shared" ca="1" si="51"/>
        <v>7.0437095152102291E-3</v>
      </c>
      <c r="CL60" s="3">
        <f t="shared" ca="1" si="52"/>
        <v>0</v>
      </c>
      <c r="CM60" s="3"/>
      <c r="CN60" s="1">
        <f t="shared" ca="1" si="53"/>
        <v>14.87502848320797</v>
      </c>
      <c r="CO60" s="1">
        <f t="shared" ca="1" si="54"/>
        <v>0.18632474853267852</v>
      </c>
      <c r="CP60" s="1">
        <f t="shared" ca="1" si="55"/>
        <v>3</v>
      </c>
    </row>
    <row r="61" spans="2:94" x14ac:dyDescent="0.25">
      <c r="B61">
        <f t="shared" ca="1" si="0"/>
        <v>297</v>
      </c>
      <c r="C61">
        <f t="shared" ca="1" si="1"/>
        <v>52</v>
      </c>
      <c r="D61">
        <f t="shared" ca="1" si="2"/>
        <v>0.24162475037135786</v>
      </c>
      <c r="F61" s="1">
        <f t="shared" ca="1" si="3"/>
        <v>34</v>
      </c>
      <c r="G61" s="1">
        <f t="shared" ca="1" si="4"/>
        <v>26</v>
      </c>
      <c r="H61" s="1">
        <f t="shared" ca="1" si="5"/>
        <v>7</v>
      </c>
      <c r="I61" s="1"/>
      <c r="J61" s="1">
        <f t="shared" ca="1" si="6"/>
        <v>2</v>
      </c>
      <c r="K61" s="1">
        <f t="shared" ca="1" si="7"/>
        <v>2.7871488995405054</v>
      </c>
      <c r="L61" s="1">
        <f t="shared" ca="1" si="8"/>
        <v>12</v>
      </c>
      <c r="M61" s="1"/>
      <c r="N61" s="1">
        <f t="shared" ca="1" si="9"/>
        <v>238</v>
      </c>
      <c r="O61" s="1">
        <f t="shared" ca="1" si="10"/>
        <v>4</v>
      </c>
      <c r="P61" s="1"/>
      <c r="Q61" s="1">
        <f t="shared" ca="1" si="11"/>
        <v>3.2332644760035683</v>
      </c>
      <c r="R61" s="1">
        <f t="shared" ca="1" si="12"/>
        <v>994</v>
      </c>
      <c r="S61" s="1"/>
      <c r="T61" s="1">
        <f t="shared" ca="1" si="13"/>
        <v>7.5783643791006522E-2</v>
      </c>
      <c r="U61" s="1">
        <f t="shared" ca="1" si="14"/>
        <v>237</v>
      </c>
      <c r="V61" s="1">
        <f t="shared" ca="1" si="15"/>
        <v>51</v>
      </c>
      <c r="W61" s="1"/>
      <c r="X61" s="1">
        <f t="shared" ca="1" si="16"/>
        <v>8.8827077363927121</v>
      </c>
      <c r="Y61" s="1">
        <f t="shared" ca="1" si="17"/>
        <v>9.3081797430825508E-2</v>
      </c>
      <c r="Z61" s="1">
        <f t="shared" ca="1" si="18"/>
        <v>1945</v>
      </c>
      <c r="AB61" s="1">
        <f t="shared" ca="1" si="19"/>
        <v>0.73216833592546549</v>
      </c>
      <c r="AC61" s="1">
        <f t="shared" ca="1" si="20"/>
        <v>551</v>
      </c>
      <c r="AD61" s="1">
        <f t="shared" ca="1" si="21"/>
        <v>1.4345059088514385E-3</v>
      </c>
      <c r="AE61" s="1"/>
      <c r="AF61" s="1">
        <f t="shared" ca="1" si="22"/>
        <v>0.38654327994628024</v>
      </c>
      <c r="AG61" s="1">
        <f t="shared" ca="1" si="23"/>
        <v>153</v>
      </c>
      <c r="AH61" s="1">
        <f t="shared" ca="1" si="24"/>
        <v>3.1863774771644406E-3</v>
      </c>
      <c r="AJ61" s="1">
        <f t="shared" ca="1" si="25"/>
        <v>0.80430601571438809</v>
      </c>
      <c r="AK61" s="1">
        <f t="shared" ca="1" si="26"/>
        <v>8.9645495319080511E-3</v>
      </c>
      <c r="AL61" s="1"/>
      <c r="AM61" s="1">
        <f t="shared" ca="1" si="27"/>
        <v>0.18947030796306558</v>
      </c>
      <c r="AN61" s="1">
        <f t="shared" ca="1" si="28"/>
        <v>41</v>
      </c>
      <c r="AO61" s="1">
        <f t="shared" ca="1" si="29"/>
        <v>9</v>
      </c>
      <c r="AQ61" s="1">
        <f t="shared" ca="1" si="30"/>
        <v>70</v>
      </c>
      <c r="AR61" s="1">
        <f t="shared" ca="1" si="31"/>
        <v>4</v>
      </c>
      <c r="AS61" s="1">
        <f t="shared" ca="1" si="32"/>
        <v>73</v>
      </c>
      <c r="AU61" s="1">
        <f t="shared" ca="1" si="33"/>
        <v>66</v>
      </c>
      <c r="AV61" s="1">
        <f t="shared" ca="1" si="34"/>
        <v>5</v>
      </c>
      <c r="AW61" s="1">
        <f t="shared" ca="1" si="35"/>
        <v>0.11135288263207707</v>
      </c>
      <c r="AY61" s="1">
        <f t="shared" ca="1" si="36"/>
        <v>1.8788022937586475</v>
      </c>
      <c r="AZ61" s="1">
        <f t="shared" ca="1" si="37"/>
        <v>381</v>
      </c>
      <c r="BA61" s="1">
        <f t="shared" ca="1" si="38"/>
        <v>1.3313120269175238E-3</v>
      </c>
      <c r="BV61" s="1">
        <f t="shared" ca="1" si="39"/>
        <v>0.36857336002247271</v>
      </c>
      <c r="BW61" s="1">
        <f t="shared" ca="1" si="40"/>
        <v>371</v>
      </c>
      <c r="BX61" s="1">
        <f t="shared" ca="1" si="41"/>
        <v>2.3972179261544961E-3</v>
      </c>
      <c r="BY61" s="1">
        <f t="shared" ca="1" si="42"/>
        <v>6.796940132721993E-2</v>
      </c>
      <c r="BZ61" s="1">
        <f t="shared" ca="1" si="43"/>
        <v>0.33513596905740983</v>
      </c>
      <c r="CB61" s="1">
        <f t="shared" ca="1" si="44"/>
        <v>238</v>
      </c>
      <c r="CC61" s="1">
        <f t="shared" ca="1" si="45"/>
        <v>4</v>
      </c>
      <c r="CD61" s="1">
        <f t="shared" ca="1" si="46"/>
        <v>0.18695925112774389</v>
      </c>
      <c r="CE61" s="1">
        <f t="shared" ca="1" si="56"/>
        <v>0.91538965706247233</v>
      </c>
      <c r="CF61" s="1">
        <f t="shared" ca="1" si="56"/>
        <v>0.75722528529088651</v>
      </c>
      <c r="CH61" s="3">
        <f t="shared" ca="1" si="48"/>
        <v>0.20932076848495401</v>
      </c>
      <c r="CI61" s="3">
        <f t="shared" ca="1" si="49"/>
        <v>0.12779370736575604</v>
      </c>
      <c r="CJ61" s="3">
        <f t="shared" ca="1" si="50"/>
        <v>294</v>
      </c>
      <c r="CK61" s="3">
        <f t="shared" ca="1" si="51"/>
        <v>3.2684495166177556E-3</v>
      </c>
      <c r="CL61" s="3">
        <f t="shared" ca="1" si="52"/>
        <v>1</v>
      </c>
      <c r="CM61" s="3"/>
      <c r="CN61" s="1">
        <f t="shared" ca="1" si="53"/>
        <v>16.52139764291136</v>
      </c>
      <c r="CO61" s="1">
        <f t="shared" ca="1" si="54"/>
        <v>0.18324596017847394</v>
      </c>
      <c r="CP61" s="1">
        <f t="shared" ca="1" si="55"/>
        <v>3</v>
      </c>
    </row>
    <row r="62" spans="2:94" x14ac:dyDescent="0.25">
      <c r="B62">
        <f t="shared" ca="1" si="0"/>
        <v>699</v>
      </c>
      <c r="C62">
        <f t="shared" ca="1" si="1"/>
        <v>45</v>
      </c>
      <c r="D62">
        <f t="shared" ca="1" si="2"/>
        <v>8.1515975677619687E-2</v>
      </c>
      <c r="F62" s="1">
        <f t="shared" ca="1" si="3"/>
        <v>7</v>
      </c>
      <c r="G62" s="1">
        <f t="shared" ca="1" si="4"/>
        <v>22</v>
      </c>
      <c r="H62" s="1">
        <f t="shared" ca="1" si="5"/>
        <v>5</v>
      </c>
      <c r="I62" s="1"/>
      <c r="J62" s="1">
        <f t="shared" ca="1" si="6"/>
        <v>13</v>
      </c>
      <c r="K62" s="1">
        <f t="shared" ca="1" si="7"/>
        <v>1.6426872052451864</v>
      </c>
      <c r="L62" s="1">
        <f t="shared" ca="1" si="8"/>
        <v>19</v>
      </c>
      <c r="M62" s="1"/>
      <c r="N62" s="1">
        <f t="shared" ca="1" si="9"/>
        <v>787</v>
      </c>
      <c r="O62" s="1">
        <f t="shared" ca="1" si="10"/>
        <v>47</v>
      </c>
      <c r="P62" s="1"/>
      <c r="Q62" s="1">
        <f t="shared" ca="1" si="11"/>
        <v>1.6783695312145543</v>
      </c>
      <c r="R62" s="1">
        <f t="shared" ca="1" si="12"/>
        <v>799</v>
      </c>
      <c r="S62" s="1"/>
      <c r="T62" s="1">
        <f t="shared" ca="1" si="13"/>
        <v>4.9281645906213895E-2</v>
      </c>
      <c r="U62" s="1">
        <f t="shared" ca="1" si="14"/>
        <v>93</v>
      </c>
      <c r="V62" s="1">
        <f t="shared" ca="1" si="15"/>
        <v>44</v>
      </c>
      <c r="W62" s="1"/>
      <c r="X62" s="1">
        <f t="shared" ca="1" si="16"/>
        <v>3.3624403660105666</v>
      </c>
      <c r="Y62" s="1">
        <f t="shared" ca="1" si="17"/>
        <v>0.70908002853348584</v>
      </c>
      <c r="Z62" s="1">
        <f t="shared" ca="1" si="18"/>
        <v>1466</v>
      </c>
      <c r="AB62" s="1">
        <f t="shared" ca="1" si="19"/>
        <v>0.30915749972034212</v>
      </c>
      <c r="AC62" s="1">
        <f t="shared" ca="1" si="20"/>
        <v>167</v>
      </c>
      <c r="AD62" s="1">
        <f t="shared" ca="1" si="21"/>
        <v>2.1782094977163403E-3</v>
      </c>
      <c r="AE62" s="1"/>
      <c r="AF62" s="1">
        <f t="shared" ca="1" si="22"/>
        <v>0.53669717131101169</v>
      </c>
      <c r="AG62" s="1">
        <f t="shared" ca="1" si="23"/>
        <v>310</v>
      </c>
      <c r="AH62" s="1">
        <f t="shared" ca="1" si="24"/>
        <v>7.5894235253999194E-3</v>
      </c>
      <c r="AJ62" s="1">
        <f t="shared" ca="1" si="25"/>
        <v>0.96733035460406214</v>
      </c>
      <c r="AK62" s="1">
        <f t="shared" ca="1" si="26"/>
        <v>5.6421085588654186E-4</v>
      </c>
      <c r="AL62" s="1"/>
      <c r="AM62" s="1">
        <f t="shared" ca="1" si="27"/>
        <v>0.10543833103718005</v>
      </c>
      <c r="AN62" s="1">
        <f t="shared" ca="1" si="28"/>
        <v>57</v>
      </c>
      <c r="AO62" s="1">
        <f t="shared" ca="1" si="29"/>
        <v>6</v>
      </c>
      <c r="AQ62" s="1">
        <f t="shared" ca="1" si="30"/>
        <v>177</v>
      </c>
      <c r="AR62" s="1">
        <f t="shared" ca="1" si="31"/>
        <v>5</v>
      </c>
      <c r="AS62" s="1">
        <f t="shared" ca="1" si="32"/>
        <v>43</v>
      </c>
      <c r="AU62" s="1">
        <f t="shared" ca="1" si="33"/>
        <v>193</v>
      </c>
      <c r="AV62" s="1">
        <f t="shared" ca="1" si="34"/>
        <v>3</v>
      </c>
      <c r="AW62" s="1">
        <f t="shared" ca="1" si="35"/>
        <v>6.4935043672644466E-2</v>
      </c>
      <c r="AY62" s="1">
        <f t="shared" ca="1" si="36"/>
        <v>1.4280071308260456</v>
      </c>
      <c r="AZ62" s="1">
        <f t="shared" ca="1" si="37"/>
        <v>403</v>
      </c>
      <c r="BA62" s="1">
        <f t="shared" ca="1" si="38"/>
        <v>1.0131110408041148E-3</v>
      </c>
      <c r="BV62" s="1">
        <f t="shared" ca="1" si="39"/>
        <v>0.73796973860429049</v>
      </c>
      <c r="BW62" s="1">
        <f t="shared" ca="1" si="40"/>
        <v>946</v>
      </c>
      <c r="BX62" s="1">
        <f t="shared" ca="1" si="41"/>
        <v>5.3378398739116215E-3</v>
      </c>
      <c r="BY62" s="1">
        <f t="shared" ca="1" si="42"/>
        <v>3.6125367786245137E-2</v>
      </c>
      <c r="BZ62" s="1">
        <f t="shared" ca="1" si="43"/>
        <v>0.64021011853809484</v>
      </c>
      <c r="CB62" s="1">
        <f t="shared" ca="1" si="44"/>
        <v>461</v>
      </c>
      <c r="CC62" s="1">
        <f t="shared" ca="1" si="45"/>
        <v>11</v>
      </c>
      <c r="CD62" s="1">
        <f t="shared" ca="1" si="46"/>
        <v>0.28295905732624538</v>
      </c>
      <c r="CE62" s="1">
        <f t="shared" ca="1" si="56"/>
        <v>0.77046140113223149</v>
      </c>
      <c r="CF62" s="1">
        <f t="shared" ca="1" si="56"/>
        <v>0.81426176096079228</v>
      </c>
      <c r="CH62" s="3">
        <f t="shared" ca="1" si="48"/>
        <v>0.46650581686637393</v>
      </c>
      <c r="CI62" s="3">
        <f t="shared" ca="1" si="49"/>
        <v>0.47039550556088405</v>
      </c>
      <c r="CJ62" s="3">
        <f t="shared" ca="1" si="50"/>
        <v>1615</v>
      </c>
      <c r="CK62" s="3">
        <f t="shared" ca="1" si="51"/>
        <v>9.5707455443971631E-3</v>
      </c>
      <c r="CL62" s="3">
        <f t="shared" ca="1" si="52"/>
        <v>1</v>
      </c>
      <c r="CM62" s="3"/>
      <c r="CN62" s="1">
        <f t="shared" ca="1" si="53"/>
        <v>16.169135156499514</v>
      </c>
      <c r="CO62" s="1">
        <f t="shared" ca="1" si="54"/>
        <v>0.34251332548261976</v>
      </c>
      <c r="CP62" s="1">
        <f t="shared" ca="1" si="55"/>
        <v>1</v>
      </c>
    </row>
    <row r="63" spans="2:94" x14ac:dyDescent="0.25">
      <c r="B63">
        <f t="shared" ca="1" si="0"/>
        <v>855</v>
      </c>
      <c r="C63">
        <f t="shared" ca="1" si="1"/>
        <v>33</v>
      </c>
      <c r="D63">
        <f t="shared" ca="1" si="2"/>
        <v>0.1029650550741173</v>
      </c>
      <c r="F63" s="1">
        <f t="shared" ca="1" si="3"/>
        <v>44</v>
      </c>
      <c r="G63" s="1">
        <f t="shared" ca="1" si="4"/>
        <v>11</v>
      </c>
      <c r="H63" s="1">
        <f t="shared" ca="1" si="5"/>
        <v>2</v>
      </c>
      <c r="I63" s="1"/>
      <c r="J63" s="1">
        <f t="shared" ca="1" si="6"/>
        <v>25</v>
      </c>
      <c r="K63" s="1">
        <f t="shared" ca="1" si="7"/>
        <v>2.3413598452355897</v>
      </c>
      <c r="L63" s="1">
        <f t="shared" ca="1" si="8"/>
        <v>5</v>
      </c>
      <c r="M63" s="1"/>
      <c r="N63" s="1">
        <f t="shared" ca="1" si="9"/>
        <v>403</v>
      </c>
      <c r="O63" s="1">
        <f t="shared" ca="1" si="10"/>
        <v>8</v>
      </c>
      <c r="P63" s="1"/>
      <c r="Q63" s="1">
        <f t="shared" ca="1" si="11"/>
        <v>2.6714985807931111</v>
      </c>
      <c r="R63" s="1">
        <f t="shared" ca="1" si="12"/>
        <v>340</v>
      </c>
      <c r="S63" s="1"/>
      <c r="T63" s="1">
        <f t="shared" ca="1" si="13"/>
        <v>0.13958622497184747</v>
      </c>
      <c r="U63" s="1">
        <f t="shared" ca="1" si="14"/>
        <v>276</v>
      </c>
      <c r="V63" s="1">
        <f t="shared" ca="1" si="15"/>
        <v>44</v>
      </c>
      <c r="W63" s="1"/>
      <c r="X63" s="1">
        <f t="shared" ca="1" si="16"/>
        <v>7.6982851631091789</v>
      </c>
      <c r="Y63" s="1">
        <f t="shared" ca="1" si="17"/>
        <v>0.32326922052084739</v>
      </c>
      <c r="Z63" s="1">
        <f t="shared" ca="1" si="18"/>
        <v>1475</v>
      </c>
      <c r="AB63" s="1">
        <f t="shared" ca="1" si="19"/>
        <v>0.40623090077233864</v>
      </c>
      <c r="AC63" s="1">
        <f t="shared" ca="1" si="20"/>
        <v>538</v>
      </c>
      <c r="AD63" s="1">
        <f t="shared" ca="1" si="21"/>
        <v>8.7652766653064183E-3</v>
      </c>
      <c r="AE63" s="1"/>
      <c r="AF63" s="1">
        <f t="shared" ca="1" si="22"/>
        <v>0.16607867835525109</v>
      </c>
      <c r="AG63" s="1">
        <f t="shared" ca="1" si="23"/>
        <v>693</v>
      </c>
      <c r="AH63" s="1">
        <f t="shared" ca="1" si="24"/>
        <v>4.1133821681483751E-3</v>
      </c>
      <c r="AJ63" s="1">
        <f t="shared" ca="1" si="25"/>
        <v>0.79025639754926613</v>
      </c>
      <c r="AK63" s="1">
        <f t="shared" ca="1" si="26"/>
        <v>6.8979983525958649E-4</v>
      </c>
      <c r="AL63" s="1"/>
      <c r="AM63" s="1">
        <f t="shared" ca="1" si="27"/>
        <v>1.6711740291739389E-2</v>
      </c>
      <c r="AN63" s="1">
        <f t="shared" ca="1" si="28"/>
        <v>16</v>
      </c>
      <c r="AO63" s="1">
        <f t="shared" ca="1" si="29"/>
        <v>8</v>
      </c>
      <c r="AQ63" s="1">
        <f t="shared" ca="1" si="30"/>
        <v>16</v>
      </c>
      <c r="AR63" s="1">
        <f t="shared" ca="1" si="31"/>
        <v>5</v>
      </c>
      <c r="AS63" s="1">
        <f t="shared" ca="1" si="32"/>
        <v>43</v>
      </c>
      <c r="AU63" s="1">
        <f t="shared" ca="1" si="33"/>
        <v>221</v>
      </c>
      <c r="AV63" s="1">
        <f t="shared" ca="1" si="34"/>
        <v>10</v>
      </c>
      <c r="AW63" s="1">
        <f t="shared" ca="1" si="35"/>
        <v>0.19931242559460088</v>
      </c>
      <c r="AY63" s="1">
        <f t="shared" ca="1" si="36"/>
        <v>1.5463783828949842</v>
      </c>
      <c r="AZ63" s="1">
        <f t="shared" ca="1" si="37"/>
        <v>174</v>
      </c>
      <c r="BA63" s="1">
        <f t="shared" ca="1" si="38"/>
        <v>7.9148686344919419E-3</v>
      </c>
      <c r="BV63" s="1">
        <f t="shared" ca="1" si="39"/>
        <v>0.14411137162573878</v>
      </c>
      <c r="BW63" s="1">
        <f t="shared" ca="1" si="40"/>
        <v>466</v>
      </c>
      <c r="BX63" s="1">
        <f t="shared" ca="1" si="41"/>
        <v>6.1179497687078735E-3</v>
      </c>
      <c r="BY63" s="1">
        <f t="shared" ca="1" si="42"/>
        <v>2.418664294555015E-2</v>
      </c>
      <c r="BZ63" s="1">
        <f t="shared" ca="1" si="43"/>
        <v>0.28805362237514265</v>
      </c>
      <c r="CB63" s="1">
        <f t="shared" ca="1" si="44"/>
        <v>98</v>
      </c>
      <c r="CC63" s="1">
        <f t="shared" ca="1" si="45"/>
        <v>9</v>
      </c>
      <c r="CD63" s="1">
        <f t="shared" ca="1" si="46"/>
        <v>3.7836280230454093E-2</v>
      </c>
      <c r="CE63" s="1">
        <f t="shared" ca="1" si="56"/>
        <v>0.99874558926877777</v>
      </c>
      <c r="CF63" s="1">
        <f t="shared" ca="1" si="56"/>
        <v>0.72283100079298745</v>
      </c>
      <c r="CH63" s="3">
        <f t="shared" ca="1" si="48"/>
        <v>0.18182181395589755</v>
      </c>
      <c r="CI63" s="3">
        <f t="shared" ca="1" si="49"/>
        <v>0.40516500746811634</v>
      </c>
      <c r="CJ63" s="3">
        <f t="shared" ca="1" si="50"/>
        <v>603</v>
      </c>
      <c r="CK63" s="3">
        <f t="shared" ca="1" si="51"/>
        <v>1.612867194913496E-3</v>
      </c>
      <c r="CL63" s="3">
        <f t="shared" ca="1" si="52"/>
        <v>1</v>
      </c>
      <c r="CM63" s="3"/>
      <c r="CN63" s="1">
        <f t="shared" ca="1" si="53"/>
        <v>16.384356042897625</v>
      </c>
      <c r="CO63" s="1">
        <f t="shared" ca="1" si="54"/>
        <v>0.4391883383340745</v>
      </c>
      <c r="CP63" s="1">
        <f t="shared" ca="1" si="55"/>
        <v>4</v>
      </c>
    </row>
    <row r="64" spans="2:94" x14ac:dyDescent="0.25">
      <c r="B64">
        <f t="shared" ca="1" si="0"/>
        <v>967</v>
      </c>
      <c r="C64">
        <f t="shared" ca="1" si="1"/>
        <v>47</v>
      </c>
      <c r="D64">
        <f t="shared" ca="1" si="2"/>
        <v>0.15883139897560644</v>
      </c>
      <c r="F64" s="1">
        <f t="shared" ca="1" si="3"/>
        <v>28</v>
      </c>
      <c r="G64" s="1">
        <f t="shared" ca="1" si="4"/>
        <v>11</v>
      </c>
      <c r="H64" s="1">
        <f t="shared" ca="1" si="5"/>
        <v>4</v>
      </c>
      <c r="I64" s="1"/>
      <c r="J64" s="1">
        <f t="shared" ca="1" si="6"/>
        <v>34</v>
      </c>
      <c r="K64" s="1">
        <f t="shared" ca="1" si="7"/>
        <v>2.0450272656908641</v>
      </c>
      <c r="L64" s="1">
        <f t="shared" ca="1" si="8"/>
        <v>3</v>
      </c>
      <c r="M64" s="1"/>
      <c r="N64" s="1">
        <f t="shared" ca="1" si="9"/>
        <v>55</v>
      </c>
      <c r="O64" s="1">
        <f t="shared" ca="1" si="10"/>
        <v>40</v>
      </c>
      <c r="P64" s="1"/>
      <c r="Q64" s="1">
        <f t="shared" ca="1" si="11"/>
        <v>2.2224295488321455</v>
      </c>
      <c r="R64" s="1">
        <f t="shared" ca="1" si="12"/>
        <v>738</v>
      </c>
      <c r="S64" s="1"/>
      <c r="T64" s="1">
        <f t="shared" ca="1" si="13"/>
        <v>0.11549634010043124</v>
      </c>
      <c r="U64" s="1">
        <f t="shared" ca="1" si="14"/>
        <v>250</v>
      </c>
      <c r="V64" s="1">
        <f t="shared" ca="1" si="15"/>
        <v>20</v>
      </c>
      <c r="W64" s="1"/>
      <c r="X64" s="1">
        <f t="shared" ca="1" si="16"/>
        <v>5.7789249152150406</v>
      </c>
      <c r="Y64" s="1">
        <f t="shared" ca="1" si="17"/>
        <v>0.86233353911310862</v>
      </c>
      <c r="Z64" s="1">
        <f t="shared" ca="1" si="18"/>
        <v>1385</v>
      </c>
      <c r="AB64" s="1">
        <f t="shared" ca="1" si="19"/>
        <v>0.58127730412199086</v>
      </c>
      <c r="AC64" s="1">
        <f t="shared" ca="1" si="20"/>
        <v>846</v>
      </c>
      <c r="AD64" s="1">
        <f t="shared" ca="1" si="21"/>
        <v>5.5686739837710851E-3</v>
      </c>
      <c r="AE64" s="1"/>
      <c r="AF64" s="1">
        <f t="shared" ca="1" si="22"/>
        <v>0.40170519823862927</v>
      </c>
      <c r="AG64" s="1">
        <f t="shared" ca="1" si="23"/>
        <v>158</v>
      </c>
      <c r="AH64" s="1">
        <f t="shared" ca="1" si="24"/>
        <v>8.6946802983752045E-3</v>
      </c>
      <c r="AJ64" s="1">
        <f t="shared" ca="1" si="25"/>
        <v>0.10162686282524935</v>
      </c>
      <c r="AK64" s="1">
        <f t="shared" ca="1" si="26"/>
        <v>9.9110481092074074E-3</v>
      </c>
      <c r="AL64" s="1"/>
      <c r="AM64" s="1">
        <f t="shared" ca="1" si="27"/>
        <v>0.17243109917601784</v>
      </c>
      <c r="AN64" s="1">
        <f t="shared" ca="1" si="28"/>
        <v>19</v>
      </c>
      <c r="AO64" s="1">
        <f t="shared" ca="1" si="29"/>
        <v>16</v>
      </c>
      <c r="AQ64" s="1">
        <f t="shared" ca="1" si="30"/>
        <v>49</v>
      </c>
      <c r="AR64" s="1">
        <f t="shared" ca="1" si="31"/>
        <v>0</v>
      </c>
      <c r="AS64" s="1">
        <f t="shared" ca="1" si="32"/>
        <v>37</v>
      </c>
      <c r="AU64" s="1">
        <f t="shared" ca="1" si="33"/>
        <v>64</v>
      </c>
      <c r="AV64" s="1">
        <f t="shared" ca="1" si="34"/>
        <v>3</v>
      </c>
      <c r="AW64" s="1">
        <f t="shared" ca="1" si="35"/>
        <v>0.1934966838249442</v>
      </c>
      <c r="AY64" s="1">
        <f t="shared" ca="1" si="36"/>
        <v>1.1598468399818413</v>
      </c>
      <c r="AZ64" s="1">
        <f t="shared" ca="1" si="37"/>
        <v>236</v>
      </c>
      <c r="BA64" s="1">
        <f t="shared" ca="1" si="38"/>
        <v>9.878605128862147E-3</v>
      </c>
      <c r="BV64" s="1">
        <f t="shared" ca="1" si="39"/>
        <v>0.84036280831691912</v>
      </c>
      <c r="BW64" s="1">
        <f t="shared" ca="1" si="40"/>
        <v>514</v>
      </c>
      <c r="BX64" s="1">
        <f t="shared" ca="1" si="41"/>
        <v>7.3108389478692935E-3</v>
      </c>
      <c r="BY64" s="1">
        <f t="shared" ca="1" si="42"/>
        <v>7.8619336510526813E-2</v>
      </c>
      <c r="BZ64" s="1">
        <f t="shared" ca="1" si="43"/>
        <v>0.69359179872264465</v>
      </c>
      <c r="CB64" s="1">
        <f t="shared" ca="1" si="44"/>
        <v>348</v>
      </c>
      <c r="CC64" s="1">
        <f t="shared" ca="1" si="45"/>
        <v>14</v>
      </c>
      <c r="CD64" s="1">
        <f t="shared" ca="1" si="46"/>
        <v>0.21186118649380065</v>
      </c>
      <c r="CE64" s="1">
        <f t="shared" ca="1" si="56"/>
        <v>0.53582458414233636</v>
      </c>
      <c r="CF64" s="1">
        <f t="shared" ca="1" si="56"/>
        <v>0.74534622858505251</v>
      </c>
      <c r="CH64" s="3">
        <f t="shared" ca="1" si="48"/>
        <v>0.94367675810518159</v>
      </c>
      <c r="CI64" s="3">
        <f t="shared" ca="1" si="49"/>
        <v>0.78581258778703034</v>
      </c>
      <c r="CJ64" s="3">
        <f t="shared" ca="1" si="50"/>
        <v>166</v>
      </c>
      <c r="CK64" s="3">
        <f t="shared" ca="1" si="51"/>
        <v>2.2257094765487837E-3</v>
      </c>
      <c r="CL64" s="3">
        <f t="shared" ca="1" si="52"/>
        <v>0</v>
      </c>
      <c r="CM64" s="3"/>
      <c r="CN64" s="1">
        <f t="shared" ca="1" si="53"/>
        <v>9.4299023218275639</v>
      </c>
      <c r="CO64" s="1">
        <f t="shared" ca="1" si="54"/>
        <v>0.46982131400525573</v>
      </c>
      <c r="CP64" s="1">
        <f t="shared" ca="1" si="55"/>
        <v>4</v>
      </c>
    </row>
    <row r="65" spans="2:94" x14ac:dyDescent="0.25">
      <c r="B65">
        <f t="shared" ca="1" si="0"/>
        <v>74</v>
      </c>
      <c r="C65">
        <f t="shared" ca="1" si="1"/>
        <v>27</v>
      </c>
      <c r="D65">
        <f t="shared" ca="1" si="2"/>
        <v>5.5362068151705357E-2</v>
      </c>
      <c r="F65" s="1">
        <f t="shared" ca="1" si="3"/>
        <v>14</v>
      </c>
      <c r="G65" s="1">
        <f t="shared" ca="1" si="4"/>
        <v>26</v>
      </c>
      <c r="H65" s="1">
        <f t="shared" ca="1" si="5"/>
        <v>13</v>
      </c>
      <c r="I65" s="1"/>
      <c r="J65" s="1">
        <f t="shared" ca="1" si="6"/>
        <v>25</v>
      </c>
      <c r="K65" s="1">
        <f t="shared" ca="1" si="7"/>
        <v>1.0228272288506453</v>
      </c>
      <c r="L65" s="1">
        <f t="shared" ca="1" si="8"/>
        <v>7</v>
      </c>
      <c r="M65" s="1"/>
      <c r="N65" s="1">
        <f t="shared" ca="1" si="9"/>
        <v>532</v>
      </c>
      <c r="O65" s="1">
        <f t="shared" ca="1" si="10"/>
        <v>48</v>
      </c>
      <c r="P65" s="1"/>
      <c r="Q65" s="1">
        <f t="shared" ca="1" si="11"/>
        <v>0.38253184039066446</v>
      </c>
      <c r="R65" s="1">
        <f t="shared" ca="1" si="12"/>
        <v>682</v>
      </c>
      <c r="S65" s="1"/>
      <c r="T65" s="1">
        <f t="shared" ca="1" si="13"/>
        <v>0.10062090766890422</v>
      </c>
      <c r="U65" s="1">
        <f t="shared" ca="1" si="14"/>
        <v>260</v>
      </c>
      <c r="V65" s="1">
        <f t="shared" ca="1" si="15"/>
        <v>43</v>
      </c>
      <c r="W65" s="1"/>
      <c r="X65" s="1">
        <f t="shared" ca="1" si="16"/>
        <v>2.9896444965436744</v>
      </c>
      <c r="Y65" s="1">
        <f t="shared" ca="1" si="17"/>
        <v>0.10674155076187174</v>
      </c>
      <c r="Z65" s="1">
        <f t="shared" ca="1" si="18"/>
        <v>210</v>
      </c>
      <c r="AB65" s="1">
        <f t="shared" ca="1" si="19"/>
        <v>0.9070779409462788</v>
      </c>
      <c r="AC65" s="1">
        <f t="shared" ca="1" si="20"/>
        <v>259</v>
      </c>
      <c r="AD65" s="1">
        <f t="shared" ca="1" si="21"/>
        <v>8.8665483832449897E-3</v>
      </c>
      <c r="AE65" s="1"/>
      <c r="AF65" s="1">
        <f t="shared" ca="1" si="22"/>
        <v>0.28614676465697886</v>
      </c>
      <c r="AG65" s="1">
        <f t="shared" ca="1" si="23"/>
        <v>516</v>
      </c>
      <c r="AH65" s="1">
        <f t="shared" ca="1" si="24"/>
        <v>5.9171392945972642E-3</v>
      </c>
      <c r="AJ65" s="1">
        <f t="shared" ca="1" si="25"/>
        <v>4.6321584562511342E-2</v>
      </c>
      <c r="AK65" s="1">
        <f t="shared" ca="1" si="26"/>
        <v>3.1143971659228962E-3</v>
      </c>
      <c r="AL65" s="1"/>
      <c r="AM65" s="1">
        <f t="shared" ca="1" si="27"/>
        <v>7.1369297674975128E-3</v>
      </c>
      <c r="AN65" s="1">
        <f t="shared" ca="1" si="28"/>
        <v>52</v>
      </c>
      <c r="AO65" s="1">
        <f t="shared" ca="1" si="29"/>
        <v>1</v>
      </c>
      <c r="AQ65" s="1">
        <f t="shared" ca="1" si="30"/>
        <v>30</v>
      </c>
      <c r="AR65" s="1">
        <f t="shared" ca="1" si="31"/>
        <v>10</v>
      </c>
      <c r="AS65" s="1">
        <f t="shared" ca="1" si="32"/>
        <v>87</v>
      </c>
      <c r="AU65" s="1">
        <f t="shared" ca="1" si="33"/>
        <v>101</v>
      </c>
      <c r="AV65" s="1">
        <f t="shared" ca="1" si="34"/>
        <v>3</v>
      </c>
      <c r="AW65" s="1">
        <f t="shared" ca="1" si="35"/>
        <v>1.1406194502397033E-2</v>
      </c>
      <c r="AY65" s="1">
        <f t="shared" ca="1" si="36"/>
        <v>1.8991275982307292</v>
      </c>
      <c r="AZ65" s="1">
        <f t="shared" ca="1" si="37"/>
        <v>146</v>
      </c>
      <c r="BA65" s="1">
        <f t="shared" ca="1" si="38"/>
        <v>5.3764454355567735E-3</v>
      </c>
      <c r="BV65" s="1">
        <f t="shared" ca="1" si="39"/>
        <v>0.56089018865154106</v>
      </c>
      <c r="BW65" s="1">
        <f t="shared" ca="1" si="40"/>
        <v>707</v>
      </c>
      <c r="BX65" s="1">
        <f t="shared" ca="1" si="41"/>
        <v>3.3155653606821815E-3</v>
      </c>
      <c r="BY65" s="1">
        <f t="shared" ca="1" si="42"/>
        <v>5.4840054461084274E-2</v>
      </c>
      <c r="BZ65" s="1">
        <f t="shared" ca="1" si="43"/>
        <v>0.94702447887656804</v>
      </c>
      <c r="CB65" s="1">
        <f t="shared" ca="1" si="44"/>
        <v>313</v>
      </c>
      <c r="CC65" s="1">
        <f t="shared" ca="1" si="45"/>
        <v>11</v>
      </c>
      <c r="CD65" s="1">
        <f t="shared" ca="1" si="46"/>
        <v>0.16410995758356187</v>
      </c>
      <c r="CE65" s="1">
        <f t="shared" ca="1" si="56"/>
        <v>0.92859882448115361</v>
      </c>
      <c r="CF65" s="1">
        <f t="shared" ca="1" si="56"/>
        <v>0.82463966107421482</v>
      </c>
      <c r="CH65" s="3">
        <f t="shared" ca="1" si="48"/>
        <v>6.2338311766505922E-2</v>
      </c>
      <c r="CI65" s="3">
        <f t="shared" ca="1" si="49"/>
        <v>0.7001519023503725</v>
      </c>
      <c r="CJ65" s="3">
        <f t="shared" ca="1" si="50"/>
        <v>1878</v>
      </c>
      <c r="CK65" s="3">
        <f t="shared" ca="1" si="51"/>
        <v>2.5977390599446664E-3</v>
      </c>
      <c r="CL65" s="3">
        <f t="shared" ca="1" si="52"/>
        <v>0</v>
      </c>
      <c r="CM65" s="3"/>
      <c r="CN65" s="1">
        <f t="shared" ca="1" si="53"/>
        <v>16.192458356221028</v>
      </c>
      <c r="CO65" s="1">
        <f t="shared" ca="1" si="54"/>
        <v>0.44333067394774345</v>
      </c>
      <c r="CP65" s="1">
        <f t="shared" ca="1" si="55"/>
        <v>3</v>
      </c>
    </row>
    <row r="66" spans="2:94" x14ac:dyDescent="0.25">
      <c r="B66">
        <f t="shared" ca="1" si="0"/>
        <v>717</v>
      </c>
      <c r="C66">
        <f t="shared" ca="1" si="1"/>
        <v>39</v>
      </c>
      <c r="D66">
        <f t="shared" ca="1" si="2"/>
        <v>0.20265783475561827</v>
      </c>
      <c r="F66" s="1">
        <f t="shared" ca="1" si="3"/>
        <v>2</v>
      </c>
      <c r="G66" s="1">
        <f t="shared" ca="1" si="4"/>
        <v>13</v>
      </c>
      <c r="H66" s="1">
        <f t="shared" ca="1" si="5"/>
        <v>12</v>
      </c>
      <c r="I66" s="1"/>
      <c r="J66" s="1">
        <f t="shared" ca="1" si="6"/>
        <v>34</v>
      </c>
      <c r="K66" s="1">
        <f t="shared" ca="1" si="7"/>
        <v>2.6023931118295183</v>
      </c>
      <c r="L66" s="1">
        <f t="shared" ca="1" si="8"/>
        <v>34</v>
      </c>
      <c r="M66" s="1"/>
      <c r="N66" s="1">
        <f t="shared" ca="1" si="9"/>
        <v>104</v>
      </c>
      <c r="O66" s="1">
        <f t="shared" ca="1" si="10"/>
        <v>30</v>
      </c>
      <c r="P66" s="1"/>
      <c r="Q66" s="1">
        <f t="shared" ca="1" si="11"/>
        <v>4.0242462835599531</v>
      </c>
      <c r="R66" s="1">
        <f t="shared" ca="1" si="12"/>
        <v>477</v>
      </c>
      <c r="S66" s="1"/>
      <c r="T66" s="1">
        <f t="shared" ca="1" si="13"/>
        <v>9.9160255356456908E-2</v>
      </c>
      <c r="U66" s="1">
        <f t="shared" ca="1" si="14"/>
        <v>446</v>
      </c>
      <c r="V66" s="1">
        <f t="shared" ca="1" si="15"/>
        <v>13</v>
      </c>
      <c r="W66" s="1"/>
      <c r="X66" s="1">
        <f t="shared" ca="1" si="16"/>
        <v>2.8478633428716753</v>
      </c>
      <c r="Y66" s="1">
        <f t="shared" ca="1" si="17"/>
        <v>0.188237924749632</v>
      </c>
      <c r="Z66" s="1">
        <f t="shared" ca="1" si="18"/>
        <v>580</v>
      </c>
      <c r="AB66" s="1">
        <f t="shared" ca="1" si="19"/>
        <v>0.56112843178829652</v>
      </c>
      <c r="AC66" s="1">
        <f t="shared" ca="1" si="20"/>
        <v>236</v>
      </c>
      <c r="AD66" s="1">
        <f t="shared" ca="1" si="21"/>
        <v>3.0096048607202801E-3</v>
      </c>
      <c r="AE66" s="1"/>
      <c r="AF66" s="1">
        <f t="shared" ca="1" si="22"/>
        <v>0.68998312780251492</v>
      </c>
      <c r="AG66" s="1">
        <f t="shared" ca="1" si="23"/>
        <v>926</v>
      </c>
      <c r="AH66" s="1">
        <f t="shared" ca="1" si="24"/>
        <v>1.4874657092073394E-3</v>
      </c>
      <c r="AJ66" s="1">
        <f t="shared" ca="1" si="25"/>
        <v>0.43710961379995994</v>
      </c>
      <c r="AK66" s="1">
        <f t="shared" ca="1" si="26"/>
        <v>7.8607022387172463E-3</v>
      </c>
      <c r="AL66" s="1"/>
      <c r="AM66" s="1">
        <f t="shared" ca="1" si="27"/>
        <v>9.1186842137170002E-2</v>
      </c>
      <c r="AN66" s="1">
        <f t="shared" ca="1" si="28"/>
        <v>77</v>
      </c>
      <c r="AO66" s="1">
        <f t="shared" ca="1" si="29"/>
        <v>10</v>
      </c>
      <c r="AQ66" s="1">
        <f t="shared" ca="1" si="30"/>
        <v>134</v>
      </c>
      <c r="AR66" s="1">
        <f t="shared" ca="1" si="31"/>
        <v>9</v>
      </c>
      <c r="AS66" s="1">
        <f t="shared" ca="1" si="32"/>
        <v>78</v>
      </c>
      <c r="AU66" s="1">
        <f t="shared" ca="1" si="33"/>
        <v>133</v>
      </c>
      <c r="AV66" s="1">
        <f t="shared" ca="1" si="34"/>
        <v>10</v>
      </c>
      <c r="AW66" s="1">
        <f t="shared" ca="1" si="35"/>
        <v>9.72378603408732E-2</v>
      </c>
      <c r="AY66" s="1">
        <f t="shared" ca="1" si="36"/>
        <v>1.2250882129070335</v>
      </c>
      <c r="AZ66" s="1">
        <f t="shared" ca="1" si="37"/>
        <v>500</v>
      </c>
      <c r="BA66" s="1">
        <f t="shared" ca="1" si="38"/>
        <v>8.829274471551565E-3</v>
      </c>
      <c r="BV66" s="1">
        <f t="shared" ca="1" si="39"/>
        <v>3.1951304138186053E-2</v>
      </c>
      <c r="BW66" s="1">
        <f t="shared" ca="1" si="40"/>
        <v>661</v>
      </c>
      <c r="BX66" s="1">
        <f t="shared" ca="1" si="41"/>
        <v>2.6429774032318194E-3</v>
      </c>
      <c r="BY66" s="1">
        <f t="shared" ca="1" si="42"/>
        <v>6.6794270206321546E-2</v>
      </c>
      <c r="BZ66" s="1">
        <f t="shared" ca="1" si="43"/>
        <v>4.4556600203159324E-2</v>
      </c>
      <c r="CB66" s="1">
        <f t="shared" ca="1" si="44"/>
        <v>403</v>
      </c>
      <c r="CC66" s="1">
        <f t="shared" ca="1" si="45"/>
        <v>14</v>
      </c>
      <c r="CD66" s="1">
        <f t="shared" ca="1" si="46"/>
        <v>0.23121377657206729</v>
      </c>
      <c r="CE66" s="1">
        <f t="shared" ca="1" si="56"/>
        <v>0.9575387951546448</v>
      </c>
      <c r="CF66" s="1">
        <f t="shared" ca="1" si="56"/>
        <v>0.58603416628452498</v>
      </c>
      <c r="CH66" s="3">
        <f t="shared" ca="1" si="48"/>
        <v>0.66142602473553591</v>
      </c>
      <c r="CI66" s="3">
        <f t="shared" ca="1" si="49"/>
        <v>0.52289334979855884</v>
      </c>
      <c r="CJ66" s="3">
        <f t="shared" ca="1" si="50"/>
        <v>1072</v>
      </c>
      <c r="CK66" s="3">
        <f t="shared" ca="1" si="51"/>
        <v>8.3040998645115393E-3</v>
      </c>
      <c r="CL66" s="3">
        <f t="shared" ca="1" si="52"/>
        <v>0</v>
      </c>
      <c r="CM66" s="3"/>
      <c r="CN66" s="1">
        <f t="shared" ca="1" si="53"/>
        <v>17.168661248312844</v>
      </c>
      <c r="CO66" s="1">
        <f t="shared" ca="1" si="54"/>
        <v>0.31338708447973773</v>
      </c>
      <c r="CP66" s="1">
        <f t="shared" ca="1" si="55"/>
        <v>5</v>
      </c>
    </row>
    <row r="67" spans="2:94" x14ac:dyDescent="0.25">
      <c r="B67">
        <f t="shared" ca="1" si="0"/>
        <v>242</v>
      </c>
      <c r="C67">
        <f t="shared" ca="1" si="1"/>
        <v>36</v>
      </c>
      <c r="D67">
        <f t="shared" ca="1" si="2"/>
        <v>2.0657751221211239E-2</v>
      </c>
      <c r="F67" s="1">
        <f t="shared" ca="1" si="3"/>
        <v>29</v>
      </c>
      <c r="G67" s="1">
        <f t="shared" ca="1" si="4"/>
        <v>16</v>
      </c>
      <c r="H67" s="1">
        <f t="shared" ca="1" si="5"/>
        <v>1</v>
      </c>
      <c r="I67" s="1"/>
      <c r="J67" s="1">
        <f t="shared" ca="1" si="6"/>
        <v>22</v>
      </c>
      <c r="K67" s="1">
        <f t="shared" ca="1" si="7"/>
        <v>1.3362774999552294</v>
      </c>
      <c r="L67" s="1">
        <f t="shared" ca="1" si="8"/>
        <v>15</v>
      </c>
      <c r="M67" s="1"/>
      <c r="N67" s="1">
        <f t="shared" ca="1" si="9"/>
        <v>239</v>
      </c>
      <c r="O67" s="1">
        <f t="shared" ca="1" si="10"/>
        <v>10</v>
      </c>
      <c r="P67" s="1"/>
      <c r="Q67" s="1">
        <f t="shared" ca="1" si="11"/>
        <v>3.9701964609200946</v>
      </c>
      <c r="R67" s="1">
        <f t="shared" ca="1" si="12"/>
        <v>933</v>
      </c>
      <c r="S67" s="1"/>
      <c r="T67" s="1">
        <f t="shared" ca="1" si="13"/>
        <v>8.4274865683089104E-2</v>
      </c>
      <c r="U67" s="1">
        <f t="shared" ca="1" si="14"/>
        <v>340</v>
      </c>
      <c r="V67" s="1">
        <f t="shared" ca="1" si="15"/>
        <v>8</v>
      </c>
      <c r="W67" s="1"/>
      <c r="X67" s="1">
        <f t="shared" ca="1" si="16"/>
        <v>9.4267290933202776</v>
      </c>
      <c r="Y67" s="1">
        <f t="shared" ca="1" si="17"/>
        <v>0.94342432262307685</v>
      </c>
      <c r="Z67" s="1">
        <f t="shared" ca="1" si="18"/>
        <v>617</v>
      </c>
      <c r="AB67" s="1">
        <f t="shared" ca="1" si="19"/>
        <v>0.52113868396853258</v>
      </c>
      <c r="AC67" s="1">
        <f t="shared" ca="1" si="20"/>
        <v>162</v>
      </c>
      <c r="AD67" s="1">
        <f t="shared" ca="1" si="21"/>
        <v>9.015275495951023E-3</v>
      </c>
      <c r="AE67" s="1"/>
      <c r="AF67" s="1">
        <f t="shared" ca="1" si="22"/>
        <v>0.31370191489827343</v>
      </c>
      <c r="AG67" s="1">
        <f t="shared" ca="1" si="23"/>
        <v>222</v>
      </c>
      <c r="AH67" s="1">
        <f t="shared" ca="1" si="24"/>
        <v>3.0469869285932251E-3</v>
      </c>
      <c r="AJ67" s="1">
        <f t="shared" ca="1" si="25"/>
        <v>0.29834682920909017</v>
      </c>
      <c r="AK67" s="1">
        <f t="shared" ca="1" si="26"/>
        <v>4.2168944866904359E-3</v>
      </c>
      <c r="AL67" s="1"/>
      <c r="AM67" s="1">
        <f t="shared" ca="1" si="27"/>
        <v>0.13591278558059261</v>
      </c>
      <c r="AN67" s="1">
        <f t="shared" ca="1" si="28"/>
        <v>47</v>
      </c>
      <c r="AO67" s="1">
        <f t="shared" ca="1" si="29"/>
        <v>9</v>
      </c>
      <c r="AQ67" s="1">
        <f t="shared" ca="1" si="30"/>
        <v>193</v>
      </c>
      <c r="AR67" s="1">
        <f t="shared" ca="1" si="31"/>
        <v>9</v>
      </c>
      <c r="AS67" s="1">
        <f t="shared" ca="1" si="32"/>
        <v>92</v>
      </c>
      <c r="AU67" s="1">
        <f t="shared" ca="1" si="33"/>
        <v>134</v>
      </c>
      <c r="AV67" s="1">
        <f t="shared" ca="1" si="34"/>
        <v>8</v>
      </c>
      <c r="AW67" s="1">
        <f t="shared" ca="1" si="35"/>
        <v>0.1569683710854122</v>
      </c>
      <c r="AY67" s="1">
        <f t="shared" ca="1" si="36"/>
        <v>1.8373491857514046</v>
      </c>
      <c r="AZ67" s="1">
        <f t="shared" ca="1" si="37"/>
        <v>174</v>
      </c>
      <c r="BA67" s="1">
        <f t="shared" ca="1" si="38"/>
        <v>7.6106638470798751E-3</v>
      </c>
      <c r="BV67" s="1">
        <f t="shared" ca="1" si="39"/>
        <v>0.74859785745626928</v>
      </c>
      <c r="BW67" s="1">
        <f t="shared" ca="1" si="40"/>
        <v>565</v>
      </c>
      <c r="BX67" s="1">
        <f t="shared" ca="1" si="41"/>
        <v>5.2589734610942523E-3</v>
      </c>
      <c r="BY67" s="1">
        <f t="shared" ca="1" si="42"/>
        <v>1.4224153875235939E-2</v>
      </c>
      <c r="BZ67" s="1">
        <f t="shared" ca="1" si="43"/>
        <v>0.15026849070457859</v>
      </c>
      <c r="CB67" s="1">
        <f t="shared" ca="1" si="44"/>
        <v>280</v>
      </c>
      <c r="CC67" s="1">
        <f t="shared" ca="1" si="45"/>
        <v>7</v>
      </c>
      <c r="CD67" s="1">
        <f t="shared" ca="1" si="46"/>
        <v>0.23755092547171872</v>
      </c>
      <c r="CE67" s="1">
        <f t="shared" ca="1" si="56"/>
        <v>0.97064428235372435</v>
      </c>
      <c r="CF67" s="1">
        <f t="shared" ca="1" si="56"/>
        <v>0.52574265374048024</v>
      </c>
      <c r="CH67" s="3">
        <f t="shared" ca="1" si="48"/>
        <v>0.52367492719716935</v>
      </c>
      <c r="CI67" s="3">
        <f t="shared" ca="1" si="49"/>
        <v>0.60477548922961433</v>
      </c>
      <c r="CJ67" s="3">
        <f t="shared" ca="1" si="50"/>
        <v>373</v>
      </c>
      <c r="CK67" s="3">
        <f t="shared" ca="1" si="51"/>
        <v>8.0608833461656322E-3</v>
      </c>
      <c r="CL67" s="3">
        <f t="shared" ca="1" si="52"/>
        <v>0</v>
      </c>
      <c r="CM67" s="3"/>
      <c r="CN67" s="1">
        <f t="shared" ca="1" si="53"/>
        <v>16.348953111766001</v>
      </c>
      <c r="CO67" s="1">
        <f t="shared" ca="1" si="54"/>
        <v>0.12287479680519568</v>
      </c>
      <c r="CP67" s="1">
        <f t="shared" ca="1" si="55"/>
        <v>1</v>
      </c>
    </row>
    <row r="68" spans="2:94" x14ac:dyDescent="0.25">
      <c r="B68">
        <f t="shared" ref="B68:B131" ca="1" si="57">RANDBETWEEN(15,1000)</f>
        <v>331</v>
      </c>
      <c r="C68">
        <f t="shared" ref="C68:C131" ca="1" si="58">RANDBETWEEN(2,52)</f>
        <v>50</v>
      </c>
      <c r="D68">
        <f t="shared" ref="D68:D131" ca="1" si="59">RAND()*(0.3-0.01)+0.01</f>
        <v>0.29836143849821645</v>
      </c>
      <c r="F68" s="1">
        <f t="shared" ref="F68:F131" ca="1" si="60">RANDBETWEEN(2,52)</f>
        <v>14</v>
      </c>
      <c r="G68" s="1">
        <f t="shared" ref="G68:G131" ca="1" si="61">RANDBETWEEN(2,30)</f>
        <v>12</v>
      </c>
      <c r="H68" s="1">
        <f t="shared" ref="H68:H131" ca="1" si="62">RANDBETWEEN(1,15)</f>
        <v>2</v>
      </c>
      <c r="I68" s="1"/>
      <c r="J68" s="1">
        <f t="shared" ref="J68:J131" ca="1" si="63">RANDBETWEEN(1,39)</f>
        <v>22</v>
      </c>
      <c r="K68" s="1">
        <f t="shared" ref="K68:K131" ca="1" si="64">RAND()*(3-1)+1</f>
        <v>2.7741690647448856</v>
      </c>
      <c r="L68" s="1">
        <f t="shared" ref="L68:L131" ca="1" si="65">RANDBETWEEN(2,35)</f>
        <v>15</v>
      </c>
      <c r="M68" s="1"/>
      <c r="N68" s="1">
        <f t="shared" ref="N68:N131" ca="1" si="66">RANDBETWEEN(15,1000)</f>
        <v>270</v>
      </c>
      <c r="O68" s="1">
        <f t="shared" ref="O68:O131" ca="1" si="67">RANDBETWEEN(2,52)</f>
        <v>40</v>
      </c>
      <c r="P68" s="1"/>
      <c r="Q68" s="1">
        <f t="shared" ref="Q68:Q131" ca="1" si="68">RAND()*(5-0.01)+0.01</f>
        <v>2.2409877456370957</v>
      </c>
      <c r="R68" s="1">
        <f t="shared" ref="R68:R131" ca="1" si="69">RANDBETWEEN(200,1200)</f>
        <v>1096</v>
      </c>
      <c r="S68" s="1"/>
      <c r="T68" s="1">
        <f t="shared" ref="T68:T131" ca="1" si="70">RAND()*(0.2-0.01)+0.01</f>
        <v>4.8282368691990242E-2</v>
      </c>
      <c r="U68" s="1">
        <f t="shared" ref="U68:U131" ca="1" si="71">RANDBETWEEN(50,450)</f>
        <v>71</v>
      </c>
      <c r="V68" s="1">
        <f t="shared" ref="V68:V131" ca="1" si="72">RANDBETWEEN(2,52)</f>
        <v>40</v>
      </c>
      <c r="W68" s="1"/>
      <c r="X68" s="1">
        <f t="shared" ref="X68:X131" ca="1" si="73">RAND()*(10-0.01)+0.01</f>
        <v>7.1634771033586437</v>
      </c>
      <c r="Y68" s="1">
        <f t="shared" ref="Y68:Y131" ca="1" si="74">RAND()*(1-0.0001)+0.0001</f>
        <v>0.1828869024739368</v>
      </c>
      <c r="Z68" s="1">
        <f t="shared" ref="Z68:Z131" ca="1" si="75">RANDBETWEEN(100,2000)</f>
        <v>1707</v>
      </c>
      <c r="AB68" s="1">
        <f t="shared" ref="AB68:AB131" ca="1" si="76">RAND()*(1-0.0001)+0.0001</f>
        <v>7.1063987463746037E-2</v>
      </c>
      <c r="AC68" s="1">
        <f t="shared" ref="AC68:AC131" ca="1" si="77">RANDBETWEEN(100,1000)</f>
        <v>529</v>
      </c>
      <c r="AD68" s="1">
        <f t="shared" ref="AD68:AD131" ca="1" si="78">RAND()*(0.01-0.00001)+0.00001</f>
        <v>6.7379656003957933E-3</v>
      </c>
      <c r="AE68" s="1"/>
      <c r="AF68" s="1">
        <f t="shared" ref="AF68:AF131" ca="1" si="79">RAND()*(0.9-0.1)+0.1</f>
        <v>0.1897511308852704</v>
      </c>
      <c r="AG68" s="1">
        <f t="shared" ref="AG68:AG131" ca="1" si="80">RANDBETWEEN(100,1000)</f>
        <v>128</v>
      </c>
      <c r="AH68" s="1">
        <f t="shared" ref="AH68:AH131" ca="1" si="81">RAND()*(0.01-0.00001)+0.00001</f>
        <v>7.4063572235405165E-3</v>
      </c>
      <c r="AJ68" s="1">
        <f t="shared" ref="AJ68:AJ131" ca="1" si="82">RAND()*(1-0)+0</f>
        <v>0.64960535158887078</v>
      </c>
      <c r="AK68" s="1">
        <f t="shared" ref="AK68:AK131" ca="1" si="83">RAND()*(0.01-0.00001)+0.00001</f>
        <v>6.2582126372076564E-4</v>
      </c>
      <c r="AL68" s="1"/>
      <c r="AM68" s="1">
        <f t="shared" ref="AM68:AM131" ca="1" si="84">RAND()*(0.2-0.005)+0.005</f>
        <v>0.14351568322489089</v>
      </c>
      <c r="AN68" s="1">
        <f t="shared" ref="AN68:AN131" ca="1" si="85">RANDBETWEEN(10,80)</f>
        <v>18</v>
      </c>
      <c r="AO68" s="1">
        <f t="shared" ref="AO68:AO131" ca="1" si="86">RANDBETWEEN(-1,20)</f>
        <v>18</v>
      </c>
      <c r="AQ68" s="1">
        <f t="shared" ref="AQ68:AQ131" ca="1" si="87">RANDBETWEEN(10,200)</f>
        <v>26</v>
      </c>
      <c r="AR68" s="1">
        <f t="shared" ref="AR68:AR131" ca="1" si="88">RANDBETWEEN(0,10)</f>
        <v>10</v>
      </c>
      <c r="AS68" s="1">
        <f t="shared" ref="AS68:AS131" ca="1" si="89">RANDBETWEEN(1,100)</f>
        <v>7</v>
      </c>
      <c r="AU68" s="1">
        <f t="shared" ref="AU68:AU131" ca="1" si="90">RANDBETWEEN(50,400)</f>
        <v>332</v>
      </c>
      <c r="AV68" s="1">
        <f t="shared" ref="AV68:AV131" ca="1" si="91">RANDBETWEEN(2,10)</f>
        <v>5</v>
      </c>
      <c r="AW68" s="1">
        <f t="shared" ref="AW68:AW131" ca="1" si="92">RAND()*(0.2-0.01)+0.01</f>
        <v>0.19049850499852408</v>
      </c>
      <c r="AY68" s="1">
        <f t="shared" ref="AY68:AY131" ca="1" si="93">RAND()*(2-1.1)+1.1</f>
        <v>1.7030739915331816</v>
      </c>
      <c r="AZ68" s="1">
        <f t="shared" ref="AZ68:AZ131" ca="1" si="94">RANDBETWEEN(50,500)</f>
        <v>401</v>
      </c>
      <c r="BA68" s="1">
        <f t="shared" ref="BA68:BA131" ca="1" si="95">RAND()*(0.01-0.00001)+0.00001</f>
        <v>7.6823795622767551E-3</v>
      </c>
      <c r="BV68" s="1">
        <f t="shared" ref="BV68:BV131" ca="1" si="96">RAND()*(1-0.0001)+0.0001</f>
        <v>0.11683459993651496</v>
      </c>
      <c r="BW68" s="1">
        <f t="shared" ref="BW68:BW131" ca="1" si="97">RANDBETWEEN(100,1000)</f>
        <v>171</v>
      </c>
      <c r="BX68" s="1">
        <f t="shared" ref="BX68:BX131" ca="1" si="98">RAND()*(0.01-0.00001)+0.00001</f>
        <v>1.6359243631143135E-3</v>
      </c>
      <c r="BY68" s="1">
        <f t="shared" ref="BY68:BY131" ca="1" si="99">RAND()*(0.1-0.0001)+0.0001</f>
        <v>5.233049087431689E-2</v>
      </c>
      <c r="BZ68" s="1">
        <f t="shared" ref="BZ68:BZ131" ca="1" si="100">RAND()*(1-0)+0</f>
        <v>0.30427744281718372</v>
      </c>
      <c r="CB68" s="1">
        <f t="shared" ref="CB68:CB131" ca="1" si="101">RANDBETWEEN(50,500)</f>
        <v>225</v>
      </c>
      <c r="CC68" s="1">
        <f t="shared" ref="CC68:CC131" ca="1" si="102">RANDBETWEEN(3,15)</f>
        <v>15</v>
      </c>
      <c r="CD68" s="1">
        <f t="shared" ref="CD68:CD131" ca="1" si="103">RAND()*(0.3-0.01)+0.01</f>
        <v>4.1461584514074515E-2</v>
      </c>
      <c r="CE68" s="1">
        <f t="shared" ref="CE68:CF99" ca="1" si="104">RAND()*(1-0.5)+0.5</f>
        <v>0.88137285827079581</v>
      </c>
      <c r="CF68" s="1">
        <f t="shared" ca="1" si="104"/>
        <v>0.72221099280659784</v>
      </c>
      <c r="CH68" s="3">
        <f t="shared" ref="CH68:CH131" ca="1" si="105">RAND()*(1-0.0001)+0.0001</f>
        <v>0.88104562276026965</v>
      </c>
      <c r="CI68" s="3">
        <f t="shared" ref="CI68:CI131" ca="1" si="106">RAND()*(0.99-0.01)+0.01</f>
        <v>0.10299387582311045</v>
      </c>
      <c r="CJ68" s="3">
        <f t="shared" ref="CJ68:CJ131" ca="1" si="107">RANDBETWEEN(100,2000)</f>
        <v>1027</v>
      </c>
      <c r="CK68" s="3">
        <f t="shared" ref="CK68:CK131" ca="1" si="108">RAND()*(0.01-0.000001)+0.000001</f>
        <v>2.215281782461432E-3</v>
      </c>
      <c r="CL68" s="3">
        <f t="shared" ref="CL68:CL131" ca="1" si="109">RANDBETWEEN(0,1)</f>
        <v>0</v>
      </c>
      <c r="CM68" s="3"/>
      <c r="CN68" s="1">
        <f t="shared" ref="CN68:CN131" ca="1" si="110">RAND()*(20-0.1)+0.1</f>
        <v>15.727393889024016</v>
      </c>
      <c r="CO68" s="1">
        <f t="shared" ref="CO68:CO131" ca="1" si="111">RAND()*(0.5-0.001)+0.001</f>
        <v>0.45848716607610801</v>
      </c>
      <c r="CP68" s="1">
        <f t="shared" ref="CP68:CP131" ca="1" si="112">RANDBETWEEN(1,5)</f>
        <v>1</v>
      </c>
    </row>
    <row r="69" spans="2:94" x14ac:dyDescent="0.25">
      <c r="B69">
        <f t="shared" ca="1" si="57"/>
        <v>628</v>
      </c>
      <c r="C69">
        <f t="shared" ca="1" si="58"/>
        <v>3</v>
      </c>
      <c r="D69">
        <f t="shared" ca="1" si="59"/>
        <v>8.0994661521894648E-2</v>
      </c>
      <c r="F69" s="1">
        <f t="shared" ca="1" si="60"/>
        <v>11</v>
      </c>
      <c r="G69" s="1">
        <f t="shared" ca="1" si="61"/>
        <v>5</v>
      </c>
      <c r="H69" s="1">
        <f t="shared" ca="1" si="62"/>
        <v>1</v>
      </c>
      <c r="I69" s="1"/>
      <c r="J69" s="1">
        <f t="shared" ca="1" si="63"/>
        <v>23</v>
      </c>
      <c r="K69" s="1">
        <f t="shared" ca="1" si="64"/>
        <v>1.9527409851271105</v>
      </c>
      <c r="L69" s="1">
        <f t="shared" ca="1" si="65"/>
        <v>30</v>
      </c>
      <c r="M69" s="1"/>
      <c r="N69" s="1">
        <f t="shared" ca="1" si="66"/>
        <v>116</v>
      </c>
      <c r="O69" s="1">
        <f t="shared" ca="1" si="67"/>
        <v>49</v>
      </c>
      <c r="P69" s="1"/>
      <c r="Q69" s="1">
        <f t="shared" ca="1" si="68"/>
        <v>0.11106941775568442</v>
      </c>
      <c r="R69" s="1">
        <f t="shared" ca="1" si="69"/>
        <v>329</v>
      </c>
      <c r="S69" s="1"/>
      <c r="T69" s="1">
        <f t="shared" ca="1" si="70"/>
        <v>5.315496830032345E-2</v>
      </c>
      <c r="U69" s="1">
        <f t="shared" ca="1" si="71"/>
        <v>139</v>
      </c>
      <c r="V69" s="1">
        <f t="shared" ca="1" si="72"/>
        <v>38</v>
      </c>
      <c r="W69" s="1"/>
      <c r="X69" s="1">
        <f t="shared" ca="1" si="73"/>
        <v>9.6541321518921013</v>
      </c>
      <c r="Y69" s="1">
        <f t="shared" ca="1" si="74"/>
        <v>0.499286694832202</v>
      </c>
      <c r="Z69" s="1">
        <f t="shared" ca="1" si="75"/>
        <v>1086</v>
      </c>
      <c r="AB69" s="1">
        <f t="shared" ca="1" si="76"/>
        <v>0.84523314773788472</v>
      </c>
      <c r="AC69" s="1">
        <f t="shared" ca="1" si="77"/>
        <v>547</v>
      </c>
      <c r="AD69" s="1">
        <f t="shared" ca="1" si="78"/>
        <v>1.9121389822134065E-4</v>
      </c>
      <c r="AE69" s="1"/>
      <c r="AF69" s="1">
        <f t="shared" ca="1" si="79"/>
        <v>0.47674132394357094</v>
      </c>
      <c r="AG69" s="1">
        <f t="shared" ca="1" si="80"/>
        <v>107</v>
      </c>
      <c r="AH69" s="1">
        <f t="shared" ca="1" si="81"/>
        <v>4.8186393377448657E-4</v>
      </c>
      <c r="AJ69" s="1">
        <f t="shared" ca="1" si="82"/>
        <v>0.89689018421246647</v>
      </c>
      <c r="AK69" s="1">
        <f t="shared" ca="1" si="83"/>
        <v>3.6166092183463495E-3</v>
      </c>
      <c r="AL69" s="1"/>
      <c r="AM69" s="1">
        <f t="shared" ca="1" si="84"/>
        <v>5.6724776737556132E-2</v>
      </c>
      <c r="AN69" s="1">
        <f t="shared" ca="1" si="85"/>
        <v>19</v>
      </c>
      <c r="AO69" s="1">
        <f t="shared" ca="1" si="86"/>
        <v>3</v>
      </c>
      <c r="AQ69" s="1">
        <f t="shared" ca="1" si="87"/>
        <v>101</v>
      </c>
      <c r="AR69" s="1">
        <f t="shared" ca="1" si="88"/>
        <v>0</v>
      </c>
      <c r="AS69" s="1">
        <f t="shared" ca="1" si="89"/>
        <v>58</v>
      </c>
      <c r="AU69" s="1">
        <f t="shared" ca="1" si="90"/>
        <v>344</v>
      </c>
      <c r="AV69" s="1">
        <f t="shared" ca="1" si="91"/>
        <v>10</v>
      </c>
      <c r="AW69" s="1">
        <f t="shared" ca="1" si="92"/>
        <v>0.19056958682188249</v>
      </c>
      <c r="AY69" s="1">
        <f t="shared" ca="1" si="93"/>
        <v>1.4977734828577889</v>
      </c>
      <c r="AZ69" s="1">
        <f t="shared" ca="1" si="94"/>
        <v>395</v>
      </c>
      <c r="BA69" s="1">
        <f t="shared" ca="1" si="95"/>
        <v>2.2818558045705631E-3</v>
      </c>
      <c r="BV69" s="1">
        <f t="shared" ca="1" si="96"/>
        <v>0.64300277054806954</v>
      </c>
      <c r="BW69" s="1">
        <f t="shared" ca="1" si="97"/>
        <v>104</v>
      </c>
      <c r="BX69" s="1">
        <f t="shared" ca="1" si="98"/>
        <v>9.48759207330966E-3</v>
      </c>
      <c r="BY69" s="1">
        <f t="shared" ca="1" si="99"/>
        <v>1.0992385308826829E-2</v>
      </c>
      <c r="BZ69" s="1">
        <f t="shared" ca="1" si="100"/>
        <v>0.57270004763586091</v>
      </c>
      <c r="CB69" s="1">
        <f t="shared" ca="1" si="101"/>
        <v>82</v>
      </c>
      <c r="CC69" s="1">
        <f t="shared" ca="1" si="102"/>
        <v>9</v>
      </c>
      <c r="CD69" s="1">
        <f t="shared" ca="1" si="103"/>
        <v>5.4152881882526836E-2</v>
      </c>
      <c r="CE69" s="1">
        <f t="shared" ca="1" si="104"/>
        <v>0.65636982496499185</v>
      </c>
      <c r="CF69" s="1">
        <f t="shared" ca="1" si="104"/>
        <v>0.54260263018138355</v>
      </c>
      <c r="CH69" s="3">
        <f t="shared" ca="1" si="105"/>
        <v>0.98080631044655753</v>
      </c>
      <c r="CI69" s="3">
        <f t="shared" ca="1" si="106"/>
        <v>5.6336836031512731E-2</v>
      </c>
      <c r="CJ69" s="3">
        <f t="shared" ca="1" si="107"/>
        <v>1166</v>
      </c>
      <c r="CK69" s="3">
        <f t="shared" ca="1" si="108"/>
        <v>1.7616832807555542E-3</v>
      </c>
      <c r="CL69" s="3">
        <f t="shared" ca="1" si="109"/>
        <v>1</v>
      </c>
      <c r="CM69" s="3"/>
      <c r="CN69" s="1">
        <f t="shared" ca="1" si="110"/>
        <v>5.4987422276909239</v>
      </c>
      <c r="CO69" s="1">
        <f t="shared" ca="1" si="111"/>
        <v>0.34794785477754409</v>
      </c>
      <c r="CP69" s="1">
        <f t="shared" ca="1" si="112"/>
        <v>2</v>
      </c>
    </row>
    <row r="70" spans="2:94" x14ac:dyDescent="0.25">
      <c r="B70">
        <f t="shared" ca="1" si="57"/>
        <v>330</v>
      </c>
      <c r="C70">
        <f t="shared" ca="1" si="58"/>
        <v>20</v>
      </c>
      <c r="D70">
        <f t="shared" ca="1" si="59"/>
        <v>5.8924378695952524E-2</v>
      </c>
      <c r="F70" s="1">
        <f t="shared" ca="1" si="60"/>
        <v>11</v>
      </c>
      <c r="G70" s="1">
        <f t="shared" ca="1" si="61"/>
        <v>23</v>
      </c>
      <c r="H70" s="1">
        <f t="shared" ca="1" si="62"/>
        <v>4</v>
      </c>
      <c r="I70" s="1"/>
      <c r="J70" s="1">
        <f t="shared" ca="1" si="63"/>
        <v>15</v>
      </c>
      <c r="K70" s="1">
        <f t="shared" ca="1" si="64"/>
        <v>1.8775945553671396</v>
      </c>
      <c r="L70" s="1">
        <f t="shared" ca="1" si="65"/>
        <v>35</v>
      </c>
      <c r="M70" s="1"/>
      <c r="N70" s="1">
        <f t="shared" ca="1" si="66"/>
        <v>86</v>
      </c>
      <c r="O70" s="1">
        <f t="shared" ca="1" si="67"/>
        <v>12</v>
      </c>
      <c r="P70" s="1"/>
      <c r="Q70" s="1">
        <f t="shared" ca="1" si="68"/>
        <v>4.5672543710315239</v>
      </c>
      <c r="R70" s="1">
        <f t="shared" ca="1" si="69"/>
        <v>297</v>
      </c>
      <c r="S70" s="1"/>
      <c r="T70" s="1">
        <f t="shared" ca="1" si="70"/>
        <v>0.1738617611286363</v>
      </c>
      <c r="U70" s="1">
        <f t="shared" ca="1" si="71"/>
        <v>64</v>
      </c>
      <c r="V70" s="1">
        <f t="shared" ca="1" si="72"/>
        <v>52</v>
      </c>
      <c r="W70" s="1"/>
      <c r="X70" s="1">
        <f t="shared" ca="1" si="73"/>
        <v>2.3620913534089785</v>
      </c>
      <c r="Y70" s="1">
        <f t="shared" ca="1" si="74"/>
        <v>0.94725443856867531</v>
      </c>
      <c r="Z70" s="1">
        <f t="shared" ca="1" si="75"/>
        <v>1327</v>
      </c>
      <c r="AB70" s="1">
        <f t="shared" ca="1" si="76"/>
        <v>0.18069453132534091</v>
      </c>
      <c r="AC70" s="1">
        <f t="shared" ca="1" si="77"/>
        <v>652</v>
      </c>
      <c r="AD70" s="1">
        <f t="shared" ca="1" si="78"/>
        <v>6.4464802415105892E-4</v>
      </c>
      <c r="AE70" s="1"/>
      <c r="AF70" s="1">
        <f t="shared" ca="1" si="79"/>
        <v>0.37638266330643944</v>
      </c>
      <c r="AG70" s="1">
        <f t="shared" ca="1" si="80"/>
        <v>345</v>
      </c>
      <c r="AH70" s="1">
        <f t="shared" ca="1" si="81"/>
        <v>4.6493871097242484E-3</v>
      </c>
      <c r="AJ70" s="1">
        <f t="shared" ca="1" si="82"/>
        <v>9.6998498576341574E-2</v>
      </c>
      <c r="AK70" s="1">
        <f t="shared" ca="1" si="83"/>
        <v>2.0421154756990918E-3</v>
      </c>
      <c r="AL70" s="1"/>
      <c r="AM70" s="1">
        <f t="shared" ca="1" si="84"/>
        <v>1.4136019848436546E-2</v>
      </c>
      <c r="AN70" s="1">
        <f t="shared" ca="1" si="85"/>
        <v>44</v>
      </c>
      <c r="AO70" s="1">
        <f t="shared" ca="1" si="86"/>
        <v>20</v>
      </c>
      <c r="AQ70" s="1">
        <f t="shared" ca="1" si="87"/>
        <v>169</v>
      </c>
      <c r="AR70" s="1">
        <f t="shared" ca="1" si="88"/>
        <v>9</v>
      </c>
      <c r="AS70" s="1">
        <f t="shared" ca="1" si="89"/>
        <v>14</v>
      </c>
      <c r="AU70" s="1">
        <f t="shared" ca="1" si="90"/>
        <v>56</v>
      </c>
      <c r="AV70" s="1">
        <f t="shared" ca="1" si="91"/>
        <v>3</v>
      </c>
      <c r="AW70" s="1">
        <f t="shared" ca="1" si="92"/>
        <v>3.1100404145322655E-2</v>
      </c>
      <c r="AY70" s="1">
        <f t="shared" ca="1" si="93"/>
        <v>1.236350374284088</v>
      </c>
      <c r="AZ70" s="1">
        <f t="shared" ca="1" si="94"/>
        <v>240</v>
      </c>
      <c r="BA70" s="1">
        <f t="shared" ca="1" si="95"/>
        <v>5.163470629777984E-3</v>
      </c>
      <c r="BV70" s="1">
        <f t="shared" ca="1" si="96"/>
        <v>0.66767236804670471</v>
      </c>
      <c r="BW70" s="1">
        <f t="shared" ca="1" si="97"/>
        <v>495</v>
      </c>
      <c r="BX70" s="1">
        <f t="shared" ca="1" si="98"/>
        <v>1.3187025853384612E-3</v>
      </c>
      <c r="BY70" s="1">
        <f t="shared" ca="1" si="99"/>
        <v>8.02839013090864E-2</v>
      </c>
      <c r="BZ70" s="1">
        <f t="shared" ca="1" si="100"/>
        <v>0.33631244921293368</v>
      </c>
      <c r="CB70" s="1">
        <f t="shared" ca="1" si="101"/>
        <v>496</v>
      </c>
      <c r="CC70" s="1">
        <f t="shared" ca="1" si="102"/>
        <v>6</v>
      </c>
      <c r="CD70" s="1">
        <f t="shared" ca="1" si="103"/>
        <v>0.15833011191100041</v>
      </c>
      <c r="CE70" s="1">
        <f t="shared" ca="1" si="104"/>
        <v>0.7736541567857611</v>
      </c>
      <c r="CF70" s="1">
        <f t="shared" ca="1" si="104"/>
        <v>0.68651763218880779</v>
      </c>
      <c r="CH70" s="3">
        <f t="shared" ca="1" si="105"/>
        <v>0.81292288491832143</v>
      </c>
      <c r="CI70" s="3">
        <f t="shared" ca="1" si="106"/>
        <v>0.88415225752546012</v>
      </c>
      <c r="CJ70" s="3">
        <f t="shared" ca="1" si="107"/>
        <v>973</v>
      </c>
      <c r="CK70" s="3">
        <f t="shared" ca="1" si="108"/>
        <v>7.3481151651122022E-3</v>
      </c>
      <c r="CL70" s="3">
        <f t="shared" ca="1" si="109"/>
        <v>0</v>
      </c>
      <c r="CM70" s="3"/>
      <c r="CN70" s="1">
        <f t="shared" ca="1" si="110"/>
        <v>13.755746160566529</v>
      </c>
      <c r="CO70" s="1">
        <f t="shared" ca="1" si="111"/>
        <v>9.0859440913818826E-2</v>
      </c>
      <c r="CP70" s="1">
        <f t="shared" ca="1" si="112"/>
        <v>1</v>
      </c>
    </row>
    <row r="71" spans="2:94" x14ac:dyDescent="0.25">
      <c r="B71">
        <f t="shared" ca="1" si="57"/>
        <v>266</v>
      </c>
      <c r="C71">
        <f t="shared" ca="1" si="58"/>
        <v>30</v>
      </c>
      <c r="D71">
        <f t="shared" ca="1" si="59"/>
        <v>0.14473040377794183</v>
      </c>
      <c r="F71" s="1">
        <f t="shared" ca="1" si="60"/>
        <v>31</v>
      </c>
      <c r="G71" s="1">
        <f t="shared" ca="1" si="61"/>
        <v>23</v>
      </c>
      <c r="H71" s="1">
        <f t="shared" ca="1" si="62"/>
        <v>8</v>
      </c>
      <c r="I71" s="1"/>
      <c r="J71" s="1">
        <f t="shared" ca="1" si="63"/>
        <v>29</v>
      </c>
      <c r="K71" s="1">
        <f t="shared" ca="1" si="64"/>
        <v>2.7011208220177574</v>
      </c>
      <c r="L71" s="1">
        <f t="shared" ca="1" si="65"/>
        <v>15</v>
      </c>
      <c r="M71" s="1"/>
      <c r="N71" s="1">
        <f t="shared" ca="1" si="66"/>
        <v>41</v>
      </c>
      <c r="O71" s="1">
        <f t="shared" ca="1" si="67"/>
        <v>9</v>
      </c>
      <c r="P71" s="1"/>
      <c r="Q71" s="1">
        <f t="shared" ca="1" si="68"/>
        <v>1.4810996488828767</v>
      </c>
      <c r="R71" s="1">
        <f t="shared" ca="1" si="69"/>
        <v>966</v>
      </c>
      <c r="S71" s="1"/>
      <c r="T71" s="1">
        <f t="shared" ca="1" si="70"/>
        <v>0.12546815624560506</v>
      </c>
      <c r="U71" s="1">
        <f t="shared" ca="1" si="71"/>
        <v>324</v>
      </c>
      <c r="V71" s="1">
        <f t="shared" ca="1" si="72"/>
        <v>32</v>
      </c>
      <c r="W71" s="1"/>
      <c r="X71" s="1">
        <f t="shared" ca="1" si="73"/>
        <v>5.0976666333935245</v>
      </c>
      <c r="Y71" s="1">
        <f t="shared" ca="1" si="74"/>
        <v>0.48758132851242569</v>
      </c>
      <c r="Z71" s="1">
        <f t="shared" ca="1" si="75"/>
        <v>710</v>
      </c>
      <c r="AB71" s="1">
        <f t="shared" ca="1" si="76"/>
        <v>0.37313631943356185</v>
      </c>
      <c r="AC71" s="1">
        <f t="shared" ca="1" si="77"/>
        <v>341</v>
      </c>
      <c r="AD71" s="1">
        <f t="shared" ca="1" si="78"/>
        <v>9.6350973165474293E-3</v>
      </c>
      <c r="AE71" s="1"/>
      <c r="AF71" s="1">
        <f t="shared" ca="1" si="79"/>
        <v>0.54037517668842383</v>
      </c>
      <c r="AG71" s="1">
        <f t="shared" ca="1" si="80"/>
        <v>855</v>
      </c>
      <c r="AH71" s="1">
        <f t="shared" ca="1" si="81"/>
        <v>8.2304274513628779E-3</v>
      </c>
      <c r="AJ71" s="1">
        <f t="shared" ca="1" si="82"/>
        <v>0.86101849530285901</v>
      </c>
      <c r="AK71" s="1">
        <f t="shared" ca="1" si="83"/>
        <v>1.86868618269723E-3</v>
      </c>
      <c r="AL71" s="1"/>
      <c r="AM71" s="1">
        <f t="shared" ca="1" si="84"/>
        <v>8.2428785165976584E-2</v>
      </c>
      <c r="AN71" s="1">
        <f t="shared" ca="1" si="85"/>
        <v>25</v>
      </c>
      <c r="AO71" s="1">
        <f t="shared" ca="1" si="86"/>
        <v>17</v>
      </c>
      <c r="AQ71" s="1">
        <f t="shared" ca="1" si="87"/>
        <v>198</v>
      </c>
      <c r="AR71" s="1">
        <f t="shared" ca="1" si="88"/>
        <v>0</v>
      </c>
      <c r="AS71" s="1">
        <f t="shared" ca="1" si="89"/>
        <v>59</v>
      </c>
      <c r="AU71" s="1">
        <f t="shared" ca="1" si="90"/>
        <v>338</v>
      </c>
      <c r="AV71" s="1">
        <f t="shared" ca="1" si="91"/>
        <v>9</v>
      </c>
      <c r="AW71" s="1">
        <f t="shared" ca="1" si="92"/>
        <v>1.5581231749958064E-2</v>
      </c>
      <c r="AY71" s="1">
        <f t="shared" ca="1" si="93"/>
        <v>1.6725295123225119</v>
      </c>
      <c r="AZ71" s="1">
        <f t="shared" ca="1" si="94"/>
        <v>155</v>
      </c>
      <c r="BA71" s="1">
        <f t="shared" ca="1" si="95"/>
        <v>9.9795058872561414E-3</v>
      </c>
      <c r="BV71" s="1">
        <f t="shared" ca="1" si="96"/>
        <v>0.70850485618576897</v>
      </c>
      <c r="BW71" s="1">
        <f t="shared" ca="1" si="97"/>
        <v>740</v>
      </c>
      <c r="BX71" s="1">
        <f t="shared" ca="1" si="98"/>
        <v>8.8498768983287564E-3</v>
      </c>
      <c r="BY71" s="1">
        <f t="shared" ca="1" si="99"/>
        <v>6.0846178834841641E-2</v>
      </c>
      <c r="BZ71" s="1">
        <f t="shared" ca="1" si="100"/>
        <v>5.7739799021928384E-2</v>
      </c>
      <c r="CB71" s="1">
        <f t="shared" ca="1" si="101"/>
        <v>64</v>
      </c>
      <c r="CC71" s="1">
        <f t="shared" ca="1" si="102"/>
        <v>11</v>
      </c>
      <c r="CD71" s="1">
        <f t="shared" ca="1" si="103"/>
        <v>0.13999819892625973</v>
      </c>
      <c r="CE71" s="1">
        <f t="shared" ca="1" si="104"/>
        <v>0.72768682745257918</v>
      </c>
      <c r="CF71" s="1">
        <f t="shared" ca="1" si="104"/>
        <v>0.74991638076348233</v>
      </c>
      <c r="CH71" s="3">
        <f t="shared" ca="1" si="105"/>
        <v>0.88091025739674012</v>
      </c>
      <c r="CI71" s="3">
        <f t="shared" ca="1" si="106"/>
        <v>0.98214640914752238</v>
      </c>
      <c r="CJ71" s="3">
        <f t="shared" ca="1" si="107"/>
        <v>316</v>
      </c>
      <c r="CK71" s="3">
        <f t="shared" ca="1" si="108"/>
        <v>3.9347874092457973E-3</v>
      </c>
      <c r="CL71" s="3">
        <f t="shared" ca="1" si="109"/>
        <v>1</v>
      </c>
      <c r="CM71" s="3"/>
      <c r="CN71" s="1">
        <f t="shared" ca="1" si="110"/>
        <v>0.76545509080670282</v>
      </c>
      <c r="CO71" s="1">
        <f t="shared" ca="1" si="111"/>
        <v>0.21273324409915564</v>
      </c>
      <c r="CP71" s="1">
        <f t="shared" ca="1" si="112"/>
        <v>3</v>
      </c>
    </row>
    <row r="72" spans="2:94" x14ac:dyDescent="0.25">
      <c r="B72">
        <f t="shared" ca="1" si="57"/>
        <v>681</v>
      </c>
      <c r="C72">
        <f t="shared" ca="1" si="58"/>
        <v>20</v>
      </c>
      <c r="D72">
        <f t="shared" ca="1" si="59"/>
        <v>0.24482138068744938</v>
      </c>
      <c r="F72" s="1">
        <f t="shared" ca="1" si="60"/>
        <v>37</v>
      </c>
      <c r="G72" s="1">
        <f t="shared" ca="1" si="61"/>
        <v>7</v>
      </c>
      <c r="H72" s="1">
        <f t="shared" ca="1" si="62"/>
        <v>11</v>
      </c>
      <c r="I72" s="1"/>
      <c r="J72" s="1">
        <f t="shared" ca="1" si="63"/>
        <v>36</v>
      </c>
      <c r="K72" s="1">
        <f t="shared" ca="1" si="64"/>
        <v>2.31554342026035</v>
      </c>
      <c r="L72" s="1">
        <f t="shared" ca="1" si="65"/>
        <v>24</v>
      </c>
      <c r="M72" s="1"/>
      <c r="N72" s="1">
        <f t="shared" ca="1" si="66"/>
        <v>869</v>
      </c>
      <c r="O72" s="1">
        <f t="shared" ca="1" si="67"/>
        <v>32</v>
      </c>
      <c r="P72" s="1"/>
      <c r="Q72" s="1">
        <f t="shared" ca="1" si="68"/>
        <v>1.3800355684039949</v>
      </c>
      <c r="R72" s="1">
        <f t="shared" ca="1" si="69"/>
        <v>435</v>
      </c>
      <c r="S72" s="1"/>
      <c r="T72" s="1">
        <f t="shared" ca="1" si="70"/>
        <v>0.15533173565372496</v>
      </c>
      <c r="U72" s="1">
        <f t="shared" ca="1" si="71"/>
        <v>260</v>
      </c>
      <c r="V72" s="1">
        <f t="shared" ca="1" si="72"/>
        <v>43</v>
      </c>
      <c r="W72" s="1"/>
      <c r="X72" s="1">
        <f t="shared" ca="1" si="73"/>
        <v>7.297525992448139</v>
      </c>
      <c r="Y72" s="1">
        <f t="shared" ca="1" si="74"/>
        <v>8.7495066321879519E-2</v>
      </c>
      <c r="Z72" s="1">
        <f t="shared" ca="1" si="75"/>
        <v>1107</v>
      </c>
      <c r="AB72" s="1">
        <f t="shared" ca="1" si="76"/>
        <v>0.20790920713795785</v>
      </c>
      <c r="AC72" s="1">
        <f t="shared" ca="1" si="77"/>
        <v>894</v>
      </c>
      <c r="AD72" s="1">
        <f t="shared" ca="1" si="78"/>
        <v>4.7992731081131475E-3</v>
      </c>
      <c r="AE72" s="1"/>
      <c r="AF72" s="1">
        <f t="shared" ca="1" si="79"/>
        <v>0.15776987852041779</v>
      </c>
      <c r="AG72" s="1">
        <f t="shared" ca="1" si="80"/>
        <v>823</v>
      </c>
      <c r="AH72" s="1">
        <f t="shared" ca="1" si="81"/>
        <v>2.9550000287242814E-3</v>
      </c>
      <c r="AJ72" s="1">
        <f t="shared" ca="1" si="82"/>
        <v>0.29805532199883555</v>
      </c>
      <c r="AK72" s="1">
        <f t="shared" ca="1" si="83"/>
        <v>2.3775478022434546E-3</v>
      </c>
      <c r="AL72" s="1"/>
      <c r="AM72" s="1">
        <f t="shared" ca="1" si="84"/>
        <v>0.15491926789542793</v>
      </c>
      <c r="AN72" s="1">
        <f t="shared" ca="1" si="85"/>
        <v>60</v>
      </c>
      <c r="AO72" s="1">
        <f t="shared" ca="1" si="86"/>
        <v>18</v>
      </c>
      <c r="AQ72" s="1">
        <f t="shared" ca="1" si="87"/>
        <v>159</v>
      </c>
      <c r="AR72" s="1">
        <f t="shared" ca="1" si="88"/>
        <v>5</v>
      </c>
      <c r="AS72" s="1">
        <f t="shared" ca="1" si="89"/>
        <v>51</v>
      </c>
      <c r="AU72" s="1">
        <f t="shared" ca="1" si="90"/>
        <v>310</v>
      </c>
      <c r="AV72" s="1">
        <f t="shared" ca="1" si="91"/>
        <v>8</v>
      </c>
      <c r="AW72" s="1">
        <f t="shared" ca="1" si="92"/>
        <v>6.6838911975293694E-2</v>
      </c>
      <c r="AY72" s="1">
        <f t="shared" ca="1" si="93"/>
        <v>1.1042175219305872</v>
      </c>
      <c r="AZ72" s="1">
        <f t="shared" ca="1" si="94"/>
        <v>70</v>
      </c>
      <c r="BA72" s="1">
        <f t="shared" ca="1" si="95"/>
        <v>9.9969686756833966E-3</v>
      </c>
      <c r="BV72" s="1">
        <f t="shared" ca="1" si="96"/>
        <v>0.78613904401879164</v>
      </c>
      <c r="BW72" s="1">
        <f t="shared" ca="1" si="97"/>
        <v>542</v>
      </c>
      <c r="BX72" s="1">
        <f t="shared" ca="1" si="98"/>
        <v>9.7140177273740136E-3</v>
      </c>
      <c r="BY72" s="1">
        <f t="shared" ca="1" si="99"/>
        <v>4.8128408657284717E-2</v>
      </c>
      <c r="BZ72" s="1">
        <f t="shared" ca="1" si="100"/>
        <v>0.25609384492782328</v>
      </c>
      <c r="CB72" s="1">
        <f t="shared" ca="1" si="101"/>
        <v>287</v>
      </c>
      <c r="CC72" s="1">
        <f t="shared" ca="1" si="102"/>
        <v>4</v>
      </c>
      <c r="CD72" s="1">
        <f t="shared" ca="1" si="103"/>
        <v>6.2787443746799551E-2</v>
      </c>
      <c r="CE72" s="1">
        <f t="shared" ca="1" si="104"/>
        <v>0.69322356540571384</v>
      </c>
      <c r="CF72" s="1">
        <f t="shared" ca="1" si="104"/>
        <v>0.64429288788315586</v>
      </c>
      <c r="CH72" s="3">
        <f t="shared" ca="1" si="105"/>
        <v>0.24917470111739246</v>
      </c>
      <c r="CI72" s="3">
        <f t="shared" ca="1" si="106"/>
        <v>0.93556443516851406</v>
      </c>
      <c r="CJ72" s="3">
        <f t="shared" ca="1" si="107"/>
        <v>644</v>
      </c>
      <c r="CK72" s="3">
        <f t="shared" ca="1" si="108"/>
        <v>7.1678415625789638E-3</v>
      </c>
      <c r="CL72" s="3">
        <f t="shared" ca="1" si="109"/>
        <v>0</v>
      </c>
      <c r="CM72" s="3"/>
      <c r="CN72" s="1">
        <f t="shared" ca="1" si="110"/>
        <v>9.6275140173676181</v>
      </c>
      <c r="CO72" s="1">
        <f t="shared" ca="1" si="111"/>
        <v>0.15022533392024867</v>
      </c>
      <c r="CP72" s="1">
        <f t="shared" ca="1" si="112"/>
        <v>1</v>
      </c>
    </row>
    <row r="73" spans="2:94" x14ac:dyDescent="0.25">
      <c r="B73">
        <f t="shared" ca="1" si="57"/>
        <v>829</v>
      </c>
      <c r="C73">
        <f t="shared" ca="1" si="58"/>
        <v>38</v>
      </c>
      <c r="D73">
        <f t="shared" ca="1" si="59"/>
        <v>0.1799570187525264</v>
      </c>
      <c r="F73" s="1">
        <f t="shared" ca="1" si="60"/>
        <v>51</v>
      </c>
      <c r="G73" s="1">
        <f t="shared" ca="1" si="61"/>
        <v>16</v>
      </c>
      <c r="H73" s="1">
        <f t="shared" ca="1" si="62"/>
        <v>11</v>
      </c>
      <c r="I73" s="1"/>
      <c r="J73" s="1">
        <f t="shared" ca="1" si="63"/>
        <v>33</v>
      </c>
      <c r="K73" s="1">
        <f t="shared" ca="1" si="64"/>
        <v>2.2039766833951084</v>
      </c>
      <c r="L73" s="1">
        <f t="shared" ca="1" si="65"/>
        <v>21</v>
      </c>
      <c r="M73" s="1"/>
      <c r="N73" s="1">
        <f t="shared" ca="1" si="66"/>
        <v>43</v>
      </c>
      <c r="O73" s="1">
        <f t="shared" ca="1" si="67"/>
        <v>2</v>
      </c>
      <c r="P73" s="1"/>
      <c r="Q73" s="1">
        <f t="shared" ca="1" si="68"/>
        <v>1.1924829354942195</v>
      </c>
      <c r="R73" s="1">
        <f t="shared" ca="1" si="69"/>
        <v>475</v>
      </c>
      <c r="S73" s="1"/>
      <c r="T73" s="1">
        <f t="shared" ca="1" si="70"/>
        <v>3.4522727833428704E-2</v>
      </c>
      <c r="U73" s="1">
        <f t="shared" ca="1" si="71"/>
        <v>149</v>
      </c>
      <c r="V73" s="1">
        <f t="shared" ca="1" si="72"/>
        <v>25</v>
      </c>
      <c r="W73" s="1"/>
      <c r="X73" s="1">
        <f t="shared" ca="1" si="73"/>
        <v>8.2181382737798643</v>
      </c>
      <c r="Y73" s="1">
        <f t="shared" ca="1" si="74"/>
        <v>0.66357113259709699</v>
      </c>
      <c r="Z73" s="1">
        <f t="shared" ca="1" si="75"/>
        <v>1334</v>
      </c>
      <c r="AB73" s="1">
        <f t="shared" ca="1" si="76"/>
        <v>0.5655092835079748</v>
      </c>
      <c r="AC73" s="1">
        <f t="shared" ca="1" si="77"/>
        <v>755</v>
      </c>
      <c r="AD73" s="1">
        <f t="shared" ca="1" si="78"/>
        <v>7.0302888534371014E-3</v>
      </c>
      <c r="AE73" s="1"/>
      <c r="AF73" s="1">
        <f t="shared" ca="1" si="79"/>
        <v>0.28712244981570734</v>
      </c>
      <c r="AG73" s="1">
        <f t="shared" ca="1" si="80"/>
        <v>840</v>
      </c>
      <c r="AH73" s="1">
        <f t="shared" ca="1" si="81"/>
        <v>7.9334559000335814E-3</v>
      </c>
      <c r="AJ73" s="1">
        <f t="shared" ca="1" si="82"/>
        <v>0.4372052571403745</v>
      </c>
      <c r="AK73" s="1">
        <f t="shared" ca="1" si="83"/>
        <v>8.6180601906516267E-3</v>
      </c>
      <c r="AL73" s="1"/>
      <c r="AM73" s="1">
        <f t="shared" ca="1" si="84"/>
        <v>3.4623780092103824E-2</v>
      </c>
      <c r="AN73" s="1">
        <f t="shared" ca="1" si="85"/>
        <v>73</v>
      </c>
      <c r="AO73" s="1">
        <f t="shared" ca="1" si="86"/>
        <v>8</v>
      </c>
      <c r="AQ73" s="1">
        <f t="shared" ca="1" si="87"/>
        <v>109</v>
      </c>
      <c r="AR73" s="1">
        <f t="shared" ca="1" si="88"/>
        <v>2</v>
      </c>
      <c r="AS73" s="1">
        <f t="shared" ca="1" si="89"/>
        <v>25</v>
      </c>
      <c r="AU73" s="1">
        <f t="shared" ca="1" si="90"/>
        <v>238</v>
      </c>
      <c r="AV73" s="1">
        <f t="shared" ca="1" si="91"/>
        <v>9</v>
      </c>
      <c r="AW73" s="1">
        <f t="shared" ca="1" si="92"/>
        <v>7.3618707170646835E-2</v>
      </c>
      <c r="AY73" s="1">
        <f t="shared" ca="1" si="93"/>
        <v>1.1340653883134932</v>
      </c>
      <c r="AZ73" s="1">
        <f t="shared" ca="1" si="94"/>
        <v>262</v>
      </c>
      <c r="BA73" s="1">
        <f t="shared" ca="1" si="95"/>
        <v>1.6897535507591015E-3</v>
      </c>
      <c r="BV73" s="1">
        <f t="shared" ca="1" si="96"/>
        <v>0.78265557755910553</v>
      </c>
      <c r="BW73" s="1">
        <f t="shared" ca="1" si="97"/>
        <v>605</v>
      </c>
      <c r="BX73" s="1">
        <f t="shared" ca="1" si="98"/>
        <v>2.7000096305387932E-3</v>
      </c>
      <c r="BY73" s="1">
        <f t="shared" ca="1" si="99"/>
        <v>3.7057416059485267E-2</v>
      </c>
      <c r="BZ73" s="1">
        <f t="shared" ca="1" si="100"/>
        <v>0.72698711748457301</v>
      </c>
      <c r="CB73" s="1">
        <f t="shared" ca="1" si="101"/>
        <v>414</v>
      </c>
      <c r="CC73" s="1">
        <f t="shared" ca="1" si="102"/>
        <v>15</v>
      </c>
      <c r="CD73" s="1">
        <f t="shared" ca="1" si="103"/>
        <v>7.1759640570059166E-2</v>
      </c>
      <c r="CE73" s="1">
        <f t="shared" ca="1" si="104"/>
        <v>0.82338480799181957</v>
      </c>
      <c r="CF73" s="1">
        <f t="shared" ca="1" si="104"/>
        <v>0.92251686357103446</v>
      </c>
      <c r="CH73" s="3">
        <f t="shared" ca="1" si="105"/>
        <v>0.13090704574244114</v>
      </c>
      <c r="CI73" s="3">
        <f t="shared" ca="1" si="106"/>
        <v>0.3905361200417431</v>
      </c>
      <c r="CJ73" s="3">
        <f t="shared" ca="1" si="107"/>
        <v>1728</v>
      </c>
      <c r="CK73" s="3">
        <f t="shared" ca="1" si="108"/>
        <v>1.3060185137659182E-3</v>
      </c>
      <c r="CL73" s="3">
        <f t="shared" ca="1" si="109"/>
        <v>0</v>
      </c>
      <c r="CM73" s="3"/>
      <c r="CN73" s="1">
        <f t="shared" ca="1" si="110"/>
        <v>19.953041834479937</v>
      </c>
      <c r="CO73" s="1">
        <f t="shared" ca="1" si="111"/>
        <v>0.29156501850533856</v>
      </c>
      <c r="CP73" s="1">
        <f t="shared" ca="1" si="112"/>
        <v>5</v>
      </c>
    </row>
    <row r="74" spans="2:94" x14ac:dyDescent="0.25">
      <c r="B74">
        <f t="shared" ca="1" si="57"/>
        <v>587</v>
      </c>
      <c r="C74">
        <f t="shared" ca="1" si="58"/>
        <v>28</v>
      </c>
      <c r="D74">
        <f t="shared" ca="1" si="59"/>
        <v>0.27740235355379594</v>
      </c>
      <c r="F74" s="1">
        <f t="shared" ca="1" si="60"/>
        <v>29</v>
      </c>
      <c r="G74" s="1">
        <f t="shared" ca="1" si="61"/>
        <v>6</v>
      </c>
      <c r="H74" s="1">
        <f t="shared" ca="1" si="62"/>
        <v>7</v>
      </c>
      <c r="I74" s="1"/>
      <c r="J74" s="1">
        <f t="shared" ca="1" si="63"/>
        <v>12</v>
      </c>
      <c r="K74" s="1">
        <f t="shared" ca="1" si="64"/>
        <v>1.0652800955721011</v>
      </c>
      <c r="L74" s="1">
        <f t="shared" ca="1" si="65"/>
        <v>16</v>
      </c>
      <c r="M74" s="1"/>
      <c r="N74" s="1">
        <f t="shared" ca="1" si="66"/>
        <v>682</v>
      </c>
      <c r="O74" s="1">
        <f t="shared" ca="1" si="67"/>
        <v>15</v>
      </c>
      <c r="P74" s="1"/>
      <c r="Q74" s="1">
        <f t="shared" ca="1" si="68"/>
        <v>1.4252206325811969</v>
      </c>
      <c r="R74" s="1">
        <f t="shared" ca="1" si="69"/>
        <v>885</v>
      </c>
      <c r="S74" s="1"/>
      <c r="T74" s="1">
        <f t="shared" ca="1" si="70"/>
        <v>8.0928853218834418E-2</v>
      </c>
      <c r="U74" s="1">
        <f t="shared" ca="1" si="71"/>
        <v>222</v>
      </c>
      <c r="V74" s="1">
        <f t="shared" ca="1" si="72"/>
        <v>5</v>
      </c>
      <c r="W74" s="1"/>
      <c r="X74" s="1">
        <f t="shared" ca="1" si="73"/>
        <v>9.3231400689744035</v>
      </c>
      <c r="Y74" s="1">
        <f t="shared" ca="1" si="74"/>
        <v>3.4151313505639005E-2</v>
      </c>
      <c r="Z74" s="1">
        <f t="shared" ca="1" si="75"/>
        <v>1015</v>
      </c>
      <c r="AB74" s="1">
        <f t="shared" ca="1" si="76"/>
        <v>0.9901224389288652</v>
      </c>
      <c r="AC74" s="1">
        <f t="shared" ca="1" si="77"/>
        <v>735</v>
      </c>
      <c r="AD74" s="1">
        <f t="shared" ca="1" si="78"/>
        <v>9.2377275379504978E-3</v>
      </c>
      <c r="AE74" s="1"/>
      <c r="AF74" s="1">
        <f t="shared" ca="1" si="79"/>
        <v>0.3464851614377536</v>
      </c>
      <c r="AG74" s="1">
        <f t="shared" ca="1" si="80"/>
        <v>631</v>
      </c>
      <c r="AH74" s="1">
        <f t="shared" ca="1" si="81"/>
        <v>6.3241265358995706E-3</v>
      </c>
      <c r="AJ74" s="1">
        <f t="shared" ca="1" si="82"/>
        <v>0.57922912922703385</v>
      </c>
      <c r="AK74" s="1">
        <f t="shared" ca="1" si="83"/>
        <v>9.1992969323284931E-3</v>
      </c>
      <c r="AL74" s="1"/>
      <c r="AM74" s="1">
        <f t="shared" ca="1" si="84"/>
        <v>7.7033307010030846E-2</v>
      </c>
      <c r="AN74" s="1">
        <f t="shared" ca="1" si="85"/>
        <v>53</v>
      </c>
      <c r="AO74" s="1">
        <f t="shared" ca="1" si="86"/>
        <v>15</v>
      </c>
      <c r="AQ74" s="1">
        <f t="shared" ca="1" si="87"/>
        <v>158</v>
      </c>
      <c r="AR74" s="1">
        <f t="shared" ca="1" si="88"/>
        <v>9</v>
      </c>
      <c r="AS74" s="1">
        <f t="shared" ca="1" si="89"/>
        <v>90</v>
      </c>
      <c r="AU74" s="1">
        <f t="shared" ca="1" si="90"/>
        <v>184</v>
      </c>
      <c r="AV74" s="1">
        <f t="shared" ca="1" si="91"/>
        <v>5</v>
      </c>
      <c r="AW74" s="1">
        <f t="shared" ca="1" si="92"/>
        <v>0.10689835575892717</v>
      </c>
      <c r="AY74" s="1">
        <f t="shared" ca="1" si="93"/>
        <v>1.2361644381230836</v>
      </c>
      <c r="AZ74" s="1">
        <f t="shared" ca="1" si="94"/>
        <v>373</v>
      </c>
      <c r="BA74" s="1">
        <f t="shared" ca="1" si="95"/>
        <v>6.4860730069174252E-3</v>
      </c>
      <c r="BV74" s="1">
        <f t="shared" ca="1" si="96"/>
        <v>0.64691690990293904</v>
      </c>
      <c r="BW74" s="1">
        <f t="shared" ca="1" si="97"/>
        <v>911</v>
      </c>
      <c r="BX74" s="1">
        <f t="shared" ca="1" si="98"/>
        <v>5.996520138690667E-4</v>
      </c>
      <c r="BY74" s="1">
        <f t="shared" ca="1" si="99"/>
        <v>6.908184539526499E-2</v>
      </c>
      <c r="BZ74" s="1">
        <f t="shared" ca="1" si="100"/>
        <v>0.71485714502279984</v>
      </c>
      <c r="CB74" s="1">
        <f t="shared" ca="1" si="101"/>
        <v>225</v>
      </c>
      <c r="CC74" s="1">
        <f t="shared" ca="1" si="102"/>
        <v>8</v>
      </c>
      <c r="CD74" s="1">
        <f t="shared" ca="1" si="103"/>
        <v>0.29360075247690792</v>
      </c>
      <c r="CE74" s="1">
        <f t="shared" ca="1" si="104"/>
        <v>0.7074974235310898</v>
      </c>
      <c r="CF74" s="1">
        <f t="shared" ca="1" si="104"/>
        <v>0.74138873619871504</v>
      </c>
      <c r="CH74" s="3">
        <f t="shared" ca="1" si="105"/>
        <v>0.44977926637679783</v>
      </c>
      <c r="CI74" s="3">
        <f t="shared" ca="1" si="106"/>
        <v>0.60985813977267644</v>
      </c>
      <c r="CJ74" s="3">
        <f t="shared" ca="1" si="107"/>
        <v>1509</v>
      </c>
      <c r="CK74" s="3">
        <f t="shared" ca="1" si="108"/>
        <v>6.0344707140738063E-3</v>
      </c>
      <c r="CL74" s="3">
        <f t="shared" ca="1" si="109"/>
        <v>1</v>
      </c>
      <c r="CM74" s="3"/>
      <c r="CN74" s="1">
        <f t="shared" ca="1" si="110"/>
        <v>5.8776996729396824</v>
      </c>
      <c r="CO74" s="1">
        <f t="shared" ca="1" si="111"/>
        <v>0.45615702430254262</v>
      </c>
      <c r="CP74" s="1">
        <f t="shared" ca="1" si="112"/>
        <v>3</v>
      </c>
    </row>
    <row r="75" spans="2:94" x14ac:dyDescent="0.25">
      <c r="B75">
        <f t="shared" ca="1" si="57"/>
        <v>374</v>
      </c>
      <c r="C75">
        <f t="shared" ca="1" si="58"/>
        <v>6</v>
      </c>
      <c r="D75">
        <f t="shared" ca="1" si="59"/>
        <v>0.28495067898168941</v>
      </c>
      <c r="F75" s="1">
        <f t="shared" ca="1" si="60"/>
        <v>29</v>
      </c>
      <c r="G75" s="1">
        <f t="shared" ca="1" si="61"/>
        <v>4</v>
      </c>
      <c r="H75" s="1">
        <f t="shared" ca="1" si="62"/>
        <v>15</v>
      </c>
      <c r="I75" s="1"/>
      <c r="J75" s="1">
        <f t="shared" ca="1" si="63"/>
        <v>37</v>
      </c>
      <c r="K75" s="1">
        <f t="shared" ca="1" si="64"/>
        <v>1.4827614566561516</v>
      </c>
      <c r="L75" s="1">
        <f t="shared" ca="1" si="65"/>
        <v>28</v>
      </c>
      <c r="M75" s="1"/>
      <c r="N75" s="1">
        <f t="shared" ca="1" si="66"/>
        <v>282</v>
      </c>
      <c r="O75" s="1">
        <f t="shared" ca="1" si="67"/>
        <v>18</v>
      </c>
      <c r="P75" s="1"/>
      <c r="Q75" s="1">
        <f t="shared" ca="1" si="68"/>
        <v>3.3967255216649228</v>
      </c>
      <c r="R75" s="1">
        <f t="shared" ca="1" si="69"/>
        <v>404</v>
      </c>
      <c r="S75" s="1"/>
      <c r="T75" s="1">
        <f t="shared" ca="1" si="70"/>
        <v>0.1003592015917447</v>
      </c>
      <c r="U75" s="1">
        <f t="shared" ca="1" si="71"/>
        <v>316</v>
      </c>
      <c r="V75" s="1">
        <f t="shared" ca="1" si="72"/>
        <v>38</v>
      </c>
      <c r="W75" s="1"/>
      <c r="X75" s="1">
        <f t="shared" ca="1" si="73"/>
        <v>6.3308581602444729</v>
      </c>
      <c r="Y75" s="1">
        <f t="shared" ca="1" si="74"/>
        <v>6.3680913176413445E-2</v>
      </c>
      <c r="Z75" s="1">
        <f t="shared" ca="1" si="75"/>
        <v>1284</v>
      </c>
      <c r="AB75" s="1">
        <f t="shared" ca="1" si="76"/>
        <v>0.86322271686090601</v>
      </c>
      <c r="AC75" s="1">
        <f t="shared" ca="1" si="77"/>
        <v>138</v>
      </c>
      <c r="AD75" s="1">
        <f t="shared" ca="1" si="78"/>
        <v>2.467708267840759E-3</v>
      </c>
      <c r="AE75" s="1"/>
      <c r="AF75" s="1">
        <f t="shared" ca="1" si="79"/>
        <v>0.44449840734779078</v>
      </c>
      <c r="AG75" s="1">
        <f t="shared" ca="1" si="80"/>
        <v>537</v>
      </c>
      <c r="AH75" s="1">
        <f t="shared" ca="1" si="81"/>
        <v>1.8361937099646559E-3</v>
      </c>
      <c r="AJ75" s="1">
        <f t="shared" ca="1" si="82"/>
        <v>0.29370461395651215</v>
      </c>
      <c r="AK75" s="1">
        <f t="shared" ca="1" si="83"/>
        <v>2.7276360029150244E-3</v>
      </c>
      <c r="AL75" s="1"/>
      <c r="AM75" s="1">
        <f t="shared" ca="1" si="84"/>
        <v>8.0630028104793708E-2</v>
      </c>
      <c r="AN75" s="1">
        <f t="shared" ca="1" si="85"/>
        <v>36</v>
      </c>
      <c r="AO75" s="1">
        <f t="shared" ca="1" si="86"/>
        <v>18</v>
      </c>
      <c r="AQ75" s="1">
        <f t="shared" ca="1" si="87"/>
        <v>78</v>
      </c>
      <c r="AR75" s="1">
        <f t="shared" ca="1" si="88"/>
        <v>5</v>
      </c>
      <c r="AS75" s="1">
        <f t="shared" ca="1" si="89"/>
        <v>4</v>
      </c>
      <c r="AU75" s="1">
        <f t="shared" ca="1" si="90"/>
        <v>281</v>
      </c>
      <c r="AV75" s="1">
        <f t="shared" ca="1" si="91"/>
        <v>10</v>
      </c>
      <c r="AW75" s="1">
        <f t="shared" ca="1" si="92"/>
        <v>0.15160331750389944</v>
      </c>
      <c r="AY75" s="1">
        <f t="shared" ca="1" si="93"/>
        <v>1.4435669620166189</v>
      </c>
      <c r="AZ75" s="1">
        <f t="shared" ca="1" si="94"/>
        <v>128</v>
      </c>
      <c r="BA75" s="1">
        <f t="shared" ca="1" si="95"/>
        <v>7.6709115483803167E-3</v>
      </c>
      <c r="BV75" s="1">
        <f t="shared" ca="1" si="96"/>
        <v>0.4621257652905737</v>
      </c>
      <c r="BW75" s="1">
        <f t="shared" ca="1" si="97"/>
        <v>642</v>
      </c>
      <c r="BX75" s="1">
        <f t="shared" ca="1" si="98"/>
        <v>6.2511141599828771E-4</v>
      </c>
      <c r="BY75" s="1">
        <f t="shared" ca="1" si="99"/>
        <v>9.6804817793962453E-2</v>
      </c>
      <c r="BZ75" s="1">
        <f t="shared" ca="1" si="100"/>
        <v>5.7768169732928754E-2</v>
      </c>
      <c r="CB75" s="1">
        <f t="shared" ca="1" si="101"/>
        <v>315</v>
      </c>
      <c r="CC75" s="1">
        <f t="shared" ca="1" si="102"/>
        <v>5</v>
      </c>
      <c r="CD75" s="1">
        <f t="shared" ca="1" si="103"/>
        <v>0.17231835266920831</v>
      </c>
      <c r="CE75" s="1">
        <f t="shared" ca="1" si="104"/>
        <v>0.95342089320594892</v>
      </c>
      <c r="CF75" s="1">
        <f t="shared" ca="1" si="104"/>
        <v>0.62265086562658678</v>
      </c>
      <c r="CH75" s="3">
        <f t="shared" ca="1" si="105"/>
        <v>0.31311801631559988</v>
      </c>
      <c r="CI75" s="3">
        <f t="shared" ca="1" si="106"/>
        <v>0.14194462633259466</v>
      </c>
      <c r="CJ75" s="3">
        <f t="shared" ca="1" si="107"/>
        <v>1988</v>
      </c>
      <c r="CK75" s="3">
        <f t="shared" ca="1" si="108"/>
        <v>2.728868071918232E-3</v>
      </c>
      <c r="CL75" s="3">
        <f t="shared" ca="1" si="109"/>
        <v>0</v>
      </c>
      <c r="CM75" s="3"/>
      <c r="CN75" s="1">
        <f t="shared" ca="1" si="110"/>
        <v>4.2814063027275671</v>
      </c>
      <c r="CO75" s="1">
        <f t="shared" ca="1" si="111"/>
        <v>0.30976867416937814</v>
      </c>
      <c r="CP75" s="1">
        <f t="shared" ca="1" si="112"/>
        <v>4</v>
      </c>
    </row>
    <row r="76" spans="2:94" x14ac:dyDescent="0.25">
      <c r="B76">
        <f t="shared" ca="1" si="57"/>
        <v>153</v>
      </c>
      <c r="C76">
        <f t="shared" ca="1" si="58"/>
        <v>8</v>
      </c>
      <c r="D76">
        <f t="shared" ca="1" si="59"/>
        <v>7.2685687570821264E-2</v>
      </c>
      <c r="F76" s="1">
        <f t="shared" ca="1" si="60"/>
        <v>20</v>
      </c>
      <c r="G76" s="1">
        <f t="shared" ca="1" si="61"/>
        <v>23</v>
      </c>
      <c r="H76" s="1">
        <f t="shared" ca="1" si="62"/>
        <v>1</v>
      </c>
      <c r="I76" s="1"/>
      <c r="J76" s="1">
        <f t="shared" ca="1" si="63"/>
        <v>23</v>
      </c>
      <c r="K76" s="1">
        <f t="shared" ca="1" si="64"/>
        <v>1.944833958414379</v>
      </c>
      <c r="L76" s="1">
        <f t="shared" ca="1" si="65"/>
        <v>30</v>
      </c>
      <c r="M76" s="1"/>
      <c r="N76" s="1">
        <f t="shared" ca="1" si="66"/>
        <v>961</v>
      </c>
      <c r="O76" s="1">
        <f t="shared" ca="1" si="67"/>
        <v>2</v>
      </c>
      <c r="P76" s="1"/>
      <c r="Q76" s="1">
        <f t="shared" ca="1" si="68"/>
        <v>1.3087699183024846</v>
      </c>
      <c r="R76" s="1">
        <f t="shared" ca="1" si="69"/>
        <v>504</v>
      </c>
      <c r="S76" s="1"/>
      <c r="T76" s="1">
        <f t="shared" ca="1" si="70"/>
        <v>1.189706415167948E-2</v>
      </c>
      <c r="U76" s="1">
        <f t="shared" ca="1" si="71"/>
        <v>407</v>
      </c>
      <c r="V76" s="1">
        <f t="shared" ca="1" si="72"/>
        <v>3</v>
      </c>
      <c r="W76" s="1"/>
      <c r="X76" s="1">
        <f t="shared" ca="1" si="73"/>
        <v>0.49265549250578544</v>
      </c>
      <c r="Y76" s="1">
        <f t="shared" ca="1" si="74"/>
        <v>0.37370662594509158</v>
      </c>
      <c r="Z76" s="1">
        <f t="shared" ca="1" si="75"/>
        <v>1660</v>
      </c>
      <c r="AB76" s="1">
        <f t="shared" ca="1" si="76"/>
        <v>0.89758846723362229</v>
      </c>
      <c r="AC76" s="1">
        <f t="shared" ca="1" si="77"/>
        <v>289</v>
      </c>
      <c r="AD76" s="1">
        <f t="shared" ca="1" si="78"/>
        <v>2.1828299562730684E-3</v>
      </c>
      <c r="AE76" s="1"/>
      <c r="AF76" s="1">
        <f t="shared" ca="1" si="79"/>
        <v>0.62302318862044725</v>
      </c>
      <c r="AG76" s="1">
        <f t="shared" ca="1" si="80"/>
        <v>806</v>
      </c>
      <c r="AH76" s="1">
        <f t="shared" ca="1" si="81"/>
        <v>2.6178862229042392E-3</v>
      </c>
      <c r="AJ76" s="1">
        <f t="shared" ca="1" si="82"/>
        <v>0.16832887401414576</v>
      </c>
      <c r="AK76" s="1">
        <f t="shared" ca="1" si="83"/>
        <v>6.0857436680828714E-3</v>
      </c>
      <c r="AL76" s="1"/>
      <c r="AM76" s="1">
        <f t="shared" ca="1" si="84"/>
        <v>0.11142920851514158</v>
      </c>
      <c r="AN76" s="1">
        <f t="shared" ca="1" si="85"/>
        <v>79</v>
      </c>
      <c r="AO76" s="1">
        <f t="shared" ca="1" si="86"/>
        <v>16</v>
      </c>
      <c r="AQ76" s="1">
        <f t="shared" ca="1" si="87"/>
        <v>68</v>
      </c>
      <c r="AR76" s="1">
        <f t="shared" ca="1" si="88"/>
        <v>0</v>
      </c>
      <c r="AS76" s="1">
        <f t="shared" ca="1" si="89"/>
        <v>26</v>
      </c>
      <c r="AU76" s="1">
        <f t="shared" ca="1" si="90"/>
        <v>375</v>
      </c>
      <c r="AV76" s="1">
        <f t="shared" ca="1" si="91"/>
        <v>7</v>
      </c>
      <c r="AW76" s="1">
        <f t="shared" ca="1" si="92"/>
        <v>7.8476529348675897E-2</v>
      </c>
      <c r="AY76" s="1">
        <f t="shared" ca="1" si="93"/>
        <v>1.4207521941039054</v>
      </c>
      <c r="AZ76" s="1">
        <f t="shared" ca="1" si="94"/>
        <v>224</v>
      </c>
      <c r="BA76" s="1">
        <f t="shared" ca="1" si="95"/>
        <v>3.9206426716103682E-3</v>
      </c>
      <c r="BV76" s="1">
        <f t="shared" ca="1" si="96"/>
        <v>0.94443876667716642</v>
      </c>
      <c r="BW76" s="1">
        <f t="shared" ca="1" si="97"/>
        <v>891</v>
      </c>
      <c r="BX76" s="1">
        <f t="shared" ca="1" si="98"/>
        <v>6.5254264040624033E-3</v>
      </c>
      <c r="BY76" s="1">
        <f t="shared" ca="1" si="99"/>
        <v>4.625543891657375E-2</v>
      </c>
      <c r="BZ76" s="1">
        <f t="shared" ca="1" si="100"/>
        <v>0.14544303849659179</v>
      </c>
      <c r="CB76" s="1">
        <f t="shared" ca="1" si="101"/>
        <v>246</v>
      </c>
      <c r="CC76" s="1">
        <f t="shared" ca="1" si="102"/>
        <v>15</v>
      </c>
      <c r="CD76" s="1">
        <f t="shared" ca="1" si="103"/>
        <v>0.23653960011568773</v>
      </c>
      <c r="CE76" s="1">
        <f t="shared" ca="1" si="104"/>
        <v>0.70485977929667809</v>
      </c>
      <c r="CF76" s="1">
        <f t="shared" ca="1" si="104"/>
        <v>0.86970224558207077</v>
      </c>
      <c r="CH76" s="3">
        <f t="shared" ca="1" si="105"/>
        <v>0.90052712664318435</v>
      </c>
      <c r="CI76" s="3">
        <f t="shared" ca="1" si="106"/>
        <v>0.18004648056518463</v>
      </c>
      <c r="CJ76" s="3">
        <f t="shared" ca="1" si="107"/>
        <v>1532</v>
      </c>
      <c r="CK76" s="3">
        <f t="shared" ca="1" si="108"/>
        <v>8.4685945999991158E-3</v>
      </c>
      <c r="CL76" s="3">
        <f t="shared" ca="1" si="109"/>
        <v>1</v>
      </c>
      <c r="CM76" s="3"/>
      <c r="CN76" s="1">
        <f t="shared" ca="1" si="110"/>
        <v>13.062488129991701</v>
      </c>
      <c r="CO76" s="1">
        <f t="shared" ca="1" si="111"/>
        <v>0.18809392232193509</v>
      </c>
      <c r="CP76" s="1">
        <f t="shared" ca="1" si="112"/>
        <v>4</v>
      </c>
    </row>
    <row r="77" spans="2:94" x14ac:dyDescent="0.25">
      <c r="B77">
        <f t="shared" ca="1" si="57"/>
        <v>453</v>
      </c>
      <c r="C77">
        <f t="shared" ca="1" si="58"/>
        <v>39</v>
      </c>
      <c r="D77">
        <f t="shared" ca="1" si="59"/>
        <v>0.13808341731059853</v>
      </c>
      <c r="F77" s="1">
        <f t="shared" ca="1" si="60"/>
        <v>24</v>
      </c>
      <c r="G77" s="1">
        <f t="shared" ca="1" si="61"/>
        <v>12</v>
      </c>
      <c r="H77" s="1">
        <f t="shared" ca="1" si="62"/>
        <v>8</v>
      </c>
      <c r="I77" s="1"/>
      <c r="J77" s="1">
        <f t="shared" ca="1" si="63"/>
        <v>24</v>
      </c>
      <c r="K77" s="1">
        <f t="shared" ca="1" si="64"/>
        <v>2.3448018012998357</v>
      </c>
      <c r="L77" s="1">
        <f t="shared" ca="1" si="65"/>
        <v>5</v>
      </c>
      <c r="M77" s="1"/>
      <c r="N77" s="1">
        <f t="shared" ca="1" si="66"/>
        <v>499</v>
      </c>
      <c r="O77" s="1">
        <f t="shared" ca="1" si="67"/>
        <v>45</v>
      </c>
      <c r="P77" s="1"/>
      <c r="Q77" s="1">
        <f t="shared" ca="1" si="68"/>
        <v>2.2953837147717571</v>
      </c>
      <c r="R77" s="1">
        <f t="shared" ca="1" si="69"/>
        <v>265</v>
      </c>
      <c r="S77" s="1"/>
      <c r="T77" s="1">
        <f t="shared" ca="1" si="70"/>
        <v>4.9381339648552056E-2</v>
      </c>
      <c r="U77" s="1">
        <f t="shared" ca="1" si="71"/>
        <v>335</v>
      </c>
      <c r="V77" s="1">
        <f t="shared" ca="1" si="72"/>
        <v>20</v>
      </c>
      <c r="W77" s="1"/>
      <c r="X77" s="1">
        <f t="shared" ca="1" si="73"/>
        <v>1.9549722135171972</v>
      </c>
      <c r="Y77" s="1">
        <f t="shared" ca="1" si="74"/>
        <v>0.63156237746603272</v>
      </c>
      <c r="Z77" s="1">
        <f t="shared" ca="1" si="75"/>
        <v>702</v>
      </c>
      <c r="AB77" s="1">
        <f t="shared" ca="1" si="76"/>
        <v>0.33215678972107782</v>
      </c>
      <c r="AC77" s="1">
        <f t="shared" ca="1" si="77"/>
        <v>603</v>
      </c>
      <c r="AD77" s="1">
        <f t="shared" ca="1" si="78"/>
        <v>4.4114257636492247E-3</v>
      </c>
      <c r="AE77" s="1"/>
      <c r="AF77" s="1">
        <f t="shared" ca="1" si="79"/>
        <v>0.41488208651179126</v>
      </c>
      <c r="AG77" s="1">
        <f t="shared" ca="1" si="80"/>
        <v>585</v>
      </c>
      <c r="AH77" s="1">
        <f t="shared" ca="1" si="81"/>
        <v>2.362156892161898E-4</v>
      </c>
      <c r="AJ77" s="1">
        <f t="shared" ca="1" si="82"/>
        <v>0.43033289492165383</v>
      </c>
      <c r="AK77" s="1">
        <f t="shared" ca="1" si="83"/>
        <v>5.4944941284808969E-3</v>
      </c>
      <c r="AL77" s="1"/>
      <c r="AM77" s="1">
        <f t="shared" ca="1" si="84"/>
        <v>9.5849738450432112E-2</v>
      </c>
      <c r="AN77" s="1">
        <f t="shared" ca="1" si="85"/>
        <v>63</v>
      </c>
      <c r="AO77" s="1">
        <f t="shared" ca="1" si="86"/>
        <v>17</v>
      </c>
      <c r="AQ77" s="1">
        <f t="shared" ca="1" si="87"/>
        <v>134</v>
      </c>
      <c r="AR77" s="1">
        <f t="shared" ca="1" si="88"/>
        <v>1</v>
      </c>
      <c r="AS77" s="1">
        <f t="shared" ca="1" si="89"/>
        <v>57</v>
      </c>
      <c r="AU77" s="1">
        <f t="shared" ca="1" si="90"/>
        <v>313</v>
      </c>
      <c r="AV77" s="1">
        <f t="shared" ca="1" si="91"/>
        <v>3</v>
      </c>
      <c r="AW77" s="1">
        <f t="shared" ca="1" si="92"/>
        <v>3.8509777868653741E-2</v>
      </c>
      <c r="AY77" s="1">
        <f t="shared" ca="1" si="93"/>
        <v>1.3166478162397779</v>
      </c>
      <c r="AZ77" s="1">
        <f t="shared" ca="1" si="94"/>
        <v>440</v>
      </c>
      <c r="BA77" s="1">
        <f t="shared" ca="1" si="95"/>
        <v>7.0989066286628044E-3</v>
      </c>
      <c r="BV77" s="1">
        <f t="shared" ca="1" si="96"/>
        <v>0.18582074879439903</v>
      </c>
      <c r="BW77" s="1">
        <f t="shared" ca="1" si="97"/>
        <v>105</v>
      </c>
      <c r="BX77" s="1">
        <f t="shared" ca="1" si="98"/>
        <v>3.2743721864888658E-3</v>
      </c>
      <c r="BY77" s="1">
        <f t="shared" ca="1" si="99"/>
        <v>7.6698991710641345E-2</v>
      </c>
      <c r="BZ77" s="1">
        <f t="shared" ca="1" si="100"/>
        <v>0.62541705032274453</v>
      </c>
      <c r="CB77" s="1">
        <f t="shared" ca="1" si="101"/>
        <v>255</v>
      </c>
      <c r="CC77" s="1">
        <f t="shared" ca="1" si="102"/>
        <v>9</v>
      </c>
      <c r="CD77" s="1">
        <f t="shared" ca="1" si="103"/>
        <v>0.12306099212833427</v>
      </c>
      <c r="CE77" s="1">
        <f t="shared" ca="1" si="104"/>
        <v>0.87925198321856435</v>
      </c>
      <c r="CF77" s="1">
        <f t="shared" ca="1" si="104"/>
        <v>0.62081767056885506</v>
      </c>
      <c r="CH77" s="3">
        <f t="shared" ca="1" si="105"/>
        <v>0.33285251250712589</v>
      </c>
      <c r="CI77" s="3">
        <f t="shared" ca="1" si="106"/>
        <v>0.12878321254189282</v>
      </c>
      <c r="CJ77" s="3">
        <f t="shared" ca="1" si="107"/>
        <v>1539</v>
      </c>
      <c r="CK77" s="3">
        <f t="shared" ca="1" si="108"/>
        <v>6.3568349395986537E-3</v>
      </c>
      <c r="CL77" s="3">
        <f t="shared" ca="1" si="109"/>
        <v>0</v>
      </c>
      <c r="CM77" s="3"/>
      <c r="CN77" s="1">
        <f t="shared" ca="1" si="110"/>
        <v>11.601224043921411</v>
      </c>
      <c r="CO77" s="1">
        <f t="shared" ca="1" si="111"/>
        <v>0.16672158550012459</v>
      </c>
      <c r="CP77" s="1">
        <f t="shared" ca="1" si="112"/>
        <v>3</v>
      </c>
    </row>
    <row r="78" spans="2:94" x14ac:dyDescent="0.25">
      <c r="B78">
        <f t="shared" ca="1" si="57"/>
        <v>144</v>
      </c>
      <c r="C78">
        <f t="shared" ca="1" si="58"/>
        <v>49</v>
      </c>
      <c r="D78">
        <f t="shared" ca="1" si="59"/>
        <v>0.2796838394573235</v>
      </c>
      <c r="F78" s="1">
        <f t="shared" ca="1" si="60"/>
        <v>9</v>
      </c>
      <c r="G78" s="1">
        <f t="shared" ca="1" si="61"/>
        <v>28</v>
      </c>
      <c r="H78" s="1">
        <f t="shared" ca="1" si="62"/>
        <v>1</v>
      </c>
      <c r="I78" s="1"/>
      <c r="J78" s="1">
        <f t="shared" ca="1" si="63"/>
        <v>18</v>
      </c>
      <c r="K78" s="1">
        <f t="shared" ca="1" si="64"/>
        <v>2.5981297288401066</v>
      </c>
      <c r="L78" s="1">
        <f t="shared" ca="1" si="65"/>
        <v>11</v>
      </c>
      <c r="M78" s="1"/>
      <c r="N78" s="1">
        <f t="shared" ca="1" si="66"/>
        <v>485</v>
      </c>
      <c r="O78" s="1">
        <f t="shared" ca="1" si="67"/>
        <v>23</v>
      </c>
      <c r="P78" s="1"/>
      <c r="Q78" s="1">
        <f t="shared" ca="1" si="68"/>
        <v>4.3167660114621222</v>
      </c>
      <c r="R78" s="1">
        <f t="shared" ca="1" si="69"/>
        <v>608</v>
      </c>
      <c r="S78" s="1"/>
      <c r="T78" s="1">
        <f t="shared" ca="1" si="70"/>
        <v>1.8655152207429984E-2</v>
      </c>
      <c r="U78" s="1">
        <f t="shared" ca="1" si="71"/>
        <v>78</v>
      </c>
      <c r="V78" s="1">
        <f t="shared" ca="1" si="72"/>
        <v>12</v>
      </c>
      <c r="W78" s="1"/>
      <c r="X78" s="1">
        <f t="shared" ca="1" si="73"/>
        <v>7.0853870900050131</v>
      </c>
      <c r="Y78" s="1">
        <f t="shared" ca="1" si="74"/>
        <v>0.92324135423575171</v>
      </c>
      <c r="Z78" s="1">
        <f t="shared" ca="1" si="75"/>
        <v>829</v>
      </c>
      <c r="AB78" s="1">
        <f t="shared" ca="1" si="76"/>
        <v>2.6020059875832283E-2</v>
      </c>
      <c r="AC78" s="1">
        <f t="shared" ca="1" si="77"/>
        <v>365</v>
      </c>
      <c r="AD78" s="1">
        <f t="shared" ca="1" si="78"/>
        <v>1.2336101847261842E-3</v>
      </c>
      <c r="AE78" s="1"/>
      <c r="AF78" s="1">
        <f t="shared" ca="1" si="79"/>
        <v>0.39409070872525986</v>
      </c>
      <c r="AG78" s="1">
        <f t="shared" ca="1" si="80"/>
        <v>473</v>
      </c>
      <c r="AH78" s="1">
        <f t="shared" ca="1" si="81"/>
        <v>7.7646928653665277E-3</v>
      </c>
      <c r="AJ78" s="1">
        <f t="shared" ca="1" si="82"/>
        <v>0.21655079761582385</v>
      </c>
      <c r="AK78" s="1">
        <f t="shared" ca="1" si="83"/>
        <v>9.4760437172872886E-3</v>
      </c>
      <c r="AL78" s="1"/>
      <c r="AM78" s="1">
        <f t="shared" ca="1" si="84"/>
        <v>1.6039229316349626E-2</v>
      </c>
      <c r="AN78" s="1">
        <f t="shared" ca="1" si="85"/>
        <v>56</v>
      </c>
      <c r="AO78" s="1">
        <f t="shared" ca="1" si="86"/>
        <v>10</v>
      </c>
      <c r="AQ78" s="1">
        <f t="shared" ca="1" si="87"/>
        <v>52</v>
      </c>
      <c r="AR78" s="1">
        <f t="shared" ca="1" si="88"/>
        <v>4</v>
      </c>
      <c r="AS78" s="1">
        <f t="shared" ca="1" si="89"/>
        <v>60</v>
      </c>
      <c r="AU78" s="1">
        <f t="shared" ca="1" si="90"/>
        <v>356</v>
      </c>
      <c r="AV78" s="1">
        <f t="shared" ca="1" si="91"/>
        <v>8</v>
      </c>
      <c r="AW78" s="1">
        <f t="shared" ca="1" si="92"/>
        <v>7.6349142133916734E-2</v>
      </c>
      <c r="AY78" s="1">
        <f t="shared" ca="1" si="93"/>
        <v>1.3657473828774447</v>
      </c>
      <c r="AZ78" s="1">
        <f t="shared" ca="1" si="94"/>
        <v>493</v>
      </c>
      <c r="BA78" s="1">
        <f t="shared" ca="1" si="95"/>
        <v>2.2374903454108444E-3</v>
      </c>
      <c r="BV78" s="1">
        <f t="shared" ca="1" si="96"/>
        <v>0.99475195645143244</v>
      </c>
      <c r="BW78" s="1">
        <f t="shared" ca="1" si="97"/>
        <v>543</v>
      </c>
      <c r="BX78" s="1">
        <f t="shared" ca="1" si="98"/>
        <v>7.8294449483242209E-3</v>
      </c>
      <c r="BY78" s="1">
        <f t="shared" ca="1" si="99"/>
        <v>4.0003033283455704E-2</v>
      </c>
      <c r="BZ78" s="1">
        <f t="shared" ca="1" si="100"/>
        <v>0.52800334613436595</v>
      </c>
      <c r="CB78" s="1">
        <f t="shared" ca="1" si="101"/>
        <v>246</v>
      </c>
      <c r="CC78" s="1">
        <f t="shared" ca="1" si="102"/>
        <v>13</v>
      </c>
      <c r="CD78" s="1">
        <f t="shared" ca="1" si="103"/>
        <v>1.5760347268780072E-2</v>
      </c>
      <c r="CE78" s="1">
        <f t="shared" ca="1" si="104"/>
        <v>0.9922603750729293</v>
      </c>
      <c r="CF78" s="1">
        <f t="shared" ca="1" si="104"/>
        <v>0.55666474436512514</v>
      </c>
      <c r="CH78" s="3">
        <f t="shared" ca="1" si="105"/>
        <v>0.59081835365226154</v>
      </c>
      <c r="CI78" s="3">
        <f t="shared" ca="1" si="106"/>
        <v>0.81201265806549694</v>
      </c>
      <c r="CJ78" s="3">
        <f t="shared" ca="1" si="107"/>
        <v>219</v>
      </c>
      <c r="CK78" s="3">
        <f t="shared" ca="1" si="108"/>
        <v>9.7073455530036126E-3</v>
      </c>
      <c r="CL78" s="3">
        <f t="shared" ca="1" si="109"/>
        <v>0</v>
      </c>
      <c r="CM78" s="3"/>
      <c r="CN78" s="1">
        <f t="shared" ca="1" si="110"/>
        <v>5.2314622666113948</v>
      </c>
      <c r="CO78" s="1">
        <f t="shared" ca="1" si="111"/>
        <v>0.36398922319813082</v>
      </c>
      <c r="CP78" s="1">
        <f t="shared" ca="1" si="112"/>
        <v>2</v>
      </c>
    </row>
    <row r="79" spans="2:94" x14ac:dyDescent="0.25">
      <c r="B79">
        <f t="shared" ca="1" si="57"/>
        <v>472</v>
      </c>
      <c r="C79">
        <f t="shared" ca="1" si="58"/>
        <v>4</v>
      </c>
      <c r="D79">
        <f t="shared" ca="1" si="59"/>
        <v>0.16464975443004334</v>
      </c>
      <c r="F79" s="1">
        <f t="shared" ca="1" si="60"/>
        <v>32</v>
      </c>
      <c r="G79" s="1">
        <f t="shared" ca="1" si="61"/>
        <v>12</v>
      </c>
      <c r="H79" s="1">
        <f t="shared" ca="1" si="62"/>
        <v>9</v>
      </c>
      <c r="I79" s="1"/>
      <c r="J79" s="1">
        <f t="shared" ca="1" si="63"/>
        <v>1</v>
      </c>
      <c r="K79" s="1">
        <f t="shared" ca="1" si="64"/>
        <v>2.6948623149042978</v>
      </c>
      <c r="L79" s="1">
        <f t="shared" ca="1" si="65"/>
        <v>26</v>
      </c>
      <c r="M79" s="1"/>
      <c r="N79" s="1">
        <f t="shared" ca="1" si="66"/>
        <v>39</v>
      </c>
      <c r="O79" s="1">
        <f t="shared" ca="1" si="67"/>
        <v>7</v>
      </c>
      <c r="P79" s="1"/>
      <c r="Q79" s="1">
        <f t="shared" ca="1" si="68"/>
        <v>3.555661070193616</v>
      </c>
      <c r="R79" s="1">
        <f t="shared" ca="1" si="69"/>
        <v>500</v>
      </c>
      <c r="S79" s="1"/>
      <c r="T79" s="1">
        <f t="shared" ca="1" si="70"/>
        <v>0.11283818725417949</v>
      </c>
      <c r="U79" s="1">
        <f t="shared" ca="1" si="71"/>
        <v>319</v>
      </c>
      <c r="V79" s="1">
        <f t="shared" ca="1" si="72"/>
        <v>14</v>
      </c>
      <c r="W79" s="1"/>
      <c r="X79" s="1">
        <f t="shared" ca="1" si="73"/>
        <v>7.4421320705143543</v>
      </c>
      <c r="Y79" s="1">
        <f t="shared" ca="1" si="74"/>
        <v>0.76937165083612979</v>
      </c>
      <c r="Z79" s="1">
        <f t="shared" ca="1" si="75"/>
        <v>1028</v>
      </c>
      <c r="AB79" s="1">
        <f t="shared" ca="1" si="76"/>
        <v>0.41724536516682786</v>
      </c>
      <c r="AC79" s="1">
        <f t="shared" ca="1" si="77"/>
        <v>805</v>
      </c>
      <c r="AD79" s="1">
        <f t="shared" ca="1" si="78"/>
        <v>4.495061801668373E-3</v>
      </c>
      <c r="AE79" s="1"/>
      <c r="AF79" s="1">
        <f t="shared" ca="1" si="79"/>
        <v>0.57654207081199382</v>
      </c>
      <c r="AG79" s="1">
        <f t="shared" ca="1" si="80"/>
        <v>771</v>
      </c>
      <c r="AH79" s="1">
        <f t="shared" ca="1" si="81"/>
        <v>5.20989543835305E-3</v>
      </c>
      <c r="AJ79" s="1">
        <f t="shared" ca="1" si="82"/>
        <v>9.1060388433295225E-2</v>
      </c>
      <c r="AK79" s="1">
        <f t="shared" ca="1" si="83"/>
        <v>7.6399186211737018E-3</v>
      </c>
      <c r="AL79" s="1"/>
      <c r="AM79" s="1">
        <f t="shared" ca="1" si="84"/>
        <v>4.918636957740858E-2</v>
      </c>
      <c r="AN79" s="1">
        <f t="shared" ca="1" si="85"/>
        <v>47</v>
      </c>
      <c r="AO79" s="1">
        <f t="shared" ca="1" si="86"/>
        <v>11</v>
      </c>
      <c r="AQ79" s="1">
        <f t="shared" ca="1" si="87"/>
        <v>138</v>
      </c>
      <c r="AR79" s="1">
        <f t="shared" ca="1" si="88"/>
        <v>5</v>
      </c>
      <c r="AS79" s="1">
        <f t="shared" ca="1" si="89"/>
        <v>45</v>
      </c>
      <c r="AU79" s="1">
        <f t="shared" ca="1" si="90"/>
        <v>342</v>
      </c>
      <c r="AV79" s="1">
        <f t="shared" ca="1" si="91"/>
        <v>8</v>
      </c>
      <c r="AW79" s="1">
        <f t="shared" ca="1" si="92"/>
        <v>0.10541543461921613</v>
      </c>
      <c r="AY79" s="1">
        <f t="shared" ca="1" si="93"/>
        <v>1.822329797679866</v>
      </c>
      <c r="AZ79" s="1">
        <f t="shared" ca="1" si="94"/>
        <v>131</v>
      </c>
      <c r="BA79" s="1">
        <f t="shared" ca="1" si="95"/>
        <v>4.5434813013869165E-3</v>
      </c>
      <c r="BV79" s="1">
        <f t="shared" ca="1" si="96"/>
        <v>0.50702894092987938</v>
      </c>
      <c r="BW79" s="1">
        <f t="shared" ca="1" si="97"/>
        <v>191</v>
      </c>
      <c r="BX79" s="1">
        <f t="shared" ca="1" si="98"/>
        <v>6.6863456013927687E-3</v>
      </c>
      <c r="BY79" s="1">
        <f t="shared" ca="1" si="99"/>
        <v>4.1919903657148094E-2</v>
      </c>
      <c r="BZ79" s="1">
        <f t="shared" ca="1" si="100"/>
        <v>0.94185481551732431</v>
      </c>
      <c r="CB79" s="1">
        <f t="shared" ca="1" si="101"/>
        <v>463</v>
      </c>
      <c r="CC79" s="1">
        <f t="shared" ca="1" si="102"/>
        <v>13</v>
      </c>
      <c r="CD79" s="1">
        <f t="shared" ca="1" si="103"/>
        <v>0.10952477309529411</v>
      </c>
      <c r="CE79" s="1">
        <f t="shared" ca="1" si="104"/>
        <v>0.95630162475325675</v>
      </c>
      <c r="CF79" s="1">
        <f t="shared" ca="1" si="104"/>
        <v>0.50241883560818401</v>
      </c>
      <c r="CH79" s="3">
        <f t="shared" ca="1" si="105"/>
        <v>0.2208333447593365</v>
      </c>
      <c r="CI79" s="3">
        <f t="shared" ca="1" si="106"/>
        <v>0.88838290179809698</v>
      </c>
      <c r="CJ79" s="3">
        <f t="shared" ca="1" si="107"/>
        <v>1770</v>
      </c>
      <c r="CK79" s="3">
        <f t="shared" ca="1" si="108"/>
        <v>4.1184813540697937E-3</v>
      </c>
      <c r="CL79" s="3">
        <f t="shared" ca="1" si="109"/>
        <v>1</v>
      </c>
      <c r="CM79" s="3"/>
      <c r="CN79" s="1">
        <f t="shared" ca="1" si="110"/>
        <v>1.34703737660707</v>
      </c>
      <c r="CO79" s="1">
        <f t="shared" ca="1" si="111"/>
        <v>0.11000100384611647</v>
      </c>
      <c r="CP79" s="1">
        <f t="shared" ca="1" si="112"/>
        <v>4</v>
      </c>
    </row>
    <row r="80" spans="2:94" x14ac:dyDescent="0.25">
      <c r="B80">
        <f t="shared" ca="1" si="57"/>
        <v>826</v>
      </c>
      <c r="C80">
        <f t="shared" ca="1" si="58"/>
        <v>29</v>
      </c>
      <c r="D80">
        <f t="shared" ca="1" si="59"/>
        <v>0.13801512525987761</v>
      </c>
      <c r="F80" s="1">
        <f t="shared" ca="1" si="60"/>
        <v>31</v>
      </c>
      <c r="G80" s="1">
        <f t="shared" ca="1" si="61"/>
        <v>16</v>
      </c>
      <c r="H80" s="1">
        <f t="shared" ca="1" si="62"/>
        <v>14</v>
      </c>
      <c r="I80" s="1"/>
      <c r="J80" s="1">
        <f t="shared" ca="1" si="63"/>
        <v>24</v>
      </c>
      <c r="K80" s="1">
        <f t="shared" ca="1" si="64"/>
        <v>1.8265925213253231</v>
      </c>
      <c r="L80" s="1">
        <f t="shared" ca="1" si="65"/>
        <v>2</v>
      </c>
      <c r="M80" s="1"/>
      <c r="N80" s="1">
        <f t="shared" ca="1" si="66"/>
        <v>702</v>
      </c>
      <c r="O80" s="1">
        <f t="shared" ca="1" si="67"/>
        <v>25</v>
      </c>
      <c r="P80" s="1"/>
      <c r="Q80" s="1">
        <f t="shared" ca="1" si="68"/>
        <v>2.670436635191523</v>
      </c>
      <c r="R80" s="1">
        <f t="shared" ca="1" si="69"/>
        <v>1177</v>
      </c>
      <c r="S80" s="1"/>
      <c r="T80" s="1">
        <f t="shared" ca="1" si="70"/>
        <v>0.14143157967328521</v>
      </c>
      <c r="U80" s="1">
        <f t="shared" ca="1" si="71"/>
        <v>339</v>
      </c>
      <c r="V80" s="1">
        <f t="shared" ca="1" si="72"/>
        <v>30</v>
      </c>
      <c r="W80" s="1"/>
      <c r="X80" s="1">
        <f t="shared" ca="1" si="73"/>
        <v>7.8250108393644195</v>
      </c>
      <c r="Y80" s="1">
        <f t="shared" ca="1" si="74"/>
        <v>0.75806432689012071</v>
      </c>
      <c r="Z80" s="1">
        <f t="shared" ca="1" si="75"/>
        <v>1469</v>
      </c>
      <c r="AB80" s="1">
        <f t="shared" ca="1" si="76"/>
        <v>0.38524055580340155</v>
      </c>
      <c r="AC80" s="1">
        <f t="shared" ca="1" si="77"/>
        <v>304</v>
      </c>
      <c r="AD80" s="1">
        <f t="shared" ca="1" si="78"/>
        <v>1.5303325868311799E-3</v>
      </c>
      <c r="AE80" s="1"/>
      <c r="AF80" s="1">
        <f t="shared" ca="1" si="79"/>
        <v>0.65808371265312249</v>
      </c>
      <c r="AG80" s="1">
        <f t="shared" ca="1" si="80"/>
        <v>809</v>
      </c>
      <c r="AH80" s="1">
        <f t="shared" ca="1" si="81"/>
        <v>4.7348104218285997E-3</v>
      </c>
      <c r="AJ80" s="1">
        <f t="shared" ca="1" si="82"/>
        <v>6.7762437304104139E-2</v>
      </c>
      <c r="AK80" s="1">
        <f t="shared" ca="1" si="83"/>
        <v>9.9256505055810951E-4</v>
      </c>
      <c r="AL80" s="1"/>
      <c r="AM80" s="1">
        <f t="shared" ca="1" si="84"/>
        <v>3.7922991378611819E-2</v>
      </c>
      <c r="AN80" s="1">
        <f t="shared" ca="1" si="85"/>
        <v>53</v>
      </c>
      <c r="AO80" s="1">
        <f t="shared" ca="1" si="86"/>
        <v>-1</v>
      </c>
      <c r="AQ80" s="1">
        <f t="shared" ca="1" si="87"/>
        <v>122</v>
      </c>
      <c r="AR80" s="1">
        <f t="shared" ca="1" si="88"/>
        <v>6</v>
      </c>
      <c r="AS80" s="1">
        <f t="shared" ca="1" si="89"/>
        <v>67</v>
      </c>
      <c r="AU80" s="1">
        <f t="shared" ca="1" si="90"/>
        <v>151</v>
      </c>
      <c r="AV80" s="1">
        <f t="shared" ca="1" si="91"/>
        <v>4</v>
      </c>
      <c r="AW80" s="1">
        <f t="shared" ca="1" si="92"/>
        <v>0.13207095195257601</v>
      </c>
      <c r="AY80" s="1">
        <f t="shared" ca="1" si="93"/>
        <v>1.9686007604440261</v>
      </c>
      <c r="AZ80" s="1">
        <f t="shared" ca="1" si="94"/>
        <v>314</v>
      </c>
      <c r="BA80" s="1">
        <f t="shared" ca="1" si="95"/>
        <v>8.7836018814357562E-3</v>
      </c>
      <c r="BV80" s="1">
        <f t="shared" ca="1" si="96"/>
        <v>0.12562390572927987</v>
      </c>
      <c r="BW80" s="1">
        <f t="shared" ca="1" si="97"/>
        <v>533</v>
      </c>
      <c r="BX80" s="1">
        <f t="shared" ca="1" si="98"/>
        <v>8.372016636845999E-3</v>
      </c>
      <c r="BY80" s="1">
        <f t="shared" ca="1" si="99"/>
        <v>4.595342009914842E-2</v>
      </c>
      <c r="BZ80" s="1">
        <f t="shared" ca="1" si="100"/>
        <v>0.47600706688613936</v>
      </c>
      <c r="CB80" s="1">
        <f t="shared" ca="1" si="101"/>
        <v>267</v>
      </c>
      <c r="CC80" s="1">
        <f t="shared" ca="1" si="102"/>
        <v>13</v>
      </c>
      <c r="CD80" s="1">
        <f t="shared" ca="1" si="103"/>
        <v>0.28394861489227513</v>
      </c>
      <c r="CE80" s="1">
        <f t="shared" ca="1" si="104"/>
        <v>0.90528096261134783</v>
      </c>
      <c r="CF80" s="1">
        <f t="shared" ca="1" si="104"/>
        <v>0.78231838981447632</v>
      </c>
      <c r="CH80" s="3">
        <f t="shared" ca="1" si="105"/>
        <v>0.67890257223447403</v>
      </c>
      <c r="CI80" s="3">
        <f t="shared" ca="1" si="106"/>
        <v>0.2232414446861557</v>
      </c>
      <c r="CJ80" s="3">
        <f t="shared" ca="1" si="107"/>
        <v>1149</v>
      </c>
      <c r="CK80" s="3">
        <f t="shared" ca="1" si="108"/>
        <v>5.9907452634046883E-3</v>
      </c>
      <c r="CL80" s="3">
        <f t="shared" ca="1" si="109"/>
        <v>0</v>
      </c>
      <c r="CM80" s="3"/>
      <c r="CN80" s="1">
        <f t="shared" ca="1" si="110"/>
        <v>7.0216371254605123</v>
      </c>
      <c r="CO80" s="1">
        <f t="shared" ca="1" si="111"/>
        <v>0.47396395806190184</v>
      </c>
      <c r="CP80" s="1">
        <f t="shared" ca="1" si="112"/>
        <v>3</v>
      </c>
    </row>
    <row r="81" spans="2:94" x14ac:dyDescent="0.25">
      <c r="B81">
        <f t="shared" ca="1" si="57"/>
        <v>521</v>
      </c>
      <c r="C81">
        <f t="shared" ca="1" si="58"/>
        <v>10</v>
      </c>
      <c r="D81">
        <f t="shared" ca="1" si="59"/>
        <v>0.23109832295782315</v>
      </c>
      <c r="F81" s="1">
        <f t="shared" ca="1" si="60"/>
        <v>37</v>
      </c>
      <c r="G81" s="1">
        <f t="shared" ca="1" si="61"/>
        <v>17</v>
      </c>
      <c r="H81" s="1">
        <f t="shared" ca="1" si="62"/>
        <v>14</v>
      </c>
      <c r="I81" s="1"/>
      <c r="J81" s="1">
        <f t="shared" ca="1" si="63"/>
        <v>24</v>
      </c>
      <c r="K81" s="1">
        <f t="shared" ca="1" si="64"/>
        <v>1.5760630136028371</v>
      </c>
      <c r="L81" s="1">
        <f t="shared" ca="1" si="65"/>
        <v>35</v>
      </c>
      <c r="M81" s="1"/>
      <c r="N81" s="1">
        <f t="shared" ca="1" si="66"/>
        <v>802</v>
      </c>
      <c r="O81" s="1">
        <f t="shared" ca="1" si="67"/>
        <v>45</v>
      </c>
      <c r="P81" s="1"/>
      <c r="Q81" s="1">
        <f t="shared" ca="1" si="68"/>
        <v>4.6161327559286764</v>
      </c>
      <c r="R81" s="1">
        <f t="shared" ca="1" si="69"/>
        <v>699</v>
      </c>
      <c r="S81" s="1"/>
      <c r="T81" s="1">
        <f t="shared" ca="1" si="70"/>
        <v>4.7332336727361347E-2</v>
      </c>
      <c r="U81" s="1">
        <f t="shared" ca="1" si="71"/>
        <v>355</v>
      </c>
      <c r="V81" s="1">
        <f t="shared" ca="1" si="72"/>
        <v>43</v>
      </c>
      <c r="W81" s="1"/>
      <c r="X81" s="1">
        <f t="shared" ca="1" si="73"/>
        <v>5.3677374386412371</v>
      </c>
      <c r="Y81" s="1">
        <f t="shared" ca="1" si="74"/>
        <v>0.13381578904230396</v>
      </c>
      <c r="Z81" s="1">
        <f t="shared" ca="1" si="75"/>
        <v>1223</v>
      </c>
      <c r="AB81" s="1">
        <f t="shared" ca="1" si="76"/>
        <v>0.19207674958590121</v>
      </c>
      <c r="AC81" s="1">
        <f t="shared" ca="1" si="77"/>
        <v>943</v>
      </c>
      <c r="AD81" s="1">
        <f t="shared" ca="1" si="78"/>
        <v>9.5834366521816805E-4</v>
      </c>
      <c r="AE81" s="1"/>
      <c r="AF81" s="1">
        <f t="shared" ca="1" si="79"/>
        <v>0.62982657149674826</v>
      </c>
      <c r="AG81" s="1">
        <f t="shared" ca="1" si="80"/>
        <v>890</v>
      </c>
      <c r="AH81" s="1">
        <f t="shared" ca="1" si="81"/>
        <v>6.0268625543262073E-3</v>
      </c>
      <c r="AJ81" s="1">
        <f t="shared" ca="1" si="82"/>
        <v>0.87622697080400691</v>
      </c>
      <c r="AK81" s="1">
        <f t="shared" ca="1" si="83"/>
        <v>2.4667443828565933E-5</v>
      </c>
      <c r="AL81" s="1"/>
      <c r="AM81" s="1">
        <f t="shared" ca="1" si="84"/>
        <v>5.8688578180216937E-2</v>
      </c>
      <c r="AN81" s="1">
        <f t="shared" ca="1" si="85"/>
        <v>33</v>
      </c>
      <c r="AO81" s="1">
        <f t="shared" ca="1" si="86"/>
        <v>20</v>
      </c>
      <c r="AQ81" s="1">
        <f t="shared" ca="1" si="87"/>
        <v>26</v>
      </c>
      <c r="AR81" s="1">
        <f t="shared" ca="1" si="88"/>
        <v>2</v>
      </c>
      <c r="AS81" s="1">
        <f t="shared" ca="1" si="89"/>
        <v>80</v>
      </c>
      <c r="AU81" s="1">
        <f t="shared" ca="1" si="90"/>
        <v>99</v>
      </c>
      <c r="AV81" s="1">
        <f t="shared" ca="1" si="91"/>
        <v>7</v>
      </c>
      <c r="AW81" s="1">
        <f t="shared" ca="1" si="92"/>
        <v>0.12928707500117143</v>
      </c>
      <c r="AY81" s="1">
        <f t="shared" ca="1" si="93"/>
        <v>1.7879219213450099</v>
      </c>
      <c r="AZ81" s="1">
        <f t="shared" ca="1" si="94"/>
        <v>194</v>
      </c>
      <c r="BA81" s="1">
        <f t="shared" ca="1" si="95"/>
        <v>7.9504633386645717E-3</v>
      </c>
      <c r="BV81" s="1">
        <f t="shared" ca="1" si="96"/>
        <v>0.63796159134667707</v>
      </c>
      <c r="BW81" s="1">
        <f t="shared" ca="1" si="97"/>
        <v>350</v>
      </c>
      <c r="BX81" s="1">
        <f t="shared" ca="1" si="98"/>
        <v>7.9555723732235122E-3</v>
      </c>
      <c r="BY81" s="1">
        <f t="shared" ca="1" si="99"/>
        <v>3.1945851861490862E-2</v>
      </c>
      <c r="BZ81" s="1">
        <f t="shared" ca="1" si="100"/>
        <v>0.97758367002400637</v>
      </c>
      <c r="CB81" s="1">
        <f t="shared" ca="1" si="101"/>
        <v>494</v>
      </c>
      <c r="CC81" s="1">
        <f t="shared" ca="1" si="102"/>
        <v>8</v>
      </c>
      <c r="CD81" s="1">
        <f t="shared" ca="1" si="103"/>
        <v>5.1950792324480806E-2</v>
      </c>
      <c r="CE81" s="1">
        <f t="shared" ca="1" si="104"/>
        <v>0.86038876832299649</v>
      </c>
      <c r="CF81" s="1">
        <f t="shared" ca="1" si="104"/>
        <v>0.61630162487593898</v>
      </c>
      <c r="CH81" s="3">
        <f t="shared" ca="1" si="105"/>
        <v>0.14625194343575035</v>
      </c>
      <c r="CI81" s="3">
        <f t="shared" ca="1" si="106"/>
        <v>1.4049097627660889E-2</v>
      </c>
      <c r="CJ81" s="3">
        <f t="shared" ca="1" si="107"/>
        <v>984</v>
      </c>
      <c r="CK81" s="3">
        <f t="shared" ca="1" si="108"/>
        <v>6.5492231150395671E-3</v>
      </c>
      <c r="CL81" s="3">
        <f t="shared" ca="1" si="109"/>
        <v>1</v>
      </c>
      <c r="CM81" s="3"/>
      <c r="CN81" s="1">
        <f t="shared" ca="1" si="110"/>
        <v>14.176668582335354</v>
      </c>
      <c r="CO81" s="1">
        <f t="shared" ca="1" si="111"/>
        <v>0.31642744530626676</v>
      </c>
      <c r="CP81" s="1">
        <f t="shared" ca="1" si="112"/>
        <v>2</v>
      </c>
    </row>
    <row r="82" spans="2:94" x14ac:dyDescent="0.25">
      <c r="B82">
        <f t="shared" ca="1" si="57"/>
        <v>920</v>
      </c>
      <c r="C82">
        <f t="shared" ca="1" si="58"/>
        <v>49</v>
      </c>
      <c r="D82">
        <f t="shared" ca="1" si="59"/>
        <v>0.25349525172223975</v>
      </c>
      <c r="F82" s="1">
        <f t="shared" ca="1" si="60"/>
        <v>33</v>
      </c>
      <c r="G82" s="1">
        <f t="shared" ca="1" si="61"/>
        <v>3</v>
      </c>
      <c r="H82" s="1">
        <f t="shared" ca="1" si="62"/>
        <v>2</v>
      </c>
      <c r="I82" s="1"/>
      <c r="J82" s="1">
        <f t="shared" ca="1" si="63"/>
        <v>10</v>
      </c>
      <c r="K82" s="1">
        <f t="shared" ca="1" si="64"/>
        <v>2.4099315514029094</v>
      </c>
      <c r="L82" s="1">
        <f t="shared" ca="1" si="65"/>
        <v>23</v>
      </c>
      <c r="M82" s="1"/>
      <c r="N82" s="1">
        <f t="shared" ca="1" si="66"/>
        <v>398</v>
      </c>
      <c r="O82" s="1">
        <f t="shared" ca="1" si="67"/>
        <v>23</v>
      </c>
      <c r="P82" s="1"/>
      <c r="Q82" s="1">
        <f t="shared" ca="1" si="68"/>
        <v>2.0019529765902488</v>
      </c>
      <c r="R82" s="1">
        <f t="shared" ca="1" si="69"/>
        <v>503</v>
      </c>
      <c r="S82" s="1"/>
      <c r="T82" s="1">
        <f t="shared" ca="1" si="70"/>
        <v>5.3816101338993547E-2</v>
      </c>
      <c r="U82" s="1">
        <f t="shared" ca="1" si="71"/>
        <v>361</v>
      </c>
      <c r="V82" s="1">
        <f t="shared" ca="1" si="72"/>
        <v>49</v>
      </c>
      <c r="W82" s="1"/>
      <c r="X82" s="1">
        <f t="shared" ca="1" si="73"/>
        <v>5.6646981407740133</v>
      </c>
      <c r="Y82" s="1">
        <f t="shared" ca="1" si="74"/>
        <v>0.35386626392659171</v>
      </c>
      <c r="Z82" s="1">
        <f t="shared" ca="1" si="75"/>
        <v>1332</v>
      </c>
      <c r="AB82" s="1">
        <f t="shared" ca="1" si="76"/>
        <v>0.79322282348364181</v>
      </c>
      <c r="AC82" s="1">
        <f t="shared" ca="1" si="77"/>
        <v>959</v>
      </c>
      <c r="AD82" s="1">
        <f t="shared" ca="1" si="78"/>
        <v>3.8128474774505494E-3</v>
      </c>
      <c r="AE82" s="1"/>
      <c r="AF82" s="1">
        <f t="shared" ca="1" si="79"/>
        <v>0.67406156067421064</v>
      </c>
      <c r="AG82" s="1">
        <f t="shared" ca="1" si="80"/>
        <v>548</v>
      </c>
      <c r="AH82" s="1">
        <f t="shared" ca="1" si="81"/>
        <v>6.6307803034751324E-4</v>
      </c>
      <c r="AJ82" s="1">
        <f t="shared" ca="1" si="82"/>
        <v>0.81888339273491206</v>
      </c>
      <c r="AK82" s="1">
        <f t="shared" ca="1" si="83"/>
        <v>3.4720658086305144E-3</v>
      </c>
      <c r="AL82" s="1"/>
      <c r="AM82" s="1">
        <f t="shared" ca="1" si="84"/>
        <v>6.2463614944323467E-2</v>
      </c>
      <c r="AN82" s="1">
        <f t="shared" ca="1" si="85"/>
        <v>33</v>
      </c>
      <c r="AO82" s="1">
        <f t="shared" ca="1" si="86"/>
        <v>12</v>
      </c>
      <c r="AQ82" s="1">
        <f t="shared" ca="1" si="87"/>
        <v>54</v>
      </c>
      <c r="AR82" s="1">
        <f t="shared" ca="1" si="88"/>
        <v>2</v>
      </c>
      <c r="AS82" s="1">
        <f t="shared" ca="1" si="89"/>
        <v>8</v>
      </c>
      <c r="AU82" s="1">
        <f t="shared" ca="1" si="90"/>
        <v>259</v>
      </c>
      <c r="AV82" s="1">
        <f t="shared" ca="1" si="91"/>
        <v>4</v>
      </c>
      <c r="AW82" s="1">
        <f t="shared" ca="1" si="92"/>
        <v>0.17419612746617266</v>
      </c>
      <c r="AY82" s="1">
        <f t="shared" ca="1" si="93"/>
        <v>1.8297178738711533</v>
      </c>
      <c r="AZ82" s="1">
        <f t="shared" ca="1" si="94"/>
        <v>85</v>
      </c>
      <c r="BA82" s="1">
        <f t="shared" ca="1" si="95"/>
        <v>9.5707398111682298E-3</v>
      </c>
      <c r="BV82" s="1">
        <f t="shared" ca="1" si="96"/>
        <v>0.30166536668079885</v>
      </c>
      <c r="BW82" s="1">
        <f t="shared" ca="1" si="97"/>
        <v>544</v>
      </c>
      <c r="BX82" s="1">
        <f t="shared" ca="1" si="98"/>
        <v>8.8214274715442565E-3</v>
      </c>
      <c r="BY82" s="1">
        <f t="shared" ca="1" si="99"/>
        <v>9.4784465034245272E-2</v>
      </c>
      <c r="BZ82" s="1">
        <f t="shared" ca="1" si="100"/>
        <v>0.926699312474345</v>
      </c>
      <c r="CB82" s="1">
        <f t="shared" ca="1" si="101"/>
        <v>446</v>
      </c>
      <c r="CC82" s="1">
        <f t="shared" ca="1" si="102"/>
        <v>4</v>
      </c>
      <c r="CD82" s="1">
        <f t="shared" ca="1" si="103"/>
        <v>0.1625520991944851</v>
      </c>
      <c r="CE82" s="1">
        <f t="shared" ca="1" si="104"/>
        <v>0.54326187190092234</v>
      </c>
      <c r="CF82" s="1">
        <f t="shared" ca="1" si="104"/>
        <v>0.65709165872472042</v>
      </c>
      <c r="CH82" s="3">
        <f t="shared" ca="1" si="105"/>
        <v>0.57012439349853339</v>
      </c>
      <c r="CI82" s="3">
        <f t="shared" ca="1" si="106"/>
        <v>0.71565338419177404</v>
      </c>
      <c r="CJ82" s="3">
        <f t="shared" ca="1" si="107"/>
        <v>467</v>
      </c>
      <c r="CK82" s="3">
        <f t="shared" ca="1" si="108"/>
        <v>5.1935241487901787E-3</v>
      </c>
      <c r="CL82" s="3">
        <f t="shared" ca="1" si="109"/>
        <v>0</v>
      </c>
      <c r="CM82" s="3"/>
      <c r="CN82" s="1">
        <f t="shared" ca="1" si="110"/>
        <v>4.3885368985133253</v>
      </c>
      <c r="CO82" s="1">
        <f t="shared" ca="1" si="111"/>
        <v>0.48301833194095239</v>
      </c>
      <c r="CP82" s="1">
        <f t="shared" ca="1" si="112"/>
        <v>3</v>
      </c>
    </row>
    <row r="83" spans="2:94" x14ac:dyDescent="0.25">
      <c r="B83">
        <f t="shared" ca="1" si="57"/>
        <v>926</v>
      </c>
      <c r="C83">
        <f t="shared" ca="1" si="58"/>
        <v>11</v>
      </c>
      <c r="D83">
        <f t="shared" ca="1" si="59"/>
        <v>0.29326201138658181</v>
      </c>
      <c r="F83" s="1">
        <f t="shared" ca="1" si="60"/>
        <v>4</v>
      </c>
      <c r="G83" s="1">
        <f t="shared" ca="1" si="61"/>
        <v>15</v>
      </c>
      <c r="H83" s="1">
        <f t="shared" ca="1" si="62"/>
        <v>1</v>
      </c>
      <c r="I83" s="1"/>
      <c r="J83" s="1">
        <f t="shared" ca="1" si="63"/>
        <v>10</v>
      </c>
      <c r="K83" s="1">
        <f t="shared" ca="1" si="64"/>
        <v>1.1077613377513191</v>
      </c>
      <c r="L83" s="1">
        <f t="shared" ca="1" si="65"/>
        <v>9</v>
      </c>
      <c r="M83" s="1"/>
      <c r="N83" s="1">
        <f t="shared" ca="1" si="66"/>
        <v>405</v>
      </c>
      <c r="O83" s="1">
        <f t="shared" ca="1" si="67"/>
        <v>44</v>
      </c>
      <c r="P83" s="1"/>
      <c r="Q83" s="1">
        <f t="shared" ca="1" si="68"/>
        <v>0.33788855899478859</v>
      </c>
      <c r="R83" s="1">
        <f t="shared" ca="1" si="69"/>
        <v>986</v>
      </c>
      <c r="S83" s="1"/>
      <c r="T83" s="1">
        <f t="shared" ca="1" si="70"/>
        <v>0.14488095482035421</v>
      </c>
      <c r="U83" s="1">
        <f t="shared" ca="1" si="71"/>
        <v>387</v>
      </c>
      <c r="V83" s="1">
        <f t="shared" ca="1" si="72"/>
        <v>27</v>
      </c>
      <c r="W83" s="1"/>
      <c r="X83" s="1">
        <f t="shared" ca="1" si="73"/>
        <v>4.187773740761779</v>
      </c>
      <c r="Y83" s="1">
        <f t="shared" ca="1" si="74"/>
        <v>0.55233405122694545</v>
      </c>
      <c r="Z83" s="1">
        <f t="shared" ca="1" si="75"/>
        <v>400</v>
      </c>
      <c r="AB83" s="1">
        <f t="shared" ca="1" si="76"/>
        <v>0.25930048104788606</v>
      </c>
      <c r="AC83" s="1">
        <f t="shared" ca="1" si="77"/>
        <v>291</v>
      </c>
      <c r="AD83" s="1">
        <f t="shared" ca="1" si="78"/>
        <v>4.0022795189798661E-3</v>
      </c>
      <c r="AE83" s="1"/>
      <c r="AF83" s="1">
        <f t="shared" ca="1" si="79"/>
        <v>0.71731892125069185</v>
      </c>
      <c r="AG83" s="1">
        <f t="shared" ca="1" si="80"/>
        <v>622</v>
      </c>
      <c r="AH83" s="1">
        <f t="shared" ca="1" si="81"/>
        <v>3.1248101130560407E-3</v>
      </c>
      <c r="AJ83" s="1">
        <f t="shared" ca="1" si="82"/>
        <v>0.63682418123027407</v>
      </c>
      <c r="AK83" s="1">
        <f t="shared" ca="1" si="83"/>
        <v>4.7864471614605655E-3</v>
      </c>
      <c r="AL83" s="1"/>
      <c r="AM83" s="1">
        <f t="shared" ca="1" si="84"/>
        <v>7.0292924600338522E-2</v>
      </c>
      <c r="AN83" s="1">
        <f t="shared" ca="1" si="85"/>
        <v>48</v>
      </c>
      <c r="AO83" s="1">
        <f t="shared" ca="1" si="86"/>
        <v>16</v>
      </c>
      <c r="AQ83" s="1">
        <f t="shared" ca="1" si="87"/>
        <v>142</v>
      </c>
      <c r="AR83" s="1">
        <f t="shared" ca="1" si="88"/>
        <v>5</v>
      </c>
      <c r="AS83" s="1">
        <f t="shared" ca="1" si="89"/>
        <v>45</v>
      </c>
      <c r="AU83" s="1">
        <f t="shared" ca="1" si="90"/>
        <v>55</v>
      </c>
      <c r="AV83" s="1">
        <f t="shared" ca="1" si="91"/>
        <v>10</v>
      </c>
      <c r="AW83" s="1">
        <f t="shared" ca="1" si="92"/>
        <v>8.7350560063724353E-2</v>
      </c>
      <c r="AY83" s="1">
        <f t="shared" ca="1" si="93"/>
        <v>1.7612059411596479</v>
      </c>
      <c r="AZ83" s="1">
        <f t="shared" ca="1" si="94"/>
        <v>63</v>
      </c>
      <c r="BA83" s="1">
        <f t="shared" ca="1" si="95"/>
        <v>9.7934182129451024E-3</v>
      </c>
      <c r="BV83" s="1">
        <f t="shared" ca="1" si="96"/>
        <v>0.1554639673117193</v>
      </c>
      <c r="BW83" s="1">
        <f t="shared" ca="1" si="97"/>
        <v>361</v>
      </c>
      <c r="BX83" s="1">
        <f t="shared" ca="1" si="98"/>
        <v>7.1267843309603613E-3</v>
      </c>
      <c r="BY83" s="1">
        <f t="shared" ca="1" si="99"/>
        <v>3.3904511689260954E-3</v>
      </c>
      <c r="BZ83" s="1">
        <f t="shared" ca="1" si="100"/>
        <v>0.42644299208051784</v>
      </c>
      <c r="CB83" s="1">
        <f t="shared" ca="1" si="101"/>
        <v>175</v>
      </c>
      <c r="CC83" s="1">
        <f t="shared" ca="1" si="102"/>
        <v>5</v>
      </c>
      <c r="CD83" s="1">
        <f t="shared" ca="1" si="103"/>
        <v>0.18247255512348598</v>
      </c>
      <c r="CE83" s="1">
        <f t="shared" ca="1" si="104"/>
        <v>0.96401286016443977</v>
      </c>
      <c r="CF83" s="1">
        <f t="shared" ca="1" si="104"/>
        <v>0.8081837742585849</v>
      </c>
      <c r="CH83" s="3">
        <f t="shared" ca="1" si="105"/>
        <v>0.12779057258747248</v>
      </c>
      <c r="CI83" s="3">
        <f t="shared" ca="1" si="106"/>
        <v>0.179915811090679</v>
      </c>
      <c r="CJ83" s="3">
        <f t="shared" ca="1" si="107"/>
        <v>1505</v>
      </c>
      <c r="CK83" s="3">
        <f t="shared" ca="1" si="108"/>
        <v>4.2949795175983542E-4</v>
      </c>
      <c r="CL83" s="3">
        <f t="shared" ca="1" si="109"/>
        <v>1</v>
      </c>
      <c r="CM83" s="3"/>
      <c r="CN83" s="1">
        <f t="shared" ca="1" si="110"/>
        <v>4.8024596366852439</v>
      </c>
      <c r="CO83" s="1">
        <f t="shared" ca="1" si="111"/>
        <v>0.13346481578193789</v>
      </c>
      <c r="CP83" s="1">
        <f t="shared" ca="1" si="112"/>
        <v>2</v>
      </c>
    </row>
    <row r="84" spans="2:94" x14ac:dyDescent="0.25">
      <c r="B84">
        <f t="shared" ca="1" si="57"/>
        <v>780</v>
      </c>
      <c r="C84">
        <f t="shared" ca="1" si="58"/>
        <v>18</v>
      </c>
      <c r="D84">
        <f t="shared" ca="1" si="59"/>
        <v>0.23645338030975285</v>
      </c>
      <c r="F84" s="1">
        <f t="shared" ca="1" si="60"/>
        <v>42</v>
      </c>
      <c r="G84" s="1">
        <f t="shared" ca="1" si="61"/>
        <v>27</v>
      </c>
      <c r="H84" s="1">
        <f t="shared" ca="1" si="62"/>
        <v>5</v>
      </c>
      <c r="I84" s="1"/>
      <c r="J84" s="1">
        <f t="shared" ca="1" si="63"/>
        <v>29</v>
      </c>
      <c r="K84" s="1">
        <f t="shared" ca="1" si="64"/>
        <v>2.317307685876858</v>
      </c>
      <c r="L84" s="1">
        <f t="shared" ca="1" si="65"/>
        <v>8</v>
      </c>
      <c r="M84" s="1"/>
      <c r="N84" s="1">
        <f t="shared" ca="1" si="66"/>
        <v>794</v>
      </c>
      <c r="O84" s="1">
        <f t="shared" ca="1" si="67"/>
        <v>31</v>
      </c>
      <c r="P84" s="1"/>
      <c r="Q84" s="1">
        <f t="shared" ca="1" si="68"/>
        <v>0.46498983322349113</v>
      </c>
      <c r="R84" s="1">
        <f t="shared" ca="1" si="69"/>
        <v>413</v>
      </c>
      <c r="S84" s="1"/>
      <c r="T84" s="1">
        <f t="shared" ca="1" si="70"/>
        <v>0.12740664881332223</v>
      </c>
      <c r="U84" s="1">
        <f t="shared" ca="1" si="71"/>
        <v>102</v>
      </c>
      <c r="V84" s="1">
        <f t="shared" ca="1" si="72"/>
        <v>37</v>
      </c>
      <c r="W84" s="1"/>
      <c r="X84" s="1">
        <f t="shared" ca="1" si="73"/>
        <v>3.6062030326013601</v>
      </c>
      <c r="Y84" s="1">
        <f t="shared" ca="1" si="74"/>
        <v>0.3594777994285242</v>
      </c>
      <c r="Z84" s="1">
        <f t="shared" ca="1" si="75"/>
        <v>237</v>
      </c>
      <c r="AB84" s="1">
        <f t="shared" ca="1" si="76"/>
        <v>0.201158095260073</v>
      </c>
      <c r="AC84" s="1">
        <f t="shared" ca="1" si="77"/>
        <v>260</v>
      </c>
      <c r="AD84" s="1">
        <f t="shared" ca="1" si="78"/>
        <v>5.4623800117441224E-3</v>
      </c>
      <c r="AE84" s="1"/>
      <c r="AF84" s="1">
        <f t="shared" ca="1" si="79"/>
        <v>0.79330928054009775</v>
      </c>
      <c r="AG84" s="1">
        <f t="shared" ca="1" si="80"/>
        <v>553</v>
      </c>
      <c r="AH84" s="1">
        <f t="shared" ca="1" si="81"/>
        <v>9.8184649846826781E-3</v>
      </c>
      <c r="AJ84" s="1">
        <f t="shared" ca="1" si="82"/>
        <v>0.15771835713653004</v>
      </c>
      <c r="AK84" s="1">
        <f t="shared" ca="1" si="83"/>
        <v>3.0872720305890364E-4</v>
      </c>
      <c r="AL84" s="1"/>
      <c r="AM84" s="1">
        <f t="shared" ca="1" si="84"/>
        <v>0.10737149370115477</v>
      </c>
      <c r="AN84" s="1">
        <f t="shared" ca="1" si="85"/>
        <v>58</v>
      </c>
      <c r="AO84" s="1">
        <f t="shared" ca="1" si="86"/>
        <v>0</v>
      </c>
      <c r="AQ84" s="1">
        <f t="shared" ca="1" si="87"/>
        <v>29</v>
      </c>
      <c r="AR84" s="1">
        <f t="shared" ca="1" si="88"/>
        <v>10</v>
      </c>
      <c r="AS84" s="1">
        <f t="shared" ca="1" si="89"/>
        <v>56</v>
      </c>
      <c r="AU84" s="1">
        <f t="shared" ca="1" si="90"/>
        <v>183</v>
      </c>
      <c r="AV84" s="1">
        <f t="shared" ca="1" si="91"/>
        <v>7</v>
      </c>
      <c r="AW84" s="1">
        <f t="shared" ca="1" si="92"/>
        <v>0.15973698005567116</v>
      </c>
      <c r="AY84" s="1">
        <f t="shared" ca="1" si="93"/>
        <v>1.9952343899594216</v>
      </c>
      <c r="AZ84" s="1">
        <f t="shared" ca="1" si="94"/>
        <v>446</v>
      </c>
      <c r="BA84" s="1">
        <f t="shared" ca="1" si="95"/>
        <v>3.1125026649870564E-3</v>
      </c>
      <c r="BV84" s="1">
        <f t="shared" ca="1" si="96"/>
        <v>3.8125545467772151E-2</v>
      </c>
      <c r="BW84" s="1">
        <f t="shared" ca="1" si="97"/>
        <v>115</v>
      </c>
      <c r="BX84" s="1">
        <f t="shared" ca="1" si="98"/>
        <v>9.7984241981066223E-4</v>
      </c>
      <c r="BY84" s="1">
        <f t="shared" ca="1" si="99"/>
        <v>7.9422616564864781E-2</v>
      </c>
      <c r="BZ84" s="1">
        <f t="shared" ca="1" si="100"/>
        <v>0.37106263490309987</v>
      </c>
      <c r="CB84" s="1">
        <f t="shared" ca="1" si="101"/>
        <v>404</v>
      </c>
      <c r="CC84" s="1">
        <f t="shared" ca="1" si="102"/>
        <v>8</v>
      </c>
      <c r="CD84" s="1">
        <f t="shared" ca="1" si="103"/>
        <v>0.23323182372357487</v>
      </c>
      <c r="CE84" s="1">
        <f t="shared" ca="1" si="104"/>
        <v>0.94894423982823639</v>
      </c>
      <c r="CF84" s="1">
        <f t="shared" ca="1" si="104"/>
        <v>0.88004064236300383</v>
      </c>
      <c r="CH84" s="3">
        <f t="shared" ca="1" si="105"/>
        <v>0.14860681936215067</v>
      </c>
      <c r="CI84" s="3">
        <f t="shared" ca="1" si="106"/>
        <v>0.10392475025361053</v>
      </c>
      <c r="CJ84" s="3">
        <f t="shared" ca="1" si="107"/>
        <v>574</v>
      </c>
      <c r="CK84" s="3">
        <f t="shared" ca="1" si="108"/>
        <v>5.0406112437686125E-3</v>
      </c>
      <c r="CL84" s="3">
        <f t="shared" ca="1" si="109"/>
        <v>0</v>
      </c>
      <c r="CM84" s="3"/>
      <c r="CN84" s="1">
        <f t="shared" ca="1" si="110"/>
        <v>14.668871867447686</v>
      </c>
      <c r="CO84" s="1">
        <f t="shared" ca="1" si="111"/>
        <v>0.13068962277244053</v>
      </c>
      <c r="CP84" s="1">
        <f t="shared" ca="1" si="112"/>
        <v>2</v>
      </c>
    </row>
    <row r="85" spans="2:94" x14ac:dyDescent="0.25">
      <c r="B85">
        <f t="shared" ca="1" si="57"/>
        <v>787</v>
      </c>
      <c r="C85">
        <f t="shared" ca="1" si="58"/>
        <v>51</v>
      </c>
      <c r="D85">
        <f t="shared" ca="1" si="59"/>
        <v>0.26025497535515807</v>
      </c>
      <c r="F85" s="1">
        <f t="shared" ca="1" si="60"/>
        <v>25</v>
      </c>
      <c r="G85" s="1">
        <f t="shared" ca="1" si="61"/>
        <v>28</v>
      </c>
      <c r="H85" s="1">
        <f t="shared" ca="1" si="62"/>
        <v>2</v>
      </c>
      <c r="I85" s="1"/>
      <c r="J85" s="1">
        <f t="shared" ca="1" si="63"/>
        <v>23</v>
      </c>
      <c r="K85" s="1">
        <f t="shared" ca="1" si="64"/>
        <v>2.0166377446139303</v>
      </c>
      <c r="L85" s="1">
        <f t="shared" ca="1" si="65"/>
        <v>31</v>
      </c>
      <c r="M85" s="1"/>
      <c r="N85" s="1">
        <f t="shared" ca="1" si="66"/>
        <v>339</v>
      </c>
      <c r="O85" s="1">
        <f t="shared" ca="1" si="67"/>
        <v>23</v>
      </c>
      <c r="P85" s="1"/>
      <c r="Q85" s="1">
        <f t="shared" ca="1" si="68"/>
        <v>2.0020031968987904</v>
      </c>
      <c r="R85" s="1">
        <f t="shared" ca="1" si="69"/>
        <v>581</v>
      </c>
      <c r="S85" s="1"/>
      <c r="T85" s="1">
        <f t="shared" ca="1" si="70"/>
        <v>0.10282706815116395</v>
      </c>
      <c r="U85" s="1">
        <f t="shared" ca="1" si="71"/>
        <v>348</v>
      </c>
      <c r="V85" s="1">
        <f t="shared" ca="1" si="72"/>
        <v>50</v>
      </c>
      <c r="W85" s="1"/>
      <c r="X85" s="1">
        <f t="shared" ca="1" si="73"/>
        <v>6.7132915200529757</v>
      </c>
      <c r="Y85" s="1">
        <f t="shared" ca="1" si="74"/>
        <v>0.24591278619180257</v>
      </c>
      <c r="Z85" s="1">
        <f t="shared" ca="1" si="75"/>
        <v>1497</v>
      </c>
      <c r="AB85" s="1">
        <f t="shared" ca="1" si="76"/>
        <v>0.25716192849938457</v>
      </c>
      <c r="AC85" s="1">
        <f t="shared" ca="1" si="77"/>
        <v>592</v>
      </c>
      <c r="AD85" s="1">
        <f t="shared" ca="1" si="78"/>
        <v>7.4690332205642699E-3</v>
      </c>
      <c r="AE85" s="1"/>
      <c r="AF85" s="1">
        <f t="shared" ca="1" si="79"/>
        <v>0.26937016424404348</v>
      </c>
      <c r="AG85" s="1">
        <f t="shared" ca="1" si="80"/>
        <v>302</v>
      </c>
      <c r="AH85" s="1">
        <f t="shared" ca="1" si="81"/>
        <v>4.1255477533483683E-3</v>
      </c>
      <c r="AJ85" s="1">
        <f t="shared" ca="1" si="82"/>
        <v>0.35491446046142439</v>
      </c>
      <c r="AK85" s="1">
        <f t="shared" ca="1" si="83"/>
        <v>9.17516178379622E-3</v>
      </c>
      <c r="AL85" s="1"/>
      <c r="AM85" s="1">
        <f t="shared" ca="1" si="84"/>
        <v>3.8958564293280956E-2</v>
      </c>
      <c r="AN85" s="1">
        <f t="shared" ca="1" si="85"/>
        <v>17</v>
      </c>
      <c r="AO85" s="1">
        <f t="shared" ca="1" si="86"/>
        <v>9</v>
      </c>
      <c r="AQ85" s="1">
        <f t="shared" ca="1" si="87"/>
        <v>141</v>
      </c>
      <c r="AR85" s="1">
        <f t="shared" ca="1" si="88"/>
        <v>8</v>
      </c>
      <c r="AS85" s="1">
        <f t="shared" ca="1" si="89"/>
        <v>71</v>
      </c>
      <c r="AU85" s="1">
        <f t="shared" ca="1" si="90"/>
        <v>322</v>
      </c>
      <c r="AV85" s="1">
        <f t="shared" ca="1" si="91"/>
        <v>6</v>
      </c>
      <c r="AW85" s="1">
        <f t="shared" ca="1" si="92"/>
        <v>0.14091191852153581</v>
      </c>
      <c r="AY85" s="1">
        <f t="shared" ca="1" si="93"/>
        <v>1.7540330767381942</v>
      </c>
      <c r="AZ85" s="1">
        <f t="shared" ca="1" si="94"/>
        <v>146</v>
      </c>
      <c r="BA85" s="1">
        <f t="shared" ca="1" si="95"/>
        <v>2.3606852713933786E-3</v>
      </c>
      <c r="BV85" s="1">
        <f t="shared" ca="1" si="96"/>
        <v>0.89681963237870632</v>
      </c>
      <c r="BW85" s="1">
        <f t="shared" ca="1" si="97"/>
        <v>382</v>
      </c>
      <c r="BX85" s="1">
        <f t="shared" ca="1" si="98"/>
        <v>5.2179615451946092E-3</v>
      </c>
      <c r="BY85" s="1">
        <f t="shared" ca="1" si="99"/>
        <v>1.9283559262969985E-2</v>
      </c>
      <c r="BZ85" s="1">
        <f t="shared" ca="1" si="100"/>
        <v>0.23188400046358948</v>
      </c>
      <c r="CB85" s="1">
        <f t="shared" ca="1" si="101"/>
        <v>456</v>
      </c>
      <c r="CC85" s="1">
        <f t="shared" ca="1" si="102"/>
        <v>8</v>
      </c>
      <c r="CD85" s="1">
        <f t="shared" ca="1" si="103"/>
        <v>0.24107159573350848</v>
      </c>
      <c r="CE85" s="1">
        <f t="shared" ca="1" si="104"/>
        <v>0.86612886382916643</v>
      </c>
      <c r="CF85" s="1">
        <f t="shared" ca="1" si="104"/>
        <v>0.99618150178397402</v>
      </c>
      <c r="CH85" s="3">
        <f t="shared" ca="1" si="105"/>
        <v>0.58065944922322565</v>
      </c>
      <c r="CI85" s="3">
        <f t="shared" ca="1" si="106"/>
        <v>0.52473573632877302</v>
      </c>
      <c r="CJ85" s="3">
        <f t="shared" ca="1" si="107"/>
        <v>973</v>
      </c>
      <c r="CK85" s="3">
        <f t="shared" ca="1" si="108"/>
        <v>1.9738332953912019E-3</v>
      </c>
      <c r="CL85" s="3">
        <f t="shared" ca="1" si="109"/>
        <v>0</v>
      </c>
      <c r="CM85" s="3"/>
      <c r="CN85" s="1">
        <f t="shared" ca="1" si="110"/>
        <v>15.144878694869028</v>
      </c>
      <c r="CO85" s="1">
        <f t="shared" ca="1" si="111"/>
        <v>3.250820703629987E-2</v>
      </c>
      <c r="CP85" s="1">
        <f t="shared" ca="1" si="112"/>
        <v>1</v>
      </c>
    </row>
    <row r="86" spans="2:94" x14ac:dyDescent="0.25">
      <c r="B86">
        <f t="shared" ca="1" si="57"/>
        <v>36</v>
      </c>
      <c r="C86">
        <f t="shared" ca="1" si="58"/>
        <v>42</v>
      </c>
      <c r="D86">
        <f t="shared" ca="1" si="59"/>
        <v>0.17183289541874588</v>
      </c>
      <c r="F86" s="1">
        <f t="shared" ca="1" si="60"/>
        <v>28</v>
      </c>
      <c r="G86" s="1">
        <f t="shared" ca="1" si="61"/>
        <v>4</v>
      </c>
      <c r="H86" s="1">
        <f t="shared" ca="1" si="62"/>
        <v>14</v>
      </c>
      <c r="I86" s="1"/>
      <c r="J86" s="1">
        <f t="shared" ca="1" si="63"/>
        <v>16</v>
      </c>
      <c r="K86" s="1">
        <f t="shared" ca="1" si="64"/>
        <v>1.506679194282899</v>
      </c>
      <c r="L86" s="1">
        <f t="shared" ca="1" si="65"/>
        <v>7</v>
      </c>
      <c r="M86" s="1"/>
      <c r="N86" s="1">
        <f t="shared" ca="1" si="66"/>
        <v>991</v>
      </c>
      <c r="O86" s="1">
        <f t="shared" ca="1" si="67"/>
        <v>45</v>
      </c>
      <c r="P86" s="1"/>
      <c r="Q86" s="1">
        <f t="shared" ca="1" si="68"/>
        <v>2.5818875195883999</v>
      </c>
      <c r="R86" s="1">
        <f t="shared" ca="1" si="69"/>
        <v>792</v>
      </c>
      <c r="S86" s="1"/>
      <c r="T86" s="1">
        <f t="shared" ca="1" si="70"/>
        <v>6.2542357141449983E-2</v>
      </c>
      <c r="U86" s="1">
        <f t="shared" ca="1" si="71"/>
        <v>223</v>
      </c>
      <c r="V86" s="1">
        <f t="shared" ca="1" si="72"/>
        <v>20</v>
      </c>
      <c r="W86" s="1"/>
      <c r="X86" s="1">
        <f t="shared" ca="1" si="73"/>
        <v>7.5795875081175676E-2</v>
      </c>
      <c r="Y86" s="1">
        <f t="shared" ca="1" si="74"/>
        <v>0.60447498702070557</v>
      </c>
      <c r="Z86" s="1">
        <f t="shared" ca="1" si="75"/>
        <v>143</v>
      </c>
      <c r="AB86" s="1">
        <f t="shared" ca="1" si="76"/>
        <v>0.57529442402886022</v>
      </c>
      <c r="AC86" s="1">
        <f t="shared" ca="1" si="77"/>
        <v>756</v>
      </c>
      <c r="AD86" s="1">
        <f t="shared" ca="1" si="78"/>
        <v>2.6461033599677578E-3</v>
      </c>
      <c r="AE86" s="1"/>
      <c r="AF86" s="1">
        <f t="shared" ca="1" si="79"/>
        <v>0.37907520117280791</v>
      </c>
      <c r="AG86" s="1">
        <f t="shared" ca="1" si="80"/>
        <v>113</v>
      </c>
      <c r="AH86" s="1">
        <f t="shared" ca="1" si="81"/>
        <v>2.4879447218991921E-3</v>
      </c>
      <c r="AJ86" s="1">
        <f t="shared" ca="1" si="82"/>
        <v>0.71814391074222117</v>
      </c>
      <c r="AK86" s="1">
        <f t="shared" ca="1" si="83"/>
        <v>8.6306260887253211E-3</v>
      </c>
      <c r="AL86" s="1"/>
      <c r="AM86" s="1">
        <f t="shared" ca="1" si="84"/>
        <v>7.5403020143225391E-2</v>
      </c>
      <c r="AN86" s="1">
        <f t="shared" ca="1" si="85"/>
        <v>65</v>
      </c>
      <c r="AO86" s="1">
        <f t="shared" ca="1" si="86"/>
        <v>13</v>
      </c>
      <c r="AQ86" s="1">
        <f t="shared" ca="1" si="87"/>
        <v>122</v>
      </c>
      <c r="AR86" s="1">
        <f t="shared" ca="1" si="88"/>
        <v>2</v>
      </c>
      <c r="AS86" s="1">
        <f t="shared" ca="1" si="89"/>
        <v>90</v>
      </c>
      <c r="AU86" s="1">
        <f t="shared" ca="1" si="90"/>
        <v>71</v>
      </c>
      <c r="AV86" s="1">
        <f t="shared" ca="1" si="91"/>
        <v>10</v>
      </c>
      <c r="AW86" s="1">
        <f t="shared" ca="1" si="92"/>
        <v>0.14888318154737595</v>
      </c>
      <c r="AY86" s="1">
        <f t="shared" ca="1" si="93"/>
        <v>1.9265930285100503</v>
      </c>
      <c r="AZ86" s="1">
        <f t="shared" ca="1" si="94"/>
        <v>184</v>
      </c>
      <c r="BA86" s="1">
        <f t="shared" ca="1" si="95"/>
        <v>8.5670271965322693E-3</v>
      </c>
      <c r="BV86" s="1">
        <f t="shared" ca="1" si="96"/>
        <v>0.30857977448429502</v>
      </c>
      <c r="BW86" s="1">
        <f t="shared" ca="1" si="97"/>
        <v>804</v>
      </c>
      <c r="BX86" s="1">
        <f t="shared" ca="1" si="98"/>
        <v>5.7134755059050158E-3</v>
      </c>
      <c r="BY86" s="1">
        <f t="shared" ca="1" si="99"/>
        <v>1.5880716473563254E-2</v>
      </c>
      <c r="BZ86" s="1">
        <f t="shared" ca="1" si="100"/>
        <v>0.14509530291728279</v>
      </c>
      <c r="CB86" s="1">
        <f t="shared" ca="1" si="101"/>
        <v>189</v>
      </c>
      <c r="CC86" s="1">
        <f t="shared" ca="1" si="102"/>
        <v>11</v>
      </c>
      <c r="CD86" s="1">
        <f t="shared" ca="1" si="103"/>
        <v>0.19535721818071483</v>
      </c>
      <c r="CE86" s="1">
        <f t="shared" ca="1" si="104"/>
        <v>0.52678852251587993</v>
      </c>
      <c r="CF86" s="1">
        <f t="shared" ca="1" si="104"/>
        <v>0.53048257956028144</v>
      </c>
      <c r="CH86" s="3">
        <f t="shared" ca="1" si="105"/>
        <v>0.3910532317738204</v>
      </c>
      <c r="CI86" s="3">
        <f t="shared" ca="1" si="106"/>
        <v>0.79752784910229968</v>
      </c>
      <c r="CJ86" s="3">
        <f t="shared" ca="1" si="107"/>
        <v>681</v>
      </c>
      <c r="CK86" s="3">
        <f t="shared" ca="1" si="108"/>
        <v>2.3835569096613226E-3</v>
      </c>
      <c r="CL86" s="3">
        <f t="shared" ca="1" si="109"/>
        <v>0</v>
      </c>
      <c r="CM86" s="3"/>
      <c r="CN86" s="1">
        <f t="shared" ca="1" si="110"/>
        <v>8.446618052628537</v>
      </c>
      <c r="CO86" s="1">
        <f t="shared" ca="1" si="111"/>
        <v>0.4055420363977118</v>
      </c>
      <c r="CP86" s="1">
        <f t="shared" ca="1" si="112"/>
        <v>3</v>
      </c>
    </row>
    <row r="87" spans="2:94" x14ac:dyDescent="0.25">
      <c r="B87">
        <f t="shared" ca="1" si="57"/>
        <v>994</v>
      </c>
      <c r="C87">
        <f t="shared" ca="1" si="58"/>
        <v>22</v>
      </c>
      <c r="D87">
        <f t="shared" ca="1" si="59"/>
        <v>2.0207907600236143E-2</v>
      </c>
      <c r="F87" s="1">
        <f t="shared" ca="1" si="60"/>
        <v>10</v>
      </c>
      <c r="G87" s="1">
        <f t="shared" ca="1" si="61"/>
        <v>23</v>
      </c>
      <c r="H87" s="1">
        <f t="shared" ca="1" si="62"/>
        <v>1</v>
      </c>
      <c r="I87" s="1"/>
      <c r="J87" s="1">
        <f t="shared" ca="1" si="63"/>
        <v>13</v>
      </c>
      <c r="K87" s="1">
        <f t="shared" ca="1" si="64"/>
        <v>1.403735051904065</v>
      </c>
      <c r="L87" s="1">
        <f t="shared" ca="1" si="65"/>
        <v>10</v>
      </c>
      <c r="M87" s="1"/>
      <c r="N87" s="1">
        <f t="shared" ca="1" si="66"/>
        <v>657</v>
      </c>
      <c r="O87" s="1">
        <f t="shared" ca="1" si="67"/>
        <v>48</v>
      </c>
      <c r="P87" s="1"/>
      <c r="Q87" s="1">
        <f t="shared" ca="1" si="68"/>
        <v>2.92460476918927</v>
      </c>
      <c r="R87" s="1">
        <f t="shared" ca="1" si="69"/>
        <v>1166</v>
      </c>
      <c r="S87" s="1"/>
      <c r="T87" s="1">
        <f t="shared" ca="1" si="70"/>
        <v>9.8293735272422786E-2</v>
      </c>
      <c r="U87" s="1">
        <f t="shared" ca="1" si="71"/>
        <v>321</v>
      </c>
      <c r="V87" s="1">
        <f t="shared" ca="1" si="72"/>
        <v>11</v>
      </c>
      <c r="W87" s="1"/>
      <c r="X87" s="1">
        <f t="shared" ca="1" si="73"/>
        <v>4.5927671013841103</v>
      </c>
      <c r="Y87" s="1">
        <f t="shared" ca="1" si="74"/>
        <v>0.27615804551672046</v>
      </c>
      <c r="Z87" s="1">
        <f t="shared" ca="1" si="75"/>
        <v>1597</v>
      </c>
      <c r="AB87" s="1">
        <f t="shared" ca="1" si="76"/>
        <v>0.84583534663266491</v>
      </c>
      <c r="AC87" s="1">
        <f t="shared" ca="1" si="77"/>
        <v>875</v>
      </c>
      <c r="AD87" s="1">
        <f t="shared" ca="1" si="78"/>
        <v>5.5791848395159551E-3</v>
      </c>
      <c r="AE87" s="1"/>
      <c r="AF87" s="1">
        <f t="shared" ca="1" si="79"/>
        <v>0.32956386769134471</v>
      </c>
      <c r="AG87" s="1">
        <f t="shared" ca="1" si="80"/>
        <v>962</v>
      </c>
      <c r="AH87" s="1">
        <f t="shared" ca="1" si="81"/>
        <v>6.2712045095668105E-3</v>
      </c>
      <c r="AJ87" s="1">
        <f t="shared" ca="1" si="82"/>
        <v>0.2432088992586493</v>
      </c>
      <c r="AK87" s="1">
        <f t="shared" ca="1" si="83"/>
        <v>6.4317479709153132E-3</v>
      </c>
      <c r="AL87" s="1"/>
      <c r="AM87" s="1">
        <f t="shared" ca="1" si="84"/>
        <v>7.5956965899351164E-2</v>
      </c>
      <c r="AN87" s="1">
        <f t="shared" ca="1" si="85"/>
        <v>41</v>
      </c>
      <c r="AO87" s="1">
        <f t="shared" ca="1" si="86"/>
        <v>2</v>
      </c>
      <c r="AQ87" s="1">
        <f t="shared" ca="1" si="87"/>
        <v>166</v>
      </c>
      <c r="AR87" s="1">
        <f t="shared" ca="1" si="88"/>
        <v>5</v>
      </c>
      <c r="AS87" s="1">
        <f t="shared" ca="1" si="89"/>
        <v>79</v>
      </c>
      <c r="AU87" s="1">
        <f t="shared" ca="1" si="90"/>
        <v>345</v>
      </c>
      <c r="AV87" s="1">
        <f t="shared" ca="1" si="91"/>
        <v>8</v>
      </c>
      <c r="AW87" s="1">
        <f t="shared" ca="1" si="92"/>
        <v>6.3317891274212321E-2</v>
      </c>
      <c r="AY87" s="1">
        <f t="shared" ca="1" si="93"/>
        <v>1.7894251578190854</v>
      </c>
      <c r="AZ87" s="1">
        <f t="shared" ca="1" si="94"/>
        <v>251</v>
      </c>
      <c r="BA87" s="1">
        <f t="shared" ca="1" si="95"/>
        <v>3.6425276569690954E-3</v>
      </c>
      <c r="BV87" s="1">
        <f t="shared" ca="1" si="96"/>
        <v>0.99314193105566728</v>
      </c>
      <c r="BW87" s="1">
        <f t="shared" ca="1" si="97"/>
        <v>472</v>
      </c>
      <c r="BX87" s="1">
        <f t="shared" ca="1" si="98"/>
        <v>3.7369485090798268E-4</v>
      </c>
      <c r="BY87" s="1">
        <f t="shared" ca="1" si="99"/>
        <v>7.1091852063119548E-2</v>
      </c>
      <c r="BZ87" s="1">
        <f t="shared" ca="1" si="100"/>
        <v>0.9546584883054311</v>
      </c>
      <c r="CB87" s="1">
        <f t="shared" ca="1" si="101"/>
        <v>159</v>
      </c>
      <c r="CC87" s="1">
        <f t="shared" ca="1" si="102"/>
        <v>4</v>
      </c>
      <c r="CD87" s="1">
        <f t="shared" ca="1" si="103"/>
        <v>7.1577428242909594E-2</v>
      </c>
      <c r="CE87" s="1">
        <f t="shared" ca="1" si="104"/>
        <v>0.57332722871208197</v>
      </c>
      <c r="CF87" s="1">
        <f t="shared" ca="1" si="104"/>
        <v>0.80706455954132617</v>
      </c>
      <c r="CH87" s="3">
        <f t="shared" ca="1" si="105"/>
        <v>0.38843765799119406</v>
      </c>
      <c r="CI87" s="3">
        <f t="shared" ca="1" si="106"/>
        <v>4.2393967960002533E-2</v>
      </c>
      <c r="CJ87" s="3">
        <f t="shared" ca="1" si="107"/>
        <v>1954</v>
      </c>
      <c r="CK87" s="3">
        <f t="shared" ca="1" si="108"/>
        <v>7.4498238330192807E-3</v>
      </c>
      <c r="CL87" s="3">
        <f t="shared" ca="1" si="109"/>
        <v>0</v>
      </c>
      <c r="CM87" s="3"/>
      <c r="CN87" s="1">
        <f t="shared" ca="1" si="110"/>
        <v>0.2436059851737945</v>
      </c>
      <c r="CO87" s="1">
        <f t="shared" ca="1" si="111"/>
        <v>0.35293977305316521</v>
      </c>
      <c r="CP87" s="1">
        <f t="shared" ca="1" si="112"/>
        <v>2</v>
      </c>
    </row>
    <row r="88" spans="2:94" x14ac:dyDescent="0.25">
      <c r="B88">
        <f t="shared" ca="1" si="57"/>
        <v>104</v>
      </c>
      <c r="C88">
        <f t="shared" ca="1" si="58"/>
        <v>47</v>
      </c>
      <c r="D88">
        <f t="shared" ca="1" si="59"/>
        <v>7.552564385699069E-2</v>
      </c>
      <c r="F88" s="1">
        <f t="shared" ca="1" si="60"/>
        <v>25</v>
      </c>
      <c r="G88" s="1">
        <f t="shared" ca="1" si="61"/>
        <v>13</v>
      </c>
      <c r="H88" s="1">
        <f t="shared" ca="1" si="62"/>
        <v>8</v>
      </c>
      <c r="I88" s="1"/>
      <c r="J88" s="1">
        <f t="shared" ca="1" si="63"/>
        <v>12</v>
      </c>
      <c r="K88" s="1">
        <f t="shared" ca="1" si="64"/>
        <v>2.6368971320118897</v>
      </c>
      <c r="L88" s="1">
        <f t="shared" ca="1" si="65"/>
        <v>34</v>
      </c>
      <c r="M88" s="1"/>
      <c r="N88" s="1">
        <f t="shared" ca="1" si="66"/>
        <v>137</v>
      </c>
      <c r="O88" s="1">
        <f t="shared" ca="1" si="67"/>
        <v>51</v>
      </c>
      <c r="P88" s="1"/>
      <c r="Q88" s="1">
        <f t="shared" ca="1" si="68"/>
        <v>2.7994955762719438</v>
      </c>
      <c r="R88" s="1">
        <f t="shared" ca="1" si="69"/>
        <v>816</v>
      </c>
      <c r="S88" s="1"/>
      <c r="T88" s="1">
        <f t="shared" ca="1" si="70"/>
        <v>3.0054153816070489E-2</v>
      </c>
      <c r="U88" s="1">
        <f t="shared" ca="1" si="71"/>
        <v>323</v>
      </c>
      <c r="V88" s="1">
        <f t="shared" ca="1" si="72"/>
        <v>8</v>
      </c>
      <c r="W88" s="1"/>
      <c r="X88" s="1">
        <f t="shared" ca="1" si="73"/>
        <v>5.4800558983267003</v>
      </c>
      <c r="Y88" s="1">
        <f t="shared" ca="1" si="74"/>
        <v>0.6706860957476557</v>
      </c>
      <c r="Z88" s="1">
        <f t="shared" ca="1" si="75"/>
        <v>696</v>
      </c>
      <c r="AB88" s="1">
        <f t="shared" ca="1" si="76"/>
        <v>0.90945676426079403</v>
      </c>
      <c r="AC88" s="1">
        <f t="shared" ca="1" si="77"/>
        <v>146</v>
      </c>
      <c r="AD88" s="1">
        <f t="shared" ca="1" si="78"/>
        <v>8.8200226898176477E-3</v>
      </c>
      <c r="AE88" s="1"/>
      <c r="AF88" s="1">
        <f t="shared" ca="1" si="79"/>
        <v>0.77875741098027329</v>
      </c>
      <c r="AG88" s="1">
        <f t="shared" ca="1" si="80"/>
        <v>703</v>
      </c>
      <c r="AH88" s="1">
        <f t="shared" ca="1" si="81"/>
        <v>7.3150057243009737E-3</v>
      </c>
      <c r="AJ88" s="1">
        <f t="shared" ca="1" si="82"/>
        <v>0.63481785805301871</v>
      </c>
      <c r="AK88" s="1">
        <f t="shared" ca="1" si="83"/>
        <v>8.5172818669635719E-3</v>
      </c>
      <c r="AL88" s="1"/>
      <c r="AM88" s="1">
        <f t="shared" ca="1" si="84"/>
        <v>0.12882300761955909</v>
      </c>
      <c r="AN88" s="1">
        <f t="shared" ca="1" si="85"/>
        <v>67</v>
      </c>
      <c r="AO88" s="1">
        <f t="shared" ca="1" si="86"/>
        <v>13</v>
      </c>
      <c r="AQ88" s="1">
        <f t="shared" ca="1" si="87"/>
        <v>154</v>
      </c>
      <c r="AR88" s="1">
        <f t="shared" ca="1" si="88"/>
        <v>6</v>
      </c>
      <c r="AS88" s="1">
        <f t="shared" ca="1" si="89"/>
        <v>75</v>
      </c>
      <c r="AU88" s="1">
        <f t="shared" ca="1" si="90"/>
        <v>112</v>
      </c>
      <c r="AV88" s="1">
        <f t="shared" ca="1" si="91"/>
        <v>5</v>
      </c>
      <c r="AW88" s="1">
        <f t="shared" ca="1" si="92"/>
        <v>0.10034255931653303</v>
      </c>
      <c r="AY88" s="1">
        <f t="shared" ca="1" si="93"/>
        <v>1.3166281023595612</v>
      </c>
      <c r="AZ88" s="1">
        <f t="shared" ca="1" si="94"/>
        <v>202</v>
      </c>
      <c r="BA88" s="1">
        <f t="shared" ca="1" si="95"/>
        <v>4.8262622142471656E-3</v>
      </c>
      <c r="BV88" s="1">
        <f t="shared" ca="1" si="96"/>
        <v>0.36931761862261914</v>
      </c>
      <c r="BW88" s="1">
        <f t="shared" ca="1" si="97"/>
        <v>814</v>
      </c>
      <c r="BX88" s="1">
        <f t="shared" ca="1" si="98"/>
        <v>2.464425372497647E-3</v>
      </c>
      <c r="BY88" s="1">
        <f t="shared" ca="1" si="99"/>
        <v>7.6226756875458516E-3</v>
      </c>
      <c r="BZ88" s="1">
        <f t="shared" ca="1" si="100"/>
        <v>1.6078695516887676E-2</v>
      </c>
      <c r="CB88" s="1">
        <f t="shared" ca="1" si="101"/>
        <v>226</v>
      </c>
      <c r="CC88" s="1">
        <f t="shared" ca="1" si="102"/>
        <v>8</v>
      </c>
      <c r="CD88" s="1">
        <f t="shared" ca="1" si="103"/>
        <v>1.3393232875084623E-2</v>
      </c>
      <c r="CE88" s="1">
        <f t="shared" ca="1" si="104"/>
        <v>0.57995709342470736</v>
      </c>
      <c r="CF88" s="1">
        <f t="shared" ca="1" si="104"/>
        <v>0.73579448640429135</v>
      </c>
      <c r="CH88" s="3">
        <f t="shared" ca="1" si="105"/>
        <v>0.59535311342300334</v>
      </c>
      <c r="CI88" s="3">
        <f t="shared" ca="1" si="106"/>
        <v>0.21644771130541873</v>
      </c>
      <c r="CJ88" s="3">
        <f t="shared" ca="1" si="107"/>
        <v>999</v>
      </c>
      <c r="CK88" s="3">
        <f t="shared" ca="1" si="108"/>
        <v>7.8841227749097264E-4</v>
      </c>
      <c r="CL88" s="3">
        <f t="shared" ca="1" si="109"/>
        <v>1</v>
      </c>
      <c r="CM88" s="3"/>
      <c r="CN88" s="1">
        <f t="shared" ca="1" si="110"/>
        <v>0.8824965786131358</v>
      </c>
      <c r="CO88" s="1">
        <f t="shared" ca="1" si="111"/>
        <v>0.14876887529505131</v>
      </c>
      <c r="CP88" s="1">
        <f t="shared" ca="1" si="112"/>
        <v>1</v>
      </c>
    </row>
    <row r="89" spans="2:94" x14ac:dyDescent="0.25">
      <c r="B89">
        <f t="shared" ca="1" si="57"/>
        <v>178</v>
      </c>
      <c r="C89">
        <f t="shared" ca="1" si="58"/>
        <v>27</v>
      </c>
      <c r="D89">
        <f t="shared" ca="1" si="59"/>
        <v>0.28683055072248065</v>
      </c>
      <c r="F89" s="1">
        <f t="shared" ca="1" si="60"/>
        <v>34</v>
      </c>
      <c r="G89" s="1">
        <f t="shared" ca="1" si="61"/>
        <v>19</v>
      </c>
      <c r="H89" s="1">
        <f t="shared" ca="1" si="62"/>
        <v>2</v>
      </c>
      <c r="I89" s="1"/>
      <c r="J89" s="1">
        <f t="shared" ca="1" si="63"/>
        <v>2</v>
      </c>
      <c r="K89" s="1">
        <f t="shared" ca="1" si="64"/>
        <v>1.1367972676858979</v>
      </c>
      <c r="L89" s="1">
        <f t="shared" ca="1" si="65"/>
        <v>11</v>
      </c>
      <c r="M89" s="1"/>
      <c r="N89" s="1">
        <f t="shared" ca="1" si="66"/>
        <v>735</v>
      </c>
      <c r="O89" s="1">
        <f t="shared" ca="1" si="67"/>
        <v>17</v>
      </c>
      <c r="P89" s="1"/>
      <c r="Q89" s="1">
        <f t="shared" ca="1" si="68"/>
        <v>1.1578211408459373</v>
      </c>
      <c r="R89" s="1">
        <f t="shared" ca="1" si="69"/>
        <v>1169</v>
      </c>
      <c r="S89" s="1"/>
      <c r="T89" s="1">
        <f t="shared" ca="1" si="70"/>
        <v>0.19349716677197232</v>
      </c>
      <c r="U89" s="1">
        <f t="shared" ca="1" si="71"/>
        <v>409</v>
      </c>
      <c r="V89" s="1">
        <f t="shared" ca="1" si="72"/>
        <v>15</v>
      </c>
      <c r="W89" s="1"/>
      <c r="X89" s="1">
        <f t="shared" ca="1" si="73"/>
        <v>2.3363129145783552</v>
      </c>
      <c r="Y89" s="1">
        <f t="shared" ca="1" si="74"/>
        <v>0.11780432901130948</v>
      </c>
      <c r="Z89" s="1">
        <f t="shared" ca="1" si="75"/>
        <v>1985</v>
      </c>
      <c r="AB89" s="1">
        <f t="shared" ca="1" si="76"/>
        <v>0.83698106551839202</v>
      </c>
      <c r="AC89" s="1">
        <f t="shared" ca="1" si="77"/>
        <v>378</v>
      </c>
      <c r="AD89" s="1">
        <f t="shared" ca="1" si="78"/>
        <v>6.5176018407900665E-3</v>
      </c>
      <c r="AE89" s="1"/>
      <c r="AF89" s="1">
        <f t="shared" ca="1" si="79"/>
        <v>0.8224803423283471</v>
      </c>
      <c r="AG89" s="1">
        <f t="shared" ca="1" si="80"/>
        <v>587</v>
      </c>
      <c r="AH89" s="1">
        <f t="shared" ca="1" si="81"/>
        <v>8.0682495395030772E-3</v>
      </c>
      <c r="AJ89" s="1">
        <f t="shared" ca="1" si="82"/>
        <v>0.41706437226881266</v>
      </c>
      <c r="AK89" s="1">
        <f t="shared" ca="1" si="83"/>
        <v>1.4817797338097618E-3</v>
      </c>
      <c r="AL89" s="1"/>
      <c r="AM89" s="1">
        <f t="shared" ca="1" si="84"/>
        <v>0.1649767988729936</v>
      </c>
      <c r="AN89" s="1">
        <f t="shared" ca="1" si="85"/>
        <v>58</v>
      </c>
      <c r="AO89" s="1">
        <f t="shared" ca="1" si="86"/>
        <v>14</v>
      </c>
      <c r="AQ89" s="1">
        <f t="shared" ca="1" si="87"/>
        <v>51</v>
      </c>
      <c r="AR89" s="1">
        <f t="shared" ca="1" si="88"/>
        <v>9</v>
      </c>
      <c r="AS89" s="1">
        <f t="shared" ca="1" si="89"/>
        <v>58</v>
      </c>
      <c r="AU89" s="1">
        <f t="shared" ca="1" si="90"/>
        <v>108</v>
      </c>
      <c r="AV89" s="1">
        <f t="shared" ca="1" si="91"/>
        <v>5</v>
      </c>
      <c r="AW89" s="1">
        <f t="shared" ca="1" si="92"/>
        <v>0.12797939541765382</v>
      </c>
      <c r="AY89" s="1">
        <f t="shared" ca="1" si="93"/>
        <v>1.5201621216678731</v>
      </c>
      <c r="AZ89" s="1">
        <f t="shared" ca="1" si="94"/>
        <v>353</v>
      </c>
      <c r="BA89" s="1">
        <f t="shared" ca="1" si="95"/>
        <v>3.8815073856666425E-3</v>
      </c>
      <c r="BV89" s="1">
        <f t="shared" ca="1" si="96"/>
        <v>0.35055320407901253</v>
      </c>
      <c r="BW89" s="1">
        <f t="shared" ca="1" si="97"/>
        <v>843</v>
      </c>
      <c r="BX89" s="1">
        <f t="shared" ca="1" si="98"/>
        <v>4.7390085690765197E-3</v>
      </c>
      <c r="BY89" s="1">
        <f t="shared" ca="1" si="99"/>
        <v>2.6260600757322849E-2</v>
      </c>
      <c r="BZ89" s="1">
        <f t="shared" ca="1" si="100"/>
        <v>0.43979230839725048</v>
      </c>
      <c r="CB89" s="1">
        <f t="shared" ca="1" si="101"/>
        <v>90</v>
      </c>
      <c r="CC89" s="1">
        <f t="shared" ca="1" si="102"/>
        <v>3</v>
      </c>
      <c r="CD89" s="1">
        <f t="shared" ca="1" si="103"/>
        <v>0.1500547538779034</v>
      </c>
      <c r="CE89" s="1">
        <f t="shared" ca="1" si="104"/>
        <v>0.71661230275833587</v>
      </c>
      <c r="CF89" s="1">
        <f t="shared" ca="1" si="104"/>
        <v>0.86113202018890933</v>
      </c>
      <c r="CH89" s="3">
        <f t="shared" ca="1" si="105"/>
        <v>0.76413878442854677</v>
      </c>
      <c r="CI89" s="3">
        <f t="shared" ca="1" si="106"/>
        <v>0.18080536769345523</v>
      </c>
      <c r="CJ89" s="3">
        <f t="shared" ca="1" si="107"/>
        <v>618</v>
      </c>
      <c r="CK89" s="3">
        <f t="shared" ca="1" si="108"/>
        <v>2.7240228994161232E-3</v>
      </c>
      <c r="CL89" s="3">
        <f t="shared" ca="1" si="109"/>
        <v>0</v>
      </c>
      <c r="CM89" s="3"/>
      <c r="CN89" s="1">
        <f t="shared" ca="1" si="110"/>
        <v>7.2151275223180731</v>
      </c>
      <c r="CO89" s="1">
        <f t="shared" ca="1" si="111"/>
        <v>3.0227338126336913E-2</v>
      </c>
      <c r="CP89" s="1">
        <f t="shared" ca="1" si="112"/>
        <v>5</v>
      </c>
    </row>
    <row r="90" spans="2:94" x14ac:dyDescent="0.25">
      <c r="B90">
        <f t="shared" ca="1" si="57"/>
        <v>272</v>
      </c>
      <c r="C90">
        <f t="shared" ca="1" si="58"/>
        <v>32</v>
      </c>
      <c r="D90">
        <f t="shared" ca="1" si="59"/>
        <v>0.12242844494752468</v>
      </c>
      <c r="F90" s="1">
        <f t="shared" ca="1" si="60"/>
        <v>37</v>
      </c>
      <c r="G90" s="1">
        <f t="shared" ca="1" si="61"/>
        <v>29</v>
      </c>
      <c r="H90" s="1">
        <f t="shared" ca="1" si="62"/>
        <v>8</v>
      </c>
      <c r="I90" s="1"/>
      <c r="J90" s="1">
        <f t="shared" ca="1" si="63"/>
        <v>35</v>
      </c>
      <c r="K90" s="1">
        <f t="shared" ca="1" si="64"/>
        <v>1.6440541722022857</v>
      </c>
      <c r="L90" s="1">
        <f t="shared" ca="1" si="65"/>
        <v>26</v>
      </c>
      <c r="M90" s="1"/>
      <c r="N90" s="1">
        <f t="shared" ca="1" si="66"/>
        <v>418</v>
      </c>
      <c r="O90" s="1">
        <f t="shared" ca="1" si="67"/>
        <v>46</v>
      </c>
      <c r="P90" s="1"/>
      <c r="Q90" s="1">
        <f t="shared" ca="1" si="68"/>
        <v>0.20499407385204821</v>
      </c>
      <c r="R90" s="1">
        <f t="shared" ca="1" si="69"/>
        <v>872</v>
      </c>
      <c r="S90" s="1"/>
      <c r="T90" s="1">
        <f t="shared" ca="1" si="70"/>
        <v>0.17068894169186297</v>
      </c>
      <c r="U90" s="1">
        <f t="shared" ca="1" si="71"/>
        <v>341</v>
      </c>
      <c r="V90" s="1">
        <f t="shared" ca="1" si="72"/>
        <v>42</v>
      </c>
      <c r="W90" s="1"/>
      <c r="X90" s="1">
        <f t="shared" ca="1" si="73"/>
        <v>4.3511928086013727</v>
      </c>
      <c r="Y90" s="1">
        <f t="shared" ca="1" si="74"/>
        <v>0.84203426492321087</v>
      </c>
      <c r="Z90" s="1">
        <f t="shared" ca="1" si="75"/>
        <v>295</v>
      </c>
      <c r="AB90" s="1">
        <f t="shared" ca="1" si="76"/>
        <v>0.85330994402227223</v>
      </c>
      <c r="AC90" s="1">
        <f t="shared" ca="1" si="77"/>
        <v>143</v>
      </c>
      <c r="AD90" s="1">
        <f t="shared" ca="1" si="78"/>
        <v>8.5919596784562458E-3</v>
      </c>
      <c r="AE90" s="1"/>
      <c r="AF90" s="1">
        <f t="shared" ca="1" si="79"/>
        <v>0.46687168362626918</v>
      </c>
      <c r="AG90" s="1">
        <f t="shared" ca="1" si="80"/>
        <v>475</v>
      </c>
      <c r="AH90" s="1">
        <f t="shared" ca="1" si="81"/>
        <v>8.2123212256814074E-3</v>
      </c>
      <c r="AJ90" s="1">
        <f t="shared" ca="1" si="82"/>
        <v>0.61815378968625379</v>
      </c>
      <c r="AK90" s="1">
        <f t="shared" ca="1" si="83"/>
        <v>6.7432355127813055E-3</v>
      </c>
      <c r="AL90" s="1"/>
      <c r="AM90" s="1">
        <f t="shared" ca="1" si="84"/>
        <v>4.7124279377902895E-2</v>
      </c>
      <c r="AN90" s="1">
        <f t="shared" ca="1" si="85"/>
        <v>17</v>
      </c>
      <c r="AO90" s="1">
        <f t="shared" ca="1" si="86"/>
        <v>19</v>
      </c>
      <c r="AQ90" s="1">
        <f t="shared" ca="1" si="87"/>
        <v>178</v>
      </c>
      <c r="AR90" s="1">
        <f t="shared" ca="1" si="88"/>
        <v>7</v>
      </c>
      <c r="AS90" s="1">
        <f t="shared" ca="1" si="89"/>
        <v>88</v>
      </c>
      <c r="AU90" s="1">
        <f t="shared" ca="1" si="90"/>
        <v>262</v>
      </c>
      <c r="AV90" s="1">
        <f t="shared" ca="1" si="91"/>
        <v>2</v>
      </c>
      <c r="AW90" s="1">
        <f t="shared" ca="1" si="92"/>
        <v>0.10347938576777538</v>
      </c>
      <c r="AY90" s="1">
        <f t="shared" ca="1" si="93"/>
        <v>1.608099463652203</v>
      </c>
      <c r="AZ90" s="1">
        <f t="shared" ca="1" si="94"/>
        <v>443</v>
      </c>
      <c r="BA90" s="1">
        <f t="shared" ca="1" si="95"/>
        <v>5.7782213545256832E-3</v>
      </c>
      <c r="BV90" s="1">
        <f t="shared" ca="1" si="96"/>
        <v>0.96731789625922115</v>
      </c>
      <c r="BW90" s="1">
        <f t="shared" ca="1" si="97"/>
        <v>871</v>
      </c>
      <c r="BX90" s="1">
        <f t="shared" ca="1" si="98"/>
        <v>3.2868336365412852E-3</v>
      </c>
      <c r="BY90" s="1">
        <f t="shared" ca="1" si="99"/>
        <v>9.2818287968304311E-2</v>
      </c>
      <c r="BZ90" s="1">
        <f t="shared" ca="1" si="100"/>
        <v>0.52108412436721629</v>
      </c>
      <c r="CB90" s="1">
        <f t="shared" ca="1" si="101"/>
        <v>474</v>
      </c>
      <c r="CC90" s="1">
        <f t="shared" ca="1" si="102"/>
        <v>3</v>
      </c>
      <c r="CD90" s="1">
        <f t="shared" ca="1" si="103"/>
        <v>1.0396057769330672E-2</v>
      </c>
      <c r="CE90" s="1">
        <f t="shared" ca="1" si="104"/>
        <v>0.51297507229188177</v>
      </c>
      <c r="CF90" s="1">
        <f t="shared" ca="1" si="104"/>
        <v>0.7005681821802302</v>
      </c>
      <c r="CH90" s="3">
        <f t="shared" ca="1" si="105"/>
        <v>0.63149110450641066</v>
      </c>
      <c r="CI90" s="3">
        <f t="shared" ca="1" si="106"/>
        <v>0.16443460453170186</v>
      </c>
      <c r="CJ90" s="3">
        <f t="shared" ca="1" si="107"/>
        <v>513</v>
      </c>
      <c r="CK90" s="3">
        <f t="shared" ca="1" si="108"/>
        <v>2.9159062001669566E-3</v>
      </c>
      <c r="CL90" s="3">
        <f t="shared" ca="1" si="109"/>
        <v>0</v>
      </c>
      <c r="CM90" s="3"/>
      <c r="CN90" s="1">
        <f t="shared" ca="1" si="110"/>
        <v>13.602834466261532</v>
      </c>
      <c r="CO90" s="1">
        <f t="shared" ca="1" si="111"/>
        <v>6.0829168330321107E-2</v>
      </c>
      <c r="CP90" s="1">
        <f t="shared" ca="1" si="112"/>
        <v>4</v>
      </c>
    </row>
    <row r="91" spans="2:94" x14ac:dyDescent="0.25">
      <c r="B91">
        <f t="shared" ca="1" si="57"/>
        <v>478</v>
      </c>
      <c r="C91">
        <f t="shared" ca="1" si="58"/>
        <v>19</v>
      </c>
      <c r="D91">
        <f t="shared" ca="1" si="59"/>
        <v>8.4162416186123468E-2</v>
      </c>
      <c r="F91" s="1">
        <f t="shared" ca="1" si="60"/>
        <v>48</v>
      </c>
      <c r="G91" s="1">
        <f t="shared" ca="1" si="61"/>
        <v>8</v>
      </c>
      <c r="H91" s="1">
        <f t="shared" ca="1" si="62"/>
        <v>2</v>
      </c>
      <c r="I91" s="1"/>
      <c r="J91" s="1">
        <f t="shared" ca="1" si="63"/>
        <v>9</v>
      </c>
      <c r="K91" s="1">
        <f t="shared" ca="1" si="64"/>
        <v>1.569307675314533</v>
      </c>
      <c r="L91" s="1">
        <f t="shared" ca="1" si="65"/>
        <v>7</v>
      </c>
      <c r="M91" s="1"/>
      <c r="N91" s="1">
        <f t="shared" ca="1" si="66"/>
        <v>407</v>
      </c>
      <c r="O91" s="1">
        <f t="shared" ca="1" si="67"/>
        <v>3</v>
      </c>
      <c r="P91" s="1"/>
      <c r="Q91" s="1">
        <f t="shared" ca="1" si="68"/>
        <v>3.0319757493364117</v>
      </c>
      <c r="R91" s="1">
        <f t="shared" ca="1" si="69"/>
        <v>989</v>
      </c>
      <c r="S91" s="1"/>
      <c r="T91" s="1">
        <f t="shared" ca="1" si="70"/>
        <v>0.17798013148178765</v>
      </c>
      <c r="U91" s="1">
        <f t="shared" ca="1" si="71"/>
        <v>344</v>
      </c>
      <c r="V91" s="1">
        <f t="shared" ca="1" si="72"/>
        <v>15</v>
      </c>
      <c r="W91" s="1"/>
      <c r="X91" s="1">
        <f t="shared" ca="1" si="73"/>
        <v>2.4396323462636795</v>
      </c>
      <c r="Y91" s="1">
        <f t="shared" ca="1" si="74"/>
        <v>0.19435495540130235</v>
      </c>
      <c r="Z91" s="1">
        <f t="shared" ca="1" si="75"/>
        <v>887</v>
      </c>
      <c r="AB91" s="1">
        <f t="shared" ca="1" si="76"/>
        <v>0.49042172681709184</v>
      </c>
      <c r="AC91" s="1">
        <f t="shared" ca="1" si="77"/>
        <v>330</v>
      </c>
      <c r="AD91" s="1">
        <f t="shared" ca="1" si="78"/>
        <v>6.0863741971407537E-3</v>
      </c>
      <c r="AE91" s="1"/>
      <c r="AF91" s="1">
        <f t="shared" ca="1" si="79"/>
        <v>0.19903766572398132</v>
      </c>
      <c r="AG91" s="1">
        <f t="shared" ca="1" si="80"/>
        <v>812</v>
      </c>
      <c r="AH91" s="1">
        <f t="shared" ca="1" si="81"/>
        <v>8.6215325860361548E-3</v>
      </c>
      <c r="AJ91" s="1">
        <f t="shared" ca="1" si="82"/>
        <v>0.23715322580579212</v>
      </c>
      <c r="AK91" s="1">
        <f t="shared" ca="1" si="83"/>
        <v>2.1112512085170519E-3</v>
      </c>
      <c r="AL91" s="1"/>
      <c r="AM91" s="1">
        <f t="shared" ca="1" si="84"/>
        <v>0.13329366415635358</v>
      </c>
      <c r="AN91" s="1">
        <f t="shared" ca="1" si="85"/>
        <v>37</v>
      </c>
      <c r="AO91" s="1">
        <f t="shared" ca="1" si="86"/>
        <v>3</v>
      </c>
      <c r="AQ91" s="1">
        <f t="shared" ca="1" si="87"/>
        <v>122</v>
      </c>
      <c r="AR91" s="1">
        <f t="shared" ca="1" si="88"/>
        <v>2</v>
      </c>
      <c r="AS91" s="1">
        <f t="shared" ca="1" si="89"/>
        <v>23</v>
      </c>
      <c r="AU91" s="1">
        <f t="shared" ca="1" si="90"/>
        <v>335</v>
      </c>
      <c r="AV91" s="1">
        <f t="shared" ca="1" si="91"/>
        <v>10</v>
      </c>
      <c r="AW91" s="1">
        <f t="shared" ca="1" si="92"/>
        <v>5.509815959761085E-2</v>
      </c>
      <c r="AY91" s="1">
        <f t="shared" ca="1" si="93"/>
        <v>1.1924592570813639</v>
      </c>
      <c r="AZ91" s="1">
        <f t="shared" ca="1" si="94"/>
        <v>104</v>
      </c>
      <c r="BA91" s="1">
        <f t="shared" ca="1" si="95"/>
        <v>5.9753253511816047E-3</v>
      </c>
      <c r="BV91" s="1">
        <f t="shared" ca="1" si="96"/>
        <v>0.1198963857897393</v>
      </c>
      <c r="BW91" s="1">
        <f t="shared" ca="1" si="97"/>
        <v>505</v>
      </c>
      <c r="BX91" s="1">
        <f t="shared" ca="1" si="98"/>
        <v>1.7405269600221187E-3</v>
      </c>
      <c r="BY91" s="1">
        <f t="shared" ca="1" si="99"/>
        <v>8.0422467590685498E-2</v>
      </c>
      <c r="BZ91" s="1">
        <f t="shared" ca="1" si="100"/>
        <v>0.47044835041074329</v>
      </c>
      <c r="CB91" s="1">
        <f t="shared" ca="1" si="101"/>
        <v>456</v>
      </c>
      <c r="CC91" s="1">
        <f t="shared" ca="1" si="102"/>
        <v>11</v>
      </c>
      <c r="CD91" s="1">
        <f t="shared" ca="1" si="103"/>
        <v>0.14963847640617495</v>
      </c>
      <c r="CE91" s="1">
        <f t="shared" ca="1" si="104"/>
        <v>0.53068602068554349</v>
      </c>
      <c r="CF91" s="1">
        <f t="shared" ca="1" si="104"/>
        <v>0.76860172490077128</v>
      </c>
      <c r="CH91" s="3">
        <f t="shared" ca="1" si="105"/>
        <v>0.68480100633145424</v>
      </c>
      <c r="CI91" s="3">
        <f t="shared" ca="1" si="106"/>
        <v>0.91316063669457581</v>
      </c>
      <c r="CJ91" s="3">
        <f t="shared" ca="1" si="107"/>
        <v>1621</v>
      </c>
      <c r="CK91" s="3">
        <f t="shared" ca="1" si="108"/>
        <v>9.3027711196727331E-3</v>
      </c>
      <c r="CL91" s="3">
        <f t="shared" ca="1" si="109"/>
        <v>1</v>
      </c>
      <c r="CM91" s="3"/>
      <c r="CN91" s="1">
        <f t="shared" ca="1" si="110"/>
        <v>14.783258154499437</v>
      </c>
      <c r="CO91" s="1">
        <f t="shared" ca="1" si="111"/>
        <v>0.30339057643666184</v>
      </c>
      <c r="CP91" s="1">
        <f t="shared" ca="1" si="112"/>
        <v>5</v>
      </c>
    </row>
    <row r="92" spans="2:94" x14ac:dyDescent="0.25">
      <c r="B92">
        <f t="shared" ca="1" si="57"/>
        <v>476</v>
      </c>
      <c r="C92">
        <f t="shared" ca="1" si="58"/>
        <v>18</v>
      </c>
      <c r="D92">
        <f t="shared" ca="1" si="59"/>
        <v>4.3910737741264402E-2</v>
      </c>
      <c r="F92" s="1">
        <f t="shared" ca="1" si="60"/>
        <v>8</v>
      </c>
      <c r="G92" s="1">
        <f t="shared" ca="1" si="61"/>
        <v>14</v>
      </c>
      <c r="H92" s="1">
        <f t="shared" ca="1" si="62"/>
        <v>5</v>
      </c>
      <c r="I92" s="1"/>
      <c r="J92" s="1">
        <f t="shared" ca="1" si="63"/>
        <v>19</v>
      </c>
      <c r="K92" s="1">
        <f t="shared" ca="1" si="64"/>
        <v>1.2064468550209078</v>
      </c>
      <c r="L92" s="1">
        <f t="shared" ca="1" si="65"/>
        <v>33</v>
      </c>
      <c r="M92" s="1"/>
      <c r="N92" s="1">
        <f t="shared" ca="1" si="66"/>
        <v>420</v>
      </c>
      <c r="O92" s="1">
        <f t="shared" ca="1" si="67"/>
        <v>15</v>
      </c>
      <c r="P92" s="1"/>
      <c r="Q92" s="1">
        <f t="shared" ca="1" si="68"/>
        <v>1.5088697231604524</v>
      </c>
      <c r="R92" s="1">
        <f t="shared" ca="1" si="69"/>
        <v>1148</v>
      </c>
      <c r="S92" s="1"/>
      <c r="T92" s="1">
        <f t="shared" ca="1" si="70"/>
        <v>0.17185357150375863</v>
      </c>
      <c r="U92" s="1">
        <f t="shared" ca="1" si="71"/>
        <v>334</v>
      </c>
      <c r="V92" s="1">
        <f t="shared" ca="1" si="72"/>
        <v>11</v>
      </c>
      <c r="W92" s="1"/>
      <c r="X92" s="1">
        <f t="shared" ca="1" si="73"/>
        <v>1.9437345041560403</v>
      </c>
      <c r="Y92" s="1">
        <f t="shared" ca="1" si="74"/>
        <v>0.16550616579353711</v>
      </c>
      <c r="Z92" s="1">
        <f t="shared" ca="1" si="75"/>
        <v>1752</v>
      </c>
      <c r="AB92" s="1">
        <f t="shared" ca="1" si="76"/>
        <v>3.3684274120149571E-2</v>
      </c>
      <c r="AC92" s="1">
        <f t="shared" ca="1" si="77"/>
        <v>617</v>
      </c>
      <c r="AD92" s="1">
        <f t="shared" ca="1" si="78"/>
        <v>3.3763775352304098E-3</v>
      </c>
      <c r="AE92" s="1"/>
      <c r="AF92" s="1">
        <f t="shared" ca="1" si="79"/>
        <v>0.87214451500259582</v>
      </c>
      <c r="AG92" s="1">
        <f t="shared" ca="1" si="80"/>
        <v>506</v>
      </c>
      <c r="AH92" s="1">
        <f t="shared" ca="1" si="81"/>
        <v>7.4188302817520266E-3</v>
      </c>
      <c r="AJ92" s="1">
        <f t="shared" ca="1" si="82"/>
        <v>0.75434050986143597</v>
      </c>
      <c r="AK92" s="1">
        <f t="shared" ca="1" si="83"/>
        <v>3.8757482604226809E-3</v>
      </c>
      <c r="AL92" s="1"/>
      <c r="AM92" s="1">
        <f t="shared" ca="1" si="84"/>
        <v>0.13676757603298462</v>
      </c>
      <c r="AN92" s="1">
        <f t="shared" ca="1" si="85"/>
        <v>73</v>
      </c>
      <c r="AO92" s="1">
        <f t="shared" ca="1" si="86"/>
        <v>4</v>
      </c>
      <c r="AQ92" s="1">
        <f t="shared" ca="1" si="87"/>
        <v>199</v>
      </c>
      <c r="AR92" s="1">
        <f t="shared" ca="1" si="88"/>
        <v>2</v>
      </c>
      <c r="AS92" s="1">
        <f t="shared" ca="1" si="89"/>
        <v>61</v>
      </c>
      <c r="AU92" s="1">
        <f t="shared" ca="1" si="90"/>
        <v>52</v>
      </c>
      <c r="AV92" s="1">
        <f t="shared" ca="1" si="91"/>
        <v>8</v>
      </c>
      <c r="AW92" s="1">
        <f t="shared" ca="1" si="92"/>
        <v>5.8577245625853439E-2</v>
      </c>
      <c r="AY92" s="1">
        <f t="shared" ca="1" si="93"/>
        <v>1.1688152561763672</v>
      </c>
      <c r="AZ92" s="1">
        <f t="shared" ca="1" si="94"/>
        <v>281</v>
      </c>
      <c r="BA92" s="1">
        <f t="shared" ca="1" si="95"/>
        <v>8.7970247491700286E-3</v>
      </c>
      <c r="BV92" s="1">
        <f t="shared" ca="1" si="96"/>
        <v>0.58124020385576547</v>
      </c>
      <c r="BW92" s="1">
        <f t="shared" ca="1" si="97"/>
        <v>810</v>
      </c>
      <c r="BX92" s="1">
        <f t="shared" ca="1" si="98"/>
        <v>4.4987925934279376E-3</v>
      </c>
      <c r="BY92" s="1">
        <f t="shared" ca="1" si="99"/>
        <v>8.6024168589594552E-2</v>
      </c>
      <c r="BZ92" s="1">
        <f t="shared" ca="1" si="100"/>
        <v>0.23979756894233439</v>
      </c>
      <c r="CB92" s="1">
        <f t="shared" ca="1" si="101"/>
        <v>456</v>
      </c>
      <c r="CC92" s="1">
        <f t="shared" ca="1" si="102"/>
        <v>12</v>
      </c>
      <c r="CD92" s="1">
        <f t="shared" ca="1" si="103"/>
        <v>0.14057816907126991</v>
      </c>
      <c r="CE92" s="1">
        <f t="shared" ca="1" si="104"/>
        <v>0.97570225288541512</v>
      </c>
      <c r="CF92" s="1">
        <f t="shared" ca="1" si="104"/>
        <v>0.70801158461982672</v>
      </c>
      <c r="CH92" s="3">
        <f t="shared" ca="1" si="105"/>
        <v>0.84359403218760942</v>
      </c>
      <c r="CI92" s="3">
        <f t="shared" ca="1" si="106"/>
        <v>0.60490850270146124</v>
      </c>
      <c r="CJ92" s="3">
        <f t="shared" ca="1" si="107"/>
        <v>511</v>
      </c>
      <c r="CK92" s="3">
        <f t="shared" ca="1" si="108"/>
        <v>8.0258000011461592E-3</v>
      </c>
      <c r="CL92" s="3">
        <f t="shared" ca="1" si="109"/>
        <v>1</v>
      </c>
      <c r="CM92" s="3"/>
      <c r="CN92" s="1">
        <f t="shared" ca="1" si="110"/>
        <v>13.532605804084325</v>
      </c>
      <c r="CO92" s="1">
        <f t="shared" ca="1" si="111"/>
        <v>0.16256531169736296</v>
      </c>
      <c r="CP92" s="1">
        <f t="shared" ca="1" si="112"/>
        <v>5</v>
      </c>
    </row>
    <row r="93" spans="2:94" x14ac:dyDescent="0.25">
      <c r="B93">
        <f t="shared" ca="1" si="57"/>
        <v>509</v>
      </c>
      <c r="C93">
        <f t="shared" ca="1" si="58"/>
        <v>18</v>
      </c>
      <c r="D93">
        <f t="shared" ca="1" si="59"/>
        <v>0.19839303764955885</v>
      </c>
      <c r="F93" s="1">
        <f t="shared" ca="1" si="60"/>
        <v>23</v>
      </c>
      <c r="G93" s="1">
        <f t="shared" ca="1" si="61"/>
        <v>21</v>
      </c>
      <c r="H93" s="1">
        <f t="shared" ca="1" si="62"/>
        <v>14</v>
      </c>
      <c r="I93" s="1"/>
      <c r="J93" s="1">
        <f t="shared" ca="1" si="63"/>
        <v>22</v>
      </c>
      <c r="K93" s="1">
        <f t="shared" ca="1" si="64"/>
        <v>2.606436758272487</v>
      </c>
      <c r="L93" s="1">
        <f t="shared" ca="1" si="65"/>
        <v>6</v>
      </c>
      <c r="M93" s="1"/>
      <c r="N93" s="1">
        <f t="shared" ca="1" si="66"/>
        <v>499</v>
      </c>
      <c r="O93" s="1">
        <f t="shared" ca="1" si="67"/>
        <v>47</v>
      </c>
      <c r="P93" s="1"/>
      <c r="Q93" s="1">
        <f t="shared" ca="1" si="68"/>
        <v>2.0699783495237845</v>
      </c>
      <c r="R93" s="1">
        <f t="shared" ca="1" si="69"/>
        <v>346</v>
      </c>
      <c r="S93" s="1"/>
      <c r="T93" s="1">
        <f t="shared" ca="1" si="70"/>
        <v>7.2430287305267946E-2</v>
      </c>
      <c r="U93" s="1">
        <f t="shared" ca="1" si="71"/>
        <v>349</v>
      </c>
      <c r="V93" s="1">
        <f t="shared" ca="1" si="72"/>
        <v>5</v>
      </c>
      <c r="W93" s="1"/>
      <c r="X93" s="1">
        <f t="shared" ca="1" si="73"/>
        <v>2.2377264482516961</v>
      </c>
      <c r="Y93" s="1">
        <f t="shared" ca="1" si="74"/>
        <v>0.29803242133329416</v>
      </c>
      <c r="Z93" s="1">
        <f t="shared" ca="1" si="75"/>
        <v>250</v>
      </c>
      <c r="AB93" s="1">
        <f t="shared" ca="1" si="76"/>
        <v>0.24440819898081348</v>
      </c>
      <c r="AC93" s="1">
        <f t="shared" ca="1" si="77"/>
        <v>758</v>
      </c>
      <c r="AD93" s="1">
        <f t="shared" ca="1" si="78"/>
        <v>6.4155538870957146E-3</v>
      </c>
      <c r="AE93" s="1"/>
      <c r="AF93" s="1">
        <f t="shared" ca="1" si="79"/>
        <v>0.26062284857782048</v>
      </c>
      <c r="AG93" s="1">
        <f t="shared" ca="1" si="80"/>
        <v>713</v>
      </c>
      <c r="AH93" s="1">
        <f t="shared" ca="1" si="81"/>
        <v>2.2689714910322611E-3</v>
      </c>
      <c r="AJ93" s="1">
        <f t="shared" ca="1" si="82"/>
        <v>0.98930391128646</v>
      </c>
      <c r="AK93" s="1">
        <f t="shared" ca="1" si="83"/>
        <v>1.8558349979579141E-4</v>
      </c>
      <c r="AL93" s="1"/>
      <c r="AM93" s="1">
        <f t="shared" ca="1" si="84"/>
        <v>0.12004973634694621</v>
      </c>
      <c r="AN93" s="1">
        <f t="shared" ca="1" si="85"/>
        <v>56</v>
      </c>
      <c r="AO93" s="1">
        <f t="shared" ca="1" si="86"/>
        <v>13</v>
      </c>
      <c r="AQ93" s="1">
        <f t="shared" ca="1" si="87"/>
        <v>91</v>
      </c>
      <c r="AR93" s="1">
        <f t="shared" ca="1" si="88"/>
        <v>3</v>
      </c>
      <c r="AS93" s="1">
        <f t="shared" ca="1" si="89"/>
        <v>22</v>
      </c>
      <c r="AU93" s="1">
        <f t="shared" ca="1" si="90"/>
        <v>165</v>
      </c>
      <c r="AV93" s="1">
        <f t="shared" ca="1" si="91"/>
        <v>10</v>
      </c>
      <c r="AW93" s="1">
        <f t="shared" ca="1" si="92"/>
        <v>0.12629871656012703</v>
      </c>
      <c r="AY93" s="1">
        <f t="shared" ca="1" si="93"/>
        <v>1.1954898654106989</v>
      </c>
      <c r="AZ93" s="1">
        <f t="shared" ca="1" si="94"/>
        <v>425</v>
      </c>
      <c r="BA93" s="1">
        <f t="shared" ca="1" si="95"/>
        <v>5.1916941497775768E-3</v>
      </c>
      <c r="BV93" s="1">
        <f t="shared" ca="1" si="96"/>
        <v>0.65262303294306145</v>
      </c>
      <c r="BW93" s="1">
        <f t="shared" ca="1" si="97"/>
        <v>485</v>
      </c>
      <c r="BX93" s="1">
        <f t="shared" ca="1" si="98"/>
        <v>9.3954452971029487E-3</v>
      </c>
      <c r="BY93" s="1">
        <f t="shared" ca="1" si="99"/>
        <v>2.9444740020058034E-3</v>
      </c>
      <c r="BZ93" s="1">
        <f t="shared" ca="1" si="100"/>
        <v>0.79257574273615761</v>
      </c>
      <c r="CB93" s="1">
        <f t="shared" ca="1" si="101"/>
        <v>316</v>
      </c>
      <c r="CC93" s="1">
        <f t="shared" ca="1" si="102"/>
        <v>13</v>
      </c>
      <c r="CD93" s="1">
        <f t="shared" ca="1" si="103"/>
        <v>0.27520664697620412</v>
      </c>
      <c r="CE93" s="1">
        <f t="shared" ca="1" si="104"/>
        <v>0.72297136039222964</v>
      </c>
      <c r="CF93" s="1">
        <f t="shared" ca="1" si="104"/>
        <v>0.99230751844169485</v>
      </c>
      <c r="CH93" s="3">
        <f t="shared" ca="1" si="105"/>
        <v>0.29153848038260749</v>
      </c>
      <c r="CI93" s="3">
        <f t="shared" ca="1" si="106"/>
        <v>0.65527851260488246</v>
      </c>
      <c r="CJ93" s="3">
        <f t="shared" ca="1" si="107"/>
        <v>1322</v>
      </c>
      <c r="CK93" s="3">
        <f t="shared" ca="1" si="108"/>
        <v>7.6128221029194369E-3</v>
      </c>
      <c r="CL93" s="3">
        <f t="shared" ca="1" si="109"/>
        <v>0</v>
      </c>
      <c r="CM93" s="3"/>
      <c r="CN93" s="1">
        <f t="shared" ca="1" si="110"/>
        <v>16.616147178702271</v>
      </c>
      <c r="CO93" s="1">
        <f t="shared" ca="1" si="111"/>
        <v>0.20641797225552014</v>
      </c>
      <c r="CP93" s="1">
        <f t="shared" ca="1" si="112"/>
        <v>1</v>
      </c>
    </row>
    <row r="94" spans="2:94" x14ac:dyDescent="0.25">
      <c r="B94">
        <f t="shared" ca="1" si="57"/>
        <v>354</v>
      </c>
      <c r="C94">
        <f t="shared" ca="1" si="58"/>
        <v>44</v>
      </c>
      <c r="D94">
        <f t="shared" ca="1" si="59"/>
        <v>0.10029634209403669</v>
      </c>
      <c r="F94" s="1">
        <f t="shared" ca="1" si="60"/>
        <v>21</v>
      </c>
      <c r="G94" s="1">
        <f t="shared" ca="1" si="61"/>
        <v>30</v>
      </c>
      <c r="H94" s="1">
        <f t="shared" ca="1" si="62"/>
        <v>15</v>
      </c>
      <c r="I94" s="1"/>
      <c r="J94" s="1">
        <f t="shared" ca="1" si="63"/>
        <v>39</v>
      </c>
      <c r="K94" s="1">
        <f t="shared" ca="1" si="64"/>
        <v>1.636731485483218</v>
      </c>
      <c r="L94" s="1">
        <f t="shared" ca="1" si="65"/>
        <v>14</v>
      </c>
      <c r="M94" s="1"/>
      <c r="N94" s="1">
        <f t="shared" ca="1" si="66"/>
        <v>649</v>
      </c>
      <c r="O94" s="1">
        <f t="shared" ca="1" si="67"/>
        <v>33</v>
      </c>
      <c r="P94" s="1"/>
      <c r="Q94" s="1">
        <f t="shared" ca="1" si="68"/>
        <v>3.2121367359798763</v>
      </c>
      <c r="R94" s="1">
        <f t="shared" ca="1" si="69"/>
        <v>1006</v>
      </c>
      <c r="S94" s="1"/>
      <c r="T94" s="1">
        <f t="shared" ca="1" si="70"/>
        <v>1.5198499331867742E-2</v>
      </c>
      <c r="U94" s="1">
        <f t="shared" ca="1" si="71"/>
        <v>390</v>
      </c>
      <c r="V94" s="1">
        <f t="shared" ca="1" si="72"/>
        <v>3</v>
      </c>
      <c r="W94" s="1"/>
      <c r="X94" s="1">
        <f t="shared" ca="1" si="73"/>
        <v>4.2700255071961237</v>
      </c>
      <c r="Y94" s="1">
        <f t="shared" ca="1" si="74"/>
        <v>8.6003790052498114E-2</v>
      </c>
      <c r="Z94" s="1">
        <f t="shared" ca="1" si="75"/>
        <v>1058</v>
      </c>
      <c r="AB94" s="1">
        <f t="shared" ca="1" si="76"/>
        <v>0.14268119322889897</v>
      </c>
      <c r="AC94" s="1">
        <f t="shared" ca="1" si="77"/>
        <v>472</v>
      </c>
      <c r="AD94" s="1">
        <f t="shared" ca="1" si="78"/>
        <v>8.1745079916598559E-3</v>
      </c>
      <c r="AE94" s="1"/>
      <c r="AF94" s="1">
        <f t="shared" ca="1" si="79"/>
        <v>0.76590787126410265</v>
      </c>
      <c r="AG94" s="1">
        <f t="shared" ca="1" si="80"/>
        <v>934</v>
      </c>
      <c r="AH94" s="1">
        <f t="shared" ca="1" si="81"/>
        <v>6.2598747700233883E-3</v>
      </c>
      <c r="AJ94" s="1">
        <f t="shared" ca="1" si="82"/>
        <v>0.85287598068055581</v>
      </c>
      <c r="AK94" s="1">
        <f t="shared" ca="1" si="83"/>
        <v>6.0503130992759398E-3</v>
      </c>
      <c r="AL94" s="1"/>
      <c r="AM94" s="1">
        <f t="shared" ca="1" si="84"/>
        <v>4.3871634757312435E-2</v>
      </c>
      <c r="AN94" s="1">
        <f t="shared" ca="1" si="85"/>
        <v>20</v>
      </c>
      <c r="AO94" s="1">
        <f t="shared" ca="1" si="86"/>
        <v>-1</v>
      </c>
      <c r="AQ94" s="1">
        <f t="shared" ca="1" si="87"/>
        <v>64</v>
      </c>
      <c r="AR94" s="1">
        <f t="shared" ca="1" si="88"/>
        <v>2</v>
      </c>
      <c r="AS94" s="1">
        <f t="shared" ca="1" si="89"/>
        <v>98</v>
      </c>
      <c r="AU94" s="1">
        <f t="shared" ca="1" si="90"/>
        <v>213</v>
      </c>
      <c r="AV94" s="1">
        <f t="shared" ca="1" si="91"/>
        <v>5</v>
      </c>
      <c r="AW94" s="1">
        <f t="shared" ca="1" si="92"/>
        <v>9.420242016111402E-2</v>
      </c>
      <c r="AY94" s="1">
        <f t="shared" ca="1" si="93"/>
        <v>1.734623383749577</v>
      </c>
      <c r="AZ94" s="1">
        <f t="shared" ca="1" si="94"/>
        <v>428</v>
      </c>
      <c r="BA94" s="1">
        <f t="shared" ca="1" si="95"/>
        <v>1.3265601627668996E-3</v>
      </c>
      <c r="BV94" s="1">
        <f t="shared" ca="1" si="96"/>
        <v>0.59118906893013468</v>
      </c>
      <c r="BW94" s="1">
        <f t="shared" ca="1" si="97"/>
        <v>417</v>
      </c>
      <c r="BX94" s="1">
        <f t="shared" ca="1" si="98"/>
        <v>3.7160896757412027E-3</v>
      </c>
      <c r="BY94" s="1">
        <f t="shared" ca="1" si="99"/>
        <v>9.3275551379866775E-2</v>
      </c>
      <c r="BZ94" s="1">
        <f t="shared" ca="1" si="100"/>
        <v>0.36757421878119856</v>
      </c>
      <c r="CB94" s="1">
        <f t="shared" ca="1" si="101"/>
        <v>443</v>
      </c>
      <c r="CC94" s="1">
        <f t="shared" ca="1" si="102"/>
        <v>7</v>
      </c>
      <c r="CD94" s="1">
        <f t="shared" ca="1" si="103"/>
        <v>0.29678326422247508</v>
      </c>
      <c r="CE94" s="1">
        <f t="shared" ca="1" si="104"/>
        <v>0.83779931641825023</v>
      </c>
      <c r="CF94" s="1">
        <f t="shared" ca="1" si="104"/>
        <v>0.65158177462488753</v>
      </c>
      <c r="CH94" s="3">
        <f t="shared" ca="1" si="105"/>
        <v>0.55137100488528867</v>
      </c>
      <c r="CI94" s="3">
        <f t="shared" ca="1" si="106"/>
        <v>0.39792867867131743</v>
      </c>
      <c r="CJ94" s="3">
        <f t="shared" ca="1" si="107"/>
        <v>351</v>
      </c>
      <c r="CK94" s="3">
        <f t="shared" ca="1" si="108"/>
        <v>4.2763978726160336E-3</v>
      </c>
      <c r="CL94" s="3">
        <f t="shared" ca="1" si="109"/>
        <v>1</v>
      </c>
      <c r="CM94" s="3"/>
      <c r="CN94" s="1">
        <f t="shared" ca="1" si="110"/>
        <v>6.5861017655664371</v>
      </c>
      <c r="CO94" s="1">
        <f t="shared" ca="1" si="111"/>
        <v>0.47467050149436074</v>
      </c>
      <c r="CP94" s="1">
        <f t="shared" ca="1" si="112"/>
        <v>2</v>
      </c>
    </row>
    <row r="95" spans="2:94" x14ac:dyDescent="0.25">
      <c r="B95">
        <f t="shared" ca="1" si="57"/>
        <v>945</v>
      </c>
      <c r="C95">
        <f t="shared" ca="1" si="58"/>
        <v>26</v>
      </c>
      <c r="D95">
        <f t="shared" ca="1" si="59"/>
        <v>0.12988596637740574</v>
      </c>
      <c r="F95" s="1">
        <f t="shared" ca="1" si="60"/>
        <v>21</v>
      </c>
      <c r="G95" s="1">
        <f t="shared" ca="1" si="61"/>
        <v>12</v>
      </c>
      <c r="H95" s="1">
        <f t="shared" ca="1" si="62"/>
        <v>5</v>
      </c>
      <c r="I95" s="1"/>
      <c r="J95" s="1">
        <f t="shared" ca="1" si="63"/>
        <v>11</v>
      </c>
      <c r="K95" s="1">
        <f t="shared" ca="1" si="64"/>
        <v>2.5914466211165115</v>
      </c>
      <c r="L95" s="1">
        <f t="shared" ca="1" si="65"/>
        <v>18</v>
      </c>
      <c r="M95" s="1"/>
      <c r="N95" s="1">
        <f t="shared" ca="1" si="66"/>
        <v>681</v>
      </c>
      <c r="O95" s="1">
        <f t="shared" ca="1" si="67"/>
        <v>21</v>
      </c>
      <c r="P95" s="1"/>
      <c r="Q95" s="1">
        <f t="shared" ca="1" si="68"/>
        <v>0.26040872362928302</v>
      </c>
      <c r="R95" s="1">
        <f t="shared" ca="1" si="69"/>
        <v>690</v>
      </c>
      <c r="S95" s="1"/>
      <c r="T95" s="1">
        <f t="shared" ca="1" si="70"/>
        <v>1.3457797050300707E-2</v>
      </c>
      <c r="U95" s="1">
        <f t="shared" ca="1" si="71"/>
        <v>271</v>
      </c>
      <c r="V95" s="1">
        <f t="shared" ca="1" si="72"/>
        <v>43</v>
      </c>
      <c r="W95" s="1"/>
      <c r="X95" s="1">
        <f t="shared" ca="1" si="73"/>
        <v>7.3240190535677954</v>
      </c>
      <c r="Y95" s="1">
        <f t="shared" ca="1" si="74"/>
        <v>0.9338566160350642</v>
      </c>
      <c r="Z95" s="1">
        <f t="shared" ca="1" si="75"/>
        <v>1124</v>
      </c>
      <c r="AB95" s="1">
        <f t="shared" ca="1" si="76"/>
        <v>0.42922115846953307</v>
      </c>
      <c r="AC95" s="1">
        <f t="shared" ca="1" si="77"/>
        <v>815</v>
      </c>
      <c r="AD95" s="1">
        <f t="shared" ca="1" si="78"/>
        <v>7.4333989367842785E-3</v>
      </c>
      <c r="AE95" s="1"/>
      <c r="AF95" s="1">
        <f t="shared" ca="1" si="79"/>
        <v>0.21779203409430581</v>
      </c>
      <c r="AG95" s="1">
        <f t="shared" ca="1" si="80"/>
        <v>934</v>
      </c>
      <c r="AH95" s="1">
        <f t="shared" ca="1" si="81"/>
        <v>2.9005954233644218E-3</v>
      </c>
      <c r="AJ95" s="1">
        <f t="shared" ca="1" si="82"/>
        <v>0.41133208044636704</v>
      </c>
      <c r="AK95" s="1">
        <f t="shared" ca="1" si="83"/>
        <v>2.9663489883302412E-3</v>
      </c>
      <c r="AL95" s="1"/>
      <c r="AM95" s="1">
        <f t="shared" ca="1" si="84"/>
        <v>7.2209443892263378E-3</v>
      </c>
      <c r="AN95" s="1">
        <f t="shared" ca="1" si="85"/>
        <v>79</v>
      </c>
      <c r="AO95" s="1">
        <f t="shared" ca="1" si="86"/>
        <v>15</v>
      </c>
      <c r="AQ95" s="1">
        <f t="shared" ca="1" si="87"/>
        <v>65</v>
      </c>
      <c r="AR95" s="1">
        <f t="shared" ca="1" si="88"/>
        <v>10</v>
      </c>
      <c r="AS95" s="1">
        <f t="shared" ca="1" si="89"/>
        <v>33</v>
      </c>
      <c r="AU95" s="1">
        <f t="shared" ca="1" si="90"/>
        <v>108</v>
      </c>
      <c r="AV95" s="1">
        <f t="shared" ca="1" si="91"/>
        <v>8</v>
      </c>
      <c r="AW95" s="1">
        <f t="shared" ca="1" si="92"/>
        <v>0.12153953555065522</v>
      </c>
      <c r="AY95" s="1">
        <f t="shared" ca="1" si="93"/>
        <v>1.8837666313847881</v>
      </c>
      <c r="AZ95" s="1">
        <f t="shared" ca="1" si="94"/>
        <v>193</v>
      </c>
      <c r="BA95" s="1">
        <f t="shared" ca="1" si="95"/>
        <v>1.2257806378380412E-3</v>
      </c>
      <c r="BV95" s="1">
        <f t="shared" ca="1" si="96"/>
        <v>7.0569551813680478E-2</v>
      </c>
      <c r="BW95" s="1">
        <f t="shared" ca="1" si="97"/>
        <v>985</v>
      </c>
      <c r="BX95" s="1">
        <f t="shared" ca="1" si="98"/>
        <v>6.6357233386245542E-3</v>
      </c>
      <c r="BY95" s="1">
        <f t="shared" ca="1" si="99"/>
        <v>1.4480699046641368E-2</v>
      </c>
      <c r="BZ95" s="1">
        <f t="shared" ca="1" si="100"/>
        <v>0.20582834105412562</v>
      </c>
      <c r="CB95" s="1">
        <f t="shared" ca="1" si="101"/>
        <v>221</v>
      </c>
      <c r="CC95" s="1">
        <f t="shared" ca="1" si="102"/>
        <v>10</v>
      </c>
      <c r="CD95" s="1">
        <f t="shared" ca="1" si="103"/>
        <v>0.15164765401468944</v>
      </c>
      <c r="CE95" s="1">
        <f t="shared" ca="1" si="104"/>
        <v>0.76698843142276729</v>
      </c>
      <c r="CF95" s="1">
        <f t="shared" ca="1" si="104"/>
        <v>0.63780620723384907</v>
      </c>
      <c r="CH95" s="3">
        <f t="shared" ca="1" si="105"/>
        <v>0.94595943109840852</v>
      </c>
      <c r="CI95" s="3">
        <f t="shared" ca="1" si="106"/>
        <v>0.22217837762155329</v>
      </c>
      <c r="CJ95" s="3">
        <f t="shared" ca="1" si="107"/>
        <v>757</v>
      </c>
      <c r="CK95" s="3">
        <f t="shared" ca="1" si="108"/>
        <v>2.6702557330650742E-3</v>
      </c>
      <c r="CL95" s="3">
        <f t="shared" ca="1" si="109"/>
        <v>1</v>
      </c>
      <c r="CM95" s="3"/>
      <c r="CN95" s="1">
        <f t="shared" ca="1" si="110"/>
        <v>13.333266348323354</v>
      </c>
      <c r="CO95" s="1">
        <f t="shared" ca="1" si="111"/>
        <v>0.46385483672644434</v>
      </c>
      <c r="CP95" s="1">
        <f t="shared" ca="1" si="112"/>
        <v>3</v>
      </c>
    </row>
    <row r="96" spans="2:94" x14ac:dyDescent="0.25">
      <c r="B96">
        <f t="shared" ca="1" si="57"/>
        <v>797</v>
      </c>
      <c r="C96">
        <f t="shared" ca="1" si="58"/>
        <v>47</v>
      </c>
      <c r="D96">
        <f t="shared" ca="1" si="59"/>
        <v>0.21712001936941011</v>
      </c>
      <c r="F96" s="1">
        <f t="shared" ca="1" si="60"/>
        <v>47</v>
      </c>
      <c r="G96" s="1">
        <f t="shared" ca="1" si="61"/>
        <v>4</v>
      </c>
      <c r="H96" s="1">
        <f t="shared" ca="1" si="62"/>
        <v>2</v>
      </c>
      <c r="I96" s="1"/>
      <c r="J96" s="1">
        <f t="shared" ca="1" si="63"/>
        <v>26</v>
      </c>
      <c r="K96" s="1">
        <f t="shared" ca="1" si="64"/>
        <v>1.0687147789452391</v>
      </c>
      <c r="L96" s="1">
        <f t="shared" ca="1" si="65"/>
        <v>13</v>
      </c>
      <c r="M96" s="1"/>
      <c r="N96" s="1">
        <f t="shared" ca="1" si="66"/>
        <v>525</v>
      </c>
      <c r="O96" s="1">
        <f t="shared" ca="1" si="67"/>
        <v>34</v>
      </c>
      <c r="P96" s="1"/>
      <c r="Q96" s="1">
        <f t="shared" ca="1" si="68"/>
        <v>4.9060638186183141</v>
      </c>
      <c r="R96" s="1">
        <f t="shared" ca="1" si="69"/>
        <v>431</v>
      </c>
      <c r="S96" s="1"/>
      <c r="T96" s="1">
        <f t="shared" ca="1" si="70"/>
        <v>0.1194677359190018</v>
      </c>
      <c r="U96" s="1">
        <f t="shared" ca="1" si="71"/>
        <v>263</v>
      </c>
      <c r="V96" s="1">
        <f t="shared" ca="1" si="72"/>
        <v>12</v>
      </c>
      <c r="W96" s="1"/>
      <c r="X96" s="1">
        <f t="shared" ca="1" si="73"/>
        <v>4.4669068810742436</v>
      </c>
      <c r="Y96" s="1">
        <f t="shared" ca="1" si="74"/>
        <v>0.38752275647448031</v>
      </c>
      <c r="Z96" s="1">
        <f t="shared" ca="1" si="75"/>
        <v>1746</v>
      </c>
      <c r="AB96" s="1">
        <f t="shared" ca="1" si="76"/>
        <v>0.72967760240182522</v>
      </c>
      <c r="AC96" s="1">
        <f t="shared" ca="1" si="77"/>
        <v>277</v>
      </c>
      <c r="AD96" s="1">
        <f t="shared" ca="1" si="78"/>
        <v>2.006075280685281E-3</v>
      </c>
      <c r="AE96" s="1"/>
      <c r="AF96" s="1">
        <f t="shared" ca="1" si="79"/>
        <v>0.59157289024454129</v>
      </c>
      <c r="AG96" s="1">
        <f t="shared" ca="1" si="80"/>
        <v>713</v>
      </c>
      <c r="AH96" s="1">
        <f t="shared" ca="1" si="81"/>
        <v>8.614393726297024E-3</v>
      </c>
      <c r="AJ96" s="1">
        <f t="shared" ca="1" si="82"/>
        <v>0.24483190453936254</v>
      </c>
      <c r="AK96" s="1">
        <f t="shared" ca="1" si="83"/>
        <v>1.105332045139221E-3</v>
      </c>
      <c r="AL96" s="1"/>
      <c r="AM96" s="1">
        <f t="shared" ca="1" si="84"/>
        <v>0.1799703251204551</v>
      </c>
      <c r="AN96" s="1">
        <f t="shared" ca="1" si="85"/>
        <v>24</v>
      </c>
      <c r="AO96" s="1">
        <f t="shared" ca="1" si="86"/>
        <v>13</v>
      </c>
      <c r="AQ96" s="1">
        <f t="shared" ca="1" si="87"/>
        <v>85</v>
      </c>
      <c r="AR96" s="1">
        <f t="shared" ca="1" si="88"/>
        <v>6</v>
      </c>
      <c r="AS96" s="1">
        <f t="shared" ca="1" si="89"/>
        <v>18</v>
      </c>
      <c r="AU96" s="1">
        <f t="shared" ca="1" si="90"/>
        <v>70</v>
      </c>
      <c r="AV96" s="1">
        <f t="shared" ca="1" si="91"/>
        <v>4</v>
      </c>
      <c r="AW96" s="1">
        <f t="shared" ca="1" si="92"/>
        <v>0.15053545806336427</v>
      </c>
      <c r="AY96" s="1">
        <f t="shared" ca="1" si="93"/>
        <v>1.3102282026356438</v>
      </c>
      <c r="AZ96" s="1">
        <f t="shared" ca="1" si="94"/>
        <v>486</v>
      </c>
      <c r="BA96" s="1">
        <f t="shared" ca="1" si="95"/>
        <v>7.3183691625167656E-3</v>
      </c>
      <c r="BV96" s="1">
        <f t="shared" ca="1" si="96"/>
        <v>0.72609144791057567</v>
      </c>
      <c r="BW96" s="1">
        <f t="shared" ca="1" si="97"/>
        <v>477</v>
      </c>
      <c r="BX96" s="1">
        <f t="shared" ca="1" si="98"/>
        <v>4.6543171424834277E-3</v>
      </c>
      <c r="BY96" s="1">
        <f t="shared" ca="1" si="99"/>
        <v>9.8740545912306354E-2</v>
      </c>
      <c r="BZ96" s="1">
        <f t="shared" ca="1" si="100"/>
        <v>0.18012718254747173</v>
      </c>
      <c r="CB96" s="1">
        <f t="shared" ca="1" si="101"/>
        <v>464</v>
      </c>
      <c r="CC96" s="1">
        <f t="shared" ca="1" si="102"/>
        <v>14</v>
      </c>
      <c r="CD96" s="1">
        <f t="shared" ca="1" si="103"/>
        <v>0.22623364777327828</v>
      </c>
      <c r="CE96" s="1">
        <f t="shared" ca="1" si="104"/>
        <v>0.7429949362985433</v>
      </c>
      <c r="CF96" s="1">
        <f t="shared" ca="1" si="104"/>
        <v>0.86947615733562345</v>
      </c>
      <c r="CH96" s="3">
        <f t="shared" ca="1" si="105"/>
        <v>0.46892649047542728</v>
      </c>
      <c r="CI96" s="3">
        <f t="shared" ca="1" si="106"/>
        <v>0.93293480617173019</v>
      </c>
      <c r="CJ96" s="3">
        <f t="shared" ca="1" si="107"/>
        <v>478</v>
      </c>
      <c r="CK96" s="3">
        <f t="shared" ca="1" si="108"/>
        <v>4.2554985031118342E-3</v>
      </c>
      <c r="CL96" s="3">
        <f t="shared" ca="1" si="109"/>
        <v>0</v>
      </c>
      <c r="CM96" s="3"/>
      <c r="CN96" s="1">
        <f t="shared" ca="1" si="110"/>
        <v>18.002344712305639</v>
      </c>
      <c r="CO96" s="1">
        <f t="shared" ca="1" si="111"/>
        <v>0.17388654461322106</v>
      </c>
      <c r="CP96" s="1">
        <f t="shared" ca="1" si="112"/>
        <v>5</v>
      </c>
    </row>
    <row r="97" spans="2:94" x14ac:dyDescent="0.25">
      <c r="B97">
        <f t="shared" ca="1" si="57"/>
        <v>661</v>
      </c>
      <c r="C97">
        <f t="shared" ca="1" si="58"/>
        <v>43</v>
      </c>
      <c r="D97">
        <f t="shared" ca="1" si="59"/>
        <v>3.4248331221572219E-2</v>
      </c>
      <c r="F97" s="1">
        <f t="shared" ca="1" si="60"/>
        <v>26</v>
      </c>
      <c r="G97" s="1">
        <f t="shared" ca="1" si="61"/>
        <v>17</v>
      </c>
      <c r="H97" s="1">
        <f t="shared" ca="1" si="62"/>
        <v>10</v>
      </c>
      <c r="I97" s="1"/>
      <c r="J97" s="1">
        <f t="shared" ca="1" si="63"/>
        <v>2</v>
      </c>
      <c r="K97" s="1">
        <f t="shared" ca="1" si="64"/>
        <v>1.7648374714707269</v>
      </c>
      <c r="L97" s="1">
        <f t="shared" ca="1" si="65"/>
        <v>30</v>
      </c>
      <c r="M97" s="1"/>
      <c r="N97" s="1">
        <f t="shared" ca="1" si="66"/>
        <v>203</v>
      </c>
      <c r="O97" s="1">
        <f t="shared" ca="1" si="67"/>
        <v>29</v>
      </c>
      <c r="P97" s="1"/>
      <c r="Q97" s="1">
        <f t="shared" ca="1" si="68"/>
        <v>4.4410947302577997</v>
      </c>
      <c r="R97" s="1">
        <f t="shared" ca="1" si="69"/>
        <v>407</v>
      </c>
      <c r="S97" s="1"/>
      <c r="T97" s="1">
        <f t="shared" ca="1" si="70"/>
        <v>0.17234841934966857</v>
      </c>
      <c r="U97" s="1">
        <f t="shared" ca="1" si="71"/>
        <v>190</v>
      </c>
      <c r="V97" s="1">
        <f t="shared" ca="1" si="72"/>
        <v>15</v>
      </c>
      <c r="W97" s="1"/>
      <c r="X97" s="1">
        <f t="shared" ca="1" si="73"/>
        <v>6.6756855433071696</v>
      </c>
      <c r="Y97" s="1">
        <f t="shared" ca="1" si="74"/>
        <v>0.69539632143715169</v>
      </c>
      <c r="Z97" s="1">
        <f t="shared" ca="1" si="75"/>
        <v>361</v>
      </c>
      <c r="AB97" s="1">
        <f t="shared" ca="1" si="76"/>
        <v>0.25102930749121066</v>
      </c>
      <c r="AC97" s="1">
        <f t="shared" ca="1" si="77"/>
        <v>599</v>
      </c>
      <c r="AD97" s="1">
        <f t="shared" ca="1" si="78"/>
        <v>7.0185845484769674E-3</v>
      </c>
      <c r="AE97" s="1"/>
      <c r="AF97" s="1">
        <f t="shared" ca="1" si="79"/>
        <v>0.86842418357716544</v>
      </c>
      <c r="AG97" s="1">
        <f t="shared" ca="1" si="80"/>
        <v>124</v>
      </c>
      <c r="AH97" s="1">
        <f t="shared" ca="1" si="81"/>
        <v>2.1468231557608413E-3</v>
      </c>
      <c r="AJ97" s="1">
        <f t="shared" ca="1" si="82"/>
        <v>0.8412376950263476</v>
      </c>
      <c r="AK97" s="1">
        <f t="shared" ca="1" si="83"/>
        <v>3.2092773157619209E-3</v>
      </c>
      <c r="AL97" s="1"/>
      <c r="AM97" s="1">
        <f t="shared" ca="1" si="84"/>
        <v>5.7487158438383118E-2</v>
      </c>
      <c r="AN97" s="1">
        <f t="shared" ca="1" si="85"/>
        <v>23</v>
      </c>
      <c r="AO97" s="1">
        <f t="shared" ca="1" si="86"/>
        <v>17</v>
      </c>
      <c r="AQ97" s="1">
        <f t="shared" ca="1" si="87"/>
        <v>31</v>
      </c>
      <c r="AR97" s="1">
        <f t="shared" ca="1" si="88"/>
        <v>5</v>
      </c>
      <c r="AS97" s="1">
        <f t="shared" ca="1" si="89"/>
        <v>18</v>
      </c>
      <c r="AU97" s="1">
        <f t="shared" ca="1" si="90"/>
        <v>216</v>
      </c>
      <c r="AV97" s="1">
        <f t="shared" ca="1" si="91"/>
        <v>10</v>
      </c>
      <c r="AW97" s="1">
        <f t="shared" ca="1" si="92"/>
        <v>0.11764006345593589</v>
      </c>
      <c r="AY97" s="1">
        <f t="shared" ca="1" si="93"/>
        <v>1.8736914860156111</v>
      </c>
      <c r="AZ97" s="1">
        <f t="shared" ca="1" si="94"/>
        <v>236</v>
      </c>
      <c r="BA97" s="1">
        <f t="shared" ca="1" si="95"/>
        <v>7.8843925685012969E-3</v>
      </c>
      <c r="BV97" s="1">
        <f t="shared" ca="1" si="96"/>
        <v>0.58771545071019571</v>
      </c>
      <c r="BW97" s="1">
        <f t="shared" ca="1" si="97"/>
        <v>675</v>
      </c>
      <c r="BX97" s="1">
        <f t="shared" ca="1" si="98"/>
        <v>3.2919219435407227E-3</v>
      </c>
      <c r="BY97" s="1">
        <f t="shared" ca="1" si="99"/>
        <v>2.4847560355830453E-2</v>
      </c>
      <c r="BZ97" s="1">
        <f t="shared" ca="1" si="100"/>
        <v>0.37984855688935604</v>
      </c>
      <c r="CB97" s="1">
        <f t="shared" ca="1" si="101"/>
        <v>407</v>
      </c>
      <c r="CC97" s="1">
        <f t="shared" ca="1" si="102"/>
        <v>4</v>
      </c>
      <c r="CD97" s="1">
        <f t="shared" ca="1" si="103"/>
        <v>0.21891115953729198</v>
      </c>
      <c r="CE97" s="1">
        <f t="shared" ca="1" si="104"/>
        <v>0.54860110422437647</v>
      </c>
      <c r="CF97" s="1">
        <f t="shared" ca="1" si="104"/>
        <v>0.88745593186555494</v>
      </c>
      <c r="CH97" s="3">
        <f t="shared" ca="1" si="105"/>
        <v>0.71394751721207306</v>
      </c>
      <c r="CI97" s="3">
        <f t="shared" ca="1" si="106"/>
        <v>0.93858476469204755</v>
      </c>
      <c r="CJ97" s="3">
        <f t="shared" ca="1" si="107"/>
        <v>1291</v>
      </c>
      <c r="CK97" s="3">
        <f t="shared" ca="1" si="108"/>
        <v>3.9709776938756727E-3</v>
      </c>
      <c r="CL97" s="3">
        <f t="shared" ca="1" si="109"/>
        <v>1</v>
      </c>
      <c r="CM97" s="3"/>
      <c r="CN97" s="1">
        <f t="shared" ca="1" si="110"/>
        <v>4.2501186476405239</v>
      </c>
      <c r="CO97" s="1">
        <f t="shared" ca="1" si="111"/>
        <v>0.16124650286425302</v>
      </c>
      <c r="CP97" s="1">
        <f t="shared" ca="1" si="112"/>
        <v>3</v>
      </c>
    </row>
    <row r="98" spans="2:94" x14ac:dyDescent="0.25">
      <c r="B98">
        <f t="shared" ca="1" si="57"/>
        <v>864</v>
      </c>
      <c r="C98">
        <f t="shared" ca="1" si="58"/>
        <v>26</v>
      </c>
      <c r="D98">
        <f t="shared" ca="1" si="59"/>
        <v>9.5013934257192581E-2</v>
      </c>
      <c r="F98" s="1">
        <f t="shared" ca="1" si="60"/>
        <v>46</v>
      </c>
      <c r="G98" s="1">
        <f t="shared" ca="1" si="61"/>
        <v>10</v>
      </c>
      <c r="H98" s="1">
        <f t="shared" ca="1" si="62"/>
        <v>14</v>
      </c>
      <c r="I98" s="1"/>
      <c r="J98" s="1">
        <f t="shared" ca="1" si="63"/>
        <v>4</v>
      </c>
      <c r="K98" s="1">
        <f t="shared" ca="1" si="64"/>
        <v>1.7234197151678214</v>
      </c>
      <c r="L98" s="1">
        <f t="shared" ca="1" si="65"/>
        <v>5</v>
      </c>
      <c r="M98" s="1"/>
      <c r="N98" s="1">
        <f t="shared" ca="1" si="66"/>
        <v>879</v>
      </c>
      <c r="O98" s="1">
        <f t="shared" ca="1" si="67"/>
        <v>44</v>
      </c>
      <c r="P98" s="1"/>
      <c r="Q98" s="1">
        <f t="shared" ca="1" si="68"/>
        <v>4.2884416405363428</v>
      </c>
      <c r="R98" s="1">
        <f t="shared" ca="1" si="69"/>
        <v>1042</v>
      </c>
      <c r="S98" s="1"/>
      <c r="T98" s="1">
        <f t="shared" ca="1" si="70"/>
        <v>0.19114059957392801</v>
      </c>
      <c r="U98" s="1">
        <f t="shared" ca="1" si="71"/>
        <v>361</v>
      </c>
      <c r="V98" s="1">
        <f t="shared" ca="1" si="72"/>
        <v>2</v>
      </c>
      <c r="W98" s="1"/>
      <c r="X98" s="1">
        <f t="shared" ca="1" si="73"/>
        <v>5.8045382227971828E-2</v>
      </c>
      <c r="Y98" s="1">
        <f t="shared" ca="1" si="74"/>
        <v>0.99875876620002702</v>
      </c>
      <c r="Z98" s="1">
        <f t="shared" ca="1" si="75"/>
        <v>1094</v>
      </c>
      <c r="AB98" s="1">
        <f t="shared" ca="1" si="76"/>
        <v>0.30195258122538826</v>
      </c>
      <c r="AC98" s="1">
        <f t="shared" ca="1" si="77"/>
        <v>807</v>
      </c>
      <c r="AD98" s="1">
        <f t="shared" ca="1" si="78"/>
        <v>4.453225260577667E-3</v>
      </c>
      <c r="AE98" s="1"/>
      <c r="AF98" s="1">
        <f t="shared" ca="1" si="79"/>
        <v>0.65364435535595211</v>
      </c>
      <c r="AG98" s="1">
        <f t="shared" ca="1" si="80"/>
        <v>832</v>
      </c>
      <c r="AH98" s="1">
        <f t="shared" ca="1" si="81"/>
        <v>5.8796481302646683E-3</v>
      </c>
      <c r="AJ98" s="1">
        <f t="shared" ca="1" si="82"/>
        <v>0.8285517324503</v>
      </c>
      <c r="AK98" s="1">
        <f t="shared" ca="1" si="83"/>
        <v>1.0148945622319575E-3</v>
      </c>
      <c r="AL98" s="1"/>
      <c r="AM98" s="1">
        <f t="shared" ca="1" si="84"/>
        <v>0.10017654191626001</v>
      </c>
      <c r="AN98" s="1">
        <f t="shared" ca="1" si="85"/>
        <v>74</v>
      </c>
      <c r="AO98" s="1">
        <f t="shared" ca="1" si="86"/>
        <v>20</v>
      </c>
      <c r="AQ98" s="1">
        <f t="shared" ca="1" si="87"/>
        <v>195</v>
      </c>
      <c r="AR98" s="1">
        <f t="shared" ca="1" si="88"/>
        <v>4</v>
      </c>
      <c r="AS98" s="1">
        <f t="shared" ca="1" si="89"/>
        <v>15</v>
      </c>
      <c r="AU98" s="1">
        <f t="shared" ca="1" si="90"/>
        <v>224</v>
      </c>
      <c r="AV98" s="1">
        <f t="shared" ca="1" si="91"/>
        <v>10</v>
      </c>
      <c r="AW98" s="1">
        <f t="shared" ca="1" si="92"/>
        <v>0.18776603595177152</v>
      </c>
      <c r="AY98" s="1">
        <f t="shared" ca="1" si="93"/>
        <v>1.9311843075941075</v>
      </c>
      <c r="AZ98" s="1">
        <f t="shared" ca="1" si="94"/>
        <v>98</v>
      </c>
      <c r="BA98" s="1">
        <f t="shared" ca="1" si="95"/>
        <v>7.216402166104488E-3</v>
      </c>
      <c r="BV98" s="1">
        <f t="shared" ca="1" si="96"/>
        <v>0.74392712249826187</v>
      </c>
      <c r="BW98" s="1">
        <f t="shared" ca="1" si="97"/>
        <v>740</v>
      </c>
      <c r="BX98" s="1">
        <f t="shared" ca="1" si="98"/>
        <v>9.4326151777024986E-3</v>
      </c>
      <c r="BY98" s="1">
        <f t="shared" ca="1" si="99"/>
        <v>3.0106978488569289E-2</v>
      </c>
      <c r="BZ98" s="1">
        <f t="shared" ca="1" si="100"/>
        <v>0.98659045291774083</v>
      </c>
      <c r="CB98" s="1">
        <f t="shared" ca="1" si="101"/>
        <v>108</v>
      </c>
      <c r="CC98" s="1">
        <f t="shared" ca="1" si="102"/>
        <v>7</v>
      </c>
      <c r="CD98" s="1">
        <f t="shared" ca="1" si="103"/>
        <v>7.2338870703190714E-2</v>
      </c>
      <c r="CE98" s="1">
        <f t="shared" ca="1" si="104"/>
        <v>0.84763823854720288</v>
      </c>
      <c r="CF98" s="1">
        <f t="shared" ca="1" si="104"/>
        <v>0.62199861716846805</v>
      </c>
      <c r="CH98" s="3">
        <f t="shared" ca="1" si="105"/>
        <v>0.13057613210060467</v>
      </c>
      <c r="CI98" s="3">
        <f t="shared" ca="1" si="106"/>
        <v>0.55843977557138991</v>
      </c>
      <c r="CJ98" s="3">
        <f t="shared" ca="1" si="107"/>
        <v>213</v>
      </c>
      <c r="CK98" s="3">
        <f t="shared" ca="1" si="108"/>
        <v>6.6395975535825805E-3</v>
      </c>
      <c r="CL98" s="3">
        <f t="shared" ca="1" si="109"/>
        <v>1</v>
      </c>
      <c r="CM98" s="3"/>
      <c r="CN98" s="1">
        <f t="shared" ca="1" si="110"/>
        <v>17.835773542211594</v>
      </c>
      <c r="CO98" s="1">
        <f t="shared" ca="1" si="111"/>
        <v>0.43170132564161523</v>
      </c>
      <c r="CP98" s="1">
        <f t="shared" ca="1" si="112"/>
        <v>2</v>
      </c>
    </row>
    <row r="99" spans="2:94" x14ac:dyDescent="0.25">
      <c r="B99">
        <f t="shared" ca="1" si="57"/>
        <v>332</v>
      </c>
      <c r="C99">
        <f t="shared" ca="1" si="58"/>
        <v>19</v>
      </c>
      <c r="D99">
        <f t="shared" ca="1" si="59"/>
        <v>6.0807062444508557E-2</v>
      </c>
      <c r="F99" s="1">
        <f t="shared" ca="1" si="60"/>
        <v>24</v>
      </c>
      <c r="G99" s="1">
        <f t="shared" ca="1" si="61"/>
        <v>11</v>
      </c>
      <c r="H99" s="1">
        <f t="shared" ca="1" si="62"/>
        <v>15</v>
      </c>
      <c r="I99" s="1"/>
      <c r="J99" s="1">
        <f t="shared" ca="1" si="63"/>
        <v>24</v>
      </c>
      <c r="K99" s="1">
        <f t="shared" ca="1" si="64"/>
        <v>1.611358703327834</v>
      </c>
      <c r="L99" s="1">
        <f t="shared" ca="1" si="65"/>
        <v>2</v>
      </c>
      <c r="M99" s="1"/>
      <c r="N99" s="1">
        <f t="shared" ca="1" si="66"/>
        <v>601</v>
      </c>
      <c r="O99" s="1">
        <f t="shared" ca="1" si="67"/>
        <v>37</v>
      </c>
      <c r="P99" s="1"/>
      <c r="Q99" s="1">
        <f t="shared" ca="1" si="68"/>
        <v>2.2115926702630668</v>
      </c>
      <c r="R99" s="1">
        <f t="shared" ca="1" si="69"/>
        <v>302</v>
      </c>
      <c r="S99" s="1"/>
      <c r="T99" s="1">
        <f t="shared" ca="1" si="70"/>
        <v>5.3169696275134674E-2</v>
      </c>
      <c r="U99" s="1">
        <f t="shared" ca="1" si="71"/>
        <v>62</v>
      </c>
      <c r="V99" s="1">
        <f t="shared" ca="1" si="72"/>
        <v>3</v>
      </c>
      <c r="W99" s="1"/>
      <c r="X99" s="1">
        <f t="shared" ca="1" si="73"/>
        <v>2.247884321375718</v>
      </c>
      <c r="Y99" s="1">
        <f t="shared" ca="1" si="74"/>
        <v>0.33033791346974994</v>
      </c>
      <c r="Z99" s="1">
        <f t="shared" ca="1" si="75"/>
        <v>1715</v>
      </c>
      <c r="AB99" s="1">
        <f t="shared" ca="1" si="76"/>
        <v>0.61551831123802103</v>
      </c>
      <c r="AC99" s="1">
        <f t="shared" ca="1" si="77"/>
        <v>472</v>
      </c>
      <c r="AD99" s="1">
        <f t="shared" ca="1" si="78"/>
        <v>9.8246083933404751E-3</v>
      </c>
      <c r="AE99" s="1"/>
      <c r="AF99" s="1">
        <f t="shared" ca="1" si="79"/>
        <v>0.51127785458108221</v>
      </c>
      <c r="AG99" s="1">
        <f t="shared" ca="1" si="80"/>
        <v>743</v>
      </c>
      <c r="AH99" s="1">
        <f t="shared" ca="1" si="81"/>
        <v>4.607756754704209E-3</v>
      </c>
      <c r="AJ99" s="1">
        <f t="shared" ca="1" si="82"/>
        <v>0.17836952679719709</v>
      </c>
      <c r="AK99" s="1">
        <f t="shared" ca="1" si="83"/>
        <v>5.3741034392213961E-3</v>
      </c>
      <c r="AL99" s="1"/>
      <c r="AM99" s="1">
        <f t="shared" ca="1" si="84"/>
        <v>3.5148065189887459E-2</v>
      </c>
      <c r="AN99" s="1">
        <f t="shared" ca="1" si="85"/>
        <v>72</v>
      </c>
      <c r="AO99" s="1">
        <f t="shared" ca="1" si="86"/>
        <v>13</v>
      </c>
      <c r="AQ99" s="1">
        <f t="shared" ca="1" si="87"/>
        <v>172</v>
      </c>
      <c r="AR99" s="1">
        <f t="shared" ca="1" si="88"/>
        <v>6</v>
      </c>
      <c r="AS99" s="1">
        <f t="shared" ca="1" si="89"/>
        <v>5</v>
      </c>
      <c r="AU99" s="1">
        <f t="shared" ca="1" si="90"/>
        <v>374</v>
      </c>
      <c r="AV99" s="1">
        <f t="shared" ca="1" si="91"/>
        <v>8</v>
      </c>
      <c r="AW99" s="1">
        <f t="shared" ca="1" si="92"/>
        <v>8.0925046923190094E-2</v>
      </c>
      <c r="AY99" s="1">
        <f t="shared" ca="1" si="93"/>
        <v>1.1540644274517466</v>
      </c>
      <c r="AZ99" s="1">
        <f t="shared" ca="1" si="94"/>
        <v>91</v>
      </c>
      <c r="BA99" s="1">
        <f t="shared" ca="1" si="95"/>
        <v>2.4878748510282103E-3</v>
      </c>
      <c r="BV99" s="1">
        <f t="shared" ca="1" si="96"/>
        <v>0.13898066827533648</v>
      </c>
      <c r="BW99" s="1">
        <f t="shared" ca="1" si="97"/>
        <v>533</v>
      </c>
      <c r="BX99" s="1">
        <f t="shared" ca="1" si="98"/>
        <v>2.2462597929712395E-3</v>
      </c>
      <c r="BY99" s="1">
        <f t="shared" ca="1" si="99"/>
        <v>2.5112402977898674E-2</v>
      </c>
      <c r="BZ99" s="1">
        <f t="shared" ca="1" si="100"/>
        <v>0.7536318602855504</v>
      </c>
      <c r="CB99" s="1">
        <f t="shared" ca="1" si="101"/>
        <v>79</v>
      </c>
      <c r="CC99" s="1">
        <f t="shared" ca="1" si="102"/>
        <v>10</v>
      </c>
      <c r="CD99" s="1">
        <f t="shared" ca="1" si="103"/>
        <v>0.10196408937505264</v>
      </c>
      <c r="CE99" s="1">
        <f t="shared" ca="1" si="104"/>
        <v>0.5244036678649594</v>
      </c>
      <c r="CF99" s="1">
        <f t="shared" ca="1" si="104"/>
        <v>0.79702819390587321</v>
      </c>
      <c r="CH99" s="3">
        <f t="shared" ca="1" si="105"/>
        <v>0.38484094016075127</v>
      </c>
      <c r="CI99" s="3">
        <f t="shared" ca="1" si="106"/>
        <v>0.75297192201165686</v>
      </c>
      <c r="CJ99" s="3">
        <f t="shared" ca="1" si="107"/>
        <v>1201</v>
      </c>
      <c r="CK99" s="3">
        <f t="shared" ca="1" si="108"/>
        <v>9.0077078232211113E-3</v>
      </c>
      <c r="CL99" s="3">
        <f t="shared" ca="1" si="109"/>
        <v>0</v>
      </c>
      <c r="CM99" s="3"/>
      <c r="CN99" s="1">
        <f t="shared" ca="1" si="110"/>
        <v>13.242726868255977</v>
      </c>
      <c r="CO99" s="1">
        <f t="shared" ca="1" si="111"/>
        <v>8.1164158456051599E-2</v>
      </c>
      <c r="CP99" s="1">
        <f t="shared" ca="1" si="112"/>
        <v>5</v>
      </c>
    </row>
    <row r="100" spans="2:94" x14ac:dyDescent="0.25">
      <c r="B100">
        <f t="shared" ca="1" si="57"/>
        <v>110</v>
      </c>
      <c r="C100">
        <f t="shared" ca="1" si="58"/>
        <v>39</v>
      </c>
      <c r="D100">
        <f t="shared" ca="1" si="59"/>
        <v>0.17860957687627654</v>
      </c>
      <c r="F100" s="1">
        <f t="shared" ca="1" si="60"/>
        <v>40</v>
      </c>
      <c r="G100" s="1">
        <f t="shared" ca="1" si="61"/>
        <v>3</v>
      </c>
      <c r="H100" s="1">
        <f t="shared" ca="1" si="62"/>
        <v>1</v>
      </c>
      <c r="I100" s="1"/>
      <c r="J100" s="1">
        <f t="shared" ca="1" si="63"/>
        <v>14</v>
      </c>
      <c r="K100" s="1">
        <f t="shared" ca="1" si="64"/>
        <v>2.2006641901111994</v>
      </c>
      <c r="L100" s="1">
        <f t="shared" ca="1" si="65"/>
        <v>4</v>
      </c>
      <c r="M100" s="1"/>
      <c r="N100" s="1">
        <f t="shared" ca="1" si="66"/>
        <v>439</v>
      </c>
      <c r="O100" s="1">
        <f t="shared" ca="1" si="67"/>
        <v>2</v>
      </c>
      <c r="P100" s="1"/>
      <c r="Q100" s="1">
        <f t="shared" ca="1" si="68"/>
        <v>1.3147588689527183</v>
      </c>
      <c r="R100" s="1">
        <f t="shared" ca="1" si="69"/>
        <v>490</v>
      </c>
      <c r="S100" s="1"/>
      <c r="T100" s="1">
        <f t="shared" ca="1" si="70"/>
        <v>7.5197573875700668E-2</v>
      </c>
      <c r="U100" s="1">
        <f t="shared" ca="1" si="71"/>
        <v>231</v>
      </c>
      <c r="V100" s="1">
        <f t="shared" ca="1" si="72"/>
        <v>9</v>
      </c>
      <c r="W100" s="1"/>
      <c r="X100" s="1">
        <f t="shared" ca="1" si="73"/>
        <v>2.0938764801951217</v>
      </c>
      <c r="Y100" s="1">
        <f t="shared" ca="1" si="74"/>
        <v>0.75264789148015598</v>
      </c>
      <c r="Z100" s="1">
        <f t="shared" ca="1" si="75"/>
        <v>1770</v>
      </c>
      <c r="AB100" s="1">
        <f t="shared" ca="1" si="76"/>
        <v>0.2781016816468545</v>
      </c>
      <c r="AC100" s="1">
        <f t="shared" ca="1" si="77"/>
        <v>712</v>
      </c>
      <c r="AD100" s="1">
        <f t="shared" ca="1" si="78"/>
        <v>2.2946344727247229E-3</v>
      </c>
      <c r="AE100" s="1"/>
      <c r="AF100" s="1">
        <f t="shared" ca="1" si="79"/>
        <v>0.21439721736130857</v>
      </c>
      <c r="AG100" s="1">
        <f t="shared" ca="1" si="80"/>
        <v>533</v>
      </c>
      <c r="AH100" s="1">
        <f t="shared" ca="1" si="81"/>
        <v>6.9187466579871178E-3</v>
      </c>
      <c r="AJ100" s="1">
        <f t="shared" ca="1" si="82"/>
        <v>0.59697643564780301</v>
      </c>
      <c r="AK100" s="1">
        <f t="shared" ca="1" si="83"/>
        <v>9.7458154384526628E-3</v>
      </c>
      <c r="AL100" s="1"/>
      <c r="AM100" s="1">
        <f t="shared" ca="1" si="84"/>
        <v>0.17597247251934417</v>
      </c>
      <c r="AN100" s="1">
        <f t="shared" ca="1" si="85"/>
        <v>30</v>
      </c>
      <c r="AO100" s="1">
        <f t="shared" ca="1" si="86"/>
        <v>15</v>
      </c>
      <c r="AQ100" s="1">
        <f t="shared" ca="1" si="87"/>
        <v>31</v>
      </c>
      <c r="AR100" s="1">
        <f t="shared" ca="1" si="88"/>
        <v>0</v>
      </c>
      <c r="AS100" s="1">
        <f t="shared" ca="1" si="89"/>
        <v>72</v>
      </c>
      <c r="AU100" s="1">
        <f t="shared" ca="1" si="90"/>
        <v>60</v>
      </c>
      <c r="AV100" s="1">
        <f t="shared" ca="1" si="91"/>
        <v>2</v>
      </c>
      <c r="AW100" s="1">
        <f t="shared" ca="1" si="92"/>
        <v>0.14769103953592289</v>
      </c>
      <c r="AY100" s="1">
        <f t="shared" ca="1" si="93"/>
        <v>1.4479765317475883</v>
      </c>
      <c r="AZ100" s="1">
        <f t="shared" ca="1" si="94"/>
        <v>265</v>
      </c>
      <c r="BA100" s="1">
        <f t="shared" ca="1" si="95"/>
        <v>8.3465527695989975E-3</v>
      </c>
      <c r="BV100" s="1">
        <f t="shared" ca="1" si="96"/>
        <v>0.12755076668156234</v>
      </c>
      <c r="BW100" s="1">
        <f t="shared" ca="1" si="97"/>
        <v>812</v>
      </c>
      <c r="BX100" s="1">
        <f t="shared" ca="1" si="98"/>
        <v>1.6467606315994866E-3</v>
      </c>
      <c r="BY100" s="1">
        <f t="shared" ca="1" si="99"/>
        <v>6.1768390450366223E-2</v>
      </c>
      <c r="BZ100" s="1">
        <f t="shared" ca="1" si="100"/>
        <v>0.93350921572502987</v>
      </c>
      <c r="CB100" s="1">
        <f t="shared" ca="1" si="101"/>
        <v>448</v>
      </c>
      <c r="CC100" s="1">
        <f t="shared" ca="1" si="102"/>
        <v>5</v>
      </c>
      <c r="CD100" s="1">
        <f t="shared" ca="1" si="103"/>
        <v>0.24158206139266342</v>
      </c>
      <c r="CE100" s="1">
        <f t="shared" ref="CE100:CF131" ca="1" si="113">RAND()*(1-0.5)+0.5</f>
        <v>0.76314216788865497</v>
      </c>
      <c r="CF100" s="1">
        <f t="shared" ca="1" si="113"/>
        <v>0.81110324199222483</v>
      </c>
      <c r="CH100" s="3">
        <f t="shared" ca="1" si="105"/>
        <v>0.99612597883701526</v>
      </c>
      <c r="CI100" s="3">
        <f t="shared" ca="1" si="106"/>
        <v>0.47960003882752922</v>
      </c>
      <c r="CJ100" s="3">
        <f t="shared" ca="1" si="107"/>
        <v>1622</v>
      </c>
      <c r="CK100" s="3">
        <f t="shared" ca="1" si="108"/>
        <v>7.6678697754288339E-3</v>
      </c>
      <c r="CL100" s="3">
        <f t="shared" ca="1" si="109"/>
        <v>1</v>
      </c>
      <c r="CM100" s="3"/>
      <c r="CN100" s="1">
        <f t="shared" ca="1" si="110"/>
        <v>15.299129356659147</v>
      </c>
      <c r="CO100" s="1">
        <f t="shared" ca="1" si="111"/>
        <v>0.48791049569637907</v>
      </c>
      <c r="CP100" s="1">
        <f t="shared" ca="1" si="112"/>
        <v>3</v>
      </c>
    </row>
    <row r="101" spans="2:94" x14ac:dyDescent="0.25">
      <c r="B101">
        <f t="shared" ca="1" si="57"/>
        <v>947</v>
      </c>
      <c r="C101">
        <f t="shared" ca="1" si="58"/>
        <v>7</v>
      </c>
      <c r="D101">
        <f t="shared" ca="1" si="59"/>
        <v>0.2478902351307275</v>
      </c>
      <c r="F101" s="1">
        <f t="shared" ca="1" si="60"/>
        <v>30</v>
      </c>
      <c r="G101" s="1">
        <f t="shared" ca="1" si="61"/>
        <v>8</v>
      </c>
      <c r="H101" s="1">
        <f t="shared" ca="1" si="62"/>
        <v>7</v>
      </c>
      <c r="I101" s="1"/>
      <c r="J101" s="1">
        <f t="shared" ca="1" si="63"/>
        <v>37</v>
      </c>
      <c r="K101" s="1">
        <f t="shared" ca="1" si="64"/>
        <v>2.5187035588223781</v>
      </c>
      <c r="L101" s="1">
        <f t="shared" ca="1" si="65"/>
        <v>20</v>
      </c>
      <c r="M101" s="1"/>
      <c r="N101" s="1">
        <f t="shared" ca="1" si="66"/>
        <v>94</v>
      </c>
      <c r="O101" s="1">
        <f t="shared" ca="1" si="67"/>
        <v>7</v>
      </c>
      <c r="P101" s="1"/>
      <c r="Q101" s="1">
        <f t="shared" ca="1" si="68"/>
        <v>2.9954185142773491</v>
      </c>
      <c r="R101" s="1">
        <f t="shared" ca="1" si="69"/>
        <v>421</v>
      </c>
      <c r="S101" s="1"/>
      <c r="T101" s="1">
        <f t="shared" ca="1" si="70"/>
        <v>0.11877939597005861</v>
      </c>
      <c r="U101" s="1">
        <f t="shared" ca="1" si="71"/>
        <v>261</v>
      </c>
      <c r="V101" s="1">
        <f t="shared" ca="1" si="72"/>
        <v>43</v>
      </c>
      <c r="W101" s="1"/>
      <c r="X101" s="1">
        <f t="shared" ca="1" si="73"/>
        <v>0.37091192626618918</v>
      </c>
      <c r="Y101" s="1">
        <f t="shared" ca="1" si="74"/>
        <v>0.28006006832941593</v>
      </c>
      <c r="Z101" s="1">
        <f t="shared" ca="1" si="75"/>
        <v>1553</v>
      </c>
      <c r="AB101" s="1">
        <f t="shared" ca="1" si="76"/>
        <v>0.83731418091698617</v>
      </c>
      <c r="AC101" s="1">
        <f t="shared" ca="1" si="77"/>
        <v>607</v>
      </c>
      <c r="AD101" s="1">
        <f t="shared" ca="1" si="78"/>
        <v>6.8903604688971823E-3</v>
      </c>
      <c r="AE101" s="1"/>
      <c r="AF101" s="1">
        <f t="shared" ca="1" si="79"/>
        <v>0.77350651422693761</v>
      </c>
      <c r="AG101" s="1">
        <f t="shared" ca="1" si="80"/>
        <v>562</v>
      </c>
      <c r="AH101" s="1">
        <f t="shared" ca="1" si="81"/>
        <v>6.0788963150919528E-3</v>
      </c>
      <c r="AJ101" s="1">
        <f t="shared" ca="1" si="82"/>
        <v>0.78009234067869104</v>
      </c>
      <c r="AK101" s="1">
        <f t="shared" ca="1" si="83"/>
        <v>4.9356820747919481E-3</v>
      </c>
      <c r="AL101" s="1"/>
      <c r="AM101" s="1">
        <f t="shared" ca="1" si="84"/>
        <v>0.14674019971756061</v>
      </c>
      <c r="AN101" s="1">
        <f t="shared" ca="1" si="85"/>
        <v>69</v>
      </c>
      <c r="AO101" s="1">
        <f t="shared" ca="1" si="86"/>
        <v>-1</v>
      </c>
      <c r="AQ101" s="1">
        <f t="shared" ca="1" si="87"/>
        <v>95</v>
      </c>
      <c r="AR101" s="1">
        <f t="shared" ca="1" si="88"/>
        <v>8</v>
      </c>
      <c r="AS101" s="1">
        <f t="shared" ca="1" si="89"/>
        <v>17</v>
      </c>
      <c r="AU101" s="1">
        <f t="shared" ca="1" si="90"/>
        <v>183</v>
      </c>
      <c r="AV101" s="1">
        <f t="shared" ca="1" si="91"/>
        <v>6</v>
      </c>
      <c r="AW101" s="1">
        <f t="shared" ca="1" si="92"/>
        <v>0.19613671596850871</v>
      </c>
      <c r="AY101" s="1">
        <f t="shared" ca="1" si="93"/>
        <v>1.6969941196661171</v>
      </c>
      <c r="AZ101" s="1">
        <f t="shared" ca="1" si="94"/>
        <v>263</v>
      </c>
      <c r="BA101" s="1">
        <f t="shared" ca="1" si="95"/>
        <v>2.6200474042985477E-3</v>
      </c>
      <c r="BV101" s="1">
        <f t="shared" ca="1" si="96"/>
        <v>0.80969507796528439</v>
      </c>
      <c r="BW101" s="1">
        <f t="shared" ca="1" si="97"/>
        <v>317</v>
      </c>
      <c r="BX101" s="1">
        <f t="shared" ca="1" si="98"/>
        <v>1.8370181848822707E-3</v>
      </c>
      <c r="BY101" s="1">
        <f t="shared" ca="1" si="99"/>
        <v>1.7483087001905762E-2</v>
      </c>
      <c r="BZ101" s="1">
        <f t="shared" ca="1" si="100"/>
        <v>0.62914057114965027</v>
      </c>
      <c r="CB101" s="1">
        <f t="shared" ca="1" si="101"/>
        <v>403</v>
      </c>
      <c r="CC101" s="1">
        <f t="shared" ca="1" si="102"/>
        <v>14</v>
      </c>
      <c r="CD101" s="1">
        <f t="shared" ca="1" si="103"/>
        <v>0.28683536592140363</v>
      </c>
      <c r="CE101" s="1">
        <f t="shared" ca="1" si="113"/>
        <v>0.83204704909509197</v>
      </c>
      <c r="CF101" s="1">
        <f t="shared" ca="1" si="113"/>
        <v>0.82691750625932348</v>
      </c>
      <c r="CH101" s="3">
        <f t="shared" ca="1" si="105"/>
        <v>0.47922240163766755</v>
      </c>
      <c r="CI101" s="3">
        <f t="shared" ca="1" si="106"/>
        <v>0.13119305998235128</v>
      </c>
      <c r="CJ101" s="3">
        <f t="shared" ca="1" si="107"/>
        <v>1692</v>
      </c>
      <c r="CK101" s="3">
        <f t="shared" ca="1" si="108"/>
        <v>9.244021520267905E-3</v>
      </c>
      <c r="CL101" s="3">
        <f t="shared" ca="1" si="109"/>
        <v>1</v>
      </c>
      <c r="CM101" s="3"/>
      <c r="CN101" s="1">
        <f t="shared" ca="1" si="110"/>
        <v>2.4079391617904329</v>
      </c>
      <c r="CO101" s="1">
        <f t="shared" ca="1" si="111"/>
        <v>0.18362647248673511</v>
      </c>
      <c r="CP101" s="1">
        <f t="shared" ca="1" si="112"/>
        <v>2</v>
      </c>
    </row>
    <row r="102" spans="2:94" x14ac:dyDescent="0.25">
      <c r="B102">
        <f t="shared" ca="1" si="57"/>
        <v>520</v>
      </c>
      <c r="C102">
        <f t="shared" ca="1" si="58"/>
        <v>18</v>
      </c>
      <c r="D102">
        <f t="shared" ca="1" si="59"/>
        <v>0.23452802553276103</v>
      </c>
      <c r="F102" s="1">
        <f t="shared" ca="1" si="60"/>
        <v>51</v>
      </c>
      <c r="G102" s="1">
        <f t="shared" ca="1" si="61"/>
        <v>18</v>
      </c>
      <c r="H102" s="1">
        <f t="shared" ca="1" si="62"/>
        <v>14</v>
      </c>
      <c r="I102" s="1"/>
      <c r="J102" s="1">
        <f t="shared" ca="1" si="63"/>
        <v>33</v>
      </c>
      <c r="K102" s="1">
        <f t="shared" ca="1" si="64"/>
        <v>1.8399606089689953</v>
      </c>
      <c r="L102" s="1">
        <f t="shared" ca="1" si="65"/>
        <v>32</v>
      </c>
      <c r="M102" s="1"/>
      <c r="N102" s="1">
        <f t="shared" ca="1" si="66"/>
        <v>642</v>
      </c>
      <c r="O102" s="1">
        <f t="shared" ca="1" si="67"/>
        <v>31</v>
      </c>
      <c r="P102" s="1"/>
      <c r="Q102" s="1">
        <f t="shared" ca="1" si="68"/>
        <v>2.4325519546865246</v>
      </c>
      <c r="R102" s="1">
        <f t="shared" ca="1" si="69"/>
        <v>685</v>
      </c>
      <c r="S102" s="1"/>
      <c r="T102" s="1">
        <f t="shared" ca="1" si="70"/>
        <v>0.12618807895217993</v>
      </c>
      <c r="U102" s="1">
        <f t="shared" ca="1" si="71"/>
        <v>389</v>
      </c>
      <c r="V102" s="1">
        <f t="shared" ca="1" si="72"/>
        <v>44</v>
      </c>
      <c r="W102" s="1"/>
      <c r="X102" s="1">
        <f t="shared" ca="1" si="73"/>
        <v>1.8937786357205659</v>
      </c>
      <c r="Y102" s="1">
        <f t="shared" ca="1" si="74"/>
        <v>0.78814060382857154</v>
      </c>
      <c r="Z102" s="1">
        <f t="shared" ca="1" si="75"/>
        <v>1019</v>
      </c>
      <c r="AB102" s="1">
        <f t="shared" ca="1" si="76"/>
        <v>0.93491073401018676</v>
      </c>
      <c r="AC102" s="1">
        <f t="shared" ca="1" si="77"/>
        <v>167</v>
      </c>
      <c r="AD102" s="1">
        <f t="shared" ca="1" si="78"/>
        <v>4.8754336735706031E-3</v>
      </c>
      <c r="AE102" s="1"/>
      <c r="AF102" s="1">
        <f t="shared" ca="1" si="79"/>
        <v>0.41025936564137289</v>
      </c>
      <c r="AG102" s="1">
        <f t="shared" ca="1" si="80"/>
        <v>737</v>
      </c>
      <c r="AH102" s="1">
        <f t="shared" ca="1" si="81"/>
        <v>4.7188183781758366E-3</v>
      </c>
      <c r="AJ102" s="1">
        <f t="shared" ca="1" si="82"/>
        <v>0.91447055554987478</v>
      </c>
      <c r="AK102" s="1">
        <f t="shared" ca="1" si="83"/>
        <v>5.1649893447284958E-3</v>
      </c>
      <c r="AL102" s="1"/>
      <c r="AM102" s="1">
        <f t="shared" ca="1" si="84"/>
        <v>6.3828819622477398E-2</v>
      </c>
      <c r="AN102" s="1">
        <f t="shared" ca="1" si="85"/>
        <v>72</v>
      </c>
      <c r="AO102" s="1">
        <f t="shared" ca="1" si="86"/>
        <v>1</v>
      </c>
      <c r="AQ102" s="1">
        <f t="shared" ca="1" si="87"/>
        <v>19</v>
      </c>
      <c r="AR102" s="1">
        <f t="shared" ca="1" si="88"/>
        <v>4</v>
      </c>
      <c r="AS102" s="1">
        <f t="shared" ca="1" si="89"/>
        <v>32</v>
      </c>
      <c r="AU102" s="1">
        <f t="shared" ca="1" si="90"/>
        <v>229</v>
      </c>
      <c r="AV102" s="1">
        <f t="shared" ca="1" si="91"/>
        <v>6</v>
      </c>
      <c r="AW102" s="1">
        <f t="shared" ca="1" si="92"/>
        <v>0.14378384354006551</v>
      </c>
      <c r="AY102" s="1">
        <f t="shared" ca="1" si="93"/>
        <v>1.8326175490518302</v>
      </c>
      <c r="AZ102" s="1">
        <f t="shared" ca="1" si="94"/>
        <v>346</v>
      </c>
      <c r="BA102" s="1">
        <f t="shared" ca="1" si="95"/>
        <v>6.0238916966901699E-3</v>
      </c>
      <c r="BV102" s="1">
        <f t="shared" ca="1" si="96"/>
        <v>0.33581808884703113</v>
      </c>
      <c r="BW102" s="1">
        <f t="shared" ca="1" si="97"/>
        <v>145</v>
      </c>
      <c r="BX102" s="1">
        <f t="shared" ca="1" si="98"/>
        <v>1.9662175846178599E-3</v>
      </c>
      <c r="BY102" s="1">
        <f t="shared" ca="1" si="99"/>
        <v>9.1581648063180213E-2</v>
      </c>
      <c r="BZ102" s="1">
        <f t="shared" ca="1" si="100"/>
        <v>0.37394321810927478</v>
      </c>
      <c r="CB102" s="1">
        <f t="shared" ca="1" si="101"/>
        <v>55</v>
      </c>
      <c r="CC102" s="1">
        <f t="shared" ca="1" si="102"/>
        <v>15</v>
      </c>
      <c r="CD102" s="1">
        <f t="shared" ca="1" si="103"/>
        <v>8.458286846425711E-2</v>
      </c>
      <c r="CE102" s="1">
        <f t="shared" ca="1" si="113"/>
        <v>0.61420958763360745</v>
      </c>
      <c r="CF102" s="1">
        <f t="shared" ca="1" si="113"/>
        <v>0.7907368492691278</v>
      </c>
      <c r="CH102" s="3">
        <f t="shared" ca="1" si="105"/>
        <v>0.47957401971046498</v>
      </c>
      <c r="CI102" s="3">
        <f t="shared" ca="1" si="106"/>
        <v>0.6633242521800683</v>
      </c>
      <c r="CJ102" s="3">
        <f t="shared" ca="1" si="107"/>
        <v>824</v>
      </c>
      <c r="CK102" s="3">
        <f t="shared" ca="1" si="108"/>
        <v>7.854042149960919E-3</v>
      </c>
      <c r="CL102" s="3">
        <f t="shared" ca="1" si="109"/>
        <v>1</v>
      </c>
      <c r="CM102" s="3"/>
      <c r="CN102" s="1">
        <f t="shared" ca="1" si="110"/>
        <v>13.147827704682213</v>
      </c>
      <c r="CO102" s="1">
        <f t="shared" ca="1" si="111"/>
        <v>4.7275803744815083E-2</v>
      </c>
      <c r="CP102" s="1">
        <f t="shared" ca="1" si="112"/>
        <v>2</v>
      </c>
    </row>
    <row r="103" spans="2:94" x14ac:dyDescent="0.25">
      <c r="B103">
        <f t="shared" ca="1" si="57"/>
        <v>46</v>
      </c>
      <c r="C103">
        <f t="shared" ca="1" si="58"/>
        <v>34</v>
      </c>
      <c r="D103">
        <f t="shared" ca="1" si="59"/>
        <v>0.20282062030014628</v>
      </c>
      <c r="F103" s="1">
        <f t="shared" ca="1" si="60"/>
        <v>17</v>
      </c>
      <c r="G103" s="1">
        <f t="shared" ca="1" si="61"/>
        <v>19</v>
      </c>
      <c r="H103" s="1">
        <f t="shared" ca="1" si="62"/>
        <v>6</v>
      </c>
      <c r="I103" s="1"/>
      <c r="J103" s="1">
        <f t="shared" ca="1" si="63"/>
        <v>36</v>
      </c>
      <c r="K103" s="1">
        <f t="shared" ca="1" si="64"/>
        <v>1.6797573387327334</v>
      </c>
      <c r="L103" s="1">
        <f t="shared" ca="1" si="65"/>
        <v>9</v>
      </c>
      <c r="M103" s="1"/>
      <c r="N103" s="1">
        <f t="shared" ca="1" si="66"/>
        <v>275</v>
      </c>
      <c r="O103" s="1">
        <f t="shared" ca="1" si="67"/>
        <v>14</v>
      </c>
      <c r="P103" s="1"/>
      <c r="Q103" s="1">
        <f t="shared" ca="1" si="68"/>
        <v>2.9338721233975491</v>
      </c>
      <c r="R103" s="1">
        <f t="shared" ca="1" si="69"/>
        <v>327</v>
      </c>
      <c r="S103" s="1"/>
      <c r="T103" s="1">
        <f t="shared" ca="1" si="70"/>
        <v>8.6059225482195759E-2</v>
      </c>
      <c r="U103" s="1">
        <f t="shared" ca="1" si="71"/>
        <v>224</v>
      </c>
      <c r="V103" s="1">
        <f t="shared" ca="1" si="72"/>
        <v>25</v>
      </c>
      <c r="W103" s="1"/>
      <c r="X103" s="1">
        <f t="shared" ca="1" si="73"/>
        <v>8.4828416721012392</v>
      </c>
      <c r="Y103" s="1">
        <f t="shared" ca="1" si="74"/>
        <v>0.25637097132109998</v>
      </c>
      <c r="Z103" s="1">
        <f t="shared" ca="1" si="75"/>
        <v>446</v>
      </c>
      <c r="AB103" s="1">
        <f t="shared" ca="1" si="76"/>
        <v>1.7954278098873538E-2</v>
      </c>
      <c r="AC103" s="1">
        <f t="shared" ca="1" si="77"/>
        <v>529</v>
      </c>
      <c r="AD103" s="1">
        <f t="shared" ca="1" si="78"/>
        <v>4.5560734667897396E-3</v>
      </c>
      <c r="AE103" s="1"/>
      <c r="AF103" s="1">
        <f t="shared" ca="1" si="79"/>
        <v>0.71421739140154539</v>
      </c>
      <c r="AG103" s="1">
        <f t="shared" ca="1" si="80"/>
        <v>418</v>
      </c>
      <c r="AH103" s="1">
        <f t="shared" ca="1" si="81"/>
        <v>6.0684130179938017E-3</v>
      </c>
      <c r="AJ103" s="1">
        <f t="shared" ca="1" si="82"/>
        <v>0.5090912247383087</v>
      </c>
      <c r="AK103" s="1">
        <f t="shared" ca="1" si="83"/>
        <v>3.6015775093080765E-3</v>
      </c>
      <c r="AL103" s="1"/>
      <c r="AM103" s="1">
        <f t="shared" ca="1" si="84"/>
        <v>6.4868662638473143E-2</v>
      </c>
      <c r="AN103" s="1">
        <f t="shared" ca="1" si="85"/>
        <v>43</v>
      </c>
      <c r="AO103" s="1">
        <f t="shared" ca="1" si="86"/>
        <v>6</v>
      </c>
      <c r="AQ103" s="1">
        <f t="shared" ca="1" si="87"/>
        <v>136</v>
      </c>
      <c r="AR103" s="1">
        <f t="shared" ca="1" si="88"/>
        <v>2</v>
      </c>
      <c r="AS103" s="1">
        <f t="shared" ca="1" si="89"/>
        <v>84</v>
      </c>
      <c r="AU103" s="1">
        <f t="shared" ca="1" si="90"/>
        <v>139</v>
      </c>
      <c r="AV103" s="1">
        <f t="shared" ca="1" si="91"/>
        <v>2</v>
      </c>
      <c r="AW103" s="1">
        <f t="shared" ca="1" si="92"/>
        <v>0.18682450994913272</v>
      </c>
      <c r="AY103" s="1">
        <f t="shared" ca="1" si="93"/>
        <v>1.4635373607038642</v>
      </c>
      <c r="AZ103" s="1">
        <f t="shared" ca="1" si="94"/>
        <v>60</v>
      </c>
      <c r="BA103" s="1">
        <f t="shared" ca="1" si="95"/>
        <v>9.2819920658779934E-3</v>
      </c>
      <c r="BV103" s="1">
        <f t="shared" ca="1" si="96"/>
        <v>0.97614556505331995</v>
      </c>
      <c r="BW103" s="1">
        <f t="shared" ca="1" si="97"/>
        <v>854</v>
      </c>
      <c r="BX103" s="1">
        <f t="shared" ca="1" si="98"/>
        <v>1.8862572171009597E-5</v>
      </c>
      <c r="BY103" s="1">
        <f t="shared" ca="1" si="99"/>
        <v>4.5130884843813265E-2</v>
      </c>
      <c r="BZ103" s="1">
        <f t="shared" ca="1" si="100"/>
        <v>0.29807254439283781</v>
      </c>
      <c r="CB103" s="1">
        <f t="shared" ca="1" si="101"/>
        <v>215</v>
      </c>
      <c r="CC103" s="1">
        <f t="shared" ca="1" si="102"/>
        <v>15</v>
      </c>
      <c r="CD103" s="1">
        <f t="shared" ca="1" si="103"/>
        <v>0.20985935097523051</v>
      </c>
      <c r="CE103" s="1">
        <f t="shared" ca="1" si="113"/>
        <v>0.76275090852896266</v>
      </c>
      <c r="CF103" s="1">
        <f t="shared" ca="1" si="113"/>
        <v>0.61724602974131315</v>
      </c>
      <c r="CH103" s="3">
        <f t="shared" ca="1" si="105"/>
        <v>0.19553166399491945</v>
      </c>
      <c r="CI103" s="3">
        <f t="shared" ca="1" si="106"/>
        <v>0.33629844539995213</v>
      </c>
      <c r="CJ103" s="3">
        <f t="shared" ca="1" si="107"/>
        <v>755</v>
      </c>
      <c r="CK103" s="3">
        <f t="shared" ca="1" si="108"/>
        <v>6.7849464495441962E-3</v>
      </c>
      <c r="CL103" s="3">
        <f t="shared" ca="1" si="109"/>
        <v>1</v>
      </c>
      <c r="CM103" s="3"/>
      <c r="CN103" s="1">
        <f t="shared" ca="1" si="110"/>
        <v>0.9021565347747672</v>
      </c>
      <c r="CO103" s="1">
        <f t="shared" ca="1" si="111"/>
        <v>0.43413232903265297</v>
      </c>
      <c r="CP103" s="1">
        <f t="shared" ca="1" si="112"/>
        <v>3</v>
      </c>
    </row>
    <row r="104" spans="2:94" x14ac:dyDescent="0.25">
      <c r="B104">
        <f t="shared" ca="1" si="57"/>
        <v>574</v>
      </c>
      <c r="C104">
        <f t="shared" ca="1" si="58"/>
        <v>28</v>
      </c>
      <c r="D104">
        <f t="shared" ca="1" si="59"/>
        <v>1.5055706778839505E-2</v>
      </c>
      <c r="F104" s="1">
        <f t="shared" ca="1" si="60"/>
        <v>45</v>
      </c>
      <c r="G104" s="1">
        <f t="shared" ca="1" si="61"/>
        <v>6</v>
      </c>
      <c r="H104" s="1">
        <f t="shared" ca="1" si="62"/>
        <v>2</v>
      </c>
      <c r="I104" s="1"/>
      <c r="J104" s="1">
        <f t="shared" ca="1" si="63"/>
        <v>26</v>
      </c>
      <c r="K104" s="1">
        <f t="shared" ca="1" si="64"/>
        <v>2.3349495668756353</v>
      </c>
      <c r="L104" s="1">
        <f t="shared" ca="1" si="65"/>
        <v>13</v>
      </c>
      <c r="M104" s="1"/>
      <c r="N104" s="1">
        <f t="shared" ca="1" si="66"/>
        <v>273</v>
      </c>
      <c r="O104" s="1">
        <f t="shared" ca="1" si="67"/>
        <v>4</v>
      </c>
      <c r="P104" s="1"/>
      <c r="Q104" s="1">
        <f t="shared" ca="1" si="68"/>
        <v>2.7604185630624065</v>
      </c>
      <c r="R104" s="1">
        <f t="shared" ca="1" si="69"/>
        <v>377</v>
      </c>
      <c r="S104" s="1"/>
      <c r="T104" s="1">
        <f t="shared" ca="1" si="70"/>
        <v>0.18723070297682806</v>
      </c>
      <c r="U104" s="1">
        <f t="shared" ca="1" si="71"/>
        <v>173</v>
      </c>
      <c r="V104" s="1">
        <f t="shared" ca="1" si="72"/>
        <v>29</v>
      </c>
      <c r="W104" s="1"/>
      <c r="X104" s="1">
        <f t="shared" ca="1" si="73"/>
        <v>4.5247591220908099</v>
      </c>
      <c r="Y104" s="1">
        <f t="shared" ca="1" si="74"/>
        <v>0.83843189048207967</v>
      </c>
      <c r="Z104" s="1">
        <f t="shared" ca="1" si="75"/>
        <v>1008</v>
      </c>
      <c r="AB104" s="1">
        <f t="shared" ca="1" si="76"/>
        <v>0.2197720604845827</v>
      </c>
      <c r="AC104" s="1">
        <f t="shared" ca="1" si="77"/>
        <v>557</v>
      </c>
      <c r="AD104" s="1">
        <f t="shared" ca="1" si="78"/>
        <v>4.875216515919943E-3</v>
      </c>
      <c r="AE104" s="1"/>
      <c r="AF104" s="1">
        <f t="shared" ca="1" si="79"/>
        <v>0.65710772833396658</v>
      </c>
      <c r="AG104" s="1">
        <f t="shared" ca="1" si="80"/>
        <v>755</v>
      </c>
      <c r="AH104" s="1">
        <f t="shared" ca="1" si="81"/>
        <v>5.3327742110145411E-3</v>
      </c>
      <c r="AJ104" s="1">
        <f t="shared" ca="1" si="82"/>
        <v>0.731112001801276</v>
      </c>
      <c r="AK104" s="1">
        <f t="shared" ca="1" si="83"/>
        <v>9.6284738534096678E-4</v>
      </c>
      <c r="AL104" s="1"/>
      <c r="AM104" s="1">
        <f t="shared" ca="1" si="84"/>
        <v>9.9522149009627039E-2</v>
      </c>
      <c r="AN104" s="1">
        <f t="shared" ca="1" si="85"/>
        <v>38</v>
      </c>
      <c r="AO104" s="1">
        <f t="shared" ca="1" si="86"/>
        <v>19</v>
      </c>
      <c r="AQ104" s="1">
        <f t="shared" ca="1" si="87"/>
        <v>115</v>
      </c>
      <c r="AR104" s="1">
        <f t="shared" ca="1" si="88"/>
        <v>9</v>
      </c>
      <c r="AS104" s="1">
        <f t="shared" ca="1" si="89"/>
        <v>33</v>
      </c>
      <c r="AU104" s="1">
        <f t="shared" ca="1" si="90"/>
        <v>129</v>
      </c>
      <c r="AV104" s="1">
        <f t="shared" ca="1" si="91"/>
        <v>5</v>
      </c>
      <c r="AW104" s="1">
        <f t="shared" ca="1" si="92"/>
        <v>0.16968325261955591</v>
      </c>
      <c r="AY104" s="1">
        <f t="shared" ca="1" si="93"/>
        <v>1.4612996204952056</v>
      </c>
      <c r="AZ104" s="1">
        <f t="shared" ca="1" si="94"/>
        <v>436</v>
      </c>
      <c r="BA104" s="1">
        <f t="shared" ca="1" si="95"/>
        <v>1.8130936096615272E-3</v>
      </c>
      <c r="BV104" s="1">
        <f t="shared" ca="1" si="96"/>
        <v>0.90454590905451693</v>
      </c>
      <c r="BW104" s="1">
        <f t="shared" ca="1" si="97"/>
        <v>520</v>
      </c>
      <c r="BX104" s="1">
        <f t="shared" ca="1" si="98"/>
        <v>2.9499471689516548E-3</v>
      </c>
      <c r="BY104" s="1">
        <f t="shared" ca="1" si="99"/>
        <v>1.1335144040197588E-2</v>
      </c>
      <c r="BZ104" s="1">
        <f t="shared" ca="1" si="100"/>
        <v>0.14926208389167828</v>
      </c>
      <c r="CB104" s="1">
        <f t="shared" ca="1" si="101"/>
        <v>348</v>
      </c>
      <c r="CC104" s="1">
        <f t="shared" ca="1" si="102"/>
        <v>5</v>
      </c>
      <c r="CD104" s="1">
        <f t="shared" ca="1" si="103"/>
        <v>0.25029153308967977</v>
      </c>
      <c r="CE104" s="1">
        <f t="shared" ca="1" si="113"/>
        <v>0.50110305088337459</v>
      </c>
      <c r="CF104" s="1">
        <f t="shared" ca="1" si="113"/>
        <v>0.68806451879596797</v>
      </c>
      <c r="CH104" s="3">
        <f t="shared" ca="1" si="105"/>
        <v>0.82336109564070592</v>
      </c>
      <c r="CI104" s="3">
        <f t="shared" ca="1" si="106"/>
        <v>0.62496036216756468</v>
      </c>
      <c r="CJ104" s="3">
        <f t="shared" ca="1" si="107"/>
        <v>1580</v>
      </c>
      <c r="CK104" s="3">
        <f t="shared" ca="1" si="108"/>
        <v>4.3384342749105288E-3</v>
      </c>
      <c r="CL104" s="3">
        <f t="shared" ca="1" si="109"/>
        <v>0</v>
      </c>
      <c r="CM104" s="3"/>
      <c r="CN104" s="1">
        <f t="shared" ca="1" si="110"/>
        <v>11.519431323786003</v>
      </c>
      <c r="CO104" s="1">
        <f t="shared" ca="1" si="111"/>
        <v>6.3114093401102578E-2</v>
      </c>
      <c r="CP104" s="1">
        <f t="shared" ca="1" si="112"/>
        <v>1</v>
      </c>
    </row>
    <row r="105" spans="2:94" x14ac:dyDescent="0.25">
      <c r="B105">
        <f t="shared" ca="1" si="57"/>
        <v>848</v>
      </c>
      <c r="C105">
        <f t="shared" ca="1" si="58"/>
        <v>9</v>
      </c>
      <c r="D105">
        <f t="shared" ca="1" si="59"/>
        <v>0.27103278114748031</v>
      </c>
      <c r="F105" s="1">
        <f t="shared" ca="1" si="60"/>
        <v>18</v>
      </c>
      <c r="G105" s="1">
        <f t="shared" ca="1" si="61"/>
        <v>23</v>
      </c>
      <c r="H105" s="1">
        <f t="shared" ca="1" si="62"/>
        <v>11</v>
      </c>
      <c r="I105" s="1"/>
      <c r="J105" s="1">
        <f t="shared" ca="1" si="63"/>
        <v>28</v>
      </c>
      <c r="K105" s="1">
        <f t="shared" ca="1" si="64"/>
        <v>2.7089023692863474</v>
      </c>
      <c r="L105" s="1">
        <f t="shared" ca="1" si="65"/>
        <v>19</v>
      </c>
      <c r="M105" s="1"/>
      <c r="N105" s="1">
        <f t="shared" ca="1" si="66"/>
        <v>451</v>
      </c>
      <c r="O105" s="1">
        <f t="shared" ca="1" si="67"/>
        <v>16</v>
      </c>
      <c r="P105" s="1"/>
      <c r="Q105" s="1">
        <f t="shared" ca="1" si="68"/>
        <v>1.1155365132534136</v>
      </c>
      <c r="R105" s="1">
        <f t="shared" ca="1" si="69"/>
        <v>310</v>
      </c>
      <c r="S105" s="1"/>
      <c r="T105" s="1">
        <f t="shared" ca="1" si="70"/>
        <v>9.5612254118927875E-2</v>
      </c>
      <c r="U105" s="1">
        <f t="shared" ca="1" si="71"/>
        <v>172</v>
      </c>
      <c r="V105" s="1">
        <f t="shared" ca="1" si="72"/>
        <v>15</v>
      </c>
      <c r="W105" s="1"/>
      <c r="X105" s="1">
        <f t="shared" ca="1" si="73"/>
        <v>4.9791368869759021</v>
      </c>
      <c r="Y105" s="1">
        <f t="shared" ca="1" si="74"/>
        <v>0.66428104267225629</v>
      </c>
      <c r="Z105" s="1">
        <f t="shared" ca="1" si="75"/>
        <v>1803</v>
      </c>
      <c r="AB105" s="1">
        <f t="shared" ca="1" si="76"/>
        <v>0.9301399302752188</v>
      </c>
      <c r="AC105" s="1">
        <f t="shared" ca="1" si="77"/>
        <v>971</v>
      </c>
      <c r="AD105" s="1">
        <f t="shared" ca="1" si="78"/>
        <v>8.7227942557088385E-3</v>
      </c>
      <c r="AE105" s="1"/>
      <c r="AF105" s="1">
        <f t="shared" ca="1" si="79"/>
        <v>0.60958573499070889</v>
      </c>
      <c r="AG105" s="1">
        <f t="shared" ca="1" si="80"/>
        <v>748</v>
      </c>
      <c r="AH105" s="1">
        <f t="shared" ca="1" si="81"/>
        <v>3.6138473040215808E-3</v>
      </c>
      <c r="AJ105" s="1">
        <f t="shared" ca="1" si="82"/>
        <v>0.16853523625467748</v>
      </c>
      <c r="AK105" s="1">
        <f t="shared" ca="1" si="83"/>
        <v>4.3481881692103959E-3</v>
      </c>
      <c r="AL105" s="1"/>
      <c r="AM105" s="1">
        <f t="shared" ca="1" si="84"/>
        <v>9.9465610777137309E-2</v>
      </c>
      <c r="AN105" s="1">
        <f t="shared" ca="1" si="85"/>
        <v>51</v>
      </c>
      <c r="AO105" s="1">
        <f t="shared" ca="1" si="86"/>
        <v>14</v>
      </c>
      <c r="AQ105" s="1">
        <f t="shared" ca="1" si="87"/>
        <v>96</v>
      </c>
      <c r="AR105" s="1">
        <f t="shared" ca="1" si="88"/>
        <v>5</v>
      </c>
      <c r="AS105" s="1">
        <f t="shared" ca="1" si="89"/>
        <v>22</v>
      </c>
      <c r="AU105" s="1">
        <f t="shared" ca="1" si="90"/>
        <v>139</v>
      </c>
      <c r="AV105" s="1">
        <f t="shared" ca="1" si="91"/>
        <v>7</v>
      </c>
      <c r="AW105" s="1">
        <f t="shared" ca="1" si="92"/>
        <v>2.336856647335589E-2</v>
      </c>
      <c r="AY105" s="1">
        <f t="shared" ca="1" si="93"/>
        <v>1.5070637873940487</v>
      </c>
      <c r="AZ105" s="1">
        <f t="shared" ca="1" si="94"/>
        <v>413</v>
      </c>
      <c r="BA105" s="1">
        <f t="shared" ca="1" si="95"/>
        <v>6.1174960240827463E-3</v>
      </c>
      <c r="BV105" s="1">
        <f t="shared" ca="1" si="96"/>
        <v>0.10030318310357597</v>
      </c>
      <c r="BW105" s="1">
        <f t="shared" ca="1" si="97"/>
        <v>322</v>
      </c>
      <c r="BX105" s="1">
        <f t="shared" ca="1" si="98"/>
        <v>6.5407941509499331E-3</v>
      </c>
      <c r="BY105" s="1">
        <f t="shared" ca="1" si="99"/>
        <v>7.092589430292523E-2</v>
      </c>
      <c r="BZ105" s="1">
        <f t="shared" ca="1" si="100"/>
        <v>5.5287796436866987E-3</v>
      </c>
      <c r="CB105" s="1">
        <f t="shared" ca="1" si="101"/>
        <v>254</v>
      </c>
      <c r="CC105" s="1">
        <f t="shared" ca="1" si="102"/>
        <v>13</v>
      </c>
      <c r="CD105" s="1">
        <f t="shared" ca="1" si="103"/>
        <v>0.17274602926693106</v>
      </c>
      <c r="CE105" s="1">
        <f t="shared" ca="1" si="113"/>
        <v>0.60037355613595589</v>
      </c>
      <c r="CF105" s="1">
        <f t="shared" ca="1" si="113"/>
        <v>0.86334180772562386</v>
      </c>
      <c r="CH105" s="3">
        <f t="shared" ca="1" si="105"/>
        <v>0.4422295478965505</v>
      </c>
      <c r="CI105" s="3">
        <f t="shared" ca="1" si="106"/>
        <v>0.46964161661918247</v>
      </c>
      <c r="CJ105" s="3">
        <f t="shared" ca="1" si="107"/>
        <v>1092</v>
      </c>
      <c r="CK105" s="3">
        <f t="shared" ca="1" si="108"/>
        <v>7.9062868625086585E-3</v>
      </c>
      <c r="CL105" s="3">
        <f t="shared" ca="1" si="109"/>
        <v>0</v>
      </c>
      <c r="CM105" s="3"/>
      <c r="CN105" s="1">
        <f t="shared" ca="1" si="110"/>
        <v>19.133030880031711</v>
      </c>
      <c r="CO105" s="1">
        <f t="shared" ca="1" si="111"/>
        <v>0.45797485689884354</v>
      </c>
      <c r="CP105" s="1">
        <f t="shared" ca="1" si="112"/>
        <v>4</v>
      </c>
    </row>
    <row r="106" spans="2:94" x14ac:dyDescent="0.25">
      <c r="B106">
        <f t="shared" ca="1" si="57"/>
        <v>844</v>
      </c>
      <c r="C106">
        <f t="shared" ca="1" si="58"/>
        <v>20</v>
      </c>
      <c r="D106">
        <f t="shared" ca="1" si="59"/>
        <v>5.375544472304937E-2</v>
      </c>
      <c r="F106" s="1">
        <f t="shared" ca="1" si="60"/>
        <v>27</v>
      </c>
      <c r="G106" s="1">
        <f t="shared" ca="1" si="61"/>
        <v>18</v>
      </c>
      <c r="H106" s="1">
        <f t="shared" ca="1" si="62"/>
        <v>5</v>
      </c>
      <c r="I106" s="1"/>
      <c r="J106" s="1">
        <f t="shared" ca="1" si="63"/>
        <v>33</v>
      </c>
      <c r="K106" s="1">
        <f t="shared" ca="1" si="64"/>
        <v>1.5240277684988048</v>
      </c>
      <c r="L106" s="1">
        <f t="shared" ca="1" si="65"/>
        <v>26</v>
      </c>
      <c r="M106" s="1"/>
      <c r="N106" s="1">
        <f t="shared" ca="1" si="66"/>
        <v>907</v>
      </c>
      <c r="O106" s="1">
        <f t="shared" ca="1" si="67"/>
        <v>33</v>
      </c>
      <c r="P106" s="1"/>
      <c r="Q106" s="1">
        <f t="shared" ca="1" si="68"/>
        <v>2.6031178201254472</v>
      </c>
      <c r="R106" s="1">
        <f t="shared" ca="1" si="69"/>
        <v>717</v>
      </c>
      <c r="S106" s="1"/>
      <c r="T106" s="1">
        <f t="shared" ca="1" si="70"/>
        <v>0.10953049676353098</v>
      </c>
      <c r="U106" s="1">
        <f t="shared" ca="1" si="71"/>
        <v>266</v>
      </c>
      <c r="V106" s="1">
        <f t="shared" ca="1" si="72"/>
        <v>20</v>
      </c>
      <c r="W106" s="1"/>
      <c r="X106" s="1">
        <f t="shared" ca="1" si="73"/>
        <v>7.2833166431557785</v>
      </c>
      <c r="Y106" s="1">
        <f t="shared" ca="1" si="74"/>
        <v>0.95506658284411428</v>
      </c>
      <c r="Z106" s="1">
        <f t="shared" ca="1" si="75"/>
        <v>1702</v>
      </c>
      <c r="AB106" s="1">
        <f t="shared" ca="1" si="76"/>
        <v>0.77270903483177955</v>
      </c>
      <c r="AC106" s="1">
        <f t="shared" ca="1" si="77"/>
        <v>144</v>
      </c>
      <c r="AD106" s="1">
        <f t="shared" ca="1" si="78"/>
        <v>5.1544823401924176E-4</v>
      </c>
      <c r="AE106" s="1"/>
      <c r="AF106" s="1">
        <f t="shared" ca="1" si="79"/>
        <v>0.45951935188615312</v>
      </c>
      <c r="AG106" s="1">
        <f t="shared" ca="1" si="80"/>
        <v>804</v>
      </c>
      <c r="AH106" s="1">
        <f t="shared" ca="1" si="81"/>
        <v>9.4914952840610013E-3</v>
      </c>
      <c r="AJ106" s="1">
        <f t="shared" ca="1" si="82"/>
        <v>0.84291958145117585</v>
      </c>
      <c r="AK106" s="1">
        <f t="shared" ca="1" si="83"/>
        <v>5.6668717123724965E-3</v>
      </c>
      <c r="AL106" s="1"/>
      <c r="AM106" s="1">
        <f t="shared" ca="1" si="84"/>
        <v>0.12742456244431088</v>
      </c>
      <c r="AN106" s="1">
        <f t="shared" ca="1" si="85"/>
        <v>60</v>
      </c>
      <c r="AO106" s="1">
        <f t="shared" ca="1" si="86"/>
        <v>0</v>
      </c>
      <c r="AQ106" s="1">
        <f t="shared" ca="1" si="87"/>
        <v>12</v>
      </c>
      <c r="AR106" s="1">
        <f t="shared" ca="1" si="88"/>
        <v>9</v>
      </c>
      <c r="AS106" s="1">
        <f t="shared" ca="1" si="89"/>
        <v>11</v>
      </c>
      <c r="AU106" s="1">
        <f t="shared" ca="1" si="90"/>
        <v>190</v>
      </c>
      <c r="AV106" s="1">
        <f t="shared" ca="1" si="91"/>
        <v>8</v>
      </c>
      <c r="AW106" s="1">
        <f t="shared" ca="1" si="92"/>
        <v>0.13881376809991591</v>
      </c>
      <c r="AY106" s="1">
        <f t="shared" ca="1" si="93"/>
        <v>1.2936417279581776</v>
      </c>
      <c r="AZ106" s="1">
        <f t="shared" ca="1" si="94"/>
        <v>64</v>
      </c>
      <c r="BA106" s="1">
        <f t="shared" ca="1" si="95"/>
        <v>1.9021466958208846E-3</v>
      </c>
      <c r="BV106" s="1">
        <f t="shared" ca="1" si="96"/>
        <v>0.39353257461848351</v>
      </c>
      <c r="BW106" s="1">
        <f t="shared" ca="1" si="97"/>
        <v>186</v>
      </c>
      <c r="BX106" s="1">
        <f t="shared" ca="1" si="98"/>
        <v>3.2198184768718585E-4</v>
      </c>
      <c r="BY106" s="1">
        <f t="shared" ca="1" si="99"/>
        <v>7.8652520156909045E-2</v>
      </c>
      <c r="BZ106" s="1">
        <f t="shared" ca="1" si="100"/>
        <v>0.69622054666791211</v>
      </c>
      <c r="CB106" s="1">
        <f t="shared" ca="1" si="101"/>
        <v>187</v>
      </c>
      <c r="CC106" s="1">
        <f t="shared" ca="1" si="102"/>
        <v>11</v>
      </c>
      <c r="CD106" s="1">
        <f t="shared" ca="1" si="103"/>
        <v>0.27754659177624486</v>
      </c>
      <c r="CE106" s="1">
        <f t="shared" ca="1" si="113"/>
        <v>0.7869952124881876</v>
      </c>
      <c r="CF106" s="1">
        <f t="shared" ca="1" si="113"/>
        <v>0.56581464787303093</v>
      </c>
      <c r="CH106" s="3">
        <f t="shared" ca="1" si="105"/>
        <v>0.80541024145509554</v>
      </c>
      <c r="CI106" s="3">
        <f t="shared" ca="1" si="106"/>
        <v>0.70570994051861569</v>
      </c>
      <c r="CJ106" s="3">
        <f t="shared" ca="1" si="107"/>
        <v>289</v>
      </c>
      <c r="CK106" s="3">
        <f t="shared" ca="1" si="108"/>
        <v>8.2730651147900746E-4</v>
      </c>
      <c r="CL106" s="3">
        <f t="shared" ca="1" si="109"/>
        <v>0</v>
      </c>
      <c r="CM106" s="3"/>
      <c r="CN106" s="1">
        <f t="shared" ca="1" si="110"/>
        <v>11.527628172062245</v>
      </c>
      <c r="CO106" s="1">
        <f t="shared" ca="1" si="111"/>
        <v>0.25082338523836339</v>
      </c>
      <c r="CP106" s="1">
        <f t="shared" ca="1" si="112"/>
        <v>2</v>
      </c>
    </row>
    <row r="107" spans="2:94" x14ac:dyDescent="0.25">
      <c r="B107">
        <f t="shared" ca="1" si="57"/>
        <v>289</v>
      </c>
      <c r="C107">
        <f t="shared" ca="1" si="58"/>
        <v>34</v>
      </c>
      <c r="D107">
        <f t="shared" ca="1" si="59"/>
        <v>5.8233092490489261E-2</v>
      </c>
      <c r="F107" s="1">
        <f t="shared" ca="1" si="60"/>
        <v>16</v>
      </c>
      <c r="G107" s="1">
        <f t="shared" ca="1" si="61"/>
        <v>2</v>
      </c>
      <c r="H107" s="1">
        <f t="shared" ca="1" si="62"/>
        <v>15</v>
      </c>
      <c r="I107" s="1"/>
      <c r="J107" s="1">
        <f t="shared" ca="1" si="63"/>
        <v>2</v>
      </c>
      <c r="K107" s="1">
        <f t="shared" ca="1" si="64"/>
        <v>1.0615341379519418</v>
      </c>
      <c r="L107" s="1">
        <f t="shared" ca="1" si="65"/>
        <v>20</v>
      </c>
      <c r="M107" s="1"/>
      <c r="N107" s="1">
        <f t="shared" ca="1" si="66"/>
        <v>805</v>
      </c>
      <c r="O107" s="1">
        <f t="shared" ca="1" si="67"/>
        <v>29</v>
      </c>
      <c r="P107" s="1"/>
      <c r="Q107" s="1">
        <f t="shared" ca="1" si="68"/>
        <v>3.3363096444819234</v>
      </c>
      <c r="R107" s="1">
        <f t="shared" ca="1" si="69"/>
        <v>1066</v>
      </c>
      <c r="S107" s="1"/>
      <c r="T107" s="1">
        <f t="shared" ca="1" si="70"/>
        <v>9.5696560271956513E-2</v>
      </c>
      <c r="U107" s="1">
        <f t="shared" ca="1" si="71"/>
        <v>353</v>
      </c>
      <c r="V107" s="1">
        <f t="shared" ca="1" si="72"/>
        <v>3</v>
      </c>
      <c r="W107" s="1"/>
      <c r="X107" s="1">
        <f t="shared" ca="1" si="73"/>
        <v>7.5355772638963243</v>
      </c>
      <c r="Y107" s="1">
        <f t="shared" ca="1" si="74"/>
        <v>0.80565778815051969</v>
      </c>
      <c r="Z107" s="1">
        <f t="shared" ca="1" si="75"/>
        <v>1361</v>
      </c>
      <c r="AB107" s="1">
        <f t="shared" ca="1" si="76"/>
        <v>0.25448647501866822</v>
      </c>
      <c r="AC107" s="1">
        <f t="shared" ca="1" si="77"/>
        <v>575</v>
      </c>
      <c r="AD107" s="1">
        <f t="shared" ca="1" si="78"/>
        <v>6.8111323495621901E-3</v>
      </c>
      <c r="AE107" s="1"/>
      <c r="AF107" s="1">
        <f t="shared" ca="1" si="79"/>
        <v>0.50168490831997115</v>
      </c>
      <c r="AG107" s="1">
        <f t="shared" ca="1" si="80"/>
        <v>607</v>
      </c>
      <c r="AH107" s="1">
        <f t="shared" ca="1" si="81"/>
        <v>9.229787622558527E-3</v>
      </c>
      <c r="AJ107" s="1">
        <f t="shared" ca="1" si="82"/>
        <v>0.56324343179993419</v>
      </c>
      <c r="AK107" s="1">
        <f t="shared" ca="1" si="83"/>
        <v>2.359791574420928E-4</v>
      </c>
      <c r="AL107" s="1"/>
      <c r="AM107" s="1">
        <f t="shared" ca="1" si="84"/>
        <v>0.1479133556611372</v>
      </c>
      <c r="AN107" s="1">
        <f t="shared" ca="1" si="85"/>
        <v>73</v>
      </c>
      <c r="AO107" s="1">
        <f t="shared" ca="1" si="86"/>
        <v>13</v>
      </c>
      <c r="AQ107" s="1">
        <f t="shared" ca="1" si="87"/>
        <v>200</v>
      </c>
      <c r="AR107" s="1">
        <f t="shared" ca="1" si="88"/>
        <v>5</v>
      </c>
      <c r="AS107" s="1">
        <f t="shared" ca="1" si="89"/>
        <v>96</v>
      </c>
      <c r="AU107" s="1">
        <f t="shared" ca="1" si="90"/>
        <v>260</v>
      </c>
      <c r="AV107" s="1">
        <f t="shared" ca="1" si="91"/>
        <v>5</v>
      </c>
      <c r="AW107" s="1">
        <f t="shared" ca="1" si="92"/>
        <v>8.591011870808217E-2</v>
      </c>
      <c r="AY107" s="1">
        <f t="shared" ca="1" si="93"/>
        <v>1.6111784714935509</v>
      </c>
      <c r="AZ107" s="1">
        <f t="shared" ca="1" si="94"/>
        <v>113</v>
      </c>
      <c r="BA107" s="1">
        <f t="shared" ca="1" si="95"/>
        <v>1.6067560296287274E-3</v>
      </c>
      <c r="BV107" s="1">
        <f t="shared" ca="1" si="96"/>
        <v>0.1164691060667596</v>
      </c>
      <c r="BW107" s="1">
        <f t="shared" ca="1" si="97"/>
        <v>564</v>
      </c>
      <c r="BX107" s="1">
        <f t="shared" ca="1" si="98"/>
        <v>6.5772466568760806E-3</v>
      </c>
      <c r="BY107" s="1">
        <f t="shared" ca="1" si="99"/>
        <v>7.0615337952550511E-3</v>
      </c>
      <c r="BZ107" s="1">
        <f t="shared" ca="1" si="100"/>
        <v>0.74724725164250649</v>
      </c>
      <c r="CB107" s="1">
        <f t="shared" ca="1" si="101"/>
        <v>235</v>
      </c>
      <c r="CC107" s="1">
        <f t="shared" ca="1" si="102"/>
        <v>10</v>
      </c>
      <c r="CD107" s="1">
        <f t="shared" ca="1" si="103"/>
        <v>1.9023102166322227E-2</v>
      </c>
      <c r="CE107" s="1">
        <f t="shared" ca="1" si="113"/>
        <v>0.79088092194464754</v>
      </c>
      <c r="CF107" s="1">
        <f t="shared" ca="1" si="113"/>
        <v>0.62585972940432255</v>
      </c>
      <c r="CH107" s="3">
        <f t="shared" ca="1" si="105"/>
        <v>0.95991978657083588</v>
      </c>
      <c r="CI107" s="3">
        <f t="shared" ca="1" si="106"/>
        <v>0.93404835095141614</v>
      </c>
      <c r="CJ107" s="3">
        <f t="shared" ca="1" si="107"/>
        <v>1768</v>
      </c>
      <c r="CK107" s="3">
        <f t="shared" ca="1" si="108"/>
        <v>3.2559823589878444E-3</v>
      </c>
      <c r="CL107" s="3">
        <f t="shared" ca="1" si="109"/>
        <v>1</v>
      </c>
      <c r="CM107" s="3"/>
      <c r="CN107" s="1">
        <f t="shared" ca="1" si="110"/>
        <v>10.614938159386108</v>
      </c>
      <c r="CO107" s="1">
        <f t="shared" ca="1" si="111"/>
        <v>3.6784072071505268E-2</v>
      </c>
      <c r="CP107" s="1">
        <f t="shared" ca="1" si="112"/>
        <v>3</v>
      </c>
    </row>
    <row r="108" spans="2:94" x14ac:dyDescent="0.25">
      <c r="B108">
        <f t="shared" ca="1" si="57"/>
        <v>537</v>
      </c>
      <c r="C108">
        <f t="shared" ca="1" si="58"/>
        <v>13</v>
      </c>
      <c r="D108">
        <f t="shared" ca="1" si="59"/>
        <v>6.0183157142993882E-2</v>
      </c>
      <c r="F108" s="1">
        <f t="shared" ca="1" si="60"/>
        <v>6</v>
      </c>
      <c r="G108" s="1">
        <f t="shared" ca="1" si="61"/>
        <v>23</v>
      </c>
      <c r="H108" s="1">
        <f t="shared" ca="1" si="62"/>
        <v>10</v>
      </c>
      <c r="I108" s="1"/>
      <c r="J108" s="1">
        <f t="shared" ca="1" si="63"/>
        <v>16</v>
      </c>
      <c r="K108" s="1">
        <f t="shared" ca="1" si="64"/>
        <v>1.6121491747262784</v>
      </c>
      <c r="L108" s="1">
        <f t="shared" ca="1" si="65"/>
        <v>26</v>
      </c>
      <c r="M108" s="1"/>
      <c r="N108" s="1">
        <f t="shared" ca="1" si="66"/>
        <v>602</v>
      </c>
      <c r="O108" s="1">
        <f t="shared" ca="1" si="67"/>
        <v>12</v>
      </c>
      <c r="P108" s="1"/>
      <c r="Q108" s="1">
        <f t="shared" ca="1" si="68"/>
        <v>1.157713196186902</v>
      </c>
      <c r="R108" s="1">
        <f t="shared" ca="1" si="69"/>
        <v>643</v>
      </c>
      <c r="S108" s="1"/>
      <c r="T108" s="1">
        <f t="shared" ca="1" si="70"/>
        <v>4.4973556418327773E-2</v>
      </c>
      <c r="U108" s="1">
        <f t="shared" ca="1" si="71"/>
        <v>444</v>
      </c>
      <c r="V108" s="1">
        <f t="shared" ca="1" si="72"/>
        <v>42</v>
      </c>
      <c r="W108" s="1"/>
      <c r="X108" s="1">
        <f t="shared" ca="1" si="73"/>
        <v>6.6993008689237588</v>
      </c>
      <c r="Y108" s="1">
        <f t="shared" ca="1" si="74"/>
        <v>0.36948315854034791</v>
      </c>
      <c r="Z108" s="1">
        <f t="shared" ca="1" si="75"/>
        <v>1568</v>
      </c>
      <c r="AB108" s="1">
        <f t="shared" ca="1" si="76"/>
        <v>0.27138142042866165</v>
      </c>
      <c r="AC108" s="1">
        <f t="shared" ca="1" si="77"/>
        <v>447</v>
      </c>
      <c r="AD108" s="1">
        <f t="shared" ca="1" si="78"/>
        <v>1.7135892532593089E-3</v>
      </c>
      <c r="AE108" s="1"/>
      <c r="AF108" s="1">
        <f t="shared" ca="1" si="79"/>
        <v>0.21506655140995878</v>
      </c>
      <c r="AG108" s="1">
        <f t="shared" ca="1" si="80"/>
        <v>931</v>
      </c>
      <c r="AH108" s="1">
        <f t="shared" ca="1" si="81"/>
        <v>7.1770315276629719E-3</v>
      </c>
      <c r="AJ108" s="1">
        <f t="shared" ca="1" si="82"/>
        <v>0.97141121257561758</v>
      </c>
      <c r="AK108" s="1">
        <f t="shared" ca="1" si="83"/>
        <v>6.9791938909223609E-3</v>
      </c>
      <c r="AL108" s="1"/>
      <c r="AM108" s="1">
        <f t="shared" ca="1" si="84"/>
        <v>4.8517712721730256E-2</v>
      </c>
      <c r="AN108" s="1">
        <f t="shared" ca="1" si="85"/>
        <v>34</v>
      </c>
      <c r="AO108" s="1">
        <f t="shared" ca="1" si="86"/>
        <v>15</v>
      </c>
      <c r="AQ108" s="1">
        <f t="shared" ca="1" si="87"/>
        <v>145</v>
      </c>
      <c r="AR108" s="1">
        <f t="shared" ca="1" si="88"/>
        <v>8</v>
      </c>
      <c r="AS108" s="1">
        <f t="shared" ca="1" si="89"/>
        <v>21</v>
      </c>
      <c r="AU108" s="1">
        <f t="shared" ca="1" si="90"/>
        <v>335</v>
      </c>
      <c r="AV108" s="1">
        <f t="shared" ca="1" si="91"/>
        <v>6</v>
      </c>
      <c r="AW108" s="1">
        <f t="shared" ca="1" si="92"/>
        <v>6.0084327390630854E-2</v>
      </c>
      <c r="AY108" s="1">
        <f t="shared" ca="1" si="93"/>
        <v>1.6149779644979838</v>
      </c>
      <c r="AZ108" s="1">
        <f t="shared" ca="1" si="94"/>
        <v>142</v>
      </c>
      <c r="BA108" s="1">
        <f t="shared" ca="1" si="95"/>
        <v>1.2100537678553212E-3</v>
      </c>
      <c r="BV108" s="1">
        <f t="shared" ca="1" si="96"/>
        <v>0.63871773667682952</v>
      </c>
      <c r="BW108" s="1">
        <f t="shared" ca="1" si="97"/>
        <v>848</v>
      </c>
      <c r="BX108" s="1">
        <f t="shared" ca="1" si="98"/>
        <v>2.4483207787120687E-3</v>
      </c>
      <c r="BY108" s="1">
        <f t="shared" ca="1" si="99"/>
        <v>9.3343100853894384E-2</v>
      </c>
      <c r="BZ108" s="1">
        <f t="shared" ca="1" si="100"/>
        <v>0.55582028277938256</v>
      </c>
      <c r="CB108" s="1">
        <f t="shared" ca="1" si="101"/>
        <v>439</v>
      </c>
      <c r="CC108" s="1">
        <f t="shared" ca="1" si="102"/>
        <v>11</v>
      </c>
      <c r="CD108" s="1">
        <f t="shared" ca="1" si="103"/>
        <v>0.23339544157679479</v>
      </c>
      <c r="CE108" s="1">
        <f t="shared" ca="1" si="113"/>
        <v>0.61120927995513519</v>
      </c>
      <c r="CF108" s="1">
        <f t="shared" ca="1" si="113"/>
        <v>0.56668537369041916</v>
      </c>
      <c r="CH108" s="3">
        <f t="shared" ca="1" si="105"/>
        <v>0.17779402089225499</v>
      </c>
      <c r="CI108" s="3">
        <f t="shared" ca="1" si="106"/>
        <v>0.53283939169912564</v>
      </c>
      <c r="CJ108" s="3">
        <f t="shared" ca="1" si="107"/>
        <v>1074</v>
      </c>
      <c r="CK108" s="3">
        <f t="shared" ca="1" si="108"/>
        <v>5.2907528202087674E-3</v>
      </c>
      <c r="CL108" s="3">
        <f t="shared" ca="1" si="109"/>
        <v>1</v>
      </c>
      <c r="CM108" s="3"/>
      <c r="CN108" s="1">
        <f t="shared" ca="1" si="110"/>
        <v>13.383530179254478</v>
      </c>
      <c r="CO108" s="1">
        <f t="shared" ca="1" si="111"/>
        <v>0.44668356382417596</v>
      </c>
      <c r="CP108" s="1">
        <f t="shared" ca="1" si="112"/>
        <v>3</v>
      </c>
    </row>
    <row r="109" spans="2:94" x14ac:dyDescent="0.25">
      <c r="B109">
        <f t="shared" ca="1" si="57"/>
        <v>331</v>
      </c>
      <c r="C109">
        <f t="shared" ca="1" si="58"/>
        <v>4</v>
      </c>
      <c r="D109">
        <f t="shared" ca="1" si="59"/>
        <v>7.9482155732900711E-2</v>
      </c>
      <c r="F109" s="1">
        <f t="shared" ca="1" si="60"/>
        <v>37</v>
      </c>
      <c r="G109" s="1">
        <f t="shared" ca="1" si="61"/>
        <v>23</v>
      </c>
      <c r="H109" s="1">
        <f t="shared" ca="1" si="62"/>
        <v>14</v>
      </c>
      <c r="I109" s="1"/>
      <c r="J109" s="1">
        <f t="shared" ca="1" si="63"/>
        <v>10</v>
      </c>
      <c r="K109" s="1">
        <f t="shared" ca="1" si="64"/>
        <v>1.6920707573495171</v>
      </c>
      <c r="L109" s="1">
        <f t="shared" ca="1" si="65"/>
        <v>31</v>
      </c>
      <c r="M109" s="1"/>
      <c r="N109" s="1">
        <f t="shared" ca="1" si="66"/>
        <v>88</v>
      </c>
      <c r="O109" s="1">
        <f t="shared" ca="1" si="67"/>
        <v>34</v>
      </c>
      <c r="P109" s="1"/>
      <c r="Q109" s="1">
        <f t="shared" ca="1" si="68"/>
        <v>0.71411385970539598</v>
      </c>
      <c r="R109" s="1">
        <f t="shared" ca="1" si="69"/>
        <v>592</v>
      </c>
      <c r="S109" s="1"/>
      <c r="T109" s="1">
        <f t="shared" ca="1" si="70"/>
        <v>0.14011531492102658</v>
      </c>
      <c r="U109" s="1">
        <f t="shared" ca="1" si="71"/>
        <v>151</v>
      </c>
      <c r="V109" s="1">
        <f t="shared" ca="1" si="72"/>
        <v>36</v>
      </c>
      <c r="W109" s="1"/>
      <c r="X109" s="1">
        <f t="shared" ca="1" si="73"/>
        <v>3.6262153315411743</v>
      </c>
      <c r="Y109" s="1">
        <f t="shared" ca="1" si="74"/>
        <v>0.81644718874540545</v>
      </c>
      <c r="Z109" s="1">
        <f t="shared" ca="1" si="75"/>
        <v>109</v>
      </c>
      <c r="AB109" s="1">
        <f t="shared" ca="1" si="76"/>
        <v>0.76555990926875384</v>
      </c>
      <c r="AC109" s="1">
        <f t="shared" ca="1" si="77"/>
        <v>158</v>
      </c>
      <c r="AD109" s="1">
        <f t="shared" ca="1" si="78"/>
        <v>3.9235733167440109E-3</v>
      </c>
      <c r="AE109" s="1"/>
      <c r="AF109" s="1">
        <f t="shared" ca="1" si="79"/>
        <v>0.56425109770789594</v>
      </c>
      <c r="AG109" s="1">
        <f t="shared" ca="1" si="80"/>
        <v>597</v>
      </c>
      <c r="AH109" s="1">
        <f t="shared" ca="1" si="81"/>
        <v>3.2875832005407305E-3</v>
      </c>
      <c r="AJ109" s="1">
        <f t="shared" ca="1" si="82"/>
        <v>0.87306387491595205</v>
      </c>
      <c r="AK109" s="1">
        <f t="shared" ca="1" si="83"/>
        <v>7.0212055841998083E-3</v>
      </c>
      <c r="AL109" s="1"/>
      <c r="AM109" s="1">
        <f t="shared" ca="1" si="84"/>
        <v>0.18330813762366058</v>
      </c>
      <c r="AN109" s="1">
        <f t="shared" ca="1" si="85"/>
        <v>78</v>
      </c>
      <c r="AO109" s="1">
        <f t="shared" ca="1" si="86"/>
        <v>16</v>
      </c>
      <c r="AQ109" s="1">
        <f t="shared" ca="1" si="87"/>
        <v>199</v>
      </c>
      <c r="AR109" s="1">
        <f t="shared" ca="1" si="88"/>
        <v>3</v>
      </c>
      <c r="AS109" s="1">
        <f t="shared" ca="1" si="89"/>
        <v>9</v>
      </c>
      <c r="AU109" s="1">
        <f t="shared" ca="1" si="90"/>
        <v>106</v>
      </c>
      <c r="AV109" s="1">
        <f t="shared" ca="1" si="91"/>
        <v>7</v>
      </c>
      <c r="AW109" s="1">
        <f t="shared" ca="1" si="92"/>
        <v>5.7477966646784229E-2</v>
      </c>
      <c r="AY109" s="1">
        <f t="shared" ca="1" si="93"/>
        <v>1.7861992994739468</v>
      </c>
      <c r="AZ109" s="1">
        <f t="shared" ca="1" si="94"/>
        <v>93</v>
      </c>
      <c r="BA109" s="1">
        <f t="shared" ca="1" si="95"/>
        <v>1.588654000168955E-3</v>
      </c>
      <c r="BV109" s="1">
        <f t="shared" ca="1" si="96"/>
        <v>0.51666244313073895</v>
      </c>
      <c r="BW109" s="1">
        <f t="shared" ca="1" si="97"/>
        <v>456</v>
      </c>
      <c r="BX109" s="1">
        <f t="shared" ca="1" si="98"/>
        <v>6.3423534647743572E-3</v>
      </c>
      <c r="BY109" s="1">
        <f t="shared" ca="1" si="99"/>
        <v>7.1099457854300843E-2</v>
      </c>
      <c r="BZ109" s="1">
        <f t="shared" ca="1" si="100"/>
        <v>4.5796597233486946E-2</v>
      </c>
      <c r="CB109" s="1">
        <f t="shared" ca="1" si="101"/>
        <v>303</v>
      </c>
      <c r="CC109" s="1">
        <f t="shared" ca="1" si="102"/>
        <v>13</v>
      </c>
      <c r="CD109" s="1">
        <f t="shared" ca="1" si="103"/>
        <v>0.18596419836384154</v>
      </c>
      <c r="CE109" s="1">
        <f t="shared" ca="1" si="113"/>
        <v>0.86047593956043511</v>
      </c>
      <c r="CF109" s="1">
        <f t="shared" ca="1" si="113"/>
        <v>0.71622482571572399</v>
      </c>
      <c r="CH109" s="3">
        <f t="shared" ca="1" si="105"/>
        <v>0.39004220145218504</v>
      </c>
      <c r="CI109" s="3">
        <f t="shared" ca="1" si="106"/>
        <v>0.5786786781817026</v>
      </c>
      <c r="CJ109" s="3">
        <f t="shared" ca="1" si="107"/>
        <v>675</v>
      </c>
      <c r="CK109" s="3">
        <f t="shared" ca="1" si="108"/>
        <v>4.3119603448284827E-3</v>
      </c>
      <c r="CL109" s="3">
        <f t="shared" ca="1" si="109"/>
        <v>1</v>
      </c>
      <c r="CM109" s="3"/>
      <c r="CN109" s="1">
        <f t="shared" ca="1" si="110"/>
        <v>18.003534162424803</v>
      </c>
      <c r="CO109" s="1">
        <f t="shared" ca="1" si="111"/>
        <v>0.29125184164764334</v>
      </c>
      <c r="CP109" s="1">
        <f t="shared" ca="1" si="112"/>
        <v>2</v>
      </c>
    </row>
    <row r="110" spans="2:94" x14ac:dyDescent="0.25">
      <c r="B110">
        <f t="shared" ca="1" si="57"/>
        <v>188</v>
      </c>
      <c r="C110">
        <f t="shared" ca="1" si="58"/>
        <v>18</v>
      </c>
      <c r="D110">
        <f t="shared" ca="1" si="59"/>
        <v>0.14417350014053099</v>
      </c>
      <c r="F110" s="1">
        <f t="shared" ca="1" si="60"/>
        <v>26</v>
      </c>
      <c r="G110" s="1">
        <f t="shared" ca="1" si="61"/>
        <v>19</v>
      </c>
      <c r="H110" s="1">
        <f t="shared" ca="1" si="62"/>
        <v>6</v>
      </c>
      <c r="I110" s="1"/>
      <c r="J110" s="1">
        <f t="shared" ca="1" si="63"/>
        <v>32</v>
      </c>
      <c r="K110" s="1">
        <f t="shared" ca="1" si="64"/>
        <v>2.170185475632664</v>
      </c>
      <c r="L110" s="1">
        <f t="shared" ca="1" si="65"/>
        <v>7</v>
      </c>
      <c r="M110" s="1"/>
      <c r="N110" s="1">
        <f t="shared" ca="1" si="66"/>
        <v>90</v>
      </c>
      <c r="O110" s="1">
        <f t="shared" ca="1" si="67"/>
        <v>38</v>
      </c>
      <c r="P110" s="1"/>
      <c r="Q110" s="1">
        <f t="shared" ca="1" si="68"/>
        <v>8.6490124651510708E-2</v>
      </c>
      <c r="R110" s="1">
        <f t="shared" ca="1" si="69"/>
        <v>1164</v>
      </c>
      <c r="S110" s="1"/>
      <c r="T110" s="1">
        <f t="shared" ca="1" si="70"/>
        <v>5.611223535316269E-2</v>
      </c>
      <c r="U110" s="1">
        <f t="shared" ca="1" si="71"/>
        <v>203</v>
      </c>
      <c r="V110" s="1">
        <f t="shared" ca="1" si="72"/>
        <v>3</v>
      </c>
      <c r="W110" s="1"/>
      <c r="X110" s="1">
        <f t="shared" ca="1" si="73"/>
        <v>0.81703986148720453</v>
      </c>
      <c r="Y110" s="1">
        <f t="shared" ca="1" si="74"/>
        <v>0.86942794835177972</v>
      </c>
      <c r="Z110" s="1">
        <f t="shared" ca="1" si="75"/>
        <v>1910</v>
      </c>
      <c r="AB110" s="1">
        <f t="shared" ca="1" si="76"/>
        <v>0.95716868587590598</v>
      </c>
      <c r="AC110" s="1">
        <f t="shared" ca="1" si="77"/>
        <v>856</v>
      </c>
      <c r="AD110" s="1">
        <f t="shared" ca="1" si="78"/>
        <v>1.4672623386479508E-3</v>
      </c>
      <c r="AE110" s="1"/>
      <c r="AF110" s="1">
        <f t="shared" ca="1" si="79"/>
        <v>0.56999738679130096</v>
      </c>
      <c r="AG110" s="1">
        <f t="shared" ca="1" si="80"/>
        <v>373</v>
      </c>
      <c r="AH110" s="1">
        <f t="shared" ca="1" si="81"/>
        <v>1.3159013387131341E-3</v>
      </c>
      <c r="AJ110" s="1">
        <f t="shared" ca="1" si="82"/>
        <v>2.3602662184690759E-2</v>
      </c>
      <c r="AK110" s="1">
        <f t="shared" ca="1" si="83"/>
        <v>2.4261953360646495E-3</v>
      </c>
      <c r="AL110" s="1"/>
      <c r="AM110" s="1">
        <f t="shared" ca="1" si="84"/>
        <v>0.14036174901117768</v>
      </c>
      <c r="AN110" s="1">
        <f t="shared" ca="1" si="85"/>
        <v>80</v>
      </c>
      <c r="AO110" s="1">
        <f t="shared" ca="1" si="86"/>
        <v>1</v>
      </c>
      <c r="AQ110" s="1">
        <f t="shared" ca="1" si="87"/>
        <v>45</v>
      </c>
      <c r="AR110" s="1">
        <f t="shared" ca="1" si="88"/>
        <v>4</v>
      </c>
      <c r="AS110" s="1">
        <f t="shared" ca="1" si="89"/>
        <v>14</v>
      </c>
      <c r="AU110" s="1">
        <f t="shared" ca="1" si="90"/>
        <v>265</v>
      </c>
      <c r="AV110" s="1">
        <f t="shared" ca="1" si="91"/>
        <v>6</v>
      </c>
      <c r="AW110" s="1">
        <f t="shared" ca="1" si="92"/>
        <v>0.11841425047404604</v>
      </c>
      <c r="AY110" s="1">
        <f t="shared" ca="1" si="93"/>
        <v>1.2535128866587488</v>
      </c>
      <c r="AZ110" s="1">
        <f t="shared" ca="1" si="94"/>
        <v>480</v>
      </c>
      <c r="BA110" s="1">
        <f t="shared" ca="1" si="95"/>
        <v>5.393021549590672E-3</v>
      </c>
      <c r="BV110" s="1">
        <f t="shared" ca="1" si="96"/>
        <v>0.79745030081206558</v>
      </c>
      <c r="BW110" s="1">
        <f t="shared" ca="1" si="97"/>
        <v>352</v>
      </c>
      <c r="BX110" s="1">
        <f t="shared" ca="1" si="98"/>
        <v>2.1580939105405148E-3</v>
      </c>
      <c r="BY110" s="1">
        <f t="shared" ca="1" si="99"/>
        <v>9.5147944267971324E-2</v>
      </c>
      <c r="BZ110" s="1">
        <f t="shared" ca="1" si="100"/>
        <v>5.6925900111174821E-2</v>
      </c>
      <c r="CB110" s="1">
        <f t="shared" ca="1" si="101"/>
        <v>111</v>
      </c>
      <c r="CC110" s="1">
        <f t="shared" ca="1" si="102"/>
        <v>4</v>
      </c>
      <c r="CD110" s="1">
        <f t="shared" ca="1" si="103"/>
        <v>0.23505651125596017</v>
      </c>
      <c r="CE110" s="1">
        <f t="shared" ca="1" si="113"/>
        <v>0.50953643220606892</v>
      </c>
      <c r="CF110" s="1">
        <f t="shared" ca="1" si="113"/>
        <v>0.93314619188198988</v>
      </c>
      <c r="CH110" s="3">
        <f t="shared" ca="1" si="105"/>
        <v>0.65835218256317807</v>
      </c>
      <c r="CI110" s="3">
        <f t="shared" ca="1" si="106"/>
        <v>0.63482070642211008</v>
      </c>
      <c r="CJ110" s="3">
        <f t="shared" ca="1" si="107"/>
        <v>626</v>
      </c>
      <c r="CK110" s="3">
        <f t="shared" ca="1" si="108"/>
        <v>4.1723433897468427E-3</v>
      </c>
      <c r="CL110" s="3">
        <f t="shared" ca="1" si="109"/>
        <v>0</v>
      </c>
      <c r="CM110" s="3"/>
      <c r="CN110" s="1">
        <f t="shared" ca="1" si="110"/>
        <v>4.9838179542792878</v>
      </c>
      <c r="CO110" s="1">
        <f t="shared" ca="1" si="111"/>
        <v>0.46145178868946374</v>
      </c>
      <c r="CP110" s="1">
        <f t="shared" ca="1" si="112"/>
        <v>2</v>
      </c>
    </row>
    <row r="111" spans="2:94" x14ac:dyDescent="0.25">
      <c r="B111">
        <f t="shared" ca="1" si="57"/>
        <v>100</v>
      </c>
      <c r="C111">
        <f t="shared" ca="1" si="58"/>
        <v>16</v>
      </c>
      <c r="D111">
        <f t="shared" ca="1" si="59"/>
        <v>0.28273718415954435</v>
      </c>
      <c r="F111" s="1">
        <f t="shared" ca="1" si="60"/>
        <v>2</v>
      </c>
      <c r="G111" s="1">
        <f t="shared" ca="1" si="61"/>
        <v>25</v>
      </c>
      <c r="H111" s="1">
        <f t="shared" ca="1" si="62"/>
        <v>3</v>
      </c>
      <c r="I111" s="1"/>
      <c r="J111" s="1">
        <f t="shared" ca="1" si="63"/>
        <v>17</v>
      </c>
      <c r="K111" s="1">
        <f t="shared" ca="1" si="64"/>
        <v>1.7877174893271137</v>
      </c>
      <c r="L111" s="1">
        <f t="shared" ca="1" si="65"/>
        <v>3</v>
      </c>
      <c r="M111" s="1"/>
      <c r="N111" s="1">
        <f t="shared" ca="1" si="66"/>
        <v>789</v>
      </c>
      <c r="O111" s="1">
        <f t="shared" ca="1" si="67"/>
        <v>18</v>
      </c>
      <c r="P111" s="1"/>
      <c r="Q111" s="1">
        <f t="shared" ca="1" si="68"/>
        <v>0.21468488200513772</v>
      </c>
      <c r="R111" s="1">
        <f t="shared" ca="1" si="69"/>
        <v>928</v>
      </c>
      <c r="S111" s="1"/>
      <c r="T111" s="1">
        <f t="shared" ca="1" si="70"/>
        <v>0.17586694508247022</v>
      </c>
      <c r="U111" s="1">
        <f t="shared" ca="1" si="71"/>
        <v>51</v>
      </c>
      <c r="V111" s="1">
        <f t="shared" ca="1" si="72"/>
        <v>32</v>
      </c>
      <c r="W111" s="1"/>
      <c r="X111" s="1">
        <f t="shared" ca="1" si="73"/>
        <v>5.9221320534696869</v>
      </c>
      <c r="Y111" s="1">
        <f t="shared" ca="1" si="74"/>
        <v>0.43713750226017306</v>
      </c>
      <c r="Z111" s="1">
        <f t="shared" ca="1" si="75"/>
        <v>1077</v>
      </c>
      <c r="AB111" s="1">
        <f t="shared" ca="1" si="76"/>
        <v>0.83221570555043445</v>
      </c>
      <c r="AC111" s="1">
        <f t="shared" ca="1" si="77"/>
        <v>262</v>
      </c>
      <c r="AD111" s="1">
        <f t="shared" ca="1" si="78"/>
        <v>4.6163921587815387E-3</v>
      </c>
      <c r="AE111" s="1"/>
      <c r="AF111" s="1">
        <f t="shared" ca="1" si="79"/>
        <v>0.89193468327859304</v>
      </c>
      <c r="AG111" s="1">
        <f t="shared" ca="1" si="80"/>
        <v>219</v>
      </c>
      <c r="AH111" s="1">
        <f t="shared" ca="1" si="81"/>
        <v>4.4514462430689872E-3</v>
      </c>
      <c r="AJ111" s="1">
        <f t="shared" ca="1" si="82"/>
        <v>0.41670336295528387</v>
      </c>
      <c r="AK111" s="1">
        <f t="shared" ca="1" si="83"/>
        <v>7.1863798220454436E-3</v>
      </c>
      <c r="AL111" s="1"/>
      <c r="AM111" s="1">
        <f t="shared" ca="1" si="84"/>
        <v>0.17045946034465287</v>
      </c>
      <c r="AN111" s="1">
        <f t="shared" ca="1" si="85"/>
        <v>31</v>
      </c>
      <c r="AO111" s="1">
        <f t="shared" ca="1" si="86"/>
        <v>19</v>
      </c>
      <c r="AQ111" s="1">
        <f t="shared" ca="1" si="87"/>
        <v>119</v>
      </c>
      <c r="AR111" s="1">
        <f t="shared" ca="1" si="88"/>
        <v>4</v>
      </c>
      <c r="AS111" s="1">
        <f t="shared" ca="1" si="89"/>
        <v>7</v>
      </c>
      <c r="AU111" s="1">
        <f t="shared" ca="1" si="90"/>
        <v>135</v>
      </c>
      <c r="AV111" s="1">
        <f t="shared" ca="1" si="91"/>
        <v>4</v>
      </c>
      <c r="AW111" s="1">
        <f t="shared" ca="1" si="92"/>
        <v>7.3865487781027001E-2</v>
      </c>
      <c r="AY111" s="1">
        <f t="shared" ca="1" si="93"/>
        <v>1.915861737725614</v>
      </c>
      <c r="AZ111" s="1">
        <f t="shared" ca="1" si="94"/>
        <v>151</v>
      </c>
      <c r="BA111" s="1">
        <f t="shared" ca="1" si="95"/>
        <v>7.0033426710556738E-3</v>
      </c>
      <c r="BV111" s="1">
        <f t="shared" ca="1" si="96"/>
        <v>0.75092306793768138</v>
      </c>
      <c r="BW111" s="1">
        <f t="shared" ca="1" si="97"/>
        <v>162</v>
      </c>
      <c r="BX111" s="1">
        <f t="shared" ca="1" si="98"/>
        <v>4.6551849208307074E-3</v>
      </c>
      <c r="BY111" s="1">
        <f t="shared" ca="1" si="99"/>
        <v>5.4761039992920583E-2</v>
      </c>
      <c r="BZ111" s="1">
        <f t="shared" ca="1" si="100"/>
        <v>0.70077620949189245</v>
      </c>
      <c r="CB111" s="1">
        <f t="shared" ca="1" si="101"/>
        <v>88</v>
      </c>
      <c r="CC111" s="1">
        <f t="shared" ca="1" si="102"/>
        <v>9</v>
      </c>
      <c r="CD111" s="1">
        <f t="shared" ca="1" si="103"/>
        <v>0.2705113206671918</v>
      </c>
      <c r="CE111" s="1">
        <f t="shared" ca="1" si="113"/>
        <v>0.86724950060807537</v>
      </c>
      <c r="CF111" s="1">
        <f t="shared" ca="1" si="113"/>
        <v>0.53810804434694814</v>
      </c>
      <c r="CH111" s="3">
        <f t="shared" ca="1" si="105"/>
        <v>0.52614862726935441</v>
      </c>
      <c r="CI111" s="3">
        <f t="shared" ca="1" si="106"/>
        <v>0.5810176042529932</v>
      </c>
      <c r="CJ111" s="3">
        <f t="shared" ca="1" si="107"/>
        <v>1340</v>
      </c>
      <c r="CK111" s="3">
        <f t="shared" ca="1" si="108"/>
        <v>9.3377178264992134E-3</v>
      </c>
      <c r="CL111" s="3">
        <f t="shared" ca="1" si="109"/>
        <v>1</v>
      </c>
      <c r="CM111" s="3"/>
      <c r="CN111" s="1">
        <f t="shared" ca="1" si="110"/>
        <v>18.77614516779909</v>
      </c>
      <c r="CO111" s="1">
        <f t="shared" ca="1" si="111"/>
        <v>0.39238756831385385</v>
      </c>
      <c r="CP111" s="1">
        <f t="shared" ca="1" si="112"/>
        <v>1</v>
      </c>
    </row>
    <row r="112" spans="2:94" x14ac:dyDescent="0.25">
      <c r="B112">
        <f t="shared" ca="1" si="57"/>
        <v>504</v>
      </c>
      <c r="C112">
        <f t="shared" ca="1" si="58"/>
        <v>5</v>
      </c>
      <c r="D112">
        <f t="shared" ca="1" si="59"/>
        <v>8.099453709131281E-2</v>
      </c>
      <c r="F112" s="1">
        <f t="shared" ca="1" si="60"/>
        <v>44</v>
      </c>
      <c r="G112" s="1">
        <f t="shared" ca="1" si="61"/>
        <v>18</v>
      </c>
      <c r="H112" s="1">
        <f t="shared" ca="1" si="62"/>
        <v>2</v>
      </c>
      <c r="I112" s="1"/>
      <c r="J112" s="1">
        <f t="shared" ca="1" si="63"/>
        <v>21</v>
      </c>
      <c r="K112" s="1">
        <f t="shared" ca="1" si="64"/>
        <v>1.7709030440274749</v>
      </c>
      <c r="L112" s="1">
        <f t="shared" ca="1" si="65"/>
        <v>17</v>
      </c>
      <c r="M112" s="1"/>
      <c r="N112" s="1">
        <f t="shared" ca="1" si="66"/>
        <v>657</v>
      </c>
      <c r="O112" s="1">
        <f t="shared" ca="1" si="67"/>
        <v>37</v>
      </c>
      <c r="P112" s="1"/>
      <c r="Q112" s="1">
        <f t="shared" ca="1" si="68"/>
        <v>4.7259975417185363</v>
      </c>
      <c r="R112" s="1">
        <f t="shared" ca="1" si="69"/>
        <v>890</v>
      </c>
      <c r="S112" s="1"/>
      <c r="T112" s="1">
        <f t="shared" ca="1" si="70"/>
        <v>6.1112443344462426E-2</v>
      </c>
      <c r="U112" s="1">
        <f t="shared" ca="1" si="71"/>
        <v>403</v>
      </c>
      <c r="V112" s="1">
        <f t="shared" ca="1" si="72"/>
        <v>40</v>
      </c>
      <c r="W112" s="1"/>
      <c r="X112" s="1">
        <f t="shared" ca="1" si="73"/>
        <v>9.0773856699512123</v>
      </c>
      <c r="Y112" s="1">
        <f t="shared" ca="1" si="74"/>
        <v>0.50284312004201948</v>
      </c>
      <c r="Z112" s="1">
        <f t="shared" ca="1" si="75"/>
        <v>521</v>
      </c>
      <c r="AB112" s="1">
        <f t="shared" ca="1" si="76"/>
        <v>0.69122517597309407</v>
      </c>
      <c r="AC112" s="1">
        <f t="shared" ca="1" si="77"/>
        <v>557</v>
      </c>
      <c r="AD112" s="1">
        <f t="shared" ca="1" si="78"/>
        <v>6.477114514152795E-3</v>
      </c>
      <c r="AE112" s="1"/>
      <c r="AF112" s="1">
        <f t="shared" ca="1" si="79"/>
        <v>0.63873703120083802</v>
      </c>
      <c r="AG112" s="1">
        <f t="shared" ca="1" si="80"/>
        <v>457</v>
      </c>
      <c r="AH112" s="1">
        <f t="shared" ca="1" si="81"/>
        <v>5.2738826431249775E-3</v>
      </c>
      <c r="AJ112" s="1">
        <f t="shared" ca="1" si="82"/>
        <v>6.8881636327468021E-3</v>
      </c>
      <c r="AK112" s="1">
        <f t="shared" ca="1" si="83"/>
        <v>9.5211955426308878E-3</v>
      </c>
      <c r="AL112" s="1"/>
      <c r="AM112" s="1">
        <f t="shared" ca="1" si="84"/>
        <v>2.8735354945589296E-2</v>
      </c>
      <c r="AN112" s="1">
        <f t="shared" ca="1" si="85"/>
        <v>50</v>
      </c>
      <c r="AO112" s="1">
        <f t="shared" ca="1" si="86"/>
        <v>9</v>
      </c>
      <c r="AQ112" s="1">
        <f t="shared" ca="1" si="87"/>
        <v>89</v>
      </c>
      <c r="AR112" s="1">
        <f t="shared" ca="1" si="88"/>
        <v>7</v>
      </c>
      <c r="AS112" s="1">
        <f t="shared" ca="1" si="89"/>
        <v>3</v>
      </c>
      <c r="AU112" s="1">
        <f t="shared" ca="1" si="90"/>
        <v>358</v>
      </c>
      <c r="AV112" s="1">
        <f t="shared" ca="1" si="91"/>
        <v>8</v>
      </c>
      <c r="AW112" s="1">
        <f t="shared" ca="1" si="92"/>
        <v>7.0347704415062676E-2</v>
      </c>
      <c r="AY112" s="1">
        <f t="shared" ca="1" si="93"/>
        <v>1.3519616625772721</v>
      </c>
      <c r="AZ112" s="1">
        <f t="shared" ca="1" si="94"/>
        <v>383</v>
      </c>
      <c r="BA112" s="1">
        <f t="shared" ca="1" si="95"/>
        <v>6.7851484176155766E-4</v>
      </c>
      <c r="BV112" s="1">
        <f t="shared" ca="1" si="96"/>
        <v>0.34920142973320395</v>
      </c>
      <c r="BW112" s="1">
        <f t="shared" ca="1" si="97"/>
        <v>100</v>
      </c>
      <c r="BX112" s="1">
        <f t="shared" ca="1" si="98"/>
        <v>2.362202708590307E-3</v>
      </c>
      <c r="BY112" s="1">
        <f t="shared" ca="1" si="99"/>
        <v>8.6367906470424041E-2</v>
      </c>
      <c r="BZ112" s="1">
        <f t="shared" ca="1" si="100"/>
        <v>0.24003064962538934</v>
      </c>
      <c r="CB112" s="1">
        <f t="shared" ca="1" si="101"/>
        <v>436</v>
      </c>
      <c r="CC112" s="1">
        <f t="shared" ca="1" si="102"/>
        <v>6</v>
      </c>
      <c r="CD112" s="1">
        <f t="shared" ca="1" si="103"/>
        <v>1.5952239122177921E-2</v>
      </c>
      <c r="CE112" s="1">
        <f t="shared" ca="1" si="113"/>
        <v>0.5334035460182307</v>
      </c>
      <c r="CF112" s="1">
        <f t="shared" ca="1" si="113"/>
        <v>0.67201575997710061</v>
      </c>
      <c r="CH112" s="3">
        <f t="shared" ca="1" si="105"/>
        <v>0.95194441249393436</v>
      </c>
      <c r="CI112" s="3">
        <f t="shared" ca="1" si="106"/>
        <v>0.1118466991563493</v>
      </c>
      <c r="CJ112" s="3">
        <f t="shared" ca="1" si="107"/>
        <v>632</v>
      </c>
      <c r="CK112" s="3">
        <f t="shared" ca="1" si="108"/>
        <v>2.288728361178619E-3</v>
      </c>
      <c r="CL112" s="3">
        <f t="shared" ca="1" si="109"/>
        <v>1</v>
      </c>
      <c r="CM112" s="3"/>
      <c r="CN112" s="1">
        <f t="shared" ca="1" si="110"/>
        <v>1.3019010890757046</v>
      </c>
      <c r="CO112" s="1">
        <f t="shared" ca="1" si="111"/>
        <v>0.33341939502441076</v>
      </c>
      <c r="CP112" s="1">
        <f t="shared" ca="1" si="112"/>
        <v>4</v>
      </c>
    </row>
    <row r="113" spans="2:94" x14ac:dyDescent="0.25">
      <c r="B113">
        <f t="shared" ca="1" si="57"/>
        <v>177</v>
      </c>
      <c r="C113">
        <f t="shared" ca="1" si="58"/>
        <v>44</v>
      </c>
      <c r="D113">
        <f t="shared" ca="1" si="59"/>
        <v>0.177718243833692</v>
      </c>
      <c r="F113" s="1">
        <f t="shared" ca="1" si="60"/>
        <v>37</v>
      </c>
      <c r="G113" s="1">
        <f t="shared" ca="1" si="61"/>
        <v>4</v>
      </c>
      <c r="H113" s="1">
        <f t="shared" ca="1" si="62"/>
        <v>15</v>
      </c>
      <c r="I113" s="1"/>
      <c r="J113" s="1">
        <f t="shared" ca="1" si="63"/>
        <v>25</v>
      </c>
      <c r="K113" s="1">
        <f t="shared" ca="1" si="64"/>
        <v>2.1166341754951432</v>
      </c>
      <c r="L113" s="1">
        <f t="shared" ca="1" si="65"/>
        <v>28</v>
      </c>
      <c r="M113" s="1"/>
      <c r="N113" s="1">
        <f t="shared" ca="1" si="66"/>
        <v>943</v>
      </c>
      <c r="O113" s="1">
        <f t="shared" ca="1" si="67"/>
        <v>41</v>
      </c>
      <c r="P113" s="1"/>
      <c r="Q113" s="1">
        <f t="shared" ca="1" si="68"/>
        <v>0.5587403950545472</v>
      </c>
      <c r="R113" s="1">
        <f t="shared" ca="1" si="69"/>
        <v>537</v>
      </c>
      <c r="S113" s="1"/>
      <c r="T113" s="1">
        <f t="shared" ca="1" si="70"/>
        <v>3.1690974280972076E-2</v>
      </c>
      <c r="U113" s="1">
        <f t="shared" ca="1" si="71"/>
        <v>151</v>
      </c>
      <c r="V113" s="1">
        <f t="shared" ca="1" si="72"/>
        <v>7</v>
      </c>
      <c r="W113" s="1"/>
      <c r="X113" s="1">
        <f t="shared" ca="1" si="73"/>
        <v>2.766661595099253</v>
      </c>
      <c r="Y113" s="1">
        <f t="shared" ca="1" si="74"/>
        <v>0.51677079584014118</v>
      </c>
      <c r="Z113" s="1">
        <f t="shared" ca="1" si="75"/>
        <v>1812</v>
      </c>
      <c r="AB113" s="1">
        <f t="shared" ca="1" si="76"/>
        <v>0.87091874717668527</v>
      </c>
      <c r="AC113" s="1">
        <f t="shared" ca="1" si="77"/>
        <v>759</v>
      </c>
      <c r="AD113" s="1">
        <f t="shared" ca="1" si="78"/>
        <v>7.5252040912264354E-4</v>
      </c>
      <c r="AE113" s="1"/>
      <c r="AF113" s="1">
        <f t="shared" ca="1" si="79"/>
        <v>0.62341376447371455</v>
      </c>
      <c r="AG113" s="1">
        <f t="shared" ca="1" si="80"/>
        <v>942</v>
      </c>
      <c r="AH113" s="1">
        <f t="shared" ca="1" si="81"/>
        <v>1.2412761517135039E-3</v>
      </c>
      <c r="AJ113" s="1">
        <f t="shared" ca="1" si="82"/>
        <v>0.77068728095439176</v>
      </c>
      <c r="AK113" s="1">
        <f t="shared" ca="1" si="83"/>
        <v>3.3128999159288382E-3</v>
      </c>
      <c r="AL113" s="1"/>
      <c r="AM113" s="1">
        <f t="shared" ca="1" si="84"/>
        <v>0.15711455247677855</v>
      </c>
      <c r="AN113" s="1">
        <f t="shared" ca="1" si="85"/>
        <v>32</v>
      </c>
      <c r="AO113" s="1">
        <f t="shared" ca="1" si="86"/>
        <v>3</v>
      </c>
      <c r="AQ113" s="1">
        <f t="shared" ca="1" si="87"/>
        <v>102</v>
      </c>
      <c r="AR113" s="1">
        <f t="shared" ca="1" si="88"/>
        <v>0</v>
      </c>
      <c r="AS113" s="1">
        <f t="shared" ca="1" si="89"/>
        <v>38</v>
      </c>
      <c r="AU113" s="1">
        <f t="shared" ca="1" si="90"/>
        <v>378</v>
      </c>
      <c r="AV113" s="1">
        <f t="shared" ca="1" si="91"/>
        <v>10</v>
      </c>
      <c r="AW113" s="1">
        <f t="shared" ca="1" si="92"/>
        <v>0.10700025937240758</v>
      </c>
      <c r="AY113" s="1">
        <f t="shared" ca="1" si="93"/>
        <v>1.4569780994613646</v>
      </c>
      <c r="AZ113" s="1">
        <f t="shared" ca="1" si="94"/>
        <v>312</v>
      </c>
      <c r="BA113" s="1">
        <f t="shared" ca="1" si="95"/>
        <v>9.5481594072375064E-3</v>
      </c>
      <c r="BV113" s="1">
        <f t="shared" ca="1" si="96"/>
        <v>0.2612081358022626</v>
      </c>
      <c r="BW113" s="1">
        <f t="shared" ca="1" si="97"/>
        <v>759</v>
      </c>
      <c r="BX113" s="1">
        <f t="shared" ca="1" si="98"/>
        <v>5.2287561530638352E-3</v>
      </c>
      <c r="BY113" s="1">
        <f t="shared" ca="1" si="99"/>
        <v>3.4488120014347298E-2</v>
      </c>
      <c r="BZ113" s="1">
        <f t="shared" ca="1" si="100"/>
        <v>0.73995229303754051</v>
      </c>
      <c r="CB113" s="1">
        <f t="shared" ca="1" si="101"/>
        <v>332</v>
      </c>
      <c r="CC113" s="1">
        <f t="shared" ca="1" si="102"/>
        <v>6</v>
      </c>
      <c r="CD113" s="1">
        <f t="shared" ca="1" si="103"/>
        <v>0.2751443410657079</v>
      </c>
      <c r="CE113" s="1">
        <f t="shared" ca="1" si="113"/>
        <v>0.55215273496100847</v>
      </c>
      <c r="CF113" s="1">
        <f t="shared" ca="1" si="113"/>
        <v>0.6070986296359131</v>
      </c>
      <c r="CH113" s="3">
        <f t="shared" ca="1" si="105"/>
        <v>3.3202292002396563E-2</v>
      </c>
      <c r="CI113" s="3">
        <f t="shared" ca="1" si="106"/>
        <v>0.67105354769314896</v>
      </c>
      <c r="CJ113" s="3">
        <f t="shared" ca="1" si="107"/>
        <v>689</v>
      </c>
      <c r="CK113" s="3">
        <f t="shared" ca="1" si="108"/>
        <v>7.6339741994588912E-3</v>
      </c>
      <c r="CL113" s="3">
        <f t="shared" ca="1" si="109"/>
        <v>1</v>
      </c>
      <c r="CM113" s="3"/>
      <c r="CN113" s="1">
        <f t="shared" ca="1" si="110"/>
        <v>6.8962236210337737</v>
      </c>
      <c r="CO113" s="1">
        <f t="shared" ca="1" si="111"/>
        <v>0.10860105188150924</v>
      </c>
      <c r="CP113" s="1">
        <f t="shared" ca="1" si="112"/>
        <v>4</v>
      </c>
    </row>
    <row r="114" spans="2:94" x14ac:dyDescent="0.25">
      <c r="B114">
        <f t="shared" ca="1" si="57"/>
        <v>377</v>
      </c>
      <c r="C114">
        <f t="shared" ca="1" si="58"/>
        <v>51</v>
      </c>
      <c r="D114">
        <f t="shared" ca="1" si="59"/>
        <v>9.1038405532679167E-2</v>
      </c>
      <c r="F114" s="1">
        <f t="shared" ca="1" si="60"/>
        <v>4</v>
      </c>
      <c r="G114" s="1">
        <f t="shared" ca="1" si="61"/>
        <v>14</v>
      </c>
      <c r="H114" s="1">
        <f t="shared" ca="1" si="62"/>
        <v>15</v>
      </c>
      <c r="I114" s="1"/>
      <c r="J114" s="1">
        <f t="shared" ca="1" si="63"/>
        <v>19</v>
      </c>
      <c r="K114" s="1">
        <f t="shared" ca="1" si="64"/>
        <v>1.9181636040603165</v>
      </c>
      <c r="L114" s="1">
        <f t="shared" ca="1" si="65"/>
        <v>14</v>
      </c>
      <c r="M114" s="1"/>
      <c r="N114" s="1">
        <f t="shared" ca="1" si="66"/>
        <v>708</v>
      </c>
      <c r="O114" s="1">
        <f t="shared" ca="1" si="67"/>
        <v>43</v>
      </c>
      <c r="P114" s="1"/>
      <c r="Q114" s="1">
        <f t="shared" ca="1" si="68"/>
        <v>2.4961462846498956</v>
      </c>
      <c r="R114" s="1">
        <f t="shared" ca="1" si="69"/>
        <v>1165</v>
      </c>
      <c r="S114" s="1"/>
      <c r="T114" s="1">
        <f t="shared" ca="1" si="70"/>
        <v>9.4560198416530808E-2</v>
      </c>
      <c r="U114" s="1">
        <f t="shared" ca="1" si="71"/>
        <v>346</v>
      </c>
      <c r="V114" s="1">
        <f t="shared" ca="1" si="72"/>
        <v>38</v>
      </c>
      <c r="W114" s="1"/>
      <c r="X114" s="1">
        <f t="shared" ca="1" si="73"/>
        <v>5.6150077019922575</v>
      </c>
      <c r="Y114" s="1">
        <f t="shared" ca="1" si="74"/>
        <v>0.71197632724271487</v>
      </c>
      <c r="Z114" s="1">
        <f t="shared" ca="1" si="75"/>
        <v>1981</v>
      </c>
      <c r="AB114" s="1">
        <f t="shared" ca="1" si="76"/>
        <v>0.74112666257505011</v>
      </c>
      <c r="AC114" s="1">
        <f t="shared" ca="1" si="77"/>
        <v>521</v>
      </c>
      <c r="AD114" s="1">
        <f t="shared" ca="1" si="78"/>
        <v>8.1637372111938045E-3</v>
      </c>
      <c r="AE114" s="1"/>
      <c r="AF114" s="1">
        <f t="shared" ca="1" si="79"/>
        <v>0.28629171670343168</v>
      </c>
      <c r="AG114" s="1">
        <f t="shared" ca="1" si="80"/>
        <v>194</v>
      </c>
      <c r="AH114" s="1">
        <f t="shared" ca="1" si="81"/>
        <v>3.6074938220681798E-3</v>
      </c>
      <c r="AJ114" s="1">
        <f t="shared" ca="1" si="82"/>
        <v>0.33248820608787855</v>
      </c>
      <c r="AK114" s="1">
        <f t="shared" ca="1" si="83"/>
        <v>8.6093249005342962E-3</v>
      </c>
      <c r="AL114" s="1"/>
      <c r="AM114" s="1">
        <f t="shared" ca="1" si="84"/>
        <v>0.11112043349649105</v>
      </c>
      <c r="AN114" s="1">
        <f t="shared" ca="1" si="85"/>
        <v>75</v>
      </c>
      <c r="AO114" s="1">
        <f t="shared" ca="1" si="86"/>
        <v>11</v>
      </c>
      <c r="AQ114" s="1">
        <f t="shared" ca="1" si="87"/>
        <v>85</v>
      </c>
      <c r="AR114" s="1">
        <f t="shared" ca="1" si="88"/>
        <v>6</v>
      </c>
      <c r="AS114" s="1">
        <f t="shared" ca="1" si="89"/>
        <v>25</v>
      </c>
      <c r="AU114" s="1">
        <f t="shared" ca="1" si="90"/>
        <v>364</v>
      </c>
      <c r="AV114" s="1">
        <f t="shared" ca="1" si="91"/>
        <v>8</v>
      </c>
      <c r="AW114" s="1">
        <f t="shared" ca="1" si="92"/>
        <v>0.11094752027223687</v>
      </c>
      <c r="AY114" s="1">
        <f t="shared" ca="1" si="93"/>
        <v>1.4455295915637221</v>
      </c>
      <c r="AZ114" s="1">
        <f t="shared" ca="1" si="94"/>
        <v>465</v>
      </c>
      <c r="BA114" s="1">
        <f t="shared" ca="1" si="95"/>
        <v>6.0981689095234203E-3</v>
      </c>
      <c r="BV114" s="1">
        <f t="shared" ca="1" si="96"/>
        <v>0.85951990586022009</v>
      </c>
      <c r="BW114" s="1">
        <f t="shared" ca="1" si="97"/>
        <v>651</v>
      </c>
      <c r="BX114" s="1">
        <f t="shared" ca="1" si="98"/>
        <v>4.3737235578610962E-3</v>
      </c>
      <c r="BY114" s="1">
        <f t="shared" ca="1" si="99"/>
        <v>6.9757297405354315E-2</v>
      </c>
      <c r="BZ114" s="1">
        <f t="shared" ca="1" si="100"/>
        <v>0.2926152526249296</v>
      </c>
      <c r="CB114" s="1">
        <f t="shared" ca="1" si="101"/>
        <v>336</v>
      </c>
      <c r="CC114" s="1">
        <f t="shared" ca="1" si="102"/>
        <v>6</v>
      </c>
      <c r="CD114" s="1">
        <f t="shared" ca="1" si="103"/>
        <v>0.15309021710389509</v>
      </c>
      <c r="CE114" s="1">
        <f t="shared" ca="1" si="113"/>
        <v>0.76322862705249983</v>
      </c>
      <c r="CF114" s="1">
        <f t="shared" ca="1" si="113"/>
        <v>0.80101384045881363</v>
      </c>
      <c r="CH114" s="3">
        <f t="shared" ca="1" si="105"/>
        <v>0.92127840680549644</v>
      </c>
      <c r="CI114" s="3">
        <f t="shared" ca="1" si="106"/>
        <v>0.9383715906396054</v>
      </c>
      <c r="CJ114" s="3">
        <f t="shared" ca="1" si="107"/>
        <v>472</v>
      </c>
      <c r="CK114" s="3">
        <f t="shared" ca="1" si="108"/>
        <v>8.3410934833873136E-3</v>
      </c>
      <c r="CL114" s="3">
        <f t="shared" ca="1" si="109"/>
        <v>1</v>
      </c>
      <c r="CM114" s="3"/>
      <c r="CN114" s="1">
        <f t="shared" ca="1" si="110"/>
        <v>6.4181715970874906</v>
      </c>
      <c r="CO114" s="1">
        <f t="shared" ca="1" si="111"/>
        <v>0.23070429467046008</v>
      </c>
      <c r="CP114" s="1">
        <f t="shared" ca="1" si="112"/>
        <v>5</v>
      </c>
    </row>
    <row r="115" spans="2:94" x14ac:dyDescent="0.25">
      <c r="B115">
        <f t="shared" ca="1" si="57"/>
        <v>322</v>
      </c>
      <c r="C115">
        <f t="shared" ca="1" si="58"/>
        <v>31</v>
      </c>
      <c r="D115">
        <f t="shared" ca="1" si="59"/>
        <v>0.17597096643607871</v>
      </c>
      <c r="F115" s="1">
        <f t="shared" ca="1" si="60"/>
        <v>15</v>
      </c>
      <c r="G115" s="1">
        <f t="shared" ca="1" si="61"/>
        <v>25</v>
      </c>
      <c r="H115" s="1">
        <f t="shared" ca="1" si="62"/>
        <v>5</v>
      </c>
      <c r="I115" s="1"/>
      <c r="J115" s="1">
        <f t="shared" ca="1" si="63"/>
        <v>24</v>
      </c>
      <c r="K115" s="1">
        <f t="shared" ca="1" si="64"/>
        <v>2.9080525472168155</v>
      </c>
      <c r="L115" s="1">
        <f t="shared" ca="1" si="65"/>
        <v>19</v>
      </c>
      <c r="M115" s="1"/>
      <c r="N115" s="1">
        <f t="shared" ca="1" si="66"/>
        <v>495</v>
      </c>
      <c r="O115" s="1">
        <f t="shared" ca="1" si="67"/>
        <v>9</v>
      </c>
      <c r="P115" s="1"/>
      <c r="Q115" s="1">
        <f t="shared" ca="1" si="68"/>
        <v>2.2297679968751289</v>
      </c>
      <c r="R115" s="1">
        <f t="shared" ca="1" si="69"/>
        <v>432</v>
      </c>
      <c r="S115" s="1"/>
      <c r="T115" s="1">
        <f t="shared" ca="1" si="70"/>
        <v>4.8480653236603277E-2</v>
      </c>
      <c r="U115" s="1">
        <f t="shared" ca="1" si="71"/>
        <v>376</v>
      </c>
      <c r="V115" s="1">
        <f t="shared" ca="1" si="72"/>
        <v>33</v>
      </c>
      <c r="W115" s="1"/>
      <c r="X115" s="1">
        <f t="shared" ca="1" si="73"/>
        <v>0.11072270441200503</v>
      </c>
      <c r="Y115" s="1">
        <f t="shared" ca="1" si="74"/>
        <v>0.80115093604710552</v>
      </c>
      <c r="Z115" s="1">
        <f t="shared" ca="1" si="75"/>
        <v>1916</v>
      </c>
      <c r="AB115" s="1">
        <f t="shared" ca="1" si="76"/>
        <v>0.41356580779484792</v>
      </c>
      <c r="AC115" s="1">
        <f t="shared" ca="1" si="77"/>
        <v>798</v>
      </c>
      <c r="AD115" s="1">
        <f t="shared" ca="1" si="78"/>
        <v>6.4310020665156171E-4</v>
      </c>
      <c r="AE115" s="1"/>
      <c r="AF115" s="1">
        <f t="shared" ca="1" si="79"/>
        <v>0.76117609262631325</v>
      </c>
      <c r="AG115" s="1">
        <f t="shared" ca="1" si="80"/>
        <v>622</v>
      </c>
      <c r="AH115" s="1">
        <f t="shared" ca="1" si="81"/>
        <v>1.8972354207486149E-3</v>
      </c>
      <c r="AJ115" s="1">
        <f t="shared" ca="1" si="82"/>
        <v>0.19374156680177335</v>
      </c>
      <c r="AK115" s="1">
        <f t="shared" ca="1" si="83"/>
        <v>1.5556342007374108E-3</v>
      </c>
      <c r="AL115" s="1"/>
      <c r="AM115" s="1">
        <f t="shared" ca="1" si="84"/>
        <v>1.7205342052522422E-2</v>
      </c>
      <c r="AN115" s="1">
        <f t="shared" ca="1" si="85"/>
        <v>15</v>
      </c>
      <c r="AO115" s="1">
        <f t="shared" ca="1" si="86"/>
        <v>15</v>
      </c>
      <c r="AQ115" s="1">
        <f t="shared" ca="1" si="87"/>
        <v>137</v>
      </c>
      <c r="AR115" s="1">
        <f t="shared" ca="1" si="88"/>
        <v>6</v>
      </c>
      <c r="AS115" s="1">
        <f t="shared" ca="1" si="89"/>
        <v>94</v>
      </c>
      <c r="AU115" s="1">
        <f t="shared" ca="1" si="90"/>
        <v>62</v>
      </c>
      <c r="AV115" s="1">
        <f t="shared" ca="1" si="91"/>
        <v>9</v>
      </c>
      <c r="AW115" s="1">
        <f t="shared" ca="1" si="92"/>
        <v>0.10861154313988543</v>
      </c>
      <c r="AY115" s="1">
        <f t="shared" ca="1" si="93"/>
        <v>1.669450717052583</v>
      </c>
      <c r="AZ115" s="1">
        <f t="shared" ca="1" si="94"/>
        <v>347</v>
      </c>
      <c r="BA115" s="1">
        <f t="shared" ca="1" si="95"/>
        <v>4.8290582574127385E-3</v>
      </c>
      <c r="BV115" s="1">
        <f t="shared" ca="1" si="96"/>
        <v>0.53397784939637838</v>
      </c>
      <c r="BW115" s="1">
        <f t="shared" ca="1" si="97"/>
        <v>607</v>
      </c>
      <c r="BX115" s="1">
        <f t="shared" ca="1" si="98"/>
        <v>8.512822702866546E-3</v>
      </c>
      <c r="BY115" s="1">
        <f t="shared" ca="1" si="99"/>
        <v>5.7672027352857367E-3</v>
      </c>
      <c r="BZ115" s="1">
        <f t="shared" ca="1" si="100"/>
        <v>0.81198740744510278</v>
      </c>
      <c r="CB115" s="1">
        <f t="shared" ca="1" si="101"/>
        <v>187</v>
      </c>
      <c r="CC115" s="1">
        <f t="shared" ca="1" si="102"/>
        <v>3</v>
      </c>
      <c r="CD115" s="1">
        <f t="shared" ca="1" si="103"/>
        <v>0.18867296883957227</v>
      </c>
      <c r="CE115" s="1">
        <f t="shared" ca="1" si="113"/>
        <v>0.85610917792329455</v>
      </c>
      <c r="CF115" s="1">
        <f t="shared" ca="1" si="113"/>
        <v>0.51874737412793948</v>
      </c>
      <c r="CH115" s="3">
        <f t="shared" ca="1" si="105"/>
        <v>0.19862561937910048</v>
      </c>
      <c r="CI115" s="3">
        <f t="shared" ca="1" si="106"/>
        <v>0.86924577613213561</v>
      </c>
      <c r="CJ115" s="3">
        <f t="shared" ca="1" si="107"/>
        <v>1050</v>
      </c>
      <c r="CK115" s="3">
        <f t="shared" ca="1" si="108"/>
        <v>3.0151569028381755E-3</v>
      </c>
      <c r="CL115" s="3">
        <f t="shared" ca="1" si="109"/>
        <v>1</v>
      </c>
      <c r="CM115" s="3"/>
      <c r="CN115" s="1">
        <f t="shared" ca="1" si="110"/>
        <v>5.7684389561075422</v>
      </c>
      <c r="CO115" s="1">
        <f t="shared" ca="1" si="111"/>
        <v>6.6411371566419033E-2</v>
      </c>
      <c r="CP115" s="1">
        <f t="shared" ca="1" si="112"/>
        <v>5</v>
      </c>
    </row>
    <row r="116" spans="2:94" x14ac:dyDescent="0.25">
      <c r="B116">
        <f t="shared" ca="1" si="57"/>
        <v>87</v>
      </c>
      <c r="C116">
        <f t="shared" ca="1" si="58"/>
        <v>46</v>
      </c>
      <c r="D116">
        <f t="shared" ca="1" si="59"/>
        <v>0.18450748225180436</v>
      </c>
      <c r="F116" s="1">
        <f t="shared" ca="1" si="60"/>
        <v>10</v>
      </c>
      <c r="G116" s="1">
        <f t="shared" ca="1" si="61"/>
        <v>5</v>
      </c>
      <c r="H116" s="1">
        <f t="shared" ca="1" si="62"/>
        <v>10</v>
      </c>
      <c r="I116" s="1"/>
      <c r="J116" s="1">
        <f t="shared" ca="1" si="63"/>
        <v>20</v>
      </c>
      <c r="K116" s="1">
        <f t="shared" ca="1" si="64"/>
        <v>1.3359526948174345</v>
      </c>
      <c r="L116" s="1">
        <f t="shared" ca="1" si="65"/>
        <v>11</v>
      </c>
      <c r="M116" s="1"/>
      <c r="N116" s="1">
        <f t="shared" ca="1" si="66"/>
        <v>863</v>
      </c>
      <c r="O116" s="1">
        <f t="shared" ca="1" si="67"/>
        <v>3</v>
      </c>
      <c r="P116" s="1"/>
      <c r="Q116" s="1">
        <f t="shared" ca="1" si="68"/>
        <v>3.4605399355794844</v>
      </c>
      <c r="R116" s="1">
        <f t="shared" ca="1" si="69"/>
        <v>885</v>
      </c>
      <c r="S116" s="1"/>
      <c r="T116" s="1">
        <f t="shared" ca="1" si="70"/>
        <v>7.0307250889230732E-2</v>
      </c>
      <c r="U116" s="1">
        <f t="shared" ca="1" si="71"/>
        <v>256</v>
      </c>
      <c r="V116" s="1">
        <f t="shared" ca="1" si="72"/>
        <v>34</v>
      </c>
      <c r="W116" s="1"/>
      <c r="X116" s="1">
        <f t="shared" ca="1" si="73"/>
        <v>6.2714821314149569</v>
      </c>
      <c r="Y116" s="1">
        <f t="shared" ca="1" si="74"/>
        <v>0.68038834221742228</v>
      </c>
      <c r="Z116" s="1">
        <f t="shared" ca="1" si="75"/>
        <v>1906</v>
      </c>
      <c r="AB116" s="1">
        <f t="shared" ca="1" si="76"/>
        <v>0.75898247067501323</v>
      </c>
      <c r="AC116" s="1">
        <f t="shared" ca="1" si="77"/>
        <v>734</v>
      </c>
      <c r="AD116" s="1">
        <f t="shared" ca="1" si="78"/>
        <v>8.0628625971259239E-3</v>
      </c>
      <c r="AE116" s="1"/>
      <c r="AF116" s="1">
        <f t="shared" ca="1" si="79"/>
        <v>0.7659806761260185</v>
      </c>
      <c r="AG116" s="1">
        <f t="shared" ca="1" si="80"/>
        <v>715</v>
      </c>
      <c r="AH116" s="1">
        <f t="shared" ca="1" si="81"/>
        <v>3.6485099818551027E-3</v>
      </c>
      <c r="AJ116" s="1">
        <f t="shared" ca="1" si="82"/>
        <v>0.40246697607365745</v>
      </c>
      <c r="AK116" s="1">
        <f t="shared" ca="1" si="83"/>
        <v>8.7984004284530071E-3</v>
      </c>
      <c r="AL116" s="1"/>
      <c r="AM116" s="1">
        <f t="shared" ca="1" si="84"/>
        <v>7.1352462376093523E-2</v>
      </c>
      <c r="AN116" s="1">
        <f t="shared" ca="1" si="85"/>
        <v>67</v>
      </c>
      <c r="AO116" s="1">
        <f t="shared" ca="1" si="86"/>
        <v>1</v>
      </c>
      <c r="AQ116" s="1">
        <f t="shared" ca="1" si="87"/>
        <v>17</v>
      </c>
      <c r="AR116" s="1">
        <f t="shared" ca="1" si="88"/>
        <v>4</v>
      </c>
      <c r="AS116" s="1">
        <f t="shared" ca="1" si="89"/>
        <v>72</v>
      </c>
      <c r="AU116" s="1">
        <f t="shared" ca="1" si="90"/>
        <v>305</v>
      </c>
      <c r="AV116" s="1">
        <f t="shared" ca="1" si="91"/>
        <v>2</v>
      </c>
      <c r="AW116" s="1">
        <f t="shared" ca="1" si="92"/>
        <v>0.15564443394229135</v>
      </c>
      <c r="AY116" s="1">
        <f t="shared" ca="1" si="93"/>
        <v>1.8479329586364419</v>
      </c>
      <c r="AZ116" s="1">
        <f t="shared" ca="1" si="94"/>
        <v>369</v>
      </c>
      <c r="BA116" s="1">
        <f t="shared" ca="1" si="95"/>
        <v>3.3249093611557949E-4</v>
      </c>
      <c r="BV116" s="1">
        <f t="shared" ca="1" si="96"/>
        <v>1.9410756737011956E-2</v>
      </c>
      <c r="BW116" s="1">
        <f t="shared" ca="1" si="97"/>
        <v>338</v>
      </c>
      <c r="BX116" s="1">
        <f t="shared" ca="1" si="98"/>
        <v>7.806336348353502E-3</v>
      </c>
      <c r="BY116" s="1">
        <f t="shared" ca="1" si="99"/>
        <v>9.1945145574008139E-2</v>
      </c>
      <c r="BZ116" s="1">
        <f t="shared" ca="1" si="100"/>
        <v>0.74129593401102767</v>
      </c>
      <c r="CB116" s="1">
        <f t="shared" ca="1" si="101"/>
        <v>475</v>
      </c>
      <c r="CC116" s="1">
        <f t="shared" ca="1" si="102"/>
        <v>13</v>
      </c>
      <c r="CD116" s="1">
        <f t="shared" ca="1" si="103"/>
        <v>0.20571927894905453</v>
      </c>
      <c r="CE116" s="1">
        <f t="shared" ca="1" si="113"/>
        <v>0.86768808474548687</v>
      </c>
      <c r="CF116" s="1">
        <f t="shared" ca="1" si="113"/>
        <v>0.93228987748092207</v>
      </c>
      <c r="CH116" s="3">
        <f t="shared" ca="1" si="105"/>
        <v>3.8342033926449776E-2</v>
      </c>
      <c r="CI116" s="3">
        <f t="shared" ca="1" si="106"/>
        <v>0.84054388444554129</v>
      </c>
      <c r="CJ116" s="3">
        <f t="shared" ca="1" si="107"/>
        <v>400</v>
      </c>
      <c r="CK116" s="3">
        <f t="shared" ca="1" si="108"/>
        <v>8.1352568586202829E-3</v>
      </c>
      <c r="CL116" s="3">
        <f t="shared" ca="1" si="109"/>
        <v>1</v>
      </c>
      <c r="CM116" s="3"/>
      <c r="CN116" s="1">
        <f t="shared" ca="1" si="110"/>
        <v>1.2995805837975034</v>
      </c>
      <c r="CO116" s="1">
        <f t="shared" ca="1" si="111"/>
        <v>0.23873590702250022</v>
      </c>
      <c r="CP116" s="1">
        <f t="shared" ca="1" si="112"/>
        <v>3</v>
      </c>
    </row>
    <row r="117" spans="2:94" x14ac:dyDescent="0.25">
      <c r="B117">
        <f t="shared" ca="1" si="57"/>
        <v>608</v>
      </c>
      <c r="C117">
        <f t="shared" ca="1" si="58"/>
        <v>50</v>
      </c>
      <c r="D117">
        <f t="shared" ca="1" si="59"/>
        <v>0.2480473616776098</v>
      </c>
      <c r="F117" s="1">
        <f t="shared" ca="1" si="60"/>
        <v>6</v>
      </c>
      <c r="G117" s="1">
        <f t="shared" ca="1" si="61"/>
        <v>29</v>
      </c>
      <c r="H117" s="1">
        <f t="shared" ca="1" si="62"/>
        <v>10</v>
      </c>
      <c r="I117" s="1"/>
      <c r="J117" s="1">
        <f t="shared" ca="1" si="63"/>
        <v>34</v>
      </c>
      <c r="K117" s="1">
        <f t="shared" ca="1" si="64"/>
        <v>2.233701248519226</v>
      </c>
      <c r="L117" s="1">
        <f t="shared" ca="1" si="65"/>
        <v>21</v>
      </c>
      <c r="M117" s="1"/>
      <c r="N117" s="1">
        <f t="shared" ca="1" si="66"/>
        <v>707</v>
      </c>
      <c r="O117" s="1">
        <f t="shared" ca="1" si="67"/>
        <v>7</v>
      </c>
      <c r="P117" s="1"/>
      <c r="Q117" s="1">
        <f t="shared" ca="1" si="68"/>
        <v>3.9269444481687015</v>
      </c>
      <c r="R117" s="1">
        <f t="shared" ca="1" si="69"/>
        <v>353</v>
      </c>
      <c r="S117" s="1"/>
      <c r="T117" s="1">
        <f t="shared" ca="1" si="70"/>
        <v>3.4490860461243736E-2</v>
      </c>
      <c r="U117" s="1">
        <f t="shared" ca="1" si="71"/>
        <v>298</v>
      </c>
      <c r="V117" s="1">
        <f t="shared" ca="1" si="72"/>
        <v>28</v>
      </c>
      <c r="W117" s="1"/>
      <c r="X117" s="1">
        <f t="shared" ca="1" si="73"/>
        <v>5.7246877534286602</v>
      </c>
      <c r="Y117" s="1">
        <f t="shared" ca="1" si="74"/>
        <v>0.21865103775323896</v>
      </c>
      <c r="Z117" s="1">
        <f t="shared" ca="1" si="75"/>
        <v>415</v>
      </c>
      <c r="AB117" s="1">
        <f t="shared" ca="1" si="76"/>
        <v>0.45962449948907214</v>
      </c>
      <c r="AC117" s="1">
        <f t="shared" ca="1" si="77"/>
        <v>870</v>
      </c>
      <c r="AD117" s="1">
        <f t="shared" ca="1" si="78"/>
        <v>8.6357673514588871E-3</v>
      </c>
      <c r="AE117" s="1"/>
      <c r="AF117" s="1">
        <f t="shared" ca="1" si="79"/>
        <v>0.61698451038984048</v>
      </c>
      <c r="AG117" s="1">
        <f t="shared" ca="1" si="80"/>
        <v>663</v>
      </c>
      <c r="AH117" s="1">
        <f t="shared" ca="1" si="81"/>
        <v>1.2803436076232737E-3</v>
      </c>
      <c r="AJ117" s="1">
        <f t="shared" ca="1" si="82"/>
        <v>0.37084792574794101</v>
      </c>
      <c r="AK117" s="1">
        <f t="shared" ca="1" si="83"/>
        <v>5.4986291155736606E-3</v>
      </c>
      <c r="AL117" s="1"/>
      <c r="AM117" s="1">
        <f t="shared" ca="1" si="84"/>
        <v>8.2434468904959687E-2</v>
      </c>
      <c r="AN117" s="1">
        <f t="shared" ca="1" si="85"/>
        <v>47</v>
      </c>
      <c r="AO117" s="1">
        <f t="shared" ca="1" si="86"/>
        <v>2</v>
      </c>
      <c r="AQ117" s="1">
        <f t="shared" ca="1" si="87"/>
        <v>85</v>
      </c>
      <c r="AR117" s="1">
        <f t="shared" ca="1" si="88"/>
        <v>7</v>
      </c>
      <c r="AS117" s="1">
        <f t="shared" ca="1" si="89"/>
        <v>69</v>
      </c>
      <c r="AU117" s="1">
        <f t="shared" ca="1" si="90"/>
        <v>317</v>
      </c>
      <c r="AV117" s="1">
        <f t="shared" ca="1" si="91"/>
        <v>4</v>
      </c>
      <c r="AW117" s="1">
        <f t="shared" ca="1" si="92"/>
        <v>6.3501270565143847E-2</v>
      </c>
      <c r="AY117" s="1">
        <f t="shared" ca="1" si="93"/>
        <v>1.622399669802516</v>
      </c>
      <c r="AZ117" s="1">
        <f t="shared" ca="1" si="94"/>
        <v>461</v>
      </c>
      <c r="BA117" s="1">
        <f t="shared" ca="1" si="95"/>
        <v>9.9503758364679635E-3</v>
      </c>
      <c r="BV117" s="1">
        <f t="shared" ca="1" si="96"/>
        <v>0.60014018485071641</v>
      </c>
      <c r="BW117" s="1">
        <f t="shared" ca="1" si="97"/>
        <v>972</v>
      </c>
      <c r="BX117" s="1">
        <f t="shared" ca="1" si="98"/>
        <v>1.9798934311896256E-3</v>
      </c>
      <c r="BY117" s="1">
        <f t="shared" ca="1" si="99"/>
        <v>8.8614860612928628E-2</v>
      </c>
      <c r="BZ117" s="1">
        <f t="shared" ca="1" si="100"/>
        <v>0.97729648249481305</v>
      </c>
      <c r="CB117" s="1">
        <f t="shared" ca="1" si="101"/>
        <v>112</v>
      </c>
      <c r="CC117" s="1">
        <f t="shared" ca="1" si="102"/>
        <v>12</v>
      </c>
      <c r="CD117" s="1">
        <f t="shared" ca="1" si="103"/>
        <v>0.17407218677612454</v>
      </c>
      <c r="CE117" s="1">
        <f t="shared" ca="1" si="113"/>
        <v>0.76734706304147315</v>
      </c>
      <c r="CF117" s="1">
        <f t="shared" ca="1" si="113"/>
        <v>0.62407250194588992</v>
      </c>
      <c r="CH117" s="3">
        <f t="shared" ca="1" si="105"/>
        <v>0.20046231983778659</v>
      </c>
      <c r="CI117" s="3">
        <f t="shared" ca="1" si="106"/>
        <v>0.76569387408688516</v>
      </c>
      <c r="CJ117" s="3">
        <f t="shared" ca="1" si="107"/>
        <v>482</v>
      </c>
      <c r="CK117" s="3">
        <f t="shared" ca="1" si="108"/>
        <v>3.3840007490804451E-3</v>
      </c>
      <c r="CL117" s="3">
        <f t="shared" ca="1" si="109"/>
        <v>1</v>
      </c>
      <c r="CM117" s="3"/>
      <c r="CN117" s="1">
        <f t="shared" ca="1" si="110"/>
        <v>15.391961846851583</v>
      </c>
      <c r="CO117" s="1">
        <f t="shared" ca="1" si="111"/>
        <v>0.47139275528723951</v>
      </c>
      <c r="CP117" s="1">
        <f t="shared" ca="1" si="112"/>
        <v>4</v>
      </c>
    </row>
    <row r="118" spans="2:94" x14ac:dyDescent="0.25">
      <c r="B118">
        <f t="shared" ca="1" si="57"/>
        <v>459</v>
      </c>
      <c r="C118">
        <f t="shared" ca="1" si="58"/>
        <v>24</v>
      </c>
      <c r="D118">
        <f t="shared" ca="1" si="59"/>
        <v>0.10592631038963618</v>
      </c>
      <c r="F118" s="1">
        <f t="shared" ca="1" si="60"/>
        <v>22</v>
      </c>
      <c r="G118" s="1">
        <f t="shared" ca="1" si="61"/>
        <v>27</v>
      </c>
      <c r="H118" s="1">
        <f t="shared" ca="1" si="62"/>
        <v>2</v>
      </c>
      <c r="I118" s="1"/>
      <c r="J118" s="1">
        <f t="shared" ca="1" si="63"/>
        <v>22</v>
      </c>
      <c r="K118" s="1">
        <f t="shared" ca="1" si="64"/>
        <v>1.4986661220430921</v>
      </c>
      <c r="L118" s="1">
        <f t="shared" ca="1" si="65"/>
        <v>22</v>
      </c>
      <c r="M118" s="1"/>
      <c r="N118" s="1">
        <f t="shared" ca="1" si="66"/>
        <v>89</v>
      </c>
      <c r="O118" s="1">
        <f t="shared" ca="1" si="67"/>
        <v>6</v>
      </c>
      <c r="P118" s="1"/>
      <c r="Q118" s="1">
        <f t="shared" ca="1" si="68"/>
        <v>2.1435347644876765</v>
      </c>
      <c r="R118" s="1">
        <f t="shared" ca="1" si="69"/>
        <v>1155</v>
      </c>
      <c r="S118" s="1"/>
      <c r="T118" s="1">
        <f t="shared" ca="1" si="70"/>
        <v>7.813575494471478E-2</v>
      </c>
      <c r="U118" s="1">
        <f t="shared" ca="1" si="71"/>
        <v>200</v>
      </c>
      <c r="V118" s="1">
        <f t="shared" ca="1" si="72"/>
        <v>21</v>
      </c>
      <c r="W118" s="1"/>
      <c r="X118" s="1">
        <f t="shared" ca="1" si="73"/>
        <v>9.2622934635775938</v>
      </c>
      <c r="Y118" s="1">
        <f t="shared" ca="1" si="74"/>
        <v>0.23841021807324231</v>
      </c>
      <c r="Z118" s="1">
        <f t="shared" ca="1" si="75"/>
        <v>731</v>
      </c>
      <c r="AB118" s="1">
        <f t="shared" ca="1" si="76"/>
        <v>0.84367014133955742</v>
      </c>
      <c r="AC118" s="1">
        <f t="shared" ca="1" si="77"/>
        <v>500</v>
      </c>
      <c r="AD118" s="1">
        <f t="shared" ca="1" si="78"/>
        <v>9.111443770472797E-3</v>
      </c>
      <c r="AE118" s="1"/>
      <c r="AF118" s="1">
        <f t="shared" ca="1" si="79"/>
        <v>0.79676173014073282</v>
      </c>
      <c r="AG118" s="1">
        <f t="shared" ca="1" si="80"/>
        <v>577</v>
      </c>
      <c r="AH118" s="1">
        <f t="shared" ca="1" si="81"/>
        <v>1.5784478343440743E-3</v>
      </c>
      <c r="AJ118" s="1">
        <f t="shared" ca="1" si="82"/>
        <v>0.7946726941072898</v>
      </c>
      <c r="AK118" s="1">
        <f t="shared" ca="1" si="83"/>
        <v>5.3349008812895423E-3</v>
      </c>
      <c r="AL118" s="1"/>
      <c r="AM118" s="1">
        <f t="shared" ca="1" si="84"/>
        <v>9.2516013589234881E-3</v>
      </c>
      <c r="AN118" s="1">
        <f t="shared" ca="1" si="85"/>
        <v>74</v>
      </c>
      <c r="AO118" s="1">
        <f t="shared" ca="1" si="86"/>
        <v>6</v>
      </c>
      <c r="AQ118" s="1">
        <f t="shared" ca="1" si="87"/>
        <v>131</v>
      </c>
      <c r="AR118" s="1">
        <f t="shared" ca="1" si="88"/>
        <v>3</v>
      </c>
      <c r="AS118" s="1">
        <f t="shared" ca="1" si="89"/>
        <v>81</v>
      </c>
      <c r="AU118" s="1">
        <f t="shared" ca="1" si="90"/>
        <v>310</v>
      </c>
      <c r="AV118" s="1">
        <f t="shared" ca="1" si="91"/>
        <v>4</v>
      </c>
      <c r="AW118" s="1">
        <f t="shared" ca="1" si="92"/>
        <v>0.19110623257782286</v>
      </c>
      <c r="AY118" s="1">
        <f t="shared" ca="1" si="93"/>
        <v>1.2163168865414724</v>
      </c>
      <c r="AZ118" s="1">
        <f t="shared" ca="1" si="94"/>
        <v>117</v>
      </c>
      <c r="BA118" s="1">
        <f t="shared" ca="1" si="95"/>
        <v>1.9380428768584878E-3</v>
      </c>
      <c r="BV118" s="1">
        <f t="shared" ca="1" si="96"/>
        <v>0.86398851401620558</v>
      </c>
      <c r="BW118" s="1">
        <f t="shared" ca="1" si="97"/>
        <v>118</v>
      </c>
      <c r="BX118" s="1">
        <f t="shared" ca="1" si="98"/>
        <v>2.2465129228450018E-3</v>
      </c>
      <c r="BY118" s="1">
        <f t="shared" ca="1" si="99"/>
        <v>5.8743478859350079E-2</v>
      </c>
      <c r="BZ118" s="1">
        <f t="shared" ca="1" si="100"/>
        <v>0.49563003813509976</v>
      </c>
      <c r="CB118" s="1">
        <f t="shared" ca="1" si="101"/>
        <v>182</v>
      </c>
      <c r="CC118" s="1">
        <f t="shared" ca="1" si="102"/>
        <v>10</v>
      </c>
      <c r="CD118" s="1">
        <f t="shared" ca="1" si="103"/>
        <v>0.28047608007261987</v>
      </c>
      <c r="CE118" s="1">
        <f t="shared" ca="1" si="113"/>
        <v>0.50827344078669134</v>
      </c>
      <c r="CF118" s="1">
        <f t="shared" ca="1" si="113"/>
        <v>0.92423579868189454</v>
      </c>
      <c r="CH118" s="3">
        <f t="shared" ca="1" si="105"/>
        <v>0.56237815814991499</v>
      </c>
      <c r="CI118" s="3">
        <f t="shared" ca="1" si="106"/>
        <v>0.93473722096567669</v>
      </c>
      <c r="CJ118" s="3">
        <f t="shared" ca="1" si="107"/>
        <v>582</v>
      </c>
      <c r="CK118" s="3">
        <f t="shared" ca="1" si="108"/>
        <v>7.9001159224906942E-3</v>
      </c>
      <c r="CL118" s="3">
        <f t="shared" ca="1" si="109"/>
        <v>0</v>
      </c>
      <c r="CM118" s="3"/>
      <c r="CN118" s="1">
        <f t="shared" ca="1" si="110"/>
        <v>9.1664792663212644</v>
      </c>
      <c r="CO118" s="1">
        <f t="shared" ca="1" si="111"/>
        <v>0.33905003108114523</v>
      </c>
      <c r="CP118" s="1">
        <f t="shared" ca="1" si="112"/>
        <v>4</v>
      </c>
    </row>
    <row r="119" spans="2:94" x14ac:dyDescent="0.25">
      <c r="B119">
        <f t="shared" ca="1" si="57"/>
        <v>991</v>
      </c>
      <c r="C119">
        <f t="shared" ca="1" si="58"/>
        <v>10</v>
      </c>
      <c r="D119">
        <f t="shared" ca="1" si="59"/>
        <v>8.7455243263339172E-2</v>
      </c>
      <c r="F119" s="1">
        <f t="shared" ca="1" si="60"/>
        <v>7</v>
      </c>
      <c r="G119" s="1">
        <f t="shared" ca="1" si="61"/>
        <v>18</v>
      </c>
      <c r="H119" s="1">
        <f t="shared" ca="1" si="62"/>
        <v>6</v>
      </c>
      <c r="I119" s="1"/>
      <c r="J119" s="1">
        <f t="shared" ca="1" si="63"/>
        <v>35</v>
      </c>
      <c r="K119" s="1">
        <f t="shared" ca="1" si="64"/>
        <v>2.1641310290151168</v>
      </c>
      <c r="L119" s="1">
        <f t="shared" ca="1" si="65"/>
        <v>32</v>
      </c>
      <c r="M119" s="1"/>
      <c r="N119" s="1">
        <f t="shared" ca="1" si="66"/>
        <v>553</v>
      </c>
      <c r="O119" s="1">
        <f t="shared" ca="1" si="67"/>
        <v>5</v>
      </c>
      <c r="P119" s="1"/>
      <c r="Q119" s="1">
        <f t="shared" ca="1" si="68"/>
        <v>2.5432763060045023</v>
      </c>
      <c r="R119" s="1">
        <f t="shared" ca="1" si="69"/>
        <v>404</v>
      </c>
      <c r="S119" s="1"/>
      <c r="T119" s="1">
        <f t="shared" ca="1" si="70"/>
        <v>0.16675478366885335</v>
      </c>
      <c r="U119" s="1">
        <f t="shared" ca="1" si="71"/>
        <v>307</v>
      </c>
      <c r="V119" s="1">
        <f t="shared" ca="1" si="72"/>
        <v>22</v>
      </c>
      <c r="W119" s="1"/>
      <c r="X119" s="1">
        <f t="shared" ca="1" si="73"/>
        <v>2.3075796101862438</v>
      </c>
      <c r="Y119" s="1">
        <f t="shared" ca="1" si="74"/>
        <v>0.20150111090120315</v>
      </c>
      <c r="Z119" s="1">
        <f t="shared" ca="1" si="75"/>
        <v>1510</v>
      </c>
      <c r="AB119" s="1">
        <f t="shared" ca="1" si="76"/>
        <v>0.78578791870070996</v>
      </c>
      <c r="AC119" s="1">
        <f t="shared" ca="1" si="77"/>
        <v>149</v>
      </c>
      <c r="AD119" s="1">
        <f t="shared" ca="1" si="78"/>
        <v>8.3591082194297891E-3</v>
      </c>
      <c r="AE119" s="1"/>
      <c r="AF119" s="1">
        <f t="shared" ca="1" si="79"/>
        <v>0.17676459524777943</v>
      </c>
      <c r="AG119" s="1">
        <f t="shared" ca="1" si="80"/>
        <v>933</v>
      </c>
      <c r="AH119" s="1">
        <f t="shared" ca="1" si="81"/>
        <v>5.1773778451986684E-3</v>
      </c>
      <c r="AJ119" s="1">
        <f t="shared" ca="1" si="82"/>
        <v>0.73998232972603883</v>
      </c>
      <c r="AK119" s="1">
        <f t="shared" ca="1" si="83"/>
        <v>9.2680677514821539E-3</v>
      </c>
      <c r="AL119" s="1"/>
      <c r="AM119" s="1">
        <f t="shared" ca="1" si="84"/>
        <v>2.4440048496122975E-2</v>
      </c>
      <c r="AN119" s="1">
        <f t="shared" ca="1" si="85"/>
        <v>46</v>
      </c>
      <c r="AO119" s="1">
        <f t="shared" ca="1" si="86"/>
        <v>18</v>
      </c>
      <c r="AQ119" s="1">
        <f t="shared" ca="1" si="87"/>
        <v>66</v>
      </c>
      <c r="AR119" s="1">
        <f t="shared" ca="1" si="88"/>
        <v>0</v>
      </c>
      <c r="AS119" s="1">
        <f t="shared" ca="1" si="89"/>
        <v>14</v>
      </c>
      <c r="AU119" s="1">
        <f t="shared" ca="1" si="90"/>
        <v>139</v>
      </c>
      <c r="AV119" s="1">
        <f t="shared" ca="1" si="91"/>
        <v>5</v>
      </c>
      <c r="AW119" s="1">
        <f t="shared" ca="1" si="92"/>
        <v>0.18890840751736693</v>
      </c>
      <c r="AY119" s="1">
        <f t="shared" ca="1" si="93"/>
        <v>1.1599008758101297</v>
      </c>
      <c r="AZ119" s="1">
        <f t="shared" ca="1" si="94"/>
        <v>387</v>
      </c>
      <c r="BA119" s="1">
        <f t="shared" ca="1" si="95"/>
        <v>1.9925781305892465E-3</v>
      </c>
      <c r="BV119" s="1">
        <f t="shared" ca="1" si="96"/>
        <v>0.48490774895845434</v>
      </c>
      <c r="BW119" s="1">
        <f t="shared" ca="1" si="97"/>
        <v>608</v>
      </c>
      <c r="BX119" s="1">
        <f t="shared" ca="1" si="98"/>
        <v>5.844109430643776E-3</v>
      </c>
      <c r="BY119" s="1">
        <f t="shared" ca="1" si="99"/>
        <v>1.4603867055901642E-2</v>
      </c>
      <c r="BZ119" s="1">
        <f t="shared" ca="1" si="100"/>
        <v>0.69112744765666823</v>
      </c>
      <c r="CB119" s="1">
        <f t="shared" ca="1" si="101"/>
        <v>499</v>
      </c>
      <c r="CC119" s="1">
        <f t="shared" ca="1" si="102"/>
        <v>9</v>
      </c>
      <c r="CD119" s="1">
        <f t="shared" ca="1" si="103"/>
        <v>0.18824226398162874</v>
      </c>
      <c r="CE119" s="1">
        <f t="shared" ca="1" si="113"/>
        <v>0.93421690737807905</v>
      </c>
      <c r="CF119" s="1">
        <f t="shared" ca="1" si="113"/>
        <v>0.61723333626531396</v>
      </c>
      <c r="CH119" s="3">
        <f t="shared" ca="1" si="105"/>
        <v>0.69334291362212619</v>
      </c>
      <c r="CI119" s="3">
        <f t="shared" ca="1" si="106"/>
        <v>0.59271175061128212</v>
      </c>
      <c r="CJ119" s="3">
        <f t="shared" ca="1" si="107"/>
        <v>615</v>
      </c>
      <c r="CK119" s="3">
        <f t="shared" ca="1" si="108"/>
        <v>3.0386217469974258E-3</v>
      </c>
      <c r="CL119" s="3">
        <f t="shared" ca="1" si="109"/>
        <v>1</v>
      </c>
      <c r="CM119" s="3"/>
      <c r="CN119" s="1">
        <f t="shared" ca="1" si="110"/>
        <v>6.2220440743915315</v>
      </c>
      <c r="CO119" s="1">
        <f t="shared" ca="1" si="111"/>
        <v>6.4955008282991208E-2</v>
      </c>
      <c r="CP119" s="1">
        <f t="shared" ca="1" si="112"/>
        <v>4</v>
      </c>
    </row>
    <row r="120" spans="2:94" x14ac:dyDescent="0.25">
      <c r="B120">
        <f t="shared" ca="1" si="57"/>
        <v>262</v>
      </c>
      <c r="C120">
        <f t="shared" ca="1" si="58"/>
        <v>41</v>
      </c>
      <c r="D120">
        <f t="shared" ca="1" si="59"/>
        <v>0.11215105755455014</v>
      </c>
      <c r="F120" s="1">
        <f t="shared" ca="1" si="60"/>
        <v>19</v>
      </c>
      <c r="G120" s="1">
        <f t="shared" ca="1" si="61"/>
        <v>2</v>
      </c>
      <c r="H120" s="1">
        <f t="shared" ca="1" si="62"/>
        <v>13</v>
      </c>
      <c r="I120" s="1"/>
      <c r="J120" s="1">
        <f t="shared" ca="1" si="63"/>
        <v>12</v>
      </c>
      <c r="K120" s="1">
        <f t="shared" ca="1" si="64"/>
        <v>2.7998716055613104</v>
      </c>
      <c r="L120" s="1">
        <f t="shared" ca="1" si="65"/>
        <v>5</v>
      </c>
      <c r="M120" s="1"/>
      <c r="N120" s="1">
        <f t="shared" ca="1" si="66"/>
        <v>877</v>
      </c>
      <c r="O120" s="1">
        <f t="shared" ca="1" si="67"/>
        <v>46</v>
      </c>
      <c r="P120" s="1"/>
      <c r="Q120" s="1">
        <f t="shared" ca="1" si="68"/>
        <v>0.82614476744451371</v>
      </c>
      <c r="R120" s="1">
        <f t="shared" ca="1" si="69"/>
        <v>354</v>
      </c>
      <c r="S120" s="1"/>
      <c r="T120" s="1">
        <f t="shared" ca="1" si="70"/>
        <v>3.8563177632972553E-2</v>
      </c>
      <c r="U120" s="1">
        <f t="shared" ca="1" si="71"/>
        <v>381</v>
      </c>
      <c r="V120" s="1">
        <f t="shared" ca="1" si="72"/>
        <v>9</v>
      </c>
      <c r="W120" s="1"/>
      <c r="X120" s="1">
        <f t="shared" ca="1" si="73"/>
        <v>7.8542776181385259</v>
      </c>
      <c r="Y120" s="1">
        <f t="shared" ca="1" si="74"/>
        <v>0.78044862413610205</v>
      </c>
      <c r="Z120" s="1">
        <f t="shared" ca="1" si="75"/>
        <v>926</v>
      </c>
      <c r="AB120" s="1">
        <f t="shared" ca="1" si="76"/>
        <v>0.76390070095092855</v>
      </c>
      <c r="AC120" s="1">
        <f t="shared" ca="1" si="77"/>
        <v>920</v>
      </c>
      <c r="AD120" s="1">
        <f t="shared" ca="1" si="78"/>
        <v>1.3964098311271111E-3</v>
      </c>
      <c r="AE120" s="1"/>
      <c r="AF120" s="1">
        <f t="shared" ca="1" si="79"/>
        <v>0.36028112166452853</v>
      </c>
      <c r="AG120" s="1">
        <f t="shared" ca="1" si="80"/>
        <v>574</v>
      </c>
      <c r="AH120" s="1">
        <f t="shared" ca="1" si="81"/>
        <v>7.6854344836702207E-3</v>
      </c>
      <c r="AJ120" s="1">
        <f t="shared" ca="1" si="82"/>
        <v>0.79220801703958998</v>
      </c>
      <c r="AK120" s="1">
        <f t="shared" ca="1" si="83"/>
        <v>2.4209497292020641E-3</v>
      </c>
      <c r="AL120" s="1"/>
      <c r="AM120" s="1">
        <f t="shared" ca="1" si="84"/>
        <v>2.6115673811111968E-2</v>
      </c>
      <c r="AN120" s="1">
        <f t="shared" ca="1" si="85"/>
        <v>79</v>
      </c>
      <c r="AO120" s="1">
        <f t="shared" ca="1" si="86"/>
        <v>14</v>
      </c>
      <c r="AQ120" s="1">
        <f t="shared" ca="1" si="87"/>
        <v>167</v>
      </c>
      <c r="AR120" s="1">
        <f t="shared" ca="1" si="88"/>
        <v>0</v>
      </c>
      <c r="AS120" s="1">
        <f t="shared" ca="1" si="89"/>
        <v>12</v>
      </c>
      <c r="AU120" s="1">
        <f t="shared" ca="1" si="90"/>
        <v>370</v>
      </c>
      <c r="AV120" s="1">
        <f t="shared" ca="1" si="91"/>
        <v>7</v>
      </c>
      <c r="AW120" s="1">
        <f t="shared" ca="1" si="92"/>
        <v>2.10228614037117E-2</v>
      </c>
      <c r="AY120" s="1">
        <f t="shared" ca="1" si="93"/>
        <v>1.9956770041495988</v>
      </c>
      <c r="AZ120" s="1">
        <f t="shared" ca="1" si="94"/>
        <v>316</v>
      </c>
      <c r="BA120" s="1">
        <f t="shared" ca="1" si="95"/>
        <v>6.9229752379856811E-3</v>
      </c>
      <c r="BV120" s="1">
        <f t="shared" ca="1" si="96"/>
        <v>0.66173250773028902</v>
      </c>
      <c r="BW120" s="1">
        <f t="shared" ca="1" si="97"/>
        <v>659</v>
      </c>
      <c r="BX120" s="1">
        <f t="shared" ca="1" si="98"/>
        <v>8.074963667122284E-4</v>
      </c>
      <c r="BY120" s="1">
        <f t="shared" ca="1" si="99"/>
        <v>2.5744919686755491E-2</v>
      </c>
      <c r="BZ120" s="1">
        <f t="shared" ca="1" si="100"/>
        <v>0.78961209894348205</v>
      </c>
      <c r="CB120" s="1">
        <f t="shared" ca="1" si="101"/>
        <v>227</v>
      </c>
      <c r="CC120" s="1">
        <f t="shared" ca="1" si="102"/>
        <v>10</v>
      </c>
      <c r="CD120" s="1">
        <f t="shared" ca="1" si="103"/>
        <v>0.27271174831528461</v>
      </c>
      <c r="CE120" s="1">
        <f t="shared" ca="1" si="113"/>
        <v>0.53713233279080297</v>
      </c>
      <c r="CF120" s="1">
        <f t="shared" ca="1" si="113"/>
        <v>0.57314527648908786</v>
      </c>
      <c r="CH120" s="3">
        <f t="shared" ca="1" si="105"/>
        <v>0.67264102030743989</v>
      </c>
      <c r="CI120" s="3">
        <f t="shared" ca="1" si="106"/>
        <v>0.77858201207786382</v>
      </c>
      <c r="CJ120" s="3">
        <f t="shared" ca="1" si="107"/>
        <v>552</v>
      </c>
      <c r="CK120" s="3">
        <f t="shared" ca="1" si="108"/>
        <v>6.7530357020473674E-3</v>
      </c>
      <c r="CL120" s="3">
        <f t="shared" ca="1" si="109"/>
        <v>0</v>
      </c>
      <c r="CM120" s="3"/>
      <c r="CN120" s="1">
        <f t="shared" ca="1" si="110"/>
        <v>6.6544610129414226</v>
      </c>
      <c r="CO120" s="1">
        <f t="shared" ca="1" si="111"/>
        <v>0.42961263414495326</v>
      </c>
      <c r="CP120" s="1">
        <f t="shared" ca="1" si="112"/>
        <v>1</v>
      </c>
    </row>
    <row r="121" spans="2:94" x14ac:dyDescent="0.25">
      <c r="B121">
        <f t="shared" ca="1" si="57"/>
        <v>705</v>
      </c>
      <c r="C121">
        <f t="shared" ca="1" si="58"/>
        <v>33</v>
      </c>
      <c r="D121">
        <f t="shared" ca="1" si="59"/>
        <v>0.17787048871545352</v>
      </c>
      <c r="F121" s="1">
        <f t="shared" ca="1" si="60"/>
        <v>52</v>
      </c>
      <c r="G121" s="1">
        <f t="shared" ca="1" si="61"/>
        <v>4</v>
      </c>
      <c r="H121" s="1">
        <f t="shared" ca="1" si="62"/>
        <v>1</v>
      </c>
      <c r="I121" s="1"/>
      <c r="J121" s="1">
        <f t="shared" ca="1" si="63"/>
        <v>20</v>
      </c>
      <c r="K121" s="1">
        <f t="shared" ca="1" si="64"/>
        <v>1.6714925692779252</v>
      </c>
      <c r="L121" s="1">
        <f t="shared" ca="1" si="65"/>
        <v>2</v>
      </c>
      <c r="M121" s="1"/>
      <c r="N121" s="1">
        <f t="shared" ca="1" si="66"/>
        <v>579</v>
      </c>
      <c r="O121" s="1">
        <f t="shared" ca="1" si="67"/>
        <v>35</v>
      </c>
      <c r="P121" s="1"/>
      <c r="Q121" s="1">
        <f t="shared" ca="1" si="68"/>
        <v>1.1347565892100524</v>
      </c>
      <c r="R121" s="1">
        <f t="shared" ca="1" si="69"/>
        <v>714</v>
      </c>
      <c r="S121" s="1"/>
      <c r="T121" s="1">
        <f t="shared" ca="1" si="70"/>
        <v>0.15798360429314984</v>
      </c>
      <c r="U121" s="1">
        <f t="shared" ca="1" si="71"/>
        <v>384</v>
      </c>
      <c r="V121" s="1">
        <f t="shared" ca="1" si="72"/>
        <v>23</v>
      </c>
      <c r="W121" s="1"/>
      <c r="X121" s="1">
        <f t="shared" ca="1" si="73"/>
        <v>3.2730810864444342</v>
      </c>
      <c r="Y121" s="1">
        <f t="shared" ca="1" si="74"/>
        <v>0.73311720260974078</v>
      </c>
      <c r="Z121" s="1">
        <f t="shared" ca="1" si="75"/>
        <v>1326</v>
      </c>
      <c r="AB121" s="1">
        <f t="shared" ca="1" si="76"/>
        <v>0.12777097109152552</v>
      </c>
      <c r="AC121" s="1">
        <f t="shared" ca="1" si="77"/>
        <v>507</v>
      </c>
      <c r="AD121" s="1">
        <f t="shared" ca="1" si="78"/>
        <v>8.3093469348131856E-3</v>
      </c>
      <c r="AE121" s="1"/>
      <c r="AF121" s="1">
        <f t="shared" ca="1" si="79"/>
        <v>0.66880841466879748</v>
      </c>
      <c r="AG121" s="1">
        <f t="shared" ca="1" si="80"/>
        <v>655</v>
      </c>
      <c r="AH121" s="1">
        <f t="shared" ca="1" si="81"/>
        <v>8.3597859209483727E-4</v>
      </c>
      <c r="AJ121" s="1">
        <f t="shared" ca="1" si="82"/>
        <v>2.8099880363919194E-2</v>
      </c>
      <c r="AK121" s="1">
        <f t="shared" ca="1" si="83"/>
        <v>8.5794207895514309E-4</v>
      </c>
      <c r="AL121" s="1"/>
      <c r="AM121" s="1">
        <f t="shared" ca="1" si="84"/>
        <v>0.17666154712299154</v>
      </c>
      <c r="AN121" s="1">
        <f t="shared" ca="1" si="85"/>
        <v>62</v>
      </c>
      <c r="AO121" s="1">
        <f t="shared" ca="1" si="86"/>
        <v>8</v>
      </c>
      <c r="AQ121" s="1">
        <f t="shared" ca="1" si="87"/>
        <v>165</v>
      </c>
      <c r="AR121" s="1">
        <f t="shared" ca="1" si="88"/>
        <v>4</v>
      </c>
      <c r="AS121" s="1">
        <f t="shared" ca="1" si="89"/>
        <v>38</v>
      </c>
      <c r="AU121" s="1">
        <f t="shared" ca="1" si="90"/>
        <v>145</v>
      </c>
      <c r="AV121" s="1">
        <f t="shared" ca="1" si="91"/>
        <v>8</v>
      </c>
      <c r="AW121" s="1">
        <f t="shared" ca="1" si="92"/>
        <v>0.1954095000266137</v>
      </c>
      <c r="AY121" s="1">
        <f t="shared" ca="1" si="93"/>
        <v>1.2308417782020489</v>
      </c>
      <c r="AZ121" s="1">
        <f t="shared" ca="1" si="94"/>
        <v>137</v>
      </c>
      <c r="BA121" s="1">
        <f t="shared" ca="1" si="95"/>
        <v>2.3120020077126795E-3</v>
      </c>
      <c r="BV121" s="1">
        <f t="shared" ca="1" si="96"/>
        <v>0.55750180690037798</v>
      </c>
      <c r="BW121" s="1">
        <f t="shared" ca="1" si="97"/>
        <v>745</v>
      </c>
      <c r="BX121" s="1">
        <f t="shared" ca="1" si="98"/>
        <v>1.8080263066332322E-3</v>
      </c>
      <c r="BY121" s="1">
        <f t="shared" ca="1" si="99"/>
        <v>6.6052375889772197E-2</v>
      </c>
      <c r="BZ121" s="1">
        <f t="shared" ca="1" si="100"/>
        <v>0.68887917080399719</v>
      </c>
      <c r="CB121" s="1">
        <f t="shared" ca="1" si="101"/>
        <v>267</v>
      </c>
      <c r="CC121" s="1">
        <f t="shared" ca="1" si="102"/>
        <v>9</v>
      </c>
      <c r="CD121" s="1">
        <f t="shared" ca="1" si="103"/>
        <v>0.29067420796902033</v>
      </c>
      <c r="CE121" s="1">
        <f t="shared" ca="1" si="113"/>
        <v>0.8203410496026996</v>
      </c>
      <c r="CF121" s="1">
        <f t="shared" ca="1" si="113"/>
        <v>0.89362384075253254</v>
      </c>
      <c r="CH121" s="3">
        <f t="shared" ca="1" si="105"/>
        <v>0.58666296235982218</v>
      </c>
      <c r="CI121" s="3">
        <f t="shared" ca="1" si="106"/>
        <v>0.45995153305047998</v>
      </c>
      <c r="CJ121" s="3">
        <f t="shared" ca="1" si="107"/>
        <v>874</v>
      </c>
      <c r="CK121" s="3">
        <f t="shared" ca="1" si="108"/>
        <v>1.2733956730400023E-3</v>
      </c>
      <c r="CL121" s="3">
        <f t="shared" ca="1" si="109"/>
        <v>0</v>
      </c>
      <c r="CM121" s="3"/>
      <c r="CN121" s="1">
        <f t="shared" ca="1" si="110"/>
        <v>5.0188133090079488</v>
      </c>
      <c r="CO121" s="1">
        <f t="shared" ca="1" si="111"/>
        <v>0.17163692932928454</v>
      </c>
      <c r="CP121" s="1">
        <f t="shared" ca="1" si="112"/>
        <v>1</v>
      </c>
    </row>
    <row r="122" spans="2:94" x14ac:dyDescent="0.25">
      <c r="B122">
        <f t="shared" ca="1" si="57"/>
        <v>697</v>
      </c>
      <c r="C122">
        <f t="shared" ca="1" si="58"/>
        <v>7</v>
      </c>
      <c r="D122">
        <f t="shared" ca="1" si="59"/>
        <v>8.9702051876595121E-2</v>
      </c>
      <c r="F122" s="1">
        <f t="shared" ca="1" si="60"/>
        <v>40</v>
      </c>
      <c r="G122" s="1">
        <f t="shared" ca="1" si="61"/>
        <v>14</v>
      </c>
      <c r="H122" s="1">
        <f t="shared" ca="1" si="62"/>
        <v>3</v>
      </c>
      <c r="I122" s="1"/>
      <c r="J122" s="1">
        <f t="shared" ca="1" si="63"/>
        <v>37</v>
      </c>
      <c r="K122" s="1">
        <f t="shared" ca="1" si="64"/>
        <v>2.2904254151489605</v>
      </c>
      <c r="L122" s="1">
        <f t="shared" ca="1" si="65"/>
        <v>10</v>
      </c>
      <c r="M122" s="1"/>
      <c r="N122" s="1">
        <f t="shared" ca="1" si="66"/>
        <v>712</v>
      </c>
      <c r="O122" s="1">
        <f t="shared" ca="1" si="67"/>
        <v>8</v>
      </c>
      <c r="P122" s="1"/>
      <c r="Q122" s="1">
        <f t="shared" ca="1" si="68"/>
        <v>0.2045766359378923</v>
      </c>
      <c r="R122" s="1">
        <f t="shared" ca="1" si="69"/>
        <v>1088</v>
      </c>
      <c r="S122" s="1"/>
      <c r="T122" s="1">
        <f t="shared" ca="1" si="70"/>
        <v>6.283861762971106E-2</v>
      </c>
      <c r="U122" s="1">
        <f t="shared" ca="1" si="71"/>
        <v>132</v>
      </c>
      <c r="V122" s="1">
        <f t="shared" ca="1" si="72"/>
        <v>48</v>
      </c>
      <c r="W122" s="1"/>
      <c r="X122" s="1">
        <f t="shared" ca="1" si="73"/>
        <v>3.5155319150331641</v>
      </c>
      <c r="Y122" s="1">
        <f t="shared" ca="1" si="74"/>
        <v>0.97364844000307271</v>
      </c>
      <c r="Z122" s="1">
        <f t="shared" ca="1" si="75"/>
        <v>666</v>
      </c>
      <c r="AB122" s="1">
        <f t="shared" ca="1" si="76"/>
        <v>0.15306284051601932</v>
      </c>
      <c r="AC122" s="1">
        <f t="shared" ca="1" si="77"/>
        <v>648</v>
      </c>
      <c r="AD122" s="1">
        <f t="shared" ca="1" si="78"/>
        <v>4.7873432845202887E-3</v>
      </c>
      <c r="AE122" s="1"/>
      <c r="AF122" s="1">
        <f t="shared" ca="1" si="79"/>
        <v>0.35856115000995381</v>
      </c>
      <c r="AG122" s="1">
        <f t="shared" ca="1" si="80"/>
        <v>789</v>
      </c>
      <c r="AH122" s="1">
        <f t="shared" ca="1" si="81"/>
        <v>8.210246494397529E-3</v>
      </c>
      <c r="AJ122" s="1">
        <f t="shared" ca="1" si="82"/>
        <v>0.99974893928306408</v>
      </c>
      <c r="AK122" s="1">
        <f t="shared" ca="1" si="83"/>
        <v>5.0283572046046707E-3</v>
      </c>
      <c r="AL122" s="1"/>
      <c r="AM122" s="1">
        <f t="shared" ca="1" si="84"/>
        <v>9.1793492007381058E-2</v>
      </c>
      <c r="AN122" s="1">
        <f t="shared" ca="1" si="85"/>
        <v>52</v>
      </c>
      <c r="AO122" s="1">
        <f t="shared" ca="1" si="86"/>
        <v>7</v>
      </c>
      <c r="AQ122" s="1">
        <f t="shared" ca="1" si="87"/>
        <v>62</v>
      </c>
      <c r="AR122" s="1">
        <f t="shared" ca="1" si="88"/>
        <v>4</v>
      </c>
      <c r="AS122" s="1">
        <f t="shared" ca="1" si="89"/>
        <v>70</v>
      </c>
      <c r="AU122" s="1">
        <f t="shared" ca="1" si="90"/>
        <v>268</v>
      </c>
      <c r="AV122" s="1">
        <f t="shared" ca="1" si="91"/>
        <v>10</v>
      </c>
      <c r="AW122" s="1">
        <f t="shared" ca="1" si="92"/>
        <v>6.9909936594505381E-2</v>
      </c>
      <c r="AY122" s="1">
        <f t="shared" ca="1" si="93"/>
        <v>1.5782382097421213</v>
      </c>
      <c r="AZ122" s="1">
        <f t="shared" ca="1" si="94"/>
        <v>56</v>
      </c>
      <c r="BA122" s="1">
        <f t="shared" ca="1" si="95"/>
        <v>4.2584726639828679E-3</v>
      </c>
      <c r="BV122" s="1">
        <f t="shared" ca="1" si="96"/>
        <v>8.3761369036412896E-3</v>
      </c>
      <c r="BW122" s="1">
        <f t="shared" ca="1" si="97"/>
        <v>858</v>
      </c>
      <c r="BX122" s="1">
        <f t="shared" ca="1" si="98"/>
        <v>1.0972727999185256E-3</v>
      </c>
      <c r="BY122" s="1">
        <f t="shared" ca="1" si="99"/>
        <v>3.7943542102109656E-3</v>
      </c>
      <c r="BZ122" s="1">
        <f t="shared" ca="1" si="100"/>
        <v>0.96793885126712209</v>
      </c>
      <c r="CB122" s="1">
        <f t="shared" ca="1" si="101"/>
        <v>491</v>
      </c>
      <c r="CC122" s="1">
        <f t="shared" ca="1" si="102"/>
        <v>8</v>
      </c>
      <c r="CD122" s="1">
        <f t="shared" ca="1" si="103"/>
        <v>0.24722658703677308</v>
      </c>
      <c r="CE122" s="1">
        <f t="shared" ca="1" si="113"/>
        <v>0.82762841945204246</v>
      </c>
      <c r="CF122" s="1">
        <f t="shared" ca="1" si="113"/>
        <v>0.75847429570456415</v>
      </c>
      <c r="CH122" s="3">
        <f t="shared" ca="1" si="105"/>
        <v>0.43941499237053833</v>
      </c>
      <c r="CI122" s="3">
        <f t="shared" ca="1" si="106"/>
        <v>0.83861616235956449</v>
      </c>
      <c r="CJ122" s="3">
        <f t="shared" ca="1" si="107"/>
        <v>784</v>
      </c>
      <c r="CK122" s="3">
        <f t="shared" ca="1" si="108"/>
        <v>8.0155059417221994E-3</v>
      </c>
      <c r="CL122" s="3">
        <f t="shared" ca="1" si="109"/>
        <v>1</v>
      </c>
      <c r="CM122" s="3"/>
      <c r="CN122" s="1">
        <f t="shared" ca="1" si="110"/>
        <v>16.734769002152969</v>
      </c>
      <c r="CO122" s="1">
        <f t="shared" ca="1" si="111"/>
        <v>5.1898479307754819E-2</v>
      </c>
      <c r="CP122" s="1">
        <f t="shared" ca="1" si="112"/>
        <v>5</v>
      </c>
    </row>
    <row r="123" spans="2:94" x14ac:dyDescent="0.25">
      <c r="B123">
        <f t="shared" ca="1" si="57"/>
        <v>68</v>
      </c>
      <c r="C123">
        <f t="shared" ca="1" si="58"/>
        <v>17</v>
      </c>
      <c r="D123">
        <f t="shared" ca="1" si="59"/>
        <v>4.6500684756312659E-2</v>
      </c>
      <c r="F123" s="1">
        <f t="shared" ca="1" si="60"/>
        <v>20</v>
      </c>
      <c r="G123" s="1">
        <f t="shared" ca="1" si="61"/>
        <v>24</v>
      </c>
      <c r="H123" s="1">
        <f t="shared" ca="1" si="62"/>
        <v>14</v>
      </c>
      <c r="I123" s="1"/>
      <c r="J123" s="1">
        <f t="shared" ca="1" si="63"/>
        <v>11</v>
      </c>
      <c r="K123" s="1">
        <f t="shared" ca="1" si="64"/>
        <v>2.4954259109674162</v>
      </c>
      <c r="L123" s="1">
        <f t="shared" ca="1" si="65"/>
        <v>3</v>
      </c>
      <c r="M123" s="1"/>
      <c r="N123" s="1">
        <f t="shared" ca="1" si="66"/>
        <v>929</v>
      </c>
      <c r="O123" s="1">
        <f t="shared" ca="1" si="67"/>
        <v>3</v>
      </c>
      <c r="P123" s="1"/>
      <c r="Q123" s="1">
        <f t="shared" ca="1" si="68"/>
        <v>3.7717176926121998</v>
      </c>
      <c r="R123" s="1">
        <f t="shared" ca="1" si="69"/>
        <v>208</v>
      </c>
      <c r="S123" s="1"/>
      <c r="T123" s="1">
        <f t="shared" ca="1" si="70"/>
        <v>9.4684291008569704E-2</v>
      </c>
      <c r="U123" s="1">
        <f t="shared" ca="1" si="71"/>
        <v>318</v>
      </c>
      <c r="V123" s="1">
        <f t="shared" ca="1" si="72"/>
        <v>25</v>
      </c>
      <c r="W123" s="1"/>
      <c r="X123" s="1">
        <f t="shared" ca="1" si="73"/>
        <v>7.0130622888721543</v>
      </c>
      <c r="Y123" s="1">
        <f t="shared" ca="1" si="74"/>
        <v>0.93438759991933229</v>
      </c>
      <c r="Z123" s="1">
        <f t="shared" ca="1" si="75"/>
        <v>412</v>
      </c>
      <c r="AB123" s="1">
        <f t="shared" ca="1" si="76"/>
        <v>0.34279328831213546</v>
      </c>
      <c r="AC123" s="1">
        <f t="shared" ca="1" si="77"/>
        <v>425</v>
      </c>
      <c r="AD123" s="1">
        <f t="shared" ca="1" si="78"/>
        <v>6.5955085469826457E-3</v>
      </c>
      <c r="AE123" s="1"/>
      <c r="AF123" s="1">
        <f t="shared" ca="1" si="79"/>
        <v>0.76615295731762834</v>
      </c>
      <c r="AG123" s="1">
        <f t="shared" ca="1" si="80"/>
        <v>983</v>
      </c>
      <c r="AH123" s="1">
        <f t="shared" ca="1" si="81"/>
        <v>5.1661102546114446E-3</v>
      </c>
      <c r="AJ123" s="1">
        <f t="shared" ca="1" si="82"/>
        <v>0.86303683279723786</v>
      </c>
      <c r="AK123" s="1">
        <f t="shared" ca="1" si="83"/>
        <v>7.2311065679743084E-3</v>
      </c>
      <c r="AL123" s="1"/>
      <c r="AM123" s="1">
        <f t="shared" ca="1" si="84"/>
        <v>0.10324049984428797</v>
      </c>
      <c r="AN123" s="1">
        <f t="shared" ca="1" si="85"/>
        <v>73</v>
      </c>
      <c r="AO123" s="1">
        <f t="shared" ca="1" si="86"/>
        <v>1</v>
      </c>
      <c r="AQ123" s="1">
        <f t="shared" ca="1" si="87"/>
        <v>162</v>
      </c>
      <c r="AR123" s="1">
        <f t="shared" ca="1" si="88"/>
        <v>10</v>
      </c>
      <c r="AS123" s="1">
        <f t="shared" ca="1" si="89"/>
        <v>95</v>
      </c>
      <c r="AU123" s="1">
        <f t="shared" ca="1" si="90"/>
        <v>128</v>
      </c>
      <c r="AV123" s="1">
        <f t="shared" ca="1" si="91"/>
        <v>4</v>
      </c>
      <c r="AW123" s="1">
        <f t="shared" ca="1" si="92"/>
        <v>0.14060746809938907</v>
      </c>
      <c r="AY123" s="1">
        <f t="shared" ca="1" si="93"/>
        <v>1.8296164030540654</v>
      </c>
      <c r="AZ123" s="1">
        <f t="shared" ca="1" si="94"/>
        <v>459</v>
      </c>
      <c r="BA123" s="1">
        <f t="shared" ca="1" si="95"/>
        <v>5.9721043348940064E-3</v>
      </c>
      <c r="BV123" s="1">
        <f t="shared" ca="1" si="96"/>
        <v>0.17271602711833256</v>
      </c>
      <c r="BW123" s="1">
        <f t="shared" ca="1" si="97"/>
        <v>980</v>
      </c>
      <c r="BX123" s="1">
        <f t="shared" ca="1" si="98"/>
        <v>9.3177135792237107E-3</v>
      </c>
      <c r="BY123" s="1">
        <f t="shared" ca="1" si="99"/>
        <v>1.1043535583093645E-2</v>
      </c>
      <c r="BZ123" s="1">
        <f t="shared" ca="1" si="100"/>
        <v>0.25805883948603681</v>
      </c>
      <c r="CB123" s="1">
        <f t="shared" ca="1" si="101"/>
        <v>443</v>
      </c>
      <c r="CC123" s="1">
        <f t="shared" ca="1" si="102"/>
        <v>8</v>
      </c>
      <c r="CD123" s="1">
        <f t="shared" ca="1" si="103"/>
        <v>9.2049903972793973E-2</v>
      </c>
      <c r="CE123" s="1">
        <f t="shared" ca="1" si="113"/>
        <v>0.89935231928998038</v>
      </c>
      <c r="CF123" s="1">
        <f t="shared" ca="1" si="113"/>
        <v>0.57640961322826656</v>
      </c>
      <c r="CH123" s="3">
        <f t="shared" ca="1" si="105"/>
        <v>0.47741233877274142</v>
      </c>
      <c r="CI123" s="3">
        <f t="shared" ca="1" si="106"/>
        <v>0.34719110691995786</v>
      </c>
      <c r="CJ123" s="3">
        <f t="shared" ca="1" si="107"/>
        <v>1168</v>
      </c>
      <c r="CK123" s="3">
        <f t="shared" ca="1" si="108"/>
        <v>7.3247053075794306E-4</v>
      </c>
      <c r="CL123" s="3">
        <f t="shared" ca="1" si="109"/>
        <v>0</v>
      </c>
      <c r="CM123" s="3"/>
      <c r="CN123" s="1">
        <f t="shared" ca="1" si="110"/>
        <v>17.096244135082404</v>
      </c>
      <c r="CO123" s="1">
        <f t="shared" ca="1" si="111"/>
        <v>0.29455928328427278</v>
      </c>
      <c r="CP123" s="1">
        <f t="shared" ca="1" si="112"/>
        <v>3</v>
      </c>
    </row>
    <row r="124" spans="2:94" x14ac:dyDescent="0.25">
      <c r="B124">
        <f t="shared" ca="1" si="57"/>
        <v>733</v>
      </c>
      <c r="C124">
        <f t="shared" ca="1" si="58"/>
        <v>10</v>
      </c>
      <c r="D124">
        <f t="shared" ca="1" si="59"/>
        <v>0.23940134793487386</v>
      </c>
      <c r="F124" s="1">
        <f t="shared" ca="1" si="60"/>
        <v>39</v>
      </c>
      <c r="G124" s="1">
        <f t="shared" ca="1" si="61"/>
        <v>28</v>
      </c>
      <c r="H124" s="1">
        <f t="shared" ca="1" si="62"/>
        <v>4</v>
      </c>
      <c r="I124" s="1"/>
      <c r="J124" s="1">
        <f t="shared" ca="1" si="63"/>
        <v>17</v>
      </c>
      <c r="K124" s="1">
        <f t="shared" ca="1" si="64"/>
        <v>1.2135302507663976</v>
      </c>
      <c r="L124" s="1">
        <f t="shared" ca="1" si="65"/>
        <v>20</v>
      </c>
      <c r="M124" s="1"/>
      <c r="N124" s="1">
        <f t="shared" ca="1" si="66"/>
        <v>733</v>
      </c>
      <c r="O124" s="1">
        <f t="shared" ca="1" si="67"/>
        <v>31</v>
      </c>
      <c r="P124" s="1"/>
      <c r="Q124" s="1">
        <f t="shared" ca="1" si="68"/>
        <v>2.0532764078189243</v>
      </c>
      <c r="R124" s="1">
        <f t="shared" ca="1" si="69"/>
        <v>201</v>
      </c>
      <c r="S124" s="1"/>
      <c r="T124" s="1">
        <f t="shared" ca="1" si="70"/>
        <v>0.19499973771483425</v>
      </c>
      <c r="U124" s="1">
        <f t="shared" ca="1" si="71"/>
        <v>87</v>
      </c>
      <c r="V124" s="1">
        <f t="shared" ca="1" si="72"/>
        <v>7</v>
      </c>
      <c r="W124" s="1"/>
      <c r="X124" s="1">
        <f t="shared" ca="1" si="73"/>
        <v>0.99387920721759793</v>
      </c>
      <c r="Y124" s="1">
        <f t="shared" ca="1" si="74"/>
        <v>0.41392173797614934</v>
      </c>
      <c r="Z124" s="1">
        <f t="shared" ca="1" si="75"/>
        <v>761</v>
      </c>
      <c r="AB124" s="1">
        <f t="shared" ca="1" si="76"/>
        <v>0.82455280409375786</v>
      </c>
      <c r="AC124" s="1">
        <f t="shared" ca="1" si="77"/>
        <v>662</v>
      </c>
      <c r="AD124" s="1">
        <f t="shared" ca="1" si="78"/>
        <v>3.3276035491374323E-4</v>
      </c>
      <c r="AE124" s="1"/>
      <c r="AF124" s="1">
        <f t="shared" ca="1" si="79"/>
        <v>0.85025725091184834</v>
      </c>
      <c r="AG124" s="1">
        <f t="shared" ca="1" si="80"/>
        <v>166</v>
      </c>
      <c r="AH124" s="1">
        <f t="shared" ca="1" si="81"/>
        <v>7.7266830649443574E-4</v>
      </c>
      <c r="AJ124" s="1">
        <f t="shared" ca="1" si="82"/>
        <v>0.36579890912493962</v>
      </c>
      <c r="AK124" s="1">
        <f t="shared" ca="1" si="83"/>
        <v>5.8998206791819425E-3</v>
      </c>
      <c r="AL124" s="1"/>
      <c r="AM124" s="1">
        <f t="shared" ca="1" si="84"/>
        <v>0.15141290825372364</v>
      </c>
      <c r="AN124" s="1">
        <f t="shared" ca="1" si="85"/>
        <v>74</v>
      </c>
      <c r="AO124" s="1">
        <f t="shared" ca="1" si="86"/>
        <v>16</v>
      </c>
      <c r="AQ124" s="1">
        <f t="shared" ca="1" si="87"/>
        <v>137</v>
      </c>
      <c r="AR124" s="1">
        <f t="shared" ca="1" si="88"/>
        <v>10</v>
      </c>
      <c r="AS124" s="1">
        <f t="shared" ca="1" si="89"/>
        <v>92</v>
      </c>
      <c r="AU124" s="1">
        <f t="shared" ca="1" si="90"/>
        <v>343</v>
      </c>
      <c r="AV124" s="1">
        <f t="shared" ca="1" si="91"/>
        <v>9</v>
      </c>
      <c r="AW124" s="1">
        <f t="shared" ca="1" si="92"/>
        <v>0.13615935924762065</v>
      </c>
      <c r="AY124" s="1">
        <f t="shared" ca="1" si="93"/>
        <v>1.4552715667692473</v>
      </c>
      <c r="AZ124" s="1">
        <f t="shared" ca="1" si="94"/>
        <v>436</v>
      </c>
      <c r="BA124" s="1">
        <f t="shared" ca="1" si="95"/>
        <v>6.4415261559084289E-3</v>
      </c>
      <c r="BV124" s="1">
        <f t="shared" ca="1" si="96"/>
        <v>4.3784025579582712E-2</v>
      </c>
      <c r="BW124" s="1">
        <f t="shared" ca="1" si="97"/>
        <v>618</v>
      </c>
      <c r="BX124" s="1">
        <f t="shared" ca="1" si="98"/>
        <v>4.4903430455206627E-3</v>
      </c>
      <c r="BY124" s="1">
        <f t="shared" ca="1" si="99"/>
        <v>2.682204153435569E-3</v>
      </c>
      <c r="BZ124" s="1">
        <f t="shared" ca="1" si="100"/>
        <v>0.11894753230316146</v>
      </c>
      <c r="CB124" s="1">
        <f t="shared" ca="1" si="101"/>
        <v>182</v>
      </c>
      <c r="CC124" s="1">
        <f t="shared" ca="1" si="102"/>
        <v>4</v>
      </c>
      <c r="CD124" s="1">
        <f t="shared" ca="1" si="103"/>
        <v>0.20328796489845355</v>
      </c>
      <c r="CE124" s="1">
        <f t="shared" ca="1" si="113"/>
        <v>0.98831026984436388</v>
      </c>
      <c r="CF124" s="1">
        <f t="shared" ca="1" si="113"/>
        <v>0.96626030047485967</v>
      </c>
      <c r="CH124" s="3">
        <f t="shared" ca="1" si="105"/>
        <v>0.2170380891497983</v>
      </c>
      <c r="CI124" s="3">
        <f t="shared" ca="1" si="106"/>
        <v>0.55524690794675347</v>
      </c>
      <c r="CJ124" s="3">
        <f t="shared" ca="1" si="107"/>
        <v>545</v>
      </c>
      <c r="CK124" s="3">
        <f t="shared" ca="1" si="108"/>
        <v>1.4499926701442507E-4</v>
      </c>
      <c r="CL124" s="3">
        <f t="shared" ca="1" si="109"/>
        <v>0</v>
      </c>
      <c r="CM124" s="3"/>
      <c r="CN124" s="1">
        <f t="shared" ca="1" si="110"/>
        <v>3.5217841440797324</v>
      </c>
      <c r="CO124" s="1">
        <f t="shared" ca="1" si="111"/>
        <v>0.24500528457100965</v>
      </c>
      <c r="CP124" s="1">
        <f t="shared" ca="1" si="112"/>
        <v>2</v>
      </c>
    </row>
    <row r="125" spans="2:94" x14ac:dyDescent="0.25">
      <c r="B125">
        <f t="shared" ca="1" si="57"/>
        <v>401</v>
      </c>
      <c r="C125">
        <f t="shared" ca="1" si="58"/>
        <v>5</v>
      </c>
      <c r="D125">
        <f t="shared" ca="1" si="59"/>
        <v>0.22376232175020169</v>
      </c>
      <c r="F125" s="1">
        <f t="shared" ca="1" si="60"/>
        <v>40</v>
      </c>
      <c r="G125" s="1">
        <f t="shared" ca="1" si="61"/>
        <v>20</v>
      </c>
      <c r="H125" s="1">
        <f t="shared" ca="1" si="62"/>
        <v>9</v>
      </c>
      <c r="I125" s="1"/>
      <c r="J125" s="1">
        <f t="shared" ca="1" si="63"/>
        <v>18</v>
      </c>
      <c r="K125" s="1">
        <f t="shared" ca="1" si="64"/>
        <v>2.0218041927150261</v>
      </c>
      <c r="L125" s="1">
        <f t="shared" ca="1" si="65"/>
        <v>33</v>
      </c>
      <c r="M125" s="1"/>
      <c r="N125" s="1">
        <f t="shared" ca="1" si="66"/>
        <v>487</v>
      </c>
      <c r="O125" s="1">
        <f t="shared" ca="1" si="67"/>
        <v>4</v>
      </c>
      <c r="P125" s="1"/>
      <c r="Q125" s="1">
        <f t="shared" ca="1" si="68"/>
        <v>1.9031344395077254</v>
      </c>
      <c r="R125" s="1">
        <f t="shared" ca="1" si="69"/>
        <v>405</v>
      </c>
      <c r="S125" s="1"/>
      <c r="T125" s="1">
        <f t="shared" ca="1" si="70"/>
        <v>0.11055624178691967</v>
      </c>
      <c r="U125" s="1">
        <f t="shared" ca="1" si="71"/>
        <v>425</v>
      </c>
      <c r="V125" s="1">
        <f t="shared" ca="1" si="72"/>
        <v>15</v>
      </c>
      <c r="W125" s="1"/>
      <c r="X125" s="1">
        <f t="shared" ca="1" si="73"/>
        <v>3.8524333642118931</v>
      </c>
      <c r="Y125" s="1">
        <f t="shared" ca="1" si="74"/>
        <v>0.547300230458728</v>
      </c>
      <c r="Z125" s="1">
        <f t="shared" ca="1" si="75"/>
        <v>317</v>
      </c>
      <c r="AB125" s="1">
        <f t="shared" ca="1" si="76"/>
        <v>0.14874419469826655</v>
      </c>
      <c r="AC125" s="1">
        <f t="shared" ca="1" si="77"/>
        <v>201</v>
      </c>
      <c r="AD125" s="1">
        <f t="shared" ca="1" si="78"/>
        <v>2.4609833320995006E-3</v>
      </c>
      <c r="AE125" s="1"/>
      <c r="AF125" s="1">
        <f t="shared" ca="1" si="79"/>
        <v>0.77877257914143283</v>
      </c>
      <c r="AG125" s="1">
        <f t="shared" ca="1" si="80"/>
        <v>766</v>
      </c>
      <c r="AH125" s="1">
        <f t="shared" ca="1" si="81"/>
        <v>3.6303189067644964E-3</v>
      </c>
      <c r="AJ125" s="1">
        <f t="shared" ca="1" si="82"/>
        <v>0.54010453996076346</v>
      </c>
      <c r="AK125" s="1">
        <f t="shared" ca="1" si="83"/>
        <v>8.7632441368255161E-3</v>
      </c>
      <c r="AL125" s="1"/>
      <c r="AM125" s="1">
        <f t="shared" ca="1" si="84"/>
        <v>8.3637163258398914E-2</v>
      </c>
      <c r="AN125" s="1">
        <f t="shared" ca="1" si="85"/>
        <v>71</v>
      </c>
      <c r="AO125" s="1">
        <f t="shared" ca="1" si="86"/>
        <v>4</v>
      </c>
      <c r="AQ125" s="1">
        <f t="shared" ca="1" si="87"/>
        <v>116</v>
      </c>
      <c r="AR125" s="1">
        <f t="shared" ca="1" si="88"/>
        <v>6</v>
      </c>
      <c r="AS125" s="1">
        <f t="shared" ca="1" si="89"/>
        <v>92</v>
      </c>
      <c r="AU125" s="1">
        <f t="shared" ca="1" si="90"/>
        <v>239</v>
      </c>
      <c r="AV125" s="1">
        <f t="shared" ca="1" si="91"/>
        <v>7</v>
      </c>
      <c r="AW125" s="1">
        <f t="shared" ca="1" si="92"/>
        <v>4.5160994303374245E-2</v>
      </c>
      <c r="AY125" s="1">
        <f t="shared" ca="1" si="93"/>
        <v>1.4188365518923693</v>
      </c>
      <c r="AZ125" s="1">
        <f t="shared" ca="1" si="94"/>
        <v>415</v>
      </c>
      <c r="BA125" s="1">
        <f t="shared" ca="1" si="95"/>
        <v>4.244233826661067E-5</v>
      </c>
      <c r="BV125" s="1">
        <f t="shared" ca="1" si="96"/>
        <v>0.81107507889818686</v>
      </c>
      <c r="BW125" s="1">
        <f t="shared" ca="1" si="97"/>
        <v>864</v>
      </c>
      <c r="BX125" s="1">
        <f t="shared" ca="1" si="98"/>
        <v>8.530816828178028E-3</v>
      </c>
      <c r="BY125" s="1">
        <f t="shared" ca="1" si="99"/>
        <v>4.8824203589181062E-2</v>
      </c>
      <c r="BZ125" s="1">
        <f t="shared" ca="1" si="100"/>
        <v>0.45112226891170171</v>
      </c>
      <c r="CB125" s="1">
        <f t="shared" ca="1" si="101"/>
        <v>439</v>
      </c>
      <c r="CC125" s="1">
        <f t="shared" ca="1" si="102"/>
        <v>11</v>
      </c>
      <c r="CD125" s="1">
        <f t="shared" ca="1" si="103"/>
        <v>0.26202357685829092</v>
      </c>
      <c r="CE125" s="1">
        <f t="shared" ca="1" si="113"/>
        <v>0.87435686791386691</v>
      </c>
      <c r="CF125" s="1">
        <f t="shared" ca="1" si="113"/>
        <v>0.81044861914621302</v>
      </c>
      <c r="CH125" s="3">
        <f t="shared" ca="1" si="105"/>
        <v>0.92484956386991402</v>
      </c>
      <c r="CI125" s="3">
        <f t="shared" ca="1" si="106"/>
        <v>0.87085549852749256</v>
      </c>
      <c r="CJ125" s="3">
        <f t="shared" ca="1" si="107"/>
        <v>660</v>
      </c>
      <c r="CK125" s="3">
        <f t="shared" ca="1" si="108"/>
        <v>1.653142585324474E-3</v>
      </c>
      <c r="CL125" s="3">
        <f t="shared" ca="1" si="109"/>
        <v>1</v>
      </c>
      <c r="CM125" s="3"/>
      <c r="CN125" s="1">
        <f t="shared" ca="1" si="110"/>
        <v>14.111542906923862</v>
      </c>
      <c r="CO125" s="1">
        <f t="shared" ca="1" si="111"/>
        <v>0.34806568911294167</v>
      </c>
      <c r="CP125" s="1">
        <f t="shared" ca="1" si="112"/>
        <v>5</v>
      </c>
    </row>
    <row r="126" spans="2:94" x14ac:dyDescent="0.25">
      <c r="B126">
        <f t="shared" ca="1" si="57"/>
        <v>467</v>
      </c>
      <c r="C126">
        <f t="shared" ca="1" si="58"/>
        <v>30</v>
      </c>
      <c r="D126">
        <f t="shared" ca="1" si="59"/>
        <v>0.1117641036680003</v>
      </c>
      <c r="F126" s="1">
        <f t="shared" ca="1" si="60"/>
        <v>49</v>
      </c>
      <c r="G126" s="1">
        <f t="shared" ca="1" si="61"/>
        <v>24</v>
      </c>
      <c r="H126" s="1">
        <f t="shared" ca="1" si="62"/>
        <v>15</v>
      </c>
      <c r="I126" s="1"/>
      <c r="J126" s="1">
        <f t="shared" ca="1" si="63"/>
        <v>14</v>
      </c>
      <c r="K126" s="1">
        <f t="shared" ca="1" si="64"/>
        <v>1.3181821509792524</v>
      </c>
      <c r="L126" s="1">
        <f t="shared" ca="1" si="65"/>
        <v>14</v>
      </c>
      <c r="M126" s="1"/>
      <c r="N126" s="1">
        <f t="shared" ca="1" si="66"/>
        <v>398</v>
      </c>
      <c r="O126" s="1">
        <f t="shared" ca="1" si="67"/>
        <v>8</v>
      </c>
      <c r="P126" s="1"/>
      <c r="Q126" s="1">
        <f t="shared" ca="1" si="68"/>
        <v>2.641919516040057</v>
      </c>
      <c r="R126" s="1">
        <f t="shared" ca="1" si="69"/>
        <v>653</v>
      </c>
      <c r="S126" s="1"/>
      <c r="T126" s="1">
        <f t="shared" ca="1" si="70"/>
        <v>5.7831603183408534E-2</v>
      </c>
      <c r="U126" s="1">
        <f t="shared" ca="1" si="71"/>
        <v>298</v>
      </c>
      <c r="V126" s="1">
        <f t="shared" ca="1" si="72"/>
        <v>46</v>
      </c>
      <c r="W126" s="1"/>
      <c r="X126" s="1">
        <f t="shared" ca="1" si="73"/>
        <v>6.6924212015749829</v>
      </c>
      <c r="Y126" s="1">
        <f t="shared" ca="1" si="74"/>
        <v>0.77731632089464309</v>
      </c>
      <c r="Z126" s="1">
        <f t="shared" ca="1" si="75"/>
        <v>736</v>
      </c>
      <c r="AB126" s="1">
        <f t="shared" ca="1" si="76"/>
        <v>0.39132127966422531</v>
      </c>
      <c r="AC126" s="1">
        <f t="shared" ca="1" si="77"/>
        <v>428</v>
      </c>
      <c r="AD126" s="1">
        <f t="shared" ca="1" si="78"/>
        <v>3.1259415572449352E-3</v>
      </c>
      <c r="AE126" s="1"/>
      <c r="AF126" s="1">
        <f t="shared" ca="1" si="79"/>
        <v>0.71377383266187755</v>
      </c>
      <c r="AG126" s="1">
        <f t="shared" ca="1" si="80"/>
        <v>543</v>
      </c>
      <c r="AH126" s="1">
        <f t="shared" ca="1" si="81"/>
        <v>6.9502238919615517E-3</v>
      </c>
      <c r="AJ126" s="1">
        <f t="shared" ca="1" si="82"/>
        <v>0.28503101157902466</v>
      </c>
      <c r="AK126" s="1">
        <f t="shared" ca="1" si="83"/>
        <v>2.8385032337726566E-3</v>
      </c>
      <c r="AL126" s="1"/>
      <c r="AM126" s="1">
        <f t="shared" ca="1" si="84"/>
        <v>0.17859155513417252</v>
      </c>
      <c r="AN126" s="1">
        <f t="shared" ca="1" si="85"/>
        <v>20</v>
      </c>
      <c r="AO126" s="1">
        <f t="shared" ca="1" si="86"/>
        <v>2</v>
      </c>
      <c r="AQ126" s="1">
        <f t="shared" ca="1" si="87"/>
        <v>76</v>
      </c>
      <c r="AR126" s="1">
        <f t="shared" ca="1" si="88"/>
        <v>1</v>
      </c>
      <c r="AS126" s="1">
        <f t="shared" ca="1" si="89"/>
        <v>14</v>
      </c>
      <c r="AU126" s="1">
        <f t="shared" ca="1" si="90"/>
        <v>102</v>
      </c>
      <c r="AV126" s="1">
        <f t="shared" ca="1" si="91"/>
        <v>5</v>
      </c>
      <c r="AW126" s="1">
        <f t="shared" ca="1" si="92"/>
        <v>7.3500121164856866E-2</v>
      </c>
      <c r="AY126" s="1">
        <f t="shared" ca="1" si="93"/>
        <v>1.1737522111892729</v>
      </c>
      <c r="AZ126" s="1">
        <f t="shared" ca="1" si="94"/>
        <v>187</v>
      </c>
      <c r="BA126" s="1">
        <f t="shared" ca="1" si="95"/>
        <v>5.9550597726711575E-3</v>
      </c>
      <c r="BV126" s="1">
        <f t="shared" ca="1" si="96"/>
        <v>0.19230721372495596</v>
      </c>
      <c r="BW126" s="1">
        <f t="shared" ca="1" si="97"/>
        <v>472</v>
      </c>
      <c r="BX126" s="1">
        <f t="shared" ca="1" si="98"/>
        <v>8.9901277522443489E-3</v>
      </c>
      <c r="BY126" s="1">
        <f t="shared" ca="1" si="99"/>
        <v>7.8495281315310111E-2</v>
      </c>
      <c r="BZ126" s="1">
        <f t="shared" ca="1" si="100"/>
        <v>0.9940878261918159</v>
      </c>
      <c r="CB126" s="1">
        <f t="shared" ca="1" si="101"/>
        <v>397</v>
      </c>
      <c r="CC126" s="1">
        <f t="shared" ca="1" si="102"/>
        <v>3</v>
      </c>
      <c r="CD126" s="1">
        <f t="shared" ca="1" si="103"/>
        <v>0.10270133193696582</v>
      </c>
      <c r="CE126" s="1">
        <f t="shared" ca="1" si="113"/>
        <v>0.99080625872859129</v>
      </c>
      <c r="CF126" s="1">
        <f t="shared" ca="1" si="113"/>
        <v>0.88959534604084822</v>
      </c>
      <c r="CH126" s="3">
        <f t="shared" ca="1" si="105"/>
        <v>0.84235154930687484</v>
      </c>
      <c r="CI126" s="3">
        <f t="shared" ca="1" si="106"/>
        <v>6.5062366293480708E-2</v>
      </c>
      <c r="CJ126" s="3">
        <f t="shared" ca="1" si="107"/>
        <v>819</v>
      </c>
      <c r="CK126" s="3">
        <f t="shared" ca="1" si="108"/>
        <v>5.9515445965228793E-3</v>
      </c>
      <c r="CL126" s="3">
        <f t="shared" ca="1" si="109"/>
        <v>1</v>
      </c>
      <c r="CM126" s="3"/>
      <c r="CN126" s="1">
        <f t="shared" ca="1" si="110"/>
        <v>5.5189228021909349</v>
      </c>
      <c r="CO126" s="1">
        <f t="shared" ca="1" si="111"/>
        <v>0.38871028661735135</v>
      </c>
      <c r="CP126" s="1">
        <f t="shared" ca="1" si="112"/>
        <v>2</v>
      </c>
    </row>
    <row r="127" spans="2:94" x14ac:dyDescent="0.25">
      <c r="B127">
        <f t="shared" ca="1" si="57"/>
        <v>429</v>
      </c>
      <c r="C127">
        <f t="shared" ca="1" si="58"/>
        <v>8</v>
      </c>
      <c r="D127">
        <f t="shared" ca="1" si="59"/>
        <v>0.12184443331879304</v>
      </c>
      <c r="F127" s="1">
        <f t="shared" ca="1" si="60"/>
        <v>49</v>
      </c>
      <c r="G127" s="1">
        <f t="shared" ca="1" si="61"/>
        <v>22</v>
      </c>
      <c r="H127" s="1">
        <f t="shared" ca="1" si="62"/>
        <v>10</v>
      </c>
      <c r="I127" s="1"/>
      <c r="J127" s="1">
        <f t="shared" ca="1" si="63"/>
        <v>28</v>
      </c>
      <c r="K127" s="1">
        <f t="shared" ca="1" si="64"/>
        <v>2.2903652611588012</v>
      </c>
      <c r="L127" s="1">
        <f t="shared" ca="1" si="65"/>
        <v>6</v>
      </c>
      <c r="M127" s="1"/>
      <c r="N127" s="1">
        <f t="shared" ca="1" si="66"/>
        <v>59</v>
      </c>
      <c r="O127" s="1">
        <f t="shared" ca="1" si="67"/>
        <v>12</v>
      </c>
      <c r="P127" s="1"/>
      <c r="Q127" s="1">
        <f t="shared" ca="1" si="68"/>
        <v>1.3101352016392442</v>
      </c>
      <c r="R127" s="1">
        <f t="shared" ca="1" si="69"/>
        <v>1192</v>
      </c>
      <c r="S127" s="1"/>
      <c r="T127" s="1">
        <f t="shared" ca="1" si="70"/>
        <v>0.12639273598038428</v>
      </c>
      <c r="U127" s="1">
        <f t="shared" ca="1" si="71"/>
        <v>124</v>
      </c>
      <c r="V127" s="1">
        <f t="shared" ca="1" si="72"/>
        <v>31</v>
      </c>
      <c r="W127" s="1"/>
      <c r="X127" s="1">
        <f t="shared" ca="1" si="73"/>
        <v>5.6014636155085187</v>
      </c>
      <c r="Y127" s="1">
        <f t="shared" ca="1" si="74"/>
        <v>0.12589738770967071</v>
      </c>
      <c r="Z127" s="1">
        <f t="shared" ca="1" si="75"/>
        <v>651</v>
      </c>
      <c r="AB127" s="1">
        <f t="shared" ca="1" si="76"/>
        <v>0.97970369221615394</v>
      </c>
      <c r="AC127" s="1">
        <f t="shared" ca="1" si="77"/>
        <v>512</v>
      </c>
      <c r="AD127" s="1">
        <f t="shared" ca="1" si="78"/>
        <v>4.6383088926763398E-3</v>
      </c>
      <c r="AE127" s="1"/>
      <c r="AF127" s="1">
        <f t="shared" ca="1" si="79"/>
        <v>0.54705330075893988</v>
      </c>
      <c r="AG127" s="1">
        <f t="shared" ca="1" si="80"/>
        <v>848</v>
      </c>
      <c r="AH127" s="1">
        <f t="shared" ca="1" si="81"/>
        <v>1.2458825013423375E-3</v>
      </c>
      <c r="AJ127" s="1">
        <f t="shared" ca="1" si="82"/>
        <v>0.34827509588949856</v>
      </c>
      <c r="AK127" s="1">
        <f t="shared" ca="1" si="83"/>
        <v>7.9374506886533466E-3</v>
      </c>
      <c r="AL127" s="1"/>
      <c r="AM127" s="1">
        <f t="shared" ca="1" si="84"/>
        <v>0.15219509212672269</v>
      </c>
      <c r="AN127" s="1">
        <f t="shared" ca="1" si="85"/>
        <v>44</v>
      </c>
      <c r="AO127" s="1">
        <f t="shared" ca="1" si="86"/>
        <v>18</v>
      </c>
      <c r="AQ127" s="1">
        <f t="shared" ca="1" si="87"/>
        <v>153</v>
      </c>
      <c r="AR127" s="1">
        <f t="shared" ca="1" si="88"/>
        <v>1</v>
      </c>
      <c r="AS127" s="1">
        <f t="shared" ca="1" si="89"/>
        <v>42</v>
      </c>
      <c r="AU127" s="1">
        <f t="shared" ca="1" si="90"/>
        <v>361</v>
      </c>
      <c r="AV127" s="1">
        <f t="shared" ca="1" si="91"/>
        <v>5</v>
      </c>
      <c r="AW127" s="1">
        <f t="shared" ca="1" si="92"/>
        <v>1.4060794178849532E-2</v>
      </c>
      <c r="AY127" s="1">
        <f t="shared" ca="1" si="93"/>
        <v>1.7483639928333936</v>
      </c>
      <c r="AZ127" s="1">
        <f t="shared" ca="1" si="94"/>
        <v>159</v>
      </c>
      <c r="BA127" s="1">
        <f t="shared" ca="1" si="95"/>
        <v>4.7647862099534201E-3</v>
      </c>
      <c r="BV127" s="1">
        <f t="shared" ca="1" si="96"/>
        <v>0.61228464411959793</v>
      </c>
      <c r="BW127" s="1">
        <f t="shared" ca="1" si="97"/>
        <v>386</v>
      </c>
      <c r="BX127" s="1">
        <f t="shared" ca="1" si="98"/>
        <v>4.0490971815167909E-3</v>
      </c>
      <c r="BY127" s="1">
        <f t="shared" ca="1" si="99"/>
        <v>1.9593177705183058E-2</v>
      </c>
      <c r="BZ127" s="1">
        <f t="shared" ca="1" si="100"/>
        <v>5.8743350263288918E-2</v>
      </c>
      <c r="CB127" s="1">
        <f t="shared" ca="1" si="101"/>
        <v>318</v>
      </c>
      <c r="CC127" s="1">
        <f t="shared" ca="1" si="102"/>
        <v>15</v>
      </c>
      <c r="CD127" s="1">
        <f t="shared" ca="1" si="103"/>
        <v>0.24661579455499363</v>
      </c>
      <c r="CE127" s="1">
        <f t="shared" ca="1" si="113"/>
        <v>0.85593429512575869</v>
      </c>
      <c r="CF127" s="1">
        <f t="shared" ca="1" si="113"/>
        <v>0.81284954055829384</v>
      </c>
      <c r="CH127" s="3">
        <f t="shared" ca="1" si="105"/>
        <v>0.96797958502418735</v>
      </c>
      <c r="CI127" s="3">
        <f t="shared" ca="1" si="106"/>
        <v>0.18424815768368283</v>
      </c>
      <c r="CJ127" s="3">
        <f t="shared" ca="1" si="107"/>
        <v>1846</v>
      </c>
      <c r="CK127" s="3">
        <f t="shared" ca="1" si="108"/>
        <v>6.3021489632737659E-3</v>
      </c>
      <c r="CL127" s="3">
        <f t="shared" ca="1" si="109"/>
        <v>0</v>
      </c>
      <c r="CM127" s="3"/>
      <c r="CN127" s="1">
        <f t="shared" ca="1" si="110"/>
        <v>15.815405955567144</v>
      </c>
      <c r="CO127" s="1">
        <f t="shared" ca="1" si="111"/>
        <v>2.520455522024357E-2</v>
      </c>
      <c r="CP127" s="1">
        <f t="shared" ca="1" si="112"/>
        <v>5</v>
      </c>
    </row>
    <row r="128" spans="2:94" x14ac:dyDescent="0.25">
      <c r="B128">
        <f t="shared" ca="1" si="57"/>
        <v>763</v>
      </c>
      <c r="C128">
        <f t="shared" ca="1" si="58"/>
        <v>16</v>
      </c>
      <c r="D128">
        <f t="shared" ca="1" si="59"/>
        <v>0.25842272678306366</v>
      </c>
      <c r="F128" s="1">
        <f t="shared" ca="1" si="60"/>
        <v>19</v>
      </c>
      <c r="G128" s="1">
        <f t="shared" ca="1" si="61"/>
        <v>12</v>
      </c>
      <c r="H128" s="1">
        <f t="shared" ca="1" si="62"/>
        <v>10</v>
      </c>
      <c r="I128" s="1"/>
      <c r="J128" s="1">
        <f t="shared" ca="1" si="63"/>
        <v>34</v>
      </c>
      <c r="K128" s="1">
        <f t="shared" ca="1" si="64"/>
        <v>2.91712680554964</v>
      </c>
      <c r="L128" s="1">
        <f t="shared" ca="1" si="65"/>
        <v>14</v>
      </c>
      <c r="M128" s="1"/>
      <c r="N128" s="1">
        <f t="shared" ca="1" si="66"/>
        <v>167</v>
      </c>
      <c r="O128" s="1">
        <f t="shared" ca="1" si="67"/>
        <v>44</v>
      </c>
      <c r="P128" s="1"/>
      <c r="Q128" s="1">
        <f t="shared" ca="1" si="68"/>
        <v>0.47327163499800012</v>
      </c>
      <c r="R128" s="1">
        <f t="shared" ca="1" si="69"/>
        <v>1015</v>
      </c>
      <c r="S128" s="1"/>
      <c r="T128" s="1">
        <f t="shared" ca="1" si="70"/>
        <v>0.12589194288447056</v>
      </c>
      <c r="U128" s="1">
        <f t="shared" ca="1" si="71"/>
        <v>414</v>
      </c>
      <c r="V128" s="1">
        <f t="shared" ca="1" si="72"/>
        <v>48</v>
      </c>
      <c r="W128" s="1"/>
      <c r="X128" s="1">
        <f t="shared" ca="1" si="73"/>
        <v>8.769050632122612</v>
      </c>
      <c r="Y128" s="1">
        <f t="shared" ca="1" si="74"/>
        <v>0.56642854621111793</v>
      </c>
      <c r="Z128" s="1">
        <f t="shared" ca="1" si="75"/>
        <v>1082</v>
      </c>
      <c r="AB128" s="1">
        <f t="shared" ca="1" si="76"/>
        <v>0.6977375541674532</v>
      </c>
      <c r="AC128" s="1">
        <f t="shared" ca="1" si="77"/>
        <v>993</v>
      </c>
      <c r="AD128" s="1">
        <f t="shared" ca="1" si="78"/>
        <v>3.0851258953068614E-3</v>
      </c>
      <c r="AE128" s="1"/>
      <c r="AF128" s="1">
        <f t="shared" ca="1" si="79"/>
        <v>0.66583293498251694</v>
      </c>
      <c r="AG128" s="1">
        <f t="shared" ca="1" si="80"/>
        <v>420</v>
      </c>
      <c r="AH128" s="1">
        <f t="shared" ca="1" si="81"/>
        <v>9.317535327929732E-3</v>
      </c>
      <c r="AJ128" s="1">
        <f t="shared" ca="1" si="82"/>
        <v>1.0137226164492752E-3</v>
      </c>
      <c r="AK128" s="1">
        <f t="shared" ca="1" si="83"/>
        <v>8.0054487050819686E-3</v>
      </c>
      <c r="AL128" s="1"/>
      <c r="AM128" s="1">
        <f t="shared" ca="1" si="84"/>
        <v>6.5395650276110551E-2</v>
      </c>
      <c r="AN128" s="1">
        <f t="shared" ca="1" si="85"/>
        <v>31</v>
      </c>
      <c r="AO128" s="1">
        <f t="shared" ca="1" si="86"/>
        <v>5</v>
      </c>
      <c r="AQ128" s="1">
        <f t="shared" ca="1" si="87"/>
        <v>116</v>
      </c>
      <c r="AR128" s="1">
        <f t="shared" ca="1" si="88"/>
        <v>7</v>
      </c>
      <c r="AS128" s="1">
        <f t="shared" ca="1" si="89"/>
        <v>68</v>
      </c>
      <c r="AU128" s="1">
        <f t="shared" ca="1" si="90"/>
        <v>257</v>
      </c>
      <c r="AV128" s="1">
        <f t="shared" ca="1" si="91"/>
        <v>6</v>
      </c>
      <c r="AW128" s="1">
        <f t="shared" ca="1" si="92"/>
        <v>1.4280171082565126E-2</v>
      </c>
      <c r="AY128" s="1">
        <f t="shared" ca="1" si="93"/>
        <v>1.3893905979592158</v>
      </c>
      <c r="AZ128" s="1">
        <f t="shared" ca="1" si="94"/>
        <v>174</v>
      </c>
      <c r="BA128" s="1">
        <f t="shared" ca="1" si="95"/>
        <v>2.7828415366354457E-4</v>
      </c>
      <c r="BV128" s="1">
        <f t="shared" ca="1" si="96"/>
        <v>0.11281144165104569</v>
      </c>
      <c r="BW128" s="1">
        <f t="shared" ca="1" si="97"/>
        <v>437</v>
      </c>
      <c r="BX128" s="1">
        <f t="shared" ca="1" si="98"/>
        <v>3.9196179632422267E-3</v>
      </c>
      <c r="BY128" s="1">
        <f t="shared" ca="1" si="99"/>
        <v>4.310498893136868E-2</v>
      </c>
      <c r="BZ128" s="1">
        <f t="shared" ca="1" si="100"/>
        <v>0.26779211775702005</v>
      </c>
      <c r="CB128" s="1">
        <f t="shared" ca="1" si="101"/>
        <v>278</v>
      </c>
      <c r="CC128" s="1">
        <f t="shared" ca="1" si="102"/>
        <v>7</v>
      </c>
      <c r="CD128" s="1">
        <f t="shared" ca="1" si="103"/>
        <v>0.28833847926422385</v>
      </c>
      <c r="CE128" s="1">
        <f t="shared" ca="1" si="113"/>
        <v>0.95557862202343236</v>
      </c>
      <c r="CF128" s="1">
        <f t="shared" ca="1" si="113"/>
        <v>0.65364733491534932</v>
      </c>
      <c r="CH128" s="3">
        <f t="shared" ca="1" si="105"/>
        <v>0.40867381135790209</v>
      </c>
      <c r="CI128" s="3">
        <f t="shared" ca="1" si="106"/>
        <v>0.75827266677100891</v>
      </c>
      <c r="CJ128" s="3">
        <f t="shared" ca="1" si="107"/>
        <v>924</v>
      </c>
      <c r="CK128" s="3">
        <f t="shared" ca="1" si="108"/>
        <v>9.5485852888311778E-3</v>
      </c>
      <c r="CL128" s="3">
        <f t="shared" ca="1" si="109"/>
        <v>0</v>
      </c>
      <c r="CM128" s="3"/>
      <c r="CN128" s="1">
        <f t="shared" ca="1" si="110"/>
        <v>0.84017523242277414</v>
      </c>
      <c r="CO128" s="1">
        <f t="shared" ca="1" si="111"/>
        <v>3.6333438822744202E-2</v>
      </c>
      <c r="CP128" s="1">
        <f t="shared" ca="1" si="112"/>
        <v>1</v>
      </c>
    </row>
    <row r="129" spans="2:94" x14ac:dyDescent="0.25">
      <c r="B129">
        <f t="shared" ca="1" si="57"/>
        <v>213</v>
      </c>
      <c r="C129">
        <f t="shared" ca="1" si="58"/>
        <v>38</v>
      </c>
      <c r="D129">
        <f t="shared" ca="1" si="59"/>
        <v>0.29644786668712703</v>
      </c>
      <c r="F129" s="1">
        <f t="shared" ca="1" si="60"/>
        <v>50</v>
      </c>
      <c r="G129" s="1">
        <f t="shared" ca="1" si="61"/>
        <v>16</v>
      </c>
      <c r="H129" s="1">
        <f t="shared" ca="1" si="62"/>
        <v>2</v>
      </c>
      <c r="I129" s="1"/>
      <c r="J129" s="1">
        <f t="shared" ca="1" si="63"/>
        <v>12</v>
      </c>
      <c r="K129" s="1">
        <f t="shared" ca="1" si="64"/>
        <v>1.1353550228217764</v>
      </c>
      <c r="L129" s="1">
        <f t="shared" ca="1" si="65"/>
        <v>18</v>
      </c>
      <c r="M129" s="1"/>
      <c r="N129" s="1">
        <f t="shared" ca="1" si="66"/>
        <v>886</v>
      </c>
      <c r="O129" s="1">
        <f t="shared" ca="1" si="67"/>
        <v>25</v>
      </c>
      <c r="P129" s="1"/>
      <c r="Q129" s="1">
        <f t="shared" ca="1" si="68"/>
        <v>2.0863382160846693</v>
      </c>
      <c r="R129" s="1">
        <f t="shared" ca="1" si="69"/>
        <v>1194</v>
      </c>
      <c r="S129" s="1"/>
      <c r="T129" s="1">
        <f t="shared" ca="1" si="70"/>
        <v>0.1078067044746553</v>
      </c>
      <c r="U129" s="1">
        <f t="shared" ca="1" si="71"/>
        <v>124</v>
      </c>
      <c r="V129" s="1">
        <f t="shared" ca="1" si="72"/>
        <v>51</v>
      </c>
      <c r="W129" s="1"/>
      <c r="X129" s="1">
        <f t="shared" ca="1" si="73"/>
        <v>7.2276960640178451</v>
      </c>
      <c r="Y129" s="1">
        <f t="shared" ca="1" si="74"/>
        <v>0.67267096182847408</v>
      </c>
      <c r="Z129" s="1">
        <f t="shared" ca="1" si="75"/>
        <v>619</v>
      </c>
      <c r="AB129" s="1">
        <f t="shared" ca="1" si="76"/>
        <v>0.30476539787544732</v>
      </c>
      <c r="AC129" s="1">
        <f t="shared" ca="1" si="77"/>
        <v>286</v>
      </c>
      <c r="AD129" s="1">
        <f t="shared" ca="1" si="78"/>
        <v>6.131314281066504E-3</v>
      </c>
      <c r="AE129" s="1"/>
      <c r="AF129" s="1">
        <f t="shared" ca="1" si="79"/>
        <v>0.82237097380265478</v>
      </c>
      <c r="AG129" s="1">
        <f t="shared" ca="1" si="80"/>
        <v>151</v>
      </c>
      <c r="AH129" s="1">
        <f t="shared" ca="1" si="81"/>
        <v>7.9524747873565126E-3</v>
      </c>
      <c r="AJ129" s="1">
        <f t="shared" ca="1" si="82"/>
        <v>6.4679315938285686E-2</v>
      </c>
      <c r="AK129" s="1">
        <f t="shared" ca="1" si="83"/>
        <v>5.0396609989964355E-3</v>
      </c>
      <c r="AL129" s="1"/>
      <c r="AM129" s="1">
        <f t="shared" ca="1" si="84"/>
        <v>0.11479433561772927</v>
      </c>
      <c r="AN129" s="1">
        <f t="shared" ca="1" si="85"/>
        <v>71</v>
      </c>
      <c r="AO129" s="1">
        <f t="shared" ca="1" si="86"/>
        <v>16</v>
      </c>
      <c r="AQ129" s="1">
        <f t="shared" ca="1" si="87"/>
        <v>29</v>
      </c>
      <c r="AR129" s="1">
        <f t="shared" ca="1" si="88"/>
        <v>9</v>
      </c>
      <c r="AS129" s="1">
        <f t="shared" ca="1" si="89"/>
        <v>6</v>
      </c>
      <c r="AU129" s="1">
        <f t="shared" ca="1" si="90"/>
        <v>344</v>
      </c>
      <c r="AV129" s="1">
        <f t="shared" ca="1" si="91"/>
        <v>3</v>
      </c>
      <c r="AW129" s="1">
        <f t="shared" ca="1" si="92"/>
        <v>2.7933066371861881E-2</v>
      </c>
      <c r="AY129" s="1">
        <f t="shared" ca="1" si="93"/>
        <v>1.9740530952633424</v>
      </c>
      <c r="AZ129" s="1">
        <f t="shared" ca="1" si="94"/>
        <v>341</v>
      </c>
      <c r="BA129" s="1">
        <f t="shared" ca="1" si="95"/>
        <v>6.7601820226302666E-3</v>
      </c>
      <c r="BV129" s="1">
        <f t="shared" ca="1" si="96"/>
        <v>0.81401618100661466</v>
      </c>
      <c r="BW129" s="1">
        <f t="shared" ca="1" si="97"/>
        <v>475</v>
      </c>
      <c r="BX129" s="1">
        <f t="shared" ca="1" si="98"/>
        <v>5.2594889553266976E-3</v>
      </c>
      <c r="BY129" s="1">
        <f t="shared" ca="1" si="99"/>
        <v>8.2372883275820138E-2</v>
      </c>
      <c r="BZ129" s="1">
        <f t="shared" ca="1" si="100"/>
        <v>0.51918620406030747</v>
      </c>
      <c r="CB129" s="1">
        <f t="shared" ca="1" si="101"/>
        <v>461</v>
      </c>
      <c r="CC129" s="1">
        <f t="shared" ca="1" si="102"/>
        <v>13</v>
      </c>
      <c r="CD129" s="1">
        <f t="shared" ca="1" si="103"/>
        <v>6.6103983560712717E-2</v>
      </c>
      <c r="CE129" s="1">
        <f t="shared" ca="1" si="113"/>
        <v>0.53220757136160757</v>
      </c>
      <c r="CF129" s="1">
        <f t="shared" ca="1" si="113"/>
        <v>0.55661061241543863</v>
      </c>
      <c r="CH129" s="3">
        <f t="shared" ca="1" si="105"/>
        <v>0.71322697370140797</v>
      </c>
      <c r="CI129" s="3">
        <f t="shared" ca="1" si="106"/>
        <v>0.10759162510678687</v>
      </c>
      <c r="CJ129" s="3">
        <f t="shared" ca="1" si="107"/>
        <v>1104</v>
      </c>
      <c r="CK129" s="3">
        <f t="shared" ca="1" si="108"/>
        <v>3.3204838410471737E-3</v>
      </c>
      <c r="CL129" s="3">
        <f t="shared" ca="1" si="109"/>
        <v>0</v>
      </c>
      <c r="CM129" s="3"/>
      <c r="CN129" s="1">
        <f t="shared" ca="1" si="110"/>
        <v>15.677014136417901</v>
      </c>
      <c r="CO129" s="1">
        <f t="shared" ca="1" si="111"/>
        <v>7.2049647916292148E-2</v>
      </c>
      <c r="CP129" s="1">
        <f t="shared" ca="1" si="112"/>
        <v>3</v>
      </c>
    </row>
    <row r="130" spans="2:94" x14ac:dyDescent="0.25">
      <c r="B130">
        <f t="shared" ca="1" si="57"/>
        <v>443</v>
      </c>
      <c r="C130">
        <f t="shared" ca="1" si="58"/>
        <v>4</v>
      </c>
      <c r="D130">
        <f t="shared" ca="1" si="59"/>
        <v>3.4975721585395886E-2</v>
      </c>
      <c r="F130" s="1">
        <f t="shared" ca="1" si="60"/>
        <v>44</v>
      </c>
      <c r="G130" s="1">
        <f t="shared" ca="1" si="61"/>
        <v>13</v>
      </c>
      <c r="H130" s="1">
        <f t="shared" ca="1" si="62"/>
        <v>7</v>
      </c>
      <c r="I130" s="1"/>
      <c r="J130" s="1">
        <f t="shared" ca="1" si="63"/>
        <v>23</v>
      </c>
      <c r="K130" s="1">
        <f t="shared" ca="1" si="64"/>
        <v>1.728361151809847</v>
      </c>
      <c r="L130" s="1">
        <f t="shared" ca="1" si="65"/>
        <v>14</v>
      </c>
      <c r="M130" s="1"/>
      <c r="N130" s="1">
        <f t="shared" ca="1" si="66"/>
        <v>670</v>
      </c>
      <c r="O130" s="1">
        <f t="shared" ca="1" si="67"/>
        <v>15</v>
      </c>
      <c r="P130" s="1"/>
      <c r="Q130" s="1">
        <f t="shared" ca="1" si="68"/>
        <v>3.8272429507637322</v>
      </c>
      <c r="R130" s="1">
        <f t="shared" ca="1" si="69"/>
        <v>532</v>
      </c>
      <c r="S130" s="1"/>
      <c r="T130" s="1">
        <f t="shared" ca="1" si="70"/>
        <v>0.14821332675010357</v>
      </c>
      <c r="U130" s="1">
        <f t="shared" ca="1" si="71"/>
        <v>403</v>
      </c>
      <c r="V130" s="1">
        <f t="shared" ca="1" si="72"/>
        <v>2</v>
      </c>
      <c r="W130" s="1"/>
      <c r="X130" s="1">
        <f t="shared" ca="1" si="73"/>
        <v>2.7461719138416809</v>
      </c>
      <c r="Y130" s="1">
        <f t="shared" ca="1" si="74"/>
        <v>0.78754102964212225</v>
      </c>
      <c r="Z130" s="1">
        <f t="shared" ca="1" si="75"/>
        <v>847</v>
      </c>
      <c r="AB130" s="1">
        <f t="shared" ca="1" si="76"/>
        <v>0.65544206575364461</v>
      </c>
      <c r="AC130" s="1">
        <f t="shared" ca="1" si="77"/>
        <v>795</v>
      </c>
      <c r="AD130" s="1">
        <f t="shared" ca="1" si="78"/>
        <v>8.1676575289184958E-3</v>
      </c>
      <c r="AE130" s="1"/>
      <c r="AF130" s="1">
        <f t="shared" ca="1" si="79"/>
        <v>0.74209401976190337</v>
      </c>
      <c r="AG130" s="1">
        <f t="shared" ca="1" si="80"/>
        <v>555</v>
      </c>
      <c r="AH130" s="1">
        <f t="shared" ca="1" si="81"/>
        <v>8.5190656457821302E-3</v>
      </c>
      <c r="AJ130" s="1">
        <f t="shared" ca="1" si="82"/>
        <v>1.3929904270577054E-2</v>
      </c>
      <c r="AK130" s="1">
        <f t="shared" ca="1" si="83"/>
        <v>4.5638600403844903E-3</v>
      </c>
      <c r="AL130" s="1"/>
      <c r="AM130" s="1">
        <f t="shared" ca="1" si="84"/>
        <v>0.18994494327607167</v>
      </c>
      <c r="AN130" s="1">
        <f t="shared" ca="1" si="85"/>
        <v>27</v>
      </c>
      <c r="AO130" s="1">
        <f t="shared" ca="1" si="86"/>
        <v>2</v>
      </c>
      <c r="AQ130" s="1">
        <f t="shared" ca="1" si="87"/>
        <v>117</v>
      </c>
      <c r="AR130" s="1">
        <f t="shared" ca="1" si="88"/>
        <v>2</v>
      </c>
      <c r="AS130" s="1">
        <f t="shared" ca="1" si="89"/>
        <v>12</v>
      </c>
      <c r="AU130" s="1">
        <f t="shared" ca="1" si="90"/>
        <v>339</v>
      </c>
      <c r="AV130" s="1">
        <f t="shared" ca="1" si="91"/>
        <v>5</v>
      </c>
      <c r="AW130" s="1">
        <f t="shared" ca="1" si="92"/>
        <v>3.3030055681944046E-2</v>
      </c>
      <c r="AY130" s="1">
        <f t="shared" ca="1" si="93"/>
        <v>1.483105748870063</v>
      </c>
      <c r="AZ130" s="1">
        <f t="shared" ca="1" si="94"/>
        <v>59</v>
      </c>
      <c r="BA130" s="1">
        <f t="shared" ca="1" si="95"/>
        <v>4.2315128777034652E-3</v>
      </c>
      <c r="BV130" s="1">
        <f t="shared" ca="1" si="96"/>
        <v>0.78762287887268512</v>
      </c>
      <c r="BW130" s="1">
        <f t="shared" ca="1" si="97"/>
        <v>463</v>
      </c>
      <c r="BX130" s="1">
        <f t="shared" ca="1" si="98"/>
        <v>7.6962342581190189E-3</v>
      </c>
      <c r="BY130" s="1">
        <f t="shared" ca="1" si="99"/>
        <v>5.7975688362778284E-2</v>
      </c>
      <c r="BZ130" s="1">
        <f t="shared" ca="1" si="100"/>
        <v>0.47489372233893223</v>
      </c>
      <c r="CB130" s="1">
        <f t="shared" ca="1" si="101"/>
        <v>490</v>
      </c>
      <c r="CC130" s="1">
        <f t="shared" ca="1" si="102"/>
        <v>12</v>
      </c>
      <c r="CD130" s="1">
        <f t="shared" ca="1" si="103"/>
        <v>0.14133455137358372</v>
      </c>
      <c r="CE130" s="1">
        <f t="shared" ca="1" si="113"/>
        <v>0.85163314499885967</v>
      </c>
      <c r="CF130" s="1">
        <f t="shared" ca="1" si="113"/>
        <v>0.70926858905022472</v>
      </c>
      <c r="CH130" s="3">
        <f t="shared" ca="1" si="105"/>
        <v>0.65366136055022905</v>
      </c>
      <c r="CI130" s="3">
        <f t="shared" ca="1" si="106"/>
        <v>0.2420040266239174</v>
      </c>
      <c r="CJ130" s="3">
        <f t="shared" ca="1" si="107"/>
        <v>627</v>
      </c>
      <c r="CK130" s="3">
        <f t="shared" ca="1" si="108"/>
        <v>7.2823274040516948E-3</v>
      </c>
      <c r="CL130" s="3">
        <f t="shared" ca="1" si="109"/>
        <v>0</v>
      </c>
      <c r="CM130" s="3"/>
      <c r="CN130" s="1">
        <f t="shared" ca="1" si="110"/>
        <v>15.101282574308661</v>
      </c>
      <c r="CO130" s="1">
        <f t="shared" ca="1" si="111"/>
        <v>4.2772297965511921E-2</v>
      </c>
      <c r="CP130" s="1">
        <f t="shared" ca="1" si="112"/>
        <v>3</v>
      </c>
    </row>
    <row r="131" spans="2:94" x14ac:dyDescent="0.25">
      <c r="B131">
        <f t="shared" ca="1" si="57"/>
        <v>284</v>
      </c>
      <c r="C131">
        <f t="shared" ca="1" si="58"/>
        <v>46</v>
      </c>
      <c r="D131">
        <f t="shared" ca="1" si="59"/>
        <v>0.10407998783135082</v>
      </c>
      <c r="F131" s="1">
        <f t="shared" ca="1" si="60"/>
        <v>16</v>
      </c>
      <c r="G131" s="1">
        <f t="shared" ca="1" si="61"/>
        <v>11</v>
      </c>
      <c r="H131" s="1">
        <f t="shared" ca="1" si="62"/>
        <v>6</v>
      </c>
      <c r="I131" s="1"/>
      <c r="J131" s="1">
        <f t="shared" ca="1" si="63"/>
        <v>11</v>
      </c>
      <c r="K131" s="1">
        <f t="shared" ca="1" si="64"/>
        <v>2.4769852441600446</v>
      </c>
      <c r="L131" s="1">
        <f t="shared" ca="1" si="65"/>
        <v>17</v>
      </c>
      <c r="M131" s="1"/>
      <c r="N131" s="1">
        <f t="shared" ca="1" si="66"/>
        <v>409</v>
      </c>
      <c r="O131" s="1">
        <f t="shared" ca="1" si="67"/>
        <v>41</v>
      </c>
      <c r="P131" s="1"/>
      <c r="Q131" s="1">
        <f t="shared" ca="1" si="68"/>
        <v>1.0613188884876936</v>
      </c>
      <c r="R131" s="1">
        <f t="shared" ca="1" si="69"/>
        <v>298</v>
      </c>
      <c r="S131" s="1"/>
      <c r="T131" s="1">
        <f t="shared" ca="1" si="70"/>
        <v>0.17525066040989537</v>
      </c>
      <c r="U131" s="1">
        <f t="shared" ca="1" si="71"/>
        <v>187</v>
      </c>
      <c r="V131" s="1">
        <f t="shared" ca="1" si="72"/>
        <v>46</v>
      </c>
      <c r="W131" s="1"/>
      <c r="X131" s="1">
        <f t="shared" ca="1" si="73"/>
        <v>7.8451386709314361</v>
      </c>
      <c r="Y131" s="1">
        <f t="shared" ca="1" si="74"/>
        <v>0.74680302704089474</v>
      </c>
      <c r="Z131" s="1">
        <f t="shared" ca="1" si="75"/>
        <v>1931</v>
      </c>
      <c r="AB131" s="1">
        <f t="shared" ca="1" si="76"/>
        <v>0.95544882660833519</v>
      </c>
      <c r="AC131" s="1">
        <f t="shared" ca="1" si="77"/>
        <v>799</v>
      </c>
      <c r="AD131" s="1">
        <f t="shared" ca="1" si="78"/>
        <v>3.2332664389927417E-3</v>
      </c>
      <c r="AE131" s="1"/>
      <c r="AF131" s="1">
        <f t="shared" ca="1" si="79"/>
        <v>0.60418269869691987</v>
      </c>
      <c r="AG131" s="1">
        <f t="shared" ca="1" si="80"/>
        <v>376</v>
      </c>
      <c r="AH131" s="1">
        <f t="shared" ca="1" si="81"/>
        <v>3.2962585756297819E-3</v>
      </c>
      <c r="AJ131" s="1">
        <f t="shared" ca="1" si="82"/>
        <v>0.34920954735169429</v>
      </c>
      <c r="AK131" s="1">
        <f t="shared" ca="1" si="83"/>
        <v>9.3767772640878707E-3</v>
      </c>
      <c r="AL131" s="1"/>
      <c r="AM131" s="1">
        <f t="shared" ca="1" si="84"/>
        <v>0.13957895231522879</v>
      </c>
      <c r="AN131" s="1">
        <f t="shared" ca="1" si="85"/>
        <v>16</v>
      </c>
      <c r="AO131" s="1">
        <f t="shared" ca="1" si="86"/>
        <v>12</v>
      </c>
      <c r="AQ131" s="1">
        <f t="shared" ca="1" si="87"/>
        <v>173</v>
      </c>
      <c r="AR131" s="1">
        <f t="shared" ca="1" si="88"/>
        <v>8</v>
      </c>
      <c r="AS131" s="1">
        <f t="shared" ca="1" si="89"/>
        <v>100</v>
      </c>
      <c r="AU131" s="1">
        <f t="shared" ca="1" si="90"/>
        <v>276</v>
      </c>
      <c r="AV131" s="1">
        <f t="shared" ca="1" si="91"/>
        <v>8</v>
      </c>
      <c r="AW131" s="1">
        <f t="shared" ca="1" si="92"/>
        <v>0.15087978860376294</v>
      </c>
      <c r="AY131" s="1">
        <f t="shared" ca="1" si="93"/>
        <v>1.8403085239995676</v>
      </c>
      <c r="AZ131" s="1">
        <f t="shared" ca="1" si="94"/>
        <v>241</v>
      </c>
      <c r="BA131" s="1">
        <f t="shared" ca="1" si="95"/>
        <v>2.429540992788891E-3</v>
      </c>
      <c r="BV131" s="1">
        <f t="shared" ca="1" si="96"/>
        <v>0.48265343275482375</v>
      </c>
      <c r="BW131" s="1">
        <f t="shared" ca="1" si="97"/>
        <v>795</v>
      </c>
      <c r="BX131" s="1">
        <f t="shared" ca="1" si="98"/>
        <v>2.7521891865345885E-3</v>
      </c>
      <c r="BY131" s="1">
        <f t="shared" ca="1" si="99"/>
        <v>2.4266513506085705E-2</v>
      </c>
      <c r="BZ131" s="1">
        <f t="shared" ca="1" si="100"/>
        <v>0.50513253076007725</v>
      </c>
      <c r="CB131" s="1">
        <f t="shared" ca="1" si="101"/>
        <v>358</v>
      </c>
      <c r="CC131" s="1">
        <f t="shared" ca="1" si="102"/>
        <v>9</v>
      </c>
      <c r="CD131" s="1">
        <f t="shared" ca="1" si="103"/>
        <v>0.19426595203019861</v>
      </c>
      <c r="CE131" s="1">
        <f t="shared" ca="1" si="113"/>
        <v>0.6387642715696793</v>
      </c>
      <c r="CF131" s="1">
        <f t="shared" ca="1" si="113"/>
        <v>0.67240843021390573</v>
      </c>
      <c r="CH131" s="3">
        <f t="shared" ca="1" si="105"/>
        <v>0.64632106757532604</v>
      </c>
      <c r="CI131" s="3">
        <f t="shared" ca="1" si="106"/>
        <v>0.55281705528224023</v>
      </c>
      <c r="CJ131" s="3">
        <f t="shared" ca="1" si="107"/>
        <v>589</v>
      </c>
      <c r="CK131" s="3">
        <f t="shared" ca="1" si="108"/>
        <v>4.3970390794963775E-3</v>
      </c>
      <c r="CL131" s="3">
        <f t="shared" ca="1" si="109"/>
        <v>0</v>
      </c>
      <c r="CM131" s="3"/>
      <c r="CN131" s="1">
        <f t="shared" ca="1" si="110"/>
        <v>8.6727993519000446</v>
      </c>
      <c r="CO131" s="1">
        <f t="shared" ca="1" si="111"/>
        <v>0.16674886269005279</v>
      </c>
      <c r="CP131" s="1">
        <f t="shared" ca="1" si="112"/>
        <v>4</v>
      </c>
    </row>
    <row r="132" spans="2:94" x14ac:dyDescent="0.25">
      <c r="B132">
        <f t="shared" ref="B132:B195" ca="1" si="114">RANDBETWEEN(15,1000)</f>
        <v>737</v>
      </c>
      <c r="C132">
        <f t="shared" ref="C132:C195" ca="1" si="115">RANDBETWEEN(2,52)</f>
        <v>14</v>
      </c>
      <c r="D132">
        <f t="shared" ref="D132:D195" ca="1" si="116">RAND()*(0.3-0.01)+0.01</f>
        <v>5.5343340523965473E-2</v>
      </c>
      <c r="F132" s="1">
        <f t="shared" ref="F132:F195" ca="1" si="117">RANDBETWEEN(2,52)</f>
        <v>10</v>
      </c>
      <c r="G132" s="1">
        <f t="shared" ref="G132:G195" ca="1" si="118">RANDBETWEEN(2,30)</f>
        <v>19</v>
      </c>
      <c r="H132" s="1">
        <f t="shared" ref="H132:H195" ca="1" si="119">RANDBETWEEN(1,15)</f>
        <v>14</v>
      </c>
      <c r="I132" s="1"/>
      <c r="J132" s="1">
        <f t="shared" ref="J132:J195" ca="1" si="120">RANDBETWEEN(1,39)</f>
        <v>28</v>
      </c>
      <c r="K132" s="1">
        <f t="shared" ref="K132:K195" ca="1" si="121">RAND()*(3-1)+1</f>
        <v>2.2506862761487847</v>
      </c>
      <c r="L132" s="1">
        <f t="shared" ref="L132:L195" ca="1" si="122">RANDBETWEEN(2,35)</f>
        <v>6</v>
      </c>
      <c r="M132" s="1"/>
      <c r="N132" s="1">
        <f t="shared" ref="N132:N195" ca="1" si="123">RANDBETWEEN(15,1000)</f>
        <v>502</v>
      </c>
      <c r="O132" s="1">
        <f t="shared" ref="O132:O195" ca="1" si="124">RANDBETWEEN(2,52)</f>
        <v>42</v>
      </c>
      <c r="P132" s="1"/>
      <c r="Q132" s="1">
        <f t="shared" ref="Q132:Q195" ca="1" si="125">RAND()*(5-0.01)+0.01</f>
        <v>3.8546675745194046</v>
      </c>
      <c r="R132" s="1">
        <f t="shared" ref="R132:R195" ca="1" si="126">RANDBETWEEN(200,1200)</f>
        <v>556</v>
      </c>
      <c r="S132" s="1"/>
      <c r="T132" s="1">
        <f t="shared" ref="T132:T195" ca="1" si="127">RAND()*(0.2-0.01)+0.01</f>
        <v>0.17640476949599704</v>
      </c>
      <c r="U132" s="1">
        <f t="shared" ref="U132:U195" ca="1" si="128">RANDBETWEEN(50,450)</f>
        <v>259</v>
      </c>
      <c r="V132" s="1">
        <f t="shared" ref="V132:V195" ca="1" si="129">RANDBETWEEN(2,52)</f>
        <v>3</v>
      </c>
      <c r="W132" s="1"/>
      <c r="X132" s="1">
        <f t="shared" ref="X132:X195" ca="1" si="130">RAND()*(10-0.01)+0.01</f>
        <v>6.6466429257344233</v>
      </c>
      <c r="Y132" s="1">
        <f t="shared" ref="Y132:Y195" ca="1" si="131">RAND()*(1-0.0001)+0.0001</f>
        <v>0.38703867510171946</v>
      </c>
      <c r="Z132" s="1">
        <f t="shared" ref="Z132:Z195" ca="1" si="132">RANDBETWEEN(100,2000)</f>
        <v>1817</v>
      </c>
      <c r="AB132" s="1">
        <f t="shared" ref="AB132:AB195" ca="1" si="133">RAND()*(1-0.0001)+0.0001</f>
        <v>0.29477074261107689</v>
      </c>
      <c r="AC132" s="1">
        <f t="shared" ref="AC132:AC195" ca="1" si="134">RANDBETWEEN(100,1000)</f>
        <v>197</v>
      </c>
      <c r="AD132" s="1">
        <f t="shared" ref="AD132:AD195" ca="1" si="135">RAND()*(0.01-0.00001)+0.00001</f>
        <v>7.4885404648758246E-3</v>
      </c>
      <c r="AE132" s="1"/>
      <c r="AF132" s="1">
        <f t="shared" ref="AF132:AF195" ca="1" si="136">RAND()*(0.9-0.1)+0.1</f>
        <v>0.48146167664171391</v>
      </c>
      <c r="AG132" s="1">
        <f t="shared" ref="AG132:AG195" ca="1" si="137">RANDBETWEEN(100,1000)</f>
        <v>787</v>
      </c>
      <c r="AH132" s="1">
        <f t="shared" ref="AH132:AH195" ca="1" si="138">RAND()*(0.01-0.00001)+0.00001</f>
        <v>3.7485508568581168E-3</v>
      </c>
      <c r="AJ132" s="1">
        <f t="shared" ref="AJ132:AJ195" ca="1" si="139">RAND()*(1-0)+0</f>
        <v>0.91943878043880445</v>
      </c>
      <c r="AK132" s="1">
        <f t="shared" ref="AK132:AK195" ca="1" si="140">RAND()*(0.01-0.00001)+0.00001</f>
        <v>9.1783666347493662E-3</v>
      </c>
      <c r="AL132" s="1"/>
      <c r="AM132" s="1">
        <f t="shared" ref="AM132:AM195" ca="1" si="141">RAND()*(0.2-0.005)+0.005</f>
        <v>8.6527580809302992E-2</v>
      </c>
      <c r="AN132" s="1">
        <f t="shared" ref="AN132:AN195" ca="1" si="142">RANDBETWEEN(10,80)</f>
        <v>23</v>
      </c>
      <c r="AO132" s="1">
        <f t="shared" ref="AO132:AO195" ca="1" si="143">RANDBETWEEN(-1,20)</f>
        <v>20</v>
      </c>
      <c r="AQ132" s="1">
        <f t="shared" ref="AQ132:AQ195" ca="1" si="144">RANDBETWEEN(10,200)</f>
        <v>82</v>
      </c>
      <c r="AR132" s="1">
        <f t="shared" ref="AR132:AR195" ca="1" si="145">RANDBETWEEN(0,10)</f>
        <v>8</v>
      </c>
      <c r="AS132" s="1">
        <f t="shared" ref="AS132:AS195" ca="1" si="146">RANDBETWEEN(1,100)</f>
        <v>82</v>
      </c>
      <c r="AU132" s="1">
        <f t="shared" ref="AU132:AU195" ca="1" si="147">RANDBETWEEN(50,400)</f>
        <v>256</v>
      </c>
      <c r="AV132" s="1">
        <f t="shared" ref="AV132:AV195" ca="1" si="148">RANDBETWEEN(2,10)</f>
        <v>9</v>
      </c>
      <c r="AW132" s="1">
        <f t="shared" ref="AW132:AW195" ca="1" si="149">RAND()*(0.2-0.01)+0.01</f>
        <v>8.5898753215610149E-2</v>
      </c>
      <c r="AY132" s="1">
        <f t="shared" ref="AY132:AY195" ca="1" si="150">RAND()*(2-1.1)+1.1</f>
        <v>1.2821890959305533</v>
      </c>
      <c r="AZ132" s="1">
        <f t="shared" ref="AZ132:AZ195" ca="1" si="151">RANDBETWEEN(50,500)</f>
        <v>462</v>
      </c>
      <c r="BA132" s="1">
        <f t="shared" ref="BA132:BA195" ca="1" si="152">RAND()*(0.01-0.00001)+0.00001</f>
        <v>5.3462093996882475E-4</v>
      </c>
      <c r="BV132" s="1">
        <f t="shared" ref="BV132:BV195" ca="1" si="153">RAND()*(1-0.0001)+0.0001</f>
        <v>0.53063596673288127</v>
      </c>
      <c r="BW132" s="1">
        <f t="shared" ref="BW132:BW195" ca="1" si="154">RANDBETWEEN(100,1000)</f>
        <v>416</v>
      </c>
      <c r="BX132" s="1">
        <f t="shared" ref="BX132:BX195" ca="1" si="155">RAND()*(0.01-0.00001)+0.00001</f>
        <v>4.6408814507520107E-3</v>
      </c>
      <c r="BY132" s="1">
        <f t="shared" ref="BY132:BY195" ca="1" si="156">RAND()*(0.1-0.0001)+0.0001</f>
        <v>9.1417506302659088E-2</v>
      </c>
      <c r="BZ132" s="1">
        <f t="shared" ref="BZ132:BZ195" ca="1" si="157">RAND()*(1-0)+0</f>
        <v>0.87568463951757458</v>
      </c>
      <c r="CB132" s="1">
        <f t="shared" ref="CB132:CB195" ca="1" si="158">RANDBETWEEN(50,500)</f>
        <v>315</v>
      </c>
      <c r="CC132" s="1">
        <f t="shared" ref="CC132:CC195" ca="1" si="159">RANDBETWEEN(3,15)</f>
        <v>15</v>
      </c>
      <c r="CD132" s="1">
        <f t="shared" ref="CD132:CD195" ca="1" si="160">RAND()*(0.3-0.01)+0.01</f>
        <v>0.13646983326944354</v>
      </c>
      <c r="CE132" s="1">
        <f t="shared" ref="CE132:CF163" ca="1" si="161">RAND()*(1-0.5)+0.5</f>
        <v>0.84291207313032823</v>
      </c>
      <c r="CF132" s="1">
        <f t="shared" ca="1" si="161"/>
        <v>0.7973472077788083</v>
      </c>
      <c r="CH132" s="3">
        <f t="shared" ref="CH132:CH195" ca="1" si="162">RAND()*(1-0.0001)+0.0001</f>
        <v>0.95748282131077667</v>
      </c>
      <c r="CI132" s="3">
        <f t="shared" ref="CI132:CI195" ca="1" si="163">RAND()*(0.99-0.01)+0.01</f>
        <v>0.84756020631045359</v>
      </c>
      <c r="CJ132" s="3">
        <f t="shared" ref="CJ132:CJ195" ca="1" si="164">RANDBETWEEN(100,2000)</f>
        <v>957</v>
      </c>
      <c r="CK132" s="3">
        <f t="shared" ref="CK132:CK195" ca="1" si="165">RAND()*(0.01-0.000001)+0.000001</f>
        <v>8.0109827670152185E-3</v>
      </c>
      <c r="CL132" s="3">
        <f t="shared" ref="CL132:CL195" ca="1" si="166">RANDBETWEEN(0,1)</f>
        <v>0</v>
      </c>
      <c r="CM132" s="3"/>
      <c r="CN132" s="1">
        <f t="shared" ref="CN132:CN195" ca="1" si="167">RAND()*(20-0.1)+0.1</f>
        <v>3.3013221482965025</v>
      </c>
      <c r="CO132" s="1">
        <f t="shared" ref="CO132:CO195" ca="1" si="168">RAND()*(0.5-0.001)+0.001</f>
        <v>4.8603304703585481E-2</v>
      </c>
      <c r="CP132" s="1">
        <f t="shared" ref="CP132:CP195" ca="1" si="169">RANDBETWEEN(1,5)</f>
        <v>3</v>
      </c>
    </row>
    <row r="133" spans="2:94" x14ac:dyDescent="0.25">
      <c r="B133">
        <f t="shared" ca="1" si="114"/>
        <v>160</v>
      </c>
      <c r="C133">
        <f t="shared" ca="1" si="115"/>
        <v>2</v>
      </c>
      <c r="D133">
        <f t="shared" ca="1" si="116"/>
        <v>0.18060321081097494</v>
      </c>
      <c r="F133" s="1">
        <f t="shared" ca="1" si="117"/>
        <v>42</v>
      </c>
      <c r="G133" s="1">
        <f t="shared" ca="1" si="118"/>
        <v>22</v>
      </c>
      <c r="H133" s="1">
        <f t="shared" ca="1" si="119"/>
        <v>12</v>
      </c>
      <c r="I133" s="1"/>
      <c r="J133" s="1">
        <f t="shared" ca="1" si="120"/>
        <v>5</v>
      </c>
      <c r="K133" s="1">
        <f t="shared" ca="1" si="121"/>
        <v>2.7543206034567529</v>
      </c>
      <c r="L133" s="1">
        <f t="shared" ca="1" si="122"/>
        <v>35</v>
      </c>
      <c r="M133" s="1"/>
      <c r="N133" s="1">
        <f t="shared" ca="1" si="123"/>
        <v>582</v>
      </c>
      <c r="O133" s="1">
        <f t="shared" ca="1" si="124"/>
        <v>4</v>
      </c>
      <c r="P133" s="1"/>
      <c r="Q133" s="1">
        <f t="shared" ca="1" si="125"/>
        <v>4.4926955425930517</v>
      </c>
      <c r="R133" s="1">
        <f t="shared" ca="1" si="126"/>
        <v>893</v>
      </c>
      <c r="S133" s="1"/>
      <c r="T133" s="1">
        <f t="shared" ca="1" si="127"/>
        <v>0.19374048370628838</v>
      </c>
      <c r="U133" s="1">
        <f t="shared" ca="1" si="128"/>
        <v>107</v>
      </c>
      <c r="V133" s="1">
        <f t="shared" ca="1" si="129"/>
        <v>34</v>
      </c>
      <c r="W133" s="1"/>
      <c r="X133" s="1">
        <f t="shared" ca="1" si="130"/>
        <v>5.4610539364628936</v>
      </c>
      <c r="Y133" s="1">
        <f t="shared" ca="1" si="131"/>
        <v>0.21213653393770213</v>
      </c>
      <c r="Z133" s="1">
        <f t="shared" ca="1" si="132"/>
        <v>1407</v>
      </c>
      <c r="AB133" s="1">
        <f t="shared" ca="1" si="133"/>
        <v>0.40470012869522559</v>
      </c>
      <c r="AC133" s="1">
        <f t="shared" ca="1" si="134"/>
        <v>872</v>
      </c>
      <c r="AD133" s="1">
        <f t="shared" ca="1" si="135"/>
        <v>5.5065986756207405E-3</v>
      </c>
      <c r="AE133" s="1"/>
      <c r="AF133" s="1">
        <f t="shared" ca="1" si="136"/>
        <v>0.71167473628842937</v>
      </c>
      <c r="AG133" s="1">
        <f t="shared" ca="1" si="137"/>
        <v>736</v>
      </c>
      <c r="AH133" s="1">
        <f t="shared" ca="1" si="138"/>
        <v>3.4706631962663497E-3</v>
      </c>
      <c r="AJ133" s="1">
        <f t="shared" ca="1" si="139"/>
        <v>0.63565419065859452</v>
      </c>
      <c r="AK133" s="1">
        <f t="shared" ca="1" si="140"/>
        <v>7.8858553764060216E-3</v>
      </c>
      <c r="AL133" s="1"/>
      <c r="AM133" s="1">
        <f t="shared" ca="1" si="141"/>
        <v>8.1492434628292407E-3</v>
      </c>
      <c r="AN133" s="1">
        <f t="shared" ca="1" si="142"/>
        <v>64</v>
      </c>
      <c r="AO133" s="1">
        <f t="shared" ca="1" si="143"/>
        <v>13</v>
      </c>
      <c r="AQ133" s="1">
        <f t="shared" ca="1" si="144"/>
        <v>154</v>
      </c>
      <c r="AR133" s="1">
        <f t="shared" ca="1" si="145"/>
        <v>6</v>
      </c>
      <c r="AS133" s="1">
        <f t="shared" ca="1" si="146"/>
        <v>35</v>
      </c>
      <c r="AU133" s="1">
        <f t="shared" ca="1" si="147"/>
        <v>329</v>
      </c>
      <c r="AV133" s="1">
        <f t="shared" ca="1" si="148"/>
        <v>2</v>
      </c>
      <c r="AW133" s="1">
        <f t="shared" ca="1" si="149"/>
        <v>0.17692334953923777</v>
      </c>
      <c r="AY133" s="1">
        <f t="shared" ca="1" si="150"/>
        <v>1.8384045291421505</v>
      </c>
      <c r="AZ133" s="1">
        <f t="shared" ca="1" si="151"/>
        <v>389</v>
      </c>
      <c r="BA133" s="1">
        <f t="shared" ca="1" si="152"/>
        <v>9.9458912868062295E-4</v>
      </c>
      <c r="BV133" s="1">
        <f t="shared" ca="1" si="153"/>
        <v>0.35001252117120851</v>
      </c>
      <c r="BW133" s="1">
        <f t="shared" ca="1" si="154"/>
        <v>567</v>
      </c>
      <c r="BX133" s="1">
        <f t="shared" ca="1" si="155"/>
        <v>9.6273452406901265E-3</v>
      </c>
      <c r="BY133" s="1">
        <f t="shared" ca="1" si="156"/>
        <v>9.2994005201659357E-3</v>
      </c>
      <c r="BZ133" s="1">
        <f t="shared" ca="1" si="157"/>
        <v>0.34680286746990674</v>
      </c>
      <c r="CB133" s="1">
        <f t="shared" ca="1" si="158"/>
        <v>385</v>
      </c>
      <c r="CC133" s="1">
        <f t="shared" ca="1" si="159"/>
        <v>11</v>
      </c>
      <c r="CD133" s="1">
        <f t="shared" ca="1" si="160"/>
        <v>0.29808113359602673</v>
      </c>
      <c r="CE133" s="1">
        <f t="shared" ca="1" si="161"/>
        <v>0.74064954374812597</v>
      </c>
      <c r="CF133" s="1">
        <f t="shared" ca="1" si="161"/>
        <v>0.78098964401469106</v>
      </c>
      <c r="CH133" s="3">
        <f t="shared" ca="1" si="162"/>
        <v>0.80164291939235166</v>
      </c>
      <c r="CI133" s="3">
        <f t="shared" ca="1" si="163"/>
        <v>0.64928545062414444</v>
      </c>
      <c r="CJ133" s="3">
        <f t="shared" ca="1" si="164"/>
        <v>494</v>
      </c>
      <c r="CK133" s="3">
        <f t="shared" ca="1" si="165"/>
        <v>5.5049442002820343E-3</v>
      </c>
      <c r="CL133" s="3">
        <f t="shared" ca="1" si="166"/>
        <v>1</v>
      </c>
      <c r="CM133" s="3"/>
      <c r="CN133" s="1">
        <f t="shared" ca="1" si="167"/>
        <v>17.72046595378713</v>
      </c>
      <c r="CO133" s="1">
        <f t="shared" ca="1" si="168"/>
        <v>0.40268072623679235</v>
      </c>
      <c r="CP133" s="1">
        <f t="shared" ca="1" si="169"/>
        <v>3</v>
      </c>
    </row>
    <row r="134" spans="2:94" x14ac:dyDescent="0.25">
      <c r="B134">
        <f t="shared" ca="1" si="114"/>
        <v>195</v>
      </c>
      <c r="C134">
        <f t="shared" ca="1" si="115"/>
        <v>3</v>
      </c>
      <c r="D134">
        <f t="shared" ca="1" si="116"/>
        <v>0.15315243346870588</v>
      </c>
      <c r="F134" s="1">
        <f t="shared" ca="1" si="117"/>
        <v>47</v>
      </c>
      <c r="G134" s="1">
        <f t="shared" ca="1" si="118"/>
        <v>21</v>
      </c>
      <c r="H134" s="1">
        <f t="shared" ca="1" si="119"/>
        <v>10</v>
      </c>
      <c r="I134" s="1"/>
      <c r="J134" s="1">
        <f t="shared" ca="1" si="120"/>
        <v>5</v>
      </c>
      <c r="K134" s="1">
        <f t="shared" ca="1" si="121"/>
        <v>1.3656524427832539</v>
      </c>
      <c r="L134" s="1">
        <f t="shared" ca="1" si="122"/>
        <v>22</v>
      </c>
      <c r="M134" s="1"/>
      <c r="N134" s="1">
        <f t="shared" ca="1" si="123"/>
        <v>384</v>
      </c>
      <c r="O134" s="1">
        <f t="shared" ca="1" si="124"/>
        <v>16</v>
      </c>
      <c r="P134" s="1"/>
      <c r="Q134" s="1">
        <f t="shared" ca="1" si="125"/>
        <v>2.7191546507605056</v>
      </c>
      <c r="R134" s="1">
        <f t="shared" ca="1" si="126"/>
        <v>1074</v>
      </c>
      <c r="S134" s="1"/>
      <c r="T134" s="1">
        <f t="shared" ca="1" si="127"/>
        <v>4.3966295474581515E-2</v>
      </c>
      <c r="U134" s="1">
        <f t="shared" ca="1" si="128"/>
        <v>393</v>
      </c>
      <c r="V134" s="1">
        <f t="shared" ca="1" si="129"/>
        <v>11</v>
      </c>
      <c r="W134" s="1"/>
      <c r="X134" s="1">
        <f t="shared" ca="1" si="130"/>
        <v>5.1742974873373653</v>
      </c>
      <c r="Y134" s="1">
        <f t="shared" ca="1" si="131"/>
        <v>0.76784152578636877</v>
      </c>
      <c r="Z134" s="1">
        <f t="shared" ca="1" si="132"/>
        <v>1663</v>
      </c>
      <c r="AB134" s="1">
        <f t="shared" ca="1" si="133"/>
        <v>0.78477155006245669</v>
      </c>
      <c r="AC134" s="1">
        <f t="shared" ca="1" si="134"/>
        <v>458</v>
      </c>
      <c r="AD134" s="1">
        <f t="shared" ca="1" si="135"/>
        <v>2.4887898008485554E-3</v>
      </c>
      <c r="AE134" s="1"/>
      <c r="AF134" s="1">
        <f t="shared" ca="1" si="136"/>
        <v>0.66988237134953854</v>
      </c>
      <c r="AG134" s="1">
        <f t="shared" ca="1" si="137"/>
        <v>754</v>
      </c>
      <c r="AH134" s="1">
        <f t="shared" ca="1" si="138"/>
        <v>8.7407570452230458E-3</v>
      </c>
      <c r="AJ134" s="1">
        <f t="shared" ca="1" si="139"/>
        <v>0.74257502423641719</v>
      </c>
      <c r="AK134" s="1">
        <f t="shared" ca="1" si="140"/>
        <v>5.8198703730175999E-3</v>
      </c>
      <c r="AL134" s="1"/>
      <c r="AM134" s="1">
        <f t="shared" ca="1" si="141"/>
        <v>0.18271584993716306</v>
      </c>
      <c r="AN134" s="1">
        <f t="shared" ca="1" si="142"/>
        <v>53</v>
      </c>
      <c r="AO134" s="1">
        <f t="shared" ca="1" si="143"/>
        <v>-1</v>
      </c>
      <c r="AQ134" s="1">
        <f t="shared" ca="1" si="144"/>
        <v>191</v>
      </c>
      <c r="AR134" s="1">
        <f t="shared" ca="1" si="145"/>
        <v>4</v>
      </c>
      <c r="AS134" s="1">
        <f t="shared" ca="1" si="146"/>
        <v>24</v>
      </c>
      <c r="AU134" s="1">
        <f t="shared" ca="1" si="147"/>
        <v>353</v>
      </c>
      <c r="AV134" s="1">
        <f t="shared" ca="1" si="148"/>
        <v>6</v>
      </c>
      <c r="AW134" s="1">
        <f t="shared" ca="1" si="149"/>
        <v>0.1998361422453204</v>
      </c>
      <c r="AY134" s="1">
        <f t="shared" ca="1" si="150"/>
        <v>1.6428546796929542</v>
      </c>
      <c r="AZ134" s="1">
        <f t="shared" ca="1" si="151"/>
        <v>240</v>
      </c>
      <c r="BA134" s="1">
        <f t="shared" ca="1" si="152"/>
        <v>9.9875291850582207E-4</v>
      </c>
      <c r="BV134" s="1">
        <f t="shared" ca="1" si="153"/>
        <v>0.63245650903501227</v>
      </c>
      <c r="BW134" s="1">
        <f t="shared" ca="1" si="154"/>
        <v>897</v>
      </c>
      <c r="BX134" s="1">
        <f t="shared" ca="1" si="155"/>
        <v>8.4947814907917474E-3</v>
      </c>
      <c r="BY134" s="1">
        <f t="shared" ca="1" si="156"/>
        <v>5.6289526224508633E-2</v>
      </c>
      <c r="BZ134" s="1">
        <f t="shared" ca="1" si="157"/>
        <v>0.81399786097884808</v>
      </c>
      <c r="CB134" s="1">
        <f t="shared" ca="1" si="158"/>
        <v>225</v>
      </c>
      <c r="CC134" s="1">
        <f t="shared" ca="1" si="159"/>
        <v>6</v>
      </c>
      <c r="CD134" s="1">
        <f t="shared" ca="1" si="160"/>
        <v>0.10153847295689168</v>
      </c>
      <c r="CE134" s="1">
        <f t="shared" ca="1" si="161"/>
        <v>0.88949224713927455</v>
      </c>
      <c r="CF134" s="1">
        <f t="shared" ca="1" si="161"/>
        <v>0.67106438470218455</v>
      </c>
      <c r="CH134" s="3">
        <f t="shared" ca="1" si="162"/>
        <v>0.79695497495990975</v>
      </c>
      <c r="CI134" s="3">
        <f t="shared" ca="1" si="163"/>
        <v>0.60905712862579919</v>
      </c>
      <c r="CJ134" s="3">
        <f t="shared" ca="1" si="164"/>
        <v>1322</v>
      </c>
      <c r="CK134" s="3">
        <f t="shared" ca="1" si="165"/>
        <v>3.1896320683291101E-3</v>
      </c>
      <c r="CL134" s="3">
        <f t="shared" ca="1" si="166"/>
        <v>0</v>
      </c>
      <c r="CM134" s="3"/>
      <c r="CN134" s="1">
        <f t="shared" ca="1" si="167"/>
        <v>13.999593808900224</v>
      </c>
      <c r="CO134" s="1">
        <f t="shared" ca="1" si="168"/>
        <v>5.0885543884212604E-2</v>
      </c>
      <c r="CP134" s="1">
        <f t="shared" ca="1" si="169"/>
        <v>5</v>
      </c>
    </row>
    <row r="135" spans="2:94" x14ac:dyDescent="0.25">
      <c r="B135">
        <f t="shared" ca="1" si="114"/>
        <v>914</v>
      </c>
      <c r="C135">
        <f t="shared" ca="1" si="115"/>
        <v>38</v>
      </c>
      <c r="D135">
        <f t="shared" ca="1" si="116"/>
        <v>0.24753018532821505</v>
      </c>
      <c r="F135" s="1">
        <f t="shared" ca="1" si="117"/>
        <v>5</v>
      </c>
      <c r="G135" s="1">
        <f t="shared" ca="1" si="118"/>
        <v>6</v>
      </c>
      <c r="H135" s="1">
        <f t="shared" ca="1" si="119"/>
        <v>8</v>
      </c>
      <c r="I135" s="1"/>
      <c r="J135" s="1">
        <f t="shared" ca="1" si="120"/>
        <v>26</v>
      </c>
      <c r="K135" s="1">
        <f t="shared" ca="1" si="121"/>
        <v>2.7634893666528253</v>
      </c>
      <c r="L135" s="1">
        <f t="shared" ca="1" si="122"/>
        <v>8</v>
      </c>
      <c r="M135" s="1"/>
      <c r="N135" s="1">
        <f t="shared" ca="1" si="123"/>
        <v>29</v>
      </c>
      <c r="O135" s="1">
        <f t="shared" ca="1" si="124"/>
        <v>35</v>
      </c>
      <c r="P135" s="1"/>
      <c r="Q135" s="1">
        <f t="shared" ca="1" si="125"/>
        <v>3.5238639702316856</v>
      </c>
      <c r="R135" s="1">
        <f t="shared" ca="1" si="126"/>
        <v>456</v>
      </c>
      <c r="S135" s="1"/>
      <c r="T135" s="1">
        <f t="shared" ca="1" si="127"/>
        <v>4.1769732016874346E-2</v>
      </c>
      <c r="U135" s="1">
        <f t="shared" ca="1" si="128"/>
        <v>183</v>
      </c>
      <c r="V135" s="1">
        <f t="shared" ca="1" si="129"/>
        <v>6</v>
      </c>
      <c r="W135" s="1"/>
      <c r="X135" s="1">
        <f t="shared" ca="1" si="130"/>
        <v>0.19827922324003366</v>
      </c>
      <c r="Y135" s="1">
        <f t="shared" ca="1" si="131"/>
        <v>7.700545627679195E-2</v>
      </c>
      <c r="Z135" s="1">
        <f t="shared" ca="1" si="132"/>
        <v>929</v>
      </c>
      <c r="AB135" s="1">
        <f t="shared" ca="1" si="133"/>
        <v>0.2275086734437379</v>
      </c>
      <c r="AC135" s="1">
        <f t="shared" ca="1" si="134"/>
        <v>395</v>
      </c>
      <c r="AD135" s="1">
        <f t="shared" ca="1" si="135"/>
        <v>6.3825546185849588E-3</v>
      </c>
      <c r="AE135" s="1"/>
      <c r="AF135" s="1">
        <f t="shared" ca="1" si="136"/>
        <v>0.2602907579641085</v>
      </c>
      <c r="AG135" s="1">
        <f t="shared" ca="1" si="137"/>
        <v>324</v>
      </c>
      <c r="AH135" s="1">
        <f t="shared" ca="1" si="138"/>
        <v>2.7701228538400875E-3</v>
      </c>
      <c r="AJ135" s="1">
        <f t="shared" ca="1" si="139"/>
        <v>0.87122096913224034</v>
      </c>
      <c r="AK135" s="1">
        <f t="shared" ca="1" si="140"/>
        <v>7.5906986974830556E-3</v>
      </c>
      <c r="AL135" s="1"/>
      <c r="AM135" s="1">
        <f t="shared" ca="1" si="141"/>
        <v>0.15991310099466807</v>
      </c>
      <c r="AN135" s="1">
        <f t="shared" ca="1" si="142"/>
        <v>20</v>
      </c>
      <c r="AO135" s="1">
        <f t="shared" ca="1" si="143"/>
        <v>2</v>
      </c>
      <c r="AQ135" s="1">
        <f t="shared" ca="1" si="144"/>
        <v>57</v>
      </c>
      <c r="AR135" s="1">
        <f t="shared" ca="1" si="145"/>
        <v>6</v>
      </c>
      <c r="AS135" s="1">
        <f t="shared" ca="1" si="146"/>
        <v>8</v>
      </c>
      <c r="AU135" s="1">
        <f t="shared" ca="1" si="147"/>
        <v>161</v>
      </c>
      <c r="AV135" s="1">
        <f t="shared" ca="1" si="148"/>
        <v>5</v>
      </c>
      <c r="AW135" s="1">
        <f t="shared" ca="1" si="149"/>
        <v>0.11527829304186321</v>
      </c>
      <c r="AY135" s="1">
        <f t="shared" ca="1" si="150"/>
        <v>1.3662123639587493</v>
      </c>
      <c r="AZ135" s="1">
        <f t="shared" ca="1" si="151"/>
        <v>461</v>
      </c>
      <c r="BA135" s="1">
        <f t="shared" ca="1" si="152"/>
        <v>6.7985916764173185E-3</v>
      </c>
      <c r="BV135" s="1">
        <f t="shared" ca="1" si="153"/>
        <v>1.8522074007774045E-2</v>
      </c>
      <c r="BW135" s="1">
        <f t="shared" ca="1" si="154"/>
        <v>281</v>
      </c>
      <c r="BX135" s="1">
        <f t="shared" ca="1" si="155"/>
        <v>4.4050697140705381E-3</v>
      </c>
      <c r="BY135" s="1">
        <f t="shared" ca="1" si="156"/>
        <v>9.228651236895144E-2</v>
      </c>
      <c r="BZ135" s="1">
        <f t="shared" ca="1" si="157"/>
        <v>2.8363615722402646E-2</v>
      </c>
      <c r="CB135" s="1">
        <f t="shared" ca="1" si="158"/>
        <v>61</v>
      </c>
      <c r="CC135" s="1">
        <f t="shared" ca="1" si="159"/>
        <v>4</v>
      </c>
      <c r="CD135" s="1">
        <f t="shared" ca="1" si="160"/>
        <v>1.8990751280951373E-2</v>
      </c>
      <c r="CE135" s="1">
        <f t="shared" ca="1" si="161"/>
        <v>0.51213232218096305</v>
      </c>
      <c r="CF135" s="1">
        <f t="shared" ca="1" si="161"/>
        <v>0.51371960283274931</v>
      </c>
      <c r="CH135" s="3">
        <f t="shared" ca="1" si="162"/>
        <v>0.8307489910417426</v>
      </c>
      <c r="CI135" s="3">
        <f t="shared" ca="1" si="163"/>
        <v>0.14962369877499207</v>
      </c>
      <c r="CJ135" s="3">
        <f t="shared" ca="1" si="164"/>
        <v>1329</v>
      </c>
      <c r="CK135" s="3">
        <f t="shared" ca="1" si="165"/>
        <v>4.1823226481653051E-4</v>
      </c>
      <c r="CL135" s="3">
        <f t="shared" ca="1" si="166"/>
        <v>1</v>
      </c>
      <c r="CM135" s="3"/>
      <c r="CN135" s="1">
        <f t="shared" ca="1" si="167"/>
        <v>9.9862412522350326</v>
      </c>
      <c r="CO135" s="1">
        <f t="shared" ca="1" si="168"/>
        <v>0.4447449019141631</v>
      </c>
      <c r="CP135" s="1">
        <f t="shared" ca="1" si="169"/>
        <v>1</v>
      </c>
    </row>
    <row r="136" spans="2:94" x14ac:dyDescent="0.25">
      <c r="B136">
        <f t="shared" ca="1" si="114"/>
        <v>874</v>
      </c>
      <c r="C136">
        <f t="shared" ca="1" si="115"/>
        <v>6</v>
      </c>
      <c r="D136">
        <f t="shared" ca="1" si="116"/>
        <v>0.20206939225533202</v>
      </c>
      <c r="F136" s="1">
        <f t="shared" ca="1" si="117"/>
        <v>5</v>
      </c>
      <c r="G136" s="1">
        <f t="shared" ca="1" si="118"/>
        <v>13</v>
      </c>
      <c r="H136" s="1">
        <f t="shared" ca="1" si="119"/>
        <v>10</v>
      </c>
      <c r="I136" s="1"/>
      <c r="J136" s="1">
        <f t="shared" ca="1" si="120"/>
        <v>31</v>
      </c>
      <c r="K136" s="1">
        <f t="shared" ca="1" si="121"/>
        <v>1.4680805827221193</v>
      </c>
      <c r="L136" s="1">
        <f t="shared" ca="1" si="122"/>
        <v>19</v>
      </c>
      <c r="M136" s="1"/>
      <c r="N136" s="1">
        <f t="shared" ca="1" si="123"/>
        <v>454</v>
      </c>
      <c r="O136" s="1">
        <f t="shared" ca="1" si="124"/>
        <v>30</v>
      </c>
      <c r="P136" s="1"/>
      <c r="Q136" s="1">
        <f t="shared" ca="1" si="125"/>
        <v>1.8272751835701087</v>
      </c>
      <c r="R136" s="1">
        <f t="shared" ca="1" si="126"/>
        <v>907</v>
      </c>
      <c r="S136" s="1"/>
      <c r="T136" s="1">
        <f t="shared" ca="1" si="127"/>
        <v>0.15798962069506833</v>
      </c>
      <c r="U136" s="1">
        <f t="shared" ca="1" si="128"/>
        <v>82</v>
      </c>
      <c r="V136" s="1">
        <f t="shared" ca="1" si="129"/>
        <v>20</v>
      </c>
      <c r="W136" s="1"/>
      <c r="X136" s="1">
        <f t="shared" ca="1" si="130"/>
        <v>9.5415924436074793</v>
      </c>
      <c r="Y136" s="1">
        <f t="shared" ca="1" si="131"/>
        <v>4.9135714818916279E-2</v>
      </c>
      <c r="Z136" s="1">
        <f t="shared" ca="1" si="132"/>
        <v>1236</v>
      </c>
      <c r="AB136" s="1">
        <f t="shared" ca="1" si="133"/>
        <v>0.51768745846994979</v>
      </c>
      <c r="AC136" s="1">
        <f t="shared" ca="1" si="134"/>
        <v>831</v>
      </c>
      <c r="AD136" s="1">
        <f t="shared" ca="1" si="135"/>
        <v>9.2874550408676461E-3</v>
      </c>
      <c r="AE136" s="1"/>
      <c r="AF136" s="1">
        <f t="shared" ca="1" si="136"/>
        <v>0.7221220297887111</v>
      </c>
      <c r="AG136" s="1">
        <f t="shared" ca="1" si="137"/>
        <v>974</v>
      </c>
      <c r="AH136" s="1">
        <f t="shared" ca="1" si="138"/>
        <v>4.0179939923422536E-3</v>
      </c>
      <c r="AJ136" s="1">
        <f t="shared" ca="1" si="139"/>
        <v>0.80980209865521213</v>
      </c>
      <c r="AK136" s="1">
        <f t="shared" ca="1" si="140"/>
        <v>8.5707026582576074E-4</v>
      </c>
      <c r="AL136" s="1"/>
      <c r="AM136" s="1">
        <f t="shared" ca="1" si="141"/>
        <v>4.4717998863951912E-2</v>
      </c>
      <c r="AN136" s="1">
        <f t="shared" ca="1" si="142"/>
        <v>13</v>
      </c>
      <c r="AO136" s="1">
        <f t="shared" ca="1" si="143"/>
        <v>11</v>
      </c>
      <c r="AQ136" s="1">
        <f t="shared" ca="1" si="144"/>
        <v>172</v>
      </c>
      <c r="AR136" s="1">
        <f t="shared" ca="1" si="145"/>
        <v>6</v>
      </c>
      <c r="AS136" s="1">
        <f t="shared" ca="1" si="146"/>
        <v>79</v>
      </c>
      <c r="AU136" s="1">
        <f t="shared" ca="1" si="147"/>
        <v>274</v>
      </c>
      <c r="AV136" s="1">
        <f t="shared" ca="1" si="148"/>
        <v>8</v>
      </c>
      <c r="AW136" s="1">
        <f t="shared" ca="1" si="149"/>
        <v>0.12499254639774823</v>
      </c>
      <c r="AY136" s="1">
        <f t="shared" ca="1" si="150"/>
        <v>1.9160556776850213</v>
      </c>
      <c r="AZ136" s="1">
        <f t="shared" ca="1" si="151"/>
        <v>266</v>
      </c>
      <c r="BA136" s="1">
        <f t="shared" ca="1" si="152"/>
        <v>1.5824058531386123E-3</v>
      </c>
      <c r="BV136" s="1">
        <f t="shared" ca="1" si="153"/>
        <v>0.93592278695391473</v>
      </c>
      <c r="BW136" s="1">
        <f t="shared" ca="1" si="154"/>
        <v>237</v>
      </c>
      <c r="BX136" s="1">
        <f t="shared" ca="1" si="155"/>
        <v>6.3164680199645192E-4</v>
      </c>
      <c r="BY136" s="1">
        <f t="shared" ca="1" si="156"/>
        <v>5.9711686807959012E-3</v>
      </c>
      <c r="BZ136" s="1">
        <f t="shared" ca="1" si="157"/>
        <v>0.17199634478471748</v>
      </c>
      <c r="CB136" s="1">
        <f t="shared" ca="1" si="158"/>
        <v>346</v>
      </c>
      <c r="CC136" s="1">
        <f t="shared" ca="1" si="159"/>
        <v>9</v>
      </c>
      <c r="CD136" s="1">
        <f t="shared" ca="1" si="160"/>
        <v>2.6332544217294626E-2</v>
      </c>
      <c r="CE136" s="1">
        <f t="shared" ca="1" si="161"/>
        <v>0.77869730574433738</v>
      </c>
      <c r="CF136" s="1">
        <f t="shared" ca="1" si="161"/>
        <v>0.76459477742527215</v>
      </c>
      <c r="CH136" s="3">
        <f t="shared" ca="1" si="162"/>
        <v>0.5782123538128241</v>
      </c>
      <c r="CI136" s="3">
        <f t="shared" ca="1" si="163"/>
        <v>0.70455795983813485</v>
      </c>
      <c r="CJ136" s="3">
        <f t="shared" ca="1" si="164"/>
        <v>1775</v>
      </c>
      <c r="CK136" s="3">
        <f t="shared" ca="1" si="165"/>
        <v>7.8757018749323338E-3</v>
      </c>
      <c r="CL136" s="3">
        <f t="shared" ca="1" si="166"/>
        <v>1</v>
      </c>
      <c r="CM136" s="3"/>
      <c r="CN136" s="1">
        <f t="shared" ca="1" si="167"/>
        <v>3.8035714934000189</v>
      </c>
      <c r="CO136" s="1">
        <f t="shared" ca="1" si="168"/>
        <v>0.10790047845098397</v>
      </c>
      <c r="CP136" s="1">
        <f t="shared" ca="1" si="169"/>
        <v>4</v>
      </c>
    </row>
    <row r="137" spans="2:94" x14ac:dyDescent="0.25">
      <c r="B137">
        <f t="shared" ca="1" si="114"/>
        <v>922</v>
      </c>
      <c r="C137">
        <f t="shared" ca="1" si="115"/>
        <v>40</v>
      </c>
      <c r="D137">
        <f t="shared" ca="1" si="116"/>
        <v>9.075096253680795E-2</v>
      </c>
      <c r="F137" s="1">
        <f t="shared" ca="1" si="117"/>
        <v>8</v>
      </c>
      <c r="G137" s="1">
        <f t="shared" ca="1" si="118"/>
        <v>30</v>
      </c>
      <c r="H137" s="1">
        <f t="shared" ca="1" si="119"/>
        <v>7</v>
      </c>
      <c r="I137" s="1"/>
      <c r="J137" s="1">
        <f t="shared" ca="1" si="120"/>
        <v>19</v>
      </c>
      <c r="K137" s="1">
        <f t="shared" ca="1" si="121"/>
        <v>1.8296035598662583</v>
      </c>
      <c r="L137" s="1">
        <f t="shared" ca="1" si="122"/>
        <v>35</v>
      </c>
      <c r="M137" s="1"/>
      <c r="N137" s="1">
        <f t="shared" ca="1" si="123"/>
        <v>380</v>
      </c>
      <c r="O137" s="1">
        <f t="shared" ca="1" si="124"/>
        <v>20</v>
      </c>
      <c r="P137" s="1"/>
      <c r="Q137" s="1">
        <f t="shared" ca="1" si="125"/>
        <v>3.1856466135375641</v>
      </c>
      <c r="R137" s="1">
        <f t="shared" ca="1" si="126"/>
        <v>941</v>
      </c>
      <c r="S137" s="1"/>
      <c r="T137" s="1">
        <f t="shared" ca="1" si="127"/>
        <v>0.13138925891247766</v>
      </c>
      <c r="U137" s="1">
        <f t="shared" ca="1" si="128"/>
        <v>157</v>
      </c>
      <c r="V137" s="1">
        <f t="shared" ca="1" si="129"/>
        <v>14</v>
      </c>
      <c r="W137" s="1"/>
      <c r="X137" s="1">
        <f t="shared" ca="1" si="130"/>
        <v>8.0973093046379923</v>
      </c>
      <c r="Y137" s="1">
        <f t="shared" ca="1" si="131"/>
        <v>8.4081801662349007E-2</v>
      </c>
      <c r="Z137" s="1">
        <f t="shared" ca="1" si="132"/>
        <v>1971</v>
      </c>
      <c r="AB137" s="1">
        <f t="shared" ca="1" si="133"/>
        <v>0.84069071822323538</v>
      </c>
      <c r="AC137" s="1">
        <f t="shared" ca="1" si="134"/>
        <v>719</v>
      </c>
      <c r="AD137" s="1">
        <f t="shared" ca="1" si="135"/>
        <v>2.686747384491732E-3</v>
      </c>
      <c r="AE137" s="1"/>
      <c r="AF137" s="1">
        <f t="shared" ca="1" si="136"/>
        <v>0.86029655267276561</v>
      </c>
      <c r="AG137" s="1">
        <f t="shared" ca="1" si="137"/>
        <v>783</v>
      </c>
      <c r="AH137" s="1">
        <f t="shared" ca="1" si="138"/>
        <v>2.4248906304568715E-3</v>
      </c>
      <c r="AJ137" s="1">
        <f t="shared" ca="1" si="139"/>
        <v>0.4938325186811563</v>
      </c>
      <c r="AK137" s="1">
        <f t="shared" ca="1" si="140"/>
        <v>2.1577444215913721E-3</v>
      </c>
      <c r="AL137" s="1"/>
      <c r="AM137" s="1">
        <f t="shared" ca="1" si="141"/>
        <v>8.3069284758601342E-2</v>
      </c>
      <c r="AN137" s="1">
        <f t="shared" ca="1" si="142"/>
        <v>65</v>
      </c>
      <c r="AO137" s="1">
        <f t="shared" ca="1" si="143"/>
        <v>20</v>
      </c>
      <c r="AQ137" s="1">
        <f t="shared" ca="1" si="144"/>
        <v>88</v>
      </c>
      <c r="AR137" s="1">
        <f t="shared" ca="1" si="145"/>
        <v>7</v>
      </c>
      <c r="AS137" s="1">
        <f t="shared" ca="1" si="146"/>
        <v>2</v>
      </c>
      <c r="AU137" s="1">
        <f t="shared" ca="1" si="147"/>
        <v>340</v>
      </c>
      <c r="AV137" s="1">
        <f t="shared" ca="1" si="148"/>
        <v>6</v>
      </c>
      <c r="AW137" s="1">
        <f t="shared" ca="1" si="149"/>
        <v>1.0633848604484214E-2</v>
      </c>
      <c r="AY137" s="1">
        <f t="shared" ca="1" si="150"/>
        <v>1.6727613783841888</v>
      </c>
      <c r="AZ137" s="1">
        <f t="shared" ca="1" si="151"/>
        <v>101</v>
      </c>
      <c r="BA137" s="1">
        <f t="shared" ca="1" si="152"/>
        <v>9.4826768001117273E-4</v>
      </c>
      <c r="BV137" s="1">
        <f t="shared" ca="1" si="153"/>
        <v>1.556477831844282E-2</v>
      </c>
      <c r="BW137" s="1">
        <f t="shared" ca="1" si="154"/>
        <v>839</v>
      </c>
      <c r="BX137" s="1">
        <f t="shared" ca="1" si="155"/>
        <v>6.9677295069700274E-3</v>
      </c>
      <c r="BY137" s="1">
        <f t="shared" ca="1" si="156"/>
        <v>8.4393449701043691E-2</v>
      </c>
      <c r="BZ137" s="1">
        <f t="shared" ca="1" si="157"/>
        <v>0.74587906236638446</v>
      </c>
      <c r="CB137" s="1">
        <f t="shared" ca="1" si="158"/>
        <v>118</v>
      </c>
      <c r="CC137" s="1">
        <f t="shared" ca="1" si="159"/>
        <v>10</v>
      </c>
      <c r="CD137" s="1">
        <f t="shared" ca="1" si="160"/>
        <v>0.21461934312497177</v>
      </c>
      <c r="CE137" s="1">
        <f t="shared" ca="1" si="161"/>
        <v>0.95902836065599051</v>
      </c>
      <c r="CF137" s="1">
        <f t="shared" ca="1" si="161"/>
        <v>0.54458433581264265</v>
      </c>
      <c r="CH137" s="3">
        <f t="shared" ca="1" si="162"/>
        <v>0.83923206326388045</v>
      </c>
      <c r="CI137" s="3">
        <f t="shared" ca="1" si="163"/>
        <v>1.8090342877730342E-2</v>
      </c>
      <c r="CJ137" s="3">
        <f t="shared" ca="1" si="164"/>
        <v>1174</v>
      </c>
      <c r="CK137" s="3">
        <f t="shared" ca="1" si="165"/>
        <v>8.513370820792612E-3</v>
      </c>
      <c r="CL137" s="3">
        <f t="shared" ca="1" si="166"/>
        <v>1</v>
      </c>
      <c r="CM137" s="3"/>
      <c r="CN137" s="1">
        <f t="shared" ca="1" si="167"/>
        <v>6.4010563509644554</v>
      </c>
      <c r="CO137" s="1">
        <f t="shared" ca="1" si="168"/>
        <v>0.32618549869745334</v>
      </c>
      <c r="CP137" s="1">
        <f t="shared" ca="1" si="169"/>
        <v>1</v>
      </c>
    </row>
    <row r="138" spans="2:94" x14ac:dyDescent="0.25">
      <c r="B138">
        <f t="shared" ca="1" si="114"/>
        <v>125</v>
      </c>
      <c r="C138">
        <f t="shared" ca="1" si="115"/>
        <v>26</v>
      </c>
      <c r="D138">
        <f t="shared" ca="1" si="116"/>
        <v>0.15221228427924133</v>
      </c>
      <c r="F138" s="1">
        <f t="shared" ca="1" si="117"/>
        <v>15</v>
      </c>
      <c r="G138" s="1">
        <f t="shared" ca="1" si="118"/>
        <v>28</v>
      </c>
      <c r="H138" s="1">
        <f t="shared" ca="1" si="119"/>
        <v>11</v>
      </c>
      <c r="I138" s="1"/>
      <c r="J138" s="1">
        <f t="shared" ca="1" si="120"/>
        <v>30</v>
      </c>
      <c r="K138" s="1">
        <f t="shared" ca="1" si="121"/>
        <v>2.0321396926440398</v>
      </c>
      <c r="L138" s="1">
        <f t="shared" ca="1" si="122"/>
        <v>20</v>
      </c>
      <c r="M138" s="1"/>
      <c r="N138" s="1">
        <f t="shared" ca="1" si="123"/>
        <v>311</v>
      </c>
      <c r="O138" s="1">
        <f t="shared" ca="1" si="124"/>
        <v>16</v>
      </c>
      <c r="P138" s="1"/>
      <c r="Q138" s="1">
        <f t="shared" ca="1" si="125"/>
        <v>4.1131810177850809</v>
      </c>
      <c r="R138" s="1">
        <f t="shared" ca="1" si="126"/>
        <v>846</v>
      </c>
      <c r="S138" s="1"/>
      <c r="T138" s="1">
        <f t="shared" ca="1" si="127"/>
        <v>4.2841742999813019E-2</v>
      </c>
      <c r="U138" s="1">
        <f t="shared" ca="1" si="128"/>
        <v>152</v>
      </c>
      <c r="V138" s="1">
        <f t="shared" ca="1" si="129"/>
        <v>29</v>
      </c>
      <c r="W138" s="1"/>
      <c r="X138" s="1">
        <f t="shared" ca="1" si="130"/>
        <v>9.0080552388678203</v>
      </c>
      <c r="Y138" s="1">
        <f t="shared" ca="1" si="131"/>
        <v>0.80188370786373619</v>
      </c>
      <c r="Z138" s="1">
        <f t="shared" ca="1" si="132"/>
        <v>806</v>
      </c>
      <c r="AB138" s="1">
        <f t="shared" ca="1" si="133"/>
        <v>0.51382982266662869</v>
      </c>
      <c r="AC138" s="1">
        <f t="shared" ca="1" si="134"/>
        <v>129</v>
      </c>
      <c r="AD138" s="1">
        <f t="shared" ca="1" si="135"/>
        <v>7.5000364993953669E-3</v>
      </c>
      <c r="AE138" s="1"/>
      <c r="AF138" s="1">
        <f t="shared" ca="1" si="136"/>
        <v>0.89535238626997848</v>
      </c>
      <c r="AG138" s="1">
        <f t="shared" ca="1" si="137"/>
        <v>686</v>
      </c>
      <c r="AH138" s="1">
        <f t="shared" ca="1" si="138"/>
        <v>4.9867495531740521E-3</v>
      </c>
      <c r="AJ138" s="1">
        <f t="shared" ca="1" si="139"/>
        <v>0.69836145207806943</v>
      </c>
      <c r="AK138" s="1">
        <f t="shared" ca="1" si="140"/>
        <v>2.6138945926706053E-4</v>
      </c>
      <c r="AL138" s="1"/>
      <c r="AM138" s="1">
        <f t="shared" ca="1" si="141"/>
        <v>0.16356545181291293</v>
      </c>
      <c r="AN138" s="1">
        <f t="shared" ca="1" si="142"/>
        <v>36</v>
      </c>
      <c r="AO138" s="1">
        <f t="shared" ca="1" si="143"/>
        <v>4</v>
      </c>
      <c r="AQ138" s="1">
        <f t="shared" ca="1" si="144"/>
        <v>73</v>
      </c>
      <c r="AR138" s="1">
        <f t="shared" ca="1" si="145"/>
        <v>1</v>
      </c>
      <c r="AS138" s="1">
        <f t="shared" ca="1" si="146"/>
        <v>46</v>
      </c>
      <c r="AU138" s="1">
        <f t="shared" ca="1" si="147"/>
        <v>281</v>
      </c>
      <c r="AV138" s="1">
        <f t="shared" ca="1" si="148"/>
        <v>5</v>
      </c>
      <c r="AW138" s="1">
        <f t="shared" ca="1" si="149"/>
        <v>0.1205823894718264</v>
      </c>
      <c r="AY138" s="1">
        <f t="shared" ca="1" si="150"/>
        <v>1.5086080258368679</v>
      </c>
      <c r="AZ138" s="1">
        <f t="shared" ca="1" si="151"/>
        <v>416</v>
      </c>
      <c r="BA138" s="1">
        <f t="shared" ca="1" si="152"/>
        <v>5.9386492879540355E-3</v>
      </c>
      <c r="BV138" s="1">
        <f t="shared" ca="1" si="153"/>
        <v>1.5489100536440061E-2</v>
      </c>
      <c r="BW138" s="1">
        <f t="shared" ca="1" si="154"/>
        <v>904</v>
      </c>
      <c r="BX138" s="1">
        <f t="shared" ca="1" si="155"/>
        <v>3.213829202148561E-3</v>
      </c>
      <c r="BY138" s="1">
        <f t="shared" ca="1" si="156"/>
        <v>4.5202229888962456E-2</v>
      </c>
      <c r="BZ138" s="1">
        <f t="shared" ca="1" si="157"/>
        <v>0.40247146182085358</v>
      </c>
      <c r="CB138" s="1">
        <f t="shared" ca="1" si="158"/>
        <v>156</v>
      </c>
      <c r="CC138" s="1">
        <f t="shared" ca="1" si="159"/>
        <v>11</v>
      </c>
      <c r="CD138" s="1">
        <f t="shared" ca="1" si="160"/>
        <v>0.10612743899696865</v>
      </c>
      <c r="CE138" s="1">
        <f t="shared" ca="1" si="161"/>
        <v>0.6314105902637055</v>
      </c>
      <c r="CF138" s="1">
        <f t="shared" ca="1" si="161"/>
        <v>0.59440703635211256</v>
      </c>
      <c r="CH138" s="3">
        <f t="shared" ca="1" si="162"/>
        <v>0.28376042823430386</v>
      </c>
      <c r="CI138" s="3">
        <f t="shared" ca="1" si="163"/>
        <v>0.52370789992400113</v>
      </c>
      <c r="CJ138" s="3">
        <f t="shared" ca="1" si="164"/>
        <v>184</v>
      </c>
      <c r="CK138" s="3">
        <f t="shared" ca="1" si="165"/>
        <v>2.6776025011399566E-3</v>
      </c>
      <c r="CL138" s="3">
        <f t="shared" ca="1" si="166"/>
        <v>1</v>
      </c>
      <c r="CM138" s="3"/>
      <c r="CN138" s="1">
        <f t="shared" ca="1" si="167"/>
        <v>14.925515138018721</v>
      </c>
      <c r="CO138" s="1">
        <f t="shared" ca="1" si="168"/>
        <v>3.3487079354945715E-2</v>
      </c>
      <c r="CP138" s="1">
        <f t="shared" ca="1" si="169"/>
        <v>3</v>
      </c>
    </row>
    <row r="139" spans="2:94" x14ac:dyDescent="0.25">
      <c r="B139">
        <f t="shared" ca="1" si="114"/>
        <v>458</v>
      </c>
      <c r="C139">
        <f t="shared" ca="1" si="115"/>
        <v>36</v>
      </c>
      <c r="D139">
        <f t="shared" ca="1" si="116"/>
        <v>0.26152290331413391</v>
      </c>
      <c r="F139" s="1">
        <f t="shared" ca="1" si="117"/>
        <v>5</v>
      </c>
      <c r="G139" s="1">
        <f t="shared" ca="1" si="118"/>
        <v>3</v>
      </c>
      <c r="H139" s="1">
        <f t="shared" ca="1" si="119"/>
        <v>7</v>
      </c>
      <c r="I139" s="1"/>
      <c r="J139" s="1">
        <f t="shared" ca="1" si="120"/>
        <v>4</v>
      </c>
      <c r="K139" s="1">
        <f t="shared" ca="1" si="121"/>
        <v>1.442680273154487</v>
      </c>
      <c r="L139" s="1">
        <f t="shared" ca="1" si="122"/>
        <v>20</v>
      </c>
      <c r="M139" s="1"/>
      <c r="N139" s="1">
        <f t="shared" ca="1" si="123"/>
        <v>636</v>
      </c>
      <c r="O139" s="1">
        <f t="shared" ca="1" si="124"/>
        <v>8</v>
      </c>
      <c r="P139" s="1"/>
      <c r="Q139" s="1">
        <f t="shared" ca="1" si="125"/>
        <v>2.4828310956994466</v>
      </c>
      <c r="R139" s="1">
        <f t="shared" ca="1" si="126"/>
        <v>730</v>
      </c>
      <c r="S139" s="1"/>
      <c r="T139" s="1">
        <f t="shared" ca="1" si="127"/>
        <v>0.19426726560896543</v>
      </c>
      <c r="U139" s="1">
        <f t="shared" ca="1" si="128"/>
        <v>361</v>
      </c>
      <c r="V139" s="1">
        <f t="shared" ca="1" si="129"/>
        <v>33</v>
      </c>
      <c r="W139" s="1"/>
      <c r="X139" s="1">
        <f t="shared" ca="1" si="130"/>
        <v>1.1340508925996404</v>
      </c>
      <c r="Y139" s="1">
        <f t="shared" ca="1" si="131"/>
        <v>0.1304541225738283</v>
      </c>
      <c r="Z139" s="1">
        <f t="shared" ca="1" si="132"/>
        <v>973</v>
      </c>
      <c r="AB139" s="1">
        <f t="shared" ca="1" si="133"/>
        <v>0.22292226785310582</v>
      </c>
      <c r="AC139" s="1">
        <f t="shared" ca="1" si="134"/>
        <v>406</v>
      </c>
      <c r="AD139" s="1">
        <f t="shared" ca="1" si="135"/>
        <v>6.9047647589579285E-3</v>
      </c>
      <c r="AE139" s="1"/>
      <c r="AF139" s="1">
        <f t="shared" ca="1" si="136"/>
        <v>0.83591501953378988</v>
      </c>
      <c r="AG139" s="1">
        <f t="shared" ca="1" si="137"/>
        <v>925</v>
      </c>
      <c r="AH139" s="1">
        <f t="shared" ca="1" si="138"/>
        <v>7.3425141000473633E-4</v>
      </c>
      <c r="AJ139" s="1">
        <f t="shared" ca="1" si="139"/>
        <v>0.23595605981165502</v>
      </c>
      <c r="AK139" s="1">
        <f t="shared" ca="1" si="140"/>
        <v>3.5217117625004736E-3</v>
      </c>
      <c r="AL139" s="1"/>
      <c r="AM139" s="1">
        <f t="shared" ca="1" si="141"/>
        <v>0.12307361617235196</v>
      </c>
      <c r="AN139" s="1">
        <f t="shared" ca="1" si="142"/>
        <v>24</v>
      </c>
      <c r="AO139" s="1">
        <f t="shared" ca="1" si="143"/>
        <v>16</v>
      </c>
      <c r="AQ139" s="1">
        <f t="shared" ca="1" si="144"/>
        <v>114</v>
      </c>
      <c r="AR139" s="1">
        <f t="shared" ca="1" si="145"/>
        <v>5</v>
      </c>
      <c r="AS139" s="1">
        <f t="shared" ca="1" si="146"/>
        <v>95</v>
      </c>
      <c r="AU139" s="1">
        <f t="shared" ca="1" si="147"/>
        <v>299</v>
      </c>
      <c r="AV139" s="1">
        <f t="shared" ca="1" si="148"/>
        <v>4</v>
      </c>
      <c r="AW139" s="1">
        <f t="shared" ca="1" si="149"/>
        <v>0.14943238404591666</v>
      </c>
      <c r="AY139" s="1">
        <f t="shared" ca="1" si="150"/>
        <v>1.9936483061889294</v>
      </c>
      <c r="AZ139" s="1">
        <f t="shared" ca="1" si="151"/>
        <v>426</v>
      </c>
      <c r="BA139" s="1">
        <f t="shared" ca="1" si="152"/>
        <v>4.4516514203548499E-3</v>
      </c>
      <c r="BV139" s="1">
        <f t="shared" ca="1" si="153"/>
        <v>0.99919659765401125</v>
      </c>
      <c r="BW139" s="1">
        <f t="shared" ca="1" si="154"/>
        <v>606</v>
      </c>
      <c r="BX139" s="1">
        <f t="shared" ca="1" si="155"/>
        <v>2.9731719023261211E-3</v>
      </c>
      <c r="BY139" s="1">
        <f t="shared" ca="1" si="156"/>
        <v>5.7046361745096079E-2</v>
      </c>
      <c r="BZ139" s="1">
        <f t="shared" ca="1" si="157"/>
        <v>0.89179139416835218</v>
      </c>
      <c r="CB139" s="1">
        <f t="shared" ca="1" si="158"/>
        <v>165</v>
      </c>
      <c r="CC139" s="1">
        <f t="shared" ca="1" si="159"/>
        <v>14</v>
      </c>
      <c r="CD139" s="1">
        <f t="shared" ca="1" si="160"/>
        <v>0.10830145799943434</v>
      </c>
      <c r="CE139" s="1">
        <f t="shared" ca="1" si="161"/>
        <v>0.71979209369305619</v>
      </c>
      <c r="CF139" s="1">
        <f t="shared" ca="1" si="161"/>
        <v>0.9899769591705585</v>
      </c>
      <c r="CH139" s="3">
        <f t="shared" ca="1" si="162"/>
        <v>0.43330210656737689</v>
      </c>
      <c r="CI139" s="3">
        <f t="shared" ca="1" si="163"/>
        <v>0.52454142745616483</v>
      </c>
      <c r="CJ139" s="3">
        <f t="shared" ca="1" si="164"/>
        <v>142</v>
      </c>
      <c r="CK139" s="3">
        <f t="shared" ca="1" si="165"/>
        <v>5.9313625867190205E-3</v>
      </c>
      <c r="CL139" s="3">
        <f t="shared" ca="1" si="166"/>
        <v>0</v>
      </c>
      <c r="CM139" s="3"/>
      <c r="CN139" s="1">
        <f t="shared" ca="1" si="167"/>
        <v>15.616200392586414</v>
      </c>
      <c r="CO139" s="1">
        <f t="shared" ca="1" si="168"/>
        <v>0.29434107331775056</v>
      </c>
      <c r="CP139" s="1">
        <f t="shared" ca="1" si="169"/>
        <v>5</v>
      </c>
    </row>
    <row r="140" spans="2:94" x14ac:dyDescent="0.25">
      <c r="B140">
        <f t="shared" ca="1" si="114"/>
        <v>331</v>
      </c>
      <c r="C140">
        <f t="shared" ca="1" si="115"/>
        <v>27</v>
      </c>
      <c r="D140">
        <f t="shared" ca="1" si="116"/>
        <v>5.489247312463294E-2</v>
      </c>
      <c r="F140" s="1">
        <f t="shared" ca="1" si="117"/>
        <v>42</v>
      </c>
      <c r="G140" s="1">
        <f t="shared" ca="1" si="118"/>
        <v>12</v>
      </c>
      <c r="H140" s="1">
        <f t="shared" ca="1" si="119"/>
        <v>3</v>
      </c>
      <c r="I140" s="1"/>
      <c r="J140" s="1">
        <f t="shared" ca="1" si="120"/>
        <v>31</v>
      </c>
      <c r="K140" s="1">
        <f t="shared" ca="1" si="121"/>
        <v>2.9213436720671377</v>
      </c>
      <c r="L140" s="1">
        <f t="shared" ca="1" si="122"/>
        <v>19</v>
      </c>
      <c r="M140" s="1"/>
      <c r="N140" s="1">
        <f t="shared" ca="1" si="123"/>
        <v>259</v>
      </c>
      <c r="O140" s="1">
        <f t="shared" ca="1" si="124"/>
        <v>14</v>
      </c>
      <c r="P140" s="1"/>
      <c r="Q140" s="1">
        <f t="shared" ca="1" si="125"/>
        <v>1.8351546021152758</v>
      </c>
      <c r="R140" s="1">
        <f t="shared" ca="1" si="126"/>
        <v>719</v>
      </c>
      <c r="S140" s="1"/>
      <c r="T140" s="1">
        <f t="shared" ca="1" si="127"/>
        <v>3.9753486492741991E-2</v>
      </c>
      <c r="U140" s="1">
        <f t="shared" ca="1" si="128"/>
        <v>414</v>
      </c>
      <c r="V140" s="1">
        <f t="shared" ca="1" si="129"/>
        <v>3</v>
      </c>
      <c r="W140" s="1"/>
      <c r="X140" s="1">
        <f t="shared" ca="1" si="130"/>
        <v>3.6377331930694474</v>
      </c>
      <c r="Y140" s="1">
        <f t="shared" ca="1" si="131"/>
        <v>5.689615354882261E-2</v>
      </c>
      <c r="Z140" s="1">
        <f t="shared" ca="1" si="132"/>
        <v>613</v>
      </c>
      <c r="AB140" s="1">
        <f t="shared" ca="1" si="133"/>
        <v>0.6960680423295712</v>
      </c>
      <c r="AC140" s="1">
        <f t="shared" ca="1" si="134"/>
        <v>210</v>
      </c>
      <c r="AD140" s="1">
        <f t="shared" ca="1" si="135"/>
        <v>7.9828181572159668E-3</v>
      </c>
      <c r="AE140" s="1"/>
      <c r="AF140" s="1">
        <f t="shared" ca="1" si="136"/>
        <v>0.42832163791918643</v>
      </c>
      <c r="AG140" s="1">
        <f t="shared" ca="1" si="137"/>
        <v>423</v>
      </c>
      <c r="AH140" s="1">
        <f t="shared" ca="1" si="138"/>
        <v>8.1361434071354263E-3</v>
      </c>
      <c r="AJ140" s="1">
        <f t="shared" ca="1" si="139"/>
        <v>1.8988678047748175E-2</v>
      </c>
      <c r="AK140" s="1">
        <f t="shared" ca="1" si="140"/>
        <v>7.5439970791507721E-3</v>
      </c>
      <c r="AL140" s="1"/>
      <c r="AM140" s="1">
        <f t="shared" ca="1" si="141"/>
        <v>5.0912488952358205E-2</v>
      </c>
      <c r="AN140" s="1">
        <f t="shared" ca="1" si="142"/>
        <v>77</v>
      </c>
      <c r="AO140" s="1">
        <f t="shared" ca="1" si="143"/>
        <v>12</v>
      </c>
      <c r="AQ140" s="1">
        <f t="shared" ca="1" si="144"/>
        <v>110</v>
      </c>
      <c r="AR140" s="1">
        <f t="shared" ca="1" si="145"/>
        <v>4</v>
      </c>
      <c r="AS140" s="1">
        <f t="shared" ca="1" si="146"/>
        <v>55</v>
      </c>
      <c r="AU140" s="1">
        <f t="shared" ca="1" si="147"/>
        <v>168</v>
      </c>
      <c r="AV140" s="1">
        <f t="shared" ca="1" si="148"/>
        <v>2</v>
      </c>
      <c r="AW140" s="1">
        <f t="shared" ca="1" si="149"/>
        <v>4.4908104355449452E-2</v>
      </c>
      <c r="AY140" s="1">
        <f t="shared" ca="1" si="150"/>
        <v>1.3732469221401373</v>
      </c>
      <c r="AZ140" s="1">
        <f t="shared" ca="1" si="151"/>
        <v>187</v>
      </c>
      <c r="BA140" s="1">
        <f t="shared" ca="1" si="152"/>
        <v>8.8120936783199176E-3</v>
      </c>
      <c r="BV140" s="1">
        <f t="shared" ca="1" si="153"/>
        <v>0.84636182201187404</v>
      </c>
      <c r="BW140" s="1">
        <f t="shared" ca="1" si="154"/>
        <v>542</v>
      </c>
      <c r="BX140" s="1">
        <f t="shared" ca="1" si="155"/>
        <v>8.4430042754610867E-3</v>
      </c>
      <c r="BY140" s="1">
        <f t="shared" ca="1" si="156"/>
        <v>9.3568171417221291E-2</v>
      </c>
      <c r="BZ140" s="1">
        <f t="shared" ca="1" si="157"/>
        <v>0.70521765753591559</v>
      </c>
      <c r="CB140" s="1">
        <f t="shared" ca="1" si="158"/>
        <v>54</v>
      </c>
      <c r="CC140" s="1">
        <f t="shared" ca="1" si="159"/>
        <v>7</v>
      </c>
      <c r="CD140" s="1">
        <f t="shared" ca="1" si="160"/>
        <v>0.26758312749832452</v>
      </c>
      <c r="CE140" s="1">
        <f t="shared" ca="1" si="161"/>
        <v>0.50792101049342286</v>
      </c>
      <c r="CF140" s="1">
        <f t="shared" ca="1" si="161"/>
        <v>0.70820441823713942</v>
      </c>
      <c r="CH140" s="3">
        <f t="shared" ca="1" si="162"/>
        <v>0.49726599097686208</v>
      </c>
      <c r="CI140" s="3">
        <f t="shared" ca="1" si="163"/>
        <v>8.3870641653126479E-2</v>
      </c>
      <c r="CJ140" s="3">
        <f t="shared" ca="1" si="164"/>
        <v>661</v>
      </c>
      <c r="CK140" s="3">
        <f t="shared" ca="1" si="165"/>
        <v>9.8820904216446711E-4</v>
      </c>
      <c r="CL140" s="3">
        <f t="shared" ca="1" si="166"/>
        <v>0</v>
      </c>
      <c r="CM140" s="3"/>
      <c r="CN140" s="1">
        <f t="shared" ca="1" si="167"/>
        <v>7.0621816653860261</v>
      </c>
      <c r="CO140" s="1">
        <f t="shared" ca="1" si="168"/>
        <v>0.3823047335110441</v>
      </c>
      <c r="CP140" s="1">
        <f t="shared" ca="1" si="169"/>
        <v>5</v>
      </c>
    </row>
    <row r="141" spans="2:94" x14ac:dyDescent="0.25">
      <c r="B141">
        <f t="shared" ca="1" si="114"/>
        <v>770</v>
      </c>
      <c r="C141">
        <f t="shared" ca="1" si="115"/>
        <v>49</v>
      </c>
      <c r="D141">
        <f t="shared" ca="1" si="116"/>
        <v>0.1661259609399918</v>
      </c>
      <c r="F141" s="1">
        <f t="shared" ca="1" si="117"/>
        <v>11</v>
      </c>
      <c r="G141" s="1">
        <f t="shared" ca="1" si="118"/>
        <v>2</v>
      </c>
      <c r="H141" s="1">
        <f t="shared" ca="1" si="119"/>
        <v>6</v>
      </c>
      <c r="I141" s="1"/>
      <c r="J141" s="1">
        <f t="shared" ca="1" si="120"/>
        <v>16</v>
      </c>
      <c r="K141" s="1">
        <f t="shared" ca="1" si="121"/>
        <v>1.1087011581911379</v>
      </c>
      <c r="L141" s="1">
        <f t="shared" ca="1" si="122"/>
        <v>30</v>
      </c>
      <c r="M141" s="1"/>
      <c r="N141" s="1">
        <f t="shared" ca="1" si="123"/>
        <v>783</v>
      </c>
      <c r="O141" s="1">
        <f t="shared" ca="1" si="124"/>
        <v>33</v>
      </c>
      <c r="P141" s="1"/>
      <c r="Q141" s="1">
        <f t="shared" ca="1" si="125"/>
        <v>3.1714818210270685</v>
      </c>
      <c r="R141" s="1">
        <f t="shared" ca="1" si="126"/>
        <v>309</v>
      </c>
      <c r="S141" s="1"/>
      <c r="T141" s="1">
        <f t="shared" ca="1" si="127"/>
        <v>7.3653356494073466E-2</v>
      </c>
      <c r="U141" s="1">
        <f t="shared" ca="1" si="128"/>
        <v>362</v>
      </c>
      <c r="V141" s="1">
        <f t="shared" ca="1" si="129"/>
        <v>45</v>
      </c>
      <c r="W141" s="1"/>
      <c r="X141" s="1">
        <f t="shared" ca="1" si="130"/>
        <v>4.5809713673367032</v>
      </c>
      <c r="Y141" s="1">
        <f t="shared" ca="1" si="131"/>
        <v>0.32397025631488863</v>
      </c>
      <c r="Z141" s="1">
        <f t="shared" ca="1" si="132"/>
        <v>1305</v>
      </c>
      <c r="AB141" s="1">
        <f t="shared" ca="1" si="133"/>
        <v>0.41418215815670456</v>
      </c>
      <c r="AC141" s="1">
        <f t="shared" ca="1" si="134"/>
        <v>348</v>
      </c>
      <c r="AD141" s="1">
        <f t="shared" ca="1" si="135"/>
        <v>3.3070367014574583E-3</v>
      </c>
      <c r="AE141" s="1"/>
      <c r="AF141" s="1">
        <f t="shared" ca="1" si="136"/>
        <v>0.54240588971027026</v>
      </c>
      <c r="AG141" s="1">
        <f t="shared" ca="1" si="137"/>
        <v>528</v>
      </c>
      <c r="AH141" s="1">
        <f t="shared" ca="1" si="138"/>
        <v>8.3929346505954364E-3</v>
      </c>
      <c r="AJ141" s="1">
        <f t="shared" ca="1" si="139"/>
        <v>0.59713809366763893</v>
      </c>
      <c r="AK141" s="1">
        <f t="shared" ca="1" si="140"/>
        <v>1.1254381430584896E-3</v>
      </c>
      <c r="AL141" s="1"/>
      <c r="AM141" s="1">
        <f t="shared" ca="1" si="141"/>
        <v>0.16835782178484493</v>
      </c>
      <c r="AN141" s="1">
        <f t="shared" ca="1" si="142"/>
        <v>68</v>
      </c>
      <c r="AO141" s="1">
        <f t="shared" ca="1" si="143"/>
        <v>16</v>
      </c>
      <c r="AQ141" s="1">
        <f t="shared" ca="1" si="144"/>
        <v>130</v>
      </c>
      <c r="AR141" s="1">
        <f t="shared" ca="1" si="145"/>
        <v>6</v>
      </c>
      <c r="AS141" s="1">
        <f t="shared" ca="1" si="146"/>
        <v>24</v>
      </c>
      <c r="AU141" s="1">
        <f t="shared" ca="1" si="147"/>
        <v>198</v>
      </c>
      <c r="AV141" s="1">
        <f t="shared" ca="1" si="148"/>
        <v>4</v>
      </c>
      <c r="AW141" s="1">
        <f t="shared" ca="1" si="149"/>
        <v>0.17243989898006104</v>
      </c>
      <c r="AY141" s="1">
        <f t="shared" ca="1" si="150"/>
        <v>1.8271703644807393</v>
      </c>
      <c r="AZ141" s="1">
        <f t="shared" ca="1" si="151"/>
        <v>94</v>
      </c>
      <c r="BA141" s="1">
        <f t="shared" ca="1" si="152"/>
        <v>1.0342127922595269E-3</v>
      </c>
      <c r="BV141" s="1">
        <f t="shared" ca="1" si="153"/>
        <v>0.52688281499824441</v>
      </c>
      <c r="BW141" s="1">
        <f t="shared" ca="1" si="154"/>
        <v>585</v>
      </c>
      <c r="BX141" s="1">
        <f t="shared" ca="1" si="155"/>
        <v>1.1025652784462424E-3</v>
      </c>
      <c r="BY141" s="1">
        <f t="shared" ca="1" si="156"/>
        <v>8.5754327539280667E-2</v>
      </c>
      <c r="BZ141" s="1">
        <f t="shared" ca="1" si="157"/>
        <v>0.33575228256882961</v>
      </c>
      <c r="CB141" s="1">
        <f t="shared" ca="1" si="158"/>
        <v>446</v>
      </c>
      <c r="CC141" s="1">
        <f t="shared" ca="1" si="159"/>
        <v>7</v>
      </c>
      <c r="CD141" s="1">
        <f t="shared" ca="1" si="160"/>
        <v>0.23970574935500191</v>
      </c>
      <c r="CE141" s="1">
        <f t="shared" ca="1" si="161"/>
        <v>0.58052036996556122</v>
      </c>
      <c r="CF141" s="1">
        <f t="shared" ca="1" si="161"/>
        <v>0.65260900161448454</v>
      </c>
      <c r="CH141" s="3">
        <f t="shared" ca="1" si="162"/>
        <v>0.82343258030556465</v>
      </c>
      <c r="CI141" s="3">
        <f t="shared" ca="1" si="163"/>
        <v>0.83013062327224041</v>
      </c>
      <c r="CJ141" s="3">
        <f t="shared" ca="1" si="164"/>
        <v>568</v>
      </c>
      <c r="CK141" s="3">
        <f t="shared" ca="1" si="165"/>
        <v>2.8814341741258864E-3</v>
      </c>
      <c r="CL141" s="3">
        <f t="shared" ca="1" si="166"/>
        <v>0</v>
      </c>
      <c r="CM141" s="3"/>
      <c r="CN141" s="1">
        <f t="shared" ca="1" si="167"/>
        <v>12.556138469365447</v>
      </c>
      <c r="CO141" s="1">
        <f t="shared" ca="1" si="168"/>
        <v>0.1670233504806499</v>
      </c>
      <c r="CP141" s="1">
        <f t="shared" ca="1" si="169"/>
        <v>4</v>
      </c>
    </row>
    <row r="142" spans="2:94" x14ac:dyDescent="0.25">
      <c r="B142">
        <f t="shared" ca="1" si="114"/>
        <v>374</v>
      </c>
      <c r="C142">
        <f t="shared" ca="1" si="115"/>
        <v>33</v>
      </c>
      <c r="D142">
        <f t="shared" ca="1" si="116"/>
        <v>0.12849460897968759</v>
      </c>
      <c r="F142" s="1">
        <f t="shared" ca="1" si="117"/>
        <v>18</v>
      </c>
      <c r="G142" s="1">
        <f t="shared" ca="1" si="118"/>
        <v>16</v>
      </c>
      <c r="H142" s="1">
        <f t="shared" ca="1" si="119"/>
        <v>14</v>
      </c>
      <c r="I142" s="1"/>
      <c r="J142" s="1">
        <f t="shared" ca="1" si="120"/>
        <v>31</v>
      </c>
      <c r="K142" s="1">
        <f t="shared" ca="1" si="121"/>
        <v>1.7549254060067971</v>
      </c>
      <c r="L142" s="1">
        <f t="shared" ca="1" si="122"/>
        <v>12</v>
      </c>
      <c r="M142" s="1"/>
      <c r="N142" s="1">
        <f t="shared" ca="1" si="123"/>
        <v>436</v>
      </c>
      <c r="O142" s="1">
        <f t="shared" ca="1" si="124"/>
        <v>21</v>
      </c>
      <c r="P142" s="1"/>
      <c r="Q142" s="1">
        <f t="shared" ca="1" si="125"/>
        <v>4.7924278597000107</v>
      </c>
      <c r="R142" s="1">
        <f t="shared" ca="1" si="126"/>
        <v>212</v>
      </c>
      <c r="S142" s="1"/>
      <c r="T142" s="1">
        <f t="shared" ca="1" si="127"/>
        <v>0.12175863319038367</v>
      </c>
      <c r="U142" s="1">
        <f t="shared" ca="1" si="128"/>
        <v>322</v>
      </c>
      <c r="V142" s="1">
        <f t="shared" ca="1" si="129"/>
        <v>41</v>
      </c>
      <c r="W142" s="1"/>
      <c r="X142" s="1">
        <f t="shared" ca="1" si="130"/>
        <v>3.3101870994513685</v>
      </c>
      <c r="Y142" s="1">
        <f t="shared" ca="1" si="131"/>
        <v>0.23457775569029976</v>
      </c>
      <c r="Z142" s="1">
        <f t="shared" ca="1" si="132"/>
        <v>995</v>
      </c>
      <c r="AB142" s="1">
        <f t="shared" ca="1" si="133"/>
        <v>0.2847808721059607</v>
      </c>
      <c r="AC142" s="1">
        <f t="shared" ca="1" si="134"/>
        <v>485</v>
      </c>
      <c r="AD142" s="1">
        <f t="shared" ca="1" si="135"/>
        <v>1.1774557383156562E-3</v>
      </c>
      <c r="AE142" s="1"/>
      <c r="AF142" s="1">
        <f t="shared" ca="1" si="136"/>
        <v>0.69380503336614974</v>
      </c>
      <c r="AG142" s="1">
        <f t="shared" ca="1" si="137"/>
        <v>397</v>
      </c>
      <c r="AH142" s="1">
        <f t="shared" ca="1" si="138"/>
        <v>5.9864103284943933E-3</v>
      </c>
      <c r="AJ142" s="1">
        <f t="shared" ca="1" si="139"/>
        <v>0.68345414538209881</v>
      </c>
      <c r="AK142" s="1">
        <f t="shared" ca="1" si="140"/>
        <v>7.2676802802817547E-3</v>
      </c>
      <c r="AL142" s="1"/>
      <c r="AM142" s="1">
        <f t="shared" ca="1" si="141"/>
        <v>0.11395959731863775</v>
      </c>
      <c r="AN142" s="1">
        <f t="shared" ca="1" si="142"/>
        <v>77</v>
      </c>
      <c r="AO142" s="1">
        <f t="shared" ca="1" si="143"/>
        <v>11</v>
      </c>
      <c r="AQ142" s="1">
        <f t="shared" ca="1" si="144"/>
        <v>135</v>
      </c>
      <c r="AR142" s="1">
        <f t="shared" ca="1" si="145"/>
        <v>1</v>
      </c>
      <c r="AS142" s="1">
        <f t="shared" ca="1" si="146"/>
        <v>52</v>
      </c>
      <c r="AU142" s="1">
        <f t="shared" ca="1" si="147"/>
        <v>223</v>
      </c>
      <c r="AV142" s="1">
        <f t="shared" ca="1" si="148"/>
        <v>9</v>
      </c>
      <c r="AW142" s="1">
        <f t="shared" ca="1" si="149"/>
        <v>0.12084916179888643</v>
      </c>
      <c r="AY142" s="1">
        <f t="shared" ca="1" si="150"/>
        <v>1.9245709759576572</v>
      </c>
      <c r="AZ142" s="1">
        <f t="shared" ca="1" si="151"/>
        <v>274</v>
      </c>
      <c r="BA142" s="1">
        <f t="shared" ca="1" si="152"/>
        <v>6.4014259611609569E-3</v>
      </c>
      <c r="BV142" s="1">
        <f t="shared" ca="1" si="153"/>
        <v>0.45912700014809166</v>
      </c>
      <c r="BW142" s="1">
        <f t="shared" ca="1" si="154"/>
        <v>485</v>
      </c>
      <c r="BX142" s="1">
        <f t="shared" ca="1" si="155"/>
        <v>2.7323601510237909E-4</v>
      </c>
      <c r="BY142" s="1">
        <f t="shared" ca="1" si="156"/>
        <v>3.8312183430365465E-2</v>
      </c>
      <c r="BZ142" s="1">
        <f t="shared" ca="1" si="157"/>
        <v>0.46635518852401936</v>
      </c>
      <c r="CB142" s="1">
        <f t="shared" ca="1" si="158"/>
        <v>175</v>
      </c>
      <c r="CC142" s="1">
        <f t="shared" ca="1" si="159"/>
        <v>15</v>
      </c>
      <c r="CD142" s="1">
        <f t="shared" ca="1" si="160"/>
        <v>6.4779249328233562E-2</v>
      </c>
      <c r="CE142" s="1">
        <f t="shared" ca="1" si="161"/>
        <v>0.55887334707016456</v>
      </c>
      <c r="CF142" s="1">
        <f t="shared" ca="1" si="161"/>
        <v>0.70441488894337545</v>
      </c>
      <c r="CH142" s="3">
        <f t="shared" ca="1" si="162"/>
        <v>0.25312911549887751</v>
      </c>
      <c r="CI142" s="3">
        <f t="shared" ca="1" si="163"/>
        <v>0.14331312102784674</v>
      </c>
      <c r="CJ142" s="3">
        <f t="shared" ca="1" si="164"/>
        <v>409</v>
      </c>
      <c r="CK142" s="3">
        <f t="shared" ca="1" si="165"/>
        <v>9.0014746711360918E-3</v>
      </c>
      <c r="CL142" s="3">
        <f t="shared" ca="1" si="166"/>
        <v>1</v>
      </c>
      <c r="CM142" s="3"/>
      <c r="CN142" s="1">
        <f t="shared" ca="1" si="167"/>
        <v>17.94654917833304</v>
      </c>
      <c r="CO142" s="1">
        <f t="shared" ca="1" si="168"/>
        <v>0.43710860971804166</v>
      </c>
      <c r="CP142" s="1">
        <f t="shared" ca="1" si="169"/>
        <v>3</v>
      </c>
    </row>
    <row r="143" spans="2:94" x14ac:dyDescent="0.25">
      <c r="B143">
        <f t="shared" ca="1" si="114"/>
        <v>274</v>
      </c>
      <c r="C143">
        <f t="shared" ca="1" si="115"/>
        <v>27</v>
      </c>
      <c r="D143">
        <f t="shared" ca="1" si="116"/>
        <v>0.27571914375707923</v>
      </c>
      <c r="F143" s="1">
        <f t="shared" ca="1" si="117"/>
        <v>33</v>
      </c>
      <c r="G143" s="1">
        <f t="shared" ca="1" si="118"/>
        <v>5</v>
      </c>
      <c r="H143" s="1">
        <f t="shared" ca="1" si="119"/>
        <v>10</v>
      </c>
      <c r="I143" s="1"/>
      <c r="J143" s="1">
        <f t="shared" ca="1" si="120"/>
        <v>4</v>
      </c>
      <c r="K143" s="1">
        <f t="shared" ca="1" si="121"/>
        <v>2.0323645870876907</v>
      </c>
      <c r="L143" s="1">
        <f t="shared" ca="1" si="122"/>
        <v>3</v>
      </c>
      <c r="M143" s="1"/>
      <c r="N143" s="1">
        <f t="shared" ca="1" si="123"/>
        <v>385</v>
      </c>
      <c r="O143" s="1">
        <f t="shared" ca="1" si="124"/>
        <v>3</v>
      </c>
      <c r="P143" s="1"/>
      <c r="Q143" s="1">
        <f t="shared" ca="1" si="125"/>
        <v>0.75365843052777637</v>
      </c>
      <c r="R143" s="1">
        <f t="shared" ca="1" si="126"/>
        <v>792</v>
      </c>
      <c r="S143" s="1"/>
      <c r="T143" s="1">
        <f t="shared" ca="1" si="127"/>
        <v>0.1251137009262219</v>
      </c>
      <c r="U143" s="1">
        <f t="shared" ca="1" si="128"/>
        <v>290</v>
      </c>
      <c r="V143" s="1">
        <f t="shared" ca="1" si="129"/>
        <v>45</v>
      </c>
      <c r="W143" s="1"/>
      <c r="X143" s="1">
        <f t="shared" ca="1" si="130"/>
        <v>8.1655648801199483</v>
      </c>
      <c r="Y143" s="1">
        <f t="shared" ca="1" si="131"/>
        <v>0.77929991902281603</v>
      </c>
      <c r="Z143" s="1">
        <f t="shared" ca="1" si="132"/>
        <v>1180</v>
      </c>
      <c r="AB143" s="1">
        <f t="shared" ca="1" si="133"/>
        <v>0.94169490426098679</v>
      </c>
      <c r="AC143" s="1">
        <f t="shared" ca="1" si="134"/>
        <v>484</v>
      </c>
      <c r="AD143" s="1">
        <f t="shared" ca="1" si="135"/>
        <v>4.0022140109602271E-3</v>
      </c>
      <c r="AE143" s="1"/>
      <c r="AF143" s="1">
        <f t="shared" ca="1" si="136"/>
        <v>0.31377369032295843</v>
      </c>
      <c r="AG143" s="1">
        <f t="shared" ca="1" si="137"/>
        <v>646</v>
      </c>
      <c r="AH143" s="1">
        <f t="shared" ca="1" si="138"/>
        <v>9.8799131641657458E-3</v>
      </c>
      <c r="AJ143" s="1">
        <f t="shared" ca="1" si="139"/>
        <v>0.19146122389326614</v>
      </c>
      <c r="AK143" s="1">
        <f t="shared" ca="1" si="140"/>
        <v>7.0547740066539185E-3</v>
      </c>
      <c r="AL143" s="1"/>
      <c r="AM143" s="1">
        <f t="shared" ca="1" si="141"/>
        <v>2.9528182480343106E-2</v>
      </c>
      <c r="AN143" s="1">
        <f t="shared" ca="1" si="142"/>
        <v>63</v>
      </c>
      <c r="AO143" s="1">
        <f t="shared" ca="1" si="143"/>
        <v>13</v>
      </c>
      <c r="AQ143" s="1">
        <f t="shared" ca="1" si="144"/>
        <v>65</v>
      </c>
      <c r="AR143" s="1">
        <f t="shared" ca="1" si="145"/>
        <v>8</v>
      </c>
      <c r="AS143" s="1">
        <f t="shared" ca="1" si="146"/>
        <v>56</v>
      </c>
      <c r="AU143" s="1">
        <f t="shared" ca="1" si="147"/>
        <v>317</v>
      </c>
      <c r="AV143" s="1">
        <f t="shared" ca="1" si="148"/>
        <v>8</v>
      </c>
      <c r="AW143" s="1">
        <f t="shared" ca="1" si="149"/>
        <v>8.7054934344468898E-2</v>
      </c>
      <c r="AY143" s="1">
        <f t="shared" ca="1" si="150"/>
        <v>1.1251578374023155</v>
      </c>
      <c r="AZ143" s="1">
        <f t="shared" ca="1" si="151"/>
        <v>344</v>
      </c>
      <c r="BA143" s="1">
        <f t="shared" ca="1" si="152"/>
        <v>5.7555681762692761E-4</v>
      </c>
      <c r="BV143" s="1">
        <f t="shared" ca="1" si="153"/>
        <v>0.64978590278471648</v>
      </c>
      <c r="BW143" s="1">
        <f t="shared" ca="1" si="154"/>
        <v>457</v>
      </c>
      <c r="BX143" s="1">
        <f t="shared" ca="1" si="155"/>
        <v>1.458379973588811E-3</v>
      </c>
      <c r="BY143" s="1">
        <f t="shared" ca="1" si="156"/>
        <v>9.0217084230104397E-2</v>
      </c>
      <c r="BZ143" s="1">
        <f t="shared" ca="1" si="157"/>
        <v>0.22359296499023051</v>
      </c>
      <c r="CB143" s="1">
        <f t="shared" ca="1" si="158"/>
        <v>493</v>
      </c>
      <c r="CC143" s="1">
        <f t="shared" ca="1" si="159"/>
        <v>4</v>
      </c>
      <c r="CD143" s="1">
        <f t="shared" ca="1" si="160"/>
        <v>0.26292153963189208</v>
      </c>
      <c r="CE143" s="1">
        <f t="shared" ca="1" si="161"/>
        <v>0.65110347948630132</v>
      </c>
      <c r="CF143" s="1">
        <f t="shared" ca="1" si="161"/>
        <v>0.84381925231740973</v>
      </c>
      <c r="CH143" s="3">
        <f t="shared" ca="1" si="162"/>
        <v>7.0987027096668293E-2</v>
      </c>
      <c r="CI143" s="3">
        <f t="shared" ca="1" si="163"/>
        <v>0.83862336383237246</v>
      </c>
      <c r="CJ143" s="3">
        <f t="shared" ca="1" si="164"/>
        <v>133</v>
      </c>
      <c r="CK143" s="3">
        <f t="shared" ca="1" si="165"/>
        <v>2.6802074071982705E-4</v>
      </c>
      <c r="CL143" s="3">
        <f t="shared" ca="1" si="166"/>
        <v>1</v>
      </c>
      <c r="CM143" s="3"/>
      <c r="CN143" s="1">
        <f t="shared" ca="1" si="167"/>
        <v>17.535399902546281</v>
      </c>
      <c r="CO143" s="1">
        <f t="shared" ca="1" si="168"/>
        <v>0.32381867704805606</v>
      </c>
      <c r="CP143" s="1">
        <f t="shared" ca="1" si="169"/>
        <v>3</v>
      </c>
    </row>
    <row r="144" spans="2:94" x14ac:dyDescent="0.25">
      <c r="B144">
        <f t="shared" ca="1" si="114"/>
        <v>766</v>
      </c>
      <c r="C144">
        <f t="shared" ca="1" si="115"/>
        <v>16</v>
      </c>
      <c r="D144">
        <f t="shared" ca="1" si="116"/>
        <v>0.24330394461920354</v>
      </c>
      <c r="F144" s="1">
        <f t="shared" ca="1" si="117"/>
        <v>44</v>
      </c>
      <c r="G144" s="1">
        <f t="shared" ca="1" si="118"/>
        <v>7</v>
      </c>
      <c r="H144" s="1">
        <f t="shared" ca="1" si="119"/>
        <v>4</v>
      </c>
      <c r="I144" s="1"/>
      <c r="J144" s="1">
        <f t="shared" ca="1" si="120"/>
        <v>24</v>
      </c>
      <c r="K144" s="1">
        <f t="shared" ca="1" si="121"/>
        <v>2.7553322776115494</v>
      </c>
      <c r="L144" s="1">
        <f t="shared" ca="1" si="122"/>
        <v>34</v>
      </c>
      <c r="M144" s="1"/>
      <c r="N144" s="1">
        <f t="shared" ca="1" si="123"/>
        <v>435</v>
      </c>
      <c r="O144" s="1">
        <f t="shared" ca="1" si="124"/>
        <v>15</v>
      </c>
      <c r="P144" s="1"/>
      <c r="Q144" s="1">
        <f t="shared" ca="1" si="125"/>
        <v>2.8644697181904868</v>
      </c>
      <c r="R144" s="1">
        <f t="shared" ca="1" si="126"/>
        <v>405</v>
      </c>
      <c r="S144" s="1"/>
      <c r="T144" s="1">
        <f t="shared" ca="1" si="127"/>
        <v>0.16149437248481019</v>
      </c>
      <c r="U144" s="1">
        <f t="shared" ca="1" si="128"/>
        <v>158</v>
      </c>
      <c r="V144" s="1">
        <f t="shared" ca="1" si="129"/>
        <v>14</v>
      </c>
      <c r="W144" s="1"/>
      <c r="X144" s="1">
        <f t="shared" ca="1" si="130"/>
        <v>3.0059709948244082</v>
      </c>
      <c r="Y144" s="1">
        <f t="shared" ca="1" si="131"/>
        <v>0.94928961152846525</v>
      </c>
      <c r="Z144" s="1">
        <f t="shared" ca="1" si="132"/>
        <v>1822</v>
      </c>
      <c r="AB144" s="1">
        <f t="shared" ca="1" si="133"/>
        <v>0.85792474406163066</v>
      </c>
      <c r="AC144" s="1">
        <f t="shared" ca="1" si="134"/>
        <v>362</v>
      </c>
      <c r="AD144" s="1">
        <f t="shared" ca="1" si="135"/>
        <v>7.469907213859265E-3</v>
      </c>
      <c r="AE144" s="1"/>
      <c r="AF144" s="1">
        <f t="shared" ca="1" si="136"/>
        <v>0.42588051625866041</v>
      </c>
      <c r="AG144" s="1">
        <f t="shared" ca="1" si="137"/>
        <v>743</v>
      </c>
      <c r="AH144" s="1">
        <f t="shared" ca="1" si="138"/>
        <v>4.2547795558705677E-3</v>
      </c>
      <c r="AJ144" s="1">
        <f t="shared" ca="1" si="139"/>
        <v>0.75157108227760283</v>
      </c>
      <c r="AK144" s="1">
        <f t="shared" ca="1" si="140"/>
        <v>2.7491787966015865E-3</v>
      </c>
      <c r="AL144" s="1"/>
      <c r="AM144" s="1">
        <f t="shared" ca="1" si="141"/>
        <v>0.10664750601202237</v>
      </c>
      <c r="AN144" s="1">
        <f t="shared" ca="1" si="142"/>
        <v>50</v>
      </c>
      <c r="AO144" s="1">
        <f t="shared" ca="1" si="143"/>
        <v>5</v>
      </c>
      <c r="AQ144" s="1">
        <f t="shared" ca="1" si="144"/>
        <v>78</v>
      </c>
      <c r="AR144" s="1">
        <f t="shared" ca="1" si="145"/>
        <v>7</v>
      </c>
      <c r="AS144" s="1">
        <f t="shared" ca="1" si="146"/>
        <v>85</v>
      </c>
      <c r="AU144" s="1">
        <f t="shared" ca="1" si="147"/>
        <v>155</v>
      </c>
      <c r="AV144" s="1">
        <f t="shared" ca="1" si="148"/>
        <v>6</v>
      </c>
      <c r="AW144" s="1">
        <f t="shared" ca="1" si="149"/>
        <v>8.4522276272662261E-2</v>
      </c>
      <c r="AY144" s="1">
        <f t="shared" ca="1" si="150"/>
        <v>1.5247879281548016</v>
      </c>
      <c r="AZ144" s="1">
        <f t="shared" ca="1" si="151"/>
        <v>417</v>
      </c>
      <c r="BA144" s="1">
        <f t="shared" ca="1" si="152"/>
        <v>1.6562983843960439E-3</v>
      </c>
      <c r="BV144" s="1">
        <f t="shared" ca="1" si="153"/>
        <v>0.65886097485908623</v>
      </c>
      <c r="BW144" s="1">
        <f t="shared" ca="1" si="154"/>
        <v>184</v>
      </c>
      <c r="BX144" s="1">
        <f t="shared" ca="1" si="155"/>
        <v>4.8419569889719934E-3</v>
      </c>
      <c r="BY144" s="1">
        <f t="shared" ca="1" si="156"/>
        <v>8.9166173119961972E-2</v>
      </c>
      <c r="BZ144" s="1">
        <f t="shared" ca="1" si="157"/>
        <v>0.69798597544659313</v>
      </c>
      <c r="CB144" s="1">
        <f t="shared" ca="1" si="158"/>
        <v>126</v>
      </c>
      <c r="CC144" s="1">
        <f t="shared" ca="1" si="159"/>
        <v>14</v>
      </c>
      <c r="CD144" s="1">
        <f t="shared" ca="1" si="160"/>
        <v>0.10631438516611719</v>
      </c>
      <c r="CE144" s="1">
        <f t="shared" ca="1" si="161"/>
        <v>0.72453104795046819</v>
      </c>
      <c r="CF144" s="1">
        <f t="shared" ca="1" si="161"/>
        <v>0.77979138018397931</v>
      </c>
      <c r="CH144" s="3">
        <f t="shared" ca="1" si="162"/>
        <v>0.36561856429161133</v>
      </c>
      <c r="CI144" s="3">
        <f t="shared" ca="1" si="163"/>
        <v>0.27100173612845707</v>
      </c>
      <c r="CJ144" s="3">
        <f t="shared" ca="1" si="164"/>
        <v>1402</v>
      </c>
      <c r="CK144" s="3">
        <f t="shared" ca="1" si="165"/>
        <v>2.8542760952143822E-3</v>
      </c>
      <c r="CL144" s="3">
        <f t="shared" ca="1" si="166"/>
        <v>1</v>
      </c>
      <c r="CM144" s="3"/>
      <c r="CN144" s="1">
        <f t="shared" ca="1" si="167"/>
        <v>18.815095357086946</v>
      </c>
      <c r="CO144" s="1">
        <f t="shared" ca="1" si="168"/>
        <v>0.28298786767729445</v>
      </c>
      <c r="CP144" s="1">
        <f t="shared" ca="1" si="169"/>
        <v>2</v>
      </c>
    </row>
    <row r="145" spans="2:94" x14ac:dyDescent="0.25">
      <c r="B145">
        <f t="shared" ca="1" si="114"/>
        <v>800</v>
      </c>
      <c r="C145">
        <f t="shared" ca="1" si="115"/>
        <v>52</v>
      </c>
      <c r="D145">
        <f t="shared" ca="1" si="116"/>
        <v>3.8800043861627803E-2</v>
      </c>
      <c r="F145" s="1">
        <f t="shared" ca="1" si="117"/>
        <v>45</v>
      </c>
      <c r="G145" s="1">
        <f t="shared" ca="1" si="118"/>
        <v>26</v>
      </c>
      <c r="H145" s="1">
        <f t="shared" ca="1" si="119"/>
        <v>9</v>
      </c>
      <c r="I145" s="1"/>
      <c r="J145" s="1">
        <f t="shared" ca="1" si="120"/>
        <v>38</v>
      </c>
      <c r="K145" s="1">
        <f t="shared" ca="1" si="121"/>
        <v>2.2748206438472707</v>
      </c>
      <c r="L145" s="1">
        <f t="shared" ca="1" si="122"/>
        <v>11</v>
      </c>
      <c r="M145" s="1"/>
      <c r="N145" s="1">
        <f t="shared" ca="1" si="123"/>
        <v>879</v>
      </c>
      <c r="O145" s="1">
        <f t="shared" ca="1" si="124"/>
        <v>4</v>
      </c>
      <c r="P145" s="1"/>
      <c r="Q145" s="1">
        <f t="shared" ca="1" si="125"/>
        <v>1.8937626053211822</v>
      </c>
      <c r="R145" s="1">
        <f t="shared" ca="1" si="126"/>
        <v>605</v>
      </c>
      <c r="S145" s="1"/>
      <c r="T145" s="1">
        <f t="shared" ca="1" si="127"/>
        <v>6.7991544883657717E-2</v>
      </c>
      <c r="U145" s="1">
        <f t="shared" ca="1" si="128"/>
        <v>134</v>
      </c>
      <c r="V145" s="1">
        <f t="shared" ca="1" si="129"/>
        <v>36</v>
      </c>
      <c r="W145" s="1"/>
      <c r="X145" s="1">
        <f t="shared" ca="1" si="130"/>
        <v>0.57486283137478622</v>
      </c>
      <c r="Y145" s="1">
        <f t="shared" ca="1" si="131"/>
        <v>0.57463758162720391</v>
      </c>
      <c r="Z145" s="1">
        <f t="shared" ca="1" si="132"/>
        <v>775</v>
      </c>
      <c r="AB145" s="1">
        <f t="shared" ca="1" si="133"/>
        <v>0.92000114022790491</v>
      </c>
      <c r="AC145" s="1">
        <f t="shared" ca="1" si="134"/>
        <v>951</v>
      </c>
      <c r="AD145" s="1">
        <f t="shared" ca="1" si="135"/>
        <v>1.7981321868396731E-3</v>
      </c>
      <c r="AE145" s="1"/>
      <c r="AF145" s="1">
        <f t="shared" ca="1" si="136"/>
        <v>0.3802338989055245</v>
      </c>
      <c r="AG145" s="1">
        <f t="shared" ca="1" si="137"/>
        <v>468</v>
      </c>
      <c r="AH145" s="1">
        <f t="shared" ca="1" si="138"/>
        <v>1.1102302247509451E-3</v>
      </c>
      <c r="AJ145" s="1">
        <f t="shared" ca="1" si="139"/>
        <v>0.3660046590490984</v>
      </c>
      <c r="AK145" s="1">
        <f t="shared" ca="1" si="140"/>
        <v>3.4159219739064387E-3</v>
      </c>
      <c r="AL145" s="1"/>
      <c r="AM145" s="1">
        <f t="shared" ca="1" si="141"/>
        <v>7.0026700049467094E-2</v>
      </c>
      <c r="AN145" s="1">
        <f t="shared" ca="1" si="142"/>
        <v>54</v>
      </c>
      <c r="AO145" s="1">
        <f t="shared" ca="1" si="143"/>
        <v>8</v>
      </c>
      <c r="AQ145" s="1">
        <f t="shared" ca="1" si="144"/>
        <v>23</v>
      </c>
      <c r="AR145" s="1">
        <f t="shared" ca="1" si="145"/>
        <v>6</v>
      </c>
      <c r="AS145" s="1">
        <f t="shared" ca="1" si="146"/>
        <v>14</v>
      </c>
      <c r="AU145" s="1">
        <f t="shared" ca="1" si="147"/>
        <v>364</v>
      </c>
      <c r="AV145" s="1">
        <f t="shared" ca="1" si="148"/>
        <v>4</v>
      </c>
      <c r="AW145" s="1">
        <f t="shared" ca="1" si="149"/>
        <v>4.3115828506147397E-2</v>
      </c>
      <c r="AY145" s="1">
        <f t="shared" ca="1" si="150"/>
        <v>1.1405807083778499</v>
      </c>
      <c r="AZ145" s="1">
        <f t="shared" ca="1" si="151"/>
        <v>118</v>
      </c>
      <c r="BA145" s="1">
        <f t="shared" ca="1" si="152"/>
        <v>7.1370561386781602E-3</v>
      </c>
      <c r="BV145" s="1">
        <f t="shared" ca="1" si="153"/>
        <v>0.45255668536193455</v>
      </c>
      <c r="BW145" s="1">
        <f t="shared" ca="1" si="154"/>
        <v>917</v>
      </c>
      <c r="BX145" s="1">
        <f t="shared" ca="1" si="155"/>
        <v>1.4494819050003601E-3</v>
      </c>
      <c r="BY145" s="1">
        <f t="shared" ca="1" si="156"/>
        <v>7.4418932713114963E-2</v>
      </c>
      <c r="BZ145" s="1">
        <f t="shared" ca="1" si="157"/>
        <v>7.8567455235037276E-2</v>
      </c>
      <c r="CB145" s="1">
        <f t="shared" ca="1" si="158"/>
        <v>125</v>
      </c>
      <c r="CC145" s="1">
        <f t="shared" ca="1" si="159"/>
        <v>13</v>
      </c>
      <c r="CD145" s="1">
        <f t="shared" ca="1" si="160"/>
        <v>5.4458681256144378E-2</v>
      </c>
      <c r="CE145" s="1">
        <f t="shared" ca="1" si="161"/>
        <v>0.79430277151598583</v>
      </c>
      <c r="CF145" s="1">
        <f t="shared" ca="1" si="161"/>
        <v>0.59870773913244935</v>
      </c>
      <c r="CH145" s="3">
        <f t="shared" ca="1" si="162"/>
        <v>0.32320090198631896</v>
      </c>
      <c r="CI145" s="3">
        <f t="shared" ca="1" si="163"/>
        <v>0.24919383111984741</v>
      </c>
      <c r="CJ145" s="3">
        <f t="shared" ca="1" si="164"/>
        <v>924</v>
      </c>
      <c r="CK145" s="3">
        <f t="shared" ca="1" si="165"/>
        <v>1.5588587801706676E-3</v>
      </c>
      <c r="CL145" s="3">
        <f t="shared" ca="1" si="166"/>
        <v>0</v>
      </c>
      <c r="CM145" s="3"/>
      <c r="CN145" s="1">
        <f t="shared" ca="1" si="167"/>
        <v>9.4131578575879207</v>
      </c>
      <c r="CO145" s="1">
        <f t="shared" ca="1" si="168"/>
        <v>0.26455284448024446</v>
      </c>
      <c r="CP145" s="1">
        <f t="shared" ca="1" si="169"/>
        <v>1</v>
      </c>
    </row>
    <row r="146" spans="2:94" x14ac:dyDescent="0.25">
      <c r="B146">
        <f t="shared" ca="1" si="114"/>
        <v>176</v>
      </c>
      <c r="C146">
        <f t="shared" ca="1" si="115"/>
        <v>22</v>
      </c>
      <c r="D146">
        <f t="shared" ca="1" si="116"/>
        <v>1.8342648857341836E-2</v>
      </c>
      <c r="F146" s="1">
        <f t="shared" ca="1" si="117"/>
        <v>23</v>
      </c>
      <c r="G146" s="1">
        <f t="shared" ca="1" si="118"/>
        <v>28</v>
      </c>
      <c r="H146" s="1">
        <f t="shared" ca="1" si="119"/>
        <v>1</v>
      </c>
      <c r="I146" s="1"/>
      <c r="J146" s="1">
        <f t="shared" ca="1" si="120"/>
        <v>39</v>
      </c>
      <c r="K146" s="1">
        <f t="shared" ca="1" si="121"/>
        <v>1.9664264366566773</v>
      </c>
      <c r="L146" s="1">
        <f t="shared" ca="1" si="122"/>
        <v>23</v>
      </c>
      <c r="M146" s="1"/>
      <c r="N146" s="1">
        <f t="shared" ca="1" si="123"/>
        <v>976</v>
      </c>
      <c r="O146" s="1">
        <f t="shared" ca="1" si="124"/>
        <v>47</v>
      </c>
      <c r="P146" s="1"/>
      <c r="Q146" s="1">
        <f t="shared" ca="1" si="125"/>
        <v>1.3728037621115099</v>
      </c>
      <c r="R146" s="1">
        <f t="shared" ca="1" si="126"/>
        <v>617</v>
      </c>
      <c r="S146" s="1"/>
      <c r="T146" s="1">
        <f t="shared" ca="1" si="127"/>
        <v>7.8293502792851077E-2</v>
      </c>
      <c r="U146" s="1">
        <f t="shared" ca="1" si="128"/>
        <v>392</v>
      </c>
      <c r="V146" s="1">
        <f t="shared" ca="1" si="129"/>
        <v>12</v>
      </c>
      <c r="W146" s="1"/>
      <c r="X146" s="1">
        <f t="shared" ca="1" si="130"/>
        <v>8.4163968855768267</v>
      </c>
      <c r="Y146" s="1">
        <f t="shared" ca="1" si="131"/>
        <v>0.81172299333154752</v>
      </c>
      <c r="Z146" s="1">
        <f t="shared" ca="1" si="132"/>
        <v>1451</v>
      </c>
      <c r="AB146" s="1">
        <f t="shared" ca="1" si="133"/>
        <v>2.203110651707834E-2</v>
      </c>
      <c r="AC146" s="1">
        <f t="shared" ca="1" si="134"/>
        <v>750</v>
      </c>
      <c r="AD146" s="1">
        <f t="shared" ca="1" si="135"/>
        <v>8.4837534527455426E-3</v>
      </c>
      <c r="AE146" s="1"/>
      <c r="AF146" s="1">
        <f t="shared" ca="1" si="136"/>
        <v>0.27775765287659293</v>
      </c>
      <c r="AG146" s="1">
        <f t="shared" ca="1" si="137"/>
        <v>328</v>
      </c>
      <c r="AH146" s="1">
        <f t="shared" ca="1" si="138"/>
        <v>4.797047031094146E-3</v>
      </c>
      <c r="AJ146" s="1">
        <f t="shared" ca="1" si="139"/>
        <v>0.93746465577149063</v>
      </c>
      <c r="AK146" s="1">
        <f t="shared" ca="1" si="140"/>
        <v>7.8906760607030061E-3</v>
      </c>
      <c r="AL146" s="1"/>
      <c r="AM146" s="1">
        <f t="shared" ca="1" si="141"/>
        <v>0.16439685760912359</v>
      </c>
      <c r="AN146" s="1">
        <f t="shared" ca="1" si="142"/>
        <v>72</v>
      </c>
      <c r="AO146" s="1">
        <f t="shared" ca="1" si="143"/>
        <v>0</v>
      </c>
      <c r="AQ146" s="1">
        <f t="shared" ca="1" si="144"/>
        <v>124</v>
      </c>
      <c r="AR146" s="1">
        <f t="shared" ca="1" si="145"/>
        <v>10</v>
      </c>
      <c r="AS146" s="1">
        <f t="shared" ca="1" si="146"/>
        <v>22</v>
      </c>
      <c r="AU146" s="1">
        <f t="shared" ca="1" si="147"/>
        <v>374</v>
      </c>
      <c r="AV146" s="1">
        <f t="shared" ca="1" si="148"/>
        <v>4</v>
      </c>
      <c r="AW146" s="1">
        <f t="shared" ca="1" si="149"/>
        <v>4.6287190004000167E-2</v>
      </c>
      <c r="AY146" s="1">
        <f t="shared" ca="1" si="150"/>
        <v>1.8579151317107496</v>
      </c>
      <c r="AZ146" s="1">
        <f t="shared" ca="1" si="151"/>
        <v>95</v>
      </c>
      <c r="BA146" s="1">
        <f t="shared" ca="1" si="152"/>
        <v>2.2705018199416838E-3</v>
      </c>
      <c r="BV146" s="1">
        <f t="shared" ca="1" si="153"/>
        <v>0.48221301851838516</v>
      </c>
      <c r="BW146" s="1">
        <f t="shared" ca="1" si="154"/>
        <v>474</v>
      </c>
      <c r="BX146" s="1">
        <f t="shared" ca="1" si="155"/>
        <v>1.5358841685666636E-3</v>
      </c>
      <c r="BY146" s="1">
        <f t="shared" ca="1" si="156"/>
        <v>1.1178801802085329E-2</v>
      </c>
      <c r="BZ146" s="1">
        <f t="shared" ca="1" si="157"/>
        <v>0.87830673186027464</v>
      </c>
      <c r="CB146" s="1">
        <f t="shared" ca="1" si="158"/>
        <v>203</v>
      </c>
      <c r="CC146" s="1">
        <f t="shared" ca="1" si="159"/>
        <v>5</v>
      </c>
      <c r="CD146" s="1">
        <f t="shared" ca="1" si="160"/>
        <v>5.0613285699596583E-2</v>
      </c>
      <c r="CE146" s="1">
        <f t="shared" ca="1" si="161"/>
        <v>0.97916270161279217</v>
      </c>
      <c r="CF146" s="1">
        <f t="shared" ca="1" si="161"/>
        <v>0.63535425067432605</v>
      </c>
      <c r="CH146" s="3">
        <f t="shared" ca="1" si="162"/>
        <v>0.45635459994082983</v>
      </c>
      <c r="CI146" s="3">
        <f t="shared" ca="1" si="163"/>
        <v>0.42791194986111558</v>
      </c>
      <c r="CJ146" s="3">
        <f t="shared" ca="1" si="164"/>
        <v>298</v>
      </c>
      <c r="CK146" s="3">
        <f t="shared" ca="1" si="165"/>
        <v>6.6553596366298942E-3</v>
      </c>
      <c r="CL146" s="3">
        <f t="shared" ca="1" si="166"/>
        <v>1</v>
      </c>
      <c r="CM146" s="3"/>
      <c r="CN146" s="1">
        <f t="shared" ca="1" si="167"/>
        <v>14.904391447028324</v>
      </c>
      <c r="CO146" s="1">
        <f t="shared" ca="1" si="168"/>
        <v>9.8875195885235828E-2</v>
      </c>
      <c r="CP146" s="1">
        <f t="shared" ca="1" si="169"/>
        <v>2</v>
      </c>
    </row>
    <row r="147" spans="2:94" x14ac:dyDescent="0.25">
      <c r="B147">
        <f t="shared" ca="1" si="114"/>
        <v>676</v>
      </c>
      <c r="C147">
        <f t="shared" ca="1" si="115"/>
        <v>28</v>
      </c>
      <c r="D147">
        <f t="shared" ca="1" si="116"/>
        <v>0.20839710682877552</v>
      </c>
      <c r="F147" s="1">
        <f t="shared" ca="1" si="117"/>
        <v>21</v>
      </c>
      <c r="G147" s="1">
        <f t="shared" ca="1" si="118"/>
        <v>26</v>
      </c>
      <c r="H147" s="1">
        <f t="shared" ca="1" si="119"/>
        <v>4</v>
      </c>
      <c r="I147" s="1"/>
      <c r="J147" s="1">
        <f t="shared" ca="1" si="120"/>
        <v>7</v>
      </c>
      <c r="K147" s="1">
        <f t="shared" ca="1" si="121"/>
        <v>2.6893810314989501</v>
      </c>
      <c r="L147" s="1">
        <f t="shared" ca="1" si="122"/>
        <v>20</v>
      </c>
      <c r="M147" s="1"/>
      <c r="N147" s="1">
        <f t="shared" ca="1" si="123"/>
        <v>174</v>
      </c>
      <c r="O147" s="1">
        <f t="shared" ca="1" si="124"/>
        <v>43</v>
      </c>
      <c r="P147" s="1"/>
      <c r="Q147" s="1">
        <f t="shared" ca="1" si="125"/>
        <v>4.9614098017212243</v>
      </c>
      <c r="R147" s="1">
        <f t="shared" ca="1" si="126"/>
        <v>1152</v>
      </c>
      <c r="S147" s="1"/>
      <c r="T147" s="1">
        <f t="shared" ca="1" si="127"/>
        <v>0.15177719625855229</v>
      </c>
      <c r="U147" s="1">
        <f t="shared" ca="1" si="128"/>
        <v>388</v>
      </c>
      <c r="V147" s="1">
        <f t="shared" ca="1" si="129"/>
        <v>40</v>
      </c>
      <c r="W147" s="1"/>
      <c r="X147" s="1">
        <f t="shared" ca="1" si="130"/>
        <v>0.96570191187439458</v>
      </c>
      <c r="Y147" s="1">
        <f t="shared" ca="1" si="131"/>
        <v>6.2585128236602533E-2</v>
      </c>
      <c r="Z147" s="1">
        <f t="shared" ca="1" si="132"/>
        <v>1128</v>
      </c>
      <c r="AB147" s="1">
        <f t="shared" ca="1" si="133"/>
        <v>0.44000435088611811</v>
      </c>
      <c r="AC147" s="1">
        <f t="shared" ca="1" si="134"/>
        <v>776</v>
      </c>
      <c r="AD147" s="1">
        <f t="shared" ca="1" si="135"/>
        <v>1.7154142279173163E-3</v>
      </c>
      <c r="AE147" s="1"/>
      <c r="AF147" s="1">
        <f t="shared" ca="1" si="136"/>
        <v>0.79827211612410465</v>
      </c>
      <c r="AG147" s="1">
        <f t="shared" ca="1" si="137"/>
        <v>967</v>
      </c>
      <c r="AH147" s="1">
        <f t="shared" ca="1" si="138"/>
        <v>8.011763248168503E-3</v>
      </c>
      <c r="AJ147" s="1">
        <f t="shared" ca="1" si="139"/>
        <v>0.4963711103081806</v>
      </c>
      <c r="AK147" s="1">
        <f t="shared" ca="1" si="140"/>
        <v>1.2574904551723005E-3</v>
      </c>
      <c r="AL147" s="1"/>
      <c r="AM147" s="1">
        <f t="shared" ca="1" si="141"/>
        <v>3.5790438528585371E-2</v>
      </c>
      <c r="AN147" s="1">
        <f t="shared" ca="1" si="142"/>
        <v>68</v>
      </c>
      <c r="AO147" s="1">
        <f t="shared" ca="1" si="143"/>
        <v>14</v>
      </c>
      <c r="AQ147" s="1">
        <f t="shared" ca="1" si="144"/>
        <v>167</v>
      </c>
      <c r="AR147" s="1">
        <f t="shared" ca="1" si="145"/>
        <v>1</v>
      </c>
      <c r="AS147" s="1">
        <f t="shared" ca="1" si="146"/>
        <v>27</v>
      </c>
      <c r="AU147" s="1">
        <f t="shared" ca="1" si="147"/>
        <v>370</v>
      </c>
      <c r="AV147" s="1">
        <f t="shared" ca="1" si="148"/>
        <v>10</v>
      </c>
      <c r="AW147" s="1">
        <f t="shared" ca="1" si="149"/>
        <v>0.14826181730173041</v>
      </c>
      <c r="AY147" s="1">
        <f t="shared" ca="1" si="150"/>
        <v>1.6078536057927941</v>
      </c>
      <c r="AZ147" s="1">
        <f t="shared" ca="1" si="151"/>
        <v>432</v>
      </c>
      <c r="BA147" s="1">
        <f t="shared" ca="1" si="152"/>
        <v>2.3830204856915892E-4</v>
      </c>
      <c r="BV147" s="1">
        <f t="shared" ca="1" si="153"/>
        <v>0.97072241299760553</v>
      </c>
      <c r="BW147" s="1">
        <f t="shared" ca="1" si="154"/>
        <v>704</v>
      </c>
      <c r="BX147" s="1">
        <f t="shared" ca="1" si="155"/>
        <v>7.6853021788772773E-3</v>
      </c>
      <c r="BY147" s="1">
        <f t="shared" ca="1" si="156"/>
        <v>8.3840972292559018E-2</v>
      </c>
      <c r="BZ147" s="1">
        <f t="shared" ca="1" si="157"/>
        <v>0.20792801622989066</v>
      </c>
      <c r="CB147" s="1">
        <f t="shared" ca="1" si="158"/>
        <v>361</v>
      </c>
      <c r="CC147" s="1">
        <f t="shared" ca="1" si="159"/>
        <v>11</v>
      </c>
      <c r="CD147" s="1">
        <f t="shared" ca="1" si="160"/>
        <v>0.20085542730127384</v>
      </c>
      <c r="CE147" s="1">
        <f t="shared" ca="1" si="161"/>
        <v>0.78909015589615006</v>
      </c>
      <c r="CF147" s="1">
        <f t="shared" ca="1" si="161"/>
        <v>0.9716931732754539</v>
      </c>
      <c r="CH147" s="3">
        <f t="shared" ca="1" si="162"/>
        <v>0.11057442246391815</v>
      </c>
      <c r="CI147" s="3">
        <f t="shared" ca="1" si="163"/>
        <v>0.48364033162176778</v>
      </c>
      <c r="CJ147" s="3">
        <f t="shared" ca="1" si="164"/>
        <v>1117</v>
      </c>
      <c r="CK147" s="3">
        <f t="shared" ca="1" si="165"/>
        <v>4.250359373101237E-3</v>
      </c>
      <c r="CL147" s="3">
        <f t="shared" ca="1" si="166"/>
        <v>1</v>
      </c>
      <c r="CM147" s="3"/>
      <c r="CN147" s="1">
        <f t="shared" ca="1" si="167"/>
        <v>5.0063563508147739</v>
      </c>
      <c r="CO147" s="1">
        <f t="shared" ca="1" si="168"/>
        <v>4.8150006703316491E-2</v>
      </c>
      <c r="CP147" s="1">
        <f t="shared" ca="1" si="169"/>
        <v>4</v>
      </c>
    </row>
    <row r="148" spans="2:94" x14ac:dyDescent="0.25">
      <c r="B148">
        <f t="shared" ca="1" si="114"/>
        <v>905</v>
      </c>
      <c r="C148">
        <f t="shared" ca="1" si="115"/>
        <v>6</v>
      </c>
      <c r="D148">
        <f t="shared" ca="1" si="116"/>
        <v>0.12578835816855463</v>
      </c>
      <c r="F148" s="1">
        <f t="shared" ca="1" si="117"/>
        <v>40</v>
      </c>
      <c r="G148" s="1">
        <f t="shared" ca="1" si="118"/>
        <v>9</v>
      </c>
      <c r="H148" s="1">
        <f t="shared" ca="1" si="119"/>
        <v>2</v>
      </c>
      <c r="I148" s="1"/>
      <c r="J148" s="1">
        <f t="shared" ca="1" si="120"/>
        <v>15</v>
      </c>
      <c r="K148" s="1">
        <f t="shared" ca="1" si="121"/>
        <v>1.9559172499651674</v>
      </c>
      <c r="L148" s="1">
        <f t="shared" ca="1" si="122"/>
        <v>9</v>
      </c>
      <c r="M148" s="1"/>
      <c r="N148" s="1">
        <f t="shared" ca="1" si="123"/>
        <v>725</v>
      </c>
      <c r="O148" s="1">
        <f t="shared" ca="1" si="124"/>
        <v>12</v>
      </c>
      <c r="P148" s="1"/>
      <c r="Q148" s="1">
        <f t="shared" ca="1" si="125"/>
        <v>1.8334575574892307</v>
      </c>
      <c r="R148" s="1">
        <f t="shared" ca="1" si="126"/>
        <v>873</v>
      </c>
      <c r="S148" s="1"/>
      <c r="T148" s="1">
        <f t="shared" ca="1" si="127"/>
        <v>0.12205675800184441</v>
      </c>
      <c r="U148" s="1">
        <f t="shared" ca="1" si="128"/>
        <v>263</v>
      </c>
      <c r="V148" s="1">
        <f t="shared" ca="1" si="129"/>
        <v>52</v>
      </c>
      <c r="W148" s="1"/>
      <c r="X148" s="1">
        <f t="shared" ca="1" si="130"/>
        <v>7.4963407323402746</v>
      </c>
      <c r="Y148" s="1">
        <f t="shared" ca="1" si="131"/>
        <v>0.98001044307987883</v>
      </c>
      <c r="Z148" s="1">
        <f t="shared" ca="1" si="132"/>
        <v>1997</v>
      </c>
      <c r="AB148" s="1">
        <f t="shared" ca="1" si="133"/>
        <v>0.81678901887404121</v>
      </c>
      <c r="AC148" s="1">
        <f t="shared" ca="1" si="134"/>
        <v>651</v>
      </c>
      <c r="AD148" s="1">
        <f t="shared" ca="1" si="135"/>
        <v>9.672507393686915E-3</v>
      </c>
      <c r="AE148" s="1"/>
      <c r="AF148" s="1">
        <f t="shared" ca="1" si="136"/>
        <v>0.10936196508376517</v>
      </c>
      <c r="AG148" s="1">
        <f t="shared" ca="1" si="137"/>
        <v>300</v>
      </c>
      <c r="AH148" s="1">
        <f t="shared" ca="1" si="138"/>
        <v>3.825449108497084E-3</v>
      </c>
      <c r="AJ148" s="1">
        <f t="shared" ca="1" si="139"/>
        <v>0.21822688879299135</v>
      </c>
      <c r="AK148" s="1">
        <f t="shared" ca="1" si="140"/>
        <v>7.3817017334903692E-3</v>
      </c>
      <c r="AL148" s="1"/>
      <c r="AM148" s="1">
        <f t="shared" ca="1" si="141"/>
        <v>2.0902051011136416E-2</v>
      </c>
      <c r="AN148" s="1">
        <f t="shared" ca="1" si="142"/>
        <v>13</v>
      </c>
      <c r="AO148" s="1">
        <f t="shared" ca="1" si="143"/>
        <v>18</v>
      </c>
      <c r="AQ148" s="1">
        <f t="shared" ca="1" si="144"/>
        <v>197</v>
      </c>
      <c r="AR148" s="1">
        <f t="shared" ca="1" si="145"/>
        <v>5</v>
      </c>
      <c r="AS148" s="1">
        <f t="shared" ca="1" si="146"/>
        <v>58</v>
      </c>
      <c r="AU148" s="1">
        <f t="shared" ca="1" si="147"/>
        <v>78</v>
      </c>
      <c r="AV148" s="1">
        <f t="shared" ca="1" si="148"/>
        <v>2</v>
      </c>
      <c r="AW148" s="1">
        <f t="shared" ca="1" si="149"/>
        <v>0.19572810449614775</v>
      </c>
      <c r="AY148" s="1">
        <f t="shared" ca="1" si="150"/>
        <v>1.4633829489991053</v>
      </c>
      <c r="AZ148" s="1">
        <f t="shared" ca="1" si="151"/>
        <v>414</v>
      </c>
      <c r="BA148" s="1">
        <f t="shared" ca="1" si="152"/>
        <v>5.4864688099954808E-3</v>
      </c>
      <c r="BV148" s="1">
        <f t="shared" ca="1" si="153"/>
        <v>0.98430161176153996</v>
      </c>
      <c r="BW148" s="1">
        <f t="shared" ca="1" si="154"/>
        <v>704</v>
      </c>
      <c r="BX148" s="1">
        <f t="shared" ca="1" si="155"/>
        <v>2.2976744155040404E-3</v>
      </c>
      <c r="BY148" s="1">
        <f t="shared" ca="1" si="156"/>
        <v>5.2909783735563855E-2</v>
      </c>
      <c r="BZ148" s="1">
        <f t="shared" ca="1" si="157"/>
        <v>0.3859470736229349</v>
      </c>
      <c r="CB148" s="1">
        <f t="shared" ca="1" si="158"/>
        <v>349</v>
      </c>
      <c r="CC148" s="1">
        <f t="shared" ca="1" si="159"/>
        <v>13</v>
      </c>
      <c r="CD148" s="1">
        <f t="shared" ca="1" si="160"/>
        <v>0.25795948870350721</v>
      </c>
      <c r="CE148" s="1">
        <f t="shared" ca="1" si="161"/>
        <v>0.96451112234095693</v>
      </c>
      <c r="CF148" s="1">
        <f t="shared" ca="1" si="161"/>
        <v>0.55131755866606036</v>
      </c>
      <c r="CH148" s="3">
        <f t="shared" ca="1" si="162"/>
        <v>0.80313156365514049</v>
      </c>
      <c r="CI148" s="3">
        <f t="shared" ca="1" si="163"/>
        <v>0.739137373864722</v>
      </c>
      <c r="CJ148" s="3">
        <f t="shared" ca="1" si="164"/>
        <v>611</v>
      </c>
      <c r="CK148" s="3">
        <f t="shared" ca="1" si="165"/>
        <v>4.2651749097990087E-3</v>
      </c>
      <c r="CL148" s="3">
        <f t="shared" ca="1" si="166"/>
        <v>0</v>
      </c>
      <c r="CM148" s="3"/>
      <c r="CN148" s="1">
        <f t="shared" ca="1" si="167"/>
        <v>11.284710134713118</v>
      </c>
      <c r="CO148" s="1">
        <f t="shared" ca="1" si="168"/>
        <v>0.44265333990901395</v>
      </c>
      <c r="CP148" s="1">
        <f t="shared" ca="1" si="169"/>
        <v>3</v>
      </c>
    </row>
    <row r="149" spans="2:94" x14ac:dyDescent="0.25">
      <c r="B149">
        <f t="shared" ca="1" si="114"/>
        <v>648</v>
      </c>
      <c r="C149">
        <f t="shared" ca="1" si="115"/>
        <v>17</v>
      </c>
      <c r="D149">
        <f t="shared" ca="1" si="116"/>
        <v>0.10182280506667225</v>
      </c>
      <c r="F149" s="1">
        <f t="shared" ca="1" si="117"/>
        <v>49</v>
      </c>
      <c r="G149" s="1">
        <f t="shared" ca="1" si="118"/>
        <v>23</v>
      </c>
      <c r="H149" s="1">
        <f t="shared" ca="1" si="119"/>
        <v>15</v>
      </c>
      <c r="I149" s="1"/>
      <c r="J149" s="1">
        <f t="shared" ca="1" si="120"/>
        <v>4</v>
      </c>
      <c r="K149" s="1">
        <f t="shared" ca="1" si="121"/>
        <v>1.9830530091084939</v>
      </c>
      <c r="L149" s="1">
        <f t="shared" ca="1" si="122"/>
        <v>23</v>
      </c>
      <c r="M149" s="1"/>
      <c r="N149" s="1">
        <f t="shared" ca="1" si="123"/>
        <v>996</v>
      </c>
      <c r="O149" s="1">
        <f t="shared" ca="1" si="124"/>
        <v>44</v>
      </c>
      <c r="P149" s="1"/>
      <c r="Q149" s="1">
        <f t="shared" ca="1" si="125"/>
        <v>0.9528561713796786</v>
      </c>
      <c r="R149" s="1">
        <f t="shared" ca="1" si="126"/>
        <v>553</v>
      </c>
      <c r="S149" s="1"/>
      <c r="T149" s="1">
        <f t="shared" ca="1" si="127"/>
        <v>8.8422869550350502E-2</v>
      </c>
      <c r="U149" s="1">
        <f t="shared" ca="1" si="128"/>
        <v>384</v>
      </c>
      <c r="V149" s="1">
        <f t="shared" ca="1" si="129"/>
        <v>31</v>
      </c>
      <c r="W149" s="1"/>
      <c r="X149" s="1">
        <f t="shared" ca="1" si="130"/>
        <v>6.6386341261913033</v>
      </c>
      <c r="Y149" s="1">
        <f t="shared" ca="1" si="131"/>
        <v>0.60202323940435942</v>
      </c>
      <c r="Z149" s="1">
        <f t="shared" ca="1" si="132"/>
        <v>421</v>
      </c>
      <c r="AB149" s="1">
        <f t="shared" ca="1" si="133"/>
        <v>0.18859265985420351</v>
      </c>
      <c r="AC149" s="1">
        <f t="shared" ca="1" si="134"/>
        <v>107</v>
      </c>
      <c r="AD149" s="1">
        <f t="shared" ca="1" si="135"/>
        <v>6.1415541869709591E-3</v>
      </c>
      <c r="AE149" s="1"/>
      <c r="AF149" s="1">
        <f t="shared" ca="1" si="136"/>
        <v>0.39689492162395756</v>
      </c>
      <c r="AG149" s="1">
        <f t="shared" ca="1" si="137"/>
        <v>324</v>
      </c>
      <c r="AH149" s="1">
        <f t="shared" ca="1" si="138"/>
        <v>2.2684547684026033E-3</v>
      </c>
      <c r="AJ149" s="1">
        <f t="shared" ca="1" si="139"/>
        <v>0.77249653815275554</v>
      </c>
      <c r="AK149" s="1">
        <f t="shared" ca="1" si="140"/>
        <v>8.0595749077148771E-3</v>
      </c>
      <c r="AL149" s="1"/>
      <c r="AM149" s="1">
        <f t="shared" ca="1" si="141"/>
        <v>6.7554683362569284E-2</v>
      </c>
      <c r="AN149" s="1">
        <f t="shared" ca="1" si="142"/>
        <v>31</v>
      </c>
      <c r="AO149" s="1">
        <f t="shared" ca="1" si="143"/>
        <v>4</v>
      </c>
      <c r="AQ149" s="1">
        <f t="shared" ca="1" si="144"/>
        <v>116</v>
      </c>
      <c r="AR149" s="1">
        <f t="shared" ca="1" si="145"/>
        <v>8</v>
      </c>
      <c r="AS149" s="1">
        <f t="shared" ca="1" si="146"/>
        <v>74</v>
      </c>
      <c r="AU149" s="1">
        <f t="shared" ca="1" si="147"/>
        <v>234</v>
      </c>
      <c r="AV149" s="1">
        <f t="shared" ca="1" si="148"/>
        <v>2</v>
      </c>
      <c r="AW149" s="1">
        <f t="shared" ca="1" si="149"/>
        <v>0.18806521818511313</v>
      </c>
      <c r="AY149" s="1">
        <f t="shared" ca="1" si="150"/>
        <v>1.2494274910887413</v>
      </c>
      <c r="AZ149" s="1">
        <f t="shared" ca="1" si="151"/>
        <v>486</v>
      </c>
      <c r="BA149" s="1">
        <f t="shared" ca="1" si="152"/>
        <v>8.7586339246461652E-3</v>
      </c>
      <c r="BV149" s="1">
        <f t="shared" ca="1" si="153"/>
        <v>0.18958498883151695</v>
      </c>
      <c r="BW149" s="1">
        <f t="shared" ca="1" si="154"/>
        <v>187</v>
      </c>
      <c r="BX149" s="1">
        <f t="shared" ca="1" si="155"/>
        <v>7.0171953170666823E-3</v>
      </c>
      <c r="BY149" s="1">
        <f t="shared" ca="1" si="156"/>
        <v>6.5905194544034679E-2</v>
      </c>
      <c r="BZ149" s="1">
        <f t="shared" ca="1" si="157"/>
        <v>0.6823015475477896</v>
      </c>
      <c r="CB149" s="1">
        <f t="shared" ca="1" si="158"/>
        <v>340</v>
      </c>
      <c r="CC149" s="1">
        <f t="shared" ca="1" si="159"/>
        <v>8</v>
      </c>
      <c r="CD149" s="1">
        <f t="shared" ca="1" si="160"/>
        <v>0.22387135855483889</v>
      </c>
      <c r="CE149" s="1">
        <f t="shared" ca="1" si="161"/>
        <v>0.93457010301084387</v>
      </c>
      <c r="CF149" s="1">
        <f t="shared" ca="1" si="161"/>
        <v>0.62314844480621345</v>
      </c>
      <c r="CH149" s="3">
        <f t="shared" ca="1" si="162"/>
        <v>0.97845501998895879</v>
      </c>
      <c r="CI149" s="3">
        <f t="shared" ca="1" si="163"/>
        <v>5.5314609933066042E-2</v>
      </c>
      <c r="CJ149" s="3">
        <f t="shared" ca="1" si="164"/>
        <v>293</v>
      </c>
      <c r="CK149" s="3">
        <f t="shared" ca="1" si="165"/>
        <v>6.7697023506918218E-3</v>
      </c>
      <c r="CL149" s="3">
        <f t="shared" ca="1" si="166"/>
        <v>0</v>
      </c>
      <c r="CM149" s="3"/>
      <c r="CN149" s="1">
        <f t="shared" ca="1" si="167"/>
        <v>0.11219362857614834</v>
      </c>
      <c r="CO149" s="1">
        <f t="shared" ca="1" si="168"/>
        <v>0.2960733735301353</v>
      </c>
      <c r="CP149" s="1">
        <f t="shared" ca="1" si="169"/>
        <v>4</v>
      </c>
    </row>
    <row r="150" spans="2:94" x14ac:dyDescent="0.25">
      <c r="B150">
        <f t="shared" ca="1" si="114"/>
        <v>975</v>
      </c>
      <c r="C150">
        <f t="shared" ca="1" si="115"/>
        <v>38</v>
      </c>
      <c r="D150">
        <f t="shared" ca="1" si="116"/>
        <v>0.29764649150149314</v>
      </c>
      <c r="F150" s="1">
        <f t="shared" ca="1" si="117"/>
        <v>5</v>
      </c>
      <c r="G150" s="1">
        <f t="shared" ca="1" si="118"/>
        <v>13</v>
      </c>
      <c r="H150" s="1">
        <f t="shared" ca="1" si="119"/>
        <v>5</v>
      </c>
      <c r="I150" s="1"/>
      <c r="J150" s="1">
        <f t="shared" ca="1" si="120"/>
        <v>24</v>
      </c>
      <c r="K150" s="1">
        <f t="shared" ca="1" si="121"/>
        <v>1.6750050334458377</v>
      </c>
      <c r="L150" s="1">
        <f t="shared" ca="1" si="122"/>
        <v>15</v>
      </c>
      <c r="M150" s="1"/>
      <c r="N150" s="1">
        <f t="shared" ca="1" si="123"/>
        <v>126</v>
      </c>
      <c r="O150" s="1">
        <f t="shared" ca="1" si="124"/>
        <v>23</v>
      </c>
      <c r="P150" s="1"/>
      <c r="Q150" s="1">
        <f t="shared" ca="1" si="125"/>
        <v>4.7018700792896153</v>
      </c>
      <c r="R150" s="1">
        <f t="shared" ca="1" si="126"/>
        <v>818</v>
      </c>
      <c r="S150" s="1"/>
      <c r="T150" s="1">
        <f t="shared" ca="1" si="127"/>
        <v>2.63609658586684E-2</v>
      </c>
      <c r="U150" s="1">
        <f t="shared" ca="1" si="128"/>
        <v>397</v>
      </c>
      <c r="V150" s="1">
        <f t="shared" ca="1" si="129"/>
        <v>41</v>
      </c>
      <c r="W150" s="1"/>
      <c r="X150" s="1">
        <f t="shared" ca="1" si="130"/>
        <v>6.8320083296672083</v>
      </c>
      <c r="Y150" s="1">
        <f t="shared" ca="1" si="131"/>
        <v>0.24242950226058566</v>
      </c>
      <c r="Z150" s="1">
        <f t="shared" ca="1" si="132"/>
        <v>618</v>
      </c>
      <c r="AB150" s="1">
        <f t="shared" ca="1" si="133"/>
        <v>0.71372712181412401</v>
      </c>
      <c r="AC150" s="1">
        <f t="shared" ca="1" si="134"/>
        <v>987</v>
      </c>
      <c r="AD150" s="1">
        <f t="shared" ca="1" si="135"/>
        <v>7.3606681269964517E-4</v>
      </c>
      <c r="AE150" s="1"/>
      <c r="AF150" s="1">
        <f t="shared" ca="1" si="136"/>
        <v>0.22073837164231841</v>
      </c>
      <c r="AG150" s="1">
        <f t="shared" ca="1" si="137"/>
        <v>449</v>
      </c>
      <c r="AH150" s="1">
        <f t="shared" ca="1" si="138"/>
        <v>6.1635356323700601E-4</v>
      </c>
      <c r="AJ150" s="1">
        <f t="shared" ca="1" si="139"/>
        <v>0.84177460956881711</v>
      </c>
      <c r="AK150" s="1">
        <f t="shared" ca="1" si="140"/>
        <v>9.5311959877550662E-3</v>
      </c>
      <c r="AL150" s="1"/>
      <c r="AM150" s="1">
        <f t="shared" ca="1" si="141"/>
        <v>2.8444504870579125E-2</v>
      </c>
      <c r="AN150" s="1">
        <f t="shared" ca="1" si="142"/>
        <v>44</v>
      </c>
      <c r="AO150" s="1">
        <f t="shared" ca="1" si="143"/>
        <v>5</v>
      </c>
      <c r="AQ150" s="1">
        <f t="shared" ca="1" si="144"/>
        <v>71</v>
      </c>
      <c r="AR150" s="1">
        <f t="shared" ca="1" si="145"/>
        <v>9</v>
      </c>
      <c r="AS150" s="1">
        <f t="shared" ca="1" si="146"/>
        <v>19</v>
      </c>
      <c r="AU150" s="1">
        <f t="shared" ca="1" si="147"/>
        <v>69</v>
      </c>
      <c r="AV150" s="1">
        <f t="shared" ca="1" si="148"/>
        <v>8</v>
      </c>
      <c r="AW150" s="1">
        <f t="shared" ca="1" si="149"/>
        <v>0.17507227169379877</v>
      </c>
      <c r="AY150" s="1">
        <f t="shared" ca="1" si="150"/>
        <v>1.6134211304049768</v>
      </c>
      <c r="AZ150" s="1">
        <f t="shared" ca="1" si="151"/>
        <v>316</v>
      </c>
      <c r="BA150" s="1">
        <f t="shared" ca="1" si="152"/>
        <v>5.4845085801541417E-3</v>
      </c>
      <c r="BV150" s="1">
        <f t="shared" ca="1" si="153"/>
        <v>0.96687918386181637</v>
      </c>
      <c r="BW150" s="1">
        <f t="shared" ca="1" si="154"/>
        <v>827</v>
      </c>
      <c r="BX150" s="1">
        <f t="shared" ca="1" si="155"/>
        <v>4.8905745332136737E-3</v>
      </c>
      <c r="BY150" s="1">
        <f t="shared" ca="1" si="156"/>
        <v>4.3198407736082592E-2</v>
      </c>
      <c r="BZ150" s="1">
        <f t="shared" ca="1" si="157"/>
        <v>0.16410872171147606</v>
      </c>
      <c r="CB150" s="1">
        <f t="shared" ca="1" si="158"/>
        <v>246</v>
      </c>
      <c r="CC150" s="1">
        <f t="shared" ca="1" si="159"/>
        <v>10</v>
      </c>
      <c r="CD150" s="1">
        <f t="shared" ca="1" si="160"/>
        <v>0.11155931257708805</v>
      </c>
      <c r="CE150" s="1">
        <f t="shared" ca="1" si="161"/>
        <v>0.73687646487385128</v>
      </c>
      <c r="CF150" s="1">
        <f t="shared" ca="1" si="161"/>
        <v>0.79985608980984912</v>
      </c>
      <c r="CH150" s="3">
        <f t="shared" ca="1" si="162"/>
        <v>0.31087486570952605</v>
      </c>
      <c r="CI150" s="3">
        <f t="shared" ca="1" si="163"/>
        <v>0.77877869564361246</v>
      </c>
      <c r="CJ150" s="3">
        <f t="shared" ca="1" si="164"/>
        <v>613</v>
      </c>
      <c r="CK150" s="3">
        <f t="shared" ca="1" si="165"/>
        <v>1.534405822971078E-3</v>
      </c>
      <c r="CL150" s="3">
        <f t="shared" ca="1" si="166"/>
        <v>1</v>
      </c>
      <c r="CM150" s="3"/>
      <c r="CN150" s="1">
        <f t="shared" ca="1" si="167"/>
        <v>8.4706895272958551</v>
      </c>
      <c r="CO150" s="1">
        <f t="shared" ca="1" si="168"/>
        <v>0.39807512755229951</v>
      </c>
      <c r="CP150" s="1">
        <f t="shared" ca="1" si="169"/>
        <v>4</v>
      </c>
    </row>
    <row r="151" spans="2:94" x14ac:dyDescent="0.25">
      <c r="B151">
        <f t="shared" ca="1" si="114"/>
        <v>974</v>
      </c>
      <c r="C151">
        <f t="shared" ca="1" si="115"/>
        <v>8</v>
      </c>
      <c r="D151">
        <f t="shared" ca="1" si="116"/>
        <v>0.15703563101245069</v>
      </c>
      <c r="F151" s="1">
        <f t="shared" ca="1" si="117"/>
        <v>28</v>
      </c>
      <c r="G151" s="1">
        <f t="shared" ca="1" si="118"/>
        <v>8</v>
      </c>
      <c r="H151" s="1">
        <f t="shared" ca="1" si="119"/>
        <v>4</v>
      </c>
      <c r="I151" s="1"/>
      <c r="J151" s="1">
        <f t="shared" ca="1" si="120"/>
        <v>20</v>
      </c>
      <c r="K151" s="1">
        <f t="shared" ca="1" si="121"/>
        <v>1.9765131685942374</v>
      </c>
      <c r="L151" s="1">
        <f t="shared" ca="1" si="122"/>
        <v>10</v>
      </c>
      <c r="M151" s="1"/>
      <c r="N151" s="1">
        <f t="shared" ca="1" si="123"/>
        <v>360</v>
      </c>
      <c r="O151" s="1">
        <f t="shared" ca="1" si="124"/>
        <v>33</v>
      </c>
      <c r="P151" s="1"/>
      <c r="Q151" s="1">
        <f t="shared" ca="1" si="125"/>
        <v>4.6533980445400482</v>
      </c>
      <c r="R151" s="1">
        <f t="shared" ca="1" si="126"/>
        <v>898</v>
      </c>
      <c r="S151" s="1"/>
      <c r="T151" s="1">
        <f t="shared" ca="1" si="127"/>
        <v>0.18046792682868451</v>
      </c>
      <c r="U151" s="1">
        <f t="shared" ca="1" si="128"/>
        <v>403</v>
      </c>
      <c r="V151" s="1">
        <f t="shared" ca="1" si="129"/>
        <v>21</v>
      </c>
      <c r="W151" s="1"/>
      <c r="X151" s="1">
        <f t="shared" ca="1" si="130"/>
        <v>2.3451760395196302</v>
      </c>
      <c r="Y151" s="1">
        <f t="shared" ca="1" si="131"/>
        <v>0.1354429510164698</v>
      </c>
      <c r="Z151" s="1">
        <f t="shared" ca="1" si="132"/>
        <v>1817</v>
      </c>
      <c r="AB151" s="1">
        <f t="shared" ca="1" si="133"/>
        <v>0.59244422920051842</v>
      </c>
      <c r="AC151" s="1">
        <f t="shared" ca="1" si="134"/>
        <v>800</v>
      </c>
      <c r="AD151" s="1">
        <f t="shared" ca="1" si="135"/>
        <v>8.1737106334891646E-3</v>
      </c>
      <c r="AE151" s="1"/>
      <c r="AF151" s="1">
        <f t="shared" ca="1" si="136"/>
        <v>0.10900716106217177</v>
      </c>
      <c r="AG151" s="1">
        <f t="shared" ca="1" si="137"/>
        <v>325</v>
      </c>
      <c r="AH151" s="1">
        <f t="shared" ca="1" si="138"/>
        <v>7.442105830852864E-3</v>
      </c>
      <c r="AJ151" s="1">
        <f t="shared" ca="1" si="139"/>
        <v>0.58396561336896491</v>
      </c>
      <c r="AK151" s="1">
        <f t="shared" ca="1" si="140"/>
        <v>8.1252602990891862E-3</v>
      </c>
      <c r="AL151" s="1"/>
      <c r="AM151" s="1">
        <f t="shared" ca="1" si="141"/>
        <v>0.18851491111956159</v>
      </c>
      <c r="AN151" s="1">
        <f t="shared" ca="1" si="142"/>
        <v>33</v>
      </c>
      <c r="AO151" s="1">
        <f t="shared" ca="1" si="143"/>
        <v>16</v>
      </c>
      <c r="AQ151" s="1">
        <f t="shared" ca="1" si="144"/>
        <v>50</v>
      </c>
      <c r="AR151" s="1">
        <f t="shared" ca="1" si="145"/>
        <v>1</v>
      </c>
      <c r="AS151" s="1">
        <f t="shared" ca="1" si="146"/>
        <v>86</v>
      </c>
      <c r="AU151" s="1">
        <f t="shared" ca="1" si="147"/>
        <v>374</v>
      </c>
      <c r="AV151" s="1">
        <f t="shared" ca="1" si="148"/>
        <v>8</v>
      </c>
      <c r="AW151" s="1">
        <f t="shared" ca="1" si="149"/>
        <v>0.19146316845957467</v>
      </c>
      <c r="AY151" s="1">
        <f t="shared" ca="1" si="150"/>
        <v>1.4625372803894932</v>
      </c>
      <c r="AZ151" s="1">
        <f t="shared" ca="1" si="151"/>
        <v>396</v>
      </c>
      <c r="BA151" s="1">
        <f t="shared" ca="1" si="152"/>
        <v>6.2248209052217741E-3</v>
      </c>
      <c r="BV151" s="1">
        <f t="shared" ca="1" si="153"/>
        <v>0.70299985526524433</v>
      </c>
      <c r="BW151" s="1">
        <f t="shared" ca="1" si="154"/>
        <v>741</v>
      </c>
      <c r="BX151" s="1">
        <f t="shared" ca="1" si="155"/>
        <v>8.7066058477939141E-3</v>
      </c>
      <c r="BY151" s="1">
        <f t="shared" ca="1" si="156"/>
        <v>2.2988958093108657E-2</v>
      </c>
      <c r="BZ151" s="1">
        <f t="shared" ca="1" si="157"/>
        <v>0.65301100612015073</v>
      </c>
      <c r="CB151" s="1">
        <f t="shared" ca="1" si="158"/>
        <v>81</v>
      </c>
      <c r="CC151" s="1">
        <f t="shared" ca="1" si="159"/>
        <v>13</v>
      </c>
      <c r="CD151" s="1">
        <f t="shared" ca="1" si="160"/>
        <v>1.0766397472127397E-2</v>
      </c>
      <c r="CE151" s="1">
        <f t="shared" ca="1" si="161"/>
        <v>0.60010934658698944</v>
      </c>
      <c r="CF151" s="1">
        <f t="shared" ca="1" si="161"/>
        <v>0.80234104894027414</v>
      </c>
      <c r="CH151" s="3">
        <f t="shared" ca="1" si="162"/>
        <v>0.63917604420030272</v>
      </c>
      <c r="CI151" s="3">
        <f t="shared" ca="1" si="163"/>
        <v>0.72934783056830488</v>
      </c>
      <c r="CJ151" s="3">
        <f t="shared" ca="1" si="164"/>
        <v>1227</v>
      </c>
      <c r="CK151" s="3">
        <f t="shared" ca="1" si="165"/>
        <v>3.5236970858821205E-3</v>
      </c>
      <c r="CL151" s="3">
        <f t="shared" ca="1" si="166"/>
        <v>0</v>
      </c>
      <c r="CM151" s="3"/>
      <c r="CN151" s="1">
        <f t="shared" ca="1" si="167"/>
        <v>3.7923437390590782</v>
      </c>
      <c r="CO151" s="1">
        <f t="shared" ca="1" si="168"/>
        <v>0.23004718761381895</v>
      </c>
      <c r="CP151" s="1">
        <f t="shared" ca="1" si="169"/>
        <v>3</v>
      </c>
    </row>
    <row r="152" spans="2:94" x14ac:dyDescent="0.25">
      <c r="B152">
        <f t="shared" ca="1" si="114"/>
        <v>48</v>
      </c>
      <c r="C152">
        <f t="shared" ca="1" si="115"/>
        <v>22</v>
      </c>
      <c r="D152">
        <f t="shared" ca="1" si="116"/>
        <v>3.9620990144428873E-2</v>
      </c>
      <c r="F152" s="1">
        <f t="shared" ca="1" si="117"/>
        <v>52</v>
      </c>
      <c r="G152" s="1">
        <f t="shared" ca="1" si="118"/>
        <v>26</v>
      </c>
      <c r="H152" s="1">
        <f t="shared" ca="1" si="119"/>
        <v>2</v>
      </c>
      <c r="I152" s="1"/>
      <c r="J152" s="1">
        <f t="shared" ca="1" si="120"/>
        <v>17</v>
      </c>
      <c r="K152" s="1">
        <f t="shared" ca="1" si="121"/>
        <v>1.4909496917682936</v>
      </c>
      <c r="L152" s="1">
        <f t="shared" ca="1" si="122"/>
        <v>8</v>
      </c>
      <c r="M152" s="1"/>
      <c r="N152" s="1">
        <f t="shared" ca="1" si="123"/>
        <v>157</v>
      </c>
      <c r="O152" s="1">
        <f t="shared" ca="1" si="124"/>
        <v>52</v>
      </c>
      <c r="P152" s="1"/>
      <c r="Q152" s="1">
        <f t="shared" ca="1" si="125"/>
        <v>2.0870949414749718</v>
      </c>
      <c r="R152" s="1">
        <f t="shared" ca="1" si="126"/>
        <v>548</v>
      </c>
      <c r="S152" s="1"/>
      <c r="T152" s="1">
        <f t="shared" ca="1" si="127"/>
        <v>2.8298178277847835E-2</v>
      </c>
      <c r="U152" s="1">
        <f t="shared" ca="1" si="128"/>
        <v>87</v>
      </c>
      <c r="V152" s="1">
        <f t="shared" ca="1" si="129"/>
        <v>41</v>
      </c>
      <c r="W152" s="1"/>
      <c r="X152" s="1">
        <f t="shared" ca="1" si="130"/>
        <v>8.9050892429206598</v>
      </c>
      <c r="Y152" s="1">
        <f t="shared" ca="1" si="131"/>
        <v>0.13404280538411048</v>
      </c>
      <c r="Z152" s="1">
        <f t="shared" ca="1" si="132"/>
        <v>1204</v>
      </c>
      <c r="AB152" s="1">
        <f t="shared" ca="1" si="133"/>
        <v>0.72554829706688273</v>
      </c>
      <c r="AC152" s="1">
        <f t="shared" ca="1" si="134"/>
        <v>707</v>
      </c>
      <c r="AD152" s="1">
        <f t="shared" ca="1" si="135"/>
        <v>9.3239454798644626E-3</v>
      </c>
      <c r="AE152" s="1"/>
      <c r="AF152" s="1">
        <f t="shared" ca="1" si="136"/>
        <v>0.35441560486050461</v>
      </c>
      <c r="AG152" s="1">
        <f t="shared" ca="1" si="137"/>
        <v>802</v>
      </c>
      <c r="AH152" s="1">
        <f t="shared" ca="1" si="138"/>
        <v>6.9486354099762004E-3</v>
      </c>
      <c r="AJ152" s="1">
        <f t="shared" ca="1" si="139"/>
        <v>0.9941389302058018</v>
      </c>
      <c r="AK152" s="1">
        <f t="shared" ca="1" si="140"/>
        <v>4.2360675879664642E-3</v>
      </c>
      <c r="AL152" s="1"/>
      <c r="AM152" s="1">
        <f t="shared" ca="1" si="141"/>
        <v>4.2258062911866769E-2</v>
      </c>
      <c r="AN152" s="1">
        <f t="shared" ca="1" si="142"/>
        <v>59</v>
      </c>
      <c r="AO152" s="1">
        <f t="shared" ca="1" si="143"/>
        <v>13</v>
      </c>
      <c r="AQ152" s="1">
        <f t="shared" ca="1" si="144"/>
        <v>59</v>
      </c>
      <c r="AR152" s="1">
        <f t="shared" ca="1" si="145"/>
        <v>3</v>
      </c>
      <c r="AS152" s="1">
        <f t="shared" ca="1" si="146"/>
        <v>32</v>
      </c>
      <c r="AU152" s="1">
        <f t="shared" ca="1" si="147"/>
        <v>92</v>
      </c>
      <c r="AV152" s="1">
        <f t="shared" ca="1" si="148"/>
        <v>5</v>
      </c>
      <c r="AW152" s="1">
        <f t="shared" ca="1" si="149"/>
        <v>0.15676362046346271</v>
      </c>
      <c r="AY152" s="1">
        <f t="shared" ca="1" si="150"/>
        <v>1.1799233280415535</v>
      </c>
      <c r="AZ152" s="1">
        <f t="shared" ca="1" si="151"/>
        <v>361</v>
      </c>
      <c r="BA152" s="1">
        <f t="shared" ca="1" si="152"/>
        <v>9.722008972340497E-3</v>
      </c>
      <c r="BV152" s="1">
        <f t="shared" ca="1" si="153"/>
        <v>0.14930911066502447</v>
      </c>
      <c r="BW152" s="1">
        <f t="shared" ca="1" si="154"/>
        <v>110</v>
      </c>
      <c r="BX152" s="1">
        <f t="shared" ca="1" si="155"/>
        <v>3.7040675263334843E-3</v>
      </c>
      <c r="BY152" s="1">
        <f t="shared" ca="1" si="156"/>
        <v>8.2970540655582931E-2</v>
      </c>
      <c r="BZ152" s="1">
        <f t="shared" ca="1" si="157"/>
        <v>0.99008370851688599</v>
      </c>
      <c r="CB152" s="1">
        <f t="shared" ca="1" si="158"/>
        <v>466</v>
      </c>
      <c r="CC152" s="1">
        <f t="shared" ca="1" si="159"/>
        <v>8</v>
      </c>
      <c r="CD152" s="1">
        <f t="shared" ca="1" si="160"/>
        <v>1.178240132894811E-2</v>
      </c>
      <c r="CE152" s="1">
        <f t="shared" ca="1" si="161"/>
        <v>0.81150640486153391</v>
      </c>
      <c r="CF152" s="1">
        <f t="shared" ca="1" si="161"/>
        <v>0.57597804783520856</v>
      </c>
      <c r="CH152" s="3">
        <f t="shared" ca="1" si="162"/>
        <v>0.69481760862367392</v>
      </c>
      <c r="CI152" s="3">
        <f t="shared" ca="1" si="163"/>
        <v>7.6441869801141135E-2</v>
      </c>
      <c r="CJ152" s="3">
        <f t="shared" ca="1" si="164"/>
        <v>1326</v>
      </c>
      <c r="CK152" s="3">
        <f t="shared" ca="1" si="165"/>
        <v>8.7334882420194489E-3</v>
      </c>
      <c r="CL152" s="3">
        <f t="shared" ca="1" si="166"/>
        <v>1</v>
      </c>
      <c r="CM152" s="3"/>
      <c r="CN152" s="1">
        <f t="shared" ca="1" si="167"/>
        <v>6.5964769709921471</v>
      </c>
      <c r="CO152" s="1">
        <f t="shared" ca="1" si="168"/>
        <v>9.9634175156773419E-2</v>
      </c>
      <c r="CP152" s="1">
        <f t="shared" ca="1" si="169"/>
        <v>2</v>
      </c>
    </row>
    <row r="153" spans="2:94" x14ac:dyDescent="0.25">
      <c r="B153">
        <f t="shared" ca="1" si="114"/>
        <v>436</v>
      </c>
      <c r="C153">
        <f t="shared" ca="1" si="115"/>
        <v>47</v>
      </c>
      <c r="D153">
        <f t="shared" ca="1" si="116"/>
        <v>3.2155132824844584E-2</v>
      </c>
      <c r="F153" s="1">
        <f t="shared" ca="1" si="117"/>
        <v>23</v>
      </c>
      <c r="G153" s="1">
        <f t="shared" ca="1" si="118"/>
        <v>9</v>
      </c>
      <c r="H153" s="1">
        <f t="shared" ca="1" si="119"/>
        <v>14</v>
      </c>
      <c r="I153" s="1"/>
      <c r="J153" s="1">
        <f t="shared" ca="1" si="120"/>
        <v>30</v>
      </c>
      <c r="K153" s="1">
        <f t="shared" ca="1" si="121"/>
        <v>2.3349494550901739</v>
      </c>
      <c r="L153" s="1">
        <f t="shared" ca="1" si="122"/>
        <v>2</v>
      </c>
      <c r="M153" s="1"/>
      <c r="N153" s="1">
        <f t="shared" ca="1" si="123"/>
        <v>24</v>
      </c>
      <c r="O153" s="1">
        <f t="shared" ca="1" si="124"/>
        <v>49</v>
      </c>
      <c r="P153" s="1"/>
      <c r="Q153" s="1">
        <f t="shared" ca="1" si="125"/>
        <v>2.9118490049678876</v>
      </c>
      <c r="R153" s="1">
        <f t="shared" ca="1" si="126"/>
        <v>451</v>
      </c>
      <c r="S153" s="1"/>
      <c r="T153" s="1">
        <f t="shared" ca="1" si="127"/>
        <v>4.2470652230775056E-2</v>
      </c>
      <c r="U153" s="1">
        <f t="shared" ca="1" si="128"/>
        <v>73</v>
      </c>
      <c r="V153" s="1">
        <f t="shared" ca="1" si="129"/>
        <v>10</v>
      </c>
      <c r="W153" s="1"/>
      <c r="X153" s="1">
        <f t="shared" ca="1" si="130"/>
        <v>6.8384795814833916</v>
      </c>
      <c r="Y153" s="1">
        <f t="shared" ca="1" si="131"/>
        <v>3.1469509874300985E-2</v>
      </c>
      <c r="Z153" s="1">
        <f t="shared" ca="1" si="132"/>
        <v>595</v>
      </c>
      <c r="AB153" s="1">
        <f t="shared" ca="1" si="133"/>
        <v>0.18439704724091918</v>
      </c>
      <c r="AC153" s="1">
        <f t="shared" ca="1" si="134"/>
        <v>801</v>
      </c>
      <c r="AD153" s="1">
        <f t="shared" ca="1" si="135"/>
        <v>1.8734213465053425E-3</v>
      </c>
      <c r="AE153" s="1"/>
      <c r="AF153" s="1">
        <f t="shared" ca="1" si="136"/>
        <v>0.13565551409596949</v>
      </c>
      <c r="AG153" s="1">
        <f t="shared" ca="1" si="137"/>
        <v>853</v>
      </c>
      <c r="AH153" s="1">
        <f t="shared" ca="1" si="138"/>
        <v>6.9016744895007334E-3</v>
      </c>
      <c r="AJ153" s="1">
        <f t="shared" ca="1" si="139"/>
        <v>0.84657880422259923</v>
      </c>
      <c r="AK153" s="1">
        <f t="shared" ca="1" si="140"/>
        <v>7.690846383222363E-3</v>
      </c>
      <c r="AL153" s="1"/>
      <c r="AM153" s="1">
        <f t="shared" ca="1" si="141"/>
        <v>2.5081284464407924E-2</v>
      </c>
      <c r="AN153" s="1">
        <f t="shared" ca="1" si="142"/>
        <v>43</v>
      </c>
      <c r="AO153" s="1">
        <f t="shared" ca="1" si="143"/>
        <v>0</v>
      </c>
      <c r="AQ153" s="1">
        <f t="shared" ca="1" si="144"/>
        <v>135</v>
      </c>
      <c r="AR153" s="1">
        <f t="shared" ca="1" si="145"/>
        <v>10</v>
      </c>
      <c r="AS153" s="1">
        <f t="shared" ca="1" si="146"/>
        <v>61</v>
      </c>
      <c r="AU153" s="1">
        <f t="shared" ca="1" si="147"/>
        <v>274</v>
      </c>
      <c r="AV153" s="1">
        <f t="shared" ca="1" si="148"/>
        <v>8</v>
      </c>
      <c r="AW153" s="1">
        <f t="shared" ca="1" si="149"/>
        <v>2.7216048521958816E-2</v>
      </c>
      <c r="AY153" s="1">
        <f t="shared" ca="1" si="150"/>
        <v>1.2864287057598021</v>
      </c>
      <c r="AZ153" s="1">
        <f t="shared" ca="1" si="151"/>
        <v>111</v>
      </c>
      <c r="BA153" s="1">
        <f t="shared" ca="1" si="152"/>
        <v>1.182090052552594E-3</v>
      </c>
      <c r="BV153" s="1">
        <f t="shared" ca="1" si="153"/>
        <v>0.67851935373982797</v>
      </c>
      <c r="BW153" s="1">
        <f t="shared" ca="1" si="154"/>
        <v>996</v>
      </c>
      <c r="BX153" s="1">
        <f t="shared" ca="1" si="155"/>
        <v>9.0362964239146353E-3</v>
      </c>
      <c r="BY153" s="1">
        <f t="shared" ca="1" si="156"/>
        <v>8.5323132899226328E-2</v>
      </c>
      <c r="BZ153" s="1">
        <f t="shared" ca="1" si="157"/>
        <v>0.75675459596851924</v>
      </c>
      <c r="CB153" s="1">
        <f t="shared" ca="1" si="158"/>
        <v>493</v>
      </c>
      <c r="CC153" s="1">
        <f t="shared" ca="1" si="159"/>
        <v>11</v>
      </c>
      <c r="CD153" s="1">
        <f t="shared" ca="1" si="160"/>
        <v>0.14953661969223894</v>
      </c>
      <c r="CE153" s="1">
        <f t="shared" ca="1" si="161"/>
        <v>0.59822094336934195</v>
      </c>
      <c r="CF153" s="1">
        <f t="shared" ca="1" si="161"/>
        <v>0.70011912659674258</v>
      </c>
      <c r="CH153" s="3">
        <f t="shared" ca="1" si="162"/>
        <v>0.46219459011431618</v>
      </c>
      <c r="CI153" s="3">
        <f t="shared" ca="1" si="163"/>
        <v>0.94017007121124874</v>
      </c>
      <c r="CJ153" s="3">
        <f t="shared" ca="1" si="164"/>
        <v>278</v>
      </c>
      <c r="CK153" s="3">
        <f t="shared" ca="1" si="165"/>
        <v>4.3841980052401665E-3</v>
      </c>
      <c r="CL153" s="3">
        <f t="shared" ca="1" si="166"/>
        <v>1</v>
      </c>
      <c r="CM153" s="3"/>
      <c r="CN153" s="1">
        <f t="shared" ca="1" si="167"/>
        <v>12.675147941832059</v>
      </c>
      <c r="CO153" s="1">
        <f t="shared" ca="1" si="168"/>
        <v>8.9857248021723263E-2</v>
      </c>
      <c r="CP153" s="1">
        <f t="shared" ca="1" si="169"/>
        <v>2</v>
      </c>
    </row>
    <row r="154" spans="2:94" x14ac:dyDescent="0.25">
      <c r="B154">
        <f t="shared" ca="1" si="114"/>
        <v>226</v>
      </c>
      <c r="C154">
        <f t="shared" ca="1" si="115"/>
        <v>51</v>
      </c>
      <c r="D154">
        <f t="shared" ca="1" si="116"/>
        <v>0.29589393943673542</v>
      </c>
      <c r="F154" s="1">
        <f t="shared" ca="1" si="117"/>
        <v>52</v>
      </c>
      <c r="G154" s="1">
        <f t="shared" ca="1" si="118"/>
        <v>11</v>
      </c>
      <c r="H154" s="1">
        <f t="shared" ca="1" si="119"/>
        <v>4</v>
      </c>
      <c r="I154" s="1"/>
      <c r="J154" s="1">
        <f t="shared" ca="1" si="120"/>
        <v>9</v>
      </c>
      <c r="K154" s="1">
        <f t="shared" ca="1" si="121"/>
        <v>1.5044792323230261</v>
      </c>
      <c r="L154" s="1">
        <f t="shared" ca="1" si="122"/>
        <v>14</v>
      </c>
      <c r="M154" s="1"/>
      <c r="N154" s="1">
        <f t="shared" ca="1" si="123"/>
        <v>963</v>
      </c>
      <c r="O154" s="1">
        <f t="shared" ca="1" si="124"/>
        <v>9</v>
      </c>
      <c r="P154" s="1"/>
      <c r="Q154" s="1">
        <f t="shared" ca="1" si="125"/>
        <v>3.2889317604067045</v>
      </c>
      <c r="R154" s="1">
        <f t="shared" ca="1" si="126"/>
        <v>639</v>
      </c>
      <c r="S154" s="1"/>
      <c r="T154" s="1">
        <f t="shared" ca="1" si="127"/>
        <v>0.17742257243881077</v>
      </c>
      <c r="U154" s="1">
        <f t="shared" ca="1" si="128"/>
        <v>242</v>
      </c>
      <c r="V154" s="1">
        <f t="shared" ca="1" si="129"/>
        <v>4</v>
      </c>
      <c r="W154" s="1"/>
      <c r="X154" s="1">
        <f t="shared" ca="1" si="130"/>
        <v>1.7789453834483153</v>
      </c>
      <c r="Y154" s="1">
        <f t="shared" ca="1" si="131"/>
        <v>0.18710515676976297</v>
      </c>
      <c r="Z154" s="1">
        <f t="shared" ca="1" si="132"/>
        <v>387</v>
      </c>
      <c r="AB154" s="1">
        <f t="shared" ca="1" si="133"/>
        <v>0.10594795035004356</v>
      </c>
      <c r="AC154" s="1">
        <f t="shared" ca="1" si="134"/>
        <v>516</v>
      </c>
      <c r="AD154" s="1">
        <f t="shared" ca="1" si="135"/>
        <v>6.8088149930572075E-3</v>
      </c>
      <c r="AE154" s="1"/>
      <c r="AF154" s="1">
        <f t="shared" ca="1" si="136"/>
        <v>0.22507298826881394</v>
      </c>
      <c r="AG154" s="1">
        <f t="shared" ca="1" si="137"/>
        <v>893</v>
      </c>
      <c r="AH154" s="1">
        <f t="shared" ca="1" si="138"/>
        <v>7.8947007971271146E-5</v>
      </c>
      <c r="AJ154" s="1">
        <f t="shared" ca="1" si="139"/>
        <v>0.53329977192313605</v>
      </c>
      <c r="AK154" s="1">
        <f t="shared" ca="1" si="140"/>
        <v>4.5102959964249617E-3</v>
      </c>
      <c r="AL154" s="1"/>
      <c r="AM154" s="1">
        <f t="shared" ca="1" si="141"/>
        <v>0.19607417682137945</v>
      </c>
      <c r="AN154" s="1">
        <f t="shared" ca="1" si="142"/>
        <v>47</v>
      </c>
      <c r="AO154" s="1">
        <f t="shared" ca="1" si="143"/>
        <v>12</v>
      </c>
      <c r="AQ154" s="1">
        <f t="shared" ca="1" si="144"/>
        <v>63</v>
      </c>
      <c r="AR154" s="1">
        <f t="shared" ca="1" si="145"/>
        <v>8</v>
      </c>
      <c r="AS154" s="1">
        <f t="shared" ca="1" si="146"/>
        <v>26</v>
      </c>
      <c r="AU154" s="1">
        <f t="shared" ca="1" si="147"/>
        <v>335</v>
      </c>
      <c r="AV154" s="1">
        <f t="shared" ca="1" si="148"/>
        <v>7</v>
      </c>
      <c r="AW154" s="1">
        <f t="shared" ca="1" si="149"/>
        <v>0.12776161003999353</v>
      </c>
      <c r="AY154" s="1">
        <f t="shared" ca="1" si="150"/>
        <v>1.246976934064981</v>
      </c>
      <c r="AZ154" s="1">
        <f t="shared" ca="1" si="151"/>
        <v>491</v>
      </c>
      <c r="BA154" s="1">
        <f t="shared" ca="1" si="152"/>
        <v>7.1849170483155563E-3</v>
      </c>
      <c r="BV154" s="1">
        <f t="shared" ca="1" si="153"/>
        <v>3.0939440161129914E-2</v>
      </c>
      <c r="BW154" s="1">
        <f t="shared" ca="1" si="154"/>
        <v>622</v>
      </c>
      <c r="BX154" s="1">
        <f t="shared" ca="1" si="155"/>
        <v>8.7565955529810122E-4</v>
      </c>
      <c r="BY154" s="1">
        <f t="shared" ca="1" si="156"/>
        <v>4.6424462532754486E-2</v>
      </c>
      <c r="BZ154" s="1">
        <f t="shared" ca="1" si="157"/>
        <v>8.830301706926813E-2</v>
      </c>
      <c r="CB154" s="1">
        <f t="shared" ca="1" si="158"/>
        <v>68</v>
      </c>
      <c r="CC154" s="1">
        <f t="shared" ca="1" si="159"/>
        <v>5</v>
      </c>
      <c r="CD154" s="1">
        <f t="shared" ca="1" si="160"/>
        <v>9.052284460497842E-2</v>
      </c>
      <c r="CE154" s="1">
        <f t="shared" ca="1" si="161"/>
        <v>0.7091301740728384</v>
      </c>
      <c r="CF154" s="1">
        <f t="shared" ca="1" si="161"/>
        <v>0.89582735043082318</v>
      </c>
      <c r="CH154" s="3">
        <f t="shared" ca="1" si="162"/>
        <v>0.60050454387150309</v>
      </c>
      <c r="CI154" s="3">
        <f t="shared" ca="1" si="163"/>
        <v>0.7643015145403339</v>
      </c>
      <c r="CJ154" s="3">
        <f t="shared" ca="1" si="164"/>
        <v>538</v>
      </c>
      <c r="CK154" s="3">
        <f t="shared" ca="1" si="165"/>
        <v>2.715369888422373E-3</v>
      </c>
      <c r="CL154" s="3">
        <f t="shared" ca="1" si="166"/>
        <v>1</v>
      </c>
      <c r="CM154" s="3"/>
      <c r="CN154" s="1">
        <f t="shared" ca="1" si="167"/>
        <v>2.6421121815749098</v>
      </c>
      <c r="CO154" s="1">
        <f t="shared" ca="1" si="168"/>
        <v>5.7351646277355672E-2</v>
      </c>
      <c r="CP154" s="1">
        <f t="shared" ca="1" si="169"/>
        <v>2</v>
      </c>
    </row>
    <row r="155" spans="2:94" x14ac:dyDescent="0.25">
      <c r="B155">
        <f t="shared" ca="1" si="114"/>
        <v>28</v>
      </c>
      <c r="C155">
        <f t="shared" ca="1" si="115"/>
        <v>43</v>
      </c>
      <c r="D155">
        <f t="shared" ca="1" si="116"/>
        <v>6.1969935331342436E-2</v>
      </c>
      <c r="F155" s="1">
        <f t="shared" ca="1" si="117"/>
        <v>24</v>
      </c>
      <c r="G155" s="1">
        <f t="shared" ca="1" si="118"/>
        <v>25</v>
      </c>
      <c r="H155" s="1">
        <f t="shared" ca="1" si="119"/>
        <v>15</v>
      </c>
      <c r="I155" s="1"/>
      <c r="J155" s="1">
        <f t="shared" ca="1" si="120"/>
        <v>25</v>
      </c>
      <c r="K155" s="1">
        <f t="shared" ca="1" si="121"/>
        <v>2.4869597053103454</v>
      </c>
      <c r="L155" s="1">
        <f t="shared" ca="1" si="122"/>
        <v>27</v>
      </c>
      <c r="M155" s="1"/>
      <c r="N155" s="1">
        <f t="shared" ca="1" si="123"/>
        <v>548</v>
      </c>
      <c r="O155" s="1">
        <f t="shared" ca="1" si="124"/>
        <v>26</v>
      </c>
      <c r="P155" s="1"/>
      <c r="Q155" s="1">
        <f t="shared" ca="1" si="125"/>
        <v>2.0092026005559878</v>
      </c>
      <c r="R155" s="1">
        <f t="shared" ca="1" si="126"/>
        <v>825</v>
      </c>
      <c r="S155" s="1"/>
      <c r="T155" s="1">
        <f t="shared" ca="1" si="127"/>
        <v>3.1019924399194224E-2</v>
      </c>
      <c r="U155" s="1">
        <f t="shared" ca="1" si="128"/>
        <v>118</v>
      </c>
      <c r="V155" s="1">
        <f t="shared" ca="1" si="129"/>
        <v>16</v>
      </c>
      <c r="W155" s="1"/>
      <c r="X155" s="1">
        <f t="shared" ca="1" si="130"/>
        <v>6.6567744872931627</v>
      </c>
      <c r="Y155" s="1">
        <f t="shared" ca="1" si="131"/>
        <v>0.58843353414093669</v>
      </c>
      <c r="Z155" s="1">
        <f t="shared" ca="1" si="132"/>
        <v>932</v>
      </c>
      <c r="AB155" s="1">
        <f t="shared" ca="1" si="133"/>
        <v>0.24181123041378882</v>
      </c>
      <c r="AC155" s="1">
        <f t="shared" ca="1" si="134"/>
        <v>293</v>
      </c>
      <c r="AD155" s="1">
        <f t="shared" ca="1" si="135"/>
        <v>7.5858118835837396E-3</v>
      </c>
      <c r="AE155" s="1"/>
      <c r="AF155" s="1">
        <f t="shared" ca="1" si="136"/>
        <v>0.36700587225855896</v>
      </c>
      <c r="AG155" s="1">
        <f t="shared" ca="1" si="137"/>
        <v>339</v>
      </c>
      <c r="AH155" s="1">
        <f t="shared" ca="1" si="138"/>
        <v>3.2571582757604709E-3</v>
      </c>
      <c r="AJ155" s="1">
        <f t="shared" ca="1" si="139"/>
        <v>8.1857953084182311E-2</v>
      </c>
      <c r="AK155" s="1">
        <f t="shared" ca="1" si="140"/>
        <v>7.9037355600903355E-3</v>
      </c>
      <c r="AL155" s="1"/>
      <c r="AM155" s="1">
        <f t="shared" ca="1" si="141"/>
        <v>4.5813694906351253E-2</v>
      </c>
      <c r="AN155" s="1">
        <f t="shared" ca="1" si="142"/>
        <v>45</v>
      </c>
      <c r="AO155" s="1">
        <f t="shared" ca="1" si="143"/>
        <v>1</v>
      </c>
      <c r="AQ155" s="1">
        <f t="shared" ca="1" si="144"/>
        <v>34</v>
      </c>
      <c r="AR155" s="1">
        <f t="shared" ca="1" si="145"/>
        <v>10</v>
      </c>
      <c r="AS155" s="1">
        <f t="shared" ca="1" si="146"/>
        <v>10</v>
      </c>
      <c r="AU155" s="1">
        <f t="shared" ca="1" si="147"/>
        <v>333</v>
      </c>
      <c r="AV155" s="1">
        <f t="shared" ca="1" si="148"/>
        <v>2</v>
      </c>
      <c r="AW155" s="1">
        <f t="shared" ca="1" si="149"/>
        <v>0.16313525531411802</v>
      </c>
      <c r="AY155" s="1">
        <f t="shared" ca="1" si="150"/>
        <v>1.4800677983457</v>
      </c>
      <c r="AZ155" s="1">
        <f t="shared" ca="1" si="151"/>
        <v>74</v>
      </c>
      <c r="BA155" s="1">
        <f t="shared" ca="1" si="152"/>
        <v>5.111405322307595E-3</v>
      </c>
      <c r="BV155" s="1">
        <f t="shared" ca="1" si="153"/>
        <v>0.82850218711642432</v>
      </c>
      <c r="BW155" s="1">
        <f t="shared" ca="1" si="154"/>
        <v>838</v>
      </c>
      <c r="BX155" s="1">
        <f t="shared" ca="1" si="155"/>
        <v>1.1993224564813579E-4</v>
      </c>
      <c r="BY155" s="1">
        <f t="shared" ca="1" si="156"/>
        <v>3.5620462374086476E-2</v>
      </c>
      <c r="BZ155" s="1">
        <f t="shared" ca="1" si="157"/>
        <v>0.24155146244479242</v>
      </c>
      <c r="CB155" s="1">
        <f t="shared" ca="1" si="158"/>
        <v>438</v>
      </c>
      <c r="CC155" s="1">
        <f t="shared" ca="1" si="159"/>
        <v>10</v>
      </c>
      <c r="CD155" s="1">
        <f t="shared" ca="1" si="160"/>
        <v>0.17817311565240054</v>
      </c>
      <c r="CE155" s="1">
        <f t="shared" ca="1" si="161"/>
        <v>0.75097011468362962</v>
      </c>
      <c r="CF155" s="1">
        <f t="shared" ca="1" si="161"/>
        <v>0.99720929804348291</v>
      </c>
      <c r="CH155" s="3">
        <f t="shared" ca="1" si="162"/>
        <v>0.90194790197684072</v>
      </c>
      <c r="CI155" s="3">
        <f t="shared" ca="1" si="163"/>
        <v>0.64838112366650225</v>
      </c>
      <c r="CJ155" s="3">
        <f t="shared" ca="1" si="164"/>
        <v>1985</v>
      </c>
      <c r="CK155" s="3">
        <f t="shared" ca="1" si="165"/>
        <v>5.7962443913592363E-4</v>
      </c>
      <c r="CL155" s="3">
        <f t="shared" ca="1" si="166"/>
        <v>0</v>
      </c>
      <c r="CM155" s="3"/>
      <c r="CN155" s="1">
        <f t="shared" ca="1" si="167"/>
        <v>5.0059160128741116</v>
      </c>
      <c r="CO155" s="1">
        <f t="shared" ca="1" si="168"/>
        <v>0.29847696404538604</v>
      </c>
      <c r="CP155" s="1">
        <f t="shared" ca="1" si="169"/>
        <v>3</v>
      </c>
    </row>
    <row r="156" spans="2:94" x14ac:dyDescent="0.25">
      <c r="B156">
        <f t="shared" ca="1" si="114"/>
        <v>778</v>
      </c>
      <c r="C156">
        <f t="shared" ca="1" si="115"/>
        <v>50</v>
      </c>
      <c r="D156">
        <f t="shared" ca="1" si="116"/>
        <v>0.14453434331792059</v>
      </c>
      <c r="F156" s="1">
        <f t="shared" ca="1" si="117"/>
        <v>50</v>
      </c>
      <c r="G156" s="1">
        <f t="shared" ca="1" si="118"/>
        <v>6</v>
      </c>
      <c r="H156" s="1">
        <f t="shared" ca="1" si="119"/>
        <v>10</v>
      </c>
      <c r="I156" s="1"/>
      <c r="J156" s="1">
        <f t="shared" ca="1" si="120"/>
        <v>13</v>
      </c>
      <c r="K156" s="1">
        <f t="shared" ca="1" si="121"/>
        <v>2.3207772398036521</v>
      </c>
      <c r="L156" s="1">
        <f t="shared" ca="1" si="122"/>
        <v>18</v>
      </c>
      <c r="M156" s="1"/>
      <c r="N156" s="1">
        <f t="shared" ca="1" si="123"/>
        <v>385</v>
      </c>
      <c r="O156" s="1">
        <f t="shared" ca="1" si="124"/>
        <v>9</v>
      </c>
      <c r="P156" s="1"/>
      <c r="Q156" s="1">
        <f t="shared" ca="1" si="125"/>
        <v>4.0466576507585845</v>
      </c>
      <c r="R156" s="1">
        <f t="shared" ca="1" si="126"/>
        <v>500</v>
      </c>
      <c r="S156" s="1"/>
      <c r="T156" s="1">
        <f t="shared" ca="1" si="127"/>
        <v>0.18845666372497111</v>
      </c>
      <c r="U156" s="1">
        <f t="shared" ca="1" si="128"/>
        <v>244</v>
      </c>
      <c r="V156" s="1">
        <f t="shared" ca="1" si="129"/>
        <v>18</v>
      </c>
      <c r="W156" s="1"/>
      <c r="X156" s="1">
        <f t="shared" ca="1" si="130"/>
        <v>0.72459952112689852</v>
      </c>
      <c r="Y156" s="1">
        <f t="shared" ca="1" si="131"/>
        <v>0.10075544758698791</v>
      </c>
      <c r="Z156" s="1">
        <f t="shared" ca="1" si="132"/>
        <v>1359</v>
      </c>
      <c r="AB156" s="1">
        <f t="shared" ca="1" si="133"/>
        <v>0.46503383967178058</v>
      </c>
      <c r="AC156" s="1">
        <f t="shared" ca="1" si="134"/>
        <v>264</v>
      </c>
      <c r="AD156" s="1">
        <f t="shared" ca="1" si="135"/>
        <v>6.9348329097282339E-3</v>
      </c>
      <c r="AE156" s="1"/>
      <c r="AF156" s="1">
        <f t="shared" ca="1" si="136"/>
        <v>0.26293789969264864</v>
      </c>
      <c r="AG156" s="1">
        <f t="shared" ca="1" si="137"/>
        <v>553</v>
      </c>
      <c r="AH156" s="1">
        <f t="shared" ca="1" si="138"/>
        <v>7.469565722845622E-3</v>
      </c>
      <c r="AJ156" s="1">
        <f t="shared" ca="1" si="139"/>
        <v>1.0028428054417837E-2</v>
      </c>
      <c r="AK156" s="1">
        <f t="shared" ca="1" si="140"/>
        <v>9.1955572636901531E-3</v>
      </c>
      <c r="AL156" s="1"/>
      <c r="AM156" s="1">
        <f t="shared" ca="1" si="141"/>
        <v>0.12529420647466402</v>
      </c>
      <c r="AN156" s="1">
        <f t="shared" ca="1" si="142"/>
        <v>21</v>
      </c>
      <c r="AO156" s="1">
        <f t="shared" ca="1" si="143"/>
        <v>10</v>
      </c>
      <c r="AQ156" s="1">
        <f t="shared" ca="1" si="144"/>
        <v>39</v>
      </c>
      <c r="AR156" s="1">
        <f t="shared" ca="1" si="145"/>
        <v>0</v>
      </c>
      <c r="AS156" s="1">
        <f t="shared" ca="1" si="146"/>
        <v>91</v>
      </c>
      <c r="AU156" s="1">
        <f t="shared" ca="1" si="147"/>
        <v>297</v>
      </c>
      <c r="AV156" s="1">
        <f t="shared" ca="1" si="148"/>
        <v>10</v>
      </c>
      <c r="AW156" s="1">
        <f t="shared" ca="1" si="149"/>
        <v>0.14345673578382531</v>
      </c>
      <c r="AY156" s="1">
        <f t="shared" ca="1" si="150"/>
        <v>1.5910113120856428</v>
      </c>
      <c r="AZ156" s="1">
        <f t="shared" ca="1" si="151"/>
        <v>473</v>
      </c>
      <c r="BA156" s="1">
        <f t="shared" ca="1" si="152"/>
        <v>8.2855854493060364E-4</v>
      </c>
      <c r="BV156" s="1">
        <f t="shared" ca="1" si="153"/>
        <v>0.27122654739332464</v>
      </c>
      <c r="BW156" s="1">
        <f t="shared" ca="1" si="154"/>
        <v>992</v>
      </c>
      <c r="BX156" s="1">
        <f t="shared" ca="1" si="155"/>
        <v>6.1577886643689019E-3</v>
      </c>
      <c r="BY156" s="1">
        <f t="shared" ca="1" si="156"/>
        <v>8.5098345269581432E-2</v>
      </c>
      <c r="BZ156" s="1">
        <f t="shared" ca="1" si="157"/>
        <v>0.74511598461475248</v>
      </c>
      <c r="CB156" s="1">
        <f t="shared" ca="1" si="158"/>
        <v>290</v>
      </c>
      <c r="CC156" s="1">
        <f t="shared" ca="1" si="159"/>
        <v>14</v>
      </c>
      <c r="CD156" s="1">
        <f t="shared" ca="1" si="160"/>
        <v>0.27237355491398491</v>
      </c>
      <c r="CE156" s="1">
        <f t="shared" ca="1" si="161"/>
        <v>0.70925744153742953</v>
      </c>
      <c r="CF156" s="1">
        <f t="shared" ca="1" si="161"/>
        <v>0.53330746705364118</v>
      </c>
      <c r="CH156" s="3">
        <f t="shared" ca="1" si="162"/>
        <v>0.63516669056505892</v>
      </c>
      <c r="CI156" s="3">
        <f t="shared" ca="1" si="163"/>
        <v>0.24896773040612757</v>
      </c>
      <c r="CJ156" s="3">
        <f t="shared" ca="1" si="164"/>
        <v>149</v>
      </c>
      <c r="CK156" s="3">
        <f t="shared" ca="1" si="165"/>
        <v>5.1860868696632905E-3</v>
      </c>
      <c r="CL156" s="3">
        <f t="shared" ca="1" si="166"/>
        <v>1</v>
      </c>
      <c r="CM156" s="3"/>
      <c r="CN156" s="1">
        <f t="shared" ca="1" si="167"/>
        <v>2.4792307060659899</v>
      </c>
      <c r="CO156" s="1">
        <f t="shared" ca="1" si="168"/>
        <v>0.2178189004558434</v>
      </c>
      <c r="CP156" s="1">
        <f t="shared" ca="1" si="169"/>
        <v>2</v>
      </c>
    </row>
    <row r="157" spans="2:94" x14ac:dyDescent="0.25">
      <c r="B157">
        <f t="shared" ca="1" si="114"/>
        <v>345</v>
      </c>
      <c r="C157">
        <f t="shared" ca="1" si="115"/>
        <v>33</v>
      </c>
      <c r="D157">
        <f t="shared" ca="1" si="116"/>
        <v>0.23595619643955973</v>
      </c>
      <c r="F157" s="1">
        <f t="shared" ca="1" si="117"/>
        <v>23</v>
      </c>
      <c r="G157" s="1">
        <f t="shared" ca="1" si="118"/>
        <v>13</v>
      </c>
      <c r="H157" s="1">
        <f t="shared" ca="1" si="119"/>
        <v>14</v>
      </c>
      <c r="I157" s="1"/>
      <c r="J157" s="1">
        <f t="shared" ca="1" si="120"/>
        <v>15</v>
      </c>
      <c r="K157" s="1">
        <f t="shared" ca="1" si="121"/>
        <v>1.9152013098740488</v>
      </c>
      <c r="L157" s="1">
        <f t="shared" ca="1" si="122"/>
        <v>23</v>
      </c>
      <c r="M157" s="1"/>
      <c r="N157" s="1">
        <f t="shared" ca="1" si="123"/>
        <v>772</v>
      </c>
      <c r="O157" s="1">
        <f t="shared" ca="1" si="124"/>
        <v>36</v>
      </c>
      <c r="P157" s="1"/>
      <c r="Q157" s="1">
        <f t="shared" ca="1" si="125"/>
        <v>2.2871770140959709</v>
      </c>
      <c r="R157" s="1">
        <f t="shared" ca="1" si="126"/>
        <v>530</v>
      </c>
      <c r="S157" s="1"/>
      <c r="T157" s="1">
        <f t="shared" ca="1" si="127"/>
        <v>3.8859171634277122E-2</v>
      </c>
      <c r="U157" s="1">
        <f t="shared" ca="1" si="128"/>
        <v>363</v>
      </c>
      <c r="V157" s="1">
        <f t="shared" ca="1" si="129"/>
        <v>17</v>
      </c>
      <c r="W157" s="1"/>
      <c r="X157" s="1">
        <f t="shared" ca="1" si="130"/>
        <v>7.4854319126577931</v>
      </c>
      <c r="Y157" s="1">
        <f t="shared" ca="1" si="131"/>
        <v>0.56499417919446038</v>
      </c>
      <c r="Z157" s="1">
        <f t="shared" ca="1" si="132"/>
        <v>1001</v>
      </c>
      <c r="AB157" s="1">
        <f t="shared" ca="1" si="133"/>
        <v>0.41834241878089973</v>
      </c>
      <c r="AC157" s="1">
        <f t="shared" ca="1" si="134"/>
        <v>836</v>
      </c>
      <c r="AD157" s="1">
        <f t="shared" ca="1" si="135"/>
        <v>4.2000949530516987E-4</v>
      </c>
      <c r="AE157" s="1"/>
      <c r="AF157" s="1">
        <f t="shared" ca="1" si="136"/>
        <v>0.78964240789513074</v>
      </c>
      <c r="AG157" s="1">
        <f t="shared" ca="1" si="137"/>
        <v>343</v>
      </c>
      <c r="AH157" s="1">
        <f t="shared" ca="1" si="138"/>
        <v>2.5308184595145889E-3</v>
      </c>
      <c r="AJ157" s="1">
        <f t="shared" ca="1" si="139"/>
        <v>0.22701221919560066</v>
      </c>
      <c r="AK157" s="1">
        <f t="shared" ca="1" si="140"/>
        <v>1.4653268921588519E-3</v>
      </c>
      <c r="AL157" s="1"/>
      <c r="AM157" s="1">
        <f t="shared" ca="1" si="141"/>
        <v>7.1804349097593048E-2</v>
      </c>
      <c r="AN157" s="1">
        <f t="shared" ca="1" si="142"/>
        <v>47</v>
      </c>
      <c r="AO157" s="1">
        <f t="shared" ca="1" si="143"/>
        <v>20</v>
      </c>
      <c r="AQ157" s="1">
        <f t="shared" ca="1" si="144"/>
        <v>182</v>
      </c>
      <c r="AR157" s="1">
        <f t="shared" ca="1" si="145"/>
        <v>1</v>
      </c>
      <c r="AS157" s="1">
        <f t="shared" ca="1" si="146"/>
        <v>85</v>
      </c>
      <c r="AU157" s="1">
        <f t="shared" ca="1" si="147"/>
        <v>67</v>
      </c>
      <c r="AV157" s="1">
        <f t="shared" ca="1" si="148"/>
        <v>8</v>
      </c>
      <c r="AW157" s="1">
        <f t="shared" ca="1" si="149"/>
        <v>0.11344828210837916</v>
      </c>
      <c r="AY157" s="1">
        <f t="shared" ca="1" si="150"/>
        <v>1.7329132760567831</v>
      </c>
      <c r="AZ157" s="1">
        <f t="shared" ca="1" si="151"/>
        <v>326</v>
      </c>
      <c r="BA157" s="1">
        <f t="shared" ca="1" si="152"/>
        <v>1.4274910753469374E-3</v>
      </c>
      <c r="BV157" s="1">
        <f t="shared" ca="1" si="153"/>
        <v>0.15840709962958119</v>
      </c>
      <c r="BW157" s="1">
        <f t="shared" ca="1" si="154"/>
        <v>163</v>
      </c>
      <c r="BX157" s="1">
        <f t="shared" ca="1" si="155"/>
        <v>7.236979643065999E-3</v>
      </c>
      <c r="BY157" s="1">
        <f t="shared" ca="1" si="156"/>
        <v>9.5311223045481397E-2</v>
      </c>
      <c r="BZ157" s="1">
        <f t="shared" ca="1" si="157"/>
        <v>0.48682957492736045</v>
      </c>
      <c r="CB157" s="1">
        <f t="shared" ca="1" si="158"/>
        <v>345</v>
      </c>
      <c r="CC157" s="1">
        <f t="shared" ca="1" si="159"/>
        <v>6</v>
      </c>
      <c r="CD157" s="1">
        <f t="shared" ca="1" si="160"/>
        <v>0.13630461257140922</v>
      </c>
      <c r="CE157" s="1">
        <f t="shared" ca="1" si="161"/>
        <v>0.61217599238849263</v>
      </c>
      <c r="CF157" s="1">
        <f t="shared" ca="1" si="161"/>
        <v>0.79048657789589327</v>
      </c>
      <c r="CH157" s="3">
        <f t="shared" ca="1" si="162"/>
        <v>0.67216259333170403</v>
      </c>
      <c r="CI157" s="3">
        <f t="shared" ca="1" si="163"/>
        <v>0.6428650885078272</v>
      </c>
      <c r="CJ157" s="3">
        <f t="shared" ca="1" si="164"/>
        <v>1757</v>
      </c>
      <c r="CK157" s="3">
        <f t="shared" ca="1" si="165"/>
        <v>7.1368181353016653E-3</v>
      </c>
      <c r="CL157" s="3">
        <f t="shared" ca="1" si="166"/>
        <v>1</v>
      </c>
      <c r="CM157" s="3"/>
      <c r="CN157" s="1">
        <f t="shared" ca="1" si="167"/>
        <v>5.0342780393441524</v>
      </c>
      <c r="CO157" s="1">
        <f t="shared" ca="1" si="168"/>
        <v>8.5432960273803052E-2</v>
      </c>
      <c r="CP157" s="1">
        <f t="shared" ca="1" si="169"/>
        <v>3</v>
      </c>
    </row>
    <row r="158" spans="2:94" x14ac:dyDescent="0.25">
      <c r="B158">
        <f t="shared" ca="1" si="114"/>
        <v>988</v>
      </c>
      <c r="C158">
        <f t="shared" ca="1" si="115"/>
        <v>52</v>
      </c>
      <c r="D158">
        <f t="shared" ca="1" si="116"/>
        <v>0.10390930961607697</v>
      </c>
      <c r="F158" s="1">
        <f t="shared" ca="1" si="117"/>
        <v>33</v>
      </c>
      <c r="G158" s="1">
        <f t="shared" ca="1" si="118"/>
        <v>6</v>
      </c>
      <c r="H158" s="1">
        <f t="shared" ca="1" si="119"/>
        <v>5</v>
      </c>
      <c r="I158" s="1"/>
      <c r="J158" s="1">
        <f t="shared" ca="1" si="120"/>
        <v>4</v>
      </c>
      <c r="K158" s="1">
        <f t="shared" ca="1" si="121"/>
        <v>1.1193033998316717</v>
      </c>
      <c r="L158" s="1">
        <f t="shared" ca="1" si="122"/>
        <v>20</v>
      </c>
      <c r="M158" s="1"/>
      <c r="N158" s="1">
        <f t="shared" ca="1" si="123"/>
        <v>479</v>
      </c>
      <c r="O158" s="1">
        <f t="shared" ca="1" si="124"/>
        <v>21</v>
      </c>
      <c r="P158" s="1"/>
      <c r="Q158" s="1">
        <f t="shared" ca="1" si="125"/>
        <v>1.4344154345472833</v>
      </c>
      <c r="R158" s="1">
        <f t="shared" ca="1" si="126"/>
        <v>1060</v>
      </c>
      <c r="S158" s="1"/>
      <c r="T158" s="1">
        <f t="shared" ca="1" si="127"/>
        <v>0.13070814681675919</v>
      </c>
      <c r="U158" s="1">
        <f t="shared" ca="1" si="128"/>
        <v>210</v>
      </c>
      <c r="V158" s="1">
        <f t="shared" ca="1" si="129"/>
        <v>10</v>
      </c>
      <c r="W158" s="1"/>
      <c r="X158" s="1">
        <f t="shared" ca="1" si="130"/>
        <v>3.2911588436649506</v>
      </c>
      <c r="Y158" s="1">
        <f t="shared" ca="1" si="131"/>
        <v>0.55392294399273867</v>
      </c>
      <c r="Z158" s="1">
        <f t="shared" ca="1" si="132"/>
        <v>976</v>
      </c>
      <c r="AB158" s="1">
        <f t="shared" ca="1" si="133"/>
        <v>0.9679680003429898</v>
      </c>
      <c r="AC158" s="1">
        <f t="shared" ca="1" si="134"/>
        <v>174</v>
      </c>
      <c r="AD158" s="1">
        <f t="shared" ca="1" si="135"/>
        <v>2.5550069162496832E-3</v>
      </c>
      <c r="AE158" s="1"/>
      <c r="AF158" s="1">
        <f t="shared" ca="1" si="136"/>
        <v>0.82818953203987167</v>
      </c>
      <c r="AG158" s="1">
        <f t="shared" ca="1" si="137"/>
        <v>839</v>
      </c>
      <c r="AH158" s="1">
        <f t="shared" ca="1" si="138"/>
        <v>5.5071654648816077E-3</v>
      </c>
      <c r="AJ158" s="1">
        <f t="shared" ca="1" si="139"/>
        <v>0.5814612189780769</v>
      </c>
      <c r="AK158" s="1">
        <f t="shared" ca="1" si="140"/>
        <v>5.1669876540049397E-4</v>
      </c>
      <c r="AL158" s="1"/>
      <c r="AM158" s="1">
        <f t="shared" ca="1" si="141"/>
        <v>7.9561122304355344E-2</v>
      </c>
      <c r="AN158" s="1">
        <f t="shared" ca="1" si="142"/>
        <v>79</v>
      </c>
      <c r="AO158" s="1">
        <f t="shared" ca="1" si="143"/>
        <v>1</v>
      </c>
      <c r="AQ158" s="1">
        <f t="shared" ca="1" si="144"/>
        <v>65</v>
      </c>
      <c r="AR158" s="1">
        <f t="shared" ca="1" si="145"/>
        <v>9</v>
      </c>
      <c r="AS158" s="1">
        <f t="shared" ca="1" si="146"/>
        <v>46</v>
      </c>
      <c r="AU158" s="1">
        <f t="shared" ca="1" si="147"/>
        <v>382</v>
      </c>
      <c r="AV158" s="1">
        <f t="shared" ca="1" si="148"/>
        <v>4</v>
      </c>
      <c r="AW158" s="1">
        <f t="shared" ca="1" si="149"/>
        <v>0.12940519880113796</v>
      </c>
      <c r="AY158" s="1">
        <f t="shared" ca="1" si="150"/>
        <v>1.6121864580307381</v>
      </c>
      <c r="AZ158" s="1">
        <f t="shared" ca="1" si="151"/>
        <v>221</v>
      </c>
      <c r="BA158" s="1">
        <f t="shared" ca="1" si="152"/>
        <v>2.7450441502626325E-3</v>
      </c>
      <c r="BV158" s="1">
        <f t="shared" ca="1" si="153"/>
        <v>0.61907446857687887</v>
      </c>
      <c r="BW158" s="1">
        <f t="shared" ca="1" si="154"/>
        <v>808</v>
      </c>
      <c r="BX158" s="1">
        <f t="shared" ca="1" si="155"/>
        <v>9.6881201061687454E-3</v>
      </c>
      <c r="BY158" s="1">
        <f t="shared" ca="1" si="156"/>
        <v>3.6802781262848354E-2</v>
      </c>
      <c r="BZ158" s="1">
        <f t="shared" ca="1" si="157"/>
        <v>0.10660304325818559</v>
      </c>
      <c r="CB158" s="1">
        <f t="shared" ca="1" si="158"/>
        <v>205</v>
      </c>
      <c r="CC158" s="1">
        <f t="shared" ca="1" si="159"/>
        <v>15</v>
      </c>
      <c r="CD158" s="1">
        <f t="shared" ca="1" si="160"/>
        <v>0.25641427687079205</v>
      </c>
      <c r="CE158" s="1">
        <f t="shared" ca="1" si="161"/>
        <v>0.98663992796775268</v>
      </c>
      <c r="CF158" s="1">
        <f t="shared" ca="1" si="161"/>
        <v>0.79743037803473393</v>
      </c>
      <c r="CH158" s="3">
        <f t="shared" ca="1" si="162"/>
        <v>0.41256765247408334</v>
      </c>
      <c r="CI158" s="3">
        <f t="shared" ca="1" si="163"/>
        <v>0.89677636170182506</v>
      </c>
      <c r="CJ158" s="3">
        <f t="shared" ca="1" si="164"/>
        <v>659</v>
      </c>
      <c r="CK158" s="3">
        <f t="shared" ca="1" si="165"/>
        <v>7.6877501319679974E-3</v>
      </c>
      <c r="CL158" s="3">
        <f t="shared" ca="1" si="166"/>
        <v>0</v>
      </c>
      <c r="CM158" s="3"/>
      <c r="CN158" s="1">
        <f t="shared" ca="1" si="167"/>
        <v>9.2868319296298303</v>
      </c>
      <c r="CO158" s="1">
        <f t="shared" ca="1" si="168"/>
        <v>6.5473724882176799E-3</v>
      </c>
      <c r="CP158" s="1">
        <f t="shared" ca="1" si="169"/>
        <v>1</v>
      </c>
    </row>
    <row r="159" spans="2:94" x14ac:dyDescent="0.25">
      <c r="B159">
        <f t="shared" ca="1" si="114"/>
        <v>351</v>
      </c>
      <c r="C159">
        <f t="shared" ca="1" si="115"/>
        <v>28</v>
      </c>
      <c r="D159">
        <f t="shared" ca="1" si="116"/>
        <v>0.18267130462657513</v>
      </c>
      <c r="F159" s="1">
        <f t="shared" ca="1" si="117"/>
        <v>38</v>
      </c>
      <c r="G159" s="1">
        <f t="shared" ca="1" si="118"/>
        <v>18</v>
      </c>
      <c r="H159" s="1">
        <f t="shared" ca="1" si="119"/>
        <v>4</v>
      </c>
      <c r="I159" s="1"/>
      <c r="J159" s="1">
        <f t="shared" ca="1" si="120"/>
        <v>26</v>
      </c>
      <c r="K159" s="1">
        <f t="shared" ca="1" si="121"/>
        <v>1.0138986282461628</v>
      </c>
      <c r="L159" s="1">
        <f t="shared" ca="1" si="122"/>
        <v>15</v>
      </c>
      <c r="M159" s="1"/>
      <c r="N159" s="1">
        <f t="shared" ca="1" si="123"/>
        <v>437</v>
      </c>
      <c r="O159" s="1">
        <f t="shared" ca="1" si="124"/>
        <v>2</v>
      </c>
      <c r="P159" s="1"/>
      <c r="Q159" s="1">
        <f t="shared" ca="1" si="125"/>
        <v>4.5968589207923225</v>
      </c>
      <c r="R159" s="1">
        <f t="shared" ca="1" si="126"/>
        <v>1137</v>
      </c>
      <c r="S159" s="1"/>
      <c r="T159" s="1">
        <f t="shared" ca="1" si="127"/>
        <v>7.9907998393480242E-2</v>
      </c>
      <c r="U159" s="1">
        <f t="shared" ca="1" si="128"/>
        <v>165</v>
      </c>
      <c r="V159" s="1">
        <f t="shared" ca="1" si="129"/>
        <v>29</v>
      </c>
      <c r="W159" s="1"/>
      <c r="X159" s="1">
        <f t="shared" ca="1" si="130"/>
        <v>9.4953994405454907</v>
      </c>
      <c r="Y159" s="1">
        <f t="shared" ca="1" si="131"/>
        <v>0.56085091896706984</v>
      </c>
      <c r="Z159" s="1">
        <f t="shared" ca="1" si="132"/>
        <v>1380</v>
      </c>
      <c r="AB159" s="1">
        <f t="shared" ca="1" si="133"/>
        <v>0.40441094502238867</v>
      </c>
      <c r="AC159" s="1">
        <f t="shared" ca="1" si="134"/>
        <v>478</v>
      </c>
      <c r="AD159" s="1">
        <f t="shared" ca="1" si="135"/>
        <v>9.0218384892620379E-3</v>
      </c>
      <c r="AE159" s="1"/>
      <c r="AF159" s="1">
        <f t="shared" ca="1" si="136"/>
        <v>0.33338824828152769</v>
      </c>
      <c r="AG159" s="1">
        <f t="shared" ca="1" si="137"/>
        <v>793</v>
      </c>
      <c r="AH159" s="1">
        <f t="shared" ca="1" si="138"/>
        <v>9.0375086665442066E-3</v>
      </c>
      <c r="AJ159" s="1">
        <f t="shared" ca="1" si="139"/>
        <v>0.22320827783540187</v>
      </c>
      <c r="AK159" s="1">
        <f t="shared" ca="1" si="140"/>
        <v>1.432716421100991E-3</v>
      </c>
      <c r="AL159" s="1"/>
      <c r="AM159" s="1">
        <f t="shared" ca="1" si="141"/>
        <v>5.1088786217031223E-2</v>
      </c>
      <c r="AN159" s="1">
        <f t="shared" ca="1" si="142"/>
        <v>35</v>
      </c>
      <c r="AO159" s="1">
        <f t="shared" ca="1" si="143"/>
        <v>6</v>
      </c>
      <c r="AQ159" s="1">
        <f t="shared" ca="1" si="144"/>
        <v>79</v>
      </c>
      <c r="AR159" s="1">
        <f t="shared" ca="1" si="145"/>
        <v>6</v>
      </c>
      <c r="AS159" s="1">
        <f t="shared" ca="1" si="146"/>
        <v>31</v>
      </c>
      <c r="AU159" s="1">
        <f t="shared" ca="1" si="147"/>
        <v>314</v>
      </c>
      <c r="AV159" s="1">
        <f t="shared" ca="1" si="148"/>
        <v>3</v>
      </c>
      <c r="AW159" s="1">
        <f t="shared" ca="1" si="149"/>
        <v>7.0562837790737645E-2</v>
      </c>
      <c r="AY159" s="1">
        <f t="shared" ca="1" si="150"/>
        <v>1.1163319910761043</v>
      </c>
      <c r="AZ159" s="1">
        <f t="shared" ca="1" si="151"/>
        <v>64</v>
      </c>
      <c r="BA159" s="1">
        <f t="shared" ca="1" si="152"/>
        <v>6.5440610654114379E-3</v>
      </c>
      <c r="BV159" s="1">
        <f t="shared" ca="1" si="153"/>
        <v>0.44846442868513992</v>
      </c>
      <c r="BW159" s="1">
        <f t="shared" ca="1" si="154"/>
        <v>285</v>
      </c>
      <c r="BX159" s="1">
        <f t="shared" ca="1" si="155"/>
        <v>6.5925923393356043E-3</v>
      </c>
      <c r="BY159" s="1">
        <f t="shared" ca="1" si="156"/>
        <v>7.7304344391651583E-2</v>
      </c>
      <c r="BZ159" s="1">
        <f t="shared" ca="1" si="157"/>
        <v>0.68847350469200363</v>
      </c>
      <c r="CB159" s="1">
        <f t="shared" ca="1" si="158"/>
        <v>364</v>
      </c>
      <c r="CC159" s="1">
        <f t="shared" ca="1" si="159"/>
        <v>9</v>
      </c>
      <c r="CD159" s="1">
        <f t="shared" ca="1" si="160"/>
        <v>0.1886322637411228</v>
      </c>
      <c r="CE159" s="1">
        <f t="shared" ca="1" si="161"/>
        <v>0.58524204434556881</v>
      </c>
      <c r="CF159" s="1">
        <f t="shared" ca="1" si="161"/>
        <v>0.81019752732999373</v>
      </c>
      <c r="CH159" s="3">
        <f t="shared" ca="1" si="162"/>
        <v>0.71387613196333544</v>
      </c>
      <c r="CI159" s="3">
        <f t="shared" ca="1" si="163"/>
        <v>0.68711862059245343</v>
      </c>
      <c r="CJ159" s="3">
        <f t="shared" ca="1" si="164"/>
        <v>738</v>
      </c>
      <c r="CK159" s="3">
        <f t="shared" ca="1" si="165"/>
        <v>6.6030431360533806E-3</v>
      </c>
      <c r="CL159" s="3">
        <f t="shared" ca="1" si="166"/>
        <v>1</v>
      </c>
      <c r="CM159" s="3"/>
      <c r="CN159" s="1">
        <f t="shared" ca="1" si="167"/>
        <v>18.344129808490614</v>
      </c>
      <c r="CO159" s="1">
        <f t="shared" ca="1" si="168"/>
        <v>0.13390932662843469</v>
      </c>
      <c r="CP159" s="1">
        <f t="shared" ca="1" si="169"/>
        <v>4</v>
      </c>
    </row>
    <row r="160" spans="2:94" x14ac:dyDescent="0.25">
      <c r="B160">
        <f t="shared" ca="1" si="114"/>
        <v>213</v>
      </c>
      <c r="C160">
        <f t="shared" ca="1" si="115"/>
        <v>28</v>
      </c>
      <c r="D160">
        <f t="shared" ca="1" si="116"/>
        <v>7.9245930279249033E-2</v>
      </c>
      <c r="F160" s="1">
        <f t="shared" ca="1" si="117"/>
        <v>37</v>
      </c>
      <c r="G160" s="1">
        <f t="shared" ca="1" si="118"/>
        <v>23</v>
      </c>
      <c r="H160" s="1">
        <f t="shared" ca="1" si="119"/>
        <v>8</v>
      </c>
      <c r="I160" s="1"/>
      <c r="J160" s="1">
        <f t="shared" ca="1" si="120"/>
        <v>1</v>
      </c>
      <c r="K160" s="1">
        <f t="shared" ca="1" si="121"/>
        <v>1.1068888195270663</v>
      </c>
      <c r="L160" s="1">
        <f t="shared" ca="1" si="122"/>
        <v>13</v>
      </c>
      <c r="M160" s="1"/>
      <c r="N160" s="1">
        <f t="shared" ca="1" si="123"/>
        <v>698</v>
      </c>
      <c r="O160" s="1">
        <f t="shared" ca="1" si="124"/>
        <v>38</v>
      </c>
      <c r="P160" s="1"/>
      <c r="Q160" s="1">
        <f t="shared" ca="1" si="125"/>
        <v>3.4895069046862566</v>
      </c>
      <c r="R160" s="1">
        <f t="shared" ca="1" si="126"/>
        <v>739</v>
      </c>
      <c r="S160" s="1"/>
      <c r="T160" s="1">
        <f t="shared" ca="1" si="127"/>
        <v>0.19253730146664225</v>
      </c>
      <c r="U160" s="1">
        <f t="shared" ca="1" si="128"/>
        <v>421</v>
      </c>
      <c r="V160" s="1">
        <f t="shared" ca="1" si="129"/>
        <v>17</v>
      </c>
      <c r="W160" s="1"/>
      <c r="X160" s="1">
        <f t="shared" ca="1" si="130"/>
        <v>5.0315642279600814</v>
      </c>
      <c r="Y160" s="1">
        <f t="shared" ca="1" si="131"/>
        <v>0.40536957013902408</v>
      </c>
      <c r="Z160" s="1">
        <f t="shared" ca="1" si="132"/>
        <v>999</v>
      </c>
      <c r="AB160" s="1">
        <f t="shared" ca="1" si="133"/>
        <v>0.97754886429132692</v>
      </c>
      <c r="AC160" s="1">
        <f t="shared" ca="1" si="134"/>
        <v>726</v>
      </c>
      <c r="AD160" s="1">
        <f t="shared" ca="1" si="135"/>
        <v>4.6847267335404039E-3</v>
      </c>
      <c r="AE160" s="1"/>
      <c r="AF160" s="1">
        <f t="shared" ca="1" si="136"/>
        <v>0.10746641876722088</v>
      </c>
      <c r="AG160" s="1">
        <f t="shared" ca="1" si="137"/>
        <v>597</v>
      </c>
      <c r="AH160" s="1">
        <f t="shared" ca="1" si="138"/>
        <v>7.4582209657947278E-3</v>
      </c>
      <c r="AJ160" s="1">
        <f t="shared" ca="1" si="139"/>
        <v>0.20020368199806426</v>
      </c>
      <c r="AK160" s="1">
        <f t="shared" ca="1" si="140"/>
        <v>8.4685061889730982E-3</v>
      </c>
      <c r="AL160" s="1"/>
      <c r="AM160" s="1">
        <f t="shared" ca="1" si="141"/>
        <v>9.1460345520177164E-2</v>
      </c>
      <c r="AN160" s="1">
        <f t="shared" ca="1" si="142"/>
        <v>57</v>
      </c>
      <c r="AO160" s="1">
        <f t="shared" ca="1" si="143"/>
        <v>1</v>
      </c>
      <c r="AQ160" s="1">
        <f t="shared" ca="1" si="144"/>
        <v>179</v>
      </c>
      <c r="AR160" s="1">
        <f t="shared" ca="1" si="145"/>
        <v>9</v>
      </c>
      <c r="AS160" s="1">
        <f t="shared" ca="1" si="146"/>
        <v>72</v>
      </c>
      <c r="AU160" s="1">
        <f t="shared" ca="1" si="147"/>
        <v>223</v>
      </c>
      <c r="AV160" s="1">
        <f t="shared" ca="1" si="148"/>
        <v>4</v>
      </c>
      <c r="AW160" s="1">
        <f t="shared" ca="1" si="149"/>
        <v>0.19826584764556016</v>
      </c>
      <c r="AY160" s="1">
        <f t="shared" ca="1" si="150"/>
        <v>1.8181080811834358</v>
      </c>
      <c r="AZ160" s="1">
        <f t="shared" ca="1" si="151"/>
        <v>284</v>
      </c>
      <c r="BA160" s="1">
        <f t="shared" ca="1" si="152"/>
        <v>8.3236387508850915E-3</v>
      </c>
      <c r="BV160" s="1">
        <f t="shared" ca="1" si="153"/>
        <v>0.92644398034568998</v>
      </c>
      <c r="BW160" s="1">
        <f t="shared" ca="1" si="154"/>
        <v>982</v>
      </c>
      <c r="BX160" s="1">
        <f t="shared" ca="1" si="155"/>
        <v>1.7633913731412132E-3</v>
      </c>
      <c r="BY160" s="1">
        <f t="shared" ca="1" si="156"/>
        <v>9.3358946768171386E-2</v>
      </c>
      <c r="BZ160" s="1">
        <f t="shared" ca="1" si="157"/>
        <v>0.8299356704927594</v>
      </c>
      <c r="CB160" s="1">
        <f t="shared" ca="1" si="158"/>
        <v>387</v>
      </c>
      <c r="CC160" s="1">
        <f t="shared" ca="1" si="159"/>
        <v>7</v>
      </c>
      <c r="CD160" s="1">
        <f t="shared" ca="1" si="160"/>
        <v>0.15583671513862873</v>
      </c>
      <c r="CE160" s="1">
        <f t="shared" ca="1" si="161"/>
        <v>0.69690897394562468</v>
      </c>
      <c r="CF160" s="1">
        <f t="shared" ca="1" si="161"/>
        <v>0.65708092069403223</v>
      </c>
      <c r="CH160" s="3">
        <f t="shared" ca="1" si="162"/>
        <v>0.51217559645100497</v>
      </c>
      <c r="CI160" s="3">
        <f t="shared" ca="1" si="163"/>
        <v>0.61830796328395399</v>
      </c>
      <c r="CJ160" s="3">
        <f t="shared" ca="1" si="164"/>
        <v>1673</v>
      </c>
      <c r="CK160" s="3">
        <f t="shared" ca="1" si="165"/>
        <v>6.8210265608698831E-4</v>
      </c>
      <c r="CL160" s="3">
        <f t="shared" ca="1" si="166"/>
        <v>0</v>
      </c>
      <c r="CM160" s="3"/>
      <c r="CN160" s="1">
        <f t="shared" ca="1" si="167"/>
        <v>13.912431360489908</v>
      </c>
      <c r="CO160" s="1">
        <f t="shared" ca="1" si="168"/>
        <v>0.39440119213042801</v>
      </c>
      <c r="CP160" s="1">
        <f t="shared" ca="1" si="169"/>
        <v>4</v>
      </c>
    </row>
    <row r="161" spans="2:94" x14ac:dyDescent="0.25">
      <c r="B161">
        <f t="shared" ca="1" si="114"/>
        <v>300</v>
      </c>
      <c r="C161">
        <f t="shared" ca="1" si="115"/>
        <v>27</v>
      </c>
      <c r="D161">
        <f t="shared" ca="1" si="116"/>
        <v>0.18491507082279238</v>
      </c>
      <c r="F161" s="1">
        <f t="shared" ca="1" si="117"/>
        <v>14</v>
      </c>
      <c r="G161" s="1">
        <f t="shared" ca="1" si="118"/>
        <v>14</v>
      </c>
      <c r="H161" s="1">
        <f t="shared" ca="1" si="119"/>
        <v>1</v>
      </c>
      <c r="I161" s="1"/>
      <c r="J161" s="1">
        <f t="shared" ca="1" si="120"/>
        <v>10</v>
      </c>
      <c r="K161" s="1">
        <f t="shared" ca="1" si="121"/>
        <v>2.9134659433722225</v>
      </c>
      <c r="L161" s="1">
        <f t="shared" ca="1" si="122"/>
        <v>5</v>
      </c>
      <c r="M161" s="1"/>
      <c r="N161" s="1">
        <f t="shared" ca="1" si="123"/>
        <v>100</v>
      </c>
      <c r="O161" s="1">
        <f t="shared" ca="1" si="124"/>
        <v>3</v>
      </c>
      <c r="P161" s="1"/>
      <c r="Q161" s="1">
        <f t="shared" ca="1" si="125"/>
        <v>0.20113665502928899</v>
      </c>
      <c r="R161" s="1">
        <f t="shared" ca="1" si="126"/>
        <v>589</v>
      </c>
      <c r="S161" s="1"/>
      <c r="T161" s="1">
        <f t="shared" ca="1" si="127"/>
        <v>0.11919133834116073</v>
      </c>
      <c r="U161" s="1">
        <f t="shared" ca="1" si="128"/>
        <v>304</v>
      </c>
      <c r="V161" s="1">
        <f t="shared" ca="1" si="129"/>
        <v>20</v>
      </c>
      <c r="W161" s="1"/>
      <c r="X161" s="1">
        <f t="shared" ca="1" si="130"/>
        <v>0.47848000410517094</v>
      </c>
      <c r="Y161" s="1">
        <f t="shared" ca="1" si="131"/>
        <v>0.67859379493492789</v>
      </c>
      <c r="Z161" s="1">
        <f t="shared" ca="1" si="132"/>
        <v>449</v>
      </c>
      <c r="AB161" s="1">
        <f t="shared" ca="1" si="133"/>
        <v>0.72925145987098627</v>
      </c>
      <c r="AC161" s="1">
        <f t="shared" ca="1" si="134"/>
        <v>354</v>
      </c>
      <c r="AD161" s="1">
        <f t="shared" ca="1" si="135"/>
        <v>5.7693845019275982E-3</v>
      </c>
      <c r="AE161" s="1"/>
      <c r="AF161" s="1">
        <f t="shared" ca="1" si="136"/>
        <v>0.63342626119115031</v>
      </c>
      <c r="AG161" s="1">
        <f t="shared" ca="1" si="137"/>
        <v>688</v>
      </c>
      <c r="AH161" s="1">
        <f t="shared" ca="1" si="138"/>
        <v>3.4132063204890093E-3</v>
      </c>
      <c r="AJ161" s="1">
        <f t="shared" ca="1" si="139"/>
        <v>0.19480201600252267</v>
      </c>
      <c r="AK161" s="1">
        <f t="shared" ca="1" si="140"/>
        <v>5.3202701028319515E-3</v>
      </c>
      <c r="AL161" s="1"/>
      <c r="AM161" s="1">
        <f t="shared" ca="1" si="141"/>
        <v>8.3897073287193501E-3</v>
      </c>
      <c r="AN161" s="1">
        <f t="shared" ca="1" si="142"/>
        <v>51</v>
      </c>
      <c r="AO161" s="1">
        <f t="shared" ca="1" si="143"/>
        <v>0</v>
      </c>
      <c r="AQ161" s="1">
        <f t="shared" ca="1" si="144"/>
        <v>38</v>
      </c>
      <c r="AR161" s="1">
        <f t="shared" ca="1" si="145"/>
        <v>3</v>
      </c>
      <c r="AS161" s="1">
        <f t="shared" ca="1" si="146"/>
        <v>68</v>
      </c>
      <c r="AU161" s="1">
        <f t="shared" ca="1" si="147"/>
        <v>225</v>
      </c>
      <c r="AV161" s="1">
        <f t="shared" ca="1" si="148"/>
        <v>2</v>
      </c>
      <c r="AW161" s="1">
        <f t="shared" ca="1" si="149"/>
        <v>6.1033131065096294E-2</v>
      </c>
      <c r="AY161" s="1">
        <f t="shared" ca="1" si="150"/>
        <v>1.5376034544670798</v>
      </c>
      <c r="AZ161" s="1">
        <f t="shared" ca="1" si="151"/>
        <v>107</v>
      </c>
      <c r="BA161" s="1">
        <f t="shared" ca="1" si="152"/>
        <v>7.3535850268771127E-3</v>
      </c>
      <c r="BV161" s="1">
        <f t="shared" ca="1" si="153"/>
        <v>0.33557400541634408</v>
      </c>
      <c r="BW161" s="1">
        <f t="shared" ca="1" si="154"/>
        <v>755</v>
      </c>
      <c r="BX161" s="1">
        <f t="shared" ca="1" si="155"/>
        <v>7.4484243112219505E-3</v>
      </c>
      <c r="BY161" s="1">
        <f t="shared" ca="1" si="156"/>
        <v>4.1361672700752521E-2</v>
      </c>
      <c r="BZ161" s="1">
        <f t="shared" ca="1" si="157"/>
        <v>0.44386146898351497</v>
      </c>
      <c r="CB161" s="1">
        <f t="shared" ca="1" si="158"/>
        <v>357</v>
      </c>
      <c r="CC161" s="1">
        <f t="shared" ca="1" si="159"/>
        <v>13</v>
      </c>
      <c r="CD161" s="1">
        <f t="shared" ca="1" si="160"/>
        <v>7.7628357338749079E-2</v>
      </c>
      <c r="CE161" s="1">
        <f t="shared" ca="1" si="161"/>
        <v>0.61786922672616695</v>
      </c>
      <c r="CF161" s="1">
        <f t="shared" ca="1" si="161"/>
        <v>0.89316729432263886</v>
      </c>
      <c r="CH161" s="3">
        <f t="shared" ca="1" si="162"/>
        <v>0.5268312326445066</v>
      </c>
      <c r="CI161" s="3">
        <f t="shared" ca="1" si="163"/>
        <v>0.52774372837053463</v>
      </c>
      <c r="CJ161" s="3">
        <f t="shared" ca="1" si="164"/>
        <v>891</v>
      </c>
      <c r="CK161" s="3">
        <f t="shared" ca="1" si="165"/>
        <v>7.8352439483620059E-4</v>
      </c>
      <c r="CL161" s="3">
        <f t="shared" ca="1" si="166"/>
        <v>1</v>
      </c>
      <c r="CM161" s="3"/>
      <c r="CN161" s="1">
        <f t="shared" ca="1" si="167"/>
        <v>1.2987071027063923</v>
      </c>
      <c r="CO161" s="1">
        <f t="shared" ca="1" si="168"/>
        <v>0.34026013093679064</v>
      </c>
      <c r="CP161" s="1">
        <f t="shared" ca="1" si="169"/>
        <v>2</v>
      </c>
    </row>
    <row r="162" spans="2:94" x14ac:dyDescent="0.25">
      <c r="B162">
        <f t="shared" ca="1" si="114"/>
        <v>505</v>
      </c>
      <c r="C162">
        <f t="shared" ca="1" si="115"/>
        <v>15</v>
      </c>
      <c r="D162">
        <f t="shared" ca="1" si="116"/>
        <v>0.15960589867797739</v>
      </c>
      <c r="F162" s="1">
        <f t="shared" ca="1" si="117"/>
        <v>12</v>
      </c>
      <c r="G162" s="1">
        <f t="shared" ca="1" si="118"/>
        <v>24</v>
      </c>
      <c r="H162" s="1">
        <f t="shared" ca="1" si="119"/>
        <v>9</v>
      </c>
      <c r="I162" s="1"/>
      <c r="J162" s="1">
        <f t="shared" ca="1" si="120"/>
        <v>23</v>
      </c>
      <c r="K162" s="1">
        <f t="shared" ca="1" si="121"/>
        <v>1.5265406542807305</v>
      </c>
      <c r="L162" s="1">
        <f t="shared" ca="1" si="122"/>
        <v>29</v>
      </c>
      <c r="M162" s="1"/>
      <c r="N162" s="1">
        <f t="shared" ca="1" si="123"/>
        <v>389</v>
      </c>
      <c r="O162" s="1">
        <f t="shared" ca="1" si="124"/>
        <v>15</v>
      </c>
      <c r="P162" s="1"/>
      <c r="Q162" s="1">
        <f t="shared" ca="1" si="125"/>
        <v>0.63309728745211113</v>
      </c>
      <c r="R162" s="1">
        <f t="shared" ca="1" si="126"/>
        <v>712</v>
      </c>
      <c r="S162" s="1"/>
      <c r="T162" s="1">
        <f t="shared" ca="1" si="127"/>
        <v>0.13316422577483794</v>
      </c>
      <c r="U162" s="1">
        <f t="shared" ca="1" si="128"/>
        <v>163</v>
      </c>
      <c r="V162" s="1">
        <f t="shared" ca="1" si="129"/>
        <v>47</v>
      </c>
      <c r="W162" s="1"/>
      <c r="X162" s="1">
        <f t="shared" ca="1" si="130"/>
        <v>3.7006666877130829</v>
      </c>
      <c r="Y162" s="1">
        <f t="shared" ca="1" si="131"/>
        <v>0.50553351384978362</v>
      </c>
      <c r="Z162" s="1">
        <f t="shared" ca="1" si="132"/>
        <v>129</v>
      </c>
      <c r="AB162" s="1">
        <f t="shared" ca="1" si="133"/>
        <v>0.30222071630144914</v>
      </c>
      <c r="AC162" s="1">
        <f t="shared" ca="1" si="134"/>
        <v>999</v>
      </c>
      <c r="AD162" s="1">
        <f t="shared" ca="1" si="135"/>
        <v>3.7321798308691924E-3</v>
      </c>
      <c r="AE162" s="1"/>
      <c r="AF162" s="1">
        <f t="shared" ca="1" si="136"/>
        <v>0.59626405891989398</v>
      </c>
      <c r="AG162" s="1">
        <f t="shared" ca="1" si="137"/>
        <v>570</v>
      </c>
      <c r="AH162" s="1">
        <f t="shared" ca="1" si="138"/>
        <v>7.5922703865600964E-3</v>
      </c>
      <c r="AJ162" s="1">
        <f t="shared" ca="1" si="139"/>
        <v>0.49681036684124913</v>
      </c>
      <c r="AK162" s="1">
        <f t="shared" ca="1" si="140"/>
        <v>4.6228683627379348E-3</v>
      </c>
      <c r="AL162" s="1"/>
      <c r="AM162" s="1">
        <f t="shared" ca="1" si="141"/>
        <v>2.2606127017209023E-2</v>
      </c>
      <c r="AN162" s="1">
        <f t="shared" ca="1" si="142"/>
        <v>30</v>
      </c>
      <c r="AO162" s="1">
        <f t="shared" ca="1" si="143"/>
        <v>7</v>
      </c>
      <c r="AQ162" s="1">
        <f t="shared" ca="1" si="144"/>
        <v>101</v>
      </c>
      <c r="AR162" s="1">
        <f t="shared" ca="1" si="145"/>
        <v>9</v>
      </c>
      <c r="AS162" s="1">
        <f t="shared" ca="1" si="146"/>
        <v>14</v>
      </c>
      <c r="AU162" s="1">
        <f t="shared" ca="1" si="147"/>
        <v>104</v>
      </c>
      <c r="AV162" s="1">
        <f t="shared" ca="1" si="148"/>
        <v>8</v>
      </c>
      <c r="AW162" s="1">
        <f t="shared" ca="1" si="149"/>
        <v>0.14014667612985376</v>
      </c>
      <c r="AY162" s="1">
        <f t="shared" ca="1" si="150"/>
        <v>1.1407761056124457</v>
      </c>
      <c r="AZ162" s="1">
        <f t="shared" ca="1" si="151"/>
        <v>239</v>
      </c>
      <c r="BA162" s="1">
        <f t="shared" ca="1" si="152"/>
        <v>6.2091488984150301E-3</v>
      </c>
      <c r="BV162" s="1">
        <f t="shared" ca="1" si="153"/>
        <v>0.69074221292225901</v>
      </c>
      <c r="BW162" s="1">
        <f t="shared" ca="1" si="154"/>
        <v>656</v>
      </c>
      <c r="BX162" s="1">
        <f t="shared" ca="1" si="155"/>
        <v>3.7268741397774555E-3</v>
      </c>
      <c r="BY162" s="1">
        <f t="shared" ca="1" si="156"/>
        <v>1.1120598958842641E-2</v>
      </c>
      <c r="BZ162" s="1">
        <f t="shared" ca="1" si="157"/>
        <v>7.7261343076335143E-2</v>
      </c>
      <c r="CB162" s="1">
        <f t="shared" ca="1" si="158"/>
        <v>141</v>
      </c>
      <c r="CC162" s="1">
        <f t="shared" ca="1" si="159"/>
        <v>3</v>
      </c>
      <c r="CD162" s="1">
        <f t="shared" ca="1" si="160"/>
        <v>0.15934488488789564</v>
      </c>
      <c r="CE162" s="1">
        <f t="shared" ca="1" si="161"/>
        <v>0.85903444174888888</v>
      </c>
      <c r="CF162" s="1">
        <f t="shared" ca="1" si="161"/>
        <v>0.77379658556392283</v>
      </c>
      <c r="CH162" s="3">
        <f t="shared" ca="1" si="162"/>
        <v>0.69362630914953516</v>
      </c>
      <c r="CI162" s="3">
        <f t="shared" ca="1" si="163"/>
        <v>0.45690724126787502</v>
      </c>
      <c r="CJ162" s="3">
        <f t="shared" ca="1" si="164"/>
        <v>892</v>
      </c>
      <c r="CK162" s="3">
        <f t="shared" ca="1" si="165"/>
        <v>5.1466886957016709E-4</v>
      </c>
      <c r="CL162" s="3">
        <f t="shared" ca="1" si="166"/>
        <v>0</v>
      </c>
      <c r="CM162" s="3"/>
      <c r="CN162" s="1">
        <f t="shared" ca="1" si="167"/>
        <v>15.288101671396346</v>
      </c>
      <c r="CO162" s="1">
        <f t="shared" ca="1" si="168"/>
        <v>0.20112073012169096</v>
      </c>
      <c r="CP162" s="1">
        <f t="shared" ca="1" si="169"/>
        <v>1</v>
      </c>
    </row>
    <row r="163" spans="2:94" x14ac:dyDescent="0.25">
      <c r="B163">
        <f t="shared" ca="1" si="114"/>
        <v>923</v>
      </c>
      <c r="C163">
        <f t="shared" ca="1" si="115"/>
        <v>41</v>
      </c>
      <c r="D163">
        <f t="shared" ca="1" si="116"/>
        <v>0.10291471889185118</v>
      </c>
      <c r="F163" s="1">
        <f t="shared" ca="1" si="117"/>
        <v>12</v>
      </c>
      <c r="G163" s="1">
        <f t="shared" ca="1" si="118"/>
        <v>30</v>
      </c>
      <c r="H163" s="1">
        <f t="shared" ca="1" si="119"/>
        <v>10</v>
      </c>
      <c r="I163" s="1"/>
      <c r="J163" s="1">
        <f t="shared" ca="1" si="120"/>
        <v>25</v>
      </c>
      <c r="K163" s="1">
        <f t="shared" ca="1" si="121"/>
        <v>1.0132748205340145</v>
      </c>
      <c r="L163" s="1">
        <f t="shared" ca="1" si="122"/>
        <v>12</v>
      </c>
      <c r="M163" s="1"/>
      <c r="N163" s="1">
        <f t="shared" ca="1" si="123"/>
        <v>527</v>
      </c>
      <c r="O163" s="1">
        <f t="shared" ca="1" si="124"/>
        <v>52</v>
      </c>
      <c r="P163" s="1"/>
      <c r="Q163" s="1">
        <f t="shared" ca="1" si="125"/>
        <v>4.2824248588883629</v>
      </c>
      <c r="R163" s="1">
        <f t="shared" ca="1" si="126"/>
        <v>693</v>
      </c>
      <c r="S163" s="1"/>
      <c r="T163" s="1">
        <f t="shared" ca="1" si="127"/>
        <v>3.467545062814862E-2</v>
      </c>
      <c r="U163" s="1">
        <f t="shared" ca="1" si="128"/>
        <v>219</v>
      </c>
      <c r="V163" s="1">
        <f t="shared" ca="1" si="129"/>
        <v>10</v>
      </c>
      <c r="W163" s="1"/>
      <c r="X163" s="1">
        <f t="shared" ca="1" si="130"/>
        <v>8.7988247289109776</v>
      </c>
      <c r="Y163" s="1">
        <f t="shared" ca="1" si="131"/>
        <v>0.69515000720286269</v>
      </c>
      <c r="Z163" s="1">
        <f t="shared" ca="1" si="132"/>
        <v>515</v>
      </c>
      <c r="AB163" s="1">
        <f t="shared" ca="1" si="133"/>
        <v>0.59978173882465091</v>
      </c>
      <c r="AC163" s="1">
        <f t="shared" ca="1" si="134"/>
        <v>933</v>
      </c>
      <c r="AD163" s="1">
        <f t="shared" ca="1" si="135"/>
        <v>8.7716591514683685E-3</v>
      </c>
      <c r="AE163" s="1"/>
      <c r="AF163" s="1">
        <f t="shared" ca="1" si="136"/>
        <v>0.17136663217804371</v>
      </c>
      <c r="AG163" s="1">
        <f t="shared" ca="1" si="137"/>
        <v>373</v>
      </c>
      <c r="AH163" s="1">
        <f t="shared" ca="1" si="138"/>
        <v>3.9817930515479612E-5</v>
      </c>
      <c r="AJ163" s="1">
        <f t="shared" ca="1" si="139"/>
        <v>0.88403558433047691</v>
      </c>
      <c r="AK163" s="1">
        <f t="shared" ca="1" si="140"/>
        <v>3.0262529390942959E-3</v>
      </c>
      <c r="AL163" s="1"/>
      <c r="AM163" s="1">
        <f t="shared" ca="1" si="141"/>
        <v>0.10718993107612049</v>
      </c>
      <c r="AN163" s="1">
        <f t="shared" ca="1" si="142"/>
        <v>70</v>
      </c>
      <c r="AO163" s="1">
        <f t="shared" ca="1" si="143"/>
        <v>19</v>
      </c>
      <c r="AQ163" s="1">
        <f t="shared" ca="1" si="144"/>
        <v>52</v>
      </c>
      <c r="AR163" s="1">
        <f t="shared" ca="1" si="145"/>
        <v>3</v>
      </c>
      <c r="AS163" s="1">
        <f t="shared" ca="1" si="146"/>
        <v>7</v>
      </c>
      <c r="AU163" s="1">
        <f t="shared" ca="1" si="147"/>
        <v>347</v>
      </c>
      <c r="AV163" s="1">
        <f t="shared" ca="1" si="148"/>
        <v>6</v>
      </c>
      <c r="AW163" s="1">
        <f t="shared" ca="1" si="149"/>
        <v>0.18217553821444937</v>
      </c>
      <c r="AY163" s="1">
        <f t="shared" ca="1" si="150"/>
        <v>1.6369007487878253</v>
      </c>
      <c r="AZ163" s="1">
        <f t="shared" ca="1" si="151"/>
        <v>490</v>
      </c>
      <c r="BA163" s="1">
        <f t="shared" ca="1" si="152"/>
        <v>1.1714875722677312E-3</v>
      </c>
      <c r="BV163" s="1">
        <f t="shared" ca="1" si="153"/>
        <v>0.15103101499889421</v>
      </c>
      <c r="BW163" s="1">
        <f t="shared" ca="1" si="154"/>
        <v>321</v>
      </c>
      <c r="BX163" s="1">
        <f t="shared" ca="1" si="155"/>
        <v>7.6401235241675223E-3</v>
      </c>
      <c r="BY163" s="1">
        <f t="shared" ca="1" si="156"/>
        <v>8.9261045334743522E-2</v>
      </c>
      <c r="BZ163" s="1">
        <f t="shared" ca="1" si="157"/>
        <v>0.54287965307663089</v>
      </c>
      <c r="CB163" s="1">
        <f t="shared" ca="1" si="158"/>
        <v>172</v>
      </c>
      <c r="CC163" s="1">
        <f t="shared" ca="1" si="159"/>
        <v>13</v>
      </c>
      <c r="CD163" s="1">
        <f t="shared" ca="1" si="160"/>
        <v>0.11380805365163681</v>
      </c>
      <c r="CE163" s="1">
        <f t="shared" ca="1" si="161"/>
        <v>0.56302192197137657</v>
      </c>
      <c r="CF163" s="1">
        <f t="shared" ca="1" si="161"/>
        <v>0.91117728316017166</v>
      </c>
      <c r="CH163" s="3">
        <f t="shared" ca="1" si="162"/>
        <v>0.11295293587614939</v>
      </c>
      <c r="CI163" s="3">
        <f t="shared" ca="1" si="163"/>
        <v>0.56947494617231886</v>
      </c>
      <c r="CJ163" s="3">
        <f t="shared" ca="1" si="164"/>
        <v>875</v>
      </c>
      <c r="CK163" s="3">
        <f t="shared" ca="1" si="165"/>
        <v>9.409296153523863E-3</v>
      </c>
      <c r="CL163" s="3">
        <f t="shared" ca="1" si="166"/>
        <v>0</v>
      </c>
      <c r="CM163" s="3"/>
      <c r="CN163" s="1">
        <f t="shared" ca="1" si="167"/>
        <v>17.703810456353811</v>
      </c>
      <c r="CO163" s="1">
        <f t="shared" ca="1" si="168"/>
        <v>0.36851304876566826</v>
      </c>
      <c r="CP163" s="1">
        <f t="shared" ca="1" si="169"/>
        <v>1</v>
      </c>
    </row>
    <row r="164" spans="2:94" x14ac:dyDescent="0.25">
      <c r="B164">
        <f t="shared" ca="1" si="114"/>
        <v>440</v>
      </c>
      <c r="C164">
        <f t="shared" ca="1" si="115"/>
        <v>22</v>
      </c>
      <c r="D164">
        <f t="shared" ca="1" si="116"/>
        <v>8.2586350280161785E-2</v>
      </c>
      <c r="F164" s="1">
        <f t="shared" ca="1" si="117"/>
        <v>20</v>
      </c>
      <c r="G164" s="1">
        <f t="shared" ca="1" si="118"/>
        <v>11</v>
      </c>
      <c r="H164" s="1">
        <f t="shared" ca="1" si="119"/>
        <v>11</v>
      </c>
      <c r="I164" s="1"/>
      <c r="J164" s="1">
        <f t="shared" ca="1" si="120"/>
        <v>19</v>
      </c>
      <c r="K164" s="1">
        <f t="shared" ca="1" si="121"/>
        <v>1.6432539634022618</v>
      </c>
      <c r="L164" s="1">
        <f t="shared" ca="1" si="122"/>
        <v>25</v>
      </c>
      <c r="M164" s="1"/>
      <c r="N164" s="1">
        <f t="shared" ca="1" si="123"/>
        <v>305</v>
      </c>
      <c r="O164" s="1">
        <f t="shared" ca="1" si="124"/>
        <v>25</v>
      </c>
      <c r="P164" s="1"/>
      <c r="Q164" s="1">
        <f t="shared" ca="1" si="125"/>
        <v>4.9943510649174314</v>
      </c>
      <c r="R164" s="1">
        <f t="shared" ca="1" si="126"/>
        <v>853</v>
      </c>
      <c r="S164" s="1"/>
      <c r="T164" s="1">
        <f t="shared" ca="1" si="127"/>
        <v>2.2115296523260521E-2</v>
      </c>
      <c r="U164" s="1">
        <f t="shared" ca="1" si="128"/>
        <v>393</v>
      </c>
      <c r="V164" s="1">
        <f t="shared" ca="1" si="129"/>
        <v>47</v>
      </c>
      <c r="W164" s="1"/>
      <c r="X164" s="1">
        <f t="shared" ca="1" si="130"/>
        <v>0.77952459449246769</v>
      </c>
      <c r="Y164" s="1">
        <f t="shared" ca="1" si="131"/>
        <v>0.59340098567882416</v>
      </c>
      <c r="Z164" s="1">
        <f t="shared" ca="1" si="132"/>
        <v>1284</v>
      </c>
      <c r="AB164" s="1">
        <f t="shared" ca="1" si="133"/>
        <v>0.29982021808363751</v>
      </c>
      <c r="AC164" s="1">
        <f t="shared" ca="1" si="134"/>
        <v>501</v>
      </c>
      <c r="AD164" s="1">
        <f t="shared" ca="1" si="135"/>
        <v>1.7001879943196498E-3</v>
      </c>
      <c r="AE164" s="1"/>
      <c r="AF164" s="1">
        <f t="shared" ca="1" si="136"/>
        <v>0.23195422099558966</v>
      </c>
      <c r="AG164" s="1">
        <f t="shared" ca="1" si="137"/>
        <v>619</v>
      </c>
      <c r="AH164" s="1">
        <f t="shared" ca="1" si="138"/>
        <v>6.5212807141746456E-3</v>
      </c>
      <c r="AJ164" s="1">
        <f t="shared" ca="1" si="139"/>
        <v>0.35835724574395966</v>
      </c>
      <c r="AK164" s="1">
        <f t="shared" ca="1" si="140"/>
        <v>3.7638761531922429E-3</v>
      </c>
      <c r="AL164" s="1"/>
      <c r="AM164" s="1">
        <f t="shared" ca="1" si="141"/>
        <v>1.2224470740580709E-2</v>
      </c>
      <c r="AN164" s="1">
        <f t="shared" ca="1" si="142"/>
        <v>40</v>
      </c>
      <c r="AO164" s="1">
        <f t="shared" ca="1" si="143"/>
        <v>2</v>
      </c>
      <c r="AQ164" s="1">
        <f t="shared" ca="1" si="144"/>
        <v>12</v>
      </c>
      <c r="AR164" s="1">
        <f t="shared" ca="1" si="145"/>
        <v>0</v>
      </c>
      <c r="AS164" s="1">
        <f t="shared" ca="1" si="146"/>
        <v>100</v>
      </c>
      <c r="AU164" s="1">
        <f t="shared" ca="1" si="147"/>
        <v>106</v>
      </c>
      <c r="AV164" s="1">
        <f t="shared" ca="1" si="148"/>
        <v>3</v>
      </c>
      <c r="AW164" s="1">
        <f t="shared" ca="1" si="149"/>
        <v>8.3371161667330704E-2</v>
      </c>
      <c r="AY164" s="1">
        <f t="shared" ca="1" si="150"/>
        <v>1.3696693843700842</v>
      </c>
      <c r="AZ164" s="1">
        <f t="shared" ca="1" si="151"/>
        <v>65</v>
      </c>
      <c r="BA164" s="1">
        <f t="shared" ca="1" si="152"/>
        <v>6.5696989615774068E-3</v>
      </c>
      <c r="BV164" s="1">
        <f t="shared" ca="1" si="153"/>
        <v>0.45240774199819955</v>
      </c>
      <c r="BW164" s="1">
        <f t="shared" ca="1" si="154"/>
        <v>817</v>
      </c>
      <c r="BX164" s="1">
        <f t="shared" ca="1" si="155"/>
        <v>6.8358370083250984E-3</v>
      </c>
      <c r="BY164" s="1">
        <f t="shared" ca="1" si="156"/>
        <v>9.9410949860082629E-2</v>
      </c>
      <c r="BZ164" s="1">
        <f t="shared" ca="1" si="157"/>
        <v>0.59571733492440782</v>
      </c>
      <c r="CB164" s="1">
        <f t="shared" ca="1" si="158"/>
        <v>387</v>
      </c>
      <c r="CC164" s="1">
        <f t="shared" ca="1" si="159"/>
        <v>5</v>
      </c>
      <c r="CD164" s="1">
        <f t="shared" ca="1" si="160"/>
        <v>0.27912037130145922</v>
      </c>
      <c r="CE164" s="1">
        <f t="shared" ref="CE164:CF202" ca="1" si="170">RAND()*(1-0.5)+0.5</f>
        <v>0.92544696745818156</v>
      </c>
      <c r="CF164" s="1">
        <f t="shared" ca="1" si="170"/>
        <v>0.94547749299565698</v>
      </c>
      <c r="CH164" s="3">
        <f t="shared" ca="1" si="162"/>
        <v>0.17974880488668296</v>
      </c>
      <c r="CI164" s="3">
        <f t="shared" ca="1" si="163"/>
        <v>0.30759881300572861</v>
      </c>
      <c r="CJ164" s="3">
        <f t="shared" ca="1" si="164"/>
        <v>855</v>
      </c>
      <c r="CK164" s="3">
        <f t="shared" ca="1" si="165"/>
        <v>4.7342135457615866E-4</v>
      </c>
      <c r="CL164" s="3">
        <f t="shared" ca="1" si="166"/>
        <v>1</v>
      </c>
      <c r="CM164" s="3"/>
      <c r="CN164" s="1">
        <f t="shared" ca="1" si="167"/>
        <v>13.621531850902619</v>
      </c>
      <c r="CO164" s="1">
        <f t="shared" ca="1" si="168"/>
        <v>1.6437414027627797E-3</v>
      </c>
      <c r="CP164" s="1">
        <f t="shared" ca="1" si="169"/>
        <v>4</v>
      </c>
    </row>
    <row r="165" spans="2:94" x14ac:dyDescent="0.25">
      <c r="B165">
        <f t="shared" ca="1" si="114"/>
        <v>801</v>
      </c>
      <c r="C165">
        <f t="shared" ca="1" si="115"/>
        <v>29</v>
      </c>
      <c r="D165">
        <f t="shared" ca="1" si="116"/>
        <v>8.5722784860531226E-2</v>
      </c>
      <c r="F165" s="1">
        <f t="shared" ca="1" si="117"/>
        <v>2</v>
      </c>
      <c r="G165" s="1">
        <f t="shared" ca="1" si="118"/>
        <v>6</v>
      </c>
      <c r="H165" s="1">
        <f t="shared" ca="1" si="119"/>
        <v>2</v>
      </c>
      <c r="I165" s="1"/>
      <c r="J165" s="1">
        <f t="shared" ca="1" si="120"/>
        <v>32</v>
      </c>
      <c r="K165" s="1">
        <f t="shared" ca="1" si="121"/>
        <v>1.8426623026755387</v>
      </c>
      <c r="L165" s="1">
        <f t="shared" ca="1" si="122"/>
        <v>29</v>
      </c>
      <c r="M165" s="1"/>
      <c r="N165" s="1">
        <f t="shared" ca="1" si="123"/>
        <v>742</v>
      </c>
      <c r="O165" s="1">
        <f t="shared" ca="1" si="124"/>
        <v>43</v>
      </c>
      <c r="P165" s="1"/>
      <c r="Q165" s="1">
        <f t="shared" ca="1" si="125"/>
        <v>1.9808865549231152</v>
      </c>
      <c r="R165" s="1">
        <f t="shared" ca="1" si="126"/>
        <v>405</v>
      </c>
      <c r="S165" s="1"/>
      <c r="T165" s="1">
        <f t="shared" ca="1" si="127"/>
        <v>0.12962046646643721</v>
      </c>
      <c r="U165" s="1">
        <f t="shared" ca="1" si="128"/>
        <v>156</v>
      </c>
      <c r="V165" s="1">
        <f t="shared" ca="1" si="129"/>
        <v>44</v>
      </c>
      <c r="W165" s="1"/>
      <c r="X165" s="1">
        <f t="shared" ca="1" si="130"/>
        <v>4.683202341667859</v>
      </c>
      <c r="Y165" s="1">
        <f t="shared" ca="1" si="131"/>
        <v>0.98134314342466622</v>
      </c>
      <c r="Z165" s="1">
        <f t="shared" ca="1" si="132"/>
        <v>1402</v>
      </c>
      <c r="AB165" s="1">
        <f t="shared" ca="1" si="133"/>
        <v>0.8490886559719858</v>
      </c>
      <c r="AC165" s="1">
        <f t="shared" ca="1" si="134"/>
        <v>405</v>
      </c>
      <c r="AD165" s="1">
        <f t="shared" ca="1" si="135"/>
        <v>2.9502374351500801E-3</v>
      </c>
      <c r="AE165" s="1"/>
      <c r="AF165" s="1">
        <f t="shared" ca="1" si="136"/>
        <v>0.5932498156737801</v>
      </c>
      <c r="AG165" s="1">
        <f t="shared" ca="1" si="137"/>
        <v>716</v>
      </c>
      <c r="AH165" s="1">
        <f t="shared" ca="1" si="138"/>
        <v>2.2656560006459685E-3</v>
      </c>
      <c r="AJ165" s="1">
        <f t="shared" ca="1" si="139"/>
        <v>0.3631508486189865</v>
      </c>
      <c r="AK165" s="1">
        <f t="shared" ca="1" si="140"/>
        <v>1.2941278126141376E-3</v>
      </c>
      <c r="AL165" s="1"/>
      <c r="AM165" s="1">
        <f t="shared" ca="1" si="141"/>
        <v>0.16881133160906583</v>
      </c>
      <c r="AN165" s="1">
        <f t="shared" ca="1" si="142"/>
        <v>54</v>
      </c>
      <c r="AO165" s="1">
        <f t="shared" ca="1" si="143"/>
        <v>3</v>
      </c>
      <c r="AQ165" s="1">
        <f t="shared" ca="1" si="144"/>
        <v>154</v>
      </c>
      <c r="AR165" s="1">
        <f t="shared" ca="1" si="145"/>
        <v>9</v>
      </c>
      <c r="AS165" s="1">
        <f t="shared" ca="1" si="146"/>
        <v>32</v>
      </c>
      <c r="AU165" s="1">
        <f t="shared" ca="1" si="147"/>
        <v>255</v>
      </c>
      <c r="AV165" s="1">
        <f t="shared" ca="1" si="148"/>
        <v>10</v>
      </c>
      <c r="AW165" s="1">
        <f t="shared" ca="1" si="149"/>
        <v>0.10109184658467642</v>
      </c>
      <c r="AY165" s="1">
        <f t="shared" ca="1" si="150"/>
        <v>1.724004432679429</v>
      </c>
      <c r="AZ165" s="1">
        <f t="shared" ca="1" si="151"/>
        <v>438</v>
      </c>
      <c r="BA165" s="1">
        <f t="shared" ca="1" si="152"/>
        <v>7.370979429966901E-4</v>
      </c>
      <c r="BV165" s="1">
        <f t="shared" ca="1" si="153"/>
        <v>0.91516225059459111</v>
      </c>
      <c r="BW165" s="1">
        <f t="shared" ca="1" si="154"/>
        <v>511</v>
      </c>
      <c r="BX165" s="1">
        <f t="shared" ca="1" si="155"/>
        <v>2.8149738815349309E-4</v>
      </c>
      <c r="BY165" s="1">
        <f t="shared" ca="1" si="156"/>
        <v>7.9899274842856041E-2</v>
      </c>
      <c r="BZ165" s="1">
        <f t="shared" ca="1" si="157"/>
        <v>0.66963880740471715</v>
      </c>
      <c r="CB165" s="1">
        <f t="shared" ca="1" si="158"/>
        <v>420</v>
      </c>
      <c r="CC165" s="1">
        <f t="shared" ca="1" si="159"/>
        <v>4</v>
      </c>
      <c r="CD165" s="1">
        <f t="shared" ca="1" si="160"/>
        <v>0.29661487234127287</v>
      </c>
      <c r="CE165" s="1">
        <f t="shared" ca="1" si="170"/>
        <v>0.69149171454526348</v>
      </c>
      <c r="CF165" s="1">
        <f t="shared" ca="1" si="170"/>
        <v>0.89067368266787827</v>
      </c>
      <c r="CH165" s="3">
        <f t="shared" ca="1" si="162"/>
        <v>0.47874018165234083</v>
      </c>
      <c r="CI165" s="3">
        <f t="shared" ca="1" si="163"/>
        <v>0.67110950688500937</v>
      </c>
      <c r="CJ165" s="3">
        <f t="shared" ca="1" si="164"/>
        <v>1276</v>
      </c>
      <c r="CK165" s="3">
        <f t="shared" ca="1" si="165"/>
        <v>6.3893661912045024E-3</v>
      </c>
      <c r="CL165" s="3">
        <f t="shared" ca="1" si="166"/>
        <v>1</v>
      </c>
      <c r="CM165" s="3"/>
      <c r="CN165" s="1">
        <f t="shared" ca="1" si="167"/>
        <v>19.460715571146853</v>
      </c>
      <c r="CO165" s="1">
        <f t="shared" ca="1" si="168"/>
        <v>0.43727591403539084</v>
      </c>
      <c r="CP165" s="1">
        <f t="shared" ca="1" si="169"/>
        <v>4</v>
      </c>
    </row>
    <row r="166" spans="2:94" x14ac:dyDescent="0.25">
      <c r="B166">
        <f t="shared" ca="1" si="114"/>
        <v>796</v>
      </c>
      <c r="C166">
        <f t="shared" ca="1" si="115"/>
        <v>42</v>
      </c>
      <c r="D166">
        <f t="shared" ca="1" si="116"/>
        <v>0.13851621949061418</v>
      </c>
      <c r="F166" s="1">
        <f t="shared" ca="1" si="117"/>
        <v>8</v>
      </c>
      <c r="G166" s="1">
        <f t="shared" ca="1" si="118"/>
        <v>14</v>
      </c>
      <c r="H166" s="1">
        <f t="shared" ca="1" si="119"/>
        <v>3</v>
      </c>
      <c r="I166" s="1"/>
      <c r="J166" s="1">
        <f t="shared" ca="1" si="120"/>
        <v>18</v>
      </c>
      <c r="K166" s="1">
        <f t="shared" ca="1" si="121"/>
        <v>2.1859226728582266</v>
      </c>
      <c r="L166" s="1">
        <f t="shared" ca="1" si="122"/>
        <v>12</v>
      </c>
      <c r="M166" s="1"/>
      <c r="N166" s="1">
        <f t="shared" ca="1" si="123"/>
        <v>947</v>
      </c>
      <c r="O166" s="1">
        <f t="shared" ca="1" si="124"/>
        <v>49</v>
      </c>
      <c r="P166" s="1"/>
      <c r="Q166" s="1">
        <f t="shared" ca="1" si="125"/>
        <v>4.4171606226561684</v>
      </c>
      <c r="R166" s="1">
        <f t="shared" ca="1" si="126"/>
        <v>250</v>
      </c>
      <c r="S166" s="1"/>
      <c r="T166" s="1">
        <f t="shared" ca="1" si="127"/>
        <v>0.190382951434828</v>
      </c>
      <c r="U166" s="1">
        <f t="shared" ca="1" si="128"/>
        <v>276</v>
      </c>
      <c r="V166" s="1">
        <f t="shared" ca="1" si="129"/>
        <v>16</v>
      </c>
      <c r="W166" s="1"/>
      <c r="X166" s="1">
        <f t="shared" ca="1" si="130"/>
        <v>6.0733408971045959</v>
      </c>
      <c r="Y166" s="1">
        <f t="shared" ca="1" si="131"/>
        <v>0.17875228422759618</v>
      </c>
      <c r="Z166" s="1">
        <f t="shared" ca="1" si="132"/>
        <v>270</v>
      </c>
      <c r="AB166" s="1">
        <f t="shared" ca="1" si="133"/>
        <v>0.67326564228731389</v>
      </c>
      <c r="AC166" s="1">
        <f t="shared" ca="1" si="134"/>
        <v>924</v>
      </c>
      <c r="AD166" s="1">
        <f t="shared" ca="1" si="135"/>
        <v>6.7338770912370016E-3</v>
      </c>
      <c r="AE166" s="1"/>
      <c r="AF166" s="1">
        <f t="shared" ca="1" si="136"/>
        <v>0.11564283716812174</v>
      </c>
      <c r="AG166" s="1">
        <f t="shared" ca="1" si="137"/>
        <v>846</v>
      </c>
      <c r="AH166" s="1">
        <f t="shared" ca="1" si="138"/>
        <v>1.6542965766005325E-3</v>
      </c>
      <c r="AJ166" s="1">
        <f t="shared" ca="1" si="139"/>
        <v>0.59393628547604671</v>
      </c>
      <c r="AK166" s="1">
        <f t="shared" ca="1" si="140"/>
        <v>2.6402527718428731E-3</v>
      </c>
      <c r="AL166" s="1"/>
      <c r="AM166" s="1">
        <f t="shared" ca="1" si="141"/>
        <v>0.12362806528653841</v>
      </c>
      <c r="AN166" s="1">
        <f t="shared" ca="1" si="142"/>
        <v>79</v>
      </c>
      <c r="AO166" s="1">
        <f t="shared" ca="1" si="143"/>
        <v>0</v>
      </c>
      <c r="AQ166" s="1">
        <f t="shared" ca="1" si="144"/>
        <v>16</v>
      </c>
      <c r="AR166" s="1">
        <f t="shared" ca="1" si="145"/>
        <v>6</v>
      </c>
      <c r="AS166" s="1">
        <f t="shared" ca="1" si="146"/>
        <v>8</v>
      </c>
      <c r="AU166" s="1">
        <f t="shared" ca="1" si="147"/>
        <v>316</v>
      </c>
      <c r="AV166" s="1">
        <f t="shared" ca="1" si="148"/>
        <v>6</v>
      </c>
      <c r="AW166" s="1">
        <f t="shared" ca="1" si="149"/>
        <v>6.4650726594763314E-2</v>
      </c>
      <c r="AY166" s="1">
        <f t="shared" ca="1" si="150"/>
        <v>1.7768934774408276</v>
      </c>
      <c r="AZ166" s="1">
        <f t="shared" ca="1" si="151"/>
        <v>289</v>
      </c>
      <c r="BA166" s="1">
        <f t="shared" ca="1" si="152"/>
        <v>2.1052350403951339E-3</v>
      </c>
      <c r="BV166" s="1">
        <f t="shared" ca="1" si="153"/>
        <v>0.14117334715196436</v>
      </c>
      <c r="BW166" s="1">
        <f t="shared" ca="1" si="154"/>
        <v>247</v>
      </c>
      <c r="BX166" s="1">
        <f t="shared" ca="1" si="155"/>
        <v>8.7582518714719327E-3</v>
      </c>
      <c r="BY166" s="1">
        <f t="shared" ca="1" si="156"/>
        <v>9.50081076496095E-2</v>
      </c>
      <c r="BZ166" s="1">
        <f t="shared" ca="1" si="157"/>
        <v>0.26009244164088841</v>
      </c>
      <c r="CB166" s="1">
        <f t="shared" ca="1" si="158"/>
        <v>369</v>
      </c>
      <c r="CC166" s="1">
        <f t="shared" ca="1" si="159"/>
        <v>8</v>
      </c>
      <c r="CD166" s="1">
        <f t="shared" ca="1" si="160"/>
        <v>6.6559566088840741E-2</v>
      </c>
      <c r="CE166" s="1">
        <f t="shared" ca="1" si="170"/>
        <v>0.60429086878365523</v>
      </c>
      <c r="CF166" s="1">
        <f t="shared" ca="1" si="170"/>
        <v>0.85116130871874973</v>
      </c>
      <c r="CH166" s="3">
        <f t="shared" ca="1" si="162"/>
        <v>0.78176915696794325</v>
      </c>
      <c r="CI166" s="3">
        <f t="shared" ca="1" si="163"/>
        <v>0.88851631893689109</v>
      </c>
      <c r="CJ166" s="3">
        <f t="shared" ca="1" si="164"/>
        <v>1919</v>
      </c>
      <c r="CK166" s="3">
        <f t="shared" ca="1" si="165"/>
        <v>3.5559141195620552E-4</v>
      </c>
      <c r="CL166" s="3">
        <f t="shared" ca="1" si="166"/>
        <v>1</v>
      </c>
      <c r="CM166" s="3"/>
      <c r="CN166" s="1">
        <f t="shared" ca="1" si="167"/>
        <v>13.701002438975101</v>
      </c>
      <c r="CO166" s="1">
        <f t="shared" ca="1" si="168"/>
        <v>0.44617611085856368</v>
      </c>
      <c r="CP166" s="1">
        <f t="shared" ca="1" si="169"/>
        <v>2</v>
      </c>
    </row>
    <row r="167" spans="2:94" x14ac:dyDescent="0.25">
      <c r="B167">
        <f t="shared" ca="1" si="114"/>
        <v>291</v>
      </c>
      <c r="C167">
        <f t="shared" ca="1" si="115"/>
        <v>20</v>
      </c>
      <c r="D167">
        <f t="shared" ca="1" si="116"/>
        <v>0.25662516978907479</v>
      </c>
      <c r="F167" s="1">
        <f t="shared" ca="1" si="117"/>
        <v>6</v>
      </c>
      <c r="G167" s="1">
        <f t="shared" ca="1" si="118"/>
        <v>20</v>
      </c>
      <c r="H167" s="1">
        <f t="shared" ca="1" si="119"/>
        <v>9</v>
      </c>
      <c r="I167" s="1"/>
      <c r="J167" s="1">
        <f t="shared" ca="1" si="120"/>
        <v>30</v>
      </c>
      <c r="K167" s="1">
        <f t="shared" ca="1" si="121"/>
        <v>1.039722913028148</v>
      </c>
      <c r="L167" s="1">
        <f t="shared" ca="1" si="122"/>
        <v>5</v>
      </c>
      <c r="M167" s="1"/>
      <c r="N167" s="1">
        <f t="shared" ca="1" si="123"/>
        <v>97</v>
      </c>
      <c r="O167" s="1">
        <f t="shared" ca="1" si="124"/>
        <v>36</v>
      </c>
      <c r="P167" s="1"/>
      <c r="Q167" s="1">
        <f t="shared" ca="1" si="125"/>
        <v>4.504957333164461E-2</v>
      </c>
      <c r="R167" s="1">
        <f t="shared" ca="1" si="126"/>
        <v>659</v>
      </c>
      <c r="S167" s="1"/>
      <c r="T167" s="1">
        <f t="shared" ca="1" si="127"/>
        <v>8.1077703911652615E-2</v>
      </c>
      <c r="U167" s="1">
        <f t="shared" ca="1" si="128"/>
        <v>287</v>
      </c>
      <c r="V167" s="1">
        <f t="shared" ca="1" si="129"/>
        <v>21</v>
      </c>
      <c r="W167" s="1"/>
      <c r="X167" s="1">
        <f t="shared" ca="1" si="130"/>
        <v>5.4937272115238924</v>
      </c>
      <c r="Y167" s="1">
        <f t="shared" ca="1" si="131"/>
        <v>0.90423552890994985</v>
      </c>
      <c r="Z167" s="1">
        <f t="shared" ca="1" si="132"/>
        <v>490</v>
      </c>
      <c r="AB167" s="1">
        <f t="shared" ca="1" si="133"/>
        <v>0.20724070491588248</v>
      </c>
      <c r="AC167" s="1">
        <f t="shared" ca="1" si="134"/>
        <v>873</v>
      </c>
      <c r="AD167" s="1">
        <f t="shared" ca="1" si="135"/>
        <v>6.8672924471193551E-3</v>
      </c>
      <c r="AE167" s="1"/>
      <c r="AF167" s="1">
        <f t="shared" ca="1" si="136"/>
        <v>0.46443015006250465</v>
      </c>
      <c r="AG167" s="1">
        <f t="shared" ca="1" si="137"/>
        <v>845</v>
      </c>
      <c r="AH167" s="1">
        <f t="shared" ca="1" si="138"/>
        <v>7.0673775608814833E-3</v>
      </c>
      <c r="AJ167" s="1">
        <f t="shared" ca="1" si="139"/>
        <v>0.98765167739316095</v>
      </c>
      <c r="AK167" s="1">
        <f t="shared" ca="1" si="140"/>
        <v>2.2330245837521873E-3</v>
      </c>
      <c r="AL167" s="1"/>
      <c r="AM167" s="1">
        <f t="shared" ca="1" si="141"/>
        <v>1.4487513640668401E-2</v>
      </c>
      <c r="AN167" s="1">
        <f t="shared" ca="1" si="142"/>
        <v>54</v>
      </c>
      <c r="AO167" s="1">
        <f t="shared" ca="1" si="143"/>
        <v>10</v>
      </c>
      <c r="AQ167" s="1">
        <f t="shared" ca="1" si="144"/>
        <v>167</v>
      </c>
      <c r="AR167" s="1">
        <f t="shared" ca="1" si="145"/>
        <v>1</v>
      </c>
      <c r="AS167" s="1">
        <f t="shared" ca="1" si="146"/>
        <v>14</v>
      </c>
      <c r="AU167" s="1">
        <f t="shared" ca="1" si="147"/>
        <v>389</v>
      </c>
      <c r="AV167" s="1">
        <f t="shared" ca="1" si="148"/>
        <v>4</v>
      </c>
      <c r="AW167" s="1">
        <f t="shared" ca="1" si="149"/>
        <v>0.12393769785979139</v>
      </c>
      <c r="AY167" s="1">
        <f t="shared" ca="1" si="150"/>
        <v>1.4380133078840647</v>
      </c>
      <c r="AZ167" s="1">
        <f t="shared" ca="1" si="151"/>
        <v>113</v>
      </c>
      <c r="BA167" s="1">
        <f t="shared" ca="1" si="152"/>
        <v>6.9729218893000754E-3</v>
      </c>
      <c r="BV167" s="1">
        <f t="shared" ca="1" si="153"/>
        <v>0.82023980683311404</v>
      </c>
      <c r="BW167" s="1">
        <f t="shared" ca="1" si="154"/>
        <v>969</v>
      </c>
      <c r="BX167" s="1">
        <f t="shared" ca="1" si="155"/>
        <v>1.94916927873093E-3</v>
      </c>
      <c r="BY167" s="1">
        <f t="shared" ca="1" si="156"/>
        <v>4.3353770699142209E-2</v>
      </c>
      <c r="BZ167" s="1">
        <f t="shared" ca="1" si="157"/>
        <v>2.2218942215155302E-2</v>
      </c>
      <c r="CB167" s="1">
        <f t="shared" ca="1" si="158"/>
        <v>446</v>
      </c>
      <c r="CC167" s="1">
        <f t="shared" ca="1" si="159"/>
        <v>12</v>
      </c>
      <c r="CD167" s="1">
        <f t="shared" ca="1" si="160"/>
        <v>8.4529771237930901E-2</v>
      </c>
      <c r="CE167" s="1">
        <f t="shared" ca="1" si="170"/>
        <v>0.76393858322248898</v>
      </c>
      <c r="CF167" s="1">
        <f t="shared" ca="1" si="170"/>
        <v>0.77541136829014534</v>
      </c>
      <c r="CH167" s="3">
        <f t="shared" ca="1" si="162"/>
        <v>0.24809726658621475</v>
      </c>
      <c r="CI167" s="3">
        <f t="shared" ca="1" si="163"/>
        <v>7.4460716123691567E-2</v>
      </c>
      <c r="CJ167" s="3">
        <f t="shared" ca="1" si="164"/>
        <v>642</v>
      </c>
      <c r="CK167" s="3">
        <f t="shared" ca="1" si="165"/>
        <v>7.8402108470072146E-4</v>
      </c>
      <c r="CL167" s="3">
        <f t="shared" ca="1" si="166"/>
        <v>0</v>
      </c>
      <c r="CM167" s="3"/>
      <c r="CN167" s="1">
        <f t="shared" ca="1" si="167"/>
        <v>12.317779371135876</v>
      </c>
      <c r="CO167" s="1">
        <f t="shared" ca="1" si="168"/>
        <v>0.20195663804930108</v>
      </c>
      <c r="CP167" s="1">
        <f t="shared" ca="1" si="169"/>
        <v>1</v>
      </c>
    </row>
    <row r="168" spans="2:94" x14ac:dyDescent="0.25">
      <c r="B168">
        <f t="shared" ca="1" si="114"/>
        <v>828</v>
      </c>
      <c r="C168">
        <f t="shared" ca="1" si="115"/>
        <v>14</v>
      </c>
      <c r="D168">
        <f t="shared" ca="1" si="116"/>
        <v>0.17343898444889369</v>
      </c>
      <c r="F168" s="1">
        <f t="shared" ca="1" si="117"/>
        <v>16</v>
      </c>
      <c r="G168" s="1">
        <f t="shared" ca="1" si="118"/>
        <v>11</v>
      </c>
      <c r="H168" s="1">
        <f t="shared" ca="1" si="119"/>
        <v>11</v>
      </c>
      <c r="I168" s="1"/>
      <c r="J168" s="1">
        <f t="shared" ca="1" si="120"/>
        <v>23</v>
      </c>
      <c r="K168" s="1">
        <f t="shared" ca="1" si="121"/>
        <v>1.5770383134233068</v>
      </c>
      <c r="L168" s="1">
        <f t="shared" ca="1" si="122"/>
        <v>25</v>
      </c>
      <c r="M168" s="1"/>
      <c r="N168" s="1">
        <f t="shared" ca="1" si="123"/>
        <v>925</v>
      </c>
      <c r="O168" s="1">
        <f t="shared" ca="1" si="124"/>
        <v>20</v>
      </c>
      <c r="P168" s="1"/>
      <c r="Q168" s="1">
        <f t="shared" ca="1" si="125"/>
        <v>4.730821007473839</v>
      </c>
      <c r="R168" s="1">
        <f t="shared" ca="1" si="126"/>
        <v>447</v>
      </c>
      <c r="S168" s="1"/>
      <c r="T168" s="1">
        <f t="shared" ca="1" si="127"/>
        <v>9.6619637818375487E-2</v>
      </c>
      <c r="U168" s="1">
        <f t="shared" ca="1" si="128"/>
        <v>375</v>
      </c>
      <c r="V168" s="1">
        <f t="shared" ca="1" si="129"/>
        <v>28</v>
      </c>
      <c r="W168" s="1"/>
      <c r="X168" s="1">
        <f t="shared" ca="1" si="130"/>
        <v>9.7206857325063272</v>
      </c>
      <c r="Y168" s="1">
        <f t="shared" ca="1" si="131"/>
        <v>0.57847826271423797</v>
      </c>
      <c r="Z168" s="1">
        <f t="shared" ca="1" si="132"/>
        <v>276</v>
      </c>
      <c r="AB168" s="1">
        <f t="shared" ca="1" si="133"/>
        <v>0.90423613279415005</v>
      </c>
      <c r="AC168" s="1">
        <f t="shared" ca="1" si="134"/>
        <v>178</v>
      </c>
      <c r="AD168" s="1">
        <f t="shared" ca="1" si="135"/>
        <v>1.4358470338709881E-3</v>
      </c>
      <c r="AE168" s="1"/>
      <c r="AF168" s="1">
        <f t="shared" ca="1" si="136"/>
        <v>0.11470926337419618</v>
      </c>
      <c r="AG168" s="1">
        <f t="shared" ca="1" si="137"/>
        <v>237</v>
      </c>
      <c r="AH168" s="1">
        <f t="shared" ca="1" si="138"/>
        <v>6.8907679464667608E-3</v>
      </c>
      <c r="AJ168" s="1">
        <f t="shared" ca="1" si="139"/>
        <v>0.92549443656956876</v>
      </c>
      <c r="AK168" s="1">
        <f t="shared" ca="1" si="140"/>
        <v>7.3404792841067828E-3</v>
      </c>
      <c r="AL168" s="1"/>
      <c r="AM168" s="1">
        <f t="shared" ca="1" si="141"/>
        <v>0.17022983057055571</v>
      </c>
      <c r="AN168" s="1">
        <f t="shared" ca="1" si="142"/>
        <v>12</v>
      </c>
      <c r="AO168" s="1">
        <f t="shared" ca="1" si="143"/>
        <v>6</v>
      </c>
      <c r="AQ168" s="1">
        <f t="shared" ca="1" si="144"/>
        <v>155</v>
      </c>
      <c r="AR168" s="1">
        <f t="shared" ca="1" si="145"/>
        <v>6</v>
      </c>
      <c r="AS168" s="1">
        <f t="shared" ca="1" si="146"/>
        <v>83</v>
      </c>
      <c r="AU168" s="1">
        <f t="shared" ca="1" si="147"/>
        <v>226</v>
      </c>
      <c r="AV168" s="1">
        <f t="shared" ca="1" si="148"/>
        <v>10</v>
      </c>
      <c r="AW168" s="1">
        <f t="shared" ca="1" si="149"/>
        <v>2.6959308551162214E-2</v>
      </c>
      <c r="AY168" s="1">
        <f t="shared" ca="1" si="150"/>
        <v>1.411551555807447</v>
      </c>
      <c r="AZ168" s="1">
        <f t="shared" ca="1" si="151"/>
        <v>64</v>
      </c>
      <c r="BA168" s="1">
        <f t="shared" ca="1" si="152"/>
        <v>4.0459110007282891E-3</v>
      </c>
      <c r="BV168" s="1">
        <f t="shared" ca="1" si="153"/>
        <v>1.5404460956537441E-2</v>
      </c>
      <c r="BW168" s="1">
        <f t="shared" ca="1" si="154"/>
        <v>822</v>
      </c>
      <c r="BX168" s="1">
        <f t="shared" ca="1" si="155"/>
        <v>4.8536394609957458E-3</v>
      </c>
      <c r="BY168" s="1">
        <f t="shared" ca="1" si="156"/>
        <v>3.645934485983611E-2</v>
      </c>
      <c r="BZ168" s="1">
        <f t="shared" ca="1" si="157"/>
        <v>0.85060448815992162</v>
      </c>
      <c r="CB168" s="1">
        <f t="shared" ca="1" si="158"/>
        <v>94</v>
      </c>
      <c r="CC168" s="1">
        <f t="shared" ca="1" si="159"/>
        <v>12</v>
      </c>
      <c r="CD168" s="1">
        <f t="shared" ca="1" si="160"/>
        <v>0.21521968532172212</v>
      </c>
      <c r="CE168" s="1">
        <f t="shared" ca="1" si="170"/>
        <v>0.51811628543102639</v>
      </c>
      <c r="CF168" s="1">
        <f t="shared" ca="1" si="170"/>
        <v>0.52153155189503475</v>
      </c>
      <c r="CH168" s="3">
        <f t="shared" ca="1" si="162"/>
        <v>0.73430969736854357</v>
      </c>
      <c r="CI168" s="3">
        <f t="shared" ca="1" si="163"/>
        <v>0.11015232580502253</v>
      </c>
      <c r="CJ168" s="3">
        <f t="shared" ca="1" si="164"/>
        <v>1106</v>
      </c>
      <c r="CK168" s="3">
        <f t="shared" ca="1" si="165"/>
        <v>1.6829509529590165E-3</v>
      </c>
      <c r="CL168" s="3">
        <f t="shared" ca="1" si="166"/>
        <v>1</v>
      </c>
      <c r="CM168" s="3"/>
      <c r="CN168" s="1">
        <f t="shared" ca="1" si="167"/>
        <v>7.8975935637609647</v>
      </c>
      <c r="CO168" s="1">
        <f t="shared" ca="1" si="168"/>
        <v>0.24204419323762369</v>
      </c>
      <c r="CP168" s="1">
        <f t="shared" ca="1" si="169"/>
        <v>2</v>
      </c>
    </row>
    <row r="169" spans="2:94" x14ac:dyDescent="0.25">
      <c r="B169">
        <f t="shared" ca="1" si="114"/>
        <v>554</v>
      </c>
      <c r="C169">
        <f t="shared" ca="1" si="115"/>
        <v>23</v>
      </c>
      <c r="D169">
        <f t="shared" ca="1" si="116"/>
        <v>0.26160976762159971</v>
      </c>
      <c r="F169" s="1">
        <f t="shared" ca="1" si="117"/>
        <v>17</v>
      </c>
      <c r="G169" s="1">
        <f t="shared" ca="1" si="118"/>
        <v>19</v>
      </c>
      <c r="H169" s="1">
        <f t="shared" ca="1" si="119"/>
        <v>1</v>
      </c>
      <c r="I169" s="1"/>
      <c r="J169" s="1">
        <f t="shared" ca="1" si="120"/>
        <v>5</v>
      </c>
      <c r="K169" s="1">
        <f t="shared" ca="1" si="121"/>
        <v>1.4770063728152649</v>
      </c>
      <c r="L169" s="1">
        <f t="shared" ca="1" si="122"/>
        <v>21</v>
      </c>
      <c r="M169" s="1"/>
      <c r="N169" s="1">
        <f t="shared" ca="1" si="123"/>
        <v>836</v>
      </c>
      <c r="O169" s="1">
        <f t="shared" ca="1" si="124"/>
        <v>50</v>
      </c>
      <c r="P169" s="1"/>
      <c r="Q169" s="1">
        <f t="shared" ca="1" si="125"/>
        <v>3.4814579695252594</v>
      </c>
      <c r="R169" s="1">
        <f t="shared" ca="1" si="126"/>
        <v>634</v>
      </c>
      <c r="S169" s="1"/>
      <c r="T169" s="1">
        <f t="shared" ca="1" si="127"/>
        <v>1.9200103530888808E-2</v>
      </c>
      <c r="U169" s="1">
        <f t="shared" ca="1" si="128"/>
        <v>151</v>
      </c>
      <c r="V169" s="1">
        <f t="shared" ca="1" si="129"/>
        <v>23</v>
      </c>
      <c r="W169" s="1"/>
      <c r="X169" s="1">
        <f t="shared" ca="1" si="130"/>
        <v>9.3108833870834662</v>
      </c>
      <c r="Y169" s="1">
        <f t="shared" ca="1" si="131"/>
        <v>0.56945136188280931</v>
      </c>
      <c r="Z169" s="1">
        <f t="shared" ca="1" si="132"/>
        <v>326</v>
      </c>
      <c r="AB169" s="1">
        <f t="shared" ca="1" si="133"/>
        <v>0.38289136160226983</v>
      </c>
      <c r="AC169" s="1">
        <f t="shared" ca="1" si="134"/>
        <v>223</v>
      </c>
      <c r="AD169" s="1">
        <f t="shared" ca="1" si="135"/>
        <v>2.6132158821939905E-3</v>
      </c>
      <c r="AE169" s="1"/>
      <c r="AF169" s="1">
        <f t="shared" ca="1" si="136"/>
        <v>0.8867503297829481</v>
      </c>
      <c r="AG169" s="1">
        <f t="shared" ca="1" si="137"/>
        <v>178</v>
      </c>
      <c r="AH169" s="1">
        <f t="shared" ca="1" si="138"/>
        <v>3.7272040724717604E-3</v>
      </c>
      <c r="AJ169" s="1">
        <f t="shared" ca="1" si="139"/>
        <v>0.4591889572840826</v>
      </c>
      <c r="AK169" s="1">
        <f t="shared" ca="1" si="140"/>
        <v>6.1415626966840233E-4</v>
      </c>
      <c r="AL169" s="1"/>
      <c r="AM169" s="1">
        <f t="shared" ca="1" si="141"/>
        <v>9.2223092177777494E-2</v>
      </c>
      <c r="AN169" s="1">
        <f t="shared" ca="1" si="142"/>
        <v>23</v>
      </c>
      <c r="AO169" s="1">
        <f t="shared" ca="1" si="143"/>
        <v>5</v>
      </c>
      <c r="AQ169" s="1">
        <f t="shared" ca="1" si="144"/>
        <v>64</v>
      </c>
      <c r="AR169" s="1">
        <f t="shared" ca="1" si="145"/>
        <v>9</v>
      </c>
      <c r="AS169" s="1">
        <f t="shared" ca="1" si="146"/>
        <v>22</v>
      </c>
      <c r="AU169" s="1">
        <f t="shared" ca="1" si="147"/>
        <v>232</v>
      </c>
      <c r="AV169" s="1">
        <f t="shared" ca="1" si="148"/>
        <v>6</v>
      </c>
      <c r="AW169" s="1">
        <f t="shared" ca="1" si="149"/>
        <v>8.3433878008805792E-2</v>
      </c>
      <c r="AY169" s="1">
        <f t="shared" ca="1" si="150"/>
        <v>1.4233581758754921</v>
      </c>
      <c r="AZ169" s="1">
        <f t="shared" ca="1" si="151"/>
        <v>388</v>
      </c>
      <c r="BA169" s="1">
        <f t="shared" ca="1" si="152"/>
        <v>6.327196548020819E-3</v>
      </c>
      <c r="BV169" s="1">
        <f t="shared" ca="1" si="153"/>
        <v>0.91659435133957723</v>
      </c>
      <c r="BW169" s="1">
        <f t="shared" ca="1" si="154"/>
        <v>454</v>
      </c>
      <c r="BX169" s="1">
        <f t="shared" ca="1" si="155"/>
        <v>1.2911807109426746E-3</v>
      </c>
      <c r="BY169" s="1">
        <f t="shared" ca="1" si="156"/>
        <v>8.4027821564378352E-2</v>
      </c>
      <c r="BZ169" s="1">
        <f t="shared" ca="1" si="157"/>
        <v>0.78545438256743205</v>
      </c>
      <c r="CB169" s="1">
        <f t="shared" ca="1" si="158"/>
        <v>179</v>
      </c>
      <c r="CC169" s="1">
        <f t="shared" ca="1" si="159"/>
        <v>5</v>
      </c>
      <c r="CD169" s="1">
        <f t="shared" ca="1" si="160"/>
        <v>8.2301679078204459E-2</v>
      </c>
      <c r="CE169" s="1">
        <f t="shared" ca="1" si="170"/>
        <v>0.84777569996555346</v>
      </c>
      <c r="CF169" s="1">
        <f t="shared" ca="1" si="170"/>
        <v>0.94756475550532393</v>
      </c>
      <c r="CH169" s="3">
        <f t="shared" ca="1" si="162"/>
        <v>0.57175057393320172</v>
      </c>
      <c r="CI169" s="3">
        <f t="shared" ca="1" si="163"/>
        <v>0.70404081634999438</v>
      </c>
      <c r="CJ169" s="3">
        <f t="shared" ca="1" si="164"/>
        <v>1684</v>
      </c>
      <c r="CK169" s="3">
        <f t="shared" ca="1" si="165"/>
        <v>4.5308335108848691E-4</v>
      </c>
      <c r="CL169" s="3">
        <f t="shared" ca="1" si="166"/>
        <v>1</v>
      </c>
      <c r="CM169" s="3"/>
      <c r="CN169" s="1">
        <f t="shared" ca="1" si="167"/>
        <v>9.2453848815243749</v>
      </c>
      <c r="CO169" s="1">
        <f t="shared" ca="1" si="168"/>
        <v>0.26751915999603365</v>
      </c>
      <c r="CP169" s="1">
        <f t="shared" ca="1" si="169"/>
        <v>5</v>
      </c>
    </row>
    <row r="170" spans="2:94" x14ac:dyDescent="0.25">
      <c r="B170">
        <f t="shared" ca="1" si="114"/>
        <v>279</v>
      </c>
      <c r="C170">
        <f t="shared" ca="1" si="115"/>
        <v>11</v>
      </c>
      <c r="D170">
        <f t="shared" ca="1" si="116"/>
        <v>0.13632333059801463</v>
      </c>
      <c r="F170" s="1">
        <f t="shared" ca="1" si="117"/>
        <v>16</v>
      </c>
      <c r="G170" s="1">
        <f t="shared" ca="1" si="118"/>
        <v>16</v>
      </c>
      <c r="H170" s="1">
        <f t="shared" ca="1" si="119"/>
        <v>1</v>
      </c>
      <c r="I170" s="1"/>
      <c r="J170" s="1">
        <f t="shared" ca="1" si="120"/>
        <v>27</v>
      </c>
      <c r="K170" s="1">
        <f t="shared" ca="1" si="121"/>
        <v>1.491330624494267</v>
      </c>
      <c r="L170" s="1">
        <f t="shared" ca="1" si="122"/>
        <v>31</v>
      </c>
      <c r="M170" s="1"/>
      <c r="N170" s="1">
        <f t="shared" ca="1" si="123"/>
        <v>64</v>
      </c>
      <c r="O170" s="1">
        <f t="shared" ca="1" si="124"/>
        <v>45</v>
      </c>
      <c r="P170" s="1"/>
      <c r="Q170" s="1">
        <f t="shared" ca="1" si="125"/>
        <v>3.1532369259391189</v>
      </c>
      <c r="R170" s="1">
        <f t="shared" ca="1" si="126"/>
        <v>650</v>
      </c>
      <c r="S170" s="1"/>
      <c r="T170" s="1">
        <f t="shared" ca="1" si="127"/>
        <v>1.8675551162454555E-2</v>
      </c>
      <c r="U170" s="1">
        <f t="shared" ca="1" si="128"/>
        <v>358</v>
      </c>
      <c r="V170" s="1">
        <f t="shared" ca="1" si="129"/>
        <v>50</v>
      </c>
      <c r="W170" s="1"/>
      <c r="X170" s="1">
        <f t="shared" ca="1" si="130"/>
        <v>3.9622869682065511</v>
      </c>
      <c r="Y170" s="1">
        <f t="shared" ca="1" si="131"/>
        <v>0.76351787702851892</v>
      </c>
      <c r="Z170" s="1">
        <f t="shared" ca="1" si="132"/>
        <v>265</v>
      </c>
      <c r="AB170" s="1">
        <f t="shared" ca="1" si="133"/>
        <v>0.91557225512911267</v>
      </c>
      <c r="AC170" s="1">
        <f t="shared" ca="1" si="134"/>
        <v>658</v>
      </c>
      <c r="AD170" s="1">
        <f t="shared" ca="1" si="135"/>
        <v>8.6594107531627381E-3</v>
      </c>
      <c r="AE170" s="1"/>
      <c r="AF170" s="1">
        <f t="shared" ca="1" si="136"/>
        <v>0.67169939797612033</v>
      </c>
      <c r="AG170" s="1">
        <f t="shared" ca="1" si="137"/>
        <v>747</v>
      </c>
      <c r="AH170" s="1">
        <f t="shared" ca="1" si="138"/>
        <v>7.8122387165275682E-3</v>
      </c>
      <c r="AJ170" s="1">
        <f t="shared" ca="1" si="139"/>
        <v>8.2421033264515664E-2</v>
      </c>
      <c r="AK170" s="1">
        <f t="shared" ca="1" si="140"/>
        <v>2.7856027242243011E-3</v>
      </c>
      <c r="AL170" s="1"/>
      <c r="AM170" s="1">
        <f t="shared" ca="1" si="141"/>
        <v>7.8184261631744183E-3</v>
      </c>
      <c r="AN170" s="1">
        <f t="shared" ca="1" si="142"/>
        <v>76</v>
      </c>
      <c r="AO170" s="1">
        <f t="shared" ca="1" si="143"/>
        <v>16</v>
      </c>
      <c r="AQ170" s="1">
        <f t="shared" ca="1" si="144"/>
        <v>81</v>
      </c>
      <c r="AR170" s="1">
        <f t="shared" ca="1" si="145"/>
        <v>7</v>
      </c>
      <c r="AS170" s="1">
        <f t="shared" ca="1" si="146"/>
        <v>43</v>
      </c>
      <c r="AU170" s="1">
        <f t="shared" ca="1" si="147"/>
        <v>339</v>
      </c>
      <c r="AV170" s="1">
        <f t="shared" ca="1" si="148"/>
        <v>2</v>
      </c>
      <c r="AW170" s="1">
        <f t="shared" ca="1" si="149"/>
        <v>5.9954260468324867E-2</v>
      </c>
      <c r="AY170" s="1">
        <f t="shared" ca="1" si="150"/>
        <v>1.3238406784132688</v>
      </c>
      <c r="AZ170" s="1">
        <f t="shared" ca="1" si="151"/>
        <v>448</v>
      </c>
      <c r="BA170" s="1">
        <f t="shared" ca="1" si="152"/>
        <v>1.5548866857133911E-3</v>
      </c>
      <c r="BV170" s="1">
        <f t="shared" ca="1" si="153"/>
        <v>0.44777532831374456</v>
      </c>
      <c r="BW170" s="1">
        <f t="shared" ca="1" si="154"/>
        <v>957</v>
      </c>
      <c r="BX170" s="1">
        <f t="shared" ca="1" si="155"/>
        <v>1.8536716382264145E-3</v>
      </c>
      <c r="BY170" s="1">
        <f t="shared" ca="1" si="156"/>
        <v>6.3403606948938207E-2</v>
      </c>
      <c r="BZ170" s="1">
        <f t="shared" ca="1" si="157"/>
        <v>0.86237852928971859</v>
      </c>
      <c r="CB170" s="1">
        <f t="shared" ca="1" si="158"/>
        <v>86</v>
      </c>
      <c r="CC170" s="1">
        <f t="shared" ca="1" si="159"/>
        <v>5</v>
      </c>
      <c r="CD170" s="1">
        <f t="shared" ca="1" si="160"/>
        <v>2.6040236918903427E-2</v>
      </c>
      <c r="CE170" s="1">
        <f t="shared" ca="1" si="170"/>
        <v>0.8692742568145948</v>
      </c>
      <c r="CF170" s="1">
        <f t="shared" ca="1" si="170"/>
        <v>0.97150500357363379</v>
      </c>
      <c r="CH170" s="3">
        <f t="shared" ca="1" si="162"/>
        <v>0.26064982411553178</v>
      </c>
      <c r="CI170" s="3">
        <f t="shared" ca="1" si="163"/>
        <v>0.22078933628301955</v>
      </c>
      <c r="CJ170" s="3">
        <f t="shared" ca="1" si="164"/>
        <v>1790</v>
      </c>
      <c r="CK170" s="3">
        <f t="shared" ca="1" si="165"/>
        <v>2.0054304008692812E-3</v>
      </c>
      <c r="CL170" s="3">
        <f t="shared" ca="1" si="166"/>
        <v>0</v>
      </c>
      <c r="CM170" s="3"/>
      <c r="CN170" s="1">
        <f t="shared" ca="1" si="167"/>
        <v>14.970564170268258</v>
      </c>
      <c r="CO170" s="1">
        <f t="shared" ca="1" si="168"/>
        <v>0.18119976165082466</v>
      </c>
      <c r="CP170" s="1">
        <f t="shared" ca="1" si="169"/>
        <v>3</v>
      </c>
    </row>
    <row r="171" spans="2:94" x14ac:dyDescent="0.25">
      <c r="B171">
        <f t="shared" ca="1" si="114"/>
        <v>740</v>
      </c>
      <c r="C171">
        <f t="shared" ca="1" si="115"/>
        <v>16</v>
      </c>
      <c r="D171">
        <f t="shared" ca="1" si="116"/>
        <v>0.13053569211244395</v>
      </c>
      <c r="F171" s="1">
        <f t="shared" ca="1" si="117"/>
        <v>24</v>
      </c>
      <c r="G171" s="1">
        <f t="shared" ca="1" si="118"/>
        <v>29</v>
      </c>
      <c r="H171" s="1">
        <f t="shared" ca="1" si="119"/>
        <v>3</v>
      </c>
      <c r="I171" s="1"/>
      <c r="J171" s="1">
        <f t="shared" ca="1" si="120"/>
        <v>31</v>
      </c>
      <c r="K171" s="1">
        <f t="shared" ca="1" si="121"/>
        <v>1.7771327718743579</v>
      </c>
      <c r="L171" s="1">
        <f t="shared" ca="1" si="122"/>
        <v>7</v>
      </c>
      <c r="M171" s="1"/>
      <c r="N171" s="1">
        <f t="shared" ca="1" si="123"/>
        <v>741</v>
      </c>
      <c r="O171" s="1">
        <f t="shared" ca="1" si="124"/>
        <v>22</v>
      </c>
      <c r="P171" s="1"/>
      <c r="Q171" s="1">
        <f t="shared" ca="1" si="125"/>
        <v>3.5304749019919552</v>
      </c>
      <c r="R171" s="1">
        <f t="shared" ca="1" si="126"/>
        <v>234</v>
      </c>
      <c r="S171" s="1"/>
      <c r="T171" s="1">
        <f t="shared" ca="1" si="127"/>
        <v>3.5852625859234495E-2</v>
      </c>
      <c r="U171" s="1">
        <f t="shared" ca="1" si="128"/>
        <v>209</v>
      </c>
      <c r="V171" s="1">
        <f t="shared" ca="1" si="129"/>
        <v>34</v>
      </c>
      <c r="W171" s="1"/>
      <c r="X171" s="1">
        <f t="shared" ca="1" si="130"/>
        <v>6.2168041531553317</v>
      </c>
      <c r="Y171" s="1">
        <f t="shared" ca="1" si="131"/>
        <v>0.78350680636578862</v>
      </c>
      <c r="Z171" s="1">
        <f t="shared" ca="1" si="132"/>
        <v>167</v>
      </c>
      <c r="AB171" s="1">
        <f t="shared" ca="1" si="133"/>
        <v>0.5853575514703635</v>
      </c>
      <c r="AC171" s="1">
        <f t="shared" ca="1" si="134"/>
        <v>700</v>
      </c>
      <c r="AD171" s="1">
        <f t="shared" ca="1" si="135"/>
        <v>8.0009788524921435E-3</v>
      </c>
      <c r="AE171" s="1"/>
      <c r="AF171" s="1">
        <f t="shared" ca="1" si="136"/>
        <v>0.19080135059273637</v>
      </c>
      <c r="AG171" s="1">
        <f t="shared" ca="1" si="137"/>
        <v>721</v>
      </c>
      <c r="AH171" s="1">
        <f t="shared" ca="1" si="138"/>
        <v>9.1812712522451514E-3</v>
      </c>
      <c r="AJ171" s="1">
        <f t="shared" ca="1" si="139"/>
        <v>0.47333126140100312</v>
      </c>
      <c r="AK171" s="1">
        <f t="shared" ca="1" si="140"/>
        <v>8.6647984159769365E-3</v>
      </c>
      <c r="AL171" s="1"/>
      <c r="AM171" s="1">
        <f t="shared" ca="1" si="141"/>
        <v>0.10064693599422279</v>
      </c>
      <c r="AN171" s="1">
        <f t="shared" ca="1" si="142"/>
        <v>14</v>
      </c>
      <c r="AO171" s="1">
        <f t="shared" ca="1" si="143"/>
        <v>8</v>
      </c>
      <c r="AQ171" s="1">
        <f t="shared" ca="1" si="144"/>
        <v>167</v>
      </c>
      <c r="AR171" s="1">
        <f t="shared" ca="1" si="145"/>
        <v>8</v>
      </c>
      <c r="AS171" s="1">
        <f t="shared" ca="1" si="146"/>
        <v>49</v>
      </c>
      <c r="AU171" s="1">
        <f t="shared" ca="1" si="147"/>
        <v>266</v>
      </c>
      <c r="AV171" s="1">
        <f t="shared" ca="1" si="148"/>
        <v>9</v>
      </c>
      <c r="AW171" s="1">
        <f t="shared" ca="1" si="149"/>
        <v>3.7795724069329358E-2</v>
      </c>
      <c r="AY171" s="1">
        <f t="shared" ca="1" si="150"/>
        <v>1.1882086732923405</v>
      </c>
      <c r="AZ171" s="1">
        <f t="shared" ca="1" si="151"/>
        <v>298</v>
      </c>
      <c r="BA171" s="1">
        <f t="shared" ca="1" si="152"/>
        <v>1.2915292881707527E-3</v>
      </c>
      <c r="BV171" s="1">
        <f t="shared" ca="1" si="153"/>
        <v>0.63741353043497861</v>
      </c>
      <c r="BW171" s="1">
        <f t="shared" ca="1" si="154"/>
        <v>481</v>
      </c>
      <c r="BX171" s="1">
        <f t="shared" ca="1" si="155"/>
        <v>4.0217871119555037E-3</v>
      </c>
      <c r="BY171" s="1">
        <f t="shared" ca="1" si="156"/>
        <v>2.2697147596436592E-2</v>
      </c>
      <c r="BZ171" s="1">
        <f t="shared" ca="1" si="157"/>
        <v>0.33999822384223066</v>
      </c>
      <c r="CB171" s="1">
        <f t="shared" ca="1" si="158"/>
        <v>397</v>
      </c>
      <c r="CC171" s="1">
        <f t="shared" ca="1" si="159"/>
        <v>7</v>
      </c>
      <c r="CD171" s="1">
        <f t="shared" ca="1" si="160"/>
        <v>0.15037192996509127</v>
      </c>
      <c r="CE171" s="1">
        <f t="shared" ca="1" si="170"/>
        <v>0.85022909776071631</v>
      </c>
      <c r="CF171" s="1">
        <f t="shared" ca="1" si="170"/>
        <v>0.76057264427578697</v>
      </c>
      <c r="CH171" s="3">
        <f t="shared" ca="1" si="162"/>
        <v>0.40733342361019043</v>
      </c>
      <c r="CI171" s="3">
        <f t="shared" ca="1" si="163"/>
        <v>0.47826067243864007</v>
      </c>
      <c r="CJ171" s="3">
        <f t="shared" ca="1" si="164"/>
        <v>1851</v>
      </c>
      <c r="CK171" s="3">
        <f t="shared" ca="1" si="165"/>
        <v>6.4198098382205315E-3</v>
      </c>
      <c r="CL171" s="3">
        <f t="shared" ca="1" si="166"/>
        <v>0</v>
      </c>
      <c r="CM171" s="3"/>
      <c r="CN171" s="1">
        <f t="shared" ca="1" si="167"/>
        <v>8.8843950739725628</v>
      </c>
      <c r="CO171" s="1">
        <f t="shared" ca="1" si="168"/>
        <v>0.30031991365755545</v>
      </c>
      <c r="CP171" s="1">
        <f t="shared" ca="1" si="169"/>
        <v>1</v>
      </c>
    </row>
    <row r="172" spans="2:94" x14ac:dyDescent="0.25">
      <c r="B172">
        <f t="shared" ca="1" si="114"/>
        <v>61</v>
      </c>
      <c r="C172">
        <f t="shared" ca="1" si="115"/>
        <v>51</v>
      </c>
      <c r="D172">
        <f t="shared" ca="1" si="116"/>
        <v>0.11632758213716353</v>
      </c>
      <c r="F172" s="1">
        <f t="shared" ca="1" si="117"/>
        <v>19</v>
      </c>
      <c r="G172" s="1">
        <f t="shared" ca="1" si="118"/>
        <v>2</v>
      </c>
      <c r="H172" s="1">
        <f t="shared" ca="1" si="119"/>
        <v>2</v>
      </c>
      <c r="I172" s="1"/>
      <c r="J172" s="1">
        <f t="shared" ca="1" si="120"/>
        <v>21</v>
      </c>
      <c r="K172" s="1">
        <f t="shared" ca="1" si="121"/>
        <v>1.7392985427599672</v>
      </c>
      <c r="L172" s="1">
        <f t="shared" ca="1" si="122"/>
        <v>34</v>
      </c>
      <c r="M172" s="1"/>
      <c r="N172" s="1">
        <f t="shared" ca="1" si="123"/>
        <v>407</v>
      </c>
      <c r="O172" s="1">
        <f t="shared" ca="1" si="124"/>
        <v>50</v>
      </c>
      <c r="P172" s="1"/>
      <c r="Q172" s="1">
        <f t="shared" ca="1" si="125"/>
        <v>4.724949946197591</v>
      </c>
      <c r="R172" s="1">
        <f t="shared" ca="1" si="126"/>
        <v>671</v>
      </c>
      <c r="S172" s="1"/>
      <c r="T172" s="1">
        <f t="shared" ca="1" si="127"/>
        <v>0.10242089413094609</v>
      </c>
      <c r="U172" s="1">
        <f t="shared" ca="1" si="128"/>
        <v>198</v>
      </c>
      <c r="V172" s="1">
        <f t="shared" ca="1" si="129"/>
        <v>3</v>
      </c>
      <c r="W172" s="1"/>
      <c r="X172" s="1">
        <f t="shared" ca="1" si="130"/>
        <v>4.205677972823862</v>
      </c>
      <c r="Y172" s="1">
        <f t="shared" ca="1" si="131"/>
        <v>0.37915816742385694</v>
      </c>
      <c r="Z172" s="1">
        <f t="shared" ca="1" si="132"/>
        <v>814</v>
      </c>
      <c r="AB172" s="1">
        <f t="shared" ca="1" si="133"/>
        <v>0.7215024525865289</v>
      </c>
      <c r="AC172" s="1">
        <f t="shared" ca="1" si="134"/>
        <v>414</v>
      </c>
      <c r="AD172" s="1">
        <f t="shared" ca="1" si="135"/>
        <v>9.7756435443124194E-4</v>
      </c>
      <c r="AE172" s="1"/>
      <c r="AF172" s="1">
        <f t="shared" ca="1" si="136"/>
        <v>0.47296301370778626</v>
      </c>
      <c r="AG172" s="1">
        <f t="shared" ca="1" si="137"/>
        <v>716</v>
      </c>
      <c r="AH172" s="1">
        <f t="shared" ca="1" si="138"/>
        <v>8.2502006430570981E-3</v>
      </c>
      <c r="AJ172" s="1">
        <f t="shared" ca="1" si="139"/>
        <v>0.1319893794293594</v>
      </c>
      <c r="AK172" s="1">
        <f t="shared" ca="1" si="140"/>
        <v>7.9665966247903595E-3</v>
      </c>
      <c r="AL172" s="1"/>
      <c r="AM172" s="1">
        <f t="shared" ca="1" si="141"/>
        <v>0.12065530247437456</v>
      </c>
      <c r="AN172" s="1">
        <f t="shared" ca="1" si="142"/>
        <v>53</v>
      </c>
      <c r="AO172" s="1">
        <f t="shared" ca="1" si="143"/>
        <v>18</v>
      </c>
      <c r="AQ172" s="1">
        <f t="shared" ca="1" si="144"/>
        <v>127</v>
      </c>
      <c r="AR172" s="1">
        <f t="shared" ca="1" si="145"/>
        <v>1</v>
      </c>
      <c r="AS172" s="1">
        <f t="shared" ca="1" si="146"/>
        <v>79</v>
      </c>
      <c r="AU172" s="1">
        <f t="shared" ca="1" si="147"/>
        <v>166</v>
      </c>
      <c r="AV172" s="1">
        <f t="shared" ca="1" si="148"/>
        <v>9</v>
      </c>
      <c r="AW172" s="1">
        <f t="shared" ca="1" si="149"/>
        <v>2.3374095253693307E-2</v>
      </c>
      <c r="AY172" s="1">
        <f t="shared" ca="1" si="150"/>
        <v>1.1503262044477207</v>
      </c>
      <c r="AZ172" s="1">
        <f t="shared" ca="1" si="151"/>
        <v>278</v>
      </c>
      <c r="BA172" s="1">
        <f t="shared" ca="1" si="152"/>
        <v>1.450524259948571E-3</v>
      </c>
      <c r="BV172" s="1">
        <f t="shared" ca="1" si="153"/>
        <v>0.8594770322966756</v>
      </c>
      <c r="BW172" s="1">
        <f t="shared" ca="1" si="154"/>
        <v>934</v>
      </c>
      <c r="BX172" s="1">
        <f t="shared" ca="1" si="155"/>
        <v>7.6026970813723033E-3</v>
      </c>
      <c r="BY172" s="1">
        <f t="shared" ca="1" si="156"/>
        <v>7.1401458318212957E-2</v>
      </c>
      <c r="BZ172" s="1">
        <f t="shared" ca="1" si="157"/>
        <v>0.20982993026365115</v>
      </c>
      <c r="CB172" s="1">
        <f t="shared" ca="1" si="158"/>
        <v>444</v>
      </c>
      <c r="CC172" s="1">
        <f t="shared" ca="1" si="159"/>
        <v>10</v>
      </c>
      <c r="CD172" s="1">
        <f t="shared" ca="1" si="160"/>
        <v>4.6766923067763061E-2</v>
      </c>
      <c r="CE172" s="1">
        <f t="shared" ca="1" si="170"/>
        <v>0.89235231737413734</v>
      </c>
      <c r="CF172" s="1">
        <f t="shared" ca="1" si="170"/>
        <v>0.65079255833639316</v>
      </c>
      <c r="CH172" s="3">
        <f t="shared" ca="1" si="162"/>
        <v>0.72834592788191521</v>
      </c>
      <c r="CI172" s="3">
        <f t="shared" ca="1" si="163"/>
        <v>0.31039962264120774</v>
      </c>
      <c r="CJ172" s="3">
        <f t="shared" ca="1" si="164"/>
        <v>1675</v>
      </c>
      <c r="CK172" s="3">
        <f t="shared" ca="1" si="165"/>
        <v>3.0822127591591661E-3</v>
      </c>
      <c r="CL172" s="3">
        <f t="shared" ca="1" si="166"/>
        <v>1</v>
      </c>
      <c r="CM172" s="3"/>
      <c r="CN172" s="1">
        <f t="shared" ca="1" si="167"/>
        <v>6.9575732363257901</v>
      </c>
      <c r="CO172" s="1">
        <f t="shared" ca="1" si="168"/>
        <v>0.20152030104709603</v>
      </c>
      <c r="CP172" s="1">
        <f t="shared" ca="1" si="169"/>
        <v>4</v>
      </c>
    </row>
    <row r="173" spans="2:94" x14ac:dyDescent="0.25">
      <c r="B173">
        <f t="shared" ca="1" si="114"/>
        <v>523</v>
      </c>
      <c r="C173">
        <f t="shared" ca="1" si="115"/>
        <v>41</v>
      </c>
      <c r="D173">
        <f t="shared" ca="1" si="116"/>
        <v>1.6775739785407869E-2</v>
      </c>
      <c r="F173" s="1">
        <f t="shared" ca="1" si="117"/>
        <v>11</v>
      </c>
      <c r="G173" s="1">
        <f t="shared" ca="1" si="118"/>
        <v>24</v>
      </c>
      <c r="H173" s="1">
        <f t="shared" ca="1" si="119"/>
        <v>2</v>
      </c>
      <c r="I173" s="1"/>
      <c r="J173" s="1">
        <f t="shared" ca="1" si="120"/>
        <v>39</v>
      </c>
      <c r="K173" s="1">
        <f t="shared" ca="1" si="121"/>
        <v>1.6100299221405769</v>
      </c>
      <c r="L173" s="1">
        <f t="shared" ca="1" si="122"/>
        <v>23</v>
      </c>
      <c r="M173" s="1"/>
      <c r="N173" s="1">
        <f t="shared" ca="1" si="123"/>
        <v>449</v>
      </c>
      <c r="O173" s="1">
        <f t="shared" ca="1" si="124"/>
        <v>14</v>
      </c>
      <c r="P173" s="1"/>
      <c r="Q173" s="1">
        <f t="shared" ca="1" si="125"/>
        <v>3.7226809849143918</v>
      </c>
      <c r="R173" s="1">
        <f t="shared" ca="1" si="126"/>
        <v>523</v>
      </c>
      <c r="S173" s="1"/>
      <c r="T173" s="1">
        <f t="shared" ca="1" si="127"/>
        <v>0.17729167258990797</v>
      </c>
      <c r="U173" s="1">
        <f t="shared" ca="1" si="128"/>
        <v>341</v>
      </c>
      <c r="V173" s="1">
        <f t="shared" ca="1" si="129"/>
        <v>9</v>
      </c>
      <c r="W173" s="1"/>
      <c r="X173" s="1">
        <f t="shared" ca="1" si="130"/>
        <v>9.2340731711865089</v>
      </c>
      <c r="Y173" s="1">
        <f t="shared" ca="1" si="131"/>
        <v>0.57764300063811347</v>
      </c>
      <c r="Z173" s="1">
        <f t="shared" ca="1" si="132"/>
        <v>1562</v>
      </c>
      <c r="AB173" s="1">
        <f t="shared" ca="1" si="133"/>
        <v>0.55478871005656261</v>
      </c>
      <c r="AC173" s="1">
        <f t="shared" ca="1" si="134"/>
        <v>882</v>
      </c>
      <c r="AD173" s="1">
        <f t="shared" ca="1" si="135"/>
        <v>4.5089683671747502E-3</v>
      </c>
      <c r="AE173" s="1"/>
      <c r="AF173" s="1">
        <f t="shared" ca="1" si="136"/>
        <v>0.86528119918026425</v>
      </c>
      <c r="AG173" s="1">
        <f t="shared" ca="1" si="137"/>
        <v>779</v>
      </c>
      <c r="AH173" s="1">
        <f t="shared" ca="1" si="138"/>
        <v>2.8005789276875416E-3</v>
      </c>
      <c r="AJ173" s="1">
        <f t="shared" ca="1" si="139"/>
        <v>0.54764354489079681</v>
      </c>
      <c r="AK173" s="1">
        <f t="shared" ca="1" si="140"/>
        <v>4.3011986884683353E-3</v>
      </c>
      <c r="AL173" s="1"/>
      <c r="AM173" s="1">
        <f t="shared" ca="1" si="141"/>
        <v>0.17287922874014378</v>
      </c>
      <c r="AN173" s="1">
        <f t="shared" ca="1" si="142"/>
        <v>47</v>
      </c>
      <c r="AO173" s="1">
        <f t="shared" ca="1" si="143"/>
        <v>13</v>
      </c>
      <c r="AQ173" s="1">
        <f t="shared" ca="1" si="144"/>
        <v>151</v>
      </c>
      <c r="AR173" s="1">
        <f t="shared" ca="1" si="145"/>
        <v>6</v>
      </c>
      <c r="AS173" s="1">
        <f t="shared" ca="1" si="146"/>
        <v>71</v>
      </c>
      <c r="AU173" s="1">
        <f t="shared" ca="1" si="147"/>
        <v>298</v>
      </c>
      <c r="AV173" s="1">
        <f t="shared" ca="1" si="148"/>
        <v>4</v>
      </c>
      <c r="AW173" s="1">
        <f t="shared" ca="1" si="149"/>
        <v>7.2641239660988191E-2</v>
      </c>
      <c r="AY173" s="1">
        <f t="shared" ca="1" si="150"/>
        <v>1.5675594343490169</v>
      </c>
      <c r="AZ173" s="1">
        <f t="shared" ca="1" si="151"/>
        <v>397</v>
      </c>
      <c r="BA173" s="1">
        <f t="shared" ca="1" si="152"/>
        <v>8.5779579451823859E-4</v>
      </c>
      <c r="BV173" s="1">
        <f t="shared" ca="1" si="153"/>
        <v>0.18133340147271504</v>
      </c>
      <c r="BW173" s="1">
        <f t="shared" ca="1" si="154"/>
        <v>596</v>
      </c>
      <c r="BX173" s="1">
        <f t="shared" ca="1" si="155"/>
        <v>6.6470997135284751E-3</v>
      </c>
      <c r="BY173" s="1">
        <f t="shared" ca="1" si="156"/>
        <v>1.4315314245007399E-2</v>
      </c>
      <c r="BZ173" s="1">
        <f t="shared" ca="1" si="157"/>
        <v>0.93748786179562216</v>
      </c>
      <c r="CB173" s="1">
        <f t="shared" ca="1" si="158"/>
        <v>238</v>
      </c>
      <c r="CC173" s="1">
        <f t="shared" ca="1" si="159"/>
        <v>3</v>
      </c>
      <c r="CD173" s="1">
        <f t="shared" ca="1" si="160"/>
        <v>0.14674546991413473</v>
      </c>
      <c r="CE173" s="1">
        <f t="shared" ca="1" si="170"/>
        <v>0.81711460643781297</v>
      </c>
      <c r="CF173" s="1">
        <f t="shared" ca="1" si="170"/>
        <v>0.67290385710283851</v>
      </c>
      <c r="CH173" s="3">
        <f t="shared" ca="1" si="162"/>
        <v>8.7960462839505593E-3</v>
      </c>
      <c r="CI173" s="3">
        <f t="shared" ca="1" si="163"/>
        <v>0.42276831475070226</v>
      </c>
      <c r="CJ173" s="3">
        <f t="shared" ca="1" si="164"/>
        <v>721</v>
      </c>
      <c r="CK173" s="3">
        <f t="shared" ca="1" si="165"/>
        <v>7.6341456804322793E-3</v>
      </c>
      <c r="CL173" s="3">
        <f t="shared" ca="1" si="166"/>
        <v>1</v>
      </c>
      <c r="CM173" s="3"/>
      <c r="CN173" s="1">
        <f t="shared" ca="1" si="167"/>
        <v>19.711061866075791</v>
      </c>
      <c r="CO173" s="1">
        <f t="shared" ca="1" si="168"/>
        <v>0.13841171243156974</v>
      </c>
      <c r="CP173" s="1">
        <f t="shared" ca="1" si="169"/>
        <v>3</v>
      </c>
    </row>
    <row r="174" spans="2:94" x14ac:dyDescent="0.25">
      <c r="B174">
        <f t="shared" ca="1" si="114"/>
        <v>315</v>
      </c>
      <c r="C174">
        <f t="shared" ca="1" si="115"/>
        <v>11</v>
      </c>
      <c r="D174">
        <f t="shared" ca="1" si="116"/>
        <v>0.10639640820009617</v>
      </c>
      <c r="F174" s="1">
        <f t="shared" ca="1" si="117"/>
        <v>52</v>
      </c>
      <c r="G174" s="1">
        <f t="shared" ca="1" si="118"/>
        <v>14</v>
      </c>
      <c r="H174" s="1">
        <f t="shared" ca="1" si="119"/>
        <v>8</v>
      </c>
      <c r="I174" s="1"/>
      <c r="J174" s="1">
        <f t="shared" ca="1" si="120"/>
        <v>9</v>
      </c>
      <c r="K174" s="1">
        <f t="shared" ca="1" si="121"/>
        <v>2.6251923424472778</v>
      </c>
      <c r="L174" s="1">
        <f t="shared" ca="1" si="122"/>
        <v>17</v>
      </c>
      <c r="M174" s="1"/>
      <c r="N174" s="1">
        <f t="shared" ca="1" si="123"/>
        <v>813</v>
      </c>
      <c r="O174" s="1">
        <f t="shared" ca="1" si="124"/>
        <v>30</v>
      </c>
      <c r="P174" s="1"/>
      <c r="Q174" s="1">
        <f t="shared" ca="1" si="125"/>
        <v>3.8187627313628516</v>
      </c>
      <c r="R174" s="1">
        <f t="shared" ca="1" si="126"/>
        <v>910</v>
      </c>
      <c r="S174" s="1"/>
      <c r="T174" s="1">
        <f t="shared" ca="1" si="127"/>
        <v>0.14415238091294788</v>
      </c>
      <c r="U174" s="1">
        <f t="shared" ca="1" si="128"/>
        <v>398</v>
      </c>
      <c r="V174" s="1">
        <f t="shared" ca="1" si="129"/>
        <v>9</v>
      </c>
      <c r="W174" s="1"/>
      <c r="X174" s="1">
        <f t="shared" ca="1" si="130"/>
        <v>9.0762818474099518</v>
      </c>
      <c r="Y174" s="1">
        <f t="shared" ca="1" si="131"/>
        <v>0.30805422079879835</v>
      </c>
      <c r="Z174" s="1">
        <f t="shared" ca="1" si="132"/>
        <v>908</v>
      </c>
      <c r="AB174" s="1">
        <f t="shared" ca="1" si="133"/>
        <v>0.63037079972373689</v>
      </c>
      <c r="AC174" s="1">
        <f t="shared" ca="1" si="134"/>
        <v>968</v>
      </c>
      <c r="AD174" s="1">
        <f t="shared" ca="1" si="135"/>
        <v>6.7759817535566376E-3</v>
      </c>
      <c r="AE174" s="1"/>
      <c r="AF174" s="1">
        <f t="shared" ca="1" si="136"/>
        <v>0.79370430636161093</v>
      </c>
      <c r="AG174" s="1">
        <f t="shared" ca="1" si="137"/>
        <v>133</v>
      </c>
      <c r="AH174" s="1">
        <f t="shared" ca="1" si="138"/>
        <v>3.2268982421048212E-3</v>
      </c>
      <c r="AJ174" s="1">
        <f t="shared" ca="1" si="139"/>
        <v>0.24590631657652584</v>
      </c>
      <c r="AK174" s="1">
        <f t="shared" ca="1" si="140"/>
        <v>9.0810660029506871E-3</v>
      </c>
      <c r="AL174" s="1"/>
      <c r="AM174" s="1">
        <f t="shared" ca="1" si="141"/>
        <v>0.12123400706877538</v>
      </c>
      <c r="AN174" s="1">
        <f t="shared" ca="1" si="142"/>
        <v>48</v>
      </c>
      <c r="AO174" s="1">
        <f t="shared" ca="1" si="143"/>
        <v>13</v>
      </c>
      <c r="AQ174" s="1">
        <f t="shared" ca="1" si="144"/>
        <v>85</v>
      </c>
      <c r="AR174" s="1">
        <f t="shared" ca="1" si="145"/>
        <v>4</v>
      </c>
      <c r="AS174" s="1">
        <f t="shared" ca="1" si="146"/>
        <v>92</v>
      </c>
      <c r="AU174" s="1">
        <f t="shared" ca="1" si="147"/>
        <v>386</v>
      </c>
      <c r="AV174" s="1">
        <f t="shared" ca="1" si="148"/>
        <v>5</v>
      </c>
      <c r="AW174" s="1">
        <f t="shared" ca="1" si="149"/>
        <v>0.17624422973088835</v>
      </c>
      <c r="AY174" s="1">
        <f t="shared" ca="1" si="150"/>
        <v>1.8826260014102023</v>
      </c>
      <c r="AZ174" s="1">
        <f t="shared" ca="1" si="151"/>
        <v>368</v>
      </c>
      <c r="BA174" s="1">
        <f t="shared" ca="1" si="152"/>
        <v>4.0798118334729539E-3</v>
      </c>
      <c r="BV174" s="1">
        <f t="shared" ca="1" si="153"/>
        <v>1.8475250090920294E-2</v>
      </c>
      <c r="BW174" s="1">
        <f t="shared" ca="1" si="154"/>
        <v>810</v>
      </c>
      <c r="BX174" s="1">
        <f t="shared" ca="1" si="155"/>
        <v>5.1144092430978659E-3</v>
      </c>
      <c r="BY174" s="1">
        <f t="shared" ca="1" si="156"/>
        <v>8.8497654614490395E-3</v>
      </c>
      <c r="BZ174" s="1">
        <f t="shared" ca="1" si="157"/>
        <v>0.86943041308190028</v>
      </c>
      <c r="CB174" s="1">
        <f t="shared" ca="1" si="158"/>
        <v>62</v>
      </c>
      <c r="CC174" s="1">
        <f t="shared" ca="1" si="159"/>
        <v>13</v>
      </c>
      <c r="CD174" s="1">
        <f t="shared" ca="1" si="160"/>
        <v>6.1550365137597957E-2</v>
      </c>
      <c r="CE174" s="1">
        <f t="shared" ca="1" si="170"/>
        <v>0.52457032637953938</v>
      </c>
      <c r="CF174" s="1">
        <f t="shared" ca="1" si="170"/>
        <v>0.51687468578931917</v>
      </c>
      <c r="CH174" s="3">
        <f t="shared" ca="1" si="162"/>
        <v>0.78300845071197267</v>
      </c>
      <c r="CI174" s="3">
        <f t="shared" ca="1" si="163"/>
        <v>0.19263307820205111</v>
      </c>
      <c r="CJ174" s="3">
        <f t="shared" ca="1" si="164"/>
        <v>1878</v>
      </c>
      <c r="CK174" s="3">
        <f t="shared" ca="1" si="165"/>
        <v>1.4909460183409622E-3</v>
      </c>
      <c r="CL174" s="3">
        <f t="shared" ca="1" si="166"/>
        <v>0</v>
      </c>
      <c r="CM174" s="3"/>
      <c r="CN174" s="1">
        <f t="shared" ca="1" si="167"/>
        <v>1.3246795817263191</v>
      </c>
      <c r="CO174" s="1">
        <f t="shared" ca="1" si="168"/>
        <v>9.4230188628734252E-2</v>
      </c>
      <c r="CP174" s="1">
        <f t="shared" ca="1" si="169"/>
        <v>3</v>
      </c>
    </row>
    <row r="175" spans="2:94" x14ac:dyDescent="0.25">
      <c r="B175">
        <f t="shared" ca="1" si="114"/>
        <v>438</v>
      </c>
      <c r="C175">
        <f t="shared" ca="1" si="115"/>
        <v>3</v>
      </c>
      <c r="D175">
        <f t="shared" ca="1" si="116"/>
        <v>0.23717639118743358</v>
      </c>
      <c r="F175" s="1">
        <f t="shared" ca="1" si="117"/>
        <v>14</v>
      </c>
      <c r="G175" s="1">
        <f t="shared" ca="1" si="118"/>
        <v>22</v>
      </c>
      <c r="H175" s="1">
        <f t="shared" ca="1" si="119"/>
        <v>8</v>
      </c>
      <c r="I175" s="1"/>
      <c r="J175" s="1">
        <f t="shared" ca="1" si="120"/>
        <v>13</v>
      </c>
      <c r="K175" s="1">
        <f t="shared" ca="1" si="121"/>
        <v>2.5683360207081964</v>
      </c>
      <c r="L175" s="1">
        <f t="shared" ca="1" si="122"/>
        <v>9</v>
      </c>
      <c r="M175" s="1"/>
      <c r="N175" s="1">
        <f t="shared" ca="1" si="123"/>
        <v>567</v>
      </c>
      <c r="O175" s="1">
        <f t="shared" ca="1" si="124"/>
        <v>31</v>
      </c>
      <c r="P175" s="1"/>
      <c r="Q175" s="1">
        <f t="shared" ca="1" si="125"/>
        <v>4.5462797546953659</v>
      </c>
      <c r="R175" s="1">
        <f t="shared" ca="1" si="126"/>
        <v>1179</v>
      </c>
      <c r="S175" s="1"/>
      <c r="T175" s="1">
        <f t="shared" ca="1" si="127"/>
        <v>0.18534395569016476</v>
      </c>
      <c r="U175" s="1">
        <f t="shared" ca="1" si="128"/>
        <v>351</v>
      </c>
      <c r="V175" s="1">
        <f t="shared" ca="1" si="129"/>
        <v>2</v>
      </c>
      <c r="W175" s="1"/>
      <c r="X175" s="1">
        <f t="shared" ca="1" si="130"/>
        <v>0.14123401974646166</v>
      </c>
      <c r="Y175" s="1">
        <f t="shared" ca="1" si="131"/>
        <v>0.14902012439358667</v>
      </c>
      <c r="Z175" s="1">
        <f t="shared" ca="1" si="132"/>
        <v>157</v>
      </c>
      <c r="AB175" s="1">
        <f t="shared" ca="1" si="133"/>
        <v>7.8846905193825825E-2</v>
      </c>
      <c r="AC175" s="1">
        <f t="shared" ca="1" si="134"/>
        <v>768</v>
      </c>
      <c r="AD175" s="1">
        <f t="shared" ca="1" si="135"/>
        <v>8.4499122709240423E-3</v>
      </c>
      <c r="AE175" s="1"/>
      <c r="AF175" s="1">
        <f t="shared" ca="1" si="136"/>
        <v>0.47246197363845766</v>
      </c>
      <c r="AG175" s="1">
        <f t="shared" ca="1" si="137"/>
        <v>416</v>
      </c>
      <c r="AH175" s="1">
        <f t="shared" ca="1" si="138"/>
        <v>9.2829779427679986E-3</v>
      </c>
      <c r="AJ175" s="1">
        <f t="shared" ca="1" si="139"/>
        <v>0.26067045265971778</v>
      </c>
      <c r="AK175" s="1">
        <f t="shared" ca="1" si="140"/>
        <v>1.2185781939804789E-3</v>
      </c>
      <c r="AL175" s="1"/>
      <c r="AM175" s="1">
        <f t="shared" ca="1" si="141"/>
        <v>0.19344227532636013</v>
      </c>
      <c r="AN175" s="1">
        <f t="shared" ca="1" si="142"/>
        <v>70</v>
      </c>
      <c r="AO175" s="1">
        <f t="shared" ca="1" si="143"/>
        <v>1</v>
      </c>
      <c r="AQ175" s="1">
        <f t="shared" ca="1" si="144"/>
        <v>100</v>
      </c>
      <c r="AR175" s="1">
        <f t="shared" ca="1" si="145"/>
        <v>9</v>
      </c>
      <c r="AS175" s="1">
        <f t="shared" ca="1" si="146"/>
        <v>62</v>
      </c>
      <c r="AU175" s="1">
        <f t="shared" ca="1" si="147"/>
        <v>304</v>
      </c>
      <c r="AV175" s="1">
        <f t="shared" ca="1" si="148"/>
        <v>10</v>
      </c>
      <c r="AW175" s="1">
        <f t="shared" ca="1" si="149"/>
        <v>3.9223032029830511E-2</v>
      </c>
      <c r="AY175" s="1">
        <f t="shared" ca="1" si="150"/>
        <v>1.8148098789440894</v>
      </c>
      <c r="AZ175" s="1">
        <f t="shared" ca="1" si="151"/>
        <v>425</v>
      </c>
      <c r="BA175" s="1">
        <f t="shared" ca="1" si="152"/>
        <v>7.4766162709563998E-3</v>
      </c>
      <c r="BV175" s="1">
        <f t="shared" ca="1" si="153"/>
        <v>0.17791185686497704</v>
      </c>
      <c r="BW175" s="1">
        <f t="shared" ca="1" si="154"/>
        <v>260</v>
      </c>
      <c r="BX175" s="1">
        <f t="shared" ca="1" si="155"/>
        <v>4.0486528028302578E-3</v>
      </c>
      <c r="BY175" s="1">
        <f t="shared" ca="1" si="156"/>
        <v>3.4110615540640356E-2</v>
      </c>
      <c r="BZ175" s="1">
        <f t="shared" ca="1" si="157"/>
        <v>0.70013796302287368</v>
      </c>
      <c r="CB175" s="1">
        <f t="shared" ca="1" si="158"/>
        <v>116</v>
      </c>
      <c r="CC175" s="1">
        <f t="shared" ca="1" si="159"/>
        <v>7</v>
      </c>
      <c r="CD175" s="1">
        <f t="shared" ca="1" si="160"/>
        <v>5.1937679666851998E-2</v>
      </c>
      <c r="CE175" s="1">
        <f t="shared" ca="1" si="170"/>
        <v>0.74810820271014922</v>
      </c>
      <c r="CF175" s="1">
        <f t="shared" ca="1" si="170"/>
        <v>0.61084380190588694</v>
      </c>
      <c r="CH175" s="3">
        <f t="shared" ca="1" si="162"/>
        <v>0.46704913306873352</v>
      </c>
      <c r="CI175" s="3">
        <f t="shared" ca="1" si="163"/>
        <v>0.61510659169957482</v>
      </c>
      <c r="CJ175" s="3">
        <f t="shared" ca="1" si="164"/>
        <v>386</v>
      </c>
      <c r="CK175" s="3">
        <f t="shared" ca="1" si="165"/>
        <v>4.0686231601657664E-3</v>
      </c>
      <c r="CL175" s="3">
        <f t="shared" ca="1" si="166"/>
        <v>0</v>
      </c>
      <c r="CM175" s="3"/>
      <c r="CN175" s="1">
        <f t="shared" ca="1" si="167"/>
        <v>2.9125232675360895</v>
      </c>
      <c r="CO175" s="1">
        <f t="shared" ca="1" si="168"/>
        <v>0.11917049673576922</v>
      </c>
      <c r="CP175" s="1">
        <f t="shared" ca="1" si="169"/>
        <v>5</v>
      </c>
    </row>
    <row r="176" spans="2:94" x14ac:dyDescent="0.25">
      <c r="B176">
        <f t="shared" ca="1" si="114"/>
        <v>618</v>
      </c>
      <c r="C176">
        <f t="shared" ca="1" si="115"/>
        <v>24</v>
      </c>
      <c r="D176">
        <f t="shared" ca="1" si="116"/>
        <v>0.16296458557224919</v>
      </c>
      <c r="F176" s="1">
        <f t="shared" ca="1" si="117"/>
        <v>10</v>
      </c>
      <c r="G176" s="1">
        <f t="shared" ca="1" si="118"/>
        <v>3</v>
      </c>
      <c r="H176" s="1">
        <f t="shared" ca="1" si="119"/>
        <v>1</v>
      </c>
      <c r="I176" s="1"/>
      <c r="J176" s="1">
        <f t="shared" ca="1" si="120"/>
        <v>7</v>
      </c>
      <c r="K176" s="1">
        <f t="shared" ca="1" si="121"/>
        <v>2.1857550456728712</v>
      </c>
      <c r="L176" s="1">
        <f t="shared" ca="1" si="122"/>
        <v>17</v>
      </c>
      <c r="M176" s="1"/>
      <c r="N176" s="1">
        <f t="shared" ca="1" si="123"/>
        <v>167</v>
      </c>
      <c r="O176" s="1">
        <f t="shared" ca="1" si="124"/>
        <v>33</v>
      </c>
      <c r="P176" s="1"/>
      <c r="Q176" s="1">
        <f t="shared" ca="1" si="125"/>
        <v>1.7290573331850347</v>
      </c>
      <c r="R176" s="1">
        <f t="shared" ca="1" si="126"/>
        <v>664</v>
      </c>
      <c r="S176" s="1"/>
      <c r="T176" s="1">
        <f t="shared" ca="1" si="127"/>
        <v>0.17349211987322324</v>
      </c>
      <c r="U176" s="1">
        <f t="shared" ca="1" si="128"/>
        <v>223</v>
      </c>
      <c r="V176" s="1">
        <f t="shared" ca="1" si="129"/>
        <v>47</v>
      </c>
      <c r="W176" s="1"/>
      <c r="X176" s="1">
        <f t="shared" ca="1" si="130"/>
        <v>3.6164435526890504</v>
      </c>
      <c r="Y176" s="1">
        <f t="shared" ca="1" si="131"/>
        <v>0.5102552032023091</v>
      </c>
      <c r="Z176" s="1">
        <f t="shared" ca="1" si="132"/>
        <v>1592</v>
      </c>
      <c r="AB176" s="1">
        <f t="shared" ca="1" si="133"/>
        <v>0.26908267109479339</v>
      </c>
      <c r="AC176" s="1">
        <f t="shared" ca="1" si="134"/>
        <v>974</v>
      </c>
      <c r="AD176" s="1">
        <f t="shared" ca="1" si="135"/>
        <v>7.7881307030124918E-3</v>
      </c>
      <c r="AE176" s="1"/>
      <c r="AF176" s="1">
        <f t="shared" ca="1" si="136"/>
        <v>0.73949007655826404</v>
      </c>
      <c r="AG176" s="1">
        <f t="shared" ca="1" si="137"/>
        <v>223</v>
      </c>
      <c r="AH176" s="1">
        <f t="shared" ca="1" si="138"/>
        <v>9.893228580965311E-3</v>
      </c>
      <c r="AJ176" s="1">
        <f t="shared" ca="1" si="139"/>
        <v>0.59152834914849683</v>
      </c>
      <c r="AK176" s="1">
        <f t="shared" ca="1" si="140"/>
        <v>8.7044902702476164E-3</v>
      </c>
      <c r="AL176" s="1"/>
      <c r="AM176" s="1">
        <f t="shared" ca="1" si="141"/>
        <v>0.15906156028940466</v>
      </c>
      <c r="AN176" s="1">
        <f t="shared" ca="1" si="142"/>
        <v>40</v>
      </c>
      <c r="AO176" s="1">
        <f t="shared" ca="1" si="143"/>
        <v>10</v>
      </c>
      <c r="AQ176" s="1">
        <f t="shared" ca="1" si="144"/>
        <v>164</v>
      </c>
      <c r="AR176" s="1">
        <f t="shared" ca="1" si="145"/>
        <v>5</v>
      </c>
      <c r="AS176" s="1">
        <f t="shared" ca="1" si="146"/>
        <v>9</v>
      </c>
      <c r="AU176" s="1">
        <f t="shared" ca="1" si="147"/>
        <v>260</v>
      </c>
      <c r="AV176" s="1">
        <f t="shared" ca="1" si="148"/>
        <v>2</v>
      </c>
      <c r="AW176" s="1">
        <f t="shared" ca="1" si="149"/>
        <v>6.7755897287720246E-2</v>
      </c>
      <c r="AY176" s="1">
        <f t="shared" ca="1" si="150"/>
        <v>1.4607261088113999</v>
      </c>
      <c r="AZ176" s="1">
        <f t="shared" ca="1" si="151"/>
        <v>81</v>
      </c>
      <c r="BA176" s="1">
        <f t="shared" ca="1" si="152"/>
        <v>1.8729425523186316E-3</v>
      </c>
      <c r="BV176" s="1">
        <f t="shared" ca="1" si="153"/>
        <v>0.43967443364198067</v>
      </c>
      <c r="BW176" s="1">
        <f t="shared" ca="1" si="154"/>
        <v>105</v>
      </c>
      <c r="BX176" s="1">
        <f t="shared" ca="1" si="155"/>
        <v>8.3264327192619451E-3</v>
      </c>
      <c r="BY176" s="1">
        <f t="shared" ca="1" si="156"/>
        <v>3.3008613369170339E-2</v>
      </c>
      <c r="BZ176" s="1">
        <f t="shared" ca="1" si="157"/>
        <v>0.58868606186763561</v>
      </c>
      <c r="CB176" s="1">
        <f t="shared" ca="1" si="158"/>
        <v>151</v>
      </c>
      <c r="CC176" s="1">
        <f t="shared" ca="1" si="159"/>
        <v>8</v>
      </c>
      <c r="CD176" s="1">
        <f t="shared" ca="1" si="160"/>
        <v>4.0521202413604886E-2</v>
      </c>
      <c r="CE176" s="1">
        <f t="shared" ca="1" si="170"/>
        <v>0.60318242385949916</v>
      </c>
      <c r="CF176" s="1">
        <f t="shared" ca="1" si="170"/>
        <v>0.78926438197380988</v>
      </c>
      <c r="CH176" s="3">
        <f t="shared" ca="1" si="162"/>
        <v>0.20362759249104848</v>
      </c>
      <c r="CI176" s="3">
        <f t="shared" ca="1" si="163"/>
        <v>0.60859955220384854</v>
      </c>
      <c r="CJ176" s="3">
        <f t="shared" ca="1" si="164"/>
        <v>402</v>
      </c>
      <c r="CK176" s="3">
        <f t="shared" ca="1" si="165"/>
        <v>9.1980516050084709E-3</v>
      </c>
      <c r="CL176" s="3">
        <f t="shared" ca="1" si="166"/>
        <v>0</v>
      </c>
      <c r="CM176" s="3"/>
      <c r="CN176" s="1">
        <f t="shared" ca="1" si="167"/>
        <v>9.2361332493303063</v>
      </c>
      <c r="CO176" s="1">
        <f t="shared" ca="1" si="168"/>
        <v>0.25030590271740211</v>
      </c>
      <c r="CP176" s="1">
        <f t="shared" ca="1" si="169"/>
        <v>2</v>
      </c>
    </row>
    <row r="177" spans="2:94" x14ac:dyDescent="0.25">
      <c r="B177">
        <f t="shared" ca="1" si="114"/>
        <v>856</v>
      </c>
      <c r="C177">
        <f t="shared" ca="1" si="115"/>
        <v>45</v>
      </c>
      <c r="D177">
        <f t="shared" ca="1" si="116"/>
        <v>0.22798955504757462</v>
      </c>
      <c r="F177" s="1">
        <f t="shared" ca="1" si="117"/>
        <v>14</v>
      </c>
      <c r="G177" s="1">
        <f t="shared" ca="1" si="118"/>
        <v>28</v>
      </c>
      <c r="H177" s="1">
        <f t="shared" ca="1" si="119"/>
        <v>5</v>
      </c>
      <c r="I177" s="1"/>
      <c r="J177" s="1">
        <f t="shared" ca="1" si="120"/>
        <v>33</v>
      </c>
      <c r="K177" s="1">
        <f t="shared" ca="1" si="121"/>
        <v>2.1199598928355057</v>
      </c>
      <c r="L177" s="1">
        <f t="shared" ca="1" si="122"/>
        <v>31</v>
      </c>
      <c r="M177" s="1"/>
      <c r="N177" s="1">
        <f t="shared" ca="1" si="123"/>
        <v>92</v>
      </c>
      <c r="O177" s="1">
        <f t="shared" ca="1" si="124"/>
        <v>39</v>
      </c>
      <c r="P177" s="1"/>
      <c r="Q177" s="1">
        <f t="shared" ca="1" si="125"/>
        <v>2.7107315078057574</v>
      </c>
      <c r="R177" s="1">
        <f t="shared" ca="1" si="126"/>
        <v>479</v>
      </c>
      <c r="S177" s="1"/>
      <c r="T177" s="1">
        <f t="shared" ca="1" si="127"/>
        <v>9.1442926736311783E-2</v>
      </c>
      <c r="U177" s="1">
        <f t="shared" ca="1" si="128"/>
        <v>323</v>
      </c>
      <c r="V177" s="1">
        <f t="shared" ca="1" si="129"/>
        <v>15</v>
      </c>
      <c r="W177" s="1"/>
      <c r="X177" s="1">
        <f t="shared" ca="1" si="130"/>
        <v>2.0246304242629809</v>
      </c>
      <c r="Y177" s="1">
        <f t="shared" ca="1" si="131"/>
        <v>0.33651646729920048</v>
      </c>
      <c r="Z177" s="1">
        <f t="shared" ca="1" si="132"/>
        <v>667</v>
      </c>
      <c r="AB177" s="1">
        <f t="shared" ca="1" si="133"/>
        <v>0.93815227513562338</v>
      </c>
      <c r="AC177" s="1">
        <f t="shared" ca="1" si="134"/>
        <v>697</v>
      </c>
      <c r="AD177" s="1">
        <f t="shared" ca="1" si="135"/>
        <v>5.6463688700823605E-4</v>
      </c>
      <c r="AE177" s="1"/>
      <c r="AF177" s="1">
        <f t="shared" ca="1" si="136"/>
        <v>0.78397257512297136</v>
      </c>
      <c r="AG177" s="1">
        <f t="shared" ca="1" si="137"/>
        <v>876</v>
      </c>
      <c r="AH177" s="1">
        <f t="shared" ca="1" si="138"/>
        <v>1.345620956444777E-3</v>
      </c>
      <c r="AJ177" s="1">
        <f t="shared" ca="1" si="139"/>
        <v>1.3864727872267557E-2</v>
      </c>
      <c r="AK177" s="1">
        <f t="shared" ca="1" si="140"/>
        <v>4.4233859547708329E-3</v>
      </c>
      <c r="AL177" s="1"/>
      <c r="AM177" s="1">
        <f t="shared" ca="1" si="141"/>
        <v>0.12742499335392324</v>
      </c>
      <c r="AN177" s="1">
        <f t="shared" ca="1" si="142"/>
        <v>79</v>
      </c>
      <c r="AO177" s="1">
        <f t="shared" ca="1" si="143"/>
        <v>0</v>
      </c>
      <c r="AQ177" s="1">
        <f t="shared" ca="1" si="144"/>
        <v>167</v>
      </c>
      <c r="AR177" s="1">
        <f t="shared" ca="1" si="145"/>
        <v>0</v>
      </c>
      <c r="AS177" s="1">
        <f t="shared" ca="1" si="146"/>
        <v>33</v>
      </c>
      <c r="AU177" s="1">
        <f t="shared" ca="1" si="147"/>
        <v>209</v>
      </c>
      <c r="AV177" s="1">
        <f t="shared" ca="1" si="148"/>
        <v>8</v>
      </c>
      <c r="AW177" s="1">
        <f t="shared" ca="1" si="149"/>
        <v>5.1555037833027763E-2</v>
      </c>
      <c r="AY177" s="1">
        <f t="shared" ca="1" si="150"/>
        <v>1.2946827417464308</v>
      </c>
      <c r="AZ177" s="1">
        <f t="shared" ca="1" si="151"/>
        <v>284</v>
      </c>
      <c r="BA177" s="1">
        <f t="shared" ca="1" si="152"/>
        <v>4.6932457724722871E-3</v>
      </c>
      <c r="BV177" s="1">
        <f t="shared" ca="1" si="153"/>
        <v>0.92739547519268073</v>
      </c>
      <c r="BW177" s="1">
        <f t="shared" ca="1" si="154"/>
        <v>475</v>
      </c>
      <c r="BX177" s="1">
        <f t="shared" ca="1" si="155"/>
        <v>9.3281372998273518E-4</v>
      </c>
      <c r="BY177" s="1">
        <f t="shared" ca="1" si="156"/>
        <v>7.4860815884822601E-2</v>
      </c>
      <c r="BZ177" s="1">
        <f t="shared" ca="1" si="157"/>
        <v>0.42426151242669019</v>
      </c>
      <c r="CB177" s="1">
        <f t="shared" ca="1" si="158"/>
        <v>82</v>
      </c>
      <c r="CC177" s="1">
        <f t="shared" ca="1" si="159"/>
        <v>7</v>
      </c>
      <c r="CD177" s="1">
        <f t="shared" ca="1" si="160"/>
        <v>0.25164146735829912</v>
      </c>
      <c r="CE177" s="1">
        <f t="shared" ca="1" si="170"/>
        <v>0.69009652584597925</v>
      </c>
      <c r="CF177" s="1">
        <f t="shared" ca="1" si="170"/>
        <v>0.71504533395822056</v>
      </c>
      <c r="CH177" s="3">
        <f t="shared" ca="1" si="162"/>
        <v>0.30825181014796971</v>
      </c>
      <c r="CI177" s="3">
        <f t="shared" ca="1" si="163"/>
        <v>0.63209023694363708</v>
      </c>
      <c r="CJ177" s="3">
        <f t="shared" ca="1" si="164"/>
        <v>1737</v>
      </c>
      <c r="CK177" s="3">
        <f t="shared" ca="1" si="165"/>
        <v>7.6089272190044376E-3</v>
      </c>
      <c r="CL177" s="3">
        <f t="shared" ca="1" si="166"/>
        <v>1</v>
      </c>
      <c r="CM177" s="3"/>
      <c r="CN177" s="1">
        <f t="shared" ca="1" si="167"/>
        <v>9.2365446684243064</v>
      </c>
      <c r="CO177" s="1">
        <f t="shared" ca="1" si="168"/>
        <v>0.18140363697328862</v>
      </c>
      <c r="CP177" s="1">
        <f t="shared" ca="1" si="169"/>
        <v>1</v>
      </c>
    </row>
    <row r="178" spans="2:94" x14ac:dyDescent="0.25">
      <c r="B178">
        <f t="shared" ca="1" si="114"/>
        <v>423</v>
      </c>
      <c r="C178">
        <f t="shared" ca="1" si="115"/>
        <v>32</v>
      </c>
      <c r="D178">
        <f t="shared" ca="1" si="116"/>
        <v>0.27257578538648003</v>
      </c>
      <c r="F178" s="1">
        <f t="shared" ca="1" si="117"/>
        <v>37</v>
      </c>
      <c r="G178" s="1">
        <f t="shared" ca="1" si="118"/>
        <v>28</v>
      </c>
      <c r="H178" s="1">
        <f t="shared" ca="1" si="119"/>
        <v>6</v>
      </c>
      <c r="I178" s="1"/>
      <c r="J178" s="1">
        <f t="shared" ca="1" si="120"/>
        <v>38</v>
      </c>
      <c r="K178" s="1">
        <f t="shared" ca="1" si="121"/>
        <v>2.9951988399588361</v>
      </c>
      <c r="L178" s="1">
        <f t="shared" ca="1" si="122"/>
        <v>18</v>
      </c>
      <c r="M178" s="1"/>
      <c r="N178" s="1">
        <f t="shared" ca="1" si="123"/>
        <v>947</v>
      </c>
      <c r="O178" s="1">
        <f t="shared" ca="1" si="124"/>
        <v>8</v>
      </c>
      <c r="P178" s="1"/>
      <c r="Q178" s="1">
        <f t="shared" ca="1" si="125"/>
        <v>0.68332875341789467</v>
      </c>
      <c r="R178" s="1">
        <f t="shared" ca="1" si="126"/>
        <v>844</v>
      </c>
      <c r="S178" s="1"/>
      <c r="T178" s="1">
        <f t="shared" ca="1" si="127"/>
        <v>4.5838822810722865E-2</v>
      </c>
      <c r="U178" s="1">
        <f t="shared" ca="1" si="128"/>
        <v>113</v>
      </c>
      <c r="V178" s="1">
        <f t="shared" ca="1" si="129"/>
        <v>30</v>
      </c>
      <c r="W178" s="1"/>
      <c r="X178" s="1">
        <f t="shared" ca="1" si="130"/>
        <v>6.4008041479423436</v>
      </c>
      <c r="Y178" s="1">
        <f t="shared" ca="1" si="131"/>
        <v>0.34235245446772256</v>
      </c>
      <c r="Z178" s="1">
        <f t="shared" ca="1" si="132"/>
        <v>960</v>
      </c>
      <c r="AB178" s="1">
        <f t="shared" ca="1" si="133"/>
        <v>0.76563916791522224</v>
      </c>
      <c r="AC178" s="1">
        <f t="shared" ca="1" si="134"/>
        <v>895</v>
      </c>
      <c r="AD178" s="1">
        <f t="shared" ca="1" si="135"/>
        <v>6.9518247201604717E-3</v>
      </c>
      <c r="AE178" s="1"/>
      <c r="AF178" s="1">
        <f t="shared" ca="1" si="136"/>
        <v>0.24508460814541771</v>
      </c>
      <c r="AG178" s="1">
        <f t="shared" ca="1" si="137"/>
        <v>744</v>
      </c>
      <c r="AH178" s="1">
        <f t="shared" ca="1" si="138"/>
        <v>4.8988446433573642E-3</v>
      </c>
      <c r="AJ178" s="1">
        <f t="shared" ca="1" si="139"/>
        <v>0.65608514640637194</v>
      </c>
      <c r="AK178" s="1">
        <f t="shared" ca="1" si="140"/>
        <v>2.7958386615191699E-3</v>
      </c>
      <c r="AL178" s="1"/>
      <c r="AM178" s="1">
        <f t="shared" ca="1" si="141"/>
        <v>7.1436806188565141E-2</v>
      </c>
      <c r="AN178" s="1">
        <f t="shared" ca="1" si="142"/>
        <v>64</v>
      </c>
      <c r="AO178" s="1">
        <f t="shared" ca="1" si="143"/>
        <v>9</v>
      </c>
      <c r="AQ178" s="1">
        <f t="shared" ca="1" si="144"/>
        <v>83</v>
      </c>
      <c r="AR178" s="1">
        <f t="shared" ca="1" si="145"/>
        <v>7</v>
      </c>
      <c r="AS178" s="1">
        <f t="shared" ca="1" si="146"/>
        <v>67</v>
      </c>
      <c r="AU178" s="1">
        <f t="shared" ca="1" si="147"/>
        <v>336</v>
      </c>
      <c r="AV178" s="1">
        <f t="shared" ca="1" si="148"/>
        <v>9</v>
      </c>
      <c r="AW178" s="1">
        <f t="shared" ca="1" si="149"/>
        <v>9.1224687560364809E-2</v>
      </c>
      <c r="AY178" s="1">
        <f t="shared" ca="1" si="150"/>
        <v>1.6039146778956845</v>
      </c>
      <c r="AZ178" s="1">
        <f t="shared" ca="1" si="151"/>
        <v>222</v>
      </c>
      <c r="BA178" s="1">
        <f t="shared" ca="1" si="152"/>
        <v>2.3613943751773447E-3</v>
      </c>
      <c r="BV178" s="1">
        <f t="shared" ca="1" si="153"/>
        <v>0.14050737775958125</v>
      </c>
      <c r="BW178" s="1">
        <f t="shared" ca="1" si="154"/>
        <v>438</v>
      </c>
      <c r="BX178" s="1">
        <f t="shared" ca="1" si="155"/>
        <v>8.5490384624364053E-3</v>
      </c>
      <c r="BY178" s="1">
        <f t="shared" ca="1" si="156"/>
        <v>2.1500316467202317E-2</v>
      </c>
      <c r="BZ178" s="1">
        <f t="shared" ca="1" si="157"/>
        <v>0.30422206335726376</v>
      </c>
      <c r="CB178" s="1">
        <f t="shared" ca="1" si="158"/>
        <v>452</v>
      </c>
      <c r="CC178" s="1">
        <f t="shared" ca="1" si="159"/>
        <v>9</v>
      </c>
      <c r="CD178" s="1">
        <f t="shared" ca="1" si="160"/>
        <v>0.10853196560994854</v>
      </c>
      <c r="CE178" s="1">
        <f t="shared" ca="1" si="170"/>
        <v>0.69284384491823625</v>
      </c>
      <c r="CF178" s="1">
        <f t="shared" ca="1" si="170"/>
        <v>0.94847108978537031</v>
      </c>
      <c r="CH178" s="3">
        <f t="shared" ca="1" si="162"/>
        <v>0.89652390926691816</v>
      </c>
      <c r="CI178" s="3">
        <f t="shared" ca="1" si="163"/>
        <v>0.60337905156838922</v>
      </c>
      <c r="CJ178" s="3">
        <f t="shared" ca="1" si="164"/>
        <v>1701</v>
      </c>
      <c r="CK178" s="3">
        <f t="shared" ca="1" si="165"/>
        <v>3.1190851279231783E-3</v>
      </c>
      <c r="CL178" s="3">
        <f t="shared" ca="1" si="166"/>
        <v>1</v>
      </c>
      <c r="CM178" s="3"/>
      <c r="CN178" s="1">
        <f t="shared" ca="1" si="167"/>
        <v>11.593026203920417</v>
      </c>
      <c r="CO178" s="1">
        <f t="shared" ca="1" si="168"/>
        <v>0.15471276254443292</v>
      </c>
      <c r="CP178" s="1">
        <f t="shared" ca="1" si="169"/>
        <v>5</v>
      </c>
    </row>
    <row r="179" spans="2:94" x14ac:dyDescent="0.25">
      <c r="B179">
        <f t="shared" ca="1" si="114"/>
        <v>391</v>
      </c>
      <c r="C179">
        <f t="shared" ca="1" si="115"/>
        <v>47</v>
      </c>
      <c r="D179">
        <f t="shared" ca="1" si="116"/>
        <v>8.5223031273385749E-2</v>
      </c>
      <c r="F179" s="1">
        <f t="shared" ca="1" si="117"/>
        <v>20</v>
      </c>
      <c r="G179" s="1">
        <f t="shared" ca="1" si="118"/>
        <v>10</v>
      </c>
      <c r="H179" s="1">
        <f t="shared" ca="1" si="119"/>
        <v>6</v>
      </c>
      <c r="I179" s="1"/>
      <c r="J179" s="1">
        <f t="shared" ca="1" si="120"/>
        <v>20</v>
      </c>
      <c r="K179" s="1">
        <f t="shared" ca="1" si="121"/>
        <v>1.5053659579978571</v>
      </c>
      <c r="L179" s="1">
        <f t="shared" ca="1" si="122"/>
        <v>23</v>
      </c>
      <c r="M179" s="1"/>
      <c r="N179" s="1">
        <f t="shared" ca="1" si="123"/>
        <v>475</v>
      </c>
      <c r="O179" s="1">
        <f t="shared" ca="1" si="124"/>
        <v>52</v>
      </c>
      <c r="P179" s="1"/>
      <c r="Q179" s="1">
        <f t="shared" ca="1" si="125"/>
        <v>0.12281907286225917</v>
      </c>
      <c r="R179" s="1">
        <f t="shared" ca="1" si="126"/>
        <v>893</v>
      </c>
      <c r="S179" s="1"/>
      <c r="T179" s="1">
        <f t="shared" ca="1" si="127"/>
        <v>3.2532770254793855E-2</v>
      </c>
      <c r="U179" s="1">
        <f t="shared" ca="1" si="128"/>
        <v>363</v>
      </c>
      <c r="V179" s="1">
        <f t="shared" ca="1" si="129"/>
        <v>44</v>
      </c>
      <c r="W179" s="1"/>
      <c r="X179" s="1">
        <f t="shared" ca="1" si="130"/>
        <v>3.3645332446822405</v>
      </c>
      <c r="Y179" s="1">
        <f t="shared" ca="1" si="131"/>
        <v>0.3477783663705219</v>
      </c>
      <c r="Z179" s="1">
        <f t="shared" ca="1" si="132"/>
        <v>523</v>
      </c>
      <c r="AB179" s="1">
        <f t="shared" ca="1" si="133"/>
        <v>0.75778928811864443</v>
      </c>
      <c r="AC179" s="1">
        <f t="shared" ca="1" si="134"/>
        <v>355</v>
      </c>
      <c r="AD179" s="1">
        <f t="shared" ca="1" si="135"/>
        <v>3.2852104076288316E-4</v>
      </c>
      <c r="AE179" s="1"/>
      <c r="AF179" s="1">
        <f t="shared" ca="1" si="136"/>
        <v>0.57379510995474525</v>
      </c>
      <c r="AG179" s="1">
        <f t="shared" ca="1" si="137"/>
        <v>234</v>
      </c>
      <c r="AH179" s="1">
        <f t="shared" ca="1" si="138"/>
        <v>4.9422979535990209E-3</v>
      </c>
      <c r="AJ179" s="1">
        <f t="shared" ca="1" si="139"/>
        <v>0.91291249140369124</v>
      </c>
      <c r="AK179" s="1">
        <f t="shared" ca="1" si="140"/>
        <v>5.3736169982355501E-3</v>
      </c>
      <c r="AL179" s="1"/>
      <c r="AM179" s="1">
        <f t="shared" ca="1" si="141"/>
        <v>0.18353065113188644</v>
      </c>
      <c r="AN179" s="1">
        <f t="shared" ca="1" si="142"/>
        <v>39</v>
      </c>
      <c r="AO179" s="1">
        <f t="shared" ca="1" si="143"/>
        <v>12</v>
      </c>
      <c r="AQ179" s="1">
        <f t="shared" ca="1" si="144"/>
        <v>58</v>
      </c>
      <c r="AR179" s="1">
        <f t="shared" ca="1" si="145"/>
        <v>10</v>
      </c>
      <c r="AS179" s="1">
        <f t="shared" ca="1" si="146"/>
        <v>95</v>
      </c>
      <c r="AU179" s="1">
        <f t="shared" ca="1" si="147"/>
        <v>187</v>
      </c>
      <c r="AV179" s="1">
        <f t="shared" ca="1" si="148"/>
        <v>3</v>
      </c>
      <c r="AW179" s="1">
        <f t="shared" ca="1" si="149"/>
        <v>0.19519620732059467</v>
      </c>
      <c r="AY179" s="1">
        <f t="shared" ca="1" si="150"/>
        <v>1.767484038420668</v>
      </c>
      <c r="AZ179" s="1">
        <f t="shared" ca="1" si="151"/>
        <v>276</v>
      </c>
      <c r="BA179" s="1">
        <f t="shared" ca="1" si="152"/>
        <v>2.2937808498852633E-3</v>
      </c>
      <c r="BV179" s="1">
        <f t="shared" ca="1" si="153"/>
        <v>0.11489817441241006</v>
      </c>
      <c r="BW179" s="1">
        <f t="shared" ca="1" si="154"/>
        <v>206</v>
      </c>
      <c r="BX179" s="1">
        <f t="shared" ca="1" si="155"/>
        <v>7.0788961298355489E-3</v>
      </c>
      <c r="BY179" s="1">
        <f t="shared" ca="1" si="156"/>
        <v>9.1382332580692463E-2</v>
      </c>
      <c r="BZ179" s="1">
        <f t="shared" ca="1" si="157"/>
        <v>0.84591027531986906</v>
      </c>
      <c r="CB179" s="1">
        <f t="shared" ca="1" si="158"/>
        <v>89</v>
      </c>
      <c r="CC179" s="1">
        <f t="shared" ca="1" si="159"/>
        <v>9</v>
      </c>
      <c r="CD179" s="1">
        <f t="shared" ca="1" si="160"/>
        <v>4.4155855729947673E-2</v>
      </c>
      <c r="CE179" s="1">
        <f t="shared" ca="1" si="170"/>
        <v>0.90791031041203041</v>
      </c>
      <c r="CF179" s="1">
        <f t="shared" ca="1" si="170"/>
        <v>0.6698625149688644</v>
      </c>
      <c r="CH179" s="3">
        <f t="shared" ca="1" si="162"/>
        <v>0.45392825893203503</v>
      </c>
      <c r="CI179" s="3">
        <f t="shared" ca="1" si="163"/>
        <v>0.7090133862704141</v>
      </c>
      <c r="CJ179" s="3">
        <f t="shared" ca="1" si="164"/>
        <v>1908</v>
      </c>
      <c r="CK179" s="3">
        <f t="shared" ca="1" si="165"/>
        <v>2.7675623972975485E-3</v>
      </c>
      <c r="CL179" s="3">
        <f t="shared" ca="1" si="166"/>
        <v>0</v>
      </c>
      <c r="CM179" s="3"/>
      <c r="CN179" s="1">
        <f t="shared" ca="1" si="167"/>
        <v>11.282531025956395</v>
      </c>
      <c r="CO179" s="1">
        <f t="shared" ca="1" si="168"/>
        <v>0.25053848303109749</v>
      </c>
      <c r="CP179" s="1">
        <f t="shared" ca="1" si="169"/>
        <v>3</v>
      </c>
    </row>
    <row r="180" spans="2:94" x14ac:dyDescent="0.25">
      <c r="B180">
        <f t="shared" ca="1" si="114"/>
        <v>175</v>
      </c>
      <c r="C180">
        <f t="shared" ca="1" si="115"/>
        <v>32</v>
      </c>
      <c r="D180">
        <f t="shared" ca="1" si="116"/>
        <v>0.13301929757517147</v>
      </c>
      <c r="F180" s="1">
        <f t="shared" ca="1" si="117"/>
        <v>46</v>
      </c>
      <c r="G180" s="1">
        <f t="shared" ca="1" si="118"/>
        <v>30</v>
      </c>
      <c r="H180" s="1">
        <f t="shared" ca="1" si="119"/>
        <v>11</v>
      </c>
      <c r="I180" s="1"/>
      <c r="J180" s="1">
        <f t="shared" ca="1" si="120"/>
        <v>38</v>
      </c>
      <c r="K180" s="1">
        <f t="shared" ca="1" si="121"/>
        <v>2.3978865439031356</v>
      </c>
      <c r="L180" s="1">
        <f t="shared" ca="1" si="122"/>
        <v>32</v>
      </c>
      <c r="M180" s="1"/>
      <c r="N180" s="1">
        <f t="shared" ca="1" si="123"/>
        <v>775</v>
      </c>
      <c r="O180" s="1">
        <f t="shared" ca="1" si="124"/>
        <v>15</v>
      </c>
      <c r="P180" s="1"/>
      <c r="Q180" s="1">
        <f t="shared" ca="1" si="125"/>
        <v>4.0491793508468152</v>
      </c>
      <c r="R180" s="1">
        <f t="shared" ca="1" si="126"/>
        <v>835</v>
      </c>
      <c r="S180" s="1"/>
      <c r="T180" s="1">
        <f t="shared" ca="1" si="127"/>
        <v>7.3003748142607405E-2</v>
      </c>
      <c r="U180" s="1">
        <f t="shared" ca="1" si="128"/>
        <v>85</v>
      </c>
      <c r="V180" s="1">
        <f t="shared" ca="1" si="129"/>
        <v>46</v>
      </c>
      <c r="W180" s="1"/>
      <c r="X180" s="1">
        <f t="shared" ca="1" si="130"/>
        <v>1.1320009916189646</v>
      </c>
      <c r="Y180" s="1">
        <f t="shared" ca="1" si="131"/>
        <v>0.14197289988862313</v>
      </c>
      <c r="Z180" s="1">
        <f t="shared" ca="1" si="132"/>
        <v>1577</v>
      </c>
      <c r="AB180" s="1">
        <f t="shared" ca="1" si="133"/>
        <v>0.66592495237785532</v>
      </c>
      <c r="AC180" s="1">
        <f t="shared" ca="1" si="134"/>
        <v>918</v>
      </c>
      <c r="AD180" s="1">
        <f t="shared" ca="1" si="135"/>
        <v>5.9184387330970525E-3</v>
      </c>
      <c r="AE180" s="1"/>
      <c r="AF180" s="1">
        <f t="shared" ca="1" si="136"/>
        <v>0.2735580743078323</v>
      </c>
      <c r="AG180" s="1">
        <f t="shared" ca="1" si="137"/>
        <v>810</v>
      </c>
      <c r="AH180" s="1">
        <f t="shared" ca="1" si="138"/>
        <v>8.8438961001822396E-3</v>
      </c>
      <c r="AJ180" s="1">
        <f t="shared" ca="1" si="139"/>
        <v>0.62097675424159049</v>
      </c>
      <c r="AK180" s="1">
        <f t="shared" ca="1" si="140"/>
        <v>2.852092943861414E-3</v>
      </c>
      <c r="AL180" s="1"/>
      <c r="AM180" s="1">
        <f t="shared" ca="1" si="141"/>
        <v>0.19507573558235988</v>
      </c>
      <c r="AN180" s="1">
        <f t="shared" ca="1" si="142"/>
        <v>78</v>
      </c>
      <c r="AO180" s="1">
        <f t="shared" ca="1" si="143"/>
        <v>4</v>
      </c>
      <c r="AQ180" s="1">
        <f t="shared" ca="1" si="144"/>
        <v>181</v>
      </c>
      <c r="AR180" s="1">
        <f t="shared" ca="1" si="145"/>
        <v>1</v>
      </c>
      <c r="AS180" s="1">
        <f t="shared" ca="1" si="146"/>
        <v>79</v>
      </c>
      <c r="AU180" s="1">
        <f t="shared" ca="1" si="147"/>
        <v>187</v>
      </c>
      <c r="AV180" s="1">
        <f t="shared" ca="1" si="148"/>
        <v>3</v>
      </c>
      <c r="AW180" s="1">
        <f t="shared" ca="1" si="149"/>
        <v>0.19397549296178143</v>
      </c>
      <c r="AY180" s="1">
        <f t="shared" ca="1" si="150"/>
        <v>1.4137140857864534</v>
      </c>
      <c r="AZ180" s="1">
        <f t="shared" ca="1" si="151"/>
        <v>314</v>
      </c>
      <c r="BA180" s="1">
        <f t="shared" ca="1" si="152"/>
        <v>7.7463227858578518E-3</v>
      </c>
      <c r="BV180" s="1">
        <f t="shared" ca="1" si="153"/>
        <v>0.29627696020909838</v>
      </c>
      <c r="BW180" s="1">
        <f t="shared" ca="1" si="154"/>
        <v>618</v>
      </c>
      <c r="BX180" s="1">
        <f t="shared" ca="1" si="155"/>
        <v>5.7084881024078429E-3</v>
      </c>
      <c r="BY180" s="1">
        <f t="shared" ca="1" si="156"/>
        <v>5.1458513290601249E-2</v>
      </c>
      <c r="BZ180" s="1">
        <f t="shared" ca="1" si="157"/>
        <v>0.78038986362124974</v>
      </c>
      <c r="CB180" s="1">
        <f t="shared" ca="1" si="158"/>
        <v>418</v>
      </c>
      <c r="CC180" s="1">
        <f t="shared" ca="1" si="159"/>
        <v>7</v>
      </c>
      <c r="CD180" s="1">
        <f t="shared" ca="1" si="160"/>
        <v>5.9286167444695406E-2</v>
      </c>
      <c r="CE180" s="1">
        <f t="shared" ca="1" si="170"/>
        <v>0.65747026840985678</v>
      </c>
      <c r="CF180" s="1">
        <f t="shared" ca="1" si="170"/>
        <v>0.62577171148657773</v>
      </c>
      <c r="CH180" s="3">
        <f t="shared" ca="1" si="162"/>
        <v>0.19149621701472505</v>
      </c>
      <c r="CI180" s="3">
        <f t="shared" ca="1" si="163"/>
        <v>0.97822850348397417</v>
      </c>
      <c r="CJ180" s="3">
        <f t="shared" ca="1" si="164"/>
        <v>247</v>
      </c>
      <c r="CK180" s="3">
        <f t="shared" ca="1" si="165"/>
        <v>4.5762443796575885E-3</v>
      </c>
      <c r="CL180" s="3">
        <f t="shared" ca="1" si="166"/>
        <v>1</v>
      </c>
      <c r="CM180" s="3"/>
      <c r="CN180" s="1">
        <f t="shared" ca="1" si="167"/>
        <v>15.823708237118554</v>
      </c>
      <c r="CO180" s="1">
        <f t="shared" ca="1" si="168"/>
        <v>0.18933717365561922</v>
      </c>
      <c r="CP180" s="1">
        <f t="shared" ca="1" si="169"/>
        <v>4</v>
      </c>
    </row>
    <row r="181" spans="2:94" x14ac:dyDescent="0.25">
      <c r="B181">
        <f t="shared" ca="1" si="114"/>
        <v>109</v>
      </c>
      <c r="C181">
        <f t="shared" ca="1" si="115"/>
        <v>48</v>
      </c>
      <c r="D181">
        <f t="shared" ca="1" si="116"/>
        <v>0.12313850511217631</v>
      </c>
      <c r="F181" s="1">
        <f t="shared" ca="1" si="117"/>
        <v>49</v>
      </c>
      <c r="G181" s="1">
        <f t="shared" ca="1" si="118"/>
        <v>20</v>
      </c>
      <c r="H181" s="1">
        <f t="shared" ca="1" si="119"/>
        <v>1</v>
      </c>
      <c r="I181" s="1"/>
      <c r="J181" s="1">
        <f t="shared" ca="1" si="120"/>
        <v>33</v>
      </c>
      <c r="K181" s="1">
        <f t="shared" ca="1" si="121"/>
        <v>1.1724144619336594</v>
      </c>
      <c r="L181" s="1">
        <f t="shared" ca="1" si="122"/>
        <v>20</v>
      </c>
      <c r="M181" s="1"/>
      <c r="N181" s="1">
        <f t="shared" ca="1" si="123"/>
        <v>392</v>
      </c>
      <c r="O181" s="1">
        <f t="shared" ca="1" si="124"/>
        <v>30</v>
      </c>
      <c r="P181" s="1"/>
      <c r="Q181" s="1">
        <f t="shared" ca="1" si="125"/>
        <v>1.1371352970293198</v>
      </c>
      <c r="R181" s="1">
        <f t="shared" ca="1" si="126"/>
        <v>1098</v>
      </c>
      <c r="S181" s="1"/>
      <c r="T181" s="1">
        <f t="shared" ca="1" si="127"/>
        <v>0.13871325952966668</v>
      </c>
      <c r="U181" s="1">
        <f t="shared" ca="1" si="128"/>
        <v>360</v>
      </c>
      <c r="V181" s="1">
        <f t="shared" ca="1" si="129"/>
        <v>42</v>
      </c>
      <c r="W181" s="1"/>
      <c r="X181" s="1">
        <f t="shared" ca="1" si="130"/>
        <v>7.4614762915792809</v>
      </c>
      <c r="Y181" s="1">
        <f t="shared" ca="1" si="131"/>
        <v>0.12643866340020221</v>
      </c>
      <c r="Z181" s="1">
        <f t="shared" ca="1" si="132"/>
        <v>823</v>
      </c>
      <c r="AB181" s="1">
        <f t="shared" ca="1" si="133"/>
        <v>0.71759214197654608</v>
      </c>
      <c r="AC181" s="1">
        <f t="shared" ca="1" si="134"/>
        <v>217</v>
      </c>
      <c r="AD181" s="1">
        <f t="shared" ca="1" si="135"/>
        <v>7.6336601808480783E-3</v>
      </c>
      <c r="AE181" s="1"/>
      <c r="AF181" s="1">
        <f t="shared" ca="1" si="136"/>
        <v>0.78624114382403443</v>
      </c>
      <c r="AG181" s="1">
        <f t="shared" ca="1" si="137"/>
        <v>419</v>
      </c>
      <c r="AH181" s="1">
        <f t="shared" ca="1" si="138"/>
        <v>6.1204751873645347E-3</v>
      </c>
      <c r="AJ181" s="1">
        <f t="shared" ca="1" si="139"/>
        <v>3.9406873500046902E-2</v>
      </c>
      <c r="AK181" s="1">
        <f t="shared" ca="1" si="140"/>
        <v>7.8451544391012768E-4</v>
      </c>
      <c r="AL181" s="1"/>
      <c r="AM181" s="1">
        <f t="shared" ca="1" si="141"/>
        <v>0.10922635456580233</v>
      </c>
      <c r="AN181" s="1">
        <f t="shared" ca="1" si="142"/>
        <v>55</v>
      </c>
      <c r="AO181" s="1">
        <f t="shared" ca="1" si="143"/>
        <v>20</v>
      </c>
      <c r="AQ181" s="1">
        <f t="shared" ca="1" si="144"/>
        <v>57</v>
      </c>
      <c r="AR181" s="1">
        <f t="shared" ca="1" si="145"/>
        <v>7</v>
      </c>
      <c r="AS181" s="1">
        <f t="shared" ca="1" si="146"/>
        <v>81</v>
      </c>
      <c r="AU181" s="1">
        <f t="shared" ca="1" si="147"/>
        <v>97</v>
      </c>
      <c r="AV181" s="1">
        <f t="shared" ca="1" si="148"/>
        <v>3</v>
      </c>
      <c r="AW181" s="1">
        <f t="shared" ca="1" si="149"/>
        <v>4.3407265839930001E-2</v>
      </c>
      <c r="AY181" s="1">
        <f t="shared" ca="1" si="150"/>
        <v>1.1126256569375044</v>
      </c>
      <c r="AZ181" s="1">
        <f t="shared" ca="1" si="151"/>
        <v>483</v>
      </c>
      <c r="BA181" s="1">
        <f t="shared" ca="1" si="152"/>
        <v>3.1715589755631473E-3</v>
      </c>
      <c r="BV181" s="1">
        <f t="shared" ca="1" si="153"/>
        <v>0.16803883458199273</v>
      </c>
      <c r="BW181" s="1">
        <f t="shared" ca="1" si="154"/>
        <v>646</v>
      </c>
      <c r="BX181" s="1">
        <f t="shared" ca="1" si="155"/>
        <v>1.3250698343145579E-3</v>
      </c>
      <c r="BY181" s="1">
        <f t="shared" ca="1" si="156"/>
        <v>4.1323835009903734E-2</v>
      </c>
      <c r="BZ181" s="1">
        <f t="shared" ca="1" si="157"/>
        <v>0.30851451206236846</v>
      </c>
      <c r="CB181" s="1">
        <f t="shared" ca="1" si="158"/>
        <v>346</v>
      </c>
      <c r="CC181" s="1">
        <f t="shared" ca="1" si="159"/>
        <v>7</v>
      </c>
      <c r="CD181" s="1">
        <f t="shared" ca="1" si="160"/>
        <v>0.14677922250191269</v>
      </c>
      <c r="CE181" s="1">
        <f t="shared" ca="1" si="170"/>
        <v>0.6601179812423319</v>
      </c>
      <c r="CF181" s="1">
        <f t="shared" ca="1" si="170"/>
        <v>0.78931913668778964</v>
      </c>
      <c r="CH181" s="3">
        <f t="shared" ca="1" si="162"/>
        <v>0.25730049900284879</v>
      </c>
      <c r="CI181" s="3">
        <f t="shared" ca="1" si="163"/>
        <v>5.8670290831155429E-2</v>
      </c>
      <c r="CJ181" s="3">
        <f t="shared" ca="1" si="164"/>
        <v>1284</v>
      </c>
      <c r="CK181" s="3">
        <f t="shared" ca="1" si="165"/>
        <v>2.6483008121611809E-3</v>
      </c>
      <c r="CL181" s="3">
        <f t="shared" ca="1" si="166"/>
        <v>1</v>
      </c>
      <c r="CM181" s="3"/>
      <c r="CN181" s="1">
        <f t="shared" ca="1" si="167"/>
        <v>7.1696447190646575</v>
      </c>
      <c r="CO181" s="1">
        <f t="shared" ca="1" si="168"/>
        <v>0.3273560104943799</v>
      </c>
      <c r="CP181" s="1">
        <f t="shared" ca="1" si="169"/>
        <v>3</v>
      </c>
    </row>
    <row r="182" spans="2:94" x14ac:dyDescent="0.25">
      <c r="B182">
        <f t="shared" ca="1" si="114"/>
        <v>83</v>
      </c>
      <c r="C182">
        <f t="shared" ca="1" si="115"/>
        <v>37</v>
      </c>
      <c r="D182">
        <f t="shared" ca="1" si="116"/>
        <v>9.0941950632575291E-2</v>
      </c>
      <c r="F182" s="1">
        <f t="shared" ca="1" si="117"/>
        <v>12</v>
      </c>
      <c r="G182" s="1">
        <f t="shared" ca="1" si="118"/>
        <v>16</v>
      </c>
      <c r="H182" s="1">
        <f t="shared" ca="1" si="119"/>
        <v>8</v>
      </c>
      <c r="I182" s="1"/>
      <c r="J182" s="1">
        <f t="shared" ca="1" si="120"/>
        <v>33</v>
      </c>
      <c r="K182" s="1">
        <f t="shared" ca="1" si="121"/>
        <v>1.4662298517482653</v>
      </c>
      <c r="L182" s="1">
        <f t="shared" ca="1" si="122"/>
        <v>16</v>
      </c>
      <c r="M182" s="1"/>
      <c r="N182" s="1">
        <f t="shared" ca="1" si="123"/>
        <v>31</v>
      </c>
      <c r="O182" s="1">
        <f t="shared" ca="1" si="124"/>
        <v>46</v>
      </c>
      <c r="P182" s="1"/>
      <c r="Q182" s="1">
        <f t="shared" ca="1" si="125"/>
        <v>2.4352635104750884</v>
      </c>
      <c r="R182" s="1">
        <f t="shared" ca="1" si="126"/>
        <v>536</v>
      </c>
      <c r="S182" s="1"/>
      <c r="T182" s="1">
        <f t="shared" ca="1" si="127"/>
        <v>0.13874281713616268</v>
      </c>
      <c r="U182" s="1">
        <f t="shared" ca="1" si="128"/>
        <v>97</v>
      </c>
      <c r="V182" s="1">
        <f t="shared" ca="1" si="129"/>
        <v>18</v>
      </c>
      <c r="W182" s="1"/>
      <c r="X182" s="1">
        <f t="shared" ca="1" si="130"/>
        <v>5.5630058204108055</v>
      </c>
      <c r="Y182" s="1">
        <f t="shared" ca="1" si="131"/>
        <v>7.6884520401305917E-2</v>
      </c>
      <c r="Z182" s="1">
        <f t="shared" ca="1" si="132"/>
        <v>356</v>
      </c>
      <c r="AB182" s="1">
        <f t="shared" ca="1" si="133"/>
        <v>0.4762356212115007</v>
      </c>
      <c r="AC182" s="1">
        <f t="shared" ca="1" si="134"/>
        <v>369</v>
      </c>
      <c r="AD182" s="1">
        <f t="shared" ca="1" si="135"/>
        <v>5.1805374992158993E-3</v>
      </c>
      <c r="AE182" s="1"/>
      <c r="AF182" s="1">
        <f t="shared" ca="1" si="136"/>
        <v>0.13919832242839414</v>
      </c>
      <c r="AG182" s="1">
        <f t="shared" ca="1" si="137"/>
        <v>892</v>
      </c>
      <c r="AH182" s="1">
        <f t="shared" ca="1" si="138"/>
        <v>6.2649372492566734E-3</v>
      </c>
      <c r="AJ182" s="1">
        <f t="shared" ca="1" si="139"/>
        <v>0.1908764452610151</v>
      </c>
      <c r="AK182" s="1">
        <f t="shared" ca="1" si="140"/>
        <v>7.262285131406118E-3</v>
      </c>
      <c r="AL182" s="1"/>
      <c r="AM182" s="1">
        <f t="shared" ca="1" si="141"/>
        <v>0.16879595596337713</v>
      </c>
      <c r="AN182" s="1">
        <f t="shared" ca="1" si="142"/>
        <v>38</v>
      </c>
      <c r="AO182" s="1">
        <f t="shared" ca="1" si="143"/>
        <v>19</v>
      </c>
      <c r="AQ182" s="1">
        <f t="shared" ca="1" si="144"/>
        <v>156</v>
      </c>
      <c r="AR182" s="1">
        <f t="shared" ca="1" si="145"/>
        <v>10</v>
      </c>
      <c r="AS182" s="1">
        <f t="shared" ca="1" si="146"/>
        <v>70</v>
      </c>
      <c r="AU182" s="1">
        <f t="shared" ca="1" si="147"/>
        <v>383</v>
      </c>
      <c r="AV182" s="1">
        <f t="shared" ca="1" si="148"/>
        <v>3</v>
      </c>
      <c r="AW182" s="1">
        <f t="shared" ca="1" si="149"/>
        <v>0.10626550012275734</v>
      </c>
      <c r="AY182" s="1">
        <f t="shared" ca="1" si="150"/>
        <v>1.610089108217295</v>
      </c>
      <c r="AZ182" s="1">
        <f t="shared" ca="1" si="151"/>
        <v>284</v>
      </c>
      <c r="BA182" s="1">
        <f t="shared" ca="1" si="152"/>
        <v>6.2157177144418945E-3</v>
      </c>
      <c r="BV182" s="1">
        <f t="shared" ca="1" si="153"/>
        <v>0.3384629813777566</v>
      </c>
      <c r="BW182" s="1">
        <f t="shared" ca="1" si="154"/>
        <v>121</v>
      </c>
      <c r="BX182" s="1">
        <f t="shared" ca="1" si="155"/>
        <v>8.2993858619679808E-3</v>
      </c>
      <c r="BY182" s="1">
        <f t="shared" ca="1" si="156"/>
        <v>9.5602304951305173E-2</v>
      </c>
      <c r="BZ182" s="1">
        <f t="shared" ca="1" si="157"/>
        <v>0.35995127293731688</v>
      </c>
      <c r="CB182" s="1">
        <f t="shared" ca="1" si="158"/>
        <v>258</v>
      </c>
      <c r="CC182" s="1">
        <f t="shared" ca="1" si="159"/>
        <v>8</v>
      </c>
      <c r="CD182" s="1">
        <f t="shared" ca="1" si="160"/>
        <v>0.26323028265973242</v>
      </c>
      <c r="CE182" s="1">
        <f t="shared" ca="1" si="170"/>
        <v>0.55194864941571931</v>
      </c>
      <c r="CF182" s="1">
        <f t="shared" ca="1" si="170"/>
        <v>0.64225993518654501</v>
      </c>
      <c r="CH182" s="3">
        <f t="shared" ca="1" si="162"/>
        <v>9.706194760592872E-2</v>
      </c>
      <c r="CI182" s="3">
        <f t="shared" ca="1" si="163"/>
        <v>0.93351172702772034</v>
      </c>
      <c r="CJ182" s="3">
        <f t="shared" ca="1" si="164"/>
        <v>2000</v>
      </c>
      <c r="CK182" s="3">
        <f t="shared" ca="1" si="165"/>
        <v>6.8932312687362569E-3</v>
      </c>
      <c r="CL182" s="3">
        <f t="shared" ca="1" si="166"/>
        <v>1</v>
      </c>
      <c r="CM182" s="3"/>
      <c r="CN182" s="1">
        <f t="shared" ca="1" si="167"/>
        <v>5.5529448619350488</v>
      </c>
      <c r="CO182" s="1">
        <f t="shared" ca="1" si="168"/>
        <v>0.18716017726672843</v>
      </c>
      <c r="CP182" s="1">
        <f t="shared" ca="1" si="169"/>
        <v>4</v>
      </c>
    </row>
    <row r="183" spans="2:94" x14ac:dyDescent="0.25">
      <c r="B183">
        <f t="shared" ca="1" si="114"/>
        <v>172</v>
      </c>
      <c r="C183">
        <f t="shared" ca="1" si="115"/>
        <v>46</v>
      </c>
      <c r="D183">
        <f t="shared" ca="1" si="116"/>
        <v>0.14955903381255453</v>
      </c>
      <c r="F183" s="1">
        <f t="shared" ca="1" si="117"/>
        <v>28</v>
      </c>
      <c r="G183" s="1">
        <f t="shared" ca="1" si="118"/>
        <v>4</v>
      </c>
      <c r="H183" s="1">
        <f t="shared" ca="1" si="119"/>
        <v>15</v>
      </c>
      <c r="I183" s="1"/>
      <c r="J183" s="1">
        <f t="shared" ca="1" si="120"/>
        <v>19</v>
      </c>
      <c r="K183" s="1">
        <f t="shared" ca="1" si="121"/>
        <v>1.9370231300231253</v>
      </c>
      <c r="L183" s="1">
        <f t="shared" ca="1" si="122"/>
        <v>3</v>
      </c>
      <c r="M183" s="1"/>
      <c r="N183" s="1">
        <f t="shared" ca="1" si="123"/>
        <v>566</v>
      </c>
      <c r="O183" s="1">
        <f t="shared" ca="1" si="124"/>
        <v>37</v>
      </c>
      <c r="P183" s="1"/>
      <c r="Q183" s="1">
        <f t="shared" ca="1" si="125"/>
        <v>3.6230991417593708</v>
      </c>
      <c r="R183" s="1">
        <f t="shared" ca="1" si="126"/>
        <v>741</v>
      </c>
      <c r="S183" s="1"/>
      <c r="T183" s="1">
        <f t="shared" ca="1" si="127"/>
        <v>6.5728251457223261E-2</v>
      </c>
      <c r="U183" s="1">
        <f t="shared" ca="1" si="128"/>
        <v>76</v>
      </c>
      <c r="V183" s="1">
        <f t="shared" ca="1" si="129"/>
        <v>5</v>
      </c>
      <c r="W183" s="1"/>
      <c r="X183" s="1">
        <f t="shared" ca="1" si="130"/>
        <v>9.5242277524573797</v>
      </c>
      <c r="Y183" s="1">
        <f t="shared" ca="1" si="131"/>
        <v>0.45726944151355087</v>
      </c>
      <c r="Z183" s="1">
        <f t="shared" ca="1" si="132"/>
        <v>1539</v>
      </c>
      <c r="AB183" s="1">
        <f t="shared" ca="1" si="133"/>
        <v>0.66775702180323626</v>
      </c>
      <c r="AC183" s="1">
        <f t="shared" ca="1" si="134"/>
        <v>385</v>
      </c>
      <c r="AD183" s="1">
        <f t="shared" ca="1" si="135"/>
        <v>8.6960836409635013E-3</v>
      </c>
      <c r="AE183" s="1"/>
      <c r="AF183" s="1">
        <f t="shared" ca="1" si="136"/>
        <v>0.89744031933749846</v>
      </c>
      <c r="AG183" s="1">
        <f t="shared" ca="1" si="137"/>
        <v>202</v>
      </c>
      <c r="AH183" s="1">
        <f t="shared" ca="1" si="138"/>
        <v>2.6062237905763214E-3</v>
      </c>
      <c r="AJ183" s="1">
        <f t="shared" ca="1" si="139"/>
        <v>4.9952013207496315E-2</v>
      </c>
      <c r="AK183" s="1">
        <f t="shared" ca="1" si="140"/>
        <v>2.2245494234544032E-3</v>
      </c>
      <c r="AL183" s="1"/>
      <c r="AM183" s="1">
        <f t="shared" ca="1" si="141"/>
        <v>0.18064675546804643</v>
      </c>
      <c r="AN183" s="1">
        <f t="shared" ca="1" si="142"/>
        <v>48</v>
      </c>
      <c r="AO183" s="1">
        <f t="shared" ca="1" si="143"/>
        <v>11</v>
      </c>
      <c r="AQ183" s="1">
        <f t="shared" ca="1" si="144"/>
        <v>104</v>
      </c>
      <c r="AR183" s="1">
        <f t="shared" ca="1" si="145"/>
        <v>3</v>
      </c>
      <c r="AS183" s="1">
        <f t="shared" ca="1" si="146"/>
        <v>84</v>
      </c>
      <c r="AU183" s="1">
        <f t="shared" ca="1" si="147"/>
        <v>224</v>
      </c>
      <c r="AV183" s="1">
        <f t="shared" ca="1" si="148"/>
        <v>2</v>
      </c>
      <c r="AW183" s="1">
        <f t="shared" ca="1" si="149"/>
        <v>8.2615836209568236E-2</v>
      </c>
      <c r="AY183" s="1">
        <f t="shared" ca="1" si="150"/>
        <v>1.5653567094646921</v>
      </c>
      <c r="AZ183" s="1">
        <f t="shared" ca="1" si="151"/>
        <v>108</v>
      </c>
      <c r="BA183" s="1">
        <f t="shared" ca="1" si="152"/>
        <v>9.1774407955156866E-3</v>
      </c>
      <c r="BV183" s="1">
        <f t="shared" ca="1" si="153"/>
        <v>0.40943993842367921</v>
      </c>
      <c r="BW183" s="1">
        <f t="shared" ca="1" si="154"/>
        <v>549</v>
      </c>
      <c r="BX183" s="1">
        <f t="shared" ca="1" si="155"/>
        <v>5.8605811847006785E-3</v>
      </c>
      <c r="BY183" s="1">
        <f t="shared" ca="1" si="156"/>
        <v>1.0339834274500354E-2</v>
      </c>
      <c r="BZ183" s="1">
        <f t="shared" ca="1" si="157"/>
        <v>1.4211741911882125E-2</v>
      </c>
      <c r="CB183" s="1">
        <f t="shared" ca="1" si="158"/>
        <v>299</v>
      </c>
      <c r="CC183" s="1">
        <f t="shared" ca="1" si="159"/>
        <v>9</v>
      </c>
      <c r="CD183" s="1">
        <f t="shared" ca="1" si="160"/>
        <v>0.21989256562859499</v>
      </c>
      <c r="CE183" s="1">
        <f t="shared" ca="1" si="170"/>
        <v>0.79739828335412122</v>
      </c>
      <c r="CF183" s="1">
        <f t="shared" ca="1" si="170"/>
        <v>0.75777158335913997</v>
      </c>
      <c r="CH183" s="3">
        <f t="shared" ca="1" si="162"/>
        <v>1.5610030654574305E-2</v>
      </c>
      <c r="CI183" s="3">
        <f t="shared" ca="1" si="163"/>
        <v>0.78306726151141204</v>
      </c>
      <c r="CJ183" s="3">
        <f t="shared" ca="1" si="164"/>
        <v>712</v>
      </c>
      <c r="CK183" s="3">
        <f t="shared" ca="1" si="165"/>
        <v>5.6386380960865741E-3</v>
      </c>
      <c r="CL183" s="3">
        <f t="shared" ca="1" si="166"/>
        <v>0</v>
      </c>
      <c r="CM183" s="3"/>
      <c r="CN183" s="1">
        <f t="shared" ca="1" si="167"/>
        <v>5.2402358282911905</v>
      </c>
      <c r="CO183" s="1">
        <f t="shared" ca="1" si="168"/>
        <v>0.42214359392758521</v>
      </c>
      <c r="CP183" s="1">
        <f t="shared" ca="1" si="169"/>
        <v>4</v>
      </c>
    </row>
    <row r="184" spans="2:94" x14ac:dyDescent="0.25">
      <c r="B184">
        <f t="shared" ca="1" si="114"/>
        <v>105</v>
      </c>
      <c r="C184">
        <f t="shared" ca="1" si="115"/>
        <v>44</v>
      </c>
      <c r="D184">
        <f t="shared" ca="1" si="116"/>
        <v>2.1421121862951586E-2</v>
      </c>
      <c r="F184" s="1">
        <f t="shared" ca="1" si="117"/>
        <v>25</v>
      </c>
      <c r="G184" s="1">
        <f t="shared" ca="1" si="118"/>
        <v>27</v>
      </c>
      <c r="H184" s="1">
        <f t="shared" ca="1" si="119"/>
        <v>9</v>
      </c>
      <c r="I184" s="1"/>
      <c r="J184" s="1">
        <f t="shared" ca="1" si="120"/>
        <v>17</v>
      </c>
      <c r="K184" s="1">
        <f t="shared" ca="1" si="121"/>
        <v>2.9234063268488377</v>
      </c>
      <c r="L184" s="1">
        <f t="shared" ca="1" si="122"/>
        <v>8</v>
      </c>
      <c r="M184" s="1"/>
      <c r="N184" s="1">
        <f t="shared" ca="1" si="123"/>
        <v>105</v>
      </c>
      <c r="O184" s="1">
        <f t="shared" ca="1" si="124"/>
        <v>42</v>
      </c>
      <c r="P184" s="1"/>
      <c r="Q184" s="1">
        <f t="shared" ca="1" si="125"/>
        <v>3.9910175486974269</v>
      </c>
      <c r="R184" s="1">
        <f t="shared" ca="1" si="126"/>
        <v>287</v>
      </c>
      <c r="S184" s="1"/>
      <c r="T184" s="1">
        <f t="shared" ca="1" si="127"/>
        <v>0.13853462119720114</v>
      </c>
      <c r="U184" s="1">
        <f t="shared" ca="1" si="128"/>
        <v>443</v>
      </c>
      <c r="V184" s="1">
        <f t="shared" ca="1" si="129"/>
        <v>8</v>
      </c>
      <c r="W184" s="1"/>
      <c r="X184" s="1">
        <f t="shared" ca="1" si="130"/>
        <v>2.2405528445397001</v>
      </c>
      <c r="Y184" s="1">
        <f t="shared" ca="1" si="131"/>
        <v>0.48844014742953612</v>
      </c>
      <c r="Z184" s="1">
        <f t="shared" ca="1" si="132"/>
        <v>519</v>
      </c>
      <c r="AB184" s="1">
        <f t="shared" ca="1" si="133"/>
        <v>0.2252703398914277</v>
      </c>
      <c r="AC184" s="1">
        <f t="shared" ca="1" si="134"/>
        <v>510</v>
      </c>
      <c r="AD184" s="1">
        <f t="shared" ca="1" si="135"/>
        <v>7.8916582198772125E-4</v>
      </c>
      <c r="AE184" s="1"/>
      <c r="AF184" s="1">
        <f t="shared" ca="1" si="136"/>
        <v>0.53010962291190666</v>
      </c>
      <c r="AG184" s="1">
        <f t="shared" ca="1" si="137"/>
        <v>484</v>
      </c>
      <c r="AH184" s="1">
        <f t="shared" ca="1" si="138"/>
        <v>2.7917327302030305E-4</v>
      </c>
      <c r="AJ184" s="1">
        <f t="shared" ca="1" si="139"/>
        <v>0.332411340354415</v>
      </c>
      <c r="AK184" s="1">
        <f t="shared" ca="1" si="140"/>
        <v>8.0772569109569311E-3</v>
      </c>
      <c r="AL184" s="1"/>
      <c r="AM184" s="1">
        <f t="shared" ca="1" si="141"/>
        <v>0.11888097981058081</v>
      </c>
      <c r="AN184" s="1">
        <f t="shared" ca="1" si="142"/>
        <v>66</v>
      </c>
      <c r="AO184" s="1">
        <f t="shared" ca="1" si="143"/>
        <v>7</v>
      </c>
      <c r="AQ184" s="1">
        <f t="shared" ca="1" si="144"/>
        <v>100</v>
      </c>
      <c r="AR184" s="1">
        <f t="shared" ca="1" si="145"/>
        <v>4</v>
      </c>
      <c r="AS184" s="1">
        <f t="shared" ca="1" si="146"/>
        <v>37</v>
      </c>
      <c r="AU184" s="1">
        <f t="shared" ca="1" si="147"/>
        <v>85</v>
      </c>
      <c r="AV184" s="1">
        <f t="shared" ca="1" si="148"/>
        <v>7</v>
      </c>
      <c r="AW184" s="1">
        <f t="shared" ca="1" si="149"/>
        <v>0.13216175829768584</v>
      </c>
      <c r="AY184" s="1">
        <f t="shared" ca="1" si="150"/>
        <v>1.739527087791777</v>
      </c>
      <c r="AZ184" s="1">
        <f t="shared" ca="1" si="151"/>
        <v>270</v>
      </c>
      <c r="BA184" s="1">
        <f t="shared" ca="1" si="152"/>
        <v>9.1849695024714094E-3</v>
      </c>
      <c r="BV184" s="1">
        <f t="shared" ca="1" si="153"/>
        <v>0.31919977136214894</v>
      </c>
      <c r="BW184" s="1">
        <f t="shared" ca="1" si="154"/>
        <v>693</v>
      </c>
      <c r="BX184" s="1">
        <f t="shared" ca="1" si="155"/>
        <v>3.7962501877209457E-3</v>
      </c>
      <c r="BY184" s="1">
        <f t="shared" ca="1" si="156"/>
        <v>4.0967065781103207E-2</v>
      </c>
      <c r="BZ184" s="1">
        <f t="shared" ca="1" si="157"/>
        <v>0.37069954555402695</v>
      </c>
      <c r="CB184" s="1">
        <f t="shared" ca="1" si="158"/>
        <v>439</v>
      </c>
      <c r="CC184" s="1">
        <f t="shared" ca="1" si="159"/>
        <v>12</v>
      </c>
      <c r="CD184" s="1">
        <f t="shared" ca="1" si="160"/>
        <v>0.28715126584516115</v>
      </c>
      <c r="CE184" s="1">
        <f t="shared" ca="1" si="170"/>
        <v>0.82637896952165124</v>
      </c>
      <c r="CF184" s="1">
        <f t="shared" ca="1" si="170"/>
        <v>0.62218580905738818</v>
      </c>
      <c r="CH184" s="3">
        <f t="shared" ca="1" si="162"/>
        <v>0.61024980499691639</v>
      </c>
      <c r="CI184" s="3">
        <f t="shared" ca="1" si="163"/>
        <v>9.9780045311001028E-2</v>
      </c>
      <c r="CJ184" s="3">
        <f t="shared" ca="1" si="164"/>
        <v>1908</v>
      </c>
      <c r="CK184" s="3">
        <f t="shared" ca="1" si="165"/>
        <v>3.1969476013632311E-4</v>
      </c>
      <c r="CL184" s="3">
        <f t="shared" ca="1" si="166"/>
        <v>1</v>
      </c>
      <c r="CM184" s="3"/>
      <c r="CN184" s="1">
        <f t="shared" ca="1" si="167"/>
        <v>12.525853947261171</v>
      </c>
      <c r="CO184" s="1">
        <f t="shared" ca="1" si="168"/>
        <v>0.17338966203693906</v>
      </c>
      <c r="CP184" s="1">
        <f t="shared" ca="1" si="169"/>
        <v>4</v>
      </c>
    </row>
    <row r="185" spans="2:94" x14ac:dyDescent="0.25">
      <c r="B185">
        <f t="shared" ca="1" si="114"/>
        <v>169</v>
      </c>
      <c r="C185">
        <f t="shared" ca="1" si="115"/>
        <v>36</v>
      </c>
      <c r="D185">
        <f t="shared" ca="1" si="116"/>
        <v>0.2310243690670781</v>
      </c>
      <c r="F185" s="1">
        <f t="shared" ca="1" si="117"/>
        <v>26</v>
      </c>
      <c r="G185" s="1">
        <f t="shared" ca="1" si="118"/>
        <v>16</v>
      </c>
      <c r="H185" s="1">
        <f t="shared" ca="1" si="119"/>
        <v>1</v>
      </c>
      <c r="I185" s="1"/>
      <c r="J185" s="1">
        <f t="shared" ca="1" si="120"/>
        <v>31</v>
      </c>
      <c r="K185" s="1">
        <f t="shared" ca="1" si="121"/>
        <v>2.1655638683656848</v>
      </c>
      <c r="L185" s="1">
        <f t="shared" ca="1" si="122"/>
        <v>21</v>
      </c>
      <c r="M185" s="1"/>
      <c r="N185" s="1">
        <f t="shared" ca="1" si="123"/>
        <v>549</v>
      </c>
      <c r="O185" s="1">
        <f t="shared" ca="1" si="124"/>
        <v>41</v>
      </c>
      <c r="P185" s="1"/>
      <c r="Q185" s="1">
        <f t="shared" ca="1" si="125"/>
        <v>2.0829437291968618</v>
      </c>
      <c r="R185" s="1">
        <f t="shared" ca="1" si="126"/>
        <v>424</v>
      </c>
      <c r="S185" s="1"/>
      <c r="T185" s="1">
        <f t="shared" ca="1" si="127"/>
        <v>0.11926290437377259</v>
      </c>
      <c r="U185" s="1">
        <f t="shared" ca="1" si="128"/>
        <v>128</v>
      </c>
      <c r="V185" s="1">
        <f t="shared" ca="1" si="129"/>
        <v>7</v>
      </c>
      <c r="W185" s="1"/>
      <c r="X185" s="1">
        <f t="shared" ca="1" si="130"/>
        <v>2.4502136193860058</v>
      </c>
      <c r="Y185" s="1">
        <f t="shared" ca="1" si="131"/>
        <v>0.47312961909048729</v>
      </c>
      <c r="Z185" s="1">
        <f t="shared" ca="1" si="132"/>
        <v>988</v>
      </c>
      <c r="AB185" s="1">
        <f t="shared" ca="1" si="133"/>
        <v>0.59117305228057559</v>
      </c>
      <c r="AC185" s="1">
        <f t="shared" ca="1" si="134"/>
        <v>267</v>
      </c>
      <c r="AD185" s="1">
        <f t="shared" ca="1" si="135"/>
        <v>4.7224627086549066E-3</v>
      </c>
      <c r="AE185" s="1"/>
      <c r="AF185" s="1">
        <f t="shared" ca="1" si="136"/>
        <v>0.58156551306856652</v>
      </c>
      <c r="AG185" s="1">
        <f t="shared" ca="1" si="137"/>
        <v>951</v>
      </c>
      <c r="AH185" s="1">
        <f t="shared" ca="1" si="138"/>
        <v>5.1458330635356514E-3</v>
      </c>
      <c r="AJ185" s="1">
        <f t="shared" ca="1" si="139"/>
        <v>0.40698212359104236</v>
      </c>
      <c r="AK185" s="1">
        <f t="shared" ca="1" si="140"/>
        <v>1.8268813909168421E-3</v>
      </c>
      <c r="AL185" s="1"/>
      <c r="AM185" s="1">
        <f t="shared" ca="1" si="141"/>
        <v>4.4801028128030045E-2</v>
      </c>
      <c r="AN185" s="1">
        <f t="shared" ca="1" si="142"/>
        <v>28</v>
      </c>
      <c r="AO185" s="1">
        <f t="shared" ca="1" si="143"/>
        <v>-1</v>
      </c>
      <c r="AQ185" s="1">
        <f t="shared" ca="1" si="144"/>
        <v>142</v>
      </c>
      <c r="AR185" s="1">
        <f t="shared" ca="1" si="145"/>
        <v>8</v>
      </c>
      <c r="AS185" s="1">
        <f t="shared" ca="1" si="146"/>
        <v>5</v>
      </c>
      <c r="AU185" s="1">
        <f t="shared" ca="1" si="147"/>
        <v>67</v>
      </c>
      <c r="AV185" s="1">
        <f t="shared" ca="1" si="148"/>
        <v>4</v>
      </c>
      <c r="AW185" s="1">
        <f t="shared" ca="1" si="149"/>
        <v>0.15786748208082868</v>
      </c>
      <c r="AY185" s="1">
        <f t="shared" ca="1" si="150"/>
        <v>1.6877658773037214</v>
      </c>
      <c r="AZ185" s="1">
        <f t="shared" ca="1" si="151"/>
        <v>413</v>
      </c>
      <c r="BA185" s="1">
        <f t="shared" ca="1" si="152"/>
        <v>4.7520199281750356E-3</v>
      </c>
      <c r="BV185" s="1">
        <f t="shared" ca="1" si="153"/>
        <v>0.87958183147730484</v>
      </c>
      <c r="BW185" s="1">
        <f t="shared" ca="1" si="154"/>
        <v>581</v>
      </c>
      <c r="BX185" s="1">
        <f t="shared" ca="1" si="155"/>
        <v>1.2098308919002911E-3</v>
      </c>
      <c r="BY185" s="1">
        <f t="shared" ca="1" si="156"/>
        <v>8.840376714921809E-2</v>
      </c>
      <c r="BZ185" s="1">
        <f t="shared" ca="1" si="157"/>
        <v>0.34151814157449356</v>
      </c>
      <c r="CB185" s="1">
        <f t="shared" ca="1" si="158"/>
        <v>450</v>
      </c>
      <c r="CC185" s="1">
        <f t="shared" ca="1" si="159"/>
        <v>11</v>
      </c>
      <c r="CD185" s="1">
        <f t="shared" ca="1" si="160"/>
        <v>0.28751592069301279</v>
      </c>
      <c r="CE185" s="1">
        <f t="shared" ca="1" si="170"/>
        <v>0.50995353556447709</v>
      </c>
      <c r="CF185" s="1">
        <f t="shared" ca="1" si="170"/>
        <v>0.81866213910696528</v>
      </c>
      <c r="CH185" s="3">
        <f t="shared" ca="1" si="162"/>
        <v>0.28149767038692297</v>
      </c>
      <c r="CI185" s="3">
        <f t="shared" ca="1" si="163"/>
        <v>0.42398304587425395</v>
      </c>
      <c r="CJ185" s="3">
        <f t="shared" ca="1" si="164"/>
        <v>454</v>
      </c>
      <c r="CK185" s="3">
        <f t="shared" ca="1" si="165"/>
        <v>2.5307956131828749E-3</v>
      </c>
      <c r="CL185" s="3">
        <f t="shared" ca="1" si="166"/>
        <v>0</v>
      </c>
      <c r="CM185" s="3"/>
      <c r="CN185" s="1">
        <f t="shared" ca="1" si="167"/>
        <v>1.1944018026548835</v>
      </c>
      <c r="CO185" s="1">
        <f t="shared" ca="1" si="168"/>
        <v>0.22865577137222981</v>
      </c>
      <c r="CP185" s="1">
        <f t="shared" ca="1" si="169"/>
        <v>3</v>
      </c>
    </row>
    <row r="186" spans="2:94" x14ac:dyDescent="0.25">
      <c r="B186">
        <f t="shared" ca="1" si="114"/>
        <v>991</v>
      </c>
      <c r="C186">
        <f t="shared" ca="1" si="115"/>
        <v>50</v>
      </c>
      <c r="D186">
        <f t="shared" ca="1" si="116"/>
        <v>2.7656124752488125E-2</v>
      </c>
      <c r="F186" s="1">
        <f t="shared" ca="1" si="117"/>
        <v>31</v>
      </c>
      <c r="G186" s="1">
        <f t="shared" ca="1" si="118"/>
        <v>22</v>
      </c>
      <c r="H186" s="1">
        <f t="shared" ca="1" si="119"/>
        <v>2</v>
      </c>
      <c r="I186" s="1"/>
      <c r="J186" s="1">
        <f t="shared" ca="1" si="120"/>
        <v>11</v>
      </c>
      <c r="K186" s="1">
        <f t="shared" ca="1" si="121"/>
        <v>2.1478256969900547</v>
      </c>
      <c r="L186" s="1">
        <f t="shared" ca="1" si="122"/>
        <v>17</v>
      </c>
      <c r="M186" s="1"/>
      <c r="N186" s="1">
        <f t="shared" ca="1" si="123"/>
        <v>653</v>
      </c>
      <c r="O186" s="1">
        <f t="shared" ca="1" si="124"/>
        <v>10</v>
      </c>
      <c r="P186" s="1"/>
      <c r="Q186" s="1">
        <f t="shared" ca="1" si="125"/>
        <v>2.1372437772570141</v>
      </c>
      <c r="R186" s="1">
        <f t="shared" ca="1" si="126"/>
        <v>949</v>
      </c>
      <c r="S186" s="1"/>
      <c r="T186" s="1">
        <f t="shared" ca="1" si="127"/>
        <v>4.5585456809196595E-2</v>
      </c>
      <c r="U186" s="1">
        <f t="shared" ca="1" si="128"/>
        <v>338</v>
      </c>
      <c r="V186" s="1">
        <f t="shared" ca="1" si="129"/>
        <v>39</v>
      </c>
      <c r="W186" s="1"/>
      <c r="X186" s="1">
        <f t="shared" ca="1" si="130"/>
        <v>5.9427493023128708</v>
      </c>
      <c r="Y186" s="1">
        <f t="shared" ca="1" si="131"/>
        <v>0.77798594318789527</v>
      </c>
      <c r="Z186" s="1">
        <f t="shared" ca="1" si="132"/>
        <v>1973</v>
      </c>
      <c r="AB186" s="1">
        <f t="shared" ca="1" si="133"/>
        <v>0.73716621356576151</v>
      </c>
      <c r="AC186" s="1">
        <f t="shared" ca="1" si="134"/>
        <v>196</v>
      </c>
      <c r="AD186" s="1">
        <f t="shared" ca="1" si="135"/>
        <v>4.133559143107997E-3</v>
      </c>
      <c r="AE186" s="1"/>
      <c r="AF186" s="1">
        <f t="shared" ca="1" si="136"/>
        <v>0.50398641332499039</v>
      </c>
      <c r="AG186" s="1">
        <f t="shared" ca="1" si="137"/>
        <v>860</v>
      </c>
      <c r="AH186" s="1">
        <f t="shared" ca="1" si="138"/>
        <v>4.9568896428861422E-4</v>
      </c>
      <c r="AJ186" s="1">
        <f t="shared" ca="1" si="139"/>
        <v>0.55515973133425012</v>
      </c>
      <c r="AK186" s="1">
        <f t="shared" ca="1" si="140"/>
        <v>1.0257797710441713E-3</v>
      </c>
      <c r="AL186" s="1"/>
      <c r="AM186" s="1">
        <f t="shared" ca="1" si="141"/>
        <v>7.1505004826844729E-2</v>
      </c>
      <c r="AN186" s="1">
        <f t="shared" ca="1" si="142"/>
        <v>27</v>
      </c>
      <c r="AO186" s="1">
        <f t="shared" ca="1" si="143"/>
        <v>3</v>
      </c>
      <c r="AQ186" s="1">
        <f t="shared" ca="1" si="144"/>
        <v>187</v>
      </c>
      <c r="AR186" s="1">
        <f t="shared" ca="1" si="145"/>
        <v>1</v>
      </c>
      <c r="AS186" s="1">
        <f t="shared" ca="1" si="146"/>
        <v>5</v>
      </c>
      <c r="AU186" s="1">
        <f t="shared" ca="1" si="147"/>
        <v>87</v>
      </c>
      <c r="AV186" s="1">
        <f t="shared" ca="1" si="148"/>
        <v>8</v>
      </c>
      <c r="AW186" s="1">
        <f t="shared" ca="1" si="149"/>
        <v>0.19049192818928182</v>
      </c>
      <c r="AY186" s="1">
        <f t="shared" ca="1" si="150"/>
        <v>1.8394663330054053</v>
      </c>
      <c r="AZ186" s="1">
        <f t="shared" ca="1" si="151"/>
        <v>447</v>
      </c>
      <c r="BA186" s="1">
        <f t="shared" ca="1" si="152"/>
        <v>4.3944560179019713E-3</v>
      </c>
      <c r="BV186" s="1">
        <f t="shared" ca="1" si="153"/>
        <v>0.83695870085510926</v>
      </c>
      <c r="BW186" s="1">
        <f t="shared" ca="1" si="154"/>
        <v>237</v>
      </c>
      <c r="BX186" s="1">
        <f t="shared" ca="1" si="155"/>
        <v>9.1981042313732751E-3</v>
      </c>
      <c r="BY186" s="1">
        <f t="shared" ca="1" si="156"/>
        <v>7.2373816328079627E-2</v>
      </c>
      <c r="BZ186" s="1">
        <f t="shared" ca="1" si="157"/>
        <v>0.61587144388003767</v>
      </c>
      <c r="CB186" s="1">
        <f t="shared" ca="1" si="158"/>
        <v>457</v>
      </c>
      <c r="CC186" s="1">
        <f t="shared" ca="1" si="159"/>
        <v>10</v>
      </c>
      <c r="CD186" s="1">
        <f t="shared" ca="1" si="160"/>
        <v>0.13325913324876532</v>
      </c>
      <c r="CE186" s="1">
        <f t="shared" ca="1" si="170"/>
        <v>0.95057477941779411</v>
      </c>
      <c r="CF186" s="1">
        <f t="shared" ca="1" si="170"/>
        <v>0.61148460258587911</v>
      </c>
      <c r="CH186" s="3">
        <f t="shared" ca="1" si="162"/>
        <v>8.0820727080333304E-2</v>
      </c>
      <c r="CI186" s="3">
        <f t="shared" ca="1" si="163"/>
        <v>0.35340904180175164</v>
      </c>
      <c r="CJ186" s="3">
        <f t="shared" ca="1" si="164"/>
        <v>148</v>
      </c>
      <c r="CK186" s="3">
        <f t="shared" ca="1" si="165"/>
        <v>3.6879744990898629E-3</v>
      </c>
      <c r="CL186" s="3">
        <f t="shared" ca="1" si="166"/>
        <v>1</v>
      </c>
      <c r="CM186" s="3"/>
      <c r="CN186" s="1">
        <f t="shared" ca="1" si="167"/>
        <v>9.9747496673154217</v>
      </c>
      <c r="CO186" s="1">
        <f t="shared" ca="1" si="168"/>
        <v>0.10403275176351305</v>
      </c>
      <c r="CP186" s="1">
        <f t="shared" ca="1" si="169"/>
        <v>2</v>
      </c>
    </row>
    <row r="187" spans="2:94" x14ac:dyDescent="0.25">
      <c r="B187">
        <f t="shared" ca="1" si="114"/>
        <v>350</v>
      </c>
      <c r="C187">
        <f t="shared" ca="1" si="115"/>
        <v>16</v>
      </c>
      <c r="D187">
        <f t="shared" ca="1" si="116"/>
        <v>0.21309801443213941</v>
      </c>
      <c r="F187" s="1">
        <f t="shared" ca="1" si="117"/>
        <v>34</v>
      </c>
      <c r="G187" s="1">
        <f t="shared" ca="1" si="118"/>
        <v>17</v>
      </c>
      <c r="H187" s="1">
        <f t="shared" ca="1" si="119"/>
        <v>10</v>
      </c>
      <c r="I187" s="1"/>
      <c r="J187" s="1">
        <f t="shared" ca="1" si="120"/>
        <v>22</v>
      </c>
      <c r="K187" s="1">
        <f t="shared" ca="1" si="121"/>
        <v>1.8226734973765839</v>
      </c>
      <c r="L187" s="1">
        <f t="shared" ca="1" si="122"/>
        <v>14</v>
      </c>
      <c r="M187" s="1"/>
      <c r="N187" s="1">
        <f t="shared" ca="1" si="123"/>
        <v>432</v>
      </c>
      <c r="O187" s="1">
        <f t="shared" ca="1" si="124"/>
        <v>20</v>
      </c>
      <c r="P187" s="1"/>
      <c r="Q187" s="1">
        <f t="shared" ca="1" si="125"/>
        <v>1.5672060198828717</v>
      </c>
      <c r="R187" s="1">
        <f t="shared" ca="1" si="126"/>
        <v>1175</v>
      </c>
      <c r="S187" s="1"/>
      <c r="T187" s="1">
        <f t="shared" ca="1" si="127"/>
        <v>3.4945897695031161E-2</v>
      </c>
      <c r="U187" s="1">
        <f t="shared" ca="1" si="128"/>
        <v>119</v>
      </c>
      <c r="V187" s="1">
        <f t="shared" ca="1" si="129"/>
        <v>26</v>
      </c>
      <c r="W187" s="1"/>
      <c r="X187" s="1">
        <f t="shared" ca="1" si="130"/>
        <v>4.2678763500043564</v>
      </c>
      <c r="Y187" s="1">
        <f t="shared" ca="1" si="131"/>
        <v>0.73836483606683279</v>
      </c>
      <c r="Z187" s="1">
        <f t="shared" ca="1" si="132"/>
        <v>523</v>
      </c>
      <c r="AB187" s="1">
        <f t="shared" ca="1" si="133"/>
        <v>0.36061644741414617</v>
      </c>
      <c r="AC187" s="1">
        <f t="shared" ca="1" si="134"/>
        <v>507</v>
      </c>
      <c r="AD187" s="1">
        <f t="shared" ca="1" si="135"/>
        <v>6.9067410159604171E-3</v>
      </c>
      <c r="AE187" s="1"/>
      <c r="AF187" s="1">
        <f t="shared" ca="1" si="136"/>
        <v>0.46988509095053133</v>
      </c>
      <c r="AG187" s="1">
        <f t="shared" ca="1" si="137"/>
        <v>227</v>
      </c>
      <c r="AH187" s="1">
        <f t="shared" ca="1" si="138"/>
        <v>6.8165204333484461E-3</v>
      </c>
      <c r="AJ187" s="1">
        <f t="shared" ca="1" si="139"/>
        <v>0.27145963731214395</v>
      </c>
      <c r="AK187" s="1">
        <f t="shared" ca="1" si="140"/>
        <v>6.5980725983204166E-3</v>
      </c>
      <c r="AL187" s="1"/>
      <c r="AM187" s="1">
        <f t="shared" ca="1" si="141"/>
        <v>0.1030674609142089</v>
      </c>
      <c r="AN187" s="1">
        <f t="shared" ca="1" si="142"/>
        <v>60</v>
      </c>
      <c r="AO187" s="1">
        <f t="shared" ca="1" si="143"/>
        <v>0</v>
      </c>
      <c r="AQ187" s="1">
        <f t="shared" ca="1" si="144"/>
        <v>139</v>
      </c>
      <c r="AR187" s="1">
        <f t="shared" ca="1" si="145"/>
        <v>7</v>
      </c>
      <c r="AS187" s="1">
        <f t="shared" ca="1" si="146"/>
        <v>15</v>
      </c>
      <c r="AU187" s="1">
        <f t="shared" ca="1" si="147"/>
        <v>297</v>
      </c>
      <c r="AV187" s="1">
        <f t="shared" ca="1" si="148"/>
        <v>6</v>
      </c>
      <c r="AW187" s="1">
        <f t="shared" ca="1" si="149"/>
        <v>0.17035477506131541</v>
      </c>
      <c r="AY187" s="1">
        <f t="shared" ca="1" si="150"/>
        <v>1.2951498483276596</v>
      </c>
      <c r="AZ187" s="1">
        <f t="shared" ca="1" si="151"/>
        <v>94</v>
      </c>
      <c r="BA187" s="1">
        <f t="shared" ca="1" si="152"/>
        <v>3.527844831271363E-3</v>
      </c>
      <c r="BV187" s="1">
        <f t="shared" ca="1" si="153"/>
        <v>0.84225448275364834</v>
      </c>
      <c r="BW187" s="1">
        <f t="shared" ca="1" si="154"/>
        <v>845</v>
      </c>
      <c r="BX187" s="1">
        <f t="shared" ca="1" si="155"/>
        <v>6.6309187710096107E-3</v>
      </c>
      <c r="BY187" s="1">
        <f t="shared" ca="1" si="156"/>
        <v>5.0368732329622308E-2</v>
      </c>
      <c r="BZ187" s="1">
        <f t="shared" ca="1" si="157"/>
        <v>0.50220922575964488</v>
      </c>
      <c r="CB187" s="1">
        <f t="shared" ca="1" si="158"/>
        <v>211</v>
      </c>
      <c r="CC187" s="1">
        <f t="shared" ca="1" si="159"/>
        <v>3</v>
      </c>
      <c r="CD187" s="1">
        <f t="shared" ca="1" si="160"/>
        <v>0.27375439374416727</v>
      </c>
      <c r="CE187" s="1">
        <f t="shared" ca="1" si="170"/>
        <v>0.6523522030807638</v>
      </c>
      <c r="CF187" s="1">
        <f t="shared" ca="1" si="170"/>
        <v>0.90434956031168334</v>
      </c>
      <c r="CH187" s="3">
        <f t="shared" ca="1" si="162"/>
        <v>0.31863055940728024</v>
      </c>
      <c r="CI187" s="3">
        <f t="shared" ca="1" si="163"/>
        <v>0.97272900813465801</v>
      </c>
      <c r="CJ187" s="3">
        <f t="shared" ca="1" si="164"/>
        <v>1475</v>
      </c>
      <c r="CK187" s="3">
        <f t="shared" ca="1" si="165"/>
        <v>6.158015845240913E-3</v>
      </c>
      <c r="CL187" s="3">
        <f t="shared" ca="1" si="166"/>
        <v>1</v>
      </c>
      <c r="CM187" s="3"/>
      <c r="CN187" s="1">
        <f t="shared" ca="1" si="167"/>
        <v>12.514210892270542</v>
      </c>
      <c r="CO187" s="1">
        <f t="shared" ca="1" si="168"/>
        <v>0.43273026602860615</v>
      </c>
      <c r="CP187" s="1">
        <f t="shared" ca="1" si="169"/>
        <v>1</v>
      </c>
    </row>
    <row r="188" spans="2:94" x14ac:dyDescent="0.25">
      <c r="B188">
        <f t="shared" ca="1" si="114"/>
        <v>181</v>
      </c>
      <c r="C188">
        <f t="shared" ca="1" si="115"/>
        <v>40</v>
      </c>
      <c r="D188">
        <f t="shared" ca="1" si="116"/>
        <v>0.25971878797955433</v>
      </c>
      <c r="F188" s="1">
        <f t="shared" ca="1" si="117"/>
        <v>24</v>
      </c>
      <c r="G188" s="1">
        <f t="shared" ca="1" si="118"/>
        <v>6</v>
      </c>
      <c r="H188" s="1">
        <f t="shared" ca="1" si="119"/>
        <v>12</v>
      </c>
      <c r="I188" s="1"/>
      <c r="J188" s="1">
        <f t="shared" ca="1" si="120"/>
        <v>34</v>
      </c>
      <c r="K188" s="1">
        <f t="shared" ca="1" si="121"/>
        <v>1.9136161200955106</v>
      </c>
      <c r="L188" s="1">
        <f t="shared" ca="1" si="122"/>
        <v>5</v>
      </c>
      <c r="M188" s="1"/>
      <c r="N188" s="1">
        <f t="shared" ca="1" si="123"/>
        <v>38</v>
      </c>
      <c r="O188" s="1">
        <f t="shared" ca="1" si="124"/>
        <v>14</v>
      </c>
      <c r="P188" s="1"/>
      <c r="Q188" s="1">
        <f t="shared" ca="1" si="125"/>
        <v>0.31446559555020032</v>
      </c>
      <c r="R188" s="1">
        <f t="shared" ca="1" si="126"/>
        <v>902</v>
      </c>
      <c r="S188" s="1"/>
      <c r="T188" s="1">
        <f t="shared" ca="1" si="127"/>
        <v>8.896052113823362E-2</v>
      </c>
      <c r="U188" s="1">
        <f t="shared" ca="1" si="128"/>
        <v>398</v>
      </c>
      <c r="V188" s="1">
        <f t="shared" ca="1" si="129"/>
        <v>26</v>
      </c>
      <c r="W188" s="1"/>
      <c r="X188" s="1">
        <f t="shared" ca="1" si="130"/>
        <v>4.546881048865794</v>
      </c>
      <c r="Y188" s="1">
        <f t="shared" ca="1" si="131"/>
        <v>0.36588185313139326</v>
      </c>
      <c r="Z188" s="1">
        <f t="shared" ca="1" si="132"/>
        <v>182</v>
      </c>
      <c r="AB188" s="1">
        <f t="shared" ca="1" si="133"/>
        <v>0.77576390614112534</v>
      </c>
      <c r="AC188" s="1">
        <f t="shared" ca="1" si="134"/>
        <v>737</v>
      </c>
      <c r="AD188" s="1">
        <f t="shared" ca="1" si="135"/>
        <v>9.9303009490452638E-3</v>
      </c>
      <c r="AE188" s="1"/>
      <c r="AF188" s="1">
        <f t="shared" ca="1" si="136"/>
        <v>0.4425510253307533</v>
      </c>
      <c r="AG188" s="1">
        <f t="shared" ca="1" si="137"/>
        <v>528</v>
      </c>
      <c r="AH188" s="1">
        <f t="shared" ca="1" si="138"/>
        <v>7.6159375176910963E-3</v>
      </c>
      <c r="AJ188" s="1">
        <f t="shared" ca="1" si="139"/>
        <v>0.95466237360301442</v>
      </c>
      <c r="AK188" s="1">
        <f t="shared" ca="1" si="140"/>
        <v>5.6819114580832445E-3</v>
      </c>
      <c r="AL188" s="1"/>
      <c r="AM188" s="1">
        <f t="shared" ca="1" si="141"/>
        <v>0.11347937010562219</v>
      </c>
      <c r="AN188" s="1">
        <f t="shared" ca="1" si="142"/>
        <v>13</v>
      </c>
      <c r="AO188" s="1">
        <f t="shared" ca="1" si="143"/>
        <v>-1</v>
      </c>
      <c r="AQ188" s="1">
        <f t="shared" ca="1" si="144"/>
        <v>60</v>
      </c>
      <c r="AR188" s="1">
        <f t="shared" ca="1" si="145"/>
        <v>8</v>
      </c>
      <c r="AS188" s="1">
        <f t="shared" ca="1" si="146"/>
        <v>36</v>
      </c>
      <c r="AU188" s="1">
        <f t="shared" ca="1" si="147"/>
        <v>188</v>
      </c>
      <c r="AV188" s="1">
        <f t="shared" ca="1" si="148"/>
        <v>10</v>
      </c>
      <c r="AW188" s="1">
        <f t="shared" ca="1" si="149"/>
        <v>0.13618341829937244</v>
      </c>
      <c r="AY188" s="1">
        <f t="shared" ca="1" si="150"/>
        <v>1.9347916863798458</v>
      </c>
      <c r="AZ188" s="1">
        <f t="shared" ca="1" si="151"/>
        <v>336</v>
      </c>
      <c r="BA188" s="1">
        <f t="shared" ca="1" si="152"/>
        <v>2.5566810048595007E-3</v>
      </c>
      <c r="BV188" s="1">
        <f t="shared" ca="1" si="153"/>
        <v>0.90943621920766027</v>
      </c>
      <c r="BW188" s="1">
        <f t="shared" ca="1" si="154"/>
        <v>588</v>
      </c>
      <c r="BX188" s="1">
        <f t="shared" ca="1" si="155"/>
        <v>5.923268386407804E-3</v>
      </c>
      <c r="BY188" s="1">
        <f t="shared" ca="1" si="156"/>
        <v>8.0672764881065076E-2</v>
      </c>
      <c r="BZ188" s="1">
        <f t="shared" ca="1" si="157"/>
        <v>0.91123903592060262</v>
      </c>
      <c r="CB188" s="1">
        <f t="shared" ca="1" si="158"/>
        <v>408</v>
      </c>
      <c r="CC188" s="1">
        <f t="shared" ca="1" si="159"/>
        <v>4</v>
      </c>
      <c r="CD188" s="1">
        <f t="shared" ca="1" si="160"/>
        <v>0.16726296724208317</v>
      </c>
      <c r="CE188" s="1">
        <f t="shared" ca="1" si="170"/>
        <v>0.74620542343113982</v>
      </c>
      <c r="CF188" s="1">
        <f t="shared" ca="1" si="170"/>
        <v>0.60837090105976066</v>
      </c>
      <c r="CH188" s="3">
        <f t="shared" ca="1" si="162"/>
        <v>0.60044763386309674</v>
      </c>
      <c r="CI188" s="3">
        <f t="shared" ca="1" si="163"/>
        <v>0.28674466203084803</v>
      </c>
      <c r="CJ188" s="3">
        <f t="shared" ca="1" si="164"/>
        <v>1430</v>
      </c>
      <c r="CK188" s="3">
        <f t="shared" ca="1" si="165"/>
        <v>3.8134889850804754E-3</v>
      </c>
      <c r="CL188" s="3">
        <f t="shared" ca="1" si="166"/>
        <v>1</v>
      </c>
      <c r="CM188" s="3"/>
      <c r="CN188" s="1">
        <f t="shared" ca="1" si="167"/>
        <v>10.176828163134712</v>
      </c>
      <c r="CO188" s="1">
        <f t="shared" ca="1" si="168"/>
        <v>0.37033808778718247</v>
      </c>
      <c r="CP188" s="1">
        <f t="shared" ca="1" si="169"/>
        <v>4</v>
      </c>
    </row>
    <row r="189" spans="2:94" x14ac:dyDescent="0.25">
      <c r="B189">
        <f t="shared" ca="1" si="114"/>
        <v>845</v>
      </c>
      <c r="C189">
        <f t="shared" ca="1" si="115"/>
        <v>32</v>
      </c>
      <c r="D189">
        <f t="shared" ca="1" si="116"/>
        <v>5.6966438347317766E-2</v>
      </c>
      <c r="F189" s="1">
        <f t="shared" ca="1" si="117"/>
        <v>31</v>
      </c>
      <c r="G189" s="1">
        <f t="shared" ca="1" si="118"/>
        <v>17</v>
      </c>
      <c r="H189" s="1">
        <f t="shared" ca="1" si="119"/>
        <v>10</v>
      </c>
      <c r="I189" s="1"/>
      <c r="J189" s="1">
        <f t="shared" ca="1" si="120"/>
        <v>28</v>
      </c>
      <c r="K189" s="1">
        <f t="shared" ca="1" si="121"/>
        <v>2.5877191438356482</v>
      </c>
      <c r="L189" s="1">
        <f t="shared" ca="1" si="122"/>
        <v>23</v>
      </c>
      <c r="M189" s="1"/>
      <c r="N189" s="1">
        <f t="shared" ca="1" si="123"/>
        <v>432</v>
      </c>
      <c r="O189" s="1">
        <f t="shared" ca="1" si="124"/>
        <v>20</v>
      </c>
      <c r="P189" s="1"/>
      <c r="Q189" s="1">
        <f t="shared" ca="1" si="125"/>
        <v>4.0851535481599841</v>
      </c>
      <c r="R189" s="1">
        <f t="shared" ca="1" si="126"/>
        <v>510</v>
      </c>
      <c r="S189" s="1"/>
      <c r="T189" s="1">
        <f t="shared" ca="1" si="127"/>
        <v>4.6270336216193607E-2</v>
      </c>
      <c r="U189" s="1">
        <f t="shared" ca="1" si="128"/>
        <v>385</v>
      </c>
      <c r="V189" s="1">
        <f t="shared" ca="1" si="129"/>
        <v>50</v>
      </c>
      <c r="W189" s="1"/>
      <c r="X189" s="1">
        <f t="shared" ca="1" si="130"/>
        <v>3.8652600703102071</v>
      </c>
      <c r="Y189" s="1">
        <f t="shared" ca="1" si="131"/>
        <v>0.67037857597975914</v>
      </c>
      <c r="Z189" s="1">
        <f t="shared" ca="1" si="132"/>
        <v>300</v>
      </c>
      <c r="AB189" s="1">
        <f t="shared" ca="1" si="133"/>
        <v>9.9849092194880279E-2</v>
      </c>
      <c r="AC189" s="1">
        <f t="shared" ca="1" si="134"/>
        <v>996</v>
      </c>
      <c r="AD189" s="1">
        <f t="shared" ca="1" si="135"/>
        <v>5.7366460305588764E-3</v>
      </c>
      <c r="AE189" s="1"/>
      <c r="AF189" s="1">
        <f t="shared" ca="1" si="136"/>
        <v>0.59132789349092296</v>
      </c>
      <c r="AG189" s="1">
        <f t="shared" ca="1" si="137"/>
        <v>427</v>
      </c>
      <c r="AH189" s="1">
        <f t="shared" ca="1" si="138"/>
        <v>9.3180674184737706E-3</v>
      </c>
      <c r="AJ189" s="1">
        <f t="shared" ca="1" si="139"/>
        <v>0.62527588558058522</v>
      </c>
      <c r="AK189" s="1">
        <f t="shared" ca="1" si="140"/>
        <v>5.9777800380312425E-3</v>
      </c>
      <c r="AL189" s="1"/>
      <c r="AM189" s="1">
        <f t="shared" ca="1" si="141"/>
        <v>0.14992969176554299</v>
      </c>
      <c r="AN189" s="1">
        <f t="shared" ca="1" si="142"/>
        <v>25</v>
      </c>
      <c r="AO189" s="1">
        <f t="shared" ca="1" si="143"/>
        <v>2</v>
      </c>
      <c r="AQ189" s="1">
        <f t="shared" ca="1" si="144"/>
        <v>94</v>
      </c>
      <c r="AR189" s="1">
        <f t="shared" ca="1" si="145"/>
        <v>9</v>
      </c>
      <c r="AS189" s="1">
        <f t="shared" ca="1" si="146"/>
        <v>1</v>
      </c>
      <c r="AU189" s="1">
        <f t="shared" ca="1" si="147"/>
        <v>150</v>
      </c>
      <c r="AV189" s="1">
        <f t="shared" ca="1" si="148"/>
        <v>8</v>
      </c>
      <c r="AW189" s="1">
        <f t="shared" ca="1" si="149"/>
        <v>0.18053397223962209</v>
      </c>
      <c r="AY189" s="1">
        <f t="shared" ca="1" si="150"/>
        <v>1.8374432451717868</v>
      </c>
      <c r="AZ189" s="1">
        <f t="shared" ca="1" si="151"/>
        <v>197</v>
      </c>
      <c r="BA189" s="1">
        <f t="shared" ca="1" si="152"/>
        <v>6.5475164164578463E-3</v>
      </c>
      <c r="BV189" s="1">
        <f t="shared" ca="1" si="153"/>
        <v>0.63780234497396726</v>
      </c>
      <c r="BW189" s="1">
        <f t="shared" ca="1" si="154"/>
        <v>373</v>
      </c>
      <c r="BX189" s="1">
        <f t="shared" ca="1" si="155"/>
        <v>6.3735562264180222E-3</v>
      </c>
      <c r="BY189" s="1">
        <f t="shared" ca="1" si="156"/>
        <v>7.5895530312638765E-2</v>
      </c>
      <c r="BZ189" s="1">
        <f t="shared" ca="1" si="157"/>
        <v>0.58758982032158169</v>
      </c>
      <c r="CB189" s="1">
        <f t="shared" ca="1" si="158"/>
        <v>376</v>
      </c>
      <c r="CC189" s="1">
        <f t="shared" ca="1" si="159"/>
        <v>12</v>
      </c>
      <c r="CD189" s="1">
        <f t="shared" ca="1" si="160"/>
        <v>7.8526369619311268E-2</v>
      </c>
      <c r="CE189" s="1">
        <f t="shared" ca="1" si="170"/>
        <v>0.78981176392914754</v>
      </c>
      <c r="CF189" s="1">
        <f t="shared" ca="1" si="170"/>
        <v>0.89037098805522741</v>
      </c>
      <c r="CH189" s="3">
        <f t="shared" ca="1" si="162"/>
        <v>0.3978453067580946</v>
      </c>
      <c r="CI189" s="3">
        <f t="shared" ca="1" si="163"/>
        <v>0.12104630864891534</v>
      </c>
      <c r="CJ189" s="3">
        <f t="shared" ca="1" si="164"/>
        <v>659</v>
      </c>
      <c r="CK189" s="3">
        <f t="shared" ca="1" si="165"/>
        <v>5.0538024050556787E-3</v>
      </c>
      <c r="CL189" s="3">
        <f t="shared" ca="1" si="166"/>
        <v>0</v>
      </c>
      <c r="CM189" s="3"/>
      <c r="CN189" s="1">
        <f t="shared" ca="1" si="167"/>
        <v>10.509157891823833</v>
      </c>
      <c r="CO189" s="1">
        <f t="shared" ca="1" si="168"/>
        <v>3.4294761989498983E-2</v>
      </c>
      <c r="CP189" s="1">
        <f t="shared" ca="1" si="169"/>
        <v>2</v>
      </c>
    </row>
    <row r="190" spans="2:94" x14ac:dyDescent="0.25">
      <c r="B190">
        <f t="shared" ca="1" si="114"/>
        <v>421</v>
      </c>
      <c r="C190">
        <f t="shared" ca="1" si="115"/>
        <v>16</v>
      </c>
      <c r="D190">
        <f t="shared" ca="1" si="116"/>
        <v>0.11833281642911077</v>
      </c>
      <c r="F190" s="1">
        <f t="shared" ca="1" si="117"/>
        <v>45</v>
      </c>
      <c r="G190" s="1">
        <f t="shared" ca="1" si="118"/>
        <v>3</v>
      </c>
      <c r="H190" s="1">
        <f t="shared" ca="1" si="119"/>
        <v>8</v>
      </c>
      <c r="I190" s="1"/>
      <c r="J190" s="1">
        <f t="shared" ca="1" si="120"/>
        <v>34</v>
      </c>
      <c r="K190" s="1">
        <f t="shared" ca="1" si="121"/>
        <v>1.120322078849227</v>
      </c>
      <c r="L190" s="1">
        <f t="shared" ca="1" si="122"/>
        <v>5</v>
      </c>
      <c r="M190" s="1"/>
      <c r="N190" s="1">
        <f t="shared" ca="1" si="123"/>
        <v>103</v>
      </c>
      <c r="O190" s="1">
        <f t="shared" ca="1" si="124"/>
        <v>32</v>
      </c>
      <c r="P190" s="1"/>
      <c r="Q190" s="1">
        <f t="shared" ca="1" si="125"/>
        <v>2.906355053685802</v>
      </c>
      <c r="R190" s="1">
        <f t="shared" ca="1" si="126"/>
        <v>1190</v>
      </c>
      <c r="S190" s="1"/>
      <c r="T190" s="1">
        <f t="shared" ca="1" si="127"/>
        <v>0.12362705050602084</v>
      </c>
      <c r="U190" s="1">
        <f t="shared" ca="1" si="128"/>
        <v>95</v>
      </c>
      <c r="V190" s="1">
        <f t="shared" ca="1" si="129"/>
        <v>25</v>
      </c>
      <c r="W190" s="1"/>
      <c r="X190" s="1">
        <f t="shared" ca="1" si="130"/>
        <v>5.0373284491309427</v>
      </c>
      <c r="Y190" s="1">
        <f t="shared" ca="1" si="131"/>
        <v>0.60545651222068619</v>
      </c>
      <c r="Z190" s="1">
        <f t="shared" ca="1" si="132"/>
        <v>1755</v>
      </c>
      <c r="AB190" s="1">
        <f t="shared" ca="1" si="133"/>
        <v>4.751612907148331E-2</v>
      </c>
      <c r="AC190" s="1">
        <f t="shared" ca="1" si="134"/>
        <v>454</v>
      </c>
      <c r="AD190" s="1">
        <f t="shared" ca="1" si="135"/>
        <v>8.2481158368629161E-3</v>
      </c>
      <c r="AE190" s="1"/>
      <c r="AF190" s="1">
        <f t="shared" ca="1" si="136"/>
        <v>0.39170009255707261</v>
      </c>
      <c r="AG190" s="1">
        <f t="shared" ca="1" si="137"/>
        <v>621</v>
      </c>
      <c r="AH190" s="1">
        <f t="shared" ca="1" si="138"/>
        <v>6.4837775936456262E-3</v>
      </c>
      <c r="AJ190" s="1">
        <f t="shared" ca="1" si="139"/>
        <v>4.3247407429289897E-3</v>
      </c>
      <c r="AK190" s="1">
        <f t="shared" ca="1" si="140"/>
        <v>7.6540534474469867E-3</v>
      </c>
      <c r="AL190" s="1"/>
      <c r="AM190" s="1">
        <f t="shared" ca="1" si="141"/>
        <v>0.14004321849460755</v>
      </c>
      <c r="AN190" s="1">
        <f t="shared" ca="1" si="142"/>
        <v>55</v>
      </c>
      <c r="AO190" s="1">
        <f t="shared" ca="1" si="143"/>
        <v>12</v>
      </c>
      <c r="AQ190" s="1">
        <f t="shared" ca="1" si="144"/>
        <v>150</v>
      </c>
      <c r="AR190" s="1">
        <f t="shared" ca="1" si="145"/>
        <v>1</v>
      </c>
      <c r="AS190" s="1">
        <f t="shared" ca="1" si="146"/>
        <v>21</v>
      </c>
      <c r="AU190" s="1">
        <f t="shared" ca="1" si="147"/>
        <v>248</v>
      </c>
      <c r="AV190" s="1">
        <f t="shared" ca="1" si="148"/>
        <v>3</v>
      </c>
      <c r="AW190" s="1">
        <f t="shared" ca="1" si="149"/>
        <v>0.14674089517202324</v>
      </c>
      <c r="AY190" s="1">
        <f t="shared" ca="1" si="150"/>
        <v>1.8980554924548523</v>
      </c>
      <c r="AZ190" s="1">
        <f t="shared" ca="1" si="151"/>
        <v>152</v>
      </c>
      <c r="BA190" s="1">
        <f t="shared" ca="1" si="152"/>
        <v>6.6244441318492747E-3</v>
      </c>
      <c r="BV190" s="1">
        <f t="shared" ca="1" si="153"/>
        <v>0.44637746716606025</v>
      </c>
      <c r="BW190" s="1">
        <f t="shared" ca="1" si="154"/>
        <v>214</v>
      </c>
      <c r="BX190" s="1">
        <f t="shared" ca="1" si="155"/>
        <v>4.1999808066680178E-3</v>
      </c>
      <c r="BY190" s="1">
        <f t="shared" ca="1" si="156"/>
        <v>1.2845821272231979E-2</v>
      </c>
      <c r="BZ190" s="1">
        <f t="shared" ca="1" si="157"/>
        <v>0.12776926832760571</v>
      </c>
      <c r="CB190" s="1">
        <f t="shared" ca="1" si="158"/>
        <v>454</v>
      </c>
      <c r="CC190" s="1">
        <f t="shared" ca="1" si="159"/>
        <v>9</v>
      </c>
      <c r="CD190" s="1">
        <f t="shared" ca="1" si="160"/>
        <v>2.0086823796207683E-2</v>
      </c>
      <c r="CE190" s="1">
        <f t="shared" ca="1" si="170"/>
        <v>0.89999877665747863</v>
      </c>
      <c r="CF190" s="1">
        <f t="shared" ca="1" si="170"/>
        <v>0.77610822503305354</v>
      </c>
      <c r="CH190" s="3">
        <f t="shared" ca="1" si="162"/>
        <v>0.70662680574181358</v>
      </c>
      <c r="CI190" s="3">
        <f t="shared" ca="1" si="163"/>
        <v>0.54706773139943798</v>
      </c>
      <c r="CJ190" s="3">
        <f t="shared" ca="1" si="164"/>
        <v>336</v>
      </c>
      <c r="CK190" s="3">
        <f t="shared" ca="1" si="165"/>
        <v>4.2506161158206886E-3</v>
      </c>
      <c r="CL190" s="3">
        <f t="shared" ca="1" si="166"/>
        <v>1</v>
      </c>
      <c r="CM190" s="3"/>
      <c r="CN190" s="1">
        <f t="shared" ca="1" si="167"/>
        <v>18.056771922846174</v>
      </c>
      <c r="CO190" s="1">
        <f t="shared" ca="1" si="168"/>
        <v>0.30749152240639444</v>
      </c>
      <c r="CP190" s="1">
        <f t="shared" ca="1" si="169"/>
        <v>1</v>
      </c>
    </row>
    <row r="191" spans="2:94" x14ac:dyDescent="0.25">
      <c r="B191">
        <f t="shared" ca="1" si="114"/>
        <v>402</v>
      </c>
      <c r="C191">
        <f t="shared" ca="1" si="115"/>
        <v>28</v>
      </c>
      <c r="D191">
        <f t="shared" ca="1" si="116"/>
        <v>0.24530339205466961</v>
      </c>
      <c r="F191" s="1">
        <f t="shared" ca="1" si="117"/>
        <v>43</v>
      </c>
      <c r="G191" s="1">
        <f t="shared" ca="1" si="118"/>
        <v>9</v>
      </c>
      <c r="H191" s="1">
        <f t="shared" ca="1" si="119"/>
        <v>8</v>
      </c>
      <c r="I191" s="1"/>
      <c r="J191" s="1">
        <f t="shared" ca="1" si="120"/>
        <v>24</v>
      </c>
      <c r="K191" s="1">
        <f t="shared" ca="1" si="121"/>
        <v>1.7969958591824746</v>
      </c>
      <c r="L191" s="1">
        <f t="shared" ca="1" si="122"/>
        <v>31</v>
      </c>
      <c r="M191" s="1"/>
      <c r="N191" s="1">
        <f t="shared" ca="1" si="123"/>
        <v>857</v>
      </c>
      <c r="O191" s="1">
        <f t="shared" ca="1" si="124"/>
        <v>50</v>
      </c>
      <c r="P191" s="1"/>
      <c r="Q191" s="1">
        <f t="shared" ca="1" si="125"/>
        <v>1.4549090172200827</v>
      </c>
      <c r="R191" s="1">
        <f t="shared" ca="1" si="126"/>
        <v>338</v>
      </c>
      <c r="S191" s="1"/>
      <c r="T191" s="1">
        <f t="shared" ca="1" si="127"/>
        <v>2.9072166557728131E-2</v>
      </c>
      <c r="U191" s="1">
        <f t="shared" ca="1" si="128"/>
        <v>74</v>
      </c>
      <c r="V191" s="1">
        <f t="shared" ca="1" si="129"/>
        <v>18</v>
      </c>
      <c r="W191" s="1"/>
      <c r="X191" s="1">
        <f t="shared" ca="1" si="130"/>
        <v>3.8831578536120648</v>
      </c>
      <c r="Y191" s="1">
        <f t="shared" ca="1" si="131"/>
        <v>0.10757579131515134</v>
      </c>
      <c r="Z191" s="1">
        <f t="shared" ca="1" si="132"/>
        <v>782</v>
      </c>
      <c r="AB191" s="1">
        <f t="shared" ca="1" si="133"/>
        <v>0.37772230124298295</v>
      </c>
      <c r="AC191" s="1">
        <f t="shared" ca="1" si="134"/>
        <v>446</v>
      </c>
      <c r="AD191" s="1">
        <f t="shared" ca="1" si="135"/>
        <v>1.9197453129002004E-3</v>
      </c>
      <c r="AE191" s="1"/>
      <c r="AF191" s="1">
        <f t="shared" ca="1" si="136"/>
        <v>0.59029473784886521</v>
      </c>
      <c r="AG191" s="1">
        <f t="shared" ca="1" si="137"/>
        <v>238</v>
      </c>
      <c r="AH191" s="1">
        <f t="shared" ca="1" si="138"/>
        <v>3.4364442085587543E-3</v>
      </c>
      <c r="AJ191" s="1">
        <f t="shared" ca="1" si="139"/>
        <v>0.84499116423717124</v>
      </c>
      <c r="AK191" s="1">
        <f t="shared" ca="1" si="140"/>
        <v>4.1464707062101478E-3</v>
      </c>
      <c r="AL191" s="1"/>
      <c r="AM191" s="1">
        <f t="shared" ca="1" si="141"/>
        <v>0.1169704005374004</v>
      </c>
      <c r="AN191" s="1">
        <f t="shared" ca="1" si="142"/>
        <v>14</v>
      </c>
      <c r="AO191" s="1">
        <f t="shared" ca="1" si="143"/>
        <v>6</v>
      </c>
      <c r="AQ191" s="1">
        <f t="shared" ca="1" si="144"/>
        <v>108</v>
      </c>
      <c r="AR191" s="1">
        <f t="shared" ca="1" si="145"/>
        <v>6</v>
      </c>
      <c r="AS191" s="1">
        <f t="shared" ca="1" si="146"/>
        <v>82</v>
      </c>
      <c r="AU191" s="1">
        <f t="shared" ca="1" si="147"/>
        <v>291</v>
      </c>
      <c r="AV191" s="1">
        <f t="shared" ca="1" si="148"/>
        <v>5</v>
      </c>
      <c r="AW191" s="1">
        <f t="shared" ca="1" si="149"/>
        <v>4.2546110519815231E-2</v>
      </c>
      <c r="AY191" s="1">
        <f t="shared" ca="1" si="150"/>
        <v>1.6396389037741312</v>
      </c>
      <c r="AZ191" s="1">
        <f t="shared" ca="1" si="151"/>
        <v>347</v>
      </c>
      <c r="BA191" s="1">
        <f t="shared" ca="1" si="152"/>
        <v>9.3164819676150295E-3</v>
      </c>
      <c r="BV191" s="1">
        <f t="shared" ca="1" si="153"/>
        <v>6.1876046990892247E-2</v>
      </c>
      <c r="BW191" s="1">
        <f t="shared" ca="1" si="154"/>
        <v>872</v>
      </c>
      <c r="BX191" s="1">
        <f t="shared" ca="1" si="155"/>
        <v>5.3615299251160006E-3</v>
      </c>
      <c r="BY191" s="1">
        <f t="shared" ca="1" si="156"/>
        <v>1.8072047686352414E-3</v>
      </c>
      <c r="BZ191" s="1">
        <f t="shared" ca="1" si="157"/>
        <v>0.12502549700730226</v>
      </c>
      <c r="CB191" s="1">
        <f t="shared" ca="1" si="158"/>
        <v>369</v>
      </c>
      <c r="CC191" s="1">
        <f t="shared" ca="1" si="159"/>
        <v>8</v>
      </c>
      <c r="CD191" s="1">
        <f t="shared" ca="1" si="160"/>
        <v>0.24120025114857924</v>
      </c>
      <c r="CE191" s="1">
        <f t="shared" ca="1" si="170"/>
        <v>0.71978507800338587</v>
      </c>
      <c r="CF191" s="1">
        <f t="shared" ca="1" si="170"/>
        <v>0.55447754388849479</v>
      </c>
      <c r="CH191" s="3">
        <f t="shared" ca="1" si="162"/>
        <v>0.9203296776080544</v>
      </c>
      <c r="CI191" s="3">
        <f t="shared" ca="1" si="163"/>
        <v>0.76273990825970894</v>
      </c>
      <c r="CJ191" s="3">
        <f t="shared" ca="1" si="164"/>
        <v>1377</v>
      </c>
      <c r="CK191" s="3">
        <f t="shared" ca="1" si="165"/>
        <v>7.6147124166737667E-3</v>
      </c>
      <c r="CL191" s="3">
        <f t="shared" ca="1" si="166"/>
        <v>0</v>
      </c>
      <c r="CM191" s="3"/>
      <c r="CN191" s="1">
        <f t="shared" ca="1" si="167"/>
        <v>5.7538726302106111</v>
      </c>
      <c r="CO191" s="1">
        <f t="shared" ca="1" si="168"/>
        <v>0.14732124944955874</v>
      </c>
      <c r="CP191" s="1">
        <f t="shared" ca="1" si="169"/>
        <v>2</v>
      </c>
    </row>
    <row r="192" spans="2:94" x14ac:dyDescent="0.25">
      <c r="B192">
        <f t="shared" ca="1" si="114"/>
        <v>763</v>
      </c>
      <c r="C192">
        <f t="shared" ca="1" si="115"/>
        <v>2</v>
      </c>
      <c r="D192">
        <f t="shared" ca="1" si="116"/>
        <v>0.25526389761551488</v>
      </c>
      <c r="F192" s="1">
        <f t="shared" ca="1" si="117"/>
        <v>9</v>
      </c>
      <c r="G192" s="1">
        <f t="shared" ca="1" si="118"/>
        <v>18</v>
      </c>
      <c r="H192" s="1">
        <f t="shared" ca="1" si="119"/>
        <v>1</v>
      </c>
      <c r="I192" s="1"/>
      <c r="J192" s="1">
        <f t="shared" ca="1" si="120"/>
        <v>11</v>
      </c>
      <c r="K192" s="1">
        <f t="shared" ca="1" si="121"/>
        <v>2.1637028192145351</v>
      </c>
      <c r="L192" s="1">
        <f t="shared" ca="1" si="122"/>
        <v>14</v>
      </c>
      <c r="M192" s="1"/>
      <c r="N192" s="1">
        <f t="shared" ca="1" si="123"/>
        <v>709</v>
      </c>
      <c r="O192" s="1">
        <f t="shared" ca="1" si="124"/>
        <v>42</v>
      </c>
      <c r="P192" s="1"/>
      <c r="Q192" s="1">
        <f t="shared" ca="1" si="125"/>
        <v>3.2935264646862299</v>
      </c>
      <c r="R192" s="1">
        <f t="shared" ca="1" si="126"/>
        <v>777</v>
      </c>
      <c r="S192" s="1"/>
      <c r="T192" s="1">
        <f t="shared" ca="1" si="127"/>
        <v>0.10054845249769093</v>
      </c>
      <c r="U192" s="1">
        <f t="shared" ca="1" si="128"/>
        <v>400</v>
      </c>
      <c r="V192" s="1">
        <f t="shared" ca="1" si="129"/>
        <v>27</v>
      </c>
      <c r="W192" s="1"/>
      <c r="X192" s="1">
        <f t="shared" ca="1" si="130"/>
        <v>8.7891629143564494</v>
      </c>
      <c r="Y192" s="1">
        <f t="shared" ca="1" si="131"/>
        <v>0.80555452800848937</v>
      </c>
      <c r="Z192" s="1">
        <f t="shared" ca="1" si="132"/>
        <v>1532</v>
      </c>
      <c r="AB192" s="1">
        <f t="shared" ca="1" si="133"/>
        <v>0.82988318561929764</v>
      </c>
      <c r="AC192" s="1">
        <f t="shared" ca="1" si="134"/>
        <v>919</v>
      </c>
      <c r="AD192" s="1">
        <f t="shared" ca="1" si="135"/>
        <v>5.2351190094905922E-4</v>
      </c>
      <c r="AE192" s="1"/>
      <c r="AF192" s="1">
        <f t="shared" ca="1" si="136"/>
        <v>0.80826695328975562</v>
      </c>
      <c r="AG192" s="1">
        <f t="shared" ca="1" si="137"/>
        <v>912</v>
      </c>
      <c r="AH192" s="1">
        <f t="shared" ca="1" si="138"/>
        <v>3.6318013793626347E-3</v>
      </c>
      <c r="AJ192" s="1">
        <f t="shared" ca="1" si="139"/>
        <v>0.95214023639302092</v>
      </c>
      <c r="AK192" s="1">
        <f t="shared" ca="1" si="140"/>
        <v>8.9939520621759514E-3</v>
      </c>
      <c r="AL192" s="1"/>
      <c r="AM192" s="1">
        <f t="shared" ca="1" si="141"/>
        <v>8.9350324906088685E-2</v>
      </c>
      <c r="AN192" s="1">
        <f t="shared" ca="1" si="142"/>
        <v>54</v>
      </c>
      <c r="AO192" s="1">
        <f t="shared" ca="1" si="143"/>
        <v>8</v>
      </c>
      <c r="AQ192" s="1">
        <f t="shared" ca="1" si="144"/>
        <v>179</v>
      </c>
      <c r="AR192" s="1">
        <f t="shared" ca="1" si="145"/>
        <v>10</v>
      </c>
      <c r="AS192" s="1">
        <f t="shared" ca="1" si="146"/>
        <v>23</v>
      </c>
      <c r="AU192" s="1">
        <f t="shared" ca="1" si="147"/>
        <v>158</v>
      </c>
      <c r="AV192" s="1">
        <f t="shared" ca="1" si="148"/>
        <v>8</v>
      </c>
      <c r="AW192" s="1">
        <f t="shared" ca="1" si="149"/>
        <v>0.14018921960841055</v>
      </c>
      <c r="AY192" s="1">
        <f t="shared" ca="1" si="150"/>
        <v>1.7627720200081314</v>
      </c>
      <c r="AZ192" s="1">
        <f t="shared" ca="1" si="151"/>
        <v>257</v>
      </c>
      <c r="BA192" s="1">
        <f t="shared" ca="1" si="152"/>
        <v>2.4538675772968555E-3</v>
      </c>
      <c r="BV192" s="1">
        <f t="shared" ca="1" si="153"/>
        <v>0.3934536229553256</v>
      </c>
      <c r="BW192" s="1">
        <f t="shared" ca="1" si="154"/>
        <v>309</v>
      </c>
      <c r="BX192" s="1">
        <f t="shared" ca="1" si="155"/>
        <v>5.2223012865812565E-3</v>
      </c>
      <c r="BY192" s="1">
        <f t="shared" ca="1" si="156"/>
        <v>4.5378581790747691E-2</v>
      </c>
      <c r="BZ192" s="1">
        <f t="shared" ca="1" si="157"/>
        <v>6.5928497332905511E-3</v>
      </c>
      <c r="CB192" s="1">
        <f t="shared" ca="1" si="158"/>
        <v>222</v>
      </c>
      <c r="CC192" s="1">
        <f t="shared" ca="1" si="159"/>
        <v>3</v>
      </c>
      <c r="CD192" s="1">
        <f t="shared" ca="1" si="160"/>
        <v>0.25369400851817531</v>
      </c>
      <c r="CE192" s="1">
        <f t="shared" ca="1" si="170"/>
        <v>0.96081091289451015</v>
      </c>
      <c r="CF192" s="1">
        <f t="shared" ca="1" si="170"/>
        <v>0.81821186686101444</v>
      </c>
      <c r="CH192" s="3">
        <f t="shared" ca="1" si="162"/>
        <v>0.43886773221816827</v>
      </c>
      <c r="CI192" s="3">
        <f t="shared" ca="1" si="163"/>
        <v>0.62319531703282871</v>
      </c>
      <c r="CJ192" s="3">
        <f t="shared" ca="1" si="164"/>
        <v>1973</v>
      </c>
      <c r="CK192" s="3">
        <f t="shared" ca="1" si="165"/>
        <v>2.1489081081834385E-3</v>
      </c>
      <c r="CL192" s="3">
        <f t="shared" ca="1" si="166"/>
        <v>0</v>
      </c>
      <c r="CM192" s="3"/>
      <c r="CN192" s="1">
        <f t="shared" ca="1" si="167"/>
        <v>7.9932483766880464</v>
      </c>
      <c r="CO192" s="1">
        <f t="shared" ca="1" si="168"/>
        <v>0.27240167817327871</v>
      </c>
      <c r="CP192" s="1">
        <f t="shared" ca="1" si="169"/>
        <v>2</v>
      </c>
    </row>
    <row r="193" spans="2:94" x14ac:dyDescent="0.25">
      <c r="B193">
        <f t="shared" ca="1" si="114"/>
        <v>673</v>
      </c>
      <c r="C193">
        <f t="shared" ca="1" si="115"/>
        <v>15</v>
      </c>
      <c r="D193">
        <f t="shared" ca="1" si="116"/>
        <v>0.15014066665005554</v>
      </c>
      <c r="F193" s="1">
        <f t="shared" ca="1" si="117"/>
        <v>37</v>
      </c>
      <c r="G193" s="1">
        <f t="shared" ca="1" si="118"/>
        <v>9</v>
      </c>
      <c r="H193" s="1">
        <f t="shared" ca="1" si="119"/>
        <v>13</v>
      </c>
      <c r="I193" s="1"/>
      <c r="J193" s="1">
        <f t="shared" ca="1" si="120"/>
        <v>8</v>
      </c>
      <c r="K193" s="1">
        <f t="shared" ca="1" si="121"/>
        <v>2.5530736391151274</v>
      </c>
      <c r="L193" s="1">
        <f t="shared" ca="1" si="122"/>
        <v>35</v>
      </c>
      <c r="M193" s="1"/>
      <c r="N193" s="1">
        <f t="shared" ca="1" si="123"/>
        <v>922</v>
      </c>
      <c r="O193" s="1">
        <f t="shared" ca="1" si="124"/>
        <v>31</v>
      </c>
      <c r="P193" s="1"/>
      <c r="Q193" s="1">
        <f t="shared" ca="1" si="125"/>
        <v>2.3205124630518918</v>
      </c>
      <c r="R193" s="1">
        <f t="shared" ca="1" si="126"/>
        <v>943</v>
      </c>
      <c r="S193" s="1"/>
      <c r="T193" s="1">
        <f t="shared" ca="1" si="127"/>
        <v>0.18833859007322098</v>
      </c>
      <c r="U193" s="1">
        <f t="shared" ca="1" si="128"/>
        <v>104</v>
      </c>
      <c r="V193" s="1">
        <f t="shared" ca="1" si="129"/>
        <v>22</v>
      </c>
      <c r="W193" s="1"/>
      <c r="X193" s="1">
        <f t="shared" ca="1" si="130"/>
        <v>1.9012054963555758</v>
      </c>
      <c r="Y193" s="1">
        <f t="shared" ca="1" si="131"/>
        <v>4.1752511276084793E-2</v>
      </c>
      <c r="Z193" s="1">
        <f t="shared" ca="1" si="132"/>
        <v>1402</v>
      </c>
      <c r="AB193" s="1">
        <f t="shared" ca="1" si="133"/>
        <v>0.5655510420130907</v>
      </c>
      <c r="AC193" s="1">
        <f t="shared" ca="1" si="134"/>
        <v>872</v>
      </c>
      <c r="AD193" s="1">
        <f t="shared" ca="1" si="135"/>
        <v>8.2100041285872952E-3</v>
      </c>
      <c r="AE193" s="1"/>
      <c r="AF193" s="1">
        <f t="shared" ca="1" si="136"/>
        <v>0.87589718031585961</v>
      </c>
      <c r="AG193" s="1">
        <f t="shared" ca="1" si="137"/>
        <v>666</v>
      </c>
      <c r="AH193" s="1">
        <f t="shared" ca="1" si="138"/>
        <v>3.1854870698138017E-3</v>
      </c>
      <c r="AJ193" s="1">
        <f t="shared" ca="1" si="139"/>
        <v>0.31342606233676651</v>
      </c>
      <c r="AK193" s="1">
        <f t="shared" ca="1" si="140"/>
        <v>7.8398654098848532E-3</v>
      </c>
      <c r="AL193" s="1"/>
      <c r="AM193" s="1">
        <f t="shared" ca="1" si="141"/>
        <v>0.16293352404746109</v>
      </c>
      <c r="AN193" s="1">
        <f t="shared" ca="1" si="142"/>
        <v>80</v>
      </c>
      <c r="AO193" s="1">
        <f t="shared" ca="1" si="143"/>
        <v>20</v>
      </c>
      <c r="AQ193" s="1">
        <f t="shared" ca="1" si="144"/>
        <v>33</v>
      </c>
      <c r="AR193" s="1">
        <f t="shared" ca="1" si="145"/>
        <v>10</v>
      </c>
      <c r="AS193" s="1">
        <f t="shared" ca="1" si="146"/>
        <v>89</v>
      </c>
      <c r="AU193" s="1">
        <f t="shared" ca="1" si="147"/>
        <v>244</v>
      </c>
      <c r="AV193" s="1">
        <f t="shared" ca="1" si="148"/>
        <v>7</v>
      </c>
      <c r="AW193" s="1">
        <f t="shared" ca="1" si="149"/>
        <v>2.6237217510052785E-2</v>
      </c>
      <c r="AY193" s="1">
        <f t="shared" ca="1" si="150"/>
        <v>1.3002476666912943</v>
      </c>
      <c r="AZ193" s="1">
        <f t="shared" ca="1" si="151"/>
        <v>352</v>
      </c>
      <c r="BA193" s="1">
        <f t="shared" ca="1" si="152"/>
        <v>5.16756839156904E-5</v>
      </c>
      <c r="BV193" s="1">
        <f t="shared" ca="1" si="153"/>
        <v>0.72973860949424085</v>
      </c>
      <c r="BW193" s="1">
        <f t="shared" ca="1" si="154"/>
        <v>352</v>
      </c>
      <c r="BX193" s="1">
        <f t="shared" ca="1" si="155"/>
        <v>8.324684921033278E-3</v>
      </c>
      <c r="BY193" s="1">
        <f t="shared" ca="1" si="156"/>
        <v>5.6778685750936378E-2</v>
      </c>
      <c r="BZ193" s="1">
        <f t="shared" ca="1" si="157"/>
        <v>0.74128441144868984</v>
      </c>
      <c r="CB193" s="1">
        <f t="shared" ca="1" si="158"/>
        <v>94</v>
      </c>
      <c r="CC193" s="1">
        <f t="shared" ca="1" si="159"/>
        <v>6</v>
      </c>
      <c r="CD193" s="1">
        <f t="shared" ca="1" si="160"/>
        <v>0.16677113185492165</v>
      </c>
      <c r="CE193" s="1">
        <f t="shared" ca="1" si="170"/>
        <v>0.66850993397213887</v>
      </c>
      <c r="CF193" s="1">
        <f t="shared" ca="1" si="170"/>
        <v>0.57296675356067195</v>
      </c>
      <c r="CH193" s="3">
        <f t="shared" ca="1" si="162"/>
        <v>0.90511413080944769</v>
      </c>
      <c r="CI193" s="3">
        <f t="shared" ca="1" si="163"/>
        <v>0.13666703750927348</v>
      </c>
      <c r="CJ193" s="3">
        <f t="shared" ca="1" si="164"/>
        <v>1884</v>
      </c>
      <c r="CK193" s="3">
        <f t="shared" ca="1" si="165"/>
        <v>9.6960206437881873E-3</v>
      </c>
      <c r="CL193" s="3">
        <f t="shared" ca="1" si="166"/>
        <v>1</v>
      </c>
      <c r="CM193" s="3"/>
      <c r="CN193" s="1">
        <f t="shared" ca="1" si="167"/>
        <v>16.412875997519407</v>
      </c>
      <c r="CO193" s="1">
        <f t="shared" ca="1" si="168"/>
        <v>0.23559034678999813</v>
      </c>
      <c r="CP193" s="1">
        <f t="shared" ca="1" si="169"/>
        <v>2</v>
      </c>
    </row>
    <row r="194" spans="2:94" x14ac:dyDescent="0.25">
      <c r="B194">
        <f t="shared" ca="1" si="114"/>
        <v>135</v>
      </c>
      <c r="C194">
        <f t="shared" ca="1" si="115"/>
        <v>42</v>
      </c>
      <c r="D194">
        <f t="shared" ca="1" si="116"/>
        <v>0.17080107874058897</v>
      </c>
      <c r="F194" s="1">
        <f t="shared" ca="1" si="117"/>
        <v>10</v>
      </c>
      <c r="G194" s="1">
        <f t="shared" ca="1" si="118"/>
        <v>12</v>
      </c>
      <c r="H194" s="1">
        <f t="shared" ca="1" si="119"/>
        <v>1</v>
      </c>
      <c r="I194" s="1"/>
      <c r="J194" s="1">
        <f t="shared" ca="1" si="120"/>
        <v>8</v>
      </c>
      <c r="K194" s="1">
        <f t="shared" ca="1" si="121"/>
        <v>1.411309989619697</v>
      </c>
      <c r="L194" s="1">
        <f t="shared" ca="1" si="122"/>
        <v>2</v>
      </c>
      <c r="M194" s="1"/>
      <c r="N194" s="1">
        <f t="shared" ca="1" si="123"/>
        <v>312</v>
      </c>
      <c r="O194" s="1">
        <f t="shared" ca="1" si="124"/>
        <v>22</v>
      </c>
      <c r="P194" s="1"/>
      <c r="Q194" s="1">
        <f t="shared" ca="1" si="125"/>
        <v>0.25878863957273979</v>
      </c>
      <c r="R194" s="1">
        <f t="shared" ca="1" si="126"/>
        <v>899</v>
      </c>
      <c r="S194" s="1"/>
      <c r="T194" s="1">
        <f t="shared" ca="1" si="127"/>
        <v>9.8585295545913929E-2</v>
      </c>
      <c r="U194" s="1">
        <f t="shared" ca="1" si="128"/>
        <v>83</v>
      </c>
      <c r="V194" s="1">
        <f t="shared" ca="1" si="129"/>
        <v>48</v>
      </c>
      <c r="W194" s="1"/>
      <c r="X194" s="1">
        <f t="shared" ca="1" si="130"/>
        <v>8.259815934942651</v>
      </c>
      <c r="Y194" s="1">
        <f t="shared" ca="1" si="131"/>
        <v>0.27973400956930988</v>
      </c>
      <c r="Z194" s="1">
        <f t="shared" ca="1" si="132"/>
        <v>978</v>
      </c>
      <c r="AB194" s="1">
        <f t="shared" ca="1" si="133"/>
        <v>0.16177236671609449</v>
      </c>
      <c r="AC194" s="1">
        <f t="shared" ca="1" si="134"/>
        <v>871</v>
      </c>
      <c r="AD194" s="1">
        <f t="shared" ca="1" si="135"/>
        <v>1.8280189996007282E-3</v>
      </c>
      <c r="AE194" s="1"/>
      <c r="AF194" s="1">
        <f t="shared" ca="1" si="136"/>
        <v>0.24982440857163477</v>
      </c>
      <c r="AG194" s="1">
        <f t="shared" ca="1" si="137"/>
        <v>800</v>
      </c>
      <c r="AH194" s="1">
        <f t="shared" ca="1" si="138"/>
        <v>4.6392978531015899E-3</v>
      </c>
      <c r="AJ194" s="1">
        <f t="shared" ca="1" si="139"/>
        <v>6.9027726021094749E-3</v>
      </c>
      <c r="AK194" s="1">
        <f t="shared" ca="1" si="140"/>
        <v>7.9474543022545596E-3</v>
      </c>
      <c r="AL194" s="1"/>
      <c r="AM194" s="1">
        <f t="shared" ca="1" si="141"/>
        <v>0.1038844281994061</v>
      </c>
      <c r="AN194" s="1">
        <f t="shared" ca="1" si="142"/>
        <v>80</v>
      </c>
      <c r="AO194" s="1">
        <f t="shared" ca="1" si="143"/>
        <v>0</v>
      </c>
      <c r="AQ194" s="1">
        <f t="shared" ca="1" si="144"/>
        <v>131</v>
      </c>
      <c r="AR194" s="1">
        <f t="shared" ca="1" si="145"/>
        <v>0</v>
      </c>
      <c r="AS194" s="1">
        <f t="shared" ca="1" si="146"/>
        <v>36</v>
      </c>
      <c r="AU194" s="1">
        <f t="shared" ca="1" si="147"/>
        <v>228</v>
      </c>
      <c r="AV194" s="1">
        <f t="shared" ca="1" si="148"/>
        <v>8</v>
      </c>
      <c r="AW194" s="1">
        <f t="shared" ca="1" si="149"/>
        <v>0.14306177568539949</v>
      </c>
      <c r="AY194" s="1">
        <f t="shared" ca="1" si="150"/>
        <v>1.2369026002739572</v>
      </c>
      <c r="AZ194" s="1">
        <f t="shared" ca="1" si="151"/>
        <v>234</v>
      </c>
      <c r="BA194" s="1">
        <f t="shared" ca="1" si="152"/>
        <v>7.6440301500160851E-3</v>
      </c>
      <c r="BV194" s="1">
        <f t="shared" ca="1" si="153"/>
        <v>0.92034138303175494</v>
      </c>
      <c r="BW194" s="1">
        <f t="shared" ca="1" si="154"/>
        <v>169</v>
      </c>
      <c r="BX194" s="1">
        <f t="shared" ca="1" si="155"/>
        <v>3.1100459878326027E-3</v>
      </c>
      <c r="BY194" s="1">
        <f t="shared" ca="1" si="156"/>
        <v>6.7553854862197366E-2</v>
      </c>
      <c r="BZ194" s="1">
        <f t="shared" ca="1" si="157"/>
        <v>0.36968257815515615</v>
      </c>
      <c r="CB194" s="1">
        <f t="shared" ca="1" si="158"/>
        <v>415</v>
      </c>
      <c r="CC194" s="1">
        <f t="shared" ca="1" si="159"/>
        <v>14</v>
      </c>
      <c r="CD194" s="1">
        <f t="shared" ca="1" si="160"/>
        <v>8.4126483395835797E-2</v>
      </c>
      <c r="CE194" s="1">
        <f t="shared" ca="1" si="170"/>
        <v>0.93553675187098118</v>
      </c>
      <c r="CF194" s="1">
        <f t="shared" ca="1" si="170"/>
        <v>0.78460102557515199</v>
      </c>
      <c r="CH194" s="3">
        <f t="shared" ca="1" si="162"/>
        <v>0.3187112977753972</v>
      </c>
      <c r="CI194" s="3">
        <f t="shared" ca="1" si="163"/>
        <v>0.85846797893437987</v>
      </c>
      <c r="CJ194" s="3">
        <f t="shared" ca="1" si="164"/>
        <v>970</v>
      </c>
      <c r="CK194" s="3">
        <f t="shared" ca="1" si="165"/>
        <v>6.5175996354919071E-3</v>
      </c>
      <c r="CL194" s="3">
        <f t="shared" ca="1" si="166"/>
        <v>1</v>
      </c>
      <c r="CM194" s="3"/>
      <c r="CN194" s="1">
        <f t="shared" ca="1" si="167"/>
        <v>5.2964273339923249</v>
      </c>
      <c r="CO194" s="1">
        <f t="shared" ca="1" si="168"/>
        <v>0.42359377487504329</v>
      </c>
      <c r="CP194" s="1">
        <f t="shared" ca="1" si="169"/>
        <v>1</v>
      </c>
    </row>
    <row r="195" spans="2:94" x14ac:dyDescent="0.25">
      <c r="B195">
        <f t="shared" ca="1" si="114"/>
        <v>54</v>
      </c>
      <c r="C195">
        <f t="shared" ca="1" si="115"/>
        <v>11</v>
      </c>
      <c r="D195">
        <f t="shared" ca="1" si="116"/>
        <v>0.13287898420411673</v>
      </c>
      <c r="F195" s="1">
        <f t="shared" ca="1" si="117"/>
        <v>51</v>
      </c>
      <c r="G195" s="1">
        <f t="shared" ca="1" si="118"/>
        <v>10</v>
      </c>
      <c r="H195" s="1">
        <f t="shared" ca="1" si="119"/>
        <v>11</v>
      </c>
      <c r="I195" s="1"/>
      <c r="J195" s="1">
        <f t="shared" ca="1" si="120"/>
        <v>8</v>
      </c>
      <c r="K195" s="1">
        <f t="shared" ca="1" si="121"/>
        <v>1.8464968631085261</v>
      </c>
      <c r="L195" s="1">
        <f t="shared" ca="1" si="122"/>
        <v>18</v>
      </c>
      <c r="M195" s="1"/>
      <c r="N195" s="1">
        <f t="shared" ca="1" si="123"/>
        <v>144</v>
      </c>
      <c r="O195" s="1">
        <f t="shared" ca="1" si="124"/>
        <v>3</v>
      </c>
      <c r="P195" s="1"/>
      <c r="Q195" s="1">
        <f t="shared" ca="1" si="125"/>
        <v>2.6465418901905493</v>
      </c>
      <c r="R195" s="1">
        <f t="shared" ca="1" si="126"/>
        <v>1147</v>
      </c>
      <c r="S195" s="1"/>
      <c r="T195" s="1">
        <f t="shared" ca="1" si="127"/>
        <v>0.11580449922460431</v>
      </c>
      <c r="U195" s="1">
        <f t="shared" ca="1" si="128"/>
        <v>55</v>
      </c>
      <c r="V195" s="1">
        <f t="shared" ca="1" si="129"/>
        <v>24</v>
      </c>
      <c r="W195" s="1"/>
      <c r="X195" s="1">
        <f t="shared" ca="1" si="130"/>
        <v>1.3040609102668761</v>
      </c>
      <c r="Y195" s="1">
        <f t="shared" ca="1" si="131"/>
        <v>0.43806117251491727</v>
      </c>
      <c r="Z195" s="1">
        <f t="shared" ca="1" si="132"/>
        <v>965</v>
      </c>
      <c r="AB195" s="1">
        <f t="shared" ca="1" si="133"/>
        <v>0.72567956279541868</v>
      </c>
      <c r="AC195" s="1">
        <f t="shared" ca="1" si="134"/>
        <v>522</v>
      </c>
      <c r="AD195" s="1">
        <f t="shared" ca="1" si="135"/>
        <v>1.5027566254767917E-3</v>
      </c>
      <c r="AE195" s="1"/>
      <c r="AF195" s="1">
        <f t="shared" ca="1" si="136"/>
        <v>0.87814329482125486</v>
      </c>
      <c r="AG195" s="1">
        <f t="shared" ca="1" si="137"/>
        <v>168</v>
      </c>
      <c r="AH195" s="1">
        <f t="shared" ca="1" si="138"/>
        <v>6.7480838419785383E-3</v>
      </c>
      <c r="AJ195" s="1">
        <f t="shared" ca="1" si="139"/>
        <v>0.57810093532842288</v>
      </c>
      <c r="AK195" s="1">
        <f t="shared" ca="1" si="140"/>
        <v>2.0327517596500618E-3</v>
      </c>
      <c r="AL195" s="1"/>
      <c r="AM195" s="1">
        <f t="shared" ca="1" si="141"/>
        <v>2.0293209223351531E-2</v>
      </c>
      <c r="AN195" s="1">
        <f t="shared" ca="1" si="142"/>
        <v>23</v>
      </c>
      <c r="AO195" s="1">
        <f t="shared" ca="1" si="143"/>
        <v>8</v>
      </c>
      <c r="AQ195" s="1">
        <f t="shared" ca="1" si="144"/>
        <v>13</v>
      </c>
      <c r="AR195" s="1">
        <f t="shared" ca="1" si="145"/>
        <v>5</v>
      </c>
      <c r="AS195" s="1">
        <f t="shared" ca="1" si="146"/>
        <v>34</v>
      </c>
      <c r="AU195" s="1">
        <f t="shared" ca="1" si="147"/>
        <v>87</v>
      </c>
      <c r="AV195" s="1">
        <f t="shared" ca="1" si="148"/>
        <v>4</v>
      </c>
      <c r="AW195" s="1">
        <f t="shared" ca="1" si="149"/>
        <v>0.16103181732074007</v>
      </c>
      <c r="AY195" s="1">
        <f t="shared" ca="1" si="150"/>
        <v>1.5923480420134069</v>
      </c>
      <c r="AZ195" s="1">
        <f t="shared" ca="1" si="151"/>
        <v>252</v>
      </c>
      <c r="BA195" s="1">
        <f t="shared" ca="1" si="152"/>
        <v>8.3797675386431559E-3</v>
      </c>
      <c r="BV195" s="1">
        <f t="shared" ca="1" si="153"/>
        <v>0.24222137483401751</v>
      </c>
      <c r="BW195" s="1">
        <f t="shared" ca="1" si="154"/>
        <v>212</v>
      </c>
      <c r="BX195" s="1">
        <f t="shared" ca="1" si="155"/>
        <v>5.100089535680888E-3</v>
      </c>
      <c r="BY195" s="1">
        <f t="shared" ca="1" si="156"/>
        <v>9.1937833628342847E-2</v>
      </c>
      <c r="BZ195" s="1">
        <f t="shared" ca="1" si="157"/>
        <v>0.90169876192743903</v>
      </c>
      <c r="CB195" s="1">
        <f t="shared" ca="1" si="158"/>
        <v>307</v>
      </c>
      <c r="CC195" s="1">
        <f t="shared" ca="1" si="159"/>
        <v>15</v>
      </c>
      <c r="CD195" s="1">
        <f t="shared" ca="1" si="160"/>
        <v>0.15869718245714737</v>
      </c>
      <c r="CE195" s="1">
        <f t="shared" ca="1" si="170"/>
        <v>0.99895086386258369</v>
      </c>
      <c r="CF195" s="1">
        <f t="shared" ca="1" si="170"/>
        <v>0.78479616114563111</v>
      </c>
      <c r="CH195" s="3">
        <f t="shared" ca="1" si="162"/>
        <v>0.27141057064694962</v>
      </c>
      <c r="CI195" s="3">
        <f t="shared" ca="1" si="163"/>
        <v>0.37022973385594221</v>
      </c>
      <c r="CJ195" s="3">
        <f t="shared" ca="1" si="164"/>
        <v>1271</v>
      </c>
      <c r="CK195" s="3">
        <f t="shared" ca="1" si="165"/>
        <v>7.2292146732663423E-3</v>
      </c>
      <c r="CL195" s="3">
        <f t="shared" ca="1" si="166"/>
        <v>1</v>
      </c>
      <c r="CM195" s="3"/>
      <c r="CN195" s="1">
        <f t="shared" ca="1" si="167"/>
        <v>8.206712430866725</v>
      </c>
      <c r="CO195" s="1">
        <f t="shared" ca="1" si="168"/>
        <v>0.4449889528389358</v>
      </c>
      <c r="CP195" s="1">
        <f t="shared" ca="1" si="169"/>
        <v>2</v>
      </c>
    </row>
    <row r="196" spans="2:94" x14ac:dyDescent="0.25">
      <c r="B196">
        <f t="shared" ref="B196:B202" ca="1" si="171">RANDBETWEEN(15,1000)</f>
        <v>286</v>
      </c>
      <c r="C196">
        <f t="shared" ref="C196:C202" ca="1" si="172">RANDBETWEEN(2,52)</f>
        <v>7</v>
      </c>
      <c r="D196">
        <f t="shared" ref="D196:D202" ca="1" si="173">RAND()*(0.3-0.01)+0.01</f>
        <v>0.18470296275075634</v>
      </c>
      <c r="F196" s="1">
        <f t="shared" ref="F196:F202" ca="1" si="174">RANDBETWEEN(2,52)</f>
        <v>31</v>
      </c>
      <c r="G196" s="1">
        <f t="shared" ref="G196:G202" ca="1" si="175">RANDBETWEEN(2,30)</f>
        <v>9</v>
      </c>
      <c r="H196" s="1">
        <f t="shared" ref="H196:H202" ca="1" si="176">RANDBETWEEN(1,15)</f>
        <v>15</v>
      </c>
      <c r="I196" s="1"/>
      <c r="J196" s="1">
        <f t="shared" ref="J196:J202" ca="1" si="177">RANDBETWEEN(1,39)</f>
        <v>2</v>
      </c>
      <c r="K196" s="1">
        <f t="shared" ref="K196:K202" ca="1" si="178">RAND()*(3-1)+1</f>
        <v>1.4382922212776987</v>
      </c>
      <c r="L196" s="1">
        <f t="shared" ref="L196:L202" ca="1" si="179">RANDBETWEEN(2,35)</f>
        <v>30</v>
      </c>
      <c r="M196" s="1"/>
      <c r="N196" s="1">
        <f t="shared" ref="N196:N202" ca="1" si="180">RANDBETWEEN(15,1000)</f>
        <v>475</v>
      </c>
      <c r="O196" s="1">
        <f t="shared" ref="O196:O202" ca="1" si="181">RANDBETWEEN(2,52)</f>
        <v>15</v>
      </c>
      <c r="P196" s="1"/>
      <c r="Q196" s="1">
        <f t="shared" ref="Q196:Q202" ca="1" si="182">RAND()*(5-0.01)+0.01</f>
        <v>4.1069204176083325</v>
      </c>
      <c r="R196" s="1">
        <f t="shared" ref="R196:R202" ca="1" si="183">RANDBETWEEN(200,1200)</f>
        <v>908</v>
      </c>
      <c r="S196" s="1"/>
      <c r="T196" s="1">
        <f t="shared" ref="T196:T202" ca="1" si="184">RAND()*(0.2-0.01)+0.01</f>
        <v>0.16022960243724116</v>
      </c>
      <c r="U196" s="1">
        <f t="shared" ref="U196:U202" ca="1" si="185">RANDBETWEEN(50,450)</f>
        <v>340</v>
      </c>
      <c r="V196" s="1">
        <f t="shared" ref="V196:V202" ca="1" si="186">RANDBETWEEN(2,52)</f>
        <v>33</v>
      </c>
      <c r="W196" s="1"/>
      <c r="X196" s="1">
        <f t="shared" ref="X196:X202" ca="1" si="187">RAND()*(10-0.01)+0.01</f>
        <v>1.0866679526959158</v>
      </c>
      <c r="Y196" s="1">
        <f t="shared" ref="Y196:Y202" ca="1" si="188">RAND()*(1-0.0001)+0.0001</f>
        <v>0.97479357880790718</v>
      </c>
      <c r="Z196" s="1">
        <f t="shared" ref="Z196:Z202" ca="1" si="189">RANDBETWEEN(100,2000)</f>
        <v>1366</v>
      </c>
      <c r="AB196" s="1">
        <f t="shared" ref="AB196:AB202" ca="1" si="190">RAND()*(1-0.0001)+0.0001</f>
        <v>0.30859966386874882</v>
      </c>
      <c r="AC196" s="1">
        <f t="shared" ref="AC196:AC202" ca="1" si="191">RANDBETWEEN(100,1000)</f>
        <v>286</v>
      </c>
      <c r="AD196" s="1">
        <f t="shared" ref="AD196:AD202" ca="1" si="192">RAND()*(0.01-0.00001)+0.00001</f>
        <v>9.1366133105010121E-3</v>
      </c>
      <c r="AE196" s="1"/>
      <c r="AF196" s="1">
        <f t="shared" ref="AF196:AF202" ca="1" si="193">RAND()*(0.9-0.1)+0.1</f>
        <v>0.63539572260166122</v>
      </c>
      <c r="AG196" s="1">
        <f t="shared" ref="AG196:AG202" ca="1" si="194">RANDBETWEEN(100,1000)</f>
        <v>548</v>
      </c>
      <c r="AH196" s="1">
        <f t="shared" ref="AH196:AH202" ca="1" si="195">RAND()*(0.01-0.00001)+0.00001</f>
        <v>8.7878227689203517E-3</v>
      </c>
      <c r="AJ196" s="1">
        <f t="shared" ref="AJ196:AJ202" ca="1" si="196">RAND()*(1-0)+0</f>
        <v>0.46516001584938549</v>
      </c>
      <c r="AK196" s="1">
        <f t="shared" ref="AK196:AK202" ca="1" si="197">RAND()*(0.01-0.00001)+0.00001</f>
        <v>5.2246367001755507E-3</v>
      </c>
      <c r="AL196" s="1"/>
      <c r="AM196" s="1">
        <f t="shared" ref="AM196:AM202" ca="1" si="198">RAND()*(0.2-0.005)+0.005</f>
        <v>0.10959422017432162</v>
      </c>
      <c r="AN196" s="1">
        <f t="shared" ref="AN196:AN202" ca="1" si="199">RANDBETWEEN(10,80)</f>
        <v>19</v>
      </c>
      <c r="AO196" s="1">
        <f t="shared" ref="AO196:AO202" ca="1" si="200">RANDBETWEEN(-1,20)</f>
        <v>0</v>
      </c>
      <c r="AQ196" s="1">
        <f t="shared" ref="AQ196:AQ202" ca="1" si="201">RANDBETWEEN(10,200)</f>
        <v>72</v>
      </c>
      <c r="AR196" s="1">
        <f t="shared" ref="AR196:AR202" ca="1" si="202">RANDBETWEEN(0,10)</f>
        <v>7</v>
      </c>
      <c r="AS196" s="1">
        <f t="shared" ref="AS196:AS202" ca="1" si="203">RANDBETWEEN(1,100)</f>
        <v>65</v>
      </c>
      <c r="AU196" s="1">
        <f t="shared" ref="AU196:AU202" ca="1" si="204">RANDBETWEEN(50,400)</f>
        <v>179</v>
      </c>
      <c r="AV196" s="1">
        <f t="shared" ref="AV196:AV202" ca="1" si="205">RANDBETWEEN(2,10)</f>
        <v>6</v>
      </c>
      <c r="AW196" s="1">
        <f t="shared" ref="AW196:AW202" ca="1" si="206">RAND()*(0.2-0.01)+0.01</f>
        <v>0.14447358724867126</v>
      </c>
      <c r="AY196" s="1">
        <f t="shared" ref="AY196:AY202" ca="1" si="207">RAND()*(2-1.1)+1.1</f>
        <v>1.878677605921296</v>
      </c>
      <c r="AZ196" s="1">
        <f t="shared" ref="AZ196:AZ202" ca="1" si="208">RANDBETWEEN(50,500)</f>
        <v>251</v>
      </c>
      <c r="BA196" s="1">
        <f t="shared" ref="BA196:BA202" ca="1" si="209">RAND()*(0.01-0.00001)+0.00001</f>
        <v>6.172073120793084E-3</v>
      </c>
      <c r="BV196" s="1">
        <f t="shared" ref="BV196:BV202" ca="1" si="210">RAND()*(1-0.0001)+0.0001</f>
        <v>0.94275572992961931</v>
      </c>
      <c r="BW196" s="1">
        <f t="shared" ref="BW196:BW202" ca="1" si="211">RANDBETWEEN(100,1000)</f>
        <v>639</v>
      </c>
      <c r="BX196" s="1">
        <f t="shared" ref="BX196:BX202" ca="1" si="212">RAND()*(0.01-0.00001)+0.00001</f>
        <v>4.7404771831068932E-3</v>
      </c>
      <c r="BY196" s="1">
        <f t="shared" ref="BY196:BY202" ca="1" si="213">RAND()*(0.1-0.0001)+0.0001</f>
        <v>6.0851452300929351E-2</v>
      </c>
      <c r="BZ196" s="1">
        <f t="shared" ref="BZ196:BZ202" ca="1" si="214">RAND()*(1-0)+0</f>
        <v>0.67303639003453042</v>
      </c>
      <c r="CB196" s="1">
        <f t="shared" ref="CB196:CB202" ca="1" si="215">RANDBETWEEN(50,500)</f>
        <v>77</v>
      </c>
      <c r="CC196" s="1">
        <f t="shared" ref="CC196:CC202" ca="1" si="216">RANDBETWEEN(3,15)</f>
        <v>7</v>
      </c>
      <c r="CD196" s="1">
        <f t="shared" ref="CD196:CD202" ca="1" si="217">RAND()*(0.3-0.01)+0.01</f>
        <v>0.27113599566643964</v>
      </c>
      <c r="CE196" s="1">
        <f t="shared" ca="1" si="170"/>
        <v>0.67361454784131447</v>
      </c>
      <c r="CF196" s="1">
        <f t="shared" ca="1" si="170"/>
        <v>0.862422194970212</v>
      </c>
      <c r="CH196" s="3">
        <f t="shared" ref="CH196:CH202" ca="1" si="218">RAND()*(1-0.0001)+0.0001</f>
        <v>0.82776567350606456</v>
      </c>
      <c r="CI196" s="3">
        <f t="shared" ref="CI196:CI202" ca="1" si="219">RAND()*(0.99-0.01)+0.01</f>
        <v>0.40237467454757708</v>
      </c>
      <c r="CJ196" s="3">
        <f t="shared" ref="CJ196:CJ202" ca="1" si="220">RANDBETWEEN(100,2000)</f>
        <v>829</v>
      </c>
      <c r="CK196" s="3">
        <f t="shared" ref="CK196:CK202" ca="1" si="221">RAND()*(0.01-0.000001)+0.000001</f>
        <v>9.8452599764220182E-3</v>
      </c>
      <c r="CL196" s="3">
        <f t="shared" ref="CL196:CL202" ca="1" si="222">RANDBETWEEN(0,1)</f>
        <v>1</v>
      </c>
      <c r="CM196" s="3"/>
      <c r="CN196" s="1">
        <f t="shared" ref="CN196:CN202" ca="1" si="223">RAND()*(20-0.1)+0.1</f>
        <v>17.182888054131009</v>
      </c>
      <c r="CO196" s="1">
        <f t="shared" ref="CO196:CO202" ca="1" si="224">RAND()*(0.5-0.001)+0.001</f>
        <v>0.17168389314150456</v>
      </c>
      <c r="CP196" s="1">
        <f t="shared" ref="CP196:CP202" ca="1" si="225">RANDBETWEEN(1,5)</f>
        <v>4</v>
      </c>
    </row>
    <row r="197" spans="2:94" x14ac:dyDescent="0.25">
      <c r="B197">
        <f t="shared" ca="1" si="171"/>
        <v>469</v>
      </c>
      <c r="C197">
        <f t="shared" ca="1" si="172"/>
        <v>24</v>
      </c>
      <c r="D197">
        <f t="shared" ca="1" si="173"/>
        <v>1.6025615877308268E-2</v>
      </c>
      <c r="F197" s="1">
        <f t="shared" ca="1" si="174"/>
        <v>27</v>
      </c>
      <c r="G197" s="1">
        <f t="shared" ca="1" si="175"/>
        <v>23</v>
      </c>
      <c r="H197" s="1">
        <f t="shared" ca="1" si="176"/>
        <v>9</v>
      </c>
      <c r="I197" s="1"/>
      <c r="J197" s="1">
        <f t="shared" ca="1" si="177"/>
        <v>17</v>
      </c>
      <c r="K197" s="1">
        <f t="shared" ca="1" si="178"/>
        <v>1.4976816714054355</v>
      </c>
      <c r="L197" s="1">
        <f t="shared" ca="1" si="179"/>
        <v>6</v>
      </c>
      <c r="M197" s="1"/>
      <c r="N197" s="1">
        <f t="shared" ca="1" si="180"/>
        <v>103</v>
      </c>
      <c r="O197" s="1">
        <f t="shared" ca="1" si="181"/>
        <v>25</v>
      </c>
      <c r="P197" s="1"/>
      <c r="Q197" s="1">
        <f t="shared" ca="1" si="182"/>
        <v>2.2875174296615057</v>
      </c>
      <c r="R197" s="1">
        <f t="shared" ca="1" si="183"/>
        <v>688</v>
      </c>
      <c r="S197" s="1"/>
      <c r="T197" s="1">
        <f t="shared" ca="1" si="184"/>
        <v>0.1357749594929786</v>
      </c>
      <c r="U197" s="1">
        <f t="shared" ca="1" si="185"/>
        <v>416</v>
      </c>
      <c r="V197" s="1">
        <f t="shared" ca="1" si="186"/>
        <v>25</v>
      </c>
      <c r="W197" s="1"/>
      <c r="X197" s="1">
        <f t="shared" ca="1" si="187"/>
        <v>1.2092817419887214</v>
      </c>
      <c r="Y197" s="1">
        <f t="shared" ca="1" si="188"/>
        <v>0.93419683730982961</v>
      </c>
      <c r="Z197" s="1">
        <f t="shared" ca="1" si="189"/>
        <v>443</v>
      </c>
      <c r="AB197" s="1">
        <f t="shared" ca="1" si="190"/>
        <v>4.1811639284697888E-2</v>
      </c>
      <c r="AC197" s="1">
        <f t="shared" ca="1" si="191"/>
        <v>747</v>
      </c>
      <c r="AD197" s="1">
        <f t="shared" ca="1" si="192"/>
        <v>6.0974542118680669E-3</v>
      </c>
      <c r="AE197" s="1"/>
      <c r="AF197" s="1">
        <f t="shared" ca="1" si="193"/>
        <v>0.43449696222861034</v>
      </c>
      <c r="AG197" s="1">
        <f t="shared" ca="1" si="194"/>
        <v>289</v>
      </c>
      <c r="AH197" s="1">
        <f t="shared" ca="1" si="195"/>
        <v>8.3985772242786243E-3</v>
      </c>
      <c r="AJ197" s="1">
        <f t="shared" ca="1" si="196"/>
        <v>0.65372556666696824</v>
      </c>
      <c r="AK197" s="1">
        <f t="shared" ca="1" si="197"/>
        <v>5.6753247421136603E-3</v>
      </c>
      <c r="AL197" s="1"/>
      <c r="AM197" s="1">
        <f t="shared" ca="1" si="198"/>
        <v>8.3922834486286638E-2</v>
      </c>
      <c r="AN197" s="1">
        <f t="shared" ca="1" si="199"/>
        <v>23</v>
      </c>
      <c r="AO197" s="1">
        <f t="shared" ca="1" si="200"/>
        <v>3</v>
      </c>
      <c r="AQ197" s="1">
        <f t="shared" ca="1" si="201"/>
        <v>34</v>
      </c>
      <c r="AR197" s="1">
        <f t="shared" ca="1" si="202"/>
        <v>4</v>
      </c>
      <c r="AS197" s="1">
        <f t="shared" ca="1" si="203"/>
        <v>10</v>
      </c>
      <c r="AU197" s="1">
        <f t="shared" ca="1" si="204"/>
        <v>85</v>
      </c>
      <c r="AV197" s="1">
        <f t="shared" ca="1" si="205"/>
        <v>5</v>
      </c>
      <c r="AW197" s="1">
        <f t="shared" ca="1" si="206"/>
        <v>0.1140343458008105</v>
      </c>
      <c r="AY197" s="1">
        <f t="shared" ca="1" si="207"/>
        <v>1.1287964734877745</v>
      </c>
      <c r="AZ197" s="1">
        <f t="shared" ca="1" si="208"/>
        <v>215</v>
      </c>
      <c r="BA197" s="1">
        <f t="shared" ca="1" si="209"/>
        <v>7.20305902101842E-3</v>
      </c>
      <c r="BV197" s="1">
        <f t="shared" ca="1" si="210"/>
        <v>0.85547992056228017</v>
      </c>
      <c r="BW197" s="1">
        <f t="shared" ca="1" si="211"/>
        <v>536</v>
      </c>
      <c r="BX197" s="1">
        <f t="shared" ca="1" si="212"/>
        <v>6.5136520503796128E-3</v>
      </c>
      <c r="BY197" s="1">
        <f t="shared" ca="1" si="213"/>
        <v>7.7230919161698983E-2</v>
      </c>
      <c r="BZ197" s="1">
        <f t="shared" ca="1" si="214"/>
        <v>0.20812409124012221</v>
      </c>
      <c r="CB197" s="1">
        <f t="shared" ca="1" si="215"/>
        <v>140</v>
      </c>
      <c r="CC197" s="1">
        <f t="shared" ca="1" si="216"/>
        <v>3</v>
      </c>
      <c r="CD197" s="1">
        <f t="shared" ca="1" si="217"/>
        <v>9.5555157857893869E-2</v>
      </c>
      <c r="CE197" s="1">
        <f t="shared" ca="1" si="170"/>
        <v>0.92887480113364274</v>
      </c>
      <c r="CF197" s="1">
        <f t="shared" ca="1" si="170"/>
        <v>0.96155955247990343</v>
      </c>
      <c r="CH197" s="3">
        <f t="shared" ca="1" si="218"/>
        <v>0.90922643712186435</v>
      </c>
      <c r="CI197" s="3">
        <f t="shared" ca="1" si="219"/>
        <v>0.15118906640676286</v>
      </c>
      <c r="CJ197" s="3">
        <f t="shared" ca="1" si="220"/>
        <v>1307</v>
      </c>
      <c r="CK197" s="3">
        <f t="shared" ca="1" si="221"/>
        <v>8.739710784974649E-3</v>
      </c>
      <c r="CL197" s="3">
        <f t="shared" ca="1" si="222"/>
        <v>1</v>
      </c>
      <c r="CM197" s="3"/>
      <c r="CN197" s="1">
        <f t="shared" ca="1" si="223"/>
        <v>16.587169202611253</v>
      </c>
      <c r="CO197" s="1">
        <f t="shared" ca="1" si="224"/>
        <v>3.6302337971618019E-2</v>
      </c>
      <c r="CP197" s="1">
        <f t="shared" ca="1" si="225"/>
        <v>2</v>
      </c>
    </row>
    <row r="198" spans="2:94" x14ac:dyDescent="0.25">
      <c r="B198">
        <f t="shared" ca="1" si="171"/>
        <v>113</v>
      </c>
      <c r="C198">
        <f t="shared" ca="1" si="172"/>
        <v>38</v>
      </c>
      <c r="D198">
        <f t="shared" ca="1" si="173"/>
        <v>0.23071809536519716</v>
      </c>
      <c r="F198" s="1">
        <f t="shared" ca="1" si="174"/>
        <v>14</v>
      </c>
      <c r="G198" s="1">
        <f t="shared" ca="1" si="175"/>
        <v>23</v>
      </c>
      <c r="H198" s="1">
        <f t="shared" ca="1" si="176"/>
        <v>9</v>
      </c>
      <c r="I198" s="1"/>
      <c r="J198" s="1">
        <f t="shared" ca="1" si="177"/>
        <v>6</v>
      </c>
      <c r="K198" s="1">
        <f t="shared" ca="1" si="178"/>
        <v>2.6976844861828875</v>
      </c>
      <c r="L198" s="1">
        <f t="shared" ca="1" si="179"/>
        <v>19</v>
      </c>
      <c r="M198" s="1"/>
      <c r="N198" s="1">
        <f t="shared" ca="1" si="180"/>
        <v>349</v>
      </c>
      <c r="O198" s="1">
        <f t="shared" ca="1" si="181"/>
        <v>14</v>
      </c>
      <c r="P198" s="1"/>
      <c r="Q198" s="1">
        <f t="shared" ca="1" si="182"/>
        <v>3.9318212067209539</v>
      </c>
      <c r="R198" s="1">
        <f t="shared" ca="1" si="183"/>
        <v>793</v>
      </c>
      <c r="S198" s="1"/>
      <c r="T198" s="1">
        <f t="shared" ca="1" si="184"/>
        <v>0.10529576236635343</v>
      </c>
      <c r="U198" s="1">
        <f t="shared" ca="1" si="185"/>
        <v>173</v>
      </c>
      <c r="V198" s="1">
        <f t="shared" ca="1" si="186"/>
        <v>26</v>
      </c>
      <c r="W198" s="1"/>
      <c r="X198" s="1">
        <f t="shared" ca="1" si="187"/>
        <v>1.9361267397371644</v>
      </c>
      <c r="Y198" s="1">
        <f t="shared" ca="1" si="188"/>
        <v>0.78631810161260474</v>
      </c>
      <c r="Z198" s="1">
        <f t="shared" ca="1" si="189"/>
        <v>1707</v>
      </c>
      <c r="AB198" s="1">
        <f t="shared" ca="1" si="190"/>
        <v>0.4872259300247011</v>
      </c>
      <c r="AC198" s="1">
        <f t="shared" ca="1" si="191"/>
        <v>460</v>
      </c>
      <c r="AD198" s="1">
        <f t="shared" ca="1" si="192"/>
        <v>1.1440194582316467E-3</v>
      </c>
      <c r="AE198" s="1"/>
      <c r="AF198" s="1">
        <f t="shared" ca="1" si="193"/>
        <v>0.3187169567887882</v>
      </c>
      <c r="AG198" s="1">
        <f t="shared" ca="1" si="194"/>
        <v>599</v>
      </c>
      <c r="AH198" s="1">
        <f t="shared" ca="1" si="195"/>
        <v>7.0221831151515788E-3</v>
      </c>
      <c r="AJ198" s="1">
        <f t="shared" ca="1" si="196"/>
        <v>0.32486942313746126</v>
      </c>
      <c r="AK198" s="1">
        <f t="shared" ca="1" si="197"/>
        <v>4.7884546173524052E-4</v>
      </c>
      <c r="AL198" s="1"/>
      <c r="AM198" s="1">
        <f t="shared" ca="1" si="198"/>
        <v>0.15493592692226676</v>
      </c>
      <c r="AN198" s="1">
        <f t="shared" ca="1" si="199"/>
        <v>20</v>
      </c>
      <c r="AO198" s="1">
        <f t="shared" ca="1" si="200"/>
        <v>8</v>
      </c>
      <c r="AQ198" s="1">
        <f t="shared" ca="1" si="201"/>
        <v>126</v>
      </c>
      <c r="AR198" s="1">
        <f t="shared" ca="1" si="202"/>
        <v>5</v>
      </c>
      <c r="AS198" s="1">
        <f t="shared" ca="1" si="203"/>
        <v>89</v>
      </c>
      <c r="AU198" s="1">
        <f t="shared" ca="1" si="204"/>
        <v>354</v>
      </c>
      <c r="AV198" s="1">
        <f t="shared" ca="1" si="205"/>
        <v>5</v>
      </c>
      <c r="AW198" s="1">
        <f t="shared" ca="1" si="206"/>
        <v>6.8485187722857971E-2</v>
      </c>
      <c r="AY198" s="1">
        <f t="shared" ca="1" si="207"/>
        <v>1.904924340089291</v>
      </c>
      <c r="AZ198" s="1">
        <f t="shared" ca="1" si="208"/>
        <v>317</v>
      </c>
      <c r="BA198" s="1">
        <f t="shared" ca="1" si="209"/>
        <v>6.7445076577468885E-3</v>
      </c>
      <c r="BV198" s="1">
        <f t="shared" ca="1" si="210"/>
        <v>0.79556589541561595</v>
      </c>
      <c r="BW198" s="1">
        <f t="shared" ca="1" si="211"/>
        <v>750</v>
      </c>
      <c r="BX198" s="1">
        <f t="shared" ca="1" si="212"/>
        <v>5.4951392871188292E-3</v>
      </c>
      <c r="BY198" s="1">
        <f t="shared" ca="1" si="213"/>
        <v>7.5294883175484797E-3</v>
      </c>
      <c r="BZ198" s="1">
        <f t="shared" ca="1" si="214"/>
        <v>0.36388265028690603</v>
      </c>
      <c r="CB198" s="1">
        <f t="shared" ca="1" si="215"/>
        <v>124</v>
      </c>
      <c r="CC198" s="1">
        <f t="shared" ca="1" si="216"/>
        <v>3</v>
      </c>
      <c r="CD198" s="1">
        <f t="shared" ca="1" si="217"/>
        <v>0.21281154823856552</v>
      </c>
      <c r="CE198" s="1">
        <f t="shared" ca="1" si="170"/>
        <v>0.66438891570794589</v>
      </c>
      <c r="CF198" s="1">
        <f t="shared" ca="1" si="170"/>
        <v>0.66852229391402662</v>
      </c>
      <c r="CH198" s="3">
        <f t="shared" ca="1" si="218"/>
        <v>0.68479780918020494</v>
      </c>
      <c r="CI198" s="3">
        <f t="shared" ca="1" si="219"/>
        <v>0.43293264473651089</v>
      </c>
      <c r="CJ198" s="3">
        <f t="shared" ca="1" si="220"/>
        <v>419</v>
      </c>
      <c r="CK198" s="3">
        <f t="shared" ca="1" si="221"/>
        <v>5.6832237453190099E-3</v>
      </c>
      <c r="CL198" s="3">
        <f t="shared" ca="1" si="222"/>
        <v>1</v>
      </c>
      <c r="CM198" s="3"/>
      <c r="CN198" s="1">
        <f t="shared" ca="1" si="223"/>
        <v>19.421544982003567</v>
      </c>
      <c r="CO198" s="1">
        <f t="shared" ca="1" si="224"/>
        <v>6.3115097257878922E-2</v>
      </c>
      <c r="CP198" s="1">
        <f t="shared" ca="1" si="225"/>
        <v>2</v>
      </c>
    </row>
    <row r="199" spans="2:94" x14ac:dyDescent="0.25">
      <c r="B199">
        <f t="shared" ca="1" si="171"/>
        <v>353</v>
      </c>
      <c r="C199">
        <f t="shared" ca="1" si="172"/>
        <v>44</v>
      </c>
      <c r="D199">
        <f t="shared" ca="1" si="173"/>
        <v>0.27994165032969293</v>
      </c>
      <c r="F199" s="1">
        <f t="shared" ca="1" si="174"/>
        <v>43</v>
      </c>
      <c r="G199" s="1">
        <f t="shared" ca="1" si="175"/>
        <v>28</v>
      </c>
      <c r="H199" s="1">
        <f t="shared" ca="1" si="176"/>
        <v>13</v>
      </c>
      <c r="I199" s="1"/>
      <c r="J199" s="1">
        <f t="shared" ca="1" si="177"/>
        <v>19</v>
      </c>
      <c r="K199" s="1">
        <f t="shared" ca="1" si="178"/>
        <v>2.0862201446386459</v>
      </c>
      <c r="L199" s="1">
        <f t="shared" ca="1" si="179"/>
        <v>25</v>
      </c>
      <c r="M199" s="1"/>
      <c r="N199" s="1">
        <f t="shared" ca="1" si="180"/>
        <v>240</v>
      </c>
      <c r="O199" s="1">
        <f t="shared" ca="1" si="181"/>
        <v>21</v>
      </c>
      <c r="P199" s="1"/>
      <c r="Q199" s="1">
        <f t="shared" ca="1" si="182"/>
        <v>1.476331237059739</v>
      </c>
      <c r="R199" s="1">
        <f t="shared" ca="1" si="183"/>
        <v>906</v>
      </c>
      <c r="S199" s="1"/>
      <c r="T199" s="1">
        <f t="shared" ca="1" si="184"/>
        <v>7.3597119749012299E-2</v>
      </c>
      <c r="U199" s="1">
        <f t="shared" ca="1" si="185"/>
        <v>60</v>
      </c>
      <c r="V199" s="1">
        <f t="shared" ca="1" si="186"/>
        <v>32</v>
      </c>
      <c r="W199" s="1"/>
      <c r="X199" s="1">
        <f t="shared" ca="1" si="187"/>
        <v>1.5656348516813625</v>
      </c>
      <c r="Y199" s="1">
        <f t="shared" ca="1" si="188"/>
        <v>0.57731431527406507</v>
      </c>
      <c r="Z199" s="1">
        <f t="shared" ca="1" si="189"/>
        <v>1973</v>
      </c>
      <c r="AB199" s="1">
        <f t="shared" ca="1" si="190"/>
        <v>0.29607223204344751</v>
      </c>
      <c r="AC199" s="1">
        <f t="shared" ca="1" si="191"/>
        <v>815</v>
      </c>
      <c r="AD199" s="1">
        <f t="shared" ca="1" si="192"/>
        <v>9.9247590807924639E-4</v>
      </c>
      <c r="AE199" s="1"/>
      <c r="AF199" s="1">
        <f t="shared" ca="1" si="193"/>
        <v>0.32562482752128863</v>
      </c>
      <c r="AG199" s="1">
        <f t="shared" ca="1" si="194"/>
        <v>862</v>
      </c>
      <c r="AH199" s="1">
        <f t="shared" ca="1" si="195"/>
        <v>1.8601472422664267E-3</v>
      </c>
      <c r="AJ199" s="1">
        <f t="shared" ca="1" si="196"/>
        <v>0.58383506166262977</v>
      </c>
      <c r="AK199" s="1">
        <f t="shared" ca="1" si="197"/>
        <v>4.987195788293766E-3</v>
      </c>
      <c r="AL199" s="1"/>
      <c r="AM199" s="1">
        <f t="shared" ca="1" si="198"/>
        <v>0.11858158885284305</v>
      </c>
      <c r="AN199" s="1">
        <f t="shared" ca="1" si="199"/>
        <v>19</v>
      </c>
      <c r="AO199" s="1">
        <f t="shared" ca="1" si="200"/>
        <v>14</v>
      </c>
      <c r="AQ199" s="1">
        <f t="shared" ca="1" si="201"/>
        <v>26</v>
      </c>
      <c r="AR199" s="1">
        <f t="shared" ca="1" si="202"/>
        <v>5</v>
      </c>
      <c r="AS199" s="1">
        <f t="shared" ca="1" si="203"/>
        <v>99</v>
      </c>
      <c r="AU199" s="1">
        <f t="shared" ca="1" si="204"/>
        <v>53</v>
      </c>
      <c r="AV199" s="1">
        <f t="shared" ca="1" si="205"/>
        <v>3</v>
      </c>
      <c r="AW199" s="1">
        <f t="shared" ca="1" si="206"/>
        <v>2.0291955008447559E-2</v>
      </c>
      <c r="AY199" s="1">
        <f t="shared" ca="1" si="207"/>
        <v>1.5656438807893376</v>
      </c>
      <c r="AZ199" s="1">
        <f t="shared" ca="1" si="208"/>
        <v>288</v>
      </c>
      <c r="BA199" s="1">
        <f t="shared" ca="1" si="209"/>
        <v>8.6544933842252134E-3</v>
      </c>
      <c r="BV199" s="1">
        <f t="shared" ca="1" si="210"/>
        <v>0.19382693977389243</v>
      </c>
      <c r="BW199" s="1">
        <f t="shared" ca="1" si="211"/>
        <v>665</v>
      </c>
      <c r="BX199" s="1">
        <f t="shared" ca="1" si="212"/>
        <v>9.1441203948649224E-3</v>
      </c>
      <c r="BY199" s="1">
        <f t="shared" ca="1" si="213"/>
        <v>7.9414763778481154E-2</v>
      </c>
      <c r="BZ199" s="1">
        <f t="shared" ca="1" si="214"/>
        <v>0.93785232463382295</v>
      </c>
      <c r="CB199" s="1">
        <f t="shared" ca="1" si="215"/>
        <v>86</v>
      </c>
      <c r="CC199" s="1">
        <f t="shared" ca="1" si="216"/>
        <v>10</v>
      </c>
      <c r="CD199" s="1">
        <f t="shared" ca="1" si="217"/>
        <v>5.7469279000982032E-2</v>
      </c>
      <c r="CE199" s="1">
        <f t="shared" ca="1" si="170"/>
        <v>0.50284923398635928</v>
      </c>
      <c r="CF199" s="1">
        <f t="shared" ca="1" si="170"/>
        <v>0.87597928045222151</v>
      </c>
      <c r="CH199" s="3">
        <f t="shared" ca="1" si="218"/>
        <v>0.55459505743832238</v>
      </c>
      <c r="CI199" s="3">
        <f t="shared" ca="1" si="219"/>
        <v>0.78436569987205307</v>
      </c>
      <c r="CJ199" s="3">
        <f t="shared" ca="1" si="220"/>
        <v>1000</v>
      </c>
      <c r="CK199" s="3">
        <f t="shared" ca="1" si="221"/>
        <v>3.0578980836455196E-3</v>
      </c>
      <c r="CL199" s="3">
        <f t="shared" ca="1" si="222"/>
        <v>1</v>
      </c>
      <c r="CM199" s="3"/>
      <c r="CN199" s="1">
        <f t="shared" ca="1" si="223"/>
        <v>4.503635708521502</v>
      </c>
      <c r="CO199" s="1">
        <f t="shared" ca="1" si="224"/>
        <v>0.45763400846012686</v>
      </c>
      <c r="CP199" s="1">
        <f t="shared" ca="1" si="225"/>
        <v>1</v>
      </c>
    </row>
    <row r="200" spans="2:94" x14ac:dyDescent="0.25">
      <c r="B200">
        <f t="shared" ca="1" si="171"/>
        <v>396</v>
      </c>
      <c r="C200">
        <f t="shared" ca="1" si="172"/>
        <v>40</v>
      </c>
      <c r="D200">
        <f t="shared" ca="1" si="173"/>
        <v>0.21367930116031811</v>
      </c>
      <c r="F200" s="1">
        <f t="shared" ca="1" si="174"/>
        <v>44</v>
      </c>
      <c r="G200" s="1">
        <f t="shared" ca="1" si="175"/>
        <v>26</v>
      </c>
      <c r="H200" s="1">
        <f t="shared" ca="1" si="176"/>
        <v>5</v>
      </c>
      <c r="I200" s="1"/>
      <c r="J200" s="1">
        <f t="shared" ca="1" si="177"/>
        <v>13</v>
      </c>
      <c r="K200" s="1">
        <f t="shared" ca="1" si="178"/>
        <v>2.789742689090672</v>
      </c>
      <c r="L200" s="1">
        <f t="shared" ca="1" si="179"/>
        <v>16</v>
      </c>
      <c r="M200" s="1"/>
      <c r="N200" s="1">
        <f t="shared" ca="1" si="180"/>
        <v>67</v>
      </c>
      <c r="O200" s="1">
        <f t="shared" ca="1" si="181"/>
        <v>22</v>
      </c>
      <c r="P200" s="1"/>
      <c r="Q200" s="1">
        <f t="shared" ca="1" si="182"/>
        <v>3.495108024058688</v>
      </c>
      <c r="R200" s="1">
        <f t="shared" ca="1" si="183"/>
        <v>508</v>
      </c>
      <c r="S200" s="1"/>
      <c r="T200" s="1">
        <f t="shared" ca="1" si="184"/>
        <v>0.15939784774920046</v>
      </c>
      <c r="U200" s="1">
        <f t="shared" ca="1" si="185"/>
        <v>277</v>
      </c>
      <c r="V200" s="1">
        <f t="shared" ca="1" si="186"/>
        <v>11</v>
      </c>
      <c r="W200" s="1"/>
      <c r="X200" s="1">
        <f t="shared" ca="1" si="187"/>
        <v>3.3373167801289747</v>
      </c>
      <c r="Y200" s="1">
        <f t="shared" ca="1" si="188"/>
        <v>0.66055967289512474</v>
      </c>
      <c r="Z200" s="1">
        <f t="shared" ca="1" si="189"/>
        <v>685</v>
      </c>
      <c r="AB200" s="1">
        <f t="shared" ca="1" si="190"/>
        <v>0.120746156108525</v>
      </c>
      <c r="AC200" s="1">
        <f t="shared" ca="1" si="191"/>
        <v>596</v>
      </c>
      <c r="AD200" s="1">
        <f t="shared" ca="1" si="192"/>
        <v>6.3713629048034234E-3</v>
      </c>
      <c r="AE200" s="1"/>
      <c r="AF200" s="1">
        <f t="shared" ca="1" si="193"/>
        <v>0.8166218836729483</v>
      </c>
      <c r="AG200" s="1">
        <f t="shared" ca="1" si="194"/>
        <v>348</v>
      </c>
      <c r="AH200" s="1">
        <f t="shared" ca="1" si="195"/>
        <v>6.8820477210582527E-3</v>
      </c>
      <c r="AJ200" s="1">
        <f t="shared" ca="1" si="196"/>
        <v>0.57171791024913154</v>
      </c>
      <c r="AK200" s="1">
        <f t="shared" ca="1" si="197"/>
        <v>4.773730545284462E-3</v>
      </c>
      <c r="AL200" s="1"/>
      <c r="AM200" s="1">
        <f t="shared" ca="1" si="198"/>
        <v>8.3257971208229781E-2</v>
      </c>
      <c r="AN200" s="1">
        <f t="shared" ca="1" si="199"/>
        <v>65</v>
      </c>
      <c r="AO200" s="1">
        <f t="shared" ca="1" si="200"/>
        <v>9</v>
      </c>
      <c r="AQ200" s="1">
        <f t="shared" ca="1" si="201"/>
        <v>47</v>
      </c>
      <c r="AR200" s="1">
        <f t="shared" ca="1" si="202"/>
        <v>8</v>
      </c>
      <c r="AS200" s="1">
        <f t="shared" ca="1" si="203"/>
        <v>49</v>
      </c>
      <c r="AU200" s="1">
        <f t="shared" ca="1" si="204"/>
        <v>164</v>
      </c>
      <c r="AV200" s="1">
        <f t="shared" ca="1" si="205"/>
        <v>6</v>
      </c>
      <c r="AW200" s="1">
        <f t="shared" ca="1" si="206"/>
        <v>2.6706805302981293E-2</v>
      </c>
      <c r="AY200" s="1">
        <f t="shared" ca="1" si="207"/>
        <v>1.2158033224591493</v>
      </c>
      <c r="AZ200" s="1">
        <f t="shared" ca="1" si="208"/>
        <v>406</v>
      </c>
      <c r="BA200" s="1">
        <f t="shared" ca="1" si="209"/>
        <v>9.4764690354735195E-3</v>
      </c>
      <c r="BV200" s="1">
        <f t="shared" ca="1" si="210"/>
        <v>0.18435876881113036</v>
      </c>
      <c r="BW200" s="1">
        <f t="shared" ca="1" si="211"/>
        <v>679</v>
      </c>
      <c r="BX200" s="1">
        <f t="shared" ca="1" si="212"/>
        <v>3.0766628559572517E-3</v>
      </c>
      <c r="BY200" s="1">
        <f t="shared" ca="1" si="213"/>
        <v>9.4233252902197168E-2</v>
      </c>
      <c r="BZ200" s="1">
        <f t="shared" ca="1" si="214"/>
        <v>0.23499646207983882</v>
      </c>
      <c r="CB200" s="1">
        <f t="shared" ca="1" si="215"/>
        <v>311</v>
      </c>
      <c r="CC200" s="1">
        <f t="shared" ca="1" si="216"/>
        <v>6</v>
      </c>
      <c r="CD200" s="1">
        <f t="shared" ca="1" si="217"/>
        <v>0.12050378107174287</v>
      </c>
      <c r="CE200" s="1">
        <f t="shared" ca="1" si="170"/>
        <v>0.93221982163866923</v>
      </c>
      <c r="CF200" s="1">
        <f t="shared" ca="1" si="170"/>
        <v>0.93256002247577263</v>
      </c>
      <c r="CH200" s="3">
        <f t="shared" ca="1" si="218"/>
        <v>0.6485141760418045</v>
      </c>
      <c r="CI200" s="3">
        <f t="shared" ca="1" si="219"/>
        <v>0.53054958917046036</v>
      </c>
      <c r="CJ200" s="3">
        <f t="shared" ca="1" si="220"/>
        <v>940</v>
      </c>
      <c r="CK200" s="3">
        <f t="shared" ca="1" si="221"/>
        <v>8.9132196564882128E-3</v>
      </c>
      <c r="CL200" s="3">
        <f t="shared" ca="1" si="222"/>
        <v>1</v>
      </c>
      <c r="CM200" s="3"/>
      <c r="CN200" s="1">
        <f t="shared" ca="1" si="223"/>
        <v>12.830194993740816</v>
      </c>
      <c r="CO200" s="1">
        <f t="shared" ca="1" si="224"/>
        <v>0.43097513134091209</v>
      </c>
      <c r="CP200" s="1">
        <f t="shared" ca="1" si="225"/>
        <v>4</v>
      </c>
    </row>
    <row r="201" spans="2:94" x14ac:dyDescent="0.25">
      <c r="B201">
        <f t="shared" ca="1" si="171"/>
        <v>120</v>
      </c>
      <c r="C201">
        <f t="shared" ca="1" si="172"/>
        <v>19</v>
      </c>
      <c r="D201">
        <f t="shared" ca="1" si="173"/>
        <v>8.2155233240973569E-2</v>
      </c>
      <c r="F201" s="1">
        <f t="shared" ca="1" si="174"/>
        <v>31</v>
      </c>
      <c r="G201" s="1">
        <f t="shared" ca="1" si="175"/>
        <v>19</v>
      </c>
      <c r="H201" s="1">
        <f t="shared" ca="1" si="176"/>
        <v>8</v>
      </c>
      <c r="I201" s="1"/>
      <c r="J201" s="1">
        <f t="shared" ca="1" si="177"/>
        <v>24</v>
      </c>
      <c r="K201" s="1">
        <f t="shared" ca="1" si="178"/>
        <v>2.1381843188262031</v>
      </c>
      <c r="L201" s="1">
        <f t="shared" ca="1" si="179"/>
        <v>8</v>
      </c>
      <c r="M201" s="1"/>
      <c r="N201" s="1">
        <f t="shared" ca="1" si="180"/>
        <v>527</v>
      </c>
      <c r="O201" s="1">
        <f t="shared" ca="1" si="181"/>
        <v>11</v>
      </c>
      <c r="P201" s="1"/>
      <c r="Q201" s="1">
        <f t="shared" ca="1" si="182"/>
        <v>0.89849305863576268</v>
      </c>
      <c r="R201" s="1">
        <f t="shared" ca="1" si="183"/>
        <v>1021</v>
      </c>
      <c r="S201" s="1"/>
      <c r="T201" s="1">
        <f t="shared" ca="1" si="184"/>
        <v>0.15234707361419716</v>
      </c>
      <c r="U201" s="1">
        <f t="shared" ca="1" si="185"/>
        <v>250</v>
      </c>
      <c r="V201" s="1">
        <f t="shared" ca="1" si="186"/>
        <v>48</v>
      </c>
      <c r="W201" s="1"/>
      <c r="X201" s="1">
        <f t="shared" ca="1" si="187"/>
        <v>9.2506310252899606</v>
      </c>
      <c r="Y201" s="1">
        <f t="shared" ca="1" si="188"/>
        <v>0.71998881679988702</v>
      </c>
      <c r="Z201" s="1">
        <f t="shared" ca="1" si="189"/>
        <v>1438</v>
      </c>
      <c r="AB201" s="1">
        <f t="shared" ca="1" si="190"/>
        <v>0.69515678258310354</v>
      </c>
      <c r="AC201" s="1">
        <f t="shared" ca="1" si="191"/>
        <v>937</v>
      </c>
      <c r="AD201" s="1">
        <f t="shared" ca="1" si="192"/>
        <v>4.2740895473367766E-3</v>
      </c>
      <c r="AE201" s="1"/>
      <c r="AF201" s="1">
        <f t="shared" ca="1" si="193"/>
        <v>0.27055460602185538</v>
      </c>
      <c r="AG201" s="1">
        <f t="shared" ca="1" si="194"/>
        <v>712</v>
      </c>
      <c r="AH201" s="1">
        <f t="shared" ca="1" si="195"/>
        <v>7.6237426448430602E-3</v>
      </c>
      <c r="AJ201" s="1">
        <f t="shared" ca="1" si="196"/>
        <v>0.41297012703052527</v>
      </c>
      <c r="AK201" s="1">
        <f t="shared" ca="1" si="197"/>
        <v>4.2895160729675028E-5</v>
      </c>
      <c r="AL201" s="1"/>
      <c r="AM201" s="1">
        <f t="shared" ca="1" si="198"/>
        <v>1.8676095276206259E-2</v>
      </c>
      <c r="AN201" s="1">
        <f t="shared" ca="1" si="199"/>
        <v>12</v>
      </c>
      <c r="AO201" s="1">
        <f t="shared" ca="1" si="200"/>
        <v>14</v>
      </c>
      <c r="AQ201" s="1">
        <f t="shared" ca="1" si="201"/>
        <v>95</v>
      </c>
      <c r="AR201" s="1">
        <f t="shared" ca="1" si="202"/>
        <v>0</v>
      </c>
      <c r="AS201" s="1">
        <f t="shared" ca="1" si="203"/>
        <v>54</v>
      </c>
      <c r="AU201" s="1">
        <f t="shared" ca="1" si="204"/>
        <v>199</v>
      </c>
      <c r="AV201" s="1">
        <f t="shared" ca="1" si="205"/>
        <v>6</v>
      </c>
      <c r="AW201" s="1">
        <f t="shared" ca="1" si="206"/>
        <v>0.10087803694777096</v>
      </c>
      <c r="AY201" s="1">
        <f t="shared" ca="1" si="207"/>
        <v>1.6627150438707923</v>
      </c>
      <c r="AZ201" s="1">
        <f t="shared" ca="1" si="208"/>
        <v>293</v>
      </c>
      <c r="BA201" s="1">
        <f t="shared" ca="1" si="209"/>
        <v>9.4959034242297631E-4</v>
      </c>
      <c r="BV201" s="1">
        <f t="shared" ca="1" si="210"/>
        <v>0.56815843060673854</v>
      </c>
      <c r="BW201" s="1">
        <f t="shared" ca="1" si="211"/>
        <v>671</v>
      </c>
      <c r="BX201" s="1">
        <f t="shared" ca="1" si="212"/>
        <v>3.1558629188877E-3</v>
      </c>
      <c r="BY201" s="1">
        <f t="shared" ca="1" si="213"/>
        <v>4.2644848353976056E-2</v>
      </c>
      <c r="BZ201" s="1">
        <f t="shared" ca="1" si="214"/>
        <v>0.33699921727557436</v>
      </c>
      <c r="CB201" s="1">
        <f t="shared" ca="1" si="215"/>
        <v>119</v>
      </c>
      <c r="CC201" s="1">
        <f t="shared" ca="1" si="216"/>
        <v>14</v>
      </c>
      <c r="CD201" s="1">
        <f t="shared" ca="1" si="217"/>
        <v>0.10080426194289316</v>
      </c>
      <c r="CE201" s="1">
        <f t="shared" ca="1" si="170"/>
        <v>0.76017282752211313</v>
      </c>
      <c r="CF201" s="1">
        <f t="shared" ca="1" si="170"/>
        <v>0.78697699874065474</v>
      </c>
      <c r="CH201" s="3">
        <f t="shared" ca="1" si="218"/>
        <v>0.72444279914350096</v>
      </c>
      <c r="CI201" s="3">
        <f t="shared" ca="1" si="219"/>
        <v>0.51193155562235315</v>
      </c>
      <c r="CJ201" s="3">
        <f t="shared" ca="1" si="220"/>
        <v>1067</v>
      </c>
      <c r="CK201" s="3">
        <f t="shared" ca="1" si="221"/>
        <v>5.2081684504711834E-4</v>
      </c>
      <c r="CL201" s="3">
        <f t="shared" ca="1" si="222"/>
        <v>0</v>
      </c>
      <c r="CM201" s="3"/>
      <c r="CN201" s="1">
        <f t="shared" ca="1" si="223"/>
        <v>2.4855404359252447</v>
      </c>
      <c r="CO201" s="1">
        <f t="shared" ca="1" si="224"/>
        <v>0.44171013591359654</v>
      </c>
      <c r="CP201" s="1">
        <f t="shared" ca="1" si="225"/>
        <v>4</v>
      </c>
    </row>
    <row r="202" spans="2:94" x14ac:dyDescent="0.25">
      <c r="B202">
        <f t="shared" ca="1" si="171"/>
        <v>22</v>
      </c>
      <c r="C202">
        <f t="shared" ca="1" si="172"/>
        <v>22</v>
      </c>
      <c r="D202">
        <f t="shared" ca="1" si="173"/>
        <v>7.4895227510420478E-2</v>
      </c>
      <c r="F202" s="1">
        <f t="shared" ca="1" si="174"/>
        <v>46</v>
      </c>
      <c r="G202" s="1">
        <f t="shared" ca="1" si="175"/>
        <v>29</v>
      </c>
      <c r="H202" s="1">
        <f t="shared" ca="1" si="176"/>
        <v>11</v>
      </c>
      <c r="I202" s="1"/>
      <c r="J202" s="1">
        <f t="shared" ca="1" si="177"/>
        <v>34</v>
      </c>
      <c r="K202" s="1">
        <f t="shared" ca="1" si="178"/>
        <v>2.4917673246202972</v>
      </c>
      <c r="L202" s="1">
        <f t="shared" ca="1" si="179"/>
        <v>23</v>
      </c>
      <c r="M202" s="1"/>
      <c r="N202" s="1">
        <f t="shared" ca="1" si="180"/>
        <v>820</v>
      </c>
      <c r="O202" s="1">
        <f t="shared" ca="1" si="181"/>
        <v>37</v>
      </c>
      <c r="P202" s="1"/>
      <c r="Q202" s="1">
        <f t="shared" ca="1" si="182"/>
        <v>0.34200879677998514</v>
      </c>
      <c r="R202" s="1">
        <f t="shared" ca="1" si="183"/>
        <v>484</v>
      </c>
      <c r="S202" s="1"/>
      <c r="T202" s="1">
        <f t="shared" ca="1" si="184"/>
        <v>1.6020678017427108E-2</v>
      </c>
      <c r="U202" s="1">
        <f t="shared" ca="1" si="185"/>
        <v>138</v>
      </c>
      <c r="V202" s="1">
        <f t="shared" ca="1" si="186"/>
        <v>42</v>
      </c>
      <c r="W202" s="1"/>
      <c r="X202" s="1">
        <f t="shared" ca="1" si="187"/>
        <v>3.3170884860912992</v>
      </c>
      <c r="Y202" s="1">
        <f t="shared" ca="1" si="188"/>
        <v>0.73180196278596865</v>
      </c>
      <c r="Z202" s="1">
        <f t="shared" ca="1" si="189"/>
        <v>378</v>
      </c>
      <c r="AB202" s="1">
        <f t="shared" ca="1" si="190"/>
        <v>9.0242511628934263E-2</v>
      </c>
      <c r="AC202" s="1">
        <f t="shared" ca="1" si="191"/>
        <v>210</v>
      </c>
      <c r="AD202" s="1">
        <f t="shared" ca="1" si="192"/>
        <v>9.0221060343180053E-3</v>
      </c>
      <c r="AE202" s="1"/>
      <c r="AF202" s="1">
        <f t="shared" ca="1" si="193"/>
        <v>0.80271635179182521</v>
      </c>
      <c r="AG202" s="1">
        <f t="shared" ca="1" si="194"/>
        <v>609</v>
      </c>
      <c r="AH202" s="1">
        <f t="shared" ca="1" si="195"/>
        <v>7.1747169059298748E-3</v>
      </c>
      <c r="AJ202" s="1">
        <f t="shared" ca="1" si="196"/>
        <v>2.0324472295492058E-2</v>
      </c>
      <c r="AK202" s="1">
        <f t="shared" ca="1" si="197"/>
        <v>2.7776077424920996E-3</v>
      </c>
      <c r="AL202" s="1"/>
      <c r="AM202" s="1">
        <f t="shared" ca="1" si="198"/>
        <v>0.14811764064888894</v>
      </c>
      <c r="AN202" s="1">
        <f t="shared" ca="1" si="199"/>
        <v>33</v>
      </c>
      <c r="AO202" s="1">
        <f t="shared" ca="1" si="200"/>
        <v>8</v>
      </c>
      <c r="AQ202" s="1">
        <f t="shared" ca="1" si="201"/>
        <v>128</v>
      </c>
      <c r="AR202" s="1">
        <f t="shared" ca="1" si="202"/>
        <v>9</v>
      </c>
      <c r="AS202" s="1">
        <f t="shared" ca="1" si="203"/>
        <v>88</v>
      </c>
      <c r="AU202" s="1">
        <f t="shared" ca="1" si="204"/>
        <v>111</v>
      </c>
      <c r="AV202" s="1">
        <f t="shared" ca="1" si="205"/>
        <v>10</v>
      </c>
      <c r="AW202" s="1">
        <f t="shared" ca="1" si="206"/>
        <v>7.5773919991676153E-2</v>
      </c>
      <c r="AY202" s="1">
        <f t="shared" ca="1" si="207"/>
        <v>1.8260607372311211</v>
      </c>
      <c r="AZ202" s="1">
        <f t="shared" ca="1" si="208"/>
        <v>391</v>
      </c>
      <c r="BA202" s="1">
        <f t="shared" ca="1" si="209"/>
        <v>3.9330881771425345E-3</v>
      </c>
      <c r="BV202" s="1">
        <f t="shared" ca="1" si="210"/>
        <v>0.93497451126558095</v>
      </c>
      <c r="BW202" s="1">
        <f t="shared" ca="1" si="211"/>
        <v>903</v>
      </c>
      <c r="BX202" s="1">
        <f t="shared" ca="1" si="212"/>
        <v>2.593785510174989E-3</v>
      </c>
      <c r="BY202" s="1">
        <f t="shared" ca="1" si="213"/>
        <v>5.2604410170371943E-2</v>
      </c>
      <c r="BZ202" s="1">
        <f t="shared" ca="1" si="214"/>
        <v>0.36777996431641358</v>
      </c>
      <c r="CB202" s="1">
        <f t="shared" ca="1" si="215"/>
        <v>103</v>
      </c>
      <c r="CC202" s="1">
        <f t="shared" ca="1" si="216"/>
        <v>14</v>
      </c>
      <c r="CD202" s="1">
        <f t="shared" ca="1" si="217"/>
        <v>0.22006936767945545</v>
      </c>
      <c r="CE202" s="1">
        <f t="shared" ca="1" si="170"/>
        <v>0.83263252565602008</v>
      </c>
      <c r="CF202" s="1">
        <f t="shared" ca="1" si="170"/>
        <v>0.55728953385982205</v>
      </c>
      <c r="CH202" s="3">
        <f t="shared" ca="1" si="218"/>
        <v>0.95577620824947551</v>
      </c>
      <c r="CI202" s="3">
        <f t="shared" ca="1" si="219"/>
        <v>0.26443422301070402</v>
      </c>
      <c r="CJ202" s="3">
        <f t="shared" ca="1" si="220"/>
        <v>814</v>
      </c>
      <c r="CK202" s="3">
        <f t="shared" ca="1" si="221"/>
        <v>2.7802260639254602E-3</v>
      </c>
      <c r="CL202" s="3">
        <f t="shared" ca="1" si="222"/>
        <v>0</v>
      </c>
      <c r="CM202" s="3"/>
      <c r="CN202" s="1">
        <f t="shared" ca="1" si="223"/>
        <v>19.238711760389915</v>
      </c>
      <c r="CO202" s="1">
        <f t="shared" ca="1" si="224"/>
        <v>0.44003232621389066</v>
      </c>
      <c r="CP202" s="1">
        <f t="shared" ca="1" si="225"/>
        <v>2</v>
      </c>
    </row>
  </sheetData>
  <mergeCells count="23">
    <mergeCell ref="CN1:CP1"/>
    <mergeCell ref="AJ1:AK1"/>
    <mergeCell ref="AB1:AD1"/>
    <mergeCell ref="AF1:AH1"/>
    <mergeCell ref="AY1:BA1"/>
    <mergeCell ref="BC1:BE1"/>
    <mergeCell ref="T1:V1"/>
    <mergeCell ref="X1:Z1"/>
    <mergeCell ref="B1:D1"/>
    <mergeCell ref="F1:H1"/>
    <mergeCell ref="J1:L1"/>
    <mergeCell ref="N1:O1"/>
    <mergeCell ref="Q1:R1"/>
    <mergeCell ref="CH1:CL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2026-05-26T08:00:37Z</dcterms:modified>
</cp:coreProperties>
</file>