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47844F64-C7F8-439F-BA15-8B2D4CC48417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3" i="1" l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<sst xmlns="http://schemas.openxmlformats.org/spreadsheetml/2006/main" count="101" uniqueCount="56">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</sst>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X202"/>
  <sheetViews>
    <sheetView tabSelected="1" topLeftCell="CE1" zoomScale="70" zoomScaleNormal="70" workbookViewId="0">
      <selection activeCell="DB15" sqref="DB15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102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5" t="s">
        <v>10</v>
      </c>
      <c r="O1" s="6"/>
      <c r="P1" s="1"/>
      <c r="Q1" s="5" t="s">
        <v>11</v>
      </c>
      <c r="R1" s="6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5" t="s">
        <v>24</v>
      </c>
      <c r="AK1" s="6"/>
      <c r="AM1" s="5" t="s">
        <v>26</v>
      </c>
      <c r="AN1" s="9"/>
      <c r="AO1" s="9"/>
      <c r="AQ1" s="5" t="s">
        <v>30</v>
      </c>
      <c r="AR1" s="9"/>
      <c r="AS1" s="9"/>
      <c r="AU1" s="5" t="s">
        <v>31</v>
      </c>
      <c r="AV1" s="9"/>
      <c r="AW1" s="9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5" t="s">
        <v>41</v>
      </c>
      <c r="BP1" s="6"/>
      <c r="BR1" s="4" t="s">
        <v>44</v>
      </c>
      <c r="BS1" s="4"/>
      <c r="BT1" s="4"/>
      <c r="BV1" s="7" t="s">
        <v>37</v>
      </c>
      <c r="BW1" s="8"/>
      <c r="BX1" s="8"/>
      <c r="BY1" s="8"/>
      <c r="BZ1" s="8"/>
      <c r="CB1" s="7" t="s">
        <v>50</v>
      </c>
      <c r="CC1" s="8"/>
      <c r="CD1" s="8"/>
      <c r="CE1" s="8"/>
      <c r="CF1" s="8"/>
      <c r="CH1" s="7" t="s">
        <v>22</v>
      </c>
      <c r="CI1" s="8"/>
      <c r="CJ1" s="8"/>
      <c r="CK1" s="8"/>
      <c r="CL1" s="8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</row>
    <row r="2" spans="2:102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</row>
    <row r="3" spans="2:102" x14ac:dyDescent="0.25">
      <c r="B3">
        <f ca="1">RANDBETWEEN(15,1000)</f>
        <v>348</v>
      </c>
      <c r="C3">
        <f ca="1">RANDBETWEEN(2,52)</f>
        <v>17</v>
      </c>
      <c r="D3">
        <f ca="1">RAND()*(0.3-0.01)+0.01</f>
        <v>0.22622805771623228</v>
      </c>
      <c r="F3" s="1">
        <f ca="1">RANDBETWEEN(2,52)</f>
        <v>12</v>
      </c>
      <c r="G3" s="1">
        <f ca="1">RANDBETWEEN(2,30)</f>
        <v>12</v>
      </c>
      <c r="H3" s="1">
        <f ca="1">RANDBETWEEN(1,15)</f>
        <v>5</v>
      </c>
      <c r="I3" s="1"/>
      <c r="J3" s="1">
        <f ca="1">RANDBETWEEN(1,39)</f>
        <v>6</v>
      </c>
      <c r="K3" s="1">
        <f ca="1">RAND()*(3-1)+1</f>
        <v>2.2383267829130729</v>
      </c>
      <c r="L3" s="1">
        <f ca="1">RANDBETWEEN(2,35)</f>
        <v>21</v>
      </c>
      <c r="M3" s="1"/>
      <c r="N3" s="1">
        <f ca="1">RANDBETWEEN(15,1000)</f>
        <v>962</v>
      </c>
      <c r="O3" s="1">
        <f ca="1">RANDBETWEEN(2,52)</f>
        <v>51</v>
      </c>
      <c r="P3" s="1"/>
      <c r="Q3" s="1">
        <f ca="1">RAND()*(5-0.01)+0.01</f>
        <v>4.4831872733009233</v>
      </c>
      <c r="R3" s="1">
        <f ca="1">RANDBETWEEN(200,1200)</f>
        <v>614</v>
      </c>
      <c r="S3" s="1"/>
      <c r="T3" s="1">
        <f ca="1">RAND()*(0.2-0.01)+0.01</f>
        <v>0.14721815539527794</v>
      </c>
      <c r="U3" s="1">
        <f ca="1">RANDBETWEEN(50,450)</f>
        <v>57</v>
      </c>
      <c r="V3" s="1">
        <f ca="1">RANDBETWEEN(2,52)</f>
        <v>47</v>
      </c>
      <c r="W3" s="1"/>
      <c r="X3" s="1">
        <f ca="1">RAND()*(10-0.01)+0.01</f>
        <v>2.846720845539314</v>
      </c>
      <c r="Y3" s="1">
        <f ca="1">RAND()*(1-0.0001)+0.0001</f>
        <v>0.11727282938885417</v>
      </c>
      <c r="Z3" s="1">
        <f ca="1">RANDBETWEEN(100,2000)</f>
        <v>393</v>
      </c>
      <c r="AB3" s="1">
        <f ca="1">RAND()*(1-0.0001)+0.0001</f>
        <v>0.98049042354436344</v>
      </c>
      <c r="AC3" s="1">
        <f ca="1">RANDBETWEEN(100,1000)</f>
        <v>806</v>
      </c>
      <c r="AD3" s="1">
        <f ca="1">RAND()*(0.01-0.00001)+0.00001</f>
        <v>1.8439168163930915E-3</v>
      </c>
      <c r="AE3" s="1"/>
      <c r="AF3" s="1">
        <f ca="1">RAND()*(0.9-0.1)+0.1</f>
        <v>0.76834933471000566</v>
      </c>
      <c r="AG3" s="1">
        <f ca="1">RANDBETWEEN(100,1000)</f>
        <v>942</v>
      </c>
      <c r="AH3" s="1">
        <f ca="1">RAND()*(0.01-0.00001)+0.00001</f>
        <v>2.9162722563673667E-3</v>
      </c>
      <c r="AJ3" s="1">
        <f ca="1">RAND()*(1-0)+0</f>
        <v>0.2982157735882176</v>
      </c>
      <c r="AK3" s="1">
        <f ca="1">RAND()*(0.01-0.00001)+0.00001</f>
        <v>6.9059616737162949E-3</v>
      </c>
      <c r="AM3" s="1">
        <f ca="1">RAND()*(0.2-0.005)+0.005</f>
        <v>0.17314014328281305</v>
      </c>
      <c r="AN3" s="1">
        <f ca="1">RANDBETWEEN(10,80)</f>
        <v>10</v>
      </c>
      <c r="AO3" s="1">
        <f ca="1">RANDBETWEEN(-1,20)</f>
        <v>2</v>
      </c>
      <c r="AQ3" s="1">
        <f ca="1">RANDBETWEEN(10,200)</f>
        <v>49</v>
      </c>
      <c r="AR3" s="1">
        <f ca="1">RANDBETWEEN(0,10)</f>
        <v>5</v>
      </c>
      <c r="AS3" s="1">
        <f ca="1">RANDBETWEEN(1,100)</f>
        <v>78</v>
      </c>
      <c r="AU3" s="1">
        <f ca="1">RANDBETWEEN(50,400)</f>
        <v>321</v>
      </c>
      <c r="AV3" s="1">
        <f ca="1">RANDBETWEEN(2,10)</f>
        <v>8</v>
      </c>
      <c r="AW3" s="1">
        <f ca="1">RAND()*(0.2-0.01)+0.01</f>
        <v>0.1781474181166125</v>
      </c>
      <c r="AY3" s="1">
        <f ca="1">RAND()*(2-1.1)+1.1</f>
        <v>1.6293990369455285</v>
      </c>
      <c r="AZ3" s="1">
        <f ca="1">RANDBETWEEN(50,500)</f>
        <v>55</v>
      </c>
      <c r="BA3" s="1">
        <f ca="1">RAND()*(0.01-0.00001)+0.00001</f>
        <v>2.0122863143242874E-3</v>
      </c>
      <c r="BC3" s="1">
        <f ca="1">RAND()*(1-0.0001)+0.0001</f>
        <v>0.39230727460991388</v>
      </c>
      <c r="BD3" s="1">
        <f ca="1">RAND()*(1-0.0001)+0.0001</f>
        <v>0.89164715136710571</v>
      </c>
      <c r="BE3" s="1">
        <f ca="1">RANDBETWEEN(0,2)</f>
        <v>1</v>
      </c>
      <c r="BG3" s="1">
        <f ca="1">RAND()*(1-0.0001)+0.0001</f>
        <v>0.50971451341586571</v>
      </c>
      <c r="BH3" s="1">
        <f ca="1">RAND()*(1-0)+0</f>
        <v>0.94626594781283424</v>
      </c>
      <c r="BI3" s="1">
        <f ca="1">RANDBETWEEN(100,1000)</f>
        <v>660</v>
      </c>
      <c r="BK3" s="1">
        <f ca="1">RANDBETWEEN(100,600)</f>
        <v>535</v>
      </c>
      <c r="BL3" s="1">
        <f ca="1">RANDBETWEEN(3,10)</f>
        <v>9</v>
      </c>
      <c r="BM3" s="1">
        <f ca="1">RAND()*(0.3-0.01)+0.01</f>
        <v>0.10457846637201194</v>
      </c>
      <c r="BO3" s="1">
        <f ca="1">RAND()*(0.1-0.000001)+0.000001</f>
        <v>5.0318599102434712E-2</v>
      </c>
      <c r="BP3" s="1">
        <f ca="1">RANDBETWEEN(0,15)</f>
        <v>12</v>
      </c>
      <c r="BR3" s="1">
        <f ca="1">RAND()*(0.01-0.000001)+0.000001</f>
        <v>1.2694401990468636E-3</v>
      </c>
      <c r="BS3" s="1">
        <f ca="1">RAND()*(0.01-0.000001)+0.000001</f>
        <v>2.962159294742462E-3</v>
      </c>
      <c r="BT3" s="1">
        <f ca="1">RANDBETWEEN(100,1000)</f>
        <v>451</v>
      </c>
      <c r="BV3" s="1">
        <f ca="1">RAND()*(1-0.0001)+0.0001</f>
        <v>0.59522750595694285</v>
      </c>
      <c r="BW3" s="1">
        <f ca="1">RANDBETWEEN(100,1000)</f>
        <v>782</v>
      </c>
      <c r="BX3" s="1">
        <f ca="1">RAND()*(0.01-0.00001)+0.00001</f>
        <v>5.1970412263544962E-3</v>
      </c>
      <c r="BY3" s="1">
        <f ca="1">RAND()*(0.1-0.0001)+0.0001</f>
        <v>6.9495632147885476E-4</v>
      </c>
      <c r="BZ3" s="1">
        <f ca="1">RAND()*(1-0)+0</f>
        <v>0.88314613790470875</v>
      </c>
      <c r="CB3" s="1">
        <f ca="1">RANDBETWEEN(50,500)</f>
        <v>195</v>
      </c>
      <c r="CC3" s="1">
        <f ca="1">RANDBETWEEN(3,15)</f>
        <v>11</v>
      </c>
      <c r="CD3" s="1">
        <f ca="1">RAND()*(0.3-0.01)+0.01</f>
        <v>0.26149085931957644</v>
      </c>
      <c r="CE3" s="1">
        <f ca="1">RAND()*(1-0.5)+0.5</f>
        <v>0.82239943709575836</v>
      </c>
      <c r="CF3" s="1">
        <f ca="1">RAND()*(1-0.5)+0.5</f>
        <v>0.86257676859727639</v>
      </c>
      <c r="CH3" s="3">
        <f ca="1">RAND()*(1-0.0001)+0.0001</f>
        <v>4.6578942290276003E-2</v>
      </c>
      <c r="CI3" s="3">
        <f ca="1">RAND()*(0.99-0.01)+0.01</f>
        <v>0.3295213683299838</v>
      </c>
      <c r="CJ3" s="3">
        <f ca="1">RANDBETWEEN(100,2000)</f>
        <v>848</v>
      </c>
      <c r="CK3" s="3">
        <f ca="1">RAND()*(0.01-0.000001)+0.000001</f>
        <v>6.2987251979622818E-3</v>
      </c>
      <c r="CL3" s="3">
        <f ca="1">RANDBETWEEN(0,1)</f>
        <v>0</v>
      </c>
      <c r="CM3" s="3"/>
      <c r="CN3" s="1">
        <f ca="1">RAND()*(20-0.1)+0.1</f>
        <v>8.9813082905490713</v>
      </c>
      <c r="CO3" s="1">
        <f ca="1">RAND()*(0.5-0.001)+0.001</f>
        <v>0.24853370040951075</v>
      </c>
      <c r="CP3" s="1">
        <f ca="1">RANDBETWEEN(1,5)</f>
        <v>3</v>
      </c>
      <c r="CR3" s="1"/>
      <c r="CS3" s="1">
        <f ca="1">RAND()*(1-0)+0</f>
        <v>3.1224600116086521E-4</v>
      </c>
      <c r="CT3" s="1">
        <f ca="1">RAND()*(0.01-0.000001)+0.000001</f>
        <v>4.2751630884996168E-4</v>
      </c>
      <c r="CV3" s="1">
        <f ca="1">RAND()*(10-0.0001)+0.0001</f>
        <v>7.6623021608857247</v>
      </c>
      <c r="CW3" s="1">
        <f ca="1">RANDBETWEEN(100,2000)</f>
        <v>1194</v>
      </c>
      <c r="CX3" s="1">
        <f ca="1">RAND()*(0.01-0.000001)+0.000001</f>
        <v>7.3413918506769222E-3</v>
      </c>
    </row>
    <row r="4" spans="2:102" x14ac:dyDescent="0.25">
      <c r="B4">
        <f t="shared" ref="B4:B67" ca="1" si="0">RANDBETWEEN(15,1000)</f>
        <v>18</v>
      </c>
      <c r="C4">
        <f t="shared" ref="C4:C67" ca="1" si="1">RANDBETWEEN(2,52)</f>
        <v>39</v>
      </c>
      <c r="D4">
        <f t="shared" ref="D4:D67" ca="1" si="2">RAND()*(0.3-0.01)+0.01</f>
        <v>8.0709758580038607E-2</v>
      </c>
      <c r="F4" s="1">
        <f t="shared" ref="F4:F67" ca="1" si="3">RANDBETWEEN(2,52)</f>
        <v>50</v>
      </c>
      <c r="G4" s="1">
        <f t="shared" ref="G4:G67" ca="1" si="4">RANDBETWEEN(2,30)</f>
        <v>26</v>
      </c>
      <c r="H4" s="1">
        <f t="shared" ref="H4:H67" ca="1" si="5">RANDBETWEEN(1,15)</f>
        <v>1</v>
      </c>
      <c r="I4" s="1"/>
      <c r="J4" s="1">
        <f t="shared" ref="J4:J67" ca="1" si="6">RANDBETWEEN(1,39)</f>
        <v>31</v>
      </c>
      <c r="K4" s="1">
        <f t="shared" ref="K4:K67" ca="1" si="7">RAND()*(3-1)+1</f>
        <v>1.3285072520010648</v>
      </c>
      <c r="L4" s="1">
        <f t="shared" ref="L4:L67" ca="1" si="8">RANDBETWEEN(2,35)</f>
        <v>2</v>
      </c>
      <c r="M4" s="1"/>
      <c r="N4" s="1">
        <f t="shared" ref="N4:N67" ca="1" si="9">RANDBETWEEN(15,1000)</f>
        <v>389</v>
      </c>
      <c r="O4" s="1">
        <f t="shared" ref="O4:O67" ca="1" si="10">RANDBETWEEN(2,52)</f>
        <v>40</v>
      </c>
      <c r="P4" s="1"/>
      <c r="Q4" s="1">
        <f t="shared" ref="Q4:Q67" ca="1" si="11">RAND()*(5-0.01)+0.01</f>
        <v>4.1238204076461438</v>
      </c>
      <c r="R4" s="1">
        <f t="shared" ref="R4:R67" ca="1" si="12">RANDBETWEEN(200,1200)</f>
        <v>501</v>
      </c>
      <c r="S4" s="1"/>
      <c r="T4" s="1">
        <f t="shared" ref="T4:T67" ca="1" si="13">RAND()*(0.2-0.01)+0.01</f>
        <v>0.15737803473523107</v>
      </c>
      <c r="U4" s="1">
        <f t="shared" ref="U4:U67" ca="1" si="14">RANDBETWEEN(50,450)</f>
        <v>340</v>
      </c>
      <c r="V4" s="1">
        <f t="shared" ref="V4:V67" ca="1" si="15">RANDBETWEEN(2,52)</f>
        <v>52</v>
      </c>
      <c r="W4" s="1"/>
      <c r="X4" s="1">
        <f t="shared" ref="X4:X67" ca="1" si="16">RAND()*(10-0.01)+0.01</f>
        <v>2.1706373851741119</v>
      </c>
      <c r="Y4" s="1">
        <f t="shared" ref="Y4:Y67" ca="1" si="17">RAND()*(1-0.0001)+0.0001</f>
        <v>0.40333231591860769</v>
      </c>
      <c r="Z4" s="1">
        <f t="shared" ref="Z4:Z67" ca="1" si="18">RANDBETWEEN(100,2000)</f>
        <v>1241</v>
      </c>
      <c r="AB4" s="1">
        <f t="shared" ref="AB4:AB67" ca="1" si="19">RAND()*(1-0.0001)+0.0001</f>
        <v>5.6212635157624591E-2</v>
      </c>
      <c r="AC4" s="1">
        <f t="shared" ref="AC4:AC67" ca="1" si="20">RANDBETWEEN(100,1000)</f>
        <v>115</v>
      </c>
      <c r="AD4" s="1">
        <f t="shared" ref="AD4:AD67" ca="1" si="21">RAND()*(0.01-0.00001)+0.00001</f>
        <v>1.0691613891730455E-3</v>
      </c>
      <c r="AE4" s="1"/>
      <c r="AF4" s="1">
        <f t="shared" ref="AF4:AF67" ca="1" si="22">RAND()*(0.9-0.1)+0.1</f>
        <v>0.24967563447764346</v>
      </c>
      <c r="AG4" s="1">
        <f t="shared" ref="AG4:AG67" ca="1" si="23">RANDBETWEEN(100,1000)</f>
        <v>370</v>
      </c>
      <c r="AH4" s="1">
        <f t="shared" ref="AH4:AH67" ca="1" si="24">RAND()*(0.01-0.00001)+0.00001</f>
        <v>8.2076242977105482E-5</v>
      </c>
      <c r="AJ4" s="1">
        <f t="shared" ref="AJ4:AJ67" ca="1" si="25">RAND()*(1-0)+0</f>
        <v>0.74315815887136927</v>
      </c>
      <c r="AK4" s="1">
        <f t="shared" ref="AK4:AK67" ca="1" si="26">RAND()*(0.01-0.00001)+0.00001</f>
        <v>3.6834914598728782E-3</v>
      </c>
      <c r="AL4" s="1"/>
      <c r="AM4" s="1">
        <f t="shared" ref="AM4:AM67" ca="1" si="27">RAND()*(0.2-0.005)+0.005</f>
        <v>9.4874527456589405E-2</v>
      </c>
      <c r="AN4" s="1">
        <f t="shared" ref="AN4:AN67" ca="1" si="28">RANDBETWEEN(10,80)</f>
        <v>78</v>
      </c>
      <c r="AO4" s="1">
        <f t="shared" ref="AO4:AO67" ca="1" si="29">RANDBETWEEN(-1,20)</f>
        <v>8</v>
      </c>
      <c r="AQ4" s="1">
        <f t="shared" ref="AQ4:AQ67" ca="1" si="30">RANDBETWEEN(10,200)</f>
        <v>32</v>
      </c>
      <c r="AR4" s="1">
        <f t="shared" ref="AR4:AR67" ca="1" si="31">RANDBETWEEN(0,10)</f>
        <v>3</v>
      </c>
      <c r="AS4" s="1">
        <f t="shared" ref="AS4:AS67" ca="1" si="32">RANDBETWEEN(1,100)</f>
        <v>70</v>
      </c>
      <c r="AU4" s="1">
        <f t="shared" ref="AU4:AU67" ca="1" si="33">RANDBETWEEN(50,400)</f>
        <v>318</v>
      </c>
      <c r="AV4" s="1">
        <f t="shared" ref="AV4:AV67" ca="1" si="34">RANDBETWEEN(2,10)</f>
        <v>10</v>
      </c>
      <c r="AW4" s="1">
        <f t="shared" ref="AW4:AW67" ca="1" si="35">RAND()*(0.2-0.01)+0.01</f>
        <v>0.18715750190662775</v>
      </c>
      <c r="AY4" s="1">
        <f t="shared" ref="AY4:AY67" ca="1" si="36">RAND()*(2-1.1)+1.1</f>
        <v>1.72417657782028</v>
      </c>
      <c r="AZ4" s="1">
        <f t="shared" ref="AZ4:AZ67" ca="1" si="37">RANDBETWEEN(50,500)</f>
        <v>174</v>
      </c>
      <c r="BA4" s="1">
        <f t="shared" ref="BA4:BA67" ca="1" si="38">RAND()*(0.01-0.00001)+0.00001</f>
        <v>5.9517082589943078E-3</v>
      </c>
      <c r="BV4" s="1">
        <f t="shared" ref="BV4:BV67" ca="1" si="39">RAND()*(1-0.0001)+0.0001</f>
        <v>0.42584689825532118</v>
      </c>
      <c r="BW4" s="1">
        <f t="shared" ref="BW4:BW67" ca="1" si="40">RANDBETWEEN(100,1000)</f>
        <v>212</v>
      </c>
      <c r="BX4" s="1">
        <f t="shared" ref="BX4:BX67" ca="1" si="41">RAND()*(0.01-0.00001)+0.00001</f>
        <v>8.4512917625970269E-3</v>
      </c>
      <c r="BY4" s="1">
        <f t="shared" ref="BY4:BY67" ca="1" si="42">RAND()*(0.1-0.0001)+0.0001</f>
        <v>4.1294392495460575E-2</v>
      </c>
      <c r="BZ4" s="1">
        <f t="shared" ref="BZ4:BZ67" ca="1" si="43">RAND()*(1-0)+0</f>
        <v>0.26775971792562603</v>
      </c>
      <c r="CB4" s="1">
        <f t="shared" ref="CB4:CB67" ca="1" si="44">RANDBETWEEN(50,500)</f>
        <v>316</v>
      </c>
      <c r="CC4" s="1">
        <f t="shared" ref="CC4:CC67" ca="1" si="45">RANDBETWEEN(3,15)</f>
        <v>11</v>
      </c>
      <c r="CD4" s="1">
        <f t="shared" ref="CD4:CD67" ca="1" si="46">RAND()*(0.3-0.01)+0.01</f>
        <v>0.12455248397203855</v>
      </c>
      <c r="CE4" s="1">
        <f t="shared" ref="CE4:CF35" ca="1" si="47">RAND()*(1-0.5)+0.5</f>
        <v>0.65250935482324035</v>
      </c>
      <c r="CF4" s="1">
        <f t="shared" ca="1" si="47"/>
        <v>0.64673043725016599</v>
      </c>
      <c r="CH4" s="3">
        <f t="shared" ref="CH4:CH67" ca="1" si="48">RAND()*(1-0.0001)+0.0001</f>
        <v>0.5245409939363761</v>
      </c>
      <c r="CI4" s="3">
        <f t="shared" ref="CI4:CI67" ca="1" si="49">RAND()*(0.99-0.01)+0.01</f>
        <v>0.23846238706187328</v>
      </c>
      <c r="CJ4" s="3">
        <f t="shared" ref="CJ4:CJ67" ca="1" si="50">RANDBETWEEN(100,2000)</f>
        <v>1470</v>
      </c>
      <c r="CK4" s="3">
        <f t="shared" ref="CK4:CK67" ca="1" si="51">RAND()*(0.01-0.000001)+0.000001</f>
        <v>8.1513086309513705E-3</v>
      </c>
      <c r="CL4" s="3">
        <f t="shared" ref="CL4:CL67" ca="1" si="52">RANDBETWEEN(0,1)</f>
        <v>1</v>
      </c>
      <c r="CM4" s="3"/>
      <c r="CN4" s="1">
        <f t="shared" ref="CN4:CN67" ca="1" si="53">RAND()*(20-0.1)+0.1</f>
        <v>5.3606389971281825</v>
      </c>
      <c r="CO4" s="1">
        <f t="shared" ref="CO4:CO67" ca="1" si="54">RAND()*(0.5-0.001)+0.001</f>
        <v>5.3980260216659422E-2</v>
      </c>
      <c r="CP4" s="1">
        <f t="shared" ref="CP4:CP67" ca="1" si="55">RANDBETWEEN(1,5)</f>
        <v>4</v>
      </c>
    </row>
    <row r="5" spans="2:102" x14ac:dyDescent="0.25">
      <c r="B5">
        <f t="shared" ca="1" si="0"/>
        <v>143</v>
      </c>
      <c r="C5">
        <f t="shared" ca="1" si="1"/>
        <v>51</v>
      </c>
      <c r="D5">
        <f t="shared" ca="1" si="2"/>
        <v>0.11636877416680941</v>
      </c>
      <c r="F5" s="1">
        <f t="shared" ca="1" si="3"/>
        <v>29</v>
      </c>
      <c r="G5" s="1">
        <f t="shared" ca="1" si="4"/>
        <v>29</v>
      </c>
      <c r="H5" s="1">
        <f t="shared" ca="1" si="5"/>
        <v>9</v>
      </c>
      <c r="I5" s="1"/>
      <c r="J5" s="1">
        <f t="shared" ca="1" si="6"/>
        <v>5</v>
      </c>
      <c r="K5" s="1">
        <f t="shared" ca="1" si="7"/>
        <v>2.2420926485426849</v>
      </c>
      <c r="L5" s="1">
        <f t="shared" ca="1" si="8"/>
        <v>9</v>
      </c>
      <c r="M5" s="1"/>
      <c r="N5" s="1">
        <f t="shared" ca="1" si="9"/>
        <v>190</v>
      </c>
      <c r="O5" s="1">
        <f t="shared" ca="1" si="10"/>
        <v>35</v>
      </c>
      <c r="P5" s="1"/>
      <c r="Q5" s="1">
        <f t="shared" ca="1" si="11"/>
        <v>4.8300254871521169</v>
      </c>
      <c r="R5" s="1">
        <f t="shared" ca="1" si="12"/>
        <v>954</v>
      </c>
      <c r="S5" s="1"/>
      <c r="T5" s="1">
        <f t="shared" ca="1" si="13"/>
        <v>5.6361232676241442E-2</v>
      </c>
      <c r="U5" s="1">
        <f t="shared" ca="1" si="14"/>
        <v>432</v>
      </c>
      <c r="V5" s="1">
        <f t="shared" ca="1" si="15"/>
        <v>27</v>
      </c>
      <c r="W5" s="1"/>
      <c r="X5" s="1">
        <f t="shared" ca="1" si="16"/>
        <v>5.2626604141949738</v>
      </c>
      <c r="Y5" s="1">
        <f t="shared" ca="1" si="17"/>
        <v>0.82707126716786128</v>
      </c>
      <c r="Z5" s="1">
        <f t="shared" ca="1" si="18"/>
        <v>1823</v>
      </c>
      <c r="AB5" s="1">
        <f t="shared" ca="1" si="19"/>
        <v>0.94962791819480896</v>
      </c>
      <c r="AC5" s="1">
        <f t="shared" ca="1" si="20"/>
        <v>264</v>
      </c>
      <c r="AD5" s="1">
        <f t="shared" ca="1" si="21"/>
        <v>7.2921513526061727E-3</v>
      </c>
      <c r="AE5" s="1"/>
      <c r="AF5" s="1">
        <f t="shared" ca="1" si="22"/>
        <v>0.73608193341405503</v>
      </c>
      <c r="AG5" s="1">
        <f t="shared" ca="1" si="23"/>
        <v>284</v>
      </c>
      <c r="AH5" s="1">
        <f t="shared" ca="1" si="24"/>
        <v>4.4887910883807166E-3</v>
      </c>
      <c r="AJ5" s="1">
        <f t="shared" ca="1" si="25"/>
        <v>0.95323201903323318</v>
      </c>
      <c r="AK5" s="1">
        <f t="shared" ca="1" si="26"/>
        <v>9.4328448587865672E-3</v>
      </c>
      <c r="AL5" s="1"/>
      <c r="AM5" s="1">
        <f t="shared" ca="1" si="27"/>
        <v>5.1329511135051804E-2</v>
      </c>
      <c r="AN5" s="1">
        <f t="shared" ca="1" si="28"/>
        <v>41</v>
      </c>
      <c r="AO5" s="1">
        <f t="shared" ca="1" si="29"/>
        <v>11</v>
      </c>
      <c r="AQ5" s="1">
        <f t="shared" ca="1" si="30"/>
        <v>196</v>
      </c>
      <c r="AR5" s="1">
        <f t="shared" ca="1" si="31"/>
        <v>3</v>
      </c>
      <c r="AS5" s="1">
        <f t="shared" ca="1" si="32"/>
        <v>56</v>
      </c>
      <c r="AU5" s="1">
        <f t="shared" ca="1" si="33"/>
        <v>147</v>
      </c>
      <c r="AV5" s="1">
        <f t="shared" ca="1" si="34"/>
        <v>10</v>
      </c>
      <c r="AW5" s="1">
        <f t="shared" ca="1" si="35"/>
        <v>0.10948853156969086</v>
      </c>
      <c r="AY5" s="1">
        <f t="shared" ca="1" si="36"/>
        <v>1.1520662813406191</v>
      </c>
      <c r="AZ5" s="1">
        <f t="shared" ca="1" si="37"/>
        <v>58</v>
      </c>
      <c r="BA5" s="1">
        <f t="shared" ca="1" si="38"/>
        <v>3.0738108324648294E-3</v>
      </c>
      <c r="BV5" s="1">
        <f t="shared" ca="1" si="39"/>
        <v>0.88969218718173959</v>
      </c>
      <c r="BW5" s="1">
        <f t="shared" ca="1" si="40"/>
        <v>211</v>
      </c>
      <c r="BX5" s="1">
        <f t="shared" ca="1" si="41"/>
        <v>8.6071693382920016E-3</v>
      </c>
      <c r="BY5" s="1">
        <f t="shared" ca="1" si="42"/>
        <v>6.1805400584038453E-2</v>
      </c>
      <c r="BZ5" s="1">
        <f t="shared" ca="1" si="43"/>
        <v>0.28368645077649923</v>
      </c>
      <c r="CB5" s="1">
        <f t="shared" ca="1" si="44"/>
        <v>91</v>
      </c>
      <c r="CC5" s="1">
        <f t="shared" ca="1" si="45"/>
        <v>11</v>
      </c>
      <c r="CD5" s="1">
        <f t="shared" ca="1" si="46"/>
        <v>8.8306961175548412E-2</v>
      </c>
      <c r="CE5" s="1">
        <f t="shared" ca="1" si="47"/>
        <v>0.89334903777044561</v>
      </c>
      <c r="CF5" s="1">
        <f t="shared" ca="1" si="47"/>
        <v>0.81662902462926434</v>
      </c>
      <c r="CH5" s="3">
        <f t="shared" ca="1" si="48"/>
        <v>0.52153823648873154</v>
      </c>
      <c r="CI5" s="3">
        <f t="shared" ca="1" si="49"/>
        <v>0.79130656893372897</v>
      </c>
      <c r="CJ5" s="3">
        <f t="shared" ca="1" si="50"/>
        <v>965</v>
      </c>
      <c r="CK5" s="3">
        <f t="shared" ca="1" si="51"/>
        <v>9.8657391198689014E-3</v>
      </c>
      <c r="CL5" s="3">
        <f t="shared" ca="1" si="52"/>
        <v>0</v>
      </c>
      <c r="CM5" s="3"/>
      <c r="CN5" s="1">
        <f t="shared" ca="1" si="53"/>
        <v>1.5958853044279955</v>
      </c>
      <c r="CO5" s="1">
        <f t="shared" ca="1" si="54"/>
        <v>0.20462836883314692</v>
      </c>
      <c r="CP5" s="1">
        <f t="shared" ca="1" si="55"/>
        <v>1</v>
      </c>
    </row>
    <row r="6" spans="2:102" x14ac:dyDescent="0.25">
      <c r="B6">
        <f t="shared" ca="1" si="0"/>
        <v>235</v>
      </c>
      <c r="C6">
        <f t="shared" ca="1" si="1"/>
        <v>43</v>
      </c>
      <c r="D6">
        <f t="shared" ca="1" si="2"/>
        <v>0.24051074737548248</v>
      </c>
      <c r="F6" s="1">
        <f t="shared" ca="1" si="3"/>
        <v>41</v>
      </c>
      <c r="G6" s="1">
        <f t="shared" ca="1" si="4"/>
        <v>24</v>
      </c>
      <c r="H6" s="1">
        <f t="shared" ca="1" si="5"/>
        <v>4</v>
      </c>
      <c r="I6" s="1"/>
      <c r="J6" s="1">
        <f t="shared" ca="1" si="6"/>
        <v>27</v>
      </c>
      <c r="K6" s="1">
        <f t="shared" ca="1" si="7"/>
        <v>2.0415894265019618</v>
      </c>
      <c r="L6" s="1">
        <f t="shared" ca="1" si="8"/>
        <v>24</v>
      </c>
      <c r="M6" s="1"/>
      <c r="N6" s="1">
        <f t="shared" ca="1" si="9"/>
        <v>465</v>
      </c>
      <c r="O6" s="1">
        <f t="shared" ca="1" si="10"/>
        <v>33</v>
      </c>
      <c r="P6" s="1"/>
      <c r="Q6" s="1">
        <f t="shared" ca="1" si="11"/>
        <v>1.669429477369234</v>
      </c>
      <c r="R6" s="1">
        <f t="shared" ca="1" si="12"/>
        <v>315</v>
      </c>
      <c r="S6" s="1"/>
      <c r="T6" s="1">
        <f t="shared" ca="1" si="13"/>
        <v>0.15624958543961262</v>
      </c>
      <c r="U6" s="1">
        <f t="shared" ca="1" si="14"/>
        <v>117</v>
      </c>
      <c r="V6" s="1">
        <f t="shared" ca="1" si="15"/>
        <v>9</v>
      </c>
      <c r="W6" s="1"/>
      <c r="X6" s="1">
        <f t="shared" ca="1" si="16"/>
        <v>6.2896217616015662</v>
      </c>
      <c r="Y6" s="1">
        <f t="shared" ca="1" si="17"/>
        <v>0.90061801656640095</v>
      </c>
      <c r="Z6" s="1">
        <f t="shared" ca="1" si="18"/>
        <v>1254</v>
      </c>
      <c r="AB6" s="1">
        <f t="shared" ca="1" si="19"/>
        <v>0.82628083037963396</v>
      </c>
      <c r="AC6" s="1">
        <f t="shared" ca="1" si="20"/>
        <v>188</v>
      </c>
      <c r="AD6" s="1">
        <f t="shared" ca="1" si="21"/>
        <v>5.921363344164569E-3</v>
      </c>
      <c r="AE6" s="1"/>
      <c r="AF6" s="1">
        <f t="shared" ca="1" si="22"/>
        <v>0.2979230903567654</v>
      </c>
      <c r="AG6" s="1">
        <f t="shared" ca="1" si="23"/>
        <v>369</v>
      </c>
      <c r="AH6" s="1">
        <f t="shared" ca="1" si="24"/>
        <v>8.159347967096631E-3</v>
      </c>
      <c r="AJ6" s="1">
        <f t="shared" ca="1" si="25"/>
        <v>0.63862705726337821</v>
      </c>
      <c r="AK6" s="1">
        <f t="shared" ca="1" si="26"/>
        <v>4.9241460504555225E-3</v>
      </c>
      <c r="AL6" s="1"/>
      <c r="AM6" s="1">
        <f t="shared" ca="1" si="27"/>
        <v>7.0392516387662488E-2</v>
      </c>
      <c r="AN6" s="1">
        <f t="shared" ca="1" si="28"/>
        <v>16</v>
      </c>
      <c r="AO6" s="1">
        <f t="shared" ca="1" si="29"/>
        <v>4</v>
      </c>
      <c r="AQ6" s="1">
        <f t="shared" ca="1" si="30"/>
        <v>75</v>
      </c>
      <c r="AR6" s="1">
        <f t="shared" ca="1" si="31"/>
        <v>7</v>
      </c>
      <c r="AS6" s="1">
        <f t="shared" ca="1" si="32"/>
        <v>63</v>
      </c>
      <c r="AU6" s="1">
        <f t="shared" ca="1" si="33"/>
        <v>278</v>
      </c>
      <c r="AV6" s="1">
        <f t="shared" ca="1" si="34"/>
        <v>2</v>
      </c>
      <c r="AW6" s="1">
        <f t="shared" ca="1" si="35"/>
        <v>0.11650107882567477</v>
      </c>
      <c r="AY6" s="1">
        <f t="shared" ca="1" si="36"/>
        <v>1.2472749235293965</v>
      </c>
      <c r="AZ6" s="1">
        <f t="shared" ca="1" si="37"/>
        <v>119</v>
      </c>
      <c r="BA6" s="1">
        <f t="shared" ca="1" si="38"/>
        <v>1.8074205885629181E-4</v>
      </c>
      <c r="BV6" s="1">
        <f t="shared" ca="1" si="39"/>
        <v>0.87439996917874785</v>
      </c>
      <c r="BW6" s="1">
        <f t="shared" ca="1" si="40"/>
        <v>826</v>
      </c>
      <c r="BX6" s="1">
        <f t="shared" ca="1" si="41"/>
        <v>9.2554625964561248E-3</v>
      </c>
      <c r="BY6" s="1">
        <f t="shared" ca="1" si="42"/>
        <v>5.0740707828371395E-2</v>
      </c>
      <c r="BZ6" s="1">
        <f t="shared" ca="1" si="43"/>
        <v>0.89324876824749644</v>
      </c>
      <c r="CB6" s="1">
        <f t="shared" ca="1" si="44"/>
        <v>459</v>
      </c>
      <c r="CC6" s="1">
        <f t="shared" ca="1" si="45"/>
        <v>12</v>
      </c>
      <c r="CD6" s="1">
        <f t="shared" ca="1" si="46"/>
        <v>0.25168269731065157</v>
      </c>
      <c r="CE6" s="1">
        <f t="shared" ca="1" si="47"/>
        <v>0.9156186880859537</v>
      </c>
      <c r="CF6" s="1">
        <f t="shared" ca="1" si="47"/>
        <v>0.5288812536361629</v>
      </c>
      <c r="CH6" s="3">
        <f t="shared" ca="1" si="48"/>
        <v>0.30470482127844567</v>
      </c>
      <c r="CI6" s="3">
        <f t="shared" ca="1" si="49"/>
        <v>6.7168426984438936E-2</v>
      </c>
      <c r="CJ6" s="3">
        <f t="shared" ca="1" si="50"/>
        <v>1360</v>
      </c>
      <c r="CK6" s="3">
        <f t="shared" ca="1" si="51"/>
        <v>5.6652045307522608E-3</v>
      </c>
      <c r="CL6" s="3">
        <f t="shared" ca="1" si="52"/>
        <v>0</v>
      </c>
      <c r="CM6" s="3"/>
      <c r="CN6" s="1">
        <f t="shared" ca="1" si="53"/>
        <v>13.256485329642059</v>
      </c>
      <c r="CO6" s="1">
        <f t="shared" ca="1" si="54"/>
        <v>0.20934867617928879</v>
      </c>
      <c r="CP6" s="1">
        <f t="shared" ca="1" si="55"/>
        <v>3</v>
      </c>
    </row>
    <row r="7" spans="2:102" x14ac:dyDescent="0.25">
      <c r="B7">
        <f t="shared" ca="1" si="0"/>
        <v>832</v>
      </c>
      <c r="C7">
        <f t="shared" ca="1" si="1"/>
        <v>48</v>
      </c>
      <c r="D7">
        <f t="shared" ca="1" si="2"/>
        <v>0.28002004888039544</v>
      </c>
      <c r="F7" s="1">
        <f t="shared" ca="1" si="3"/>
        <v>24</v>
      </c>
      <c r="G7" s="1">
        <f t="shared" ca="1" si="4"/>
        <v>8</v>
      </c>
      <c r="H7" s="1">
        <f t="shared" ca="1" si="5"/>
        <v>1</v>
      </c>
      <c r="I7" s="1"/>
      <c r="J7" s="1">
        <f t="shared" ca="1" si="6"/>
        <v>5</v>
      </c>
      <c r="K7" s="1">
        <f t="shared" ca="1" si="7"/>
        <v>1.887271595774068</v>
      </c>
      <c r="L7" s="1">
        <f t="shared" ca="1" si="8"/>
        <v>18</v>
      </c>
      <c r="M7" s="1"/>
      <c r="N7" s="1">
        <f t="shared" ca="1" si="9"/>
        <v>339</v>
      </c>
      <c r="O7" s="1">
        <f t="shared" ca="1" si="10"/>
        <v>26</v>
      </c>
      <c r="P7" s="1"/>
      <c r="Q7" s="1">
        <f t="shared" ca="1" si="11"/>
        <v>0.60483276253624885</v>
      </c>
      <c r="R7" s="1">
        <f t="shared" ca="1" si="12"/>
        <v>937</v>
      </c>
      <c r="S7" s="1"/>
      <c r="T7" s="1">
        <f t="shared" ca="1" si="13"/>
        <v>0.19523922090502718</v>
      </c>
      <c r="U7" s="1">
        <f t="shared" ca="1" si="14"/>
        <v>122</v>
      </c>
      <c r="V7" s="1">
        <f t="shared" ca="1" si="15"/>
        <v>33</v>
      </c>
      <c r="W7" s="1"/>
      <c r="X7" s="1">
        <f t="shared" ca="1" si="16"/>
        <v>2.3676214945427798</v>
      </c>
      <c r="Y7" s="1">
        <f t="shared" ca="1" si="17"/>
        <v>0.64675293639367404</v>
      </c>
      <c r="Z7" s="1">
        <f t="shared" ca="1" si="18"/>
        <v>1224</v>
      </c>
      <c r="AB7" s="1">
        <f t="shared" ca="1" si="19"/>
        <v>0.29480595568074419</v>
      </c>
      <c r="AC7" s="1">
        <f t="shared" ca="1" si="20"/>
        <v>415</v>
      </c>
      <c r="AD7" s="1">
        <f t="shared" ca="1" si="21"/>
        <v>5.838096297596085E-3</v>
      </c>
      <c r="AE7" s="1"/>
      <c r="AF7" s="1">
        <f t="shared" ca="1" si="22"/>
        <v>0.4266007187867592</v>
      </c>
      <c r="AG7" s="1">
        <f t="shared" ca="1" si="23"/>
        <v>410</v>
      </c>
      <c r="AH7" s="1">
        <f t="shared" ca="1" si="24"/>
        <v>2.7804386054171781E-4</v>
      </c>
      <c r="AJ7" s="1">
        <f t="shared" ca="1" si="25"/>
        <v>0.61242186300005574</v>
      </c>
      <c r="AK7" s="1">
        <f t="shared" ca="1" si="26"/>
        <v>2.551988588024487E-3</v>
      </c>
      <c r="AL7" s="1"/>
      <c r="AM7" s="1">
        <f t="shared" ca="1" si="27"/>
        <v>7.3615578894573847E-2</v>
      </c>
      <c r="AN7" s="1">
        <f t="shared" ca="1" si="28"/>
        <v>66</v>
      </c>
      <c r="AO7" s="1">
        <f t="shared" ca="1" si="29"/>
        <v>10</v>
      </c>
      <c r="AQ7" s="1">
        <f t="shared" ca="1" si="30"/>
        <v>45</v>
      </c>
      <c r="AR7" s="1">
        <f t="shared" ca="1" si="31"/>
        <v>3</v>
      </c>
      <c r="AS7" s="1">
        <f t="shared" ca="1" si="32"/>
        <v>25</v>
      </c>
      <c r="AU7" s="1">
        <f t="shared" ca="1" si="33"/>
        <v>319</v>
      </c>
      <c r="AV7" s="1">
        <f t="shared" ca="1" si="34"/>
        <v>6</v>
      </c>
      <c r="AW7" s="1">
        <f t="shared" ca="1" si="35"/>
        <v>4.0676035378127556E-2</v>
      </c>
      <c r="AY7" s="1">
        <f t="shared" ca="1" si="36"/>
        <v>1.9572501060593632</v>
      </c>
      <c r="AZ7" s="1">
        <f t="shared" ca="1" si="37"/>
        <v>481</v>
      </c>
      <c r="BA7" s="1">
        <f t="shared" ca="1" si="38"/>
        <v>4.0614011396225202E-3</v>
      </c>
      <c r="BV7" s="1">
        <f t="shared" ca="1" si="39"/>
        <v>0.51042210163428747</v>
      </c>
      <c r="BW7" s="1">
        <f t="shared" ca="1" si="40"/>
        <v>573</v>
      </c>
      <c r="BX7" s="1">
        <f t="shared" ca="1" si="41"/>
        <v>2.3898608353641617E-3</v>
      </c>
      <c r="BY7" s="1">
        <f t="shared" ca="1" si="42"/>
        <v>9.0740117355348843E-2</v>
      </c>
      <c r="BZ7" s="1">
        <f t="shared" ca="1" si="43"/>
        <v>0.63586832280189898</v>
      </c>
      <c r="CB7" s="1">
        <f t="shared" ca="1" si="44"/>
        <v>438</v>
      </c>
      <c r="CC7" s="1">
        <f t="shared" ca="1" si="45"/>
        <v>5</v>
      </c>
      <c r="CD7" s="1">
        <f t="shared" ca="1" si="46"/>
        <v>0.29096569847404674</v>
      </c>
      <c r="CE7" s="1">
        <f t="shared" ca="1" si="47"/>
        <v>0.67880975690282219</v>
      </c>
      <c r="CF7" s="1">
        <f t="shared" ca="1" si="47"/>
        <v>0.86827197071692064</v>
      </c>
      <c r="CH7" s="3">
        <f t="shared" ca="1" si="48"/>
        <v>0.60676662541793813</v>
      </c>
      <c r="CI7" s="3">
        <f t="shared" ca="1" si="49"/>
        <v>0.24270019216906827</v>
      </c>
      <c r="CJ7" s="3">
        <f t="shared" ca="1" si="50"/>
        <v>833</v>
      </c>
      <c r="CK7" s="3">
        <f t="shared" ca="1" si="51"/>
        <v>6.3213310592934628E-3</v>
      </c>
      <c r="CL7" s="3">
        <f t="shared" ca="1" si="52"/>
        <v>0</v>
      </c>
      <c r="CM7" s="3"/>
      <c r="CN7" s="1">
        <f t="shared" ca="1" si="53"/>
        <v>13.481580970000415</v>
      </c>
      <c r="CO7" s="1">
        <f t="shared" ca="1" si="54"/>
        <v>0.18473449649241416</v>
      </c>
      <c r="CP7" s="1">
        <f t="shared" ca="1" si="55"/>
        <v>3</v>
      </c>
    </row>
    <row r="8" spans="2:102" x14ac:dyDescent="0.25">
      <c r="B8">
        <f t="shared" ca="1" si="0"/>
        <v>776</v>
      </c>
      <c r="C8">
        <f t="shared" ca="1" si="1"/>
        <v>10</v>
      </c>
      <c r="D8">
        <f t="shared" ca="1" si="2"/>
        <v>4.4835422493619791E-2</v>
      </c>
      <c r="F8" s="1">
        <f t="shared" ca="1" si="3"/>
        <v>12</v>
      </c>
      <c r="G8" s="1">
        <f t="shared" ca="1" si="4"/>
        <v>7</v>
      </c>
      <c r="H8" s="1">
        <f t="shared" ca="1" si="5"/>
        <v>15</v>
      </c>
      <c r="I8" s="1"/>
      <c r="J8" s="1">
        <f t="shared" ca="1" si="6"/>
        <v>27</v>
      </c>
      <c r="K8" s="1">
        <f t="shared" ca="1" si="7"/>
        <v>1.7012299548197176</v>
      </c>
      <c r="L8" s="1">
        <f t="shared" ca="1" si="8"/>
        <v>3</v>
      </c>
      <c r="M8" s="1"/>
      <c r="N8" s="1">
        <f t="shared" ca="1" si="9"/>
        <v>689</v>
      </c>
      <c r="O8" s="1">
        <f t="shared" ca="1" si="10"/>
        <v>45</v>
      </c>
      <c r="P8" s="1"/>
      <c r="Q8" s="1">
        <f t="shared" ca="1" si="11"/>
        <v>4.5645104679107105</v>
      </c>
      <c r="R8" s="1">
        <f t="shared" ca="1" si="12"/>
        <v>756</v>
      </c>
      <c r="S8" s="1"/>
      <c r="T8" s="1">
        <f t="shared" ca="1" si="13"/>
        <v>2.4524481319053541E-2</v>
      </c>
      <c r="U8" s="1">
        <f t="shared" ca="1" si="14"/>
        <v>219</v>
      </c>
      <c r="V8" s="1">
        <f t="shared" ca="1" si="15"/>
        <v>5</v>
      </c>
      <c r="W8" s="1"/>
      <c r="X8" s="1">
        <f t="shared" ca="1" si="16"/>
        <v>0.40313538992473952</v>
      </c>
      <c r="Y8" s="1">
        <f t="shared" ca="1" si="17"/>
        <v>0.62580568571625661</v>
      </c>
      <c r="Z8" s="1">
        <f t="shared" ca="1" si="18"/>
        <v>1055</v>
      </c>
      <c r="AB8" s="1">
        <f t="shared" ca="1" si="19"/>
        <v>0.97741704292084386</v>
      </c>
      <c r="AC8" s="1">
        <f t="shared" ca="1" si="20"/>
        <v>445</v>
      </c>
      <c r="AD8" s="1">
        <f t="shared" ca="1" si="21"/>
        <v>1.1829087520043571E-3</v>
      </c>
      <c r="AE8" s="1"/>
      <c r="AF8" s="1">
        <f t="shared" ca="1" si="22"/>
        <v>0.19326202435497761</v>
      </c>
      <c r="AG8" s="1">
        <f t="shared" ca="1" si="23"/>
        <v>457</v>
      </c>
      <c r="AH8" s="1">
        <f t="shared" ca="1" si="24"/>
        <v>8.4432058353259634E-3</v>
      </c>
      <c r="AJ8" s="1">
        <f t="shared" ca="1" si="25"/>
        <v>0.17890094320753636</v>
      </c>
      <c r="AK8" s="1">
        <f t="shared" ca="1" si="26"/>
        <v>9.9798762153698439E-3</v>
      </c>
      <c r="AL8" s="1"/>
      <c r="AM8" s="1">
        <f t="shared" ca="1" si="27"/>
        <v>2.3912975969899861E-2</v>
      </c>
      <c r="AN8" s="1">
        <f t="shared" ca="1" si="28"/>
        <v>30</v>
      </c>
      <c r="AO8" s="1">
        <f t="shared" ca="1" si="29"/>
        <v>-1</v>
      </c>
      <c r="AQ8" s="1">
        <f t="shared" ca="1" si="30"/>
        <v>184</v>
      </c>
      <c r="AR8" s="1">
        <f t="shared" ca="1" si="31"/>
        <v>0</v>
      </c>
      <c r="AS8" s="1">
        <f t="shared" ca="1" si="32"/>
        <v>81</v>
      </c>
      <c r="AU8" s="1">
        <f t="shared" ca="1" si="33"/>
        <v>386</v>
      </c>
      <c r="AV8" s="1">
        <f t="shared" ca="1" si="34"/>
        <v>10</v>
      </c>
      <c r="AW8" s="1">
        <f t="shared" ca="1" si="35"/>
        <v>0.18003919786609188</v>
      </c>
      <c r="AY8" s="1">
        <f t="shared" ca="1" si="36"/>
        <v>1.6771331598548953</v>
      </c>
      <c r="AZ8" s="1">
        <f t="shared" ca="1" si="37"/>
        <v>382</v>
      </c>
      <c r="BA8" s="1">
        <f t="shared" ca="1" si="38"/>
        <v>2.9531326352479477E-4</v>
      </c>
      <c r="BV8" s="1">
        <f t="shared" ca="1" si="39"/>
        <v>0.35377535150291201</v>
      </c>
      <c r="BW8" s="1">
        <f t="shared" ca="1" si="40"/>
        <v>525</v>
      </c>
      <c r="BX8" s="1">
        <f t="shared" ca="1" si="41"/>
        <v>6.6413196880679209E-3</v>
      </c>
      <c r="BY8" s="1">
        <f t="shared" ca="1" si="42"/>
        <v>9.746777108219272E-3</v>
      </c>
      <c r="BZ8" s="1">
        <f t="shared" ca="1" si="43"/>
        <v>0.27704997085091365</v>
      </c>
      <c r="CB8" s="1">
        <f t="shared" ca="1" si="44"/>
        <v>59</v>
      </c>
      <c r="CC8" s="1">
        <f t="shared" ca="1" si="45"/>
        <v>13</v>
      </c>
      <c r="CD8" s="1">
        <f t="shared" ca="1" si="46"/>
        <v>0.14997173272863126</v>
      </c>
      <c r="CE8" s="1">
        <f t="shared" ca="1" si="47"/>
        <v>0.66653169824987113</v>
      </c>
      <c r="CF8" s="1">
        <f t="shared" ca="1" si="47"/>
        <v>0.65163265750942312</v>
      </c>
      <c r="CH8" s="3">
        <f t="shared" ca="1" si="48"/>
        <v>0.27017279183492032</v>
      </c>
      <c r="CI8" s="3">
        <f t="shared" ca="1" si="49"/>
        <v>0.19723828492601417</v>
      </c>
      <c r="CJ8" s="3">
        <f t="shared" ca="1" si="50"/>
        <v>1168</v>
      </c>
      <c r="CK8" s="3">
        <f t="shared" ca="1" si="51"/>
        <v>6.2191079605456298E-3</v>
      </c>
      <c r="CL8" s="3">
        <f t="shared" ca="1" si="52"/>
        <v>1</v>
      </c>
      <c r="CM8" s="3"/>
      <c r="CN8" s="1">
        <f t="shared" ca="1" si="53"/>
        <v>6.7899939418913355</v>
      </c>
      <c r="CO8" s="1">
        <f t="shared" ca="1" si="54"/>
        <v>0.17234057811814846</v>
      </c>
      <c r="CP8" s="1">
        <f t="shared" ca="1" si="55"/>
        <v>5</v>
      </c>
    </row>
    <row r="9" spans="2:102" x14ac:dyDescent="0.25">
      <c r="B9">
        <f t="shared" ca="1" si="0"/>
        <v>885</v>
      </c>
      <c r="C9">
        <f t="shared" ca="1" si="1"/>
        <v>10</v>
      </c>
      <c r="D9">
        <f t="shared" ca="1" si="2"/>
        <v>0.21667112501402075</v>
      </c>
      <c r="F9" s="1">
        <f t="shared" ca="1" si="3"/>
        <v>30</v>
      </c>
      <c r="G9" s="1">
        <f t="shared" ca="1" si="4"/>
        <v>12</v>
      </c>
      <c r="H9" s="1">
        <f t="shared" ca="1" si="5"/>
        <v>5</v>
      </c>
      <c r="I9" s="1"/>
      <c r="J9" s="1">
        <f t="shared" ca="1" si="6"/>
        <v>23</v>
      </c>
      <c r="K9" s="1">
        <f t="shared" ca="1" si="7"/>
        <v>2.8116408878943808</v>
      </c>
      <c r="L9" s="1">
        <f t="shared" ca="1" si="8"/>
        <v>5</v>
      </c>
      <c r="M9" s="1"/>
      <c r="N9" s="1">
        <f t="shared" ca="1" si="9"/>
        <v>761</v>
      </c>
      <c r="O9" s="1">
        <f t="shared" ca="1" si="10"/>
        <v>15</v>
      </c>
      <c r="P9" s="1"/>
      <c r="Q9" s="1">
        <f t="shared" ca="1" si="11"/>
        <v>3.8839829213422745</v>
      </c>
      <c r="R9" s="1">
        <f t="shared" ca="1" si="12"/>
        <v>774</v>
      </c>
      <c r="S9" s="1"/>
      <c r="T9" s="1">
        <f t="shared" ca="1" si="13"/>
        <v>0.14689387655076938</v>
      </c>
      <c r="U9" s="1">
        <f t="shared" ca="1" si="14"/>
        <v>223</v>
      </c>
      <c r="V9" s="1">
        <f t="shared" ca="1" si="15"/>
        <v>12</v>
      </c>
      <c r="W9" s="1"/>
      <c r="X9" s="1">
        <f t="shared" ca="1" si="16"/>
        <v>8.8723465674038096</v>
      </c>
      <c r="Y9" s="1">
        <f t="shared" ca="1" si="17"/>
        <v>0.95396735573637137</v>
      </c>
      <c r="Z9" s="1">
        <f t="shared" ca="1" si="18"/>
        <v>870</v>
      </c>
      <c r="AB9" s="1">
        <f t="shared" ca="1" si="19"/>
        <v>0.96378695895940392</v>
      </c>
      <c r="AC9" s="1">
        <f t="shared" ca="1" si="20"/>
        <v>902</v>
      </c>
      <c r="AD9" s="1">
        <f t="shared" ca="1" si="21"/>
        <v>4.9944661899685942E-3</v>
      </c>
      <c r="AE9" s="1"/>
      <c r="AF9" s="1">
        <f t="shared" ca="1" si="22"/>
        <v>0.2658272722243189</v>
      </c>
      <c r="AG9" s="1">
        <f t="shared" ca="1" si="23"/>
        <v>239</v>
      </c>
      <c r="AH9" s="1">
        <f t="shared" ca="1" si="24"/>
        <v>1.2909466964631316E-3</v>
      </c>
      <c r="AJ9" s="1">
        <f t="shared" ca="1" si="25"/>
        <v>0.24096422014719621</v>
      </c>
      <c r="AK9" s="1">
        <f t="shared" ca="1" si="26"/>
        <v>1.8425367897431054E-3</v>
      </c>
      <c r="AL9" s="1"/>
      <c r="AM9" s="1">
        <f t="shared" ca="1" si="27"/>
        <v>0.13230297489274015</v>
      </c>
      <c r="AN9" s="1">
        <f t="shared" ca="1" si="28"/>
        <v>24</v>
      </c>
      <c r="AO9" s="1">
        <f t="shared" ca="1" si="29"/>
        <v>9</v>
      </c>
      <c r="AQ9" s="1">
        <f t="shared" ca="1" si="30"/>
        <v>71</v>
      </c>
      <c r="AR9" s="1">
        <f t="shared" ca="1" si="31"/>
        <v>3</v>
      </c>
      <c r="AS9" s="1">
        <f t="shared" ca="1" si="32"/>
        <v>31</v>
      </c>
      <c r="AU9" s="1">
        <f t="shared" ca="1" si="33"/>
        <v>73</v>
      </c>
      <c r="AV9" s="1">
        <f t="shared" ca="1" si="34"/>
        <v>8</v>
      </c>
      <c r="AW9" s="1">
        <f t="shared" ca="1" si="35"/>
        <v>0.15150637613250156</v>
      </c>
      <c r="AY9" s="1">
        <f t="shared" ca="1" si="36"/>
        <v>1.2435988886255844</v>
      </c>
      <c r="AZ9" s="1">
        <f t="shared" ca="1" si="37"/>
        <v>438</v>
      </c>
      <c r="BA9" s="1">
        <f t="shared" ca="1" si="38"/>
        <v>6.1846396892196714E-3</v>
      </c>
      <c r="BV9" s="1">
        <f t="shared" ca="1" si="39"/>
        <v>0.70573881831442797</v>
      </c>
      <c r="BW9" s="1">
        <f t="shared" ca="1" si="40"/>
        <v>952</v>
      </c>
      <c r="BX9" s="1">
        <f t="shared" ca="1" si="41"/>
        <v>2.3500693969862982E-3</v>
      </c>
      <c r="BY9" s="1">
        <f t="shared" ca="1" si="42"/>
        <v>2.0312637316048661E-2</v>
      </c>
      <c r="BZ9" s="1">
        <f t="shared" ca="1" si="43"/>
        <v>0.84538053837113991</v>
      </c>
      <c r="CB9" s="1">
        <f t="shared" ca="1" si="44"/>
        <v>57</v>
      </c>
      <c r="CC9" s="1">
        <f t="shared" ca="1" si="45"/>
        <v>13</v>
      </c>
      <c r="CD9" s="1">
        <f t="shared" ca="1" si="46"/>
        <v>0.1131695633521705</v>
      </c>
      <c r="CE9" s="1">
        <f t="shared" ca="1" si="47"/>
        <v>0.81273485450326755</v>
      </c>
      <c r="CF9" s="1">
        <f t="shared" ca="1" si="47"/>
        <v>0.64942694091356556</v>
      </c>
      <c r="CH9" s="3">
        <f t="shared" ca="1" si="48"/>
        <v>0.53799958999618358</v>
      </c>
      <c r="CI9" s="3">
        <f t="shared" ca="1" si="49"/>
        <v>0.78465123021895378</v>
      </c>
      <c r="CJ9" s="3">
        <f t="shared" ca="1" si="50"/>
        <v>1009</v>
      </c>
      <c r="CK9" s="3">
        <f t="shared" ca="1" si="51"/>
        <v>9.9154938600813838E-3</v>
      </c>
      <c r="CL9" s="3">
        <f t="shared" ca="1" si="52"/>
        <v>0</v>
      </c>
      <c r="CM9" s="3"/>
      <c r="CN9" s="1">
        <f t="shared" ca="1" si="53"/>
        <v>18.830467819416494</v>
      </c>
      <c r="CO9" s="1">
        <f t="shared" ca="1" si="54"/>
        <v>0.42558491593505049</v>
      </c>
      <c r="CP9" s="1">
        <f t="shared" ca="1" si="55"/>
        <v>5</v>
      </c>
    </row>
    <row r="10" spans="2:102" x14ac:dyDescent="0.25">
      <c r="B10">
        <f t="shared" ca="1" si="0"/>
        <v>387</v>
      </c>
      <c r="C10">
        <f t="shared" ca="1" si="1"/>
        <v>37</v>
      </c>
      <c r="D10">
        <f t="shared" ca="1" si="2"/>
        <v>0.29910752166885746</v>
      </c>
      <c r="F10" s="1">
        <f t="shared" ca="1" si="3"/>
        <v>40</v>
      </c>
      <c r="G10" s="1">
        <f t="shared" ca="1" si="4"/>
        <v>18</v>
      </c>
      <c r="H10" s="1">
        <f t="shared" ca="1" si="5"/>
        <v>5</v>
      </c>
      <c r="I10" s="1"/>
      <c r="J10" s="1">
        <f t="shared" ca="1" si="6"/>
        <v>9</v>
      </c>
      <c r="K10" s="1">
        <f t="shared" ca="1" si="7"/>
        <v>1.2403291643195111</v>
      </c>
      <c r="L10" s="1">
        <f t="shared" ca="1" si="8"/>
        <v>33</v>
      </c>
      <c r="M10" s="1"/>
      <c r="N10" s="1">
        <f t="shared" ca="1" si="9"/>
        <v>110</v>
      </c>
      <c r="O10" s="1">
        <f t="shared" ca="1" si="10"/>
        <v>10</v>
      </c>
      <c r="P10" s="1"/>
      <c r="Q10" s="1">
        <f t="shared" ca="1" si="11"/>
        <v>2.1236698595566534</v>
      </c>
      <c r="R10" s="1">
        <f t="shared" ca="1" si="12"/>
        <v>444</v>
      </c>
      <c r="S10" s="1"/>
      <c r="T10" s="1">
        <f t="shared" ca="1" si="13"/>
        <v>0.19055675725050095</v>
      </c>
      <c r="U10" s="1">
        <f t="shared" ca="1" si="14"/>
        <v>302</v>
      </c>
      <c r="V10" s="1">
        <f t="shared" ca="1" si="15"/>
        <v>48</v>
      </c>
      <c r="W10" s="1"/>
      <c r="X10" s="1">
        <f t="shared" ca="1" si="16"/>
        <v>1.1503662236044678</v>
      </c>
      <c r="Y10" s="1">
        <f t="shared" ca="1" si="17"/>
        <v>0.86270701124236238</v>
      </c>
      <c r="Z10" s="1">
        <f t="shared" ca="1" si="18"/>
        <v>155</v>
      </c>
      <c r="AB10" s="1">
        <f t="shared" ca="1" si="19"/>
        <v>0.68324779421178594</v>
      </c>
      <c r="AC10" s="1">
        <f t="shared" ca="1" si="20"/>
        <v>784</v>
      </c>
      <c r="AD10" s="1">
        <f t="shared" ca="1" si="21"/>
        <v>9.9042523363666816E-3</v>
      </c>
      <c r="AE10" s="1"/>
      <c r="AF10" s="1">
        <f t="shared" ca="1" si="22"/>
        <v>0.33950127739782288</v>
      </c>
      <c r="AG10" s="1">
        <f t="shared" ca="1" si="23"/>
        <v>868</v>
      </c>
      <c r="AH10" s="1">
        <f t="shared" ca="1" si="24"/>
        <v>9.6445131611969191E-3</v>
      </c>
      <c r="AJ10" s="1">
        <f t="shared" ca="1" si="25"/>
        <v>0.17399117499272121</v>
      </c>
      <c r="AK10" s="1">
        <f t="shared" ca="1" si="26"/>
        <v>7.5831136643480729E-3</v>
      </c>
      <c r="AL10" s="1"/>
      <c r="AM10" s="1">
        <f t="shared" ca="1" si="27"/>
        <v>0.14351224122704115</v>
      </c>
      <c r="AN10" s="1">
        <f t="shared" ca="1" si="28"/>
        <v>66</v>
      </c>
      <c r="AO10" s="1">
        <f t="shared" ca="1" si="29"/>
        <v>6</v>
      </c>
      <c r="AQ10" s="1">
        <f t="shared" ca="1" si="30"/>
        <v>85</v>
      </c>
      <c r="AR10" s="1">
        <f t="shared" ca="1" si="31"/>
        <v>4</v>
      </c>
      <c r="AS10" s="1">
        <f t="shared" ca="1" si="32"/>
        <v>47</v>
      </c>
      <c r="AU10" s="1">
        <f t="shared" ca="1" si="33"/>
        <v>391</v>
      </c>
      <c r="AV10" s="1">
        <f t="shared" ca="1" si="34"/>
        <v>2</v>
      </c>
      <c r="AW10" s="1">
        <f t="shared" ca="1" si="35"/>
        <v>4.9936912219779195E-2</v>
      </c>
      <c r="AY10" s="1">
        <f t="shared" ca="1" si="36"/>
        <v>1.3702818957105296</v>
      </c>
      <c r="AZ10" s="1">
        <f t="shared" ca="1" si="37"/>
        <v>347</v>
      </c>
      <c r="BA10" s="1">
        <f t="shared" ca="1" si="38"/>
        <v>3.5283486663149483E-3</v>
      </c>
      <c r="BV10" s="1">
        <f t="shared" ca="1" si="39"/>
        <v>0.12857147897891177</v>
      </c>
      <c r="BW10" s="1">
        <f t="shared" ca="1" si="40"/>
        <v>251</v>
      </c>
      <c r="BX10" s="1">
        <f t="shared" ca="1" si="41"/>
        <v>6.6033380290095181E-3</v>
      </c>
      <c r="BY10" s="1">
        <f t="shared" ca="1" si="42"/>
        <v>8.6553224902942455E-2</v>
      </c>
      <c r="BZ10" s="1">
        <f t="shared" ca="1" si="43"/>
        <v>0.99468302210743043</v>
      </c>
      <c r="CB10" s="1">
        <f t="shared" ca="1" si="44"/>
        <v>446</v>
      </c>
      <c r="CC10" s="1">
        <f t="shared" ca="1" si="45"/>
        <v>5</v>
      </c>
      <c r="CD10" s="1">
        <f t="shared" ca="1" si="46"/>
        <v>0.12840352022472148</v>
      </c>
      <c r="CE10" s="1">
        <f t="shared" ca="1" si="47"/>
        <v>0.79182728770789645</v>
      </c>
      <c r="CF10" s="1">
        <f t="shared" ca="1" si="47"/>
        <v>0.97143607899972073</v>
      </c>
      <c r="CH10" s="3">
        <f t="shared" ca="1" si="48"/>
        <v>0.40157069448378296</v>
      </c>
      <c r="CI10" s="3">
        <f t="shared" ca="1" si="49"/>
        <v>0.66199661272165689</v>
      </c>
      <c r="CJ10" s="3">
        <f t="shared" ca="1" si="50"/>
        <v>1252</v>
      </c>
      <c r="CK10" s="3">
        <f t="shared" ca="1" si="51"/>
        <v>4.6334621343568881E-3</v>
      </c>
      <c r="CL10" s="3">
        <f t="shared" ca="1" si="52"/>
        <v>0</v>
      </c>
      <c r="CM10" s="3"/>
      <c r="CN10" s="1">
        <f t="shared" ca="1" si="53"/>
        <v>11.600259730729102</v>
      </c>
      <c r="CO10" s="1">
        <f t="shared" ca="1" si="54"/>
        <v>0.47273967642939307</v>
      </c>
      <c r="CP10" s="1">
        <f t="shared" ca="1" si="55"/>
        <v>2</v>
      </c>
    </row>
    <row r="11" spans="2:102" x14ac:dyDescent="0.25">
      <c r="B11">
        <f t="shared" ca="1" si="0"/>
        <v>996</v>
      </c>
      <c r="C11">
        <f t="shared" ca="1" si="1"/>
        <v>7</v>
      </c>
      <c r="D11">
        <f t="shared" ca="1" si="2"/>
        <v>0.25814312547624024</v>
      </c>
      <c r="F11" s="1">
        <f t="shared" ca="1" si="3"/>
        <v>39</v>
      </c>
      <c r="G11" s="1">
        <f t="shared" ca="1" si="4"/>
        <v>22</v>
      </c>
      <c r="H11" s="1">
        <f t="shared" ca="1" si="5"/>
        <v>15</v>
      </c>
      <c r="I11" s="1"/>
      <c r="J11" s="1">
        <f t="shared" ca="1" si="6"/>
        <v>26</v>
      </c>
      <c r="K11" s="1">
        <f t="shared" ca="1" si="7"/>
        <v>1.905858125114023</v>
      </c>
      <c r="L11" s="1">
        <f t="shared" ca="1" si="8"/>
        <v>21</v>
      </c>
      <c r="M11" s="1"/>
      <c r="N11" s="1">
        <f t="shared" ca="1" si="9"/>
        <v>433</v>
      </c>
      <c r="O11" s="1">
        <f t="shared" ca="1" si="10"/>
        <v>34</v>
      </c>
      <c r="P11" s="1"/>
      <c r="Q11" s="1">
        <f t="shared" ca="1" si="11"/>
        <v>0.37515604782983075</v>
      </c>
      <c r="R11" s="1">
        <f t="shared" ca="1" si="12"/>
        <v>357</v>
      </c>
      <c r="S11" s="1"/>
      <c r="T11" s="1">
        <f t="shared" ca="1" si="13"/>
        <v>0.1565182333220809</v>
      </c>
      <c r="U11" s="1">
        <f t="shared" ca="1" si="14"/>
        <v>139</v>
      </c>
      <c r="V11" s="1">
        <f t="shared" ca="1" si="15"/>
        <v>44</v>
      </c>
      <c r="W11" s="1"/>
      <c r="X11" s="1">
        <f t="shared" ca="1" si="16"/>
        <v>3.8404412314312468</v>
      </c>
      <c r="Y11" s="1">
        <f t="shared" ca="1" si="17"/>
        <v>0.27016211309548432</v>
      </c>
      <c r="Z11" s="1">
        <f t="shared" ca="1" si="18"/>
        <v>1422</v>
      </c>
      <c r="AB11" s="1">
        <f t="shared" ca="1" si="19"/>
        <v>0.8563536518952114</v>
      </c>
      <c r="AC11" s="1">
        <f t="shared" ca="1" si="20"/>
        <v>561</v>
      </c>
      <c r="AD11" s="1">
        <f t="shared" ca="1" si="21"/>
        <v>4.6792590982041122E-3</v>
      </c>
      <c r="AE11" s="1"/>
      <c r="AF11" s="1">
        <f t="shared" ca="1" si="22"/>
        <v>0.72565627000117539</v>
      </c>
      <c r="AG11" s="1">
        <f t="shared" ca="1" si="23"/>
        <v>757</v>
      </c>
      <c r="AH11" s="1">
        <f t="shared" ca="1" si="24"/>
        <v>8.7871011399130901E-3</v>
      </c>
      <c r="AJ11" s="1">
        <f t="shared" ca="1" si="25"/>
        <v>3.5481161416682228E-2</v>
      </c>
      <c r="AK11" s="1">
        <f t="shared" ca="1" si="26"/>
        <v>1.6721413166811887E-3</v>
      </c>
      <c r="AL11" s="1"/>
      <c r="AM11" s="1">
        <f t="shared" ca="1" si="27"/>
        <v>0.12648895652315312</v>
      </c>
      <c r="AN11" s="1">
        <f t="shared" ca="1" si="28"/>
        <v>30</v>
      </c>
      <c r="AO11" s="1">
        <f t="shared" ca="1" si="29"/>
        <v>12</v>
      </c>
      <c r="AQ11" s="1">
        <f t="shared" ca="1" si="30"/>
        <v>45</v>
      </c>
      <c r="AR11" s="1">
        <f t="shared" ca="1" si="31"/>
        <v>5</v>
      </c>
      <c r="AS11" s="1">
        <f t="shared" ca="1" si="32"/>
        <v>61</v>
      </c>
      <c r="AU11" s="1">
        <f t="shared" ca="1" si="33"/>
        <v>266</v>
      </c>
      <c r="AV11" s="1">
        <f t="shared" ca="1" si="34"/>
        <v>6</v>
      </c>
      <c r="AW11" s="1">
        <f t="shared" ca="1" si="35"/>
        <v>0.1846787200768743</v>
      </c>
      <c r="AY11" s="1">
        <f t="shared" ca="1" si="36"/>
        <v>1.1377319329301037</v>
      </c>
      <c r="AZ11" s="1">
        <f t="shared" ca="1" si="37"/>
        <v>278</v>
      </c>
      <c r="BA11" s="1">
        <f t="shared" ca="1" si="38"/>
        <v>6.7278758888038919E-3</v>
      </c>
      <c r="BV11" s="1">
        <f t="shared" ca="1" si="39"/>
        <v>0.96938376196094922</v>
      </c>
      <c r="BW11" s="1">
        <f t="shared" ca="1" si="40"/>
        <v>817</v>
      </c>
      <c r="BX11" s="1">
        <f t="shared" ca="1" si="41"/>
        <v>2.0323704147562792E-3</v>
      </c>
      <c r="BY11" s="1">
        <f t="shared" ca="1" si="42"/>
        <v>5.4262281855458297E-2</v>
      </c>
      <c r="BZ11" s="1">
        <f t="shared" ca="1" si="43"/>
        <v>0.38780218345831929</v>
      </c>
      <c r="CB11" s="1">
        <f t="shared" ca="1" si="44"/>
        <v>423</v>
      </c>
      <c r="CC11" s="1">
        <f t="shared" ca="1" si="45"/>
        <v>12</v>
      </c>
      <c r="CD11" s="1">
        <f t="shared" ca="1" si="46"/>
        <v>0.17672524781665186</v>
      </c>
      <c r="CE11" s="1">
        <f t="shared" ca="1" si="47"/>
        <v>0.69812298031793185</v>
      </c>
      <c r="CF11" s="1">
        <f t="shared" ca="1" si="47"/>
        <v>0.65660544663282217</v>
      </c>
      <c r="CH11" s="3">
        <f t="shared" ca="1" si="48"/>
        <v>0.53176457144352574</v>
      </c>
      <c r="CI11" s="3">
        <f t="shared" ca="1" si="49"/>
        <v>0.31166708538924232</v>
      </c>
      <c r="CJ11" s="3">
        <f t="shared" ca="1" si="50"/>
        <v>859</v>
      </c>
      <c r="CK11" s="3">
        <f t="shared" ca="1" si="51"/>
        <v>3.4716306297740236E-3</v>
      </c>
      <c r="CL11" s="3">
        <f t="shared" ca="1" si="52"/>
        <v>1</v>
      </c>
      <c r="CM11" s="3"/>
      <c r="CN11" s="1">
        <f t="shared" ca="1" si="53"/>
        <v>8.6755797912546306</v>
      </c>
      <c r="CO11" s="1">
        <f t="shared" ca="1" si="54"/>
        <v>0.41653400550647196</v>
      </c>
      <c r="CP11" s="1">
        <f t="shared" ca="1" si="55"/>
        <v>2</v>
      </c>
    </row>
    <row r="12" spans="2:102" x14ac:dyDescent="0.25">
      <c r="B12">
        <f t="shared" ca="1" si="0"/>
        <v>900</v>
      </c>
      <c r="C12">
        <f t="shared" ca="1" si="1"/>
        <v>37</v>
      </c>
      <c r="D12">
        <f t="shared" ca="1" si="2"/>
        <v>0.21510848134185684</v>
      </c>
      <c r="F12" s="1">
        <f t="shared" ca="1" si="3"/>
        <v>7</v>
      </c>
      <c r="G12" s="1">
        <f t="shared" ca="1" si="4"/>
        <v>22</v>
      </c>
      <c r="H12" s="1">
        <f t="shared" ca="1" si="5"/>
        <v>4</v>
      </c>
      <c r="I12" s="1"/>
      <c r="J12" s="1">
        <f t="shared" ca="1" si="6"/>
        <v>11</v>
      </c>
      <c r="K12" s="1">
        <f t="shared" ca="1" si="7"/>
        <v>2.7469292012545101</v>
      </c>
      <c r="L12" s="1">
        <f t="shared" ca="1" si="8"/>
        <v>29</v>
      </c>
      <c r="M12" s="1"/>
      <c r="N12" s="1">
        <f t="shared" ca="1" si="9"/>
        <v>519</v>
      </c>
      <c r="O12" s="1">
        <f t="shared" ca="1" si="10"/>
        <v>25</v>
      </c>
      <c r="P12" s="1"/>
      <c r="Q12" s="1">
        <f t="shared" ca="1" si="11"/>
        <v>0.40872035579130278</v>
      </c>
      <c r="R12" s="1">
        <f t="shared" ca="1" si="12"/>
        <v>475</v>
      </c>
      <c r="S12" s="1"/>
      <c r="T12" s="1">
        <f t="shared" ca="1" si="13"/>
        <v>2.755895016356591E-2</v>
      </c>
      <c r="U12" s="1">
        <f t="shared" ca="1" si="14"/>
        <v>325</v>
      </c>
      <c r="V12" s="1">
        <f t="shared" ca="1" si="15"/>
        <v>20</v>
      </c>
      <c r="W12" s="1"/>
      <c r="X12" s="1">
        <f t="shared" ca="1" si="16"/>
        <v>7.697674555009562</v>
      </c>
      <c r="Y12" s="1">
        <f t="shared" ca="1" si="17"/>
        <v>0.96491609672878009</v>
      </c>
      <c r="Z12" s="1">
        <f t="shared" ca="1" si="18"/>
        <v>1854</v>
      </c>
      <c r="AB12" s="1">
        <f t="shared" ca="1" si="19"/>
        <v>0.76676334662402945</v>
      </c>
      <c r="AC12" s="1">
        <f t="shared" ca="1" si="20"/>
        <v>521</v>
      </c>
      <c r="AD12" s="1">
        <f t="shared" ca="1" si="21"/>
        <v>7.2231855577958885E-3</v>
      </c>
      <c r="AE12" s="1"/>
      <c r="AF12" s="1">
        <f t="shared" ca="1" si="22"/>
        <v>0.11610823241796729</v>
      </c>
      <c r="AG12" s="1">
        <f t="shared" ca="1" si="23"/>
        <v>181</v>
      </c>
      <c r="AH12" s="1">
        <f t="shared" ca="1" si="24"/>
        <v>2.9943810040092256E-3</v>
      </c>
      <c r="AJ12" s="1">
        <f t="shared" ca="1" si="25"/>
        <v>0.87179860438425527</v>
      </c>
      <c r="AK12" s="1">
        <f t="shared" ca="1" si="26"/>
        <v>7.5685666448052982E-3</v>
      </c>
      <c r="AL12" s="1"/>
      <c r="AM12" s="1">
        <f t="shared" ca="1" si="27"/>
        <v>1.0866552691102982E-2</v>
      </c>
      <c r="AN12" s="1">
        <f t="shared" ca="1" si="28"/>
        <v>49</v>
      </c>
      <c r="AO12" s="1">
        <f t="shared" ca="1" si="29"/>
        <v>9</v>
      </c>
      <c r="AQ12" s="1">
        <f t="shared" ca="1" si="30"/>
        <v>117</v>
      </c>
      <c r="AR12" s="1">
        <f t="shared" ca="1" si="31"/>
        <v>8</v>
      </c>
      <c r="AS12" s="1">
        <f t="shared" ca="1" si="32"/>
        <v>88</v>
      </c>
      <c r="AU12" s="1">
        <f t="shared" ca="1" si="33"/>
        <v>65</v>
      </c>
      <c r="AV12" s="1">
        <f t="shared" ca="1" si="34"/>
        <v>2</v>
      </c>
      <c r="AW12" s="1">
        <f t="shared" ca="1" si="35"/>
        <v>7.1837463659534875E-2</v>
      </c>
      <c r="AY12" s="1">
        <f t="shared" ca="1" si="36"/>
        <v>1.5044272301612482</v>
      </c>
      <c r="AZ12" s="1">
        <f t="shared" ca="1" si="37"/>
        <v>477</v>
      </c>
      <c r="BA12" s="1">
        <f t="shared" ca="1" si="38"/>
        <v>3.6063952138889969E-3</v>
      </c>
      <c r="BV12" s="1">
        <f t="shared" ca="1" si="39"/>
        <v>0.32272639631347033</v>
      </c>
      <c r="BW12" s="1">
        <f t="shared" ca="1" si="40"/>
        <v>295</v>
      </c>
      <c r="BX12" s="1">
        <f t="shared" ca="1" si="41"/>
        <v>5.6667334164405359E-3</v>
      </c>
      <c r="BY12" s="1">
        <f t="shared" ca="1" si="42"/>
        <v>8.5428879793693676E-3</v>
      </c>
      <c r="BZ12" s="1">
        <f t="shared" ca="1" si="43"/>
        <v>9.1933310038355587E-2</v>
      </c>
      <c r="CB12" s="1">
        <f t="shared" ca="1" si="44"/>
        <v>273</v>
      </c>
      <c r="CC12" s="1">
        <f t="shared" ca="1" si="45"/>
        <v>5</v>
      </c>
      <c r="CD12" s="1">
        <f t="shared" ca="1" si="46"/>
        <v>0.22652919219794426</v>
      </c>
      <c r="CE12" s="1">
        <f t="shared" ca="1" si="47"/>
        <v>0.79710333236207953</v>
      </c>
      <c r="CF12" s="1">
        <f t="shared" ca="1" si="47"/>
        <v>0.61407151332151166</v>
      </c>
      <c r="CH12" s="3">
        <f t="shared" ca="1" si="48"/>
        <v>6.9568956820406092E-2</v>
      </c>
      <c r="CI12" s="3">
        <f t="shared" ca="1" si="49"/>
        <v>0.56520238406171541</v>
      </c>
      <c r="CJ12" s="3">
        <f t="shared" ca="1" si="50"/>
        <v>1031</v>
      </c>
      <c r="CK12" s="3">
        <f t="shared" ca="1" si="51"/>
        <v>5.6172143625910003E-3</v>
      </c>
      <c r="CL12" s="3">
        <f t="shared" ca="1" si="52"/>
        <v>1</v>
      </c>
      <c r="CM12" s="3"/>
      <c r="CN12" s="1">
        <f t="shared" ca="1" si="53"/>
        <v>19.128746286513771</v>
      </c>
      <c r="CO12" s="1">
        <f t="shared" ca="1" si="54"/>
        <v>0.4723325788926595</v>
      </c>
      <c r="CP12" s="1">
        <f t="shared" ca="1" si="55"/>
        <v>5</v>
      </c>
    </row>
    <row r="13" spans="2:102" x14ac:dyDescent="0.25">
      <c r="B13">
        <f t="shared" ca="1" si="0"/>
        <v>409</v>
      </c>
      <c r="C13">
        <f t="shared" ca="1" si="1"/>
        <v>11</v>
      </c>
      <c r="D13">
        <f t="shared" ca="1" si="2"/>
        <v>0.25157442411696385</v>
      </c>
      <c r="F13" s="1">
        <f t="shared" ca="1" si="3"/>
        <v>17</v>
      </c>
      <c r="G13" s="1">
        <f t="shared" ca="1" si="4"/>
        <v>24</v>
      </c>
      <c r="H13" s="1">
        <f t="shared" ca="1" si="5"/>
        <v>10</v>
      </c>
      <c r="I13" s="1"/>
      <c r="J13" s="1">
        <f t="shared" ca="1" si="6"/>
        <v>26</v>
      </c>
      <c r="K13" s="1">
        <f t="shared" ca="1" si="7"/>
        <v>2.0549394018425806</v>
      </c>
      <c r="L13" s="1">
        <f t="shared" ca="1" si="8"/>
        <v>27</v>
      </c>
      <c r="M13" s="1"/>
      <c r="N13" s="1">
        <f t="shared" ca="1" si="9"/>
        <v>61</v>
      </c>
      <c r="O13" s="1">
        <f t="shared" ca="1" si="10"/>
        <v>42</v>
      </c>
      <c r="P13" s="1"/>
      <c r="Q13" s="1">
        <f t="shared" ca="1" si="11"/>
        <v>4.0072728903332919</v>
      </c>
      <c r="R13" s="1">
        <f t="shared" ca="1" si="12"/>
        <v>902</v>
      </c>
      <c r="S13" s="1"/>
      <c r="T13" s="1">
        <f t="shared" ca="1" si="13"/>
        <v>9.3964478023752573E-2</v>
      </c>
      <c r="U13" s="1">
        <f t="shared" ca="1" si="14"/>
        <v>203</v>
      </c>
      <c r="V13" s="1">
        <f t="shared" ca="1" si="15"/>
        <v>47</v>
      </c>
      <c r="W13" s="1"/>
      <c r="X13" s="1">
        <f t="shared" ca="1" si="16"/>
        <v>6.6390425348721882</v>
      </c>
      <c r="Y13" s="1">
        <f t="shared" ca="1" si="17"/>
        <v>0.3834551449728083</v>
      </c>
      <c r="Z13" s="1">
        <f t="shared" ca="1" si="18"/>
        <v>1049</v>
      </c>
      <c r="AB13" s="1">
        <f t="shared" ca="1" si="19"/>
        <v>0.73939560277553806</v>
      </c>
      <c r="AC13" s="1">
        <f t="shared" ca="1" si="20"/>
        <v>906</v>
      </c>
      <c r="AD13" s="1">
        <f t="shared" ca="1" si="21"/>
        <v>6.4976995501080563E-3</v>
      </c>
      <c r="AE13" s="1"/>
      <c r="AF13" s="1">
        <f t="shared" ca="1" si="22"/>
        <v>0.45781327395685445</v>
      </c>
      <c r="AG13" s="1">
        <f t="shared" ca="1" si="23"/>
        <v>492</v>
      </c>
      <c r="AH13" s="1">
        <f t="shared" ca="1" si="24"/>
        <v>6.0744478138050765E-3</v>
      </c>
      <c r="AJ13" s="1">
        <f t="shared" ca="1" si="25"/>
        <v>0.5739132599350909</v>
      </c>
      <c r="AK13" s="1">
        <f t="shared" ca="1" si="26"/>
        <v>3.5937490592883948E-3</v>
      </c>
      <c r="AL13" s="1"/>
      <c r="AM13" s="1">
        <f t="shared" ca="1" si="27"/>
        <v>0.10916754642345218</v>
      </c>
      <c r="AN13" s="1">
        <f t="shared" ca="1" si="28"/>
        <v>51</v>
      </c>
      <c r="AO13" s="1">
        <f t="shared" ca="1" si="29"/>
        <v>14</v>
      </c>
      <c r="AQ13" s="1">
        <f t="shared" ca="1" si="30"/>
        <v>115</v>
      </c>
      <c r="AR13" s="1">
        <f t="shared" ca="1" si="31"/>
        <v>2</v>
      </c>
      <c r="AS13" s="1">
        <f t="shared" ca="1" si="32"/>
        <v>43</v>
      </c>
      <c r="AU13" s="1">
        <f t="shared" ca="1" si="33"/>
        <v>61</v>
      </c>
      <c r="AV13" s="1">
        <f t="shared" ca="1" si="34"/>
        <v>4</v>
      </c>
      <c r="AW13" s="1">
        <f t="shared" ca="1" si="35"/>
        <v>0.16743576657672221</v>
      </c>
      <c r="AY13" s="1">
        <f t="shared" ca="1" si="36"/>
        <v>1.7537448397710671</v>
      </c>
      <c r="AZ13" s="1">
        <f t="shared" ca="1" si="37"/>
        <v>407</v>
      </c>
      <c r="BA13" s="1">
        <f t="shared" ca="1" si="38"/>
        <v>1.0849566583936705E-3</v>
      </c>
      <c r="BV13" s="1">
        <f t="shared" ca="1" si="39"/>
        <v>0.32345073849307554</v>
      </c>
      <c r="BW13" s="1">
        <f t="shared" ca="1" si="40"/>
        <v>344</v>
      </c>
      <c r="BX13" s="1">
        <f t="shared" ca="1" si="41"/>
        <v>9.0945514629085893E-3</v>
      </c>
      <c r="BY13" s="1">
        <f t="shared" ca="1" si="42"/>
        <v>5.5070957713855055E-2</v>
      </c>
      <c r="BZ13" s="1">
        <f t="shared" ca="1" si="43"/>
        <v>0.13926912634830302</v>
      </c>
      <c r="CB13" s="1">
        <f t="shared" ca="1" si="44"/>
        <v>409</v>
      </c>
      <c r="CC13" s="1">
        <f t="shared" ca="1" si="45"/>
        <v>9</v>
      </c>
      <c r="CD13" s="1">
        <f t="shared" ca="1" si="46"/>
        <v>0.10233720146949687</v>
      </c>
      <c r="CE13" s="1">
        <f t="shared" ca="1" si="47"/>
        <v>0.82770910055764646</v>
      </c>
      <c r="CF13" s="1">
        <f t="shared" ca="1" si="47"/>
        <v>0.83761215345134943</v>
      </c>
      <c r="CH13" s="3">
        <f t="shared" ca="1" si="48"/>
        <v>0.15659036007032831</v>
      </c>
      <c r="CI13" s="3">
        <f t="shared" ca="1" si="49"/>
        <v>0.66281653849783062</v>
      </c>
      <c r="CJ13" s="3">
        <f t="shared" ca="1" si="50"/>
        <v>293</v>
      </c>
      <c r="CK13" s="3">
        <f t="shared" ca="1" si="51"/>
        <v>9.6215227634592199E-3</v>
      </c>
      <c r="CL13" s="3">
        <f t="shared" ca="1" si="52"/>
        <v>1</v>
      </c>
      <c r="CM13" s="3"/>
      <c r="CN13" s="1">
        <f t="shared" ca="1" si="53"/>
        <v>5.5931556536693288</v>
      </c>
      <c r="CO13" s="1">
        <f t="shared" ca="1" si="54"/>
        <v>0.29284964339653308</v>
      </c>
      <c r="CP13" s="1">
        <f t="shared" ca="1" si="55"/>
        <v>1</v>
      </c>
    </row>
    <row r="14" spans="2:102" x14ac:dyDescent="0.25">
      <c r="B14">
        <f t="shared" ca="1" si="0"/>
        <v>212</v>
      </c>
      <c r="C14">
        <f t="shared" ca="1" si="1"/>
        <v>50</v>
      </c>
      <c r="D14">
        <f t="shared" ca="1" si="2"/>
        <v>9.967985255535719E-2</v>
      </c>
      <c r="F14" s="1">
        <f t="shared" ca="1" si="3"/>
        <v>23</v>
      </c>
      <c r="G14" s="1">
        <f t="shared" ca="1" si="4"/>
        <v>17</v>
      </c>
      <c r="H14" s="1">
        <f t="shared" ca="1" si="5"/>
        <v>15</v>
      </c>
      <c r="I14" s="1"/>
      <c r="J14" s="1">
        <f t="shared" ca="1" si="6"/>
        <v>22</v>
      </c>
      <c r="K14" s="1">
        <f t="shared" ca="1" si="7"/>
        <v>1.0537415590892036</v>
      </c>
      <c r="L14" s="1">
        <f t="shared" ca="1" si="8"/>
        <v>29</v>
      </c>
      <c r="M14" s="1"/>
      <c r="N14" s="1">
        <f t="shared" ca="1" si="9"/>
        <v>392</v>
      </c>
      <c r="O14" s="1">
        <f t="shared" ca="1" si="10"/>
        <v>31</v>
      </c>
      <c r="P14" s="1"/>
      <c r="Q14" s="1">
        <f t="shared" ca="1" si="11"/>
        <v>0.94241571585275996</v>
      </c>
      <c r="R14" s="1">
        <f t="shared" ca="1" si="12"/>
        <v>400</v>
      </c>
      <c r="S14" s="1"/>
      <c r="T14" s="1">
        <f t="shared" ca="1" si="13"/>
        <v>0.1323106424453481</v>
      </c>
      <c r="U14" s="1">
        <f t="shared" ca="1" si="14"/>
        <v>293</v>
      </c>
      <c r="V14" s="1">
        <f t="shared" ca="1" si="15"/>
        <v>20</v>
      </c>
      <c r="W14" s="1"/>
      <c r="X14" s="1">
        <f t="shared" ca="1" si="16"/>
        <v>7.4943867976868574</v>
      </c>
      <c r="Y14" s="1">
        <f t="shared" ca="1" si="17"/>
        <v>0.19143678790802174</v>
      </c>
      <c r="Z14" s="1">
        <f t="shared" ca="1" si="18"/>
        <v>244</v>
      </c>
      <c r="AB14" s="1">
        <f t="shared" ca="1" si="19"/>
        <v>0.40417443009482601</v>
      </c>
      <c r="AC14" s="1">
        <f t="shared" ca="1" si="20"/>
        <v>589</v>
      </c>
      <c r="AD14" s="1">
        <f t="shared" ca="1" si="21"/>
        <v>4.8373057221598398E-3</v>
      </c>
      <c r="AE14" s="1"/>
      <c r="AF14" s="1">
        <f t="shared" ca="1" si="22"/>
        <v>0.47862549169519242</v>
      </c>
      <c r="AG14" s="1">
        <f t="shared" ca="1" si="23"/>
        <v>172</v>
      </c>
      <c r="AH14" s="1">
        <f t="shared" ca="1" si="24"/>
        <v>3.2045033145206114E-3</v>
      </c>
      <c r="AJ14" s="1">
        <f t="shared" ca="1" si="25"/>
        <v>0.22614809397922586</v>
      </c>
      <c r="AK14" s="1">
        <f t="shared" ca="1" si="26"/>
        <v>4.9193926853088824E-3</v>
      </c>
      <c r="AL14" s="1"/>
      <c r="AM14" s="1">
        <f t="shared" ca="1" si="27"/>
        <v>0.15030718770604651</v>
      </c>
      <c r="AN14" s="1">
        <f t="shared" ca="1" si="28"/>
        <v>51</v>
      </c>
      <c r="AO14" s="1">
        <f t="shared" ca="1" si="29"/>
        <v>5</v>
      </c>
      <c r="AQ14" s="1">
        <f t="shared" ca="1" si="30"/>
        <v>85</v>
      </c>
      <c r="AR14" s="1">
        <f t="shared" ca="1" si="31"/>
        <v>5</v>
      </c>
      <c r="AS14" s="1">
        <f t="shared" ca="1" si="32"/>
        <v>74</v>
      </c>
      <c r="AU14" s="1">
        <f t="shared" ca="1" si="33"/>
        <v>376</v>
      </c>
      <c r="AV14" s="1">
        <f t="shared" ca="1" si="34"/>
        <v>2</v>
      </c>
      <c r="AW14" s="1">
        <f t="shared" ca="1" si="35"/>
        <v>7.25542391514548E-2</v>
      </c>
      <c r="AY14" s="1">
        <f t="shared" ca="1" si="36"/>
        <v>1.7747342559451511</v>
      </c>
      <c r="AZ14" s="1">
        <f t="shared" ca="1" si="37"/>
        <v>366</v>
      </c>
      <c r="BA14" s="1">
        <f t="shared" ca="1" si="38"/>
        <v>2.9296562777664076E-3</v>
      </c>
      <c r="BV14" s="1">
        <f t="shared" ca="1" si="39"/>
        <v>0.66694306309442009</v>
      </c>
      <c r="BW14" s="1">
        <f t="shared" ca="1" si="40"/>
        <v>743</v>
      </c>
      <c r="BX14" s="1">
        <f t="shared" ca="1" si="41"/>
        <v>8.8076178864731416E-3</v>
      </c>
      <c r="BY14" s="1">
        <f t="shared" ca="1" si="42"/>
        <v>1.0575698870393755E-2</v>
      </c>
      <c r="BZ14" s="1">
        <f t="shared" ca="1" si="43"/>
        <v>9.3813706584015E-2</v>
      </c>
      <c r="CB14" s="1">
        <f t="shared" ca="1" si="44"/>
        <v>326</v>
      </c>
      <c r="CC14" s="1">
        <f t="shared" ca="1" si="45"/>
        <v>5</v>
      </c>
      <c r="CD14" s="1">
        <f t="shared" ca="1" si="46"/>
        <v>0.25451037473415389</v>
      </c>
      <c r="CE14" s="1">
        <f t="shared" ca="1" si="47"/>
        <v>0.76877633746145446</v>
      </c>
      <c r="CF14" s="1">
        <f t="shared" ca="1" si="47"/>
        <v>0.67375989347706633</v>
      </c>
      <c r="CH14" s="3">
        <f t="shared" ca="1" si="48"/>
        <v>0.15332010254769102</v>
      </c>
      <c r="CI14" s="3">
        <f t="shared" ca="1" si="49"/>
        <v>0.89288412536990847</v>
      </c>
      <c r="CJ14" s="3">
        <f t="shared" ca="1" si="50"/>
        <v>469</v>
      </c>
      <c r="CK14" s="3">
        <f t="shared" ca="1" si="51"/>
        <v>6.3392240275064061E-3</v>
      </c>
      <c r="CL14" s="3">
        <f t="shared" ca="1" si="52"/>
        <v>0</v>
      </c>
      <c r="CM14" s="3"/>
      <c r="CN14" s="1">
        <f t="shared" ca="1" si="53"/>
        <v>12.617285379502649</v>
      </c>
      <c r="CO14" s="1">
        <f t="shared" ca="1" si="54"/>
        <v>9.1374947520290559E-2</v>
      </c>
      <c r="CP14" s="1">
        <f t="shared" ca="1" si="55"/>
        <v>3</v>
      </c>
    </row>
    <row r="15" spans="2:102" x14ac:dyDescent="0.25">
      <c r="B15">
        <f t="shared" ca="1" si="0"/>
        <v>744</v>
      </c>
      <c r="C15">
        <f t="shared" ca="1" si="1"/>
        <v>20</v>
      </c>
      <c r="D15">
        <f t="shared" ca="1" si="2"/>
        <v>0.18720706914843782</v>
      </c>
      <c r="F15" s="1">
        <f t="shared" ca="1" si="3"/>
        <v>25</v>
      </c>
      <c r="G15" s="1">
        <f t="shared" ca="1" si="4"/>
        <v>12</v>
      </c>
      <c r="H15" s="1">
        <f t="shared" ca="1" si="5"/>
        <v>3</v>
      </c>
      <c r="I15" s="1"/>
      <c r="J15" s="1">
        <f t="shared" ca="1" si="6"/>
        <v>38</v>
      </c>
      <c r="K15" s="1">
        <f t="shared" ca="1" si="7"/>
        <v>2.5488036570562649</v>
      </c>
      <c r="L15" s="1">
        <f t="shared" ca="1" si="8"/>
        <v>7</v>
      </c>
      <c r="M15" s="1"/>
      <c r="N15" s="1">
        <f t="shared" ca="1" si="9"/>
        <v>325</v>
      </c>
      <c r="O15" s="1">
        <f t="shared" ca="1" si="10"/>
        <v>45</v>
      </c>
      <c r="P15" s="1"/>
      <c r="Q15" s="1">
        <f t="shared" ca="1" si="11"/>
        <v>2.8701213383417299</v>
      </c>
      <c r="R15" s="1">
        <f t="shared" ca="1" si="12"/>
        <v>770</v>
      </c>
      <c r="S15" s="1"/>
      <c r="T15" s="1">
        <f t="shared" ca="1" si="13"/>
        <v>2.8253830272350094E-2</v>
      </c>
      <c r="U15" s="1">
        <f t="shared" ca="1" si="14"/>
        <v>320</v>
      </c>
      <c r="V15" s="1">
        <f t="shared" ca="1" si="15"/>
        <v>15</v>
      </c>
      <c r="W15" s="1"/>
      <c r="X15" s="1">
        <f t="shared" ca="1" si="16"/>
        <v>3.1984386524148642</v>
      </c>
      <c r="Y15" s="1">
        <f t="shared" ca="1" si="17"/>
        <v>0.82556905660504498</v>
      </c>
      <c r="Z15" s="1">
        <f t="shared" ca="1" si="18"/>
        <v>753</v>
      </c>
      <c r="AB15" s="1">
        <f t="shared" ca="1" si="19"/>
        <v>0.71321256510733522</v>
      </c>
      <c r="AC15" s="1">
        <f t="shared" ca="1" si="20"/>
        <v>176</v>
      </c>
      <c r="AD15" s="1">
        <f t="shared" ca="1" si="21"/>
        <v>6.8979388203801728E-3</v>
      </c>
      <c r="AE15" s="1"/>
      <c r="AF15" s="1">
        <f t="shared" ca="1" si="22"/>
        <v>0.69401628062110343</v>
      </c>
      <c r="AG15" s="1">
        <f t="shared" ca="1" si="23"/>
        <v>661</v>
      </c>
      <c r="AH15" s="1">
        <f t="shared" ca="1" si="24"/>
        <v>9.0859965037134484E-3</v>
      </c>
      <c r="AJ15" s="1">
        <f t="shared" ca="1" si="25"/>
        <v>7.8334913636541548E-2</v>
      </c>
      <c r="AK15" s="1">
        <f t="shared" ca="1" si="26"/>
        <v>8.0229869857265223E-3</v>
      </c>
      <c r="AL15" s="1"/>
      <c r="AM15" s="1">
        <f t="shared" ca="1" si="27"/>
        <v>1.6931685122478571E-2</v>
      </c>
      <c r="AN15" s="1">
        <f t="shared" ca="1" si="28"/>
        <v>47</v>
      </c>
      <c r="AO15" s="1">
        <f t="shared" ca="1" si="29"/>
        <v>6</v>
      </c>
      <c r="AQ15" s="1">
        <f t="shared" ca="1" si="30"/>
        <v>145</v>
      </c>
      <c r="AR15" s="1">
        <f t="shared" ca="1" si="31"/>
        <v>3</v>
      </c>
      <c r="AS15" s="1">
        <f t="shared" ca="1" si="32"/>
        <v>88</v>
      </c>
      <c r="AU15" s="1">
        <f t="shared" ca="1" si="33"/>
        <v>334</v>
      </c>
      <c r="AV15" s="1">
        <f t="shared" ca="1" si="34"/>
        <v>3</v>
      </c>
      <c r="AW15" s="1">
        <f t="shared" ca="1" si="35"/>
        <v>9.189538310507217E-2</v>
      </c>
      <c r="AY15" s="1">
        <f t="shared" ca="1" si="36"/>
        <v>1.8440914110062858</v>
      </c>
      <c r="AZ15" s="1">
        <f t="shared" ca="1" si="37"/>
        <v>96</v>
      </c>
      <c r="BA15" s="1">
        <f t="shared" ca="1" si="38"/>
        <v>2.2275991095283437E-3</v>
      </c>
      <c r="BV15" s="1">
        <f t="shared" ca="1" si="39"/>
        <v>0.14698032798472715</v>
      </c>
      <c r="BW15" s="1">
        <f t="shared" ca="1" si="40"/>
        <v>339</v>
      </c>
      <c r="BX15" s="1">
        <f t="shared" ca="1" si="41"/>
        <v>1.2796671068035571E-3</v>
      </c>
      <c r="BY15" s="1">
        <f t="shared" ca="1" si="42"/>
        <v>8.5660284296517356E-2</v>
      </c>
      <c r="BZ15" s="1">
        <f t="shared" ca="1" si="43"/>
        <v>0.64356795730495853</v>
      </c>
      <c r="CB15" s="1">
        <f t="shared" ca="1" si="44"/>
        <v>381</v>
      </c>
      <c r="CC15" s="1">
        <f t="shared" ca="1" si="45"/>
        <v>15</v>
      </c>
      <c r="CD15" s="1">
        <f t="shared" ca="1" si="46"/>
        <v>0.20290845757143064</v>
      </c>
      <c r="CE15" s="1">
        <f t="shared" ca="1" si="47"/>
        <v>0.82659421243185227</v>
      </c>
      <c r="CF15" s="1">
        <f t="shared" ca="1" si="47"/>
        <v>0.5214645465540495</v>
      </c>
      <c r="CH15" s="3">
        <f t="shared" ca="1" si="48"/>
        <v>0.69984199255026469</v>
      </c>
      <c r="CI15" s="3">
        <f t="shared" ca="1" si="49"/>
        <v>0.7560868910942502</v>
      </c>
      <c r="CJ15" s="3">
        <f t="shared" ca="1" si="50"/>
        <v>1953</v>
      </c>
      <c r="CK15" s="3">
        <f t="shared" ca="1" si="51"/>
        <v>8.7271908978448821E-4</v>
      </c>
      <c r="CL15" s="3">
        <f t="shared" ca="1" si="52"/>
        <v>1</v>
      </c>
      <c r="CM15" s="3"/>
      <c r="CN15" s="1">
        <f t="shared" ca="1" si="53"/>
        <v>16.076634281392703</v>
      </c>
      <c r="CO15" s="1">
        <f t="shared" ca="1" si="54"/>
        <v>7.0845306068692174E-2</v>
      </c>
      <c r="CP15" s="1">
        <f t="shared" ca="1" si="55"/>
        <v>3</v>
      </c>
    </row>
    <row r="16" spans="2:102" x14ac:dyDescent="0.25">
      <c r="B16">
        <f t="shared" ca="1" si="0"/>
        <v>589</v>
      </c>
      <c r="C16">
        <f t="shared" ca="1" si="1"/>
        <v>2</v>
      </c>
      <c r="D16">
        <f t="shared" ca="1" si="2"/>
        <v>4.8099154436662635E-2</v>
      </c>
      <c r="F16" s="1">
        <f t="shared" ca="1" si="3"/>
        <v>40</v>
      </c>
      <c r="G16" s="1">
        <f t="shared" ca="1" si="4"/>
        <v>25</v>
      </c>
      <c r="H16" s="1">
        <f t="shared" ca="1" si="5"/>
        <v>10</v>
      </c>
      <c r="I16" s="1"/>
      <c r="J16" s="1">
        <f t="shared" ca="1" si="6"/>
        <v>13</v>
      </c>
      <c r="K16" s="1">
        <f t="shared" ca="1" si="7"/>
        <v>2.2387418057383339</v>
      </c>
      <c r="L16" s="1">
        <f t="shared" ca="1" si="8"/>
        <v>32</v>
      </c>
      <c r="M16" s="1"/>
      <c r="N16" s="1">
        <f t="shared" ca="1" si="9"/>
        <v>946</v>
      </c>
      <c r="O16" s="1">
        <f t="shared" ca="1" si="10"/>
        <v>32</v>
      </c>
      <c r="P16" s="1"/>
      <c r="Q16" s="1">
        <f t="shared" ca="1" si="11"/>
        <v>2.8480906870222671</v>
      </c>
      <c r="R16" s="1">
        <f t="shared" ca="1" si="12"/>
        <v>520</v>
      </c>
      <c r="S16" s="1"/>
      <c r="T16" s="1">
        <f t="shared" ca="1" si="13"/>
        <v>0.12144459943384592</v>
      </c>
      <c r="U16" s="1">
        <f t="shared" ca="1" si="14"/>
        <v>122</v>
      </c>
      <c r="V16" s="1">
        <f t="shared" ca="1" si="15"/>
        <v>21</v>
      </c>
      <c r="W16" s="1"/>
      <c r="X16" s="1">
        <f t="shared" ca="1" si="16"/>
        <v>4.3126101716230814</v>
      </c>
      <c r="Y16" s="1">
        <f t="shared" ca="1" si="17"/>
        <v>0.84162449520016158</v>
      </c>
      <c r="Z16" s="1">
        <f t="shared" ca="1" si="18"/>
        <v>444</v>
      </c>
      <c r="AB16" s="1">
        <f t="shared" ca="1" si="19"/>
        <v>0.46020701084820581</v>
      </c>
      <c r="AC16" s="1">
        <f t="shared" ca="1" si="20"/>
        <v>410</v>
      </c>
      <c r="AD16" s="1">
        <f t="shared" ca="1" si="21"/>
        <v>9.9222143684840301E-3</v>
      </c>
      <c r="AE16" s="1"/>
      <c r="AF16" s="1">
        <f t="shared" ca="1" si="22"/>
        <v>0.75980224272423513</v>
      </c>
      <c r="AG16" s="1">
        <f t="shared" ca="1" si="23"/>
        <v>379</v>
      </c>
      <c r="AH16" s="1">
        <f t="shared" ca="1" si="24"/>
        <v>2.9972039703818551E-3</v>
      </c>
      <c r="AJ16" s="1">
        <f t="shared" ca="1" si="25"/>
        <v>0.14573440558129946</v>
      </c>
      <c r="AK16" s="1">
        <f t="shared" ca="1" si="26"/>
        <v>5.9850666819418301E-3</v>
      </c>
      <c r="AL16" s="1"/>
      <c r="AM16" s="1">
        <f t="shared" ca="1" si="27"/>
        <v>0.10764643366200002</v>
      </c>
      <c r="AN16" s="1">
        <f t="shared" ca="1" si="28"/>
        <v>74</v>
      </c>
      <c r="AO16" s="1">
        <f t="shared" ca="1" si="29"/>
        <v>9</v>
      </c>
      <c r="AQ16" s="1">
        <f t="shared" ca="1" si="30"/>
        <v>73</v>
      </c>
      <c r="AR16" s="1">
        <f t="shared" ca="1" si="31"/>
        <v>5</v>
      </c>
      <c r="AS16" s="1">
        <f t="shared" ca="1" si="32"/>
        <v>16</v>
      </c>
      <c r="AU16" s="1">
        <f t="shared" ca="1" si="33"/>
        <v>205</v>
      </c>
      <c r="AV16" s="1">
        <f t="shared" ca="1" si="34"/>
        <v>2</v>
      </c>
      <c r="AW16" s="1">
        <f t="shared" ca="1" si="35"/>
        <v>0.10000566907476591</v>
      </c>
      <c r="AY16" s="1">
        <f t="shared" ca="1" si="36"/>
        <v>1.6642769303885796</v>
      </c>
      <c r="AZ16" s="1">
        <f t="shared" ca="1" si="37"/>
        <v>235</v>
      </c>
      <c r="BA16" s="1">
        <f t="shared" ca="1" si="38"/>
        <v>1.9970514580838527E-3</v>
      </c>
      <c r="BV16" s="1">
        <f t="shared" ca="1" si="39"/>
        <v>0.24567915820639452</v>
      </c>
      <c r="BW16" s="1">
        <f t="shared" ca="1" si="40"/>
        <v>280</v>
      </c>
      <c r="BX16" s="1">
        <f t="shared" ca="1" si="41"/>
        <v>7.3504954250748825E-4</v>
      </c>
      <c r="BY16" s="1">
        <f t="shared" ca="1" si="42"/>
        <v>2.7618098815709723E-2</v>
      </c>
      <c r="BZ16" s="1">
        <f t="shared" ca="1" si="43"/>
        <v>0.6211398288726796</v>
      </c>
      <c r="CB16" s="1">
        <f t="shared" ca="1" si="44"/>
        <v>265</v>
      </c>
      <c r="CC16" s="1">
        <f t="shared" ca="1" si="45"/>
        <v>7</v>
      </c>
      <c r="CD16" s="1">
        <f t="shared" ca="1" si="46"/>
        <v>0.27256292733393533</v>
      </c>
      <c r="CE16" s="1">
        <f t="shared" ca="1" si="47"/>
        <v>0.65742938685164909</v>
      </c>
      <c r="CF16" s="1">
        <f t="shared" ca="1" si="47"/>
        <v>0.63375683559249385</v>
      </c>
      <c r="CH16" s="3">
        <f t="shared" ca="1" si="48"/>
        <v>0.44780382070478031</v>
      </c>
      <c r="CI16" s="3">
        <f t="shared" ca="1" si="49"/>
        <v>0.83328861961078005</v>
      </c>
      <c r="CJ16" s="3">
        <f t="shared" ca="1" si="50"/>
        <v>1838</v>
      </c>
      <c r="CK16" s="3">
        <f t="shared" ca="1" si="51"/>
        <v>1.5883873570138954E-3</v>
      </c>
      <c r="CL16" s="3">
        <f t="shared" ca="1" si="52"/>
        <v>0</v>
      </c>
      <c r="CM16" s="3"/>
      <c r="CN16" s="1">
        <f t="shared" ca="1" si="53"/>
        <v>6.0646290120351862</v>
      </c>
      <c r="CO16" s="1">
        <f t="shared" ca="1" si="54"/>
        <v>0.24288809447684917</v>
      </c>
      <c r="CP16" s="1">
        <f t="shared" ca="1" si="55"/>
        <v>5</v>
      </c>
    </row>
    <row r="17" spans="2:94" x14ac:dyDescent="0.25">
      <c r="B17">
        <f t="shared" ca="1" si="0"/>
        <v>442</v>
      </c>
      <c r="C17">
        <f t="shared" ca="1" si="1"/>
        <v>33</v>
      </c>
      <c r="D17">
        <f t="shared" ca="1" si="2"/>
        <v>0.10829629144878648</v>
      </c>
      <c r="F17" s="1">
        <f t="shared" ca="1" si="3"/>
        <v>35</v>
      </c>
      <c r="G17" s="1">
        <f t="shared" ca="1" si="4"/>
        <v>27</v>
      </c>
      <c r="H17" s="1">
        <f t="shared" ca="1" si="5"/>
        <v>11</v>
      </c>
      <c r="I17" s="1"/>
      <c r="J17" s="1">
        <f t="shared" ca="1" si="6"/>
        <v>20</v>
      </c>
      <c r="K17" s="1">
        <f t="shared" ca="1" si="7"/>
        <v>2.5837462833362297</v>
      </c>
      <c r="L17" s="1">
        <f t="shared" ca="1" si="8"/>
        <v>21</v>
      </c>
      <c r="M17" s="1"/>
      <c r="N17" s="1">
        <f t="shared" ca="1" si="9"/>
        <v>59</v>
      </c>
      <c r="O17" s="1">
        <f t="shared" ca="1" si="10"/>
        <v>29</v>
      </c>
      <c r="P17" s="1"/>
      <c r="Q17" s="1">
        <f t="shared" ca="1" si="11"/>
        <v>1.6407123475038896</v>
      </c>
      <c r="R17" s="1">
        <f t="shared" ca="1" si="12"/>
        <v>990</v>
      </c>
      <c r="S17" s="1"/>
      <c r="T17" s="1">
        <f t="shared" ca="1" si="13"/>
        <v>3.9410090879367067E-2</v>
      </c>
      <c r="U17" s="1">
        <f t="shared" ca="1" si="14"/>
        <v>90</v>
      </c>
      <c r="V17" s="1">
        <f t="shared" ca="1" si="15"/>
        <v>39</v>
      </c>
      <c r="W17" s="1"/>
      <c r="X17" s="1">
        <f t="shared" ca="1" si="16"/>
        <v>7.6772356867666103</v>
      </c>
      <c r="Y17" s="1">
        <f t="shared" ca="1" si="17"/>
        <v>0.5263089371743519</v>
      </c>
      <c r="Z17" s="1">
        <f t="shared" ca="1" si="18"/>
        <v>1009</v>
      </c>
      <c r="AB17" s="1">
        <f t="shared" ca="1" si="19"/>
        <v>0.28680782098620372</v>
      </c>
      <c r="AC17" s="1">
        <f t="shared" ca="1" si="20"/>
        <v>421</v>
      </c>
      <c r="AD17" s="1">
        <f t="shared" ca="1" si="21"/>
        <v>6.4890965705624772E-3</v>
      </c>
      <c r="AE17" s="1"/>
      <c r="AF17" s="1">
        <f t="shared" ca="1" si="22"/>
        <v>0.55081699226750369</v>
      </c>
      <c r="AG17" s="1">
        <f t="shared" ca="1" si="23"/>
        <v>947</v>
      </c>
      <c r="AH17" s="1">
        <f t="shared" ca="1" si="24"/>
        <v>9.8785615259889461E-3</v>
      </c>
      <c r="AJ17" s="1">
        <f t="shared" ca="1" si="25"/>
        <v>6.4290762197725781E-2</v>
      </c>
      <c r="AK17" s="1">
        <f t="shared" ca="1" si="26"/>
        <v>7.4900826550144458E-3</v>
      </c>
      <c r="AL17" s="1"/>
      <c r="AM17" s="1">
        <f t="shared" ca="1" si="27"/>
        <v>0.15078220498056388</v>
      </c>
      <c r="AN17" s="1">
        <f t="shared" ca="1" si="28"/>
        <v>17</v>
      </c>
      <c r="AO17" s="1">
        <f t="shared" ca="1" si="29"/>
        <v>11</v>
      </c>
      <c r="AQ17" s="1">
        <f t="shared" ca="1" si="30"/>
        <v>15</v>
      </c>
      <c r="AR17" s="1">
        <f t="shared" ca="1" si="31"/>
        <v>4</v>
      </c>
      <c r="AS17" s="1">
        <f t="shared" ca="1" si="32"/>
        <v>25</v>
      </c>
      <c r="AU17" s="1">
        <f t="shared" ca="1" si="33"/>
        <v>174</v>
      </c>
      <c r="AV17" s="1">
        <f t="shared" ca="1" si="34"/>
        <v>10</v>
      </c>
      <c r="AW17" s="1">
        <f t="shared" ca="1" si="35"/>
        <v>2.8857719962734008E-2</v>
      </c>
      <c r="AY17" s="1">
        <f t="shared" ca="1" si="36"/>
        <v>1.6678266761306237</v>
      </c>
      <c r="AZ17" s="1">
        <f t="shared" ca="1" si="37"/>
        <v>172</v>
      </c>
      <c r="BA17" s="1">
        <f t="shared" ca="1" si="38"/>
        <v>8.5175581720187445E-3</v>
      </c>
      <c r="BV17" s="1">
        <f t="shared" ca="1" si="39"/>
        <v>0.87343937030906504</v>
      </c>
      <c r="BW17" s="1">
        <f t="shared" ca="1" si="40"/>
        <v>224</v>
      </c>
      <c r="BX17" s="1">
        <f t="shared" ca="1" si="41"/>
        <v>4.8572755310228137E-3</v>
      </c>
      <c r="BY17" s="1">
        <f t="shared" ca="1" si="42"/>
        <v>8.7062647213720326E-2</v>
      </c>
      <c r="BZ17" s="1">
        <f t="shared" ca="1" si="43"/>
        <v>0.51593356225184117</v>
      </c>
      <c r="CB17" s="1">
        <f t="shared" ca="1" si="44"/>
        <v>425</v>
      </c>
      <c r="CC17" s="1">
        <f t="shared" ca="1" si="45"/>
        <v>9</v>
      </c>
      <c r="CD17" s="1">
        <f t="shared" ca="1" si="46"/>
        <v>6.9460630683699703E-2</v>
      </c>
      <c r="CE17" s="1">
        <f t="shared" ca="1" si="47"/>
        <v>0.72905028889259271</v>
      </c>
      <c r="CF17" s="1">
        <f t="shared" ca="1" si="47"/>
        <v>0.76304175084579962</v>
      </c>
      <c r="CH17" s="3">
        <f t="shared" ca="1" si="48"/>
        <v>0.68287868930115314</v>
      </c>
      <c r="CI17" s="3">
        <f t="shared" ca="1" si="49"/>
        <v>0.70933992857272288</v>
      </c>
      <c r="CJ17" s="3">
        <f t="shared" ca="1" si="50"/>
        <v>1065</v>
      </c>
      <c r="CK17" s="3">
        <f t="shared" ca="1" si="51"/>
        <v>2.3039662631934701E-4</v>
      </c>
      <c r="CL17" s="3">
        <f t="shared" ca="1" si="52"/>
        <v>0</v>
      </c>
      <c r="CM17" s="3"/>
      <c r="CN17" s="1">
        <f t="shared" ca="1" si="53"/>
        <v>5.1674236789941084</v>
      </c>
      <c r="CO17" s="1">
        <f t="shared" ca="1" si="54"/>
        <v>0.2938418783716405</v>
      </c>
      <c r="CP17" s="1">
        <f t="shared" ca="1" si="55"/>
        <v>5</v>
      </c>
    </row>
    <row r="18" spans="2:94" x14ac:dyDescent="0.25">
      <c r="B18">
        <f t="shared" ca="1" si="0"/>
        <v>971</v>
      </c>
      <c r="C18">
        <f t="shared" ca="1" si="1"/>
        <v>41</v>
      </c>
      <c r="D18">
        <f t="shared" ca="1" si="2"/>
        <v>0.1003958915654172</v>
      </c>
      <c r="F18" s="1">
        <f t="shared" ca="1" si="3"/>
        <v>41</v>
      </c>
      <c r="G18" s="1">
        <f t="shared" ca="1" si="4"/>
        <v>25</v>
      </c>
      <c r="H18" s="1">
        <f t="shared" ca="1" si="5"/>
        <v>13</v>
      </c>
      <c r="I18" s="1"/>
      <c r="J18" s="1">
        <f t="shared" ca="1" si="6"/>
        <v>12</v>
      </c>
      <c r="K18" s="1">
        <f t="shared" ca="1" si="7"/>
        <v>1.4471003288863482</v>
      </c>
      <c r="L18" s="1">
        <f t="shared" ca="1" si="8"/>
        <v>9</v>
      </c>
      <c r="M18" s="1"/>
      <c r="N18" s="1">
        <f t="shared" ca="1" si="9"/>
        <v>302</v>
      </c>
      <c r="O18" s="1">
        <f t="shared" ca="1" si="10"/>
        <v>45</v>
      </c>
      <c r="P18" s="1"/>
      <c r="Q18" s="1">
        <f t="shared" ca="1" si="11"/>
        <v>1.4330954604467532</v>
      </c>
      <c r="R18" s="1">
        <f t="shared" ca="1" si="12"/>
        <v>244</v>
      </c>
      <c r="S18" s="1"/>
      <c r="T18" s="1">
        <f t="shared" ca="1" si="13"/>
        <v>0.17208473091760634</v>
      </c>
      <c r="U18" s="1">
        <f t="shared" ca="1" si="14"/>
        <v>223</v>
      </c>
      <c r="V18" s="1">
        <f t="shared" ca="1" si="15"/>
        <v>39</v>
      </c>
      <c r="W18" s="1"/>
      <c r="X18" s="1">
        <f t="shared" ca="1" si="16"/>
        <v>9.6210709217840868</v>
      </c>
      <c r="Y18" s="1">
        <f t="shared" ca="1" si="17"/>
        <v>0.34751294315767844</v>
      </c>
      <c r="Z18" s="1">
        <f t="shared" ca="1" si="18"/>
        <v>1910</v>
      </c>
      <c r="AB18" s="1">
        <f t="shared" ca="1" si="19"/>
        <v>0.90706052253185798</v>
      </c>
      <c r="AC18" s="1">
        <f t="shared" ca="1" si="20"/>
        <v>778</v>
      </c>
      <c r="AD18" s="1">
        <f t="shared" ca="1" si="21"/>
        <v>3.4509844226685042E-3</v>
      </c>
      <c r="AE18" s="1"/>
      <c r="AF18" s="1">
        <f t="shared" ca="1" si="22"/>
        <v>0.70090891516688569</v>
      </c>
      <c r="AG18" s="1">
        <f t="shared" ca="1" si="23"/>
        <v>420</v>
      </c>
      <c r="AH18" s="1">
        <f t="shared" ca="1" si="24"/>
        <v>1.6872619490389872E-3</v>
      </c>
      <c r="AJ18" s="1">
        <f t="shared" ca="1" si="25"/>
        <v>0.736940347832993</v>
      </c>
      <c r="AK18" s="1">
        <f t="shared" ca="1" si="26"/>
        <v>7.3451776378920955E-3</v>
      </c>
      <c r="AL18" s="1"/>
      <c r="AM18" s="1">
        <f t="shared" ca="1" si="27"/>
        <v>9.6448954344911089E-2</v>
      </c>
      <c r="AN18" s="1">
        <f t="shared" ca="1" si="28"/>
        <v>44</v>
      </c>
      <c r="AO18" s="1">
        <f t="shared" ca="1" si="29"/>
        <v>7</v>
      </c>
      <c r="AQ18" s="1">
        <f t="shared" ca="1" si="30"/>
        <v>171</v>
      </c>
      <c r="AR18" s="1">
        <f t="shared" ca="1" si="31"/>
        <v>6</v>
      </c>
      <c r="AS18" s="1">
        <f t="shared" ca="1" si="32"/>
        <v>10</v>
      </c>
      <c r="AU18" s="1">
        <f t="shared" ca="1" si="33"/>
        <v>388</v>
      </c>
      <c r="AV18" s="1">
        <f t="shared" ca="1" si="34"/>
        <v>9</v>
      </c>
      <c r="AW18" s="1">
        <f t="shared" ca="1" si="35"/>
        <v>3.4802660930408701E-2</v>
      </c>
      <c r="AY18" s="1">
        <f t="shared" ca="1" si="36"/>
        <v>1.3666717850954582</v>
      </c>
      <c r="AZ18" s="1">
        <f t="shared" ca="1" si="37"/>
        <v>310</v>
      </c>
      <c r="BA18" s="1">
        <f t="shared" ca="1" si="38"/>
        <v>2.8932799855725822E-3</v>
      </c>
      <c r="BV18" s="1">
        <f t="shared" ca="1" si="39"/>
        <v>0.88927171711855968</v>
      </c>
      <c r="BW18" s="1">
        <f t="shared" ca="1" si="40"/>
        <v>410</v>
      </c>
      <c r="BX18" s="1">
        <f t="shared" ca="1" si="41"/>
        <v>6.2738414805772681E-4</v>
      </c>
      <c r="BY18" s="1">
        <f t="shared" ca="1" si="42"/>
        <v>6.4840592901203434E-2</v>
      </c>
      <c r="BZ18" s="1">
        <f t="shared" ca="1" si="43"/>
        <v>0.7547195832792577</v>
      </c>
      <c r="CB18" s="1">
        <f t="shared" ca="1" si="44"/>
        <v>234</v>
      </c>
      <c r="CC18" s="1">
        <f t="shared" ca="1" si="45"/>
        <v>5</v>
      </c>
      <c r="CD18" s="1">
        <f t="shared" ca="1" si="46"/>
        <v>4.9045835659030097E-2</v>
      </c>
      <c r="CE18" s="1">
        <f t="shared" ca="1" si="47"/>
        <v>0.76270599477659107</v>
      </c>
      <c r="CF18" s="1">
        <f t="shared" ca="1" si="47"/>
        <v>0.57331741715254436</v>
      </c>
      <c r="CH18" s="3">
        <f t="shared" ca="1" si="48"/>
        <v>0.61169861509315693</v>
      </c>
      <c r="CI18" s="3">
        <f t="shared" ca="1" si="49"/>
        <v>0.16300165267534084</v>
      </c>
      <c r="CJ18" s="3">
        <f t="shared" ca="1" si="50"/>
        <v>1809</v>
      </c>
      <c r="CK18" s="3">
        <f t="shared" ca="1" si="51"/>
        <v>1.4945103825135841E-3</v>
      </c>
      <c r="CL18" s="3">
        <f t="shared" ca="1" si="52"/>
        <v>1</v>
      </c>
      <c r="CM18" s="3"/>
      <c r="CN18" s="1">
        <f t="shared" ca="1" si="53"/>
        <v>17.803714261742176</v>
      </c>
      <c r="CO18" s="1">
        <f t="shared" ca="1" si="54"/>
        <v>0.21549826466625729</v>
      </c>
      <c r="CP18" s="1">
        <f t="shared" ca="1" si="55"/>
        <v>4</v>
      </c>
    </row>
    <row r="19" spans="2:94" x14ac:dyDescent="0.25">
      <c r="B19">
        <f t="shared" ca="1" si="0"/>
        <v>227</v>
      </c>
      <c r="C19">
        <f t="shared" ca="1" si="1"/>
        <v>51</v>
      </c>
      <c r="D19">
        <f t="shared" ca="1" si="2"/>
        <v>0.26342463103114511</v>
      </c>
      <c r="F19" s="1">
        <f t="shared" ca="1" si="3"/>
        <v>33</v>
      </c>
      <c r="G19" s="1">
        <f t="shared" ca="1" si="4"/>
        <v>5</v>
      </c>
      <c r="H19" s="1">
        <f t="shared" ca="1" si="5"/>
        <v>15</v>
      </c>
      <c r="I19" s="1"/>
      <c r="J19" s="1">
        <f t="shared" ca="1" si="6"/>
        <v>32</v>
      </c>
      <c r="K19" s="1">
        <f t="shared" ca="1" si="7"/>
        <v>2.8777210443445318</v>
      </c>
      <c r="L19" s="1">
        <f t="shared" ca="1" si="8"/>
        <v>29</v>
      </c>
      <c r="M19" s="1"/>
      <c r="N19" s="1">
        <f t="shared" ca="1" si="9"/>
        <v>813</v>
      </c>
      <c r="O19" s="1">
        <f t="shared" ca="1" si="10"/>
        <v>50</v>
      </c>
      <c r="P19" s="1"/>
      <c r="Q19" s="1">
        <f t="shared" ca="1" si="11"/>
        <v>3.6049436884601085</v>
      </c>
      <c r="R19" s="1">
        <f t="shared" ca="1" si="12"/>
        <v>799</v>
      </c>
      <c r="S19" s="1"/>
      <c r="T19" s="1">
        <f t="shared" ca="1" si="13"/>
        <v>0.11857581338136199</v>
      </c>
      <c r="U19" s="1">
        <f t="shared" ca="1" si="14"/>
        <v>443</v>
      </c>
      <c r="V19" s="1">
        <f t="shared" ca="1" si="15"/>
        <v>13</v>
      </c>
      <c r="W19" s="1"/>
      <c r="X19" s="1">
        <f t="shared" ca="1" si="16"/>
        <v>7.2652284375124987</v>
      </c>
      <c r="Y19" s="1">
        <f t="shared" ca="1" si="17"/>
        <v>0.33392147302246372</v>
      </c>
      <c r="Z19" s="1">
        <f t="shared" ca="1" si="18"/>
        <v>499</v>
      </c>
      <c r="AB19" s="1">
        <f t="shared" ca="1" si="19"/>
        <v>0.80479550943671985</v>
      </c>
      <c r="AC19" s="1">
        <f t="shared" ca="1" si="20"/>
        <v>389</v>
      </c>
      <c r="AD19" s="1">
        <f t="shared" ca="1" si="21"/>
        <v>1.5185832315003881E-4</v>
      </c>
      <c r="AE19" s="1"/>
      <c r="AF19" s="1">
        <f t="shared" ca="1" si="22"/>
        <v>0.62039752772806911</v>
      </c>
      <c r="AG19" s="1">
        <f t="shared" ca="1" si="23"/>
        <v>676</v>
      </c>
      <c r="AH19" s="1">
        <f t="shared" ca="1" si="24"/>
        <v>8.7725910075333782E-3</v>
      </c>
      <c r="AJ19" s="1">
        <f t="shared" ca="1" si="25"/>
        <v>0.28001159711920542</v>
      </c>
      <c r="AK19" s="1">
        <f t="shared" ca="1" si="26"/>
        <v>7.2075077108702517E-3</v>
      </c>
      <c r="AL19" s="1"/>
      <c r="AM19" s="1">
        <f t="shared" ca="1" si="27"/>
        <v>0.17454071325917528</v>
      </c>
      <c r="AN19" s="1">
        <f t="shared" ca="1" si="28"/>
        <v>67</v>
      </c>
      <c r="AO19" s="1">
        <f t="shared" ca="1" si="29"/>
        <v>0</v>
      </c>
      <c r="AQ19" s="1">
        <f t="shared" ca="1" si="30"/>
        <v>68</v>
      </c>
      <c r="AR19" s="1">
        <f t="shared" ca="1" si="31"/>
        <v>1</v>
      </c>
      <c r="AS19" s="1">
        <f t="shared" ca="1" si="32"/>
        <v>76</v>
      </c>
      <c r="AU19" s="1">
        <f t="shared" ca="1" si="33"/>
        <v>283</v>
      </c>
      <c r="AV19" s="1">
        <f t="shared" ca="1" si="34"/>
        <v>10</v>
      </c>
      <c r="AW19" s="1">
        <f t="shared" ca="1" si="35"/>
        <v>2.7944977270242109E-2</v>
      </c>
      <c r="AY19" s="1">
        <f t="shared" ca="1" si="36"/>
        <v>1.1642222132358819</v>
      </c>
      <c r="AZ19" s="1">
        <f t="shared" ca="1" si="37"/>
        <v>305</v>
      </c>
      <c r="BA19" s="1">
        <f t="shared" ca="1" si="38"/>
        <v>4.2568999064065355E-3</v>
      </c>
      <c r="BV19" s="1">
        <f t="shared" ca="1" si="39"/>
        <v>0.68520426979343141</v>
      </c>
      <c r="BW19" s="1">
        <f t="shared" ca="1" si="40"/>
        <v>208</v>
      </c>
      <c r="BX19" s="1">
        <f t="shared" ca="1" si="41"/>
        <v>1.1364664873973966E-3</v>
      </c>
      <c r="BY19" s="1">
        <f t="shared" ca="1" si="42"/>
        <v>3.1189824160081848E-2</v>
      </c>
      <c r="BZ19" s="1">
        <f t="shared" ca="1" si="43"/>
        <v>0.84104251938358687</v>
      </c>
      <c r="CB19" s="1">
        <f t="shared" ca="1" si="44"/>
        <v>243</v>
      </c>
      <c r="CC19" s="1">
        <f t="shared" ca="1" si="45"/>
        <v>9</v>
      </c>
      <c r="CD19" s="1">
        <f t="shared" ca="1" si="46"/>
        <v>0.24029601037013704</v>
      </c>
      <c r="CE19" s="1">
        <f t="shared" ca="1" si="47"/>
        <v>0.80534489300770273</v>
      </c>
      <c r="CF19" s="1">
        <f t="shared" ca="1" si="47"/>
        <v>0.59422527330566055</v>
      </c>
      <c r="CH19" s="3">
        <f t="shared" ca="1" si="48"/>
        <v>0.84552395836958005</v>
      </c>
      <c r="CI19" s="3">
        <f t="shared" ca="1" si="49"/>
        <v>0.57483998570475547</v>
      </c>
      <c r="CJ19" s="3">
        <f t="shared" ca="1" si="50"/>
        <v>1167</v>
      </c>
      <c r="CK19" s="3">
        <f t="shared" ca="1" si="51"/>
        <v>7.5381744676932406E-4</v>
      </c>
      <c r="CL19" s="3">
        <f t="shared" ca="1" si="52"/>
        <v>0</v>
      </c>
      <c r="CM19" s="3"/>
      <c r="CN19" s="1">
        <f t="shared" ca="1" si="53"/>
        <v>15.626600754067203</v>
      </c>
      <c r="CO19" s="1">
        <f t="shared" ca="1" si="54"/>
        <v>6.6292158135777685E-2</v>
      </c>
      <c r="CP19" s="1">
        <f t="shared" ca="1" si="55"/>
        <v>1</v>
      </c>
    </row>
    <row r="20" spans="2:94" x14ac:dyDescent="0.25">
      <c r="B20">
        <f t="shared" ca="1" si="0"/>
        <v>366</v>
      </c>
      <c r="C20">
        <f t="shared" ca="1" si="1"/>
        <v>10</v>
      </c>
      <c r="D20">
        <f t="shared" ca="1" si="2"/>
        <v>0.13607446277141444</v>
      </c>
      <c r="F20" s="1">
        <f t="shared" ca="1" si="3"/>
        <v>36</v>
      </c>
      <c r="G20" s="1">
        <f t="shared" ca="1" si="4"/>
        <v>2</v>
      </c>
      <c r="H20" s="1">
        <f t="shared" ca="1" si="5"/>
        <v>7</v>
      </c>
      <c r="I20" s="1"/>
      <c r="J20" s="1">
        <f t="shared" ca="1" si="6"/>
        <v>14</v>
      </c>
      <c r="K20" s="1">
        <f t="shared" ca="1" si="7"/>
        <v>1.6237575393859485</v>
      </c>
      <c r="L20" s="1">
        <f t="shared" ca="1" si="8"/>
        <v>15</v>
      </c>
      <c r="M20" s="1"/>
      <c r="N20" s="1">
        <f t="shared" ca="1" si="9"/>
        <v>800</v>
      </c>
      <c r="O20" s="1">
        <f t="shared" ca="1" si="10"/>
        <v>41</v>
      </c>
      <c r="P20" s="1"/>
      <c r="Q20" s="1">
        <f t="shared" ca="1" si="11"/>
        <v>3.0496312308888247</v>
      </c>
      <c r="R20" s="1">
        <f t="shared" ca="1" si="12"/>
        <v>307</v>
      </c>
      <c r="S20" s="1"/>
      <c r="T20" s="1">
        <f t="shared" ca="1" si="13"/>
        <v>2.9873687534046282E-2</v>
      </c>
      <c r="U20" s="1">
        <f t="shared" ca="1" si="14"/>
        <v>103</v>
      </c>
      <c r="V20" s="1">
        <f t="shared" ca="1" si="15"/>
        <v>52</v>
      </c>
      <c r="W20" s="1"/>
      <c r="X20" s="1">
        <f t="shared" ca="1" si="16"/>
        <v>5.2034397537042389</v>
      </c>
      <c r="Y20" s="1">
        <f t="shared" ca="1" si="17"/>
        <v>0.98865871067883804</v>
      </c>
      <c r="Z20" s="1">
        <f t="shared" ca="1" si="18"/>
        <v>877</v>
      </c>
      <c r="AB20" s="1">
        <f t="shared" ca="1" si="19"/>
        <v>0.7601842286752919</v>
      </c>
      <c r="AC20" s="1">
        <f t="shared" ca="1" si="20"/>
        <v>238</v>
      </c>
      <c r="AD20" s="1">
        <f t="shared" ca="1" si="21"/>
        <v>4.2757286628285164E-3</v>
      </c>
      <c r="AE20" s="1"/>
      <c r="AF20" s="1">
        <f t="shared" ca="1" si="22"/>
        <v>0.12672651104934307</v>
      </c>
      <c r="AG20" s="1">
        <f t="shared" ca="1" si="23"/>
        <v>824</v>
      </c>
      <c r="AH20" s="1">
        <f t="shared" ca="1" si="24"/>
        <v>9.2334674532266788E-3</v>
      </c>
      <c r="AJ20" s="1">
        <f t="shared" ca="1" si="25"/>
        <v>0.71553161190205505</v>
      </c>
      <c r="AK20" s="1">
        <f t="shared" ca="1" si="26"/>
        <v>9.0671012560408874E-3</v>
      </c>
      <c r="AL20" s="1"/>
      <c r="AM20" s="1">
        <f t="shared" ca="1" si="27"/>
        <v>7.2552641234368873E-2</v>
      </c>
      <c r="AN20" s="1">
        <f t="shared" ca="1" si="28"/>
        <v>21</v>
      </c>
      <c r="AO20" s="1">
        <f t="shared" ca="1" si="29"/>
        <v>2</v>
      </c>
      <c r="AQ20" s="1">
        <f t="shared" ca="1" si="30"/>
        <v>71</v>
      </c>
      <c r="AR20" s="1">
        <f t="shared" ca="1" si="31"/>
        <v>10</v>
      </c>
      <c r="AS20" s="1">
        <f t="shared" ca="1" si="32"/>
        <v>90</v>
      </c>
      <c r="AU20" s="1">
        <f t="shared" ca="1" si="33"/>
        <v>233</v>
      </c>
      <c r="AV20" s="1">
        <f t="shared" ca="1" si="34"/>
        <v>8</v>
      </c>
      <c r="AW20" s="1">
        <f t="shared" ca="1" si="35"/>
        <v>0.10791769261723332</v>
      </c>
      <c r="AY20" s="1">
        <f t="shared" ca="1" si="36"/>
        <v>1.3270804438406927</v>
      </c>
      <c r="AZ20" s="1">
        <f t="shared" ca="1" si="37"/>
        <v>314</v>
      </c>
      <c r="BA20" s="1">
        <f t="shared" ca="1" si="38"/>
        <v>2.9066983001735693E-3</v>
      </c>
      <c r="BV20" s="1">
        <f t="shared" ca="1" si="39"/>
        <v>0.441795313685243</v>
      </c>
      <c r="BW20" s="1">
        <f t="shared" ca="1" si="40"/>
        <v>401</v>
      </c>
      <c r="BX20" s="1">
        <f t="shared" ca="1" si="41"/>
        <v>8.1966842056979423E-3</v>
      </c>
      <c r="BY20" s="1">
        <f t="shared" ca="1" si="42"/>
        <v>8.3415265812264147E-2</v>
      </c>
      <c r="BZ20" s="1">
        <f t="shared" ca="1" si="43"/>
        <v>0.49384430482607111</v>
      </c>
      <c r="CB20" s="1">
        <f t="shared" ca="1" si="44"/>
        <v>422</v>
      </c>
      <c r="CC20" s="1">
        <f t="shared" ca="1" si="45"/>
        <v>12</v>
      </c>
      <c r="CD20" s="1">
        <f t="shared" ca="1" si="46"/>
        <v>0.13142815028682928</v>
      </c>
      <c r="CE20" s="1">
        <f t="shared" ca="1" si="47"/>
        <v>0.73993461254772663</v>
      </c>
      <c r="CF20" s="1">
        <f t="shared" ca="1" si="47"/>
        <v>0.72285365650362343</v>
      </c>
      <c r="CH20" s="3">
        <f t="shared" ca="1" si="48"/>
        <v>0.99348453409973703</v>
      </c>
      <c r="CI20" s="3">
        <f t="shared" ca="1" si="49"/>
        <v>0.12658000739260139</v>
      </c>
      <c r="CJ20" s="3">
        <f t="shared" ca="1" si="50"/>
        <v>356</v>
      </c>
      <c r="CK20" s="3">
        <f t="shared" ca="1" si="51"/>
        <v>6.6366306783763032E-3</v>
      </c>
      <c r="CL20" s="3">
        <f t="shared" ca="1" si="52"/>
        <v>1</v>
      </c>
      <c r="CM20" s="3"/>
      <c r="CN20" s="1">
        <f t="shared" ca="1" si="53"/>
        <v>5.0129308694411625</v>
      </c>
      <c r="CO20" s="1">
        <f t="shared" ca="1" si="54"/>
        <v>0.42910004757868675</v>
      </c>
      <c r="CP20" s="1">
        <f t="shared" ca="1" si="55"/>
        <v>5</v>
      </c>
    </row>
    <row r="21" spans="2:94" x14ac:dyDescent="0.25">
      <c r="B21">
        <f t="shared" ca="1" si="0"/>
        <v>931</v>
      </c>
      <c r="C21">
        <f t="shared" ca="1" si="1"/>
        <v>27</v>
      </c>
      <c r="D21">
        <f t="shared" ca="1" si="2"/>
        <v>0.27020913567154231</v>
      </c>
      <c r="F21" s="1">
        <f t="shared" ca="1" si="3"/>
        <v>26</v>
      </c>
      <c r="G21" s="1">
        <f t="shared" ca="1" si="4"/>
        <v>5</v>
      </c>
      <c r="H21" s="1">
        <f t="shared" ca="1" si="5"/>
        <v>8</v>
      </c>
      <c r="I21" s="1"/>
      <c r="J21" s="1">
        <f t="shared" ca="1" si="6"/>
        <v>29</v>
      </c>
      <c r="K21" s="1">
        <f t="shared" ca="1" si="7"/>
        <v>2.4514055156833772</v>
      </c>
      <c r="L21" s="1">
        <f t="shared" ca="1" si="8"/>
        <v>26</v>
      </c>
      <c r="M21" s="1"/>
      <c r="N21" s="1">
        <f t="shared" ca="1" si="9"/>
        <v>737</v>
      </c>
      <c r="O21" s="1">
        <f t="shared" ca="1" si="10"/>
        <v>4</v>
      </c>
      <c r="P21" s="1"/>
      <c r="Q21" s="1">
        <f t="shared" ca="1" si="11"/>
        <v>2.0627462211243857</v>
      </c>
      <c r="R21" s="1">
        <f t="shared" ca="1" si="12"/>
        <v>709</v>
      </c>
      <c r="S21" s="1"/>
      <c r="T21" s="1">
        <f t="shared" ca="1" si="13"/>
        <v>0.11642406258941609</v>
      </c>
      <c r="U21" s="1">
        <f t="shared" ca="1" si="14"/>
        <v>292</v>
      </c>
      <c r="V21" s="1">
        <f t="shared" ca="1" si="15"/>
        <v>11</v>
      </c>
      <c r="W21" s="1"/>
      <c r="X21" s="1">
        <f t="shared" ca="1" si="16"/>
        <v>6.2192140405459835</v>
      </c>
      <c r="Y21" s="1">
        <f t="shared" ca="1" si="17"/>
        <v>0.38365774236214517</v>
      </c>
      <c r="Z21" s="1">
        <f t="shared" ca="1" si="18"/>
        <v>528</v>
      </c>
      <c r="AB21" s="1">
        <f t="shared" ca="1" si="19"/>
        <v>0.95527004841427354</v>
      </c>
      <c r="AC21" s="1">
        <f t="shared" ca="1" si="20"/>
        <v>383</v>
      </c>
      <c r="AD21" s="1">
        <f t="shared" ca="1" si="21"/>
        <v>3.2671196434075171E-3</v>
      </c>
      <c r="AE21" s="1"/>
      <c r="AF21" s="1">
        <f t="shared" ca="1" si="22"/>
        <v>0.76494750589476046</v>
      </c>
      <c r="AG21" s="1">
        <f t="shared" ca="1" si="23"/>
        <v>927</v>
      </c>
      <c r="AH21" s="1">
        <f t="shared" ca="1" si="24"/>
        <v>2.8619100270488745E-3</v>
      </c>
      <c r="AJ21" s="1">
        <f t="shared" ca="1" si="25"/>
        <v>0.46361446398060191</v>
      </c>
      <c r="AK21" s="1">
        <f t="shared" ca="1" si="26"/>
        <v>3.3150773202953944E-3</v>
      </c>
      <c r="AL21" s="1"/>
      <c r="AM21" s="1">
        <f t="shared" ca="1" si="27"/>
        <v>0.18882426489349988</v>
      </c>
      <c r="AN21" s="1">
        <f t="shared" ca="1" si="28"/>
        <v>56</v>
      </c>
      <c r="AO21" s="1">
        <f t="shared" ca="1" si="29"/>
        <v>8</v>
      </c>
      <c r="AQ21" s="1">
        <f t="shared" ca="1" si="30"/>
        <v>93</v>
      </c>
      <c r="AR21" s="1">
        <f t="shared" ca="1" si="31"/>
        <v>7</v>
      </c>
      <c r="AS21" s="1">
        <f t="shared" ca="1" si="32"/>
        <v>68</v>
      </c>
      <c r="AU21" s="1">
        <f t="shared" ca="1" si="33"/>
        <v>386</v>
      </c>
      <c r="AV21" s="1">
        <f t="shared" ca="1" si="34"/>
        <v>6</v>
      </c>
      <c r="AW21" s="1">
        <f t="shared" ca="1" si="35"/>
        <v>0.13744047090907527</v>
      </c>
      <c r="AY21" s="1">
        <f t="shared" ca="1" si="36"/>
        <v>1.8483928881702212</v>
      </c>
      <c r="AZ21" s="1">
        <f t="shared" ca="1" si="37"/>
        <v>104</v>
      </c>
      <c r="BA21" s="1">
        <f t="shared" ca="1" si="38"/>
        <v>1.3998855199750967E-4</v>
      </c>
      <c r="BV21" s="1">
        <f t="shared" ca="1" si="39"/>
        <v>0.81764251276729039</v>
      </c>
      <c r="BW21" s="1">
        <f t="shared" ca="1" si="40"/>
        <v>668</v>
      </c>
      <c r="BX21" s="1">
        <f t="shared" ca="1" si="41"/>
        <v>9.3253926571890827E-3</v>
      </c>
      <c r="BY21" s="1">
        <f t="shared" ca="1" si="42"/>
        <v>1.4738314076586153E-2</v>
      </c>
      <c r="BZ21" s="1">
        <f t="shared" ca="1" si="43"/>
        <v>7.6246317336981062E-2</v>
      </c>
      <c r="CB21" s="1">
        <f t="shared" ca="1" si="44"/>
        <v>496</v>
      </c>
      <c r="CC21" s="1">
        <f t="shared" ca="1" si="45"/>
        <v>5</v>
      </c>
      <c r="CD21" s="1">
        <f t="shared" ca="1" si="46"/>
        <v>6.2963198849509516E-2</v>
      </c>
      <c r="CE21" s="1">
        <f t="shared" ca="1" si="47"/>
        <v>0.51675134735759798</v>
      </c>
      <c r="CF21" s="1">
        <f t="shared" ca="1" si="47"/>
        <v>0.53745369292501177</v>
      </c>
      <c r="CH21" s="3">
        <f t="shared" ca="1" si="48"/>
        <v>0.29012698751950677</v>
      </c>
      <c r="CI21" s="3">
        <f t="shared" ca="1" si="49"/>
        <v>7.3398989975758083E-2</v>
      </c>
      <c r="CJ21" s="3">
        <f t="shared" ca="1" si="50"/>
        <v>1098</v>
      </c>
      <c r="CK21" s="3">
        <f t="shared" ca="1" si="51"/>
        <v>4.4125003662753336E-3</v>
      </c>
      <c r="CL21" s="3">
        <f t="shared" ca="1" si="52"/>
        <v>0</v>
      </c>
      <c r="CM21" s="3"/>
      <c r="CN21" s="1">
        <f t="shared" ca="1" si="53"/>
        <v>1.5444952686931934</v>
      </c>
      <c r="CO21" s="1">
        <f t="shared" ca="1" si="54"/>
        <v>3.2537138911841165E-2</v>
      </c>
      <c r="CP21" s="1">
        <f t="shared" ca="1" si="55"/>
        <v>1</v>
      </c>
    </row>
    <row r="22" spans="2:94" x14ac:dyDescent="0.25">
      <c r="B22">
        <f t="shared" ca="1" si="0"/>
        <v>875</v>
      </c>
      <c r="C22">
        <f t="shared" ca="1" si="1"/>
        <v>46</v>
      </c>
      <c r="D22">
        <f t="shared" ca="1" si="2"/>
        <v>0.20812942849620897</v>
      </c>
      <c r="F22" s="1">
        <f t="shared" ca="1" si="3"/>
        <v>51</v>
      </c>
      <c r="G22" s="1">
        <f t="shared" ca="1" si="4"/>
        <v>19</v>
      </c>
      <c r="H22" s="1">
        <f t="shared" ca="1" si="5"/>
        <v>4</v>
      </c>
      <c r="I22" s="1"/>
      <c r="J22" s="1">
        <f t="shared" ca="1" si="6"/>
        <v>31</v>
      </c>
      <c r="K22" s="1">
        <f t="shared" ca="1" si="7"/>
        <v>2.0173780353641866</v>
      </c>
      <c r="L22" s="1">
        <f t="shared" ca="1" si="8"/>
        <v>28</v>
      </c>
      <c r="M22" s="1"/>
      <c r="N22" s="1">
        <f t="shared" ca="1" si="9"/>
        <v>922</v>
      </c>
      <c r="O22" s="1">
        <f t="shared" ca="1" si="10"/>
        <v>9</v>
      </c>
      <c r="P22" s="1"/>
      <c r="Q22" s="1">
        <f t="shared" ca="1" si="11"/>
        <v>2.6854354174801989</v>
      </c>
      <c r="R22" s="1">
        <f t="shared" ca="1" si="12"/>
        <v>846</v>
      </c>
      <c r="S22" s="1"/>
      <c r="T22" s="1">
        <f t="shared" ca="1" si="13"/>
        <v>1.5507128672964617E-2</v>
      </c>
      <c r="U22" s="1">
        <f t="shared" ca="1" si="14"/>
        <v>359</v>
      </c>
      <c r="V22" s="1">
        <f t="shared" ca="1" si="15"/>
        <v>7</v>
      </c>
      <c r="W22" s="1"/>
      <c r="X22" s="1">
        <f t="shared" ca="1" si="16"/>
        <v>9.9683160909915749</v>
      </c>
      <c r="Y22" s="1">
        <f t="shared" ca="1" si="17"/>
        <v>0.37288920686155308</v>
      </c>
      <c r="Z22" s="1">
        <f t="shared" ca="1" si="18"/>
        <v>739</v>
      </c>
      <c r="AB22" s="1">
        <f t="shared" ca="1" si="19"/>
        <v>0.12207812783981375</v>
      </c>
      <c r="AC22" s="1">
        <f t="shared" ca="1" si="20"/>
        <v>428</v>
      </c>
      <c r="AD22" s="1">
        <f t="shared" ca="1" si="21"/>
        <v>7.0871161547519006E-3</v>
      </c>
      <c r="AE22" s="1"/>
      <c r="AF22" s="1">
        <f t="shared" ca="1" si="22"/>
        <v>0.78705180151736731</v>
      </c>
      <c r="AG22" s="1">
        <f t="shared" ca="1" si="23"/>
        <v>202</v>
      </c>
      <c r="AH22" s="1">
        <f t="shared" ca="1" si="24"/>
        <v>2.0290743797572947E-4</v>
      </c>
      <c r="AJ22" s="1">
        <f t="shared" ca="1" si="25"/>
        <v>0.81982352543997794</v>
      </c>
      <c r="AK22" s="1">
        <f t="shared" ca="1" si="26"/>
        <v>5.8941616200472698E-3</v>
      </c>
      <c r="AL22" s="1"/>
      <c r="AM22" s="1">
        <f t="shared" ca="1" si="27"/>
        <v>0.17875678537727213</v>
      </c>
      <c r="AN22" s="1">
        <f t="shared" ca="1" si="28"/>
        <v>34</v>
      </c>
      <c r="AO22" s="1">
        <f t="shared" ca="1" si="29"/>
        <v>14</v>
      </c>
      <c r="AQ22" s="1">
        <f t="shared" ca="1" si="30"/>
        <v>73</v>
      </c>
      <c r="AR22" s="1">
        <f t="shared" ca="1" si="31"/>
        <v>7</v>
      </c>
      <c r="AS22" s="1">
        <f t="shared" ca="1" si="32"/>
        <v>44</v>
      </c>
      <c r="AU22" s="1">
        <f t="shared" ca="1" si="33"/>
        <v>202</v>
      </c>
      <c r="AV22" s="1">
        <f t="shared" ca="1" si="34"/>
        <v>9</v>
      </c>
      <c r="AW22" s="1">
        <f t="shared" ca="1" si="35"/>
        <v>8.0293659650105931E-2</v>
      </c>
      <c r="AY22" s="1">
        <f t="shared" ca="1" si="36"/>
        <v>1.238861221896965</v>
      </c>
      <c r="AZ22" s="1">
        <f t="shared" ca="1" si="37"/>
        <v>409</v>
      </c>
      <c r="BA22" s="1">
        <f t="shared" ca="1" si="38"/>
        <v>8.6834189958220013E-3</v>
      </c>
      <c r="BV22" s="1">
        <f t="shared" ca="1" si="39"/>
        <v>0.1526788585572493</v>
      </c>
      <c r="BW22" s="1">
        <f t="shared" ca="1" si="40"/>
        <v>784</v>
      </c>
      <c r="BX22" s="1">
        <f t="shared" ca="1" si="41"/>
        <v>8.4408999833950216E-3</v>
      </c>
      <c r="BY22" s="1">
        <f t="shared" ca="1" si="42"/>
        <v>4.6901176354681523E-2</v>
      </c>
      <c r="BZ22" s="1">
        <f t="shared" ca="1" si="43"/>
        <v>0.28384134990120913</v>
      </c>
      <c r="CB22" s="1">
        <f t="shared" ca="1" si="44"/>
        <v>63</v>
      </c>
      <c r="CC22" s="1">
        <f t="shared" ca="1" si="45"/>
        <v>13</v>
      </c>
      <c r="CD22" s="1">
        <f t="shared" ca="1" si="46"/>
        <v>0.1960809002443136</v>
      </c>
      <c r="CE22" s="1">
        <f t="shared" ca="1" si="47"/>
        <v>0.73167580598607684</v>
      </c>
      <c r="CF22" s="1">
        <f t="shared" ca="1" si="47"/>
        <v>0.70470100535112246</v>
      </c>
      <c r="CH22" s="3">
        <f t="shared" ca="1" si="48"/>
        <v>0.81257943138396393</v>
      </c>
      <c r="CI22" s="3">
        <f t="shared" ca="1" si="49"/>
        <v>0.1466869537793464</v>
      </c>
      <c r="CJ22" s="3">
        <f t="shared" ca="1" si="50"/>
        <v>831</v>
      </c>
      <c r="CK22" s="3">
        <f t="shared" ca="1" si="51"/>
        <v>8.5987745836010737E-3</v>
      </c>
      <c r="CL22" s="3">
        <f t="shared" ca="1" si="52"/>
        <v>1</v>
      </c>
      <c r="CM22" s="3"/>
      <c r="CN22" s="1">
        <f t="shared" ca="1" si="53"/>
        <v>0.47827213623138576</v>
      </c>
      <c r="CO22" s="1">
        <f t="shared" ca="1" si="54"/>
        <v>0.42269430820626708</v>
      </c>
      <c r="CP22" s="1">
        <f t="shared" ca="1" si="55"/>
        <v>5</v>
      </c>
    </row>
    <row r="23" spans="2:94" x14ac:dyDescent="0.25">
      <c r="B23">
        <f t="shared" ca="1" si="0"/>
        <v>991</v>
      </c>
      <c r="C23">
        <f t="shared" ca="1" si="1"/>
        <v>50</v>
      </c>
      <c r="D23">
        <f t="shared" ca="1" si="2"/>
        <v>1.2537022529343276E-2</v>
      </c>
      <c r="F23" s="1">
        <f t="shared" ca="1" si="3"/>
        <v>27</v>
      </c>
      <c r="G23" s="1">
        <f t="shared" ca="1" si="4"/>
        <v>24</v>
      </c>
      <c r="H23" s="1">
        <f t="shared" ca="1" si="5"/>
        <v>13</v>
      </c>
      <c r="I23" s="1"/>
      <c r="J23" s="1">
        <f t="shared" ca="1" si="6"/>
        <v>8</v>
      </c>
      <c r="K23" s="1">
        <f t="shared" ca="1" si="7"/>
        <v>2.8624324458580959</v>
      </c>
      <c r="L23" s="1">
        <f t="shared" ca="1" si="8"/>
        <v>28</v>
      </c>
      <c r="M23" s="1"/>
      <c r="N23" s="1">
        <f t="shared" ca="1" si="9"/>
        <v>844</v>
      </c>
      <c r="O23" s="1">
        <f t="shared" ca="1" si="10"/>
        <v>3</v>
      </c>
      <c r="P23" s="1"/>
      <c r="Q23" s="1">
        <f t="shared" ca="1" si="11"/>
        <v>1.6420949178069824</v>
      </c>
      <c r="R23" s="1">
        <f t="shared" ca="1" si="12"/>
        <v>561</v>
      </c>
      <c r="S23" s="1"/>
      <c r="T23" s="1">
        <f t="shared" ca="1" si="13"/>
        <v>0.1939964557133102</v>
      </c>
      <c r="U23" s="1">
        <f t="shared" ca="1" si="14"/>
        <v>325</v>
      </c>
      <c r="V23" s="1">
        <f t="shared" ca="1" si="15"/>
        <v>46</v>
      </c>
      <c r="W23" s="1"/>
      <c r="X23" s="1">
        <f t="shared" ca="1" si="16"/>
        <v>1.6633936928962356</v>
      </c>
      <c r="Y23" s="1">
        <f t="shared" ca="1" si="17"/>
        <v>0.57093674628840918</v>
      </c>
      <c r="Z23" s="1">
        <f t="shared" ca="1" si="18"/>
        <v>1810</v>
      </c>
      <c r="AB23" s="1">
        <f t="shared" ca="1" si="19"/>
        <v>0.23392210505109545</v>
      </c>
      <c r="AC23" s="1">
        <f t="shared" ca="1" si="20"/>
        <v>807</v>
      </c>
      <c r="AD23" s="1">
        <f t="shared" ca="1" si="21"/>
        <v>9.9068323259463159E-3</v>
      </c>
      <c r="AE23" s="1"/>
      <c r="AF23" s="1">
        <f t="shared" ca="1" si="22"/>
        <v>0.33117677346351237</v>
      </c>
      <c r="AG23" s="1">
        <f t="shared" ca="1" si="23"/>
        <v>280</v>
      </c>
      <c r="AH23" s="1">
        <f t="shared" ca="1" si="24"/>
        <v>4.9359241429116109E-3</v>
      </c>
      <c r="AJ23" s="1">
        <f t="shared" ca="1" si="25"/>
        <v>0.47007737065268196</v>
      </c>
      <c r="AK23" s="1">
        <f t="shared" ca="1" si="26"/>
        <v>2.0064547436802619E-3</v>
      </c>
      <c r="AL23" s="1"/>
      <c r="AM23" s="1">
        <f t="shared" ca="1" si="27"/>
        <v>0.11985198094909492</v>
      </c>
      <c r="AN23" s="1">
        <f t="shared" ca="1" si="28"/>
        <v>28</v>
      </c>
      <c r="AO23" s="1">
        <f t="shared" ca="1" si="29"/>
        <v>8</v>
      </c>
      <c r="AQ23" s="1">
        <f t="shared" ca="1" si="30"/>
        <v>89</v>
      </c>
      <c r="AR23" s="1">
        <f t="shared" ca="1" si="31"/>
        <v>6</v>
      </c>
      <c r="AS23" s="1">
        <f t="shared" ca="1" si="32"/>
        <v>100</v>
      </c>
      <c r="AU23" s="1">
        <f t="shared" ca="1" si="33"/>
        <v>364</v>
      </c>
      <c r="AV23" s="1">
        <f t="shared" ca="1" si="34"/>
        <v>9</v>
      </c>
      <c r="AW23" s="1">
        <f t="shared" ca="1" si="35"/>
        <v>0.17267062774581227</v>
      </c>
      <c r="AY23" s="1">
        <f t="shared" ca="1" si="36"/>
        <v>1.4089630311257373</v>
      </c>
      <c r="AZ23" s="1">
        <f t="shared" ca="1" si="37"/>
        <v>334</v>
      </c>
      <c r="BA23" s="1">
        <f t="shared" ca="1" si="38"/>
        <v>5.4267865734422289E-3</v>
      </c>
      <c r="BV23" s="1">
        <f t="shared" ca="1" si="39"/>
        <v>0.90647240521357786</v>
      </c>
      <c r="BW23" s="1">
        <f t="shared" ca="1" si="40"/>
        <v>426</v>
      </c>
      <c r="BX23" s="1">
        <f t="shared" ca="1" si="41"/>
        <v>3.446195958631808E-3</v>
      </c>
      <c r="BY23" s="1">
        <f t="shared" ca="1" si="42"/>
        <v>6.2329864099655323E-3</v>
      </c>
      <c r="BZ23" s="1">
        <f t="shared" ca="1" si="43"/>
        <v>0.68102913173037427</v>
      </c>
      <c r="CB23" s="1">
        <f t="shared" ca="1" si="44"/>
        <v>150</v>
      </c>
      <c r="CC23" s="1">
        <f t="shared" ca="1" si="45"/>
        <v>9</v>
      </c>
      <c r="CD23" s="1">
        <f t="shared" ca="1" si="46"/>
        <v>2.5327369273163883E-2</v>
      </c>
      <c r="CE23" s="1">
        <f t="shared" ca="1" si="47"/>
        <v>0.73635294059007661</v>
      </c>
      <c r="CF23" s="1">
        <f t="shared" ca="1" si="47"/>
        <v>0.66373642598044635</v>
      </c>
      <c r="CH23" s="3">
        <f t="shared" ca="1" si="48"/>
        <v>0.85183308110815747</v>
      </c>
      <c r="CI23" s="3">
        <f t="shared" ca="1" si="49"/>
        <v>0.9431125805273266</v>
      </c>
      <c r="CJ23" s="3">
        <f t="shared" ca="1" si="50"/>
        <v>1889</v>
      </c>
      <c r="CK23" s="3">
        <f t="shared" ca="1" si="51"/>
        <v>7.4970758453268734E-3</v>
      </c>
      <c r="CL23" s="3">
        <f t="shared" ca="1" si="52"/>
        <v>1</v>
      </c>
      <c r="CM23" s="3"/>
      <c r="CN23" s="1">
        <f t="shared" ca="1" si="53"/>
        <v>10.581672297922516</v>
      </c>
      <c r="CO23" s="1">
        <f t="shared" ca="1" si="54"/>
        <v>0.32903107972132228</v>
      </c>
      <c r="CP23" s="1">
        <f t="shared" ca="1" si="55"/>
        <v>2</v>
      </c>
    </row>
    <row r="24" spans="2:94" x14ac:dyDescent="0.25">
      <c r="B24">
        <f t="shared" ca="1" si="0"/>
        <v>555</v>
      </c>
      <c r="C24">
        <f t="shared" ca="1" si="1"/>
        <v>20</v>
      </c>
      <c r="D24">
        <f t="shared" ca="1" si="2"/>
        <v>0.14622299412172038</v>
      </c>
      <c r="F24" s="1">
        <f t="shared" ca="1" si="3"/>
        <v>33</v>
      </c>
      <c r="G24" s="1">
        <f t="shared" ca="1" si="4"/>
        <v>24</v>
      </c>
      <c r="H24" s="1">
        <f t="shared" ca="1" si="5"/>
        <v>5</v>
      </c>
      <c r="I24" s="1"/>
      <c r="J24" s="1">
        <f t="shared" ca="1" si="6"/>
        <v>37</v>
      </c>
      <c r="K24" s="1">
        <f t="shared" ca="1" si="7"/>
        <v>2.6040535456385925</v>
      </c>
      <c r="L24" s="1">
        <f t="shared" ca="1" si="8"/>
        <v>4</v>
      </c>
      <c r="M24" s="1"/>
      <c r="N24" s="1">
        <f t="shared" ca="1" si="9"/>
        <v>804</v>
      </c>
      <c r="O24" s="1">
        <f t="shared" ca="1" si="10"/>
        <v>22</v>
      </c>
      <c r="P24" s="1"/>
      <c r="Q24" s="1">
        <f t="shared" ca="1" si="11"/>
        <v>4.624261267795208</v>
      </c>
      <c r="R24" s="1">
        <f t="shared" ca="1" si="12"/>
        <v>696</v>
      </c>
      <c r="S24" s="1"/>
      <c r="T24" s="1">
        <f t="shared" ca="1" si="13"/>
        <v>0.1175784069660521</v>
      </c>
      <c r="U24" s="1">
        <f t="shared" ca="1" si="14"/>
        <v>277</v>
      </c>
      <c r="V24" s="1">
        <f t="shared" ca="1" si="15"/>
        <v>24</v>
      </c>
      <c r="W24" s="1"/>
      <c r="X24" s="1">
        <f t="shared" ca="1" si="16"/>
        <v>3.7892521293454888</v>
      </c>
      <c r="Y24" s="1">
        <f t="shared" ca="1" si="17"/>
        <v>0.23127222931171587</v>
      </c>
      <c r="Z24" s="1">
        <f t="shared" ca="1" si="18"/>
        <v>467</v>
      </c>
      <c r="AB24" s="1">
        <f t="shared" ca="1" si="19"/>
        <v>0.76386536149482254</v>
      </c>
      <c r="AC24" s="1">
        <f t="shared" ca="1" si="20"/>
        <v>983</v>
      </c>
      <c r="AD24" s="1">
        <f t="shared" ca="1" si="21"/>
        <v>4.9614234205307174E-3</v>
      </c>
      <c r="AE24" s="1"/>
      <c r="AF24" s="1">
        <f t="shared" ca="1" si="22"/>
        <v>0.50513148562164945</v>
      </c>
      <c r="AG24" s="1">
        <f t="shared" ca="1" si="23"/>
        <v>621</v>
      </c>
      <c r="AH24" s="1">
        <f t="shared" ca="1" si="24"/>
        <v>7.8193578589466932E-4</v>
      </c>
      <c r="AJ24" s="1">
        <f t="shared" ca="1" si="25"/>
        <v>0.40951479049374373</v>
      </c>
      <c r="AK24" s="1">
        <f t="shared" ca="1" si="26"/>
        <v>5.1730371132897362E-3</v>
      </c>
      <c r="AL24" s="1"/>
      <c r="AM24" s="1">
        <f t="shared" ca="1" si="27"/>
        <v>0.17333650337832796</v>
      </c>
      <c r="AN24" s="1">
        <f t="shared" ca="1" si="28"/>
        <v>80</v>
      </c>
      <c r="AO24" s="1">
        <f t="shared" ca="1" si="29"/>
        <v>3</v>
      </c>
      <c r="AQ24" s="1">
        <f t="shared" ca="1" si="30"/>
        <v>116</v>
      </c>
      <c r="AR24" s="1">
        <f t="shared" ca="1" si="31"/>
        <v>1</v>
      </c>
      <c r="AS24" s="1">
        <f t="shared" ca="1" si="32"/>
        <v>73</v>
      </c>
      <c r="AU24" s="1">
        <f t="shared" ca="1" si="33"/>
        <v>128</v>
      </c>
      <c r="AV24" s="1">
        <f t="shared" ca="1" si="34"/>
        <v>3</v>
      </c>
      <c r="AW24" s="1">
        <f t="shared" ca="1" si="35"/>
        <v>0.19989834602582021</v>
      </c>
      <c r="AY24" s="1">
        <f t="shared" ca="1" si="36"/>
        <v>1.7369607709329933</v>
      </c>
      <c r="AZ24" s="1">
        <f t="shared" ca="1" si="37"/>
        <v>135</v>
      </c>
      <c r="BA24" s="1">
        <f t="shared" ca="1" si="38"/>
        <v>1.2476806502619152E-3</v>
      </c>
      <c r="BV24" s="1">
        <f t="shared" ca="1" si="39"/>
        <v>0.10690474501141432</v>
      </c>
      <c r="BW24" s="1">
        <f t="shared" ca="1" si="40"/>
        <v>144</v>
      </c>
      <c r="BX24" s="1">
        <f t="shared" ca="1" si="41"/>
        <v>8.2843413804047743E-3</v>
      </c>
      <c r="BY24" s="1">
        <f t="shared" ca="1" si="42"/>
        <v>3.9213737980059643E-2</v>
      </c>
      <c r="BZ24" s="1">
        <f t="shared" ca="1" si="43"/>
        <v>0.31032285864967823</v>
      </c>
      <c r="CB24" s="1">
        <f t="shared" ca="1" si="44"/>
        <v>290</v>
      </c>
      <c r="CC24" s="1">
        <f t="shared" ca="1" si="45"/>
        <v>6</v>
      </c>
      <c r="CD24" s="1">
        <f t="shared" ca="1" si="46"/>
        <v>0.11101000445681282</v>
      </c>
      <c r="CE24" s="1">
        <f t="shared" ca="1" si="47"/>
        <v>0.99941027728635268</v>
      </c>
      <c r="CF24" s="1">
        <f t="shared" ca="1" si="47"/>
        <v>0.58162667357499476</v>
      </c>
      <c r="CH24" s="3">
        <f t="shared" ca="1" si="48"/>
        <v>0.4840435003279453</v>
      </c>
      <c r="CI24" s="3">
        <f t="shared" ca="1" si="49"/>
        <v>0.74074631459146412</v>
      </c>
      <c r="CJ24" s="3">
        <f t="shared" ca="1" si="50"/>
        <v>1122</v>
      </c>
      <c r="CK24" s="3">
        <f t="shared" ca="1" si="51"/>
        <v>8.2652771140678104E-3</v>
      </c>
      <c r="CL24" s="3">
        <f t="shared" ca="1" si="52"/>
        <v>1</v>
      </c>
      <c r="CM24" s="3"/>
      <c r="CN24" s="1">
        <f t="shared" ca="1" si="53"/>
        <v>8.5000174581039722</v>
      </c>
      <c r="CO24" s="1">
        <f t="shared" ca="1" si="54"/>
        <v>0.24973899161597382</v>
      </c>
      <c r="CP24" s="1">
        <f t="shared" ca="1" si="55"/>
        <v>3</v>
      </c>
    </row>
    <row r="25" spans="2:94" x14ac:dyDescent="0.25">
      <c r="B25">
        <f t="shared" ca="1" si="0"/>
        <v>470</v>
      </c>
      <c r="C25">
        <f t="shared" ca="1" si="1"/>
        <v>4</v>
      </c>
      <c r="D25">
        <f t="shared" ca="1" si="2"/>
        <v>1.6464336653024034E-2</v>
      </c>
      <c r="F25" s="1">
        <f t="shared" ca="1" si="3"/>
        <v>49</v>
      </c>
      <c r="G25" s="1">
        <f t="shared" ca="1" si="4"/>
        <v>17</v>
      </c>
      <c r="H25" s="1">
        <f t="shared" ca="1" si="5"/>
        <v>13</v>
      </c>
      <c r="I25" s="1"/>
      <c r="J25" s="1">
        <f t="shared" ca="1" si="6"/>
        <v>37</v>
      </c>
      <c r="K25" s="1">
        <f t="shared" ca="1" si="7"/>
        <v>2.1553855895846046</v>
      </c>
      <c r="L25" s="1">
        <f t="shared" ca="1" si="8"/>
        <v>20</v>
      </c>
      <c r="M25" s="1"/>
      <c r="N25" s="1">
        <f t="shared" ca="1" si="9"/>
        <v>450</v>
      </c>
      <c r="O25" s="1">
        <f t="shared" ca="1" si="10"/>
        <v>40</v>
      </c>
      <c r="P25" s="1"/>
      <c r="Q25" s="1">
        <f t="shared" ca="1" si="11"/>
        <v>1.9420907190550576</v>
      </c>
      <c r="R25" s="1">
        <f t="shared" ca="1" si="12"/>
        <v>1042</v>
      </c>
      <c r="S25" s="1"/>
      <c r="T25" s="1">
        <f t="shared" ca="1" si="13"/>
        <v>3.1312148173814697E-2</v>
      </c>
      <c r="U25" s="1">
        <f t="shared" ca="1" si="14"/>
        <v>115</v>
      </c>
      <c r="V25" s="1">
        <f t="shared" ca="1" si="15"/>
        <v>19</v>
      </c>
      <c r="W25" s="1"/>
      <c r="X25" s="1">
        <f t="shared" ca="1" si="16"/>
        <v>3.3506687515872531</v>
      </c>
      <c r="Y25" s="1">
        <f t="shared" ca="1" si="17"/>
        <v>0.26403719488907385</v>
      </c>
      <c r="Z25" s="1">
        <f t="shared" ca="1" si="18"/>
        <v>841</v>
      </c>
      <c r="AB25" s="1">
        <f t="shared" ca="1" si="19"/>
        <v>0.27260581408422474</v>
      </c>
      <c r="AC25" s="1">
        <f t="shared" ca="1" si="20"/>
        <v>119</v>
      </c>
      <c r="AD25" s="1">
        <f t="shared" ca="1" si="21"/>
        <v>2.7084709490370405E-3</v>
      </c>
      <c r="AE25" s="1"/>
      <c r="AF25" s="1">
        <f t="shared" ca="1" si="22"/>
        <v>0.26615400447297982</v>
      </c>
      <c r="AG25" s="1">
        <f t="shared" ca="1" si="23"/>
        <v>756</v>
      </c>
      <c r="AH25" s="1">
        <f t="shared" ca="1" si="24"/>
        <v>8.8444433747060676E-4</v>
      </c>
      <c r="AJ25" s="1">
        <f t="shared" ca="1" si="25"/>
        <v>0.42729834709739956</v>
      </c>
      <c r="AK25" s="1">
        <f t="shared" ca="1" si="26"/>
        <v>6.9248302213057202E-3</v>
      </c>
      <c r="AL25" s="1"/>
      <c r="AM25" s="1">
        <f t="shared" ca="1" si="27"/>
        <v>3.6861077157818389E-2</v>
      </c>
      <c r="AN25" s="1">
        <f t="shared" ca="1" si="28"/>
        <v>44</v>
      </c>
      <c r="AO25" s="1">
        <f t="shared" ca="1" si="29"/>
        <v>6</v>
      </c>
      <c r="AQ25" s="1">
        <f t="shared" ca="1" si="30"/>
        <v>168</v>
      </c>
      <c r="AR25" s="1">
        <f t="shared" ca="1" si="31"/>
        <v>3</v>
      </c>
      <c r="AS25" s="1">
        <f t="shared" ca="1" si="32"/>
        <v>22</v>
      </c>
      <c r="AU25" s="1">
        <f t="shared" ca="1" si="33"/>
        <v>169</v>
      </c>
      <c r="AV25" s="1">
        <f t="shared" ca="1" si="34"/>
        <v>2</v>
      </c>
      <c r="AW25" s="1">
        <f t="shared" ca="1" si="35"/>
        <v>0.18450791596280661</v>
      </c>
      <c r="AY25" s="1">
        <f t="shared" ca="1" si="36"/>
        <v>1.1184689537526713</v>
      </c>
      <c r="AZ25" s="1">
        <f t="shared" ca="1" si="37"/>
        <v>124</v>
      </c>
      <c r="BA25" s="1">
        <f t="shared" ca="1" si="38"/>
        <v>8.1417485684115894E-3</v>
      </c>
      <c r="BV25" s="1">
        <f t="shared" ca="1" si="39"/>
        <v>0.85048686999464229</v>
      </c>
      <c r="BW25" s="1">
        <f t="shared" ca="1" si="40"/>
        <v>298</v>
      </c>
      <c r="BX25" s="1">
        <f t="shared" ca="1" si="41"/>
        <v>3.5651525909534648E-3</v>
      </c>
      <c r="BY25" s="1">
        <f t="shared" ca="1" si="42"/>
        <v>3.8319180385951676E-3</v>
      </c>
      <c r="BZ25" s="1">
        <f t="shared" ca="1" si="43"/>
        <v>0.67748873220957118</v>
      </c>
      <c r="CB25" s="1">
        <f t="shared" ca="1" si="44"/>
        <v>468</v>
      </c>
      <c r="CC25" s="1">
        <f t="shared" ca="1" si="45"/>
        <v>4</v>
      </c>
      <c r="CD25" s="1">
        <f t="shared" ca="1" si="46"/>
        <v>0.18388719289417993</v>
      </c>
      <c r="CE25" s="1">
        <f t="shared" ca="1" si="47"/>
        <v>0.60912590682259793</v>
      </c>
      <c r="CF25" s="1">
        <f t="shared" ca="1" si="47"/>
        <v>0.75954783172548002</v>
      </c>
      <c r="CH25" s="3">
        <f t="shared" ca="1" si="48"/>
        <v>0.99502540924454075</v>
      </c>
      <c r="CI25" s="3">
        <f t="shared" ca="1" si="49"/>
        <v>0.17062827310739781</v>
      </c>
      <c r="CJ25" s="3">
        <f t="shared" ca="1" si="50"/>
        <v>558</v>
      </c>
      <c r="CK25" s="3">
        <f t="shared" ca="1" si="51"/>
        <v>3.5474332994232883E-3</v>
      </c>
      <c r="CL25" s="3">
        <f t="shared" ca="1" si="52"/>
        <v>1</v>
      </c>
      <c r="CM25" s="3"/>
      <c r="CN25" s="1">
        <f t="shared" ca="1" si="53"/>
        <v>19.298333353780723</v>
      </c>
      <c r="CO25" s="1">
        <f t="shared" ca="1" si="54"/>
        <v>0.10351031155271502</v>
      </c>
      <c r="CP25" s="1">
        <f t="shared" ca="1" si="55"/>
        <v>4</v>
      </c>
    </row>
    <row r="26" spans="2:94" x14ac:dyDescent="0.25">
      <c r="B26">
        <f t="shared" ca="1" si="0"/>
        <v>772</v>
      </c>
      <c r="C26">
        <f t="shared" ca="1" si="1"/>
        <v>24</v>
      </c>
      <c r="D26">
        <f t="shared" ca="1" si="2"/>
        <v>0.24619168806447533</v>
      </c>
      <c r="F26" s="1">
        <f t="shared" ca="1" si="3"/>
        <v>19</v>
      </c>
      <c r="G26" s="1">
        <f t="shared" ca="1" si="4"/>
        <v>9</v>
      </c>
      <c r="H26" s="1">
        <f t="shared" ca="1" si="5"/>
        <v>8</v>
      </c>
      <c r="I26" s="1"/>
      <c r="J26" s="1">
        <f t="shared" ca="1" si="6"/>
        <v>16</v>
      </c>
      <c r="K26" s="1">
        <f t="shared" ca="1" si="7"/>
        <v>1.9716274287914008</v>
      </c>
      <c r="L26" s="1">
        <f t="shared" ca="1" si="8"/>
        <v>7</v>
      </c>
      <c r="M26" s="1"/>
      <c r="N26" s="1">
        <f t="shared" ca="1" si="9"/>
        <v>235</v>
      </c>
      <c r="O26" s="1">
        <f t="shared" ca="1" si="10"/>
        <v>21</v>
      </c>
      <c r="P26" s="1"/>
      <c r="Q26" s="1">
        <f t="shared" ca="1" si="11"/>
        <v>1.1197421370017724</v>
      </c>
      <c r="R26" s="1">
        <f t="shared" ca="1" si="12"/>
        <v>1104</v>
      </c>
      <c r="S26" s="1"/>
      <c r="T26" s="1">
        <f t="shared" ca="1" si="13"/>
        <v>1.6342030702095941E-2</v>
      </c>
      <c r="U26" s="1">
        <f t="shared" ca="1" si="14"/>
        <v>148</v>
      </c>
      <c r="V26" s="1">
        <f t="shared" ca="1" si="15"/>
        <v>20</v>
      </c>
      <c r="W26" s="1"/>
      <c r="X26" s="1">
        <f t="shared" ca="1" si="16"/>
        <v>4.9659498276287826</v>
      </c>
      <c r="Y26" s="1">
        <f t="shared" ca="1" si="17"/>
        <v>0.61929266745119649</v>
      </c>
      <c r="Z26" s="1">
        <f t="shared" ca="1" si="18"/>
        <v>164</v>
      </c>
      <c r="AB26" s="1">
        <f t="shared" ca="1" si="19"/>
        <v>0.91410131262372374</v>
      </c>
      <c r="AC26" s="1">
        <f t="shared" ca="1" si="20"/>
        <v>521</v>
      </c>
      <c r="AD26" s="1">
        <f t="shared" ca="1" si="21"/>
        <v>8.5514401544204473E-3</v>
      </c>
      <c r="AE26" s="1"/>
      <c r="AF26" s="1">
        <f t="shared" ca="1" si="22"/>
        <v>0.72053830037395072</v>
      </c>
      <c r="AG26" s="1">
        <f t="shared" ca="1" si="23"/>
        <v>184</v>
      </c>
      <c r="AH26" s="1">
        <f t="shared" ca="1" si="24"/>
        <v>5.1139093219247748E-3</v>
      </c>
      <c r="AJ26" s="1">
        <f t="shared" ca="1" si="25"/>
        <v>0.67979532285601452</v>
      </c>
      <c r="AK26" s="1">
        <f t="shared" ca="1" si="26"/>
        <v>9.7197753562307202E-3</v>
      </c>
      <c r="AL26" s="1"/>
      <c r="AM26" s="1">
        <f t="shared" ca="1" si="27"/>
        <v>0.14522701303852947</v>
      </c>
      <c r="AN26" s="1">
        <f t="shared" ca="1" si="28"/>
        <v>59</v>
      </c>
      <c r="AO26" s="1">
        <f t="shared" ca="1" si="29"/>
        <v>-1</v>
      </c>
      <c r="AQ26" s="1">
        <f t="shared" ca="1" si="30"/>
        <v>101</v>
      </c>
      <c r="AR26" s="1">
        <f t="shared" ca="1" si="31"/>
        <v>9</v>
      </c>
      <c r="AS26" s="1">
        <f t="shared" ca="1" si="32"/>
        <v>68</v>
      </c>
      <c r="AU26" s="1">
        <f t="shared" ca="1" si="33"/>
        <v>61</v>
      </c>
      <c r="AV26" s="1">
        <f t="shared" ca="1" si="34"/>
        <v>2</v>
      </c>
      <c r="AW26" s="1">
        <f t="shared" ca="1" si="35"/>
        <v>0.17793448950004029</v>
      </c>
      <c r="AY26" s="1">
        <f t="shared" ca="1" si="36"/>
        <v>1.4139362105751503</v>
      </c>
      <c r="AZ26" s="1">
        <f t="shared" ca="1" si="37"/>
        <v>251</v>
      </c>
      <c r="BA26" s="1">
        <f t="shared" ca="1" si="38"/>
        <v>7.9021909286948726E-3</v>
      </c>
      <c r="BV26" s="1">
        <f t="shared" ca="1" si="39"/>
        <v>0.46901273782881597</v>
      </c>
      <c r="BW26" s="1">
        <f t="shared" ca="1" si="40"/>
        <v>667</v>
      </c>
      <c r="BX26" s="1">
        <f t="shared" ca="1" si="41"/>
        <v>3.4898976270307564E-3</v>
      </c>
      <c r="BY26" s="1">
        <f t="shared" ca="1" si="42"/>
        <v>3.2514235534806472E-2</v>
      </c>
      <c r="BZ26" s="1">
        <f t="shared" ca="1" si="43"/>
        <v>0.72536628424840588</v>
      </c>
      <c r="CB26" s="1">
        <f t="shared" ca="1" si="44"/>
        <v>442</v>
      </c>
      <c r="CC26" s="1">
        <f t="shared" ca="1" si="45"/>
        <v>4</v>
      </c>
      <c r="CD26" s="1">
        <f t="shared" ca="1" si="46"/>
        <v>8.2042131451651276E-2</v>
      </c>
      <c r="CE26" s="1">
        <f t="shared" ca="1" si="47"/>
        <v>0.55340781448635257</v>
      </c>
      <c r="CF26" s="1">
        <f t="shared" ca="1" si="47"/>
        <v>0.74713021346855113</v>
      </c>
      <c r="CH26" s="3">
        <f t="shared" ca="1" si="48"/>
        <v>0.57709738945055844</v>
      </c>
      <c r="CI26" s="3">
        <f t="shared" ca="1" si="49"/>
        <v>0.1801182866541946</v>
      </c>
      <c r="CJ26" s="3">
        <f t="shared" ca="1" si="50"/>
        <v>746</v>
      </c>
      <c r="CK26" s="3">
        <f t="shared" ca="1" si="51"/>
        <v>7.3480717489117844E-3</v>
      </c>
      <c r="CL26" s="3">
        <f t="shared" ca="1" si="52"/>
        <v>1</v>
      </c>
      <c r="CM26" s="3"/>
      <c r="CN26" s="1">
        <f t="shared" ca="1" si="53"/>
        <v>12.118995357719372</v>
      </c>
      <c r="CO26" s="1">
        <f t="shared" ca="1" si="54"/>
        <v>0.15514217709539962</v>
      </c>
      <c r="CP26" s="1">
        <f t="shared" ca="1" si="55"/>
        <v>4</v>
      </c>
    </row>
    <row r="27" spans="2:94" x14ac:dyDescent="0.25">
      <c r="B27">
        <f t="shared" ca="1" si="0"/>
        <v>622</v>
      </c>
      <c r="C27">
        <f t="shared" ca="1" si="1"/>
        <v>19</v>
      </c>
      <c r="D27">
        <f t="shared" ca="1" si="2"/>
        <v>0.20964282834386078</v>
      </c>
      <c r="F27" s="1">
        <f t="shared" ca="1" si="3"/>
        <v>26</v>
      </c>
      <c r="G27" s="1">
        <f t="shared" ca="1" si="4"/>
        <v>26</v>
      </c>
      <c r="H27" s="1">
        <f t="shared" ca="1" si="5"/>
        <v>8</v>
      </c>
      <c r="I27" s="1"/>
      <c r="J27" s="1">
        <f t="shared" ca="1" si="6"/>
        <v>30</v>
      </c>
      <c r="K27" s="1">
        <f t="shared" ca="1" si="7"/>
        <v>1.0030272868960413</v>
      </c>
      <c r="L27" s="1">
        <f t="shared" ca="1" si="8"/>
        <v>10</v>
      </c>
      <c r="M27" s="1"/>
      <c r="N27" s="1">
        <f t="shared" ca="1" si="9"/>
        <v>465</v>
      </c>
      <c r="O27" s="1">
        <f t="shared" ca="1" si="10"/>
        <v>41</v>
      </c>
      <c r="P27" s="1"/>
      <c r="Q27" s="1">
        <f t="shared" ca="1" si="11"/>
        <v>3.631594254593224</v>
      </c>
      <c r="R27" s="1">
        <f t="shared" ca="1" si="12"/>
        <v>815</v>
      </c>
      <c r="S27" s="1"/>
      <c r="T27" s="1">
        <f t="shared" ca="1" si="13"/>
        <v>6.7729758329652098E-2</v>
      </c>
      <c r="U27" s="1">
        <f t="shared" ca="1" si="14"/>
        <v>389</v>
      </c>
      <c r="V27" s="1">
        <f t="shared" ca="1" si="15"/>
        <v>5</v>
      </c>
      <c r="W27" s="1"/>
      <c r="X27" s="1">
        <f t="shared" ca="1" si="16"/>
        <v>9.1425141120209972</v>
      </c>
      <c r="Y27" s="1">
        <f t="shared" ca="1" si="17"/>
        <v>0.93221557155679979</v>
      </c>
      <c r="Z27" s="1">
        <f t="shared" ca="1" si="18"/>
        <v>704</v>
      </c>
      <c r="AB27" s="1">
        <f t="shared" ca="1" si="19"/>
        <v>7.6637082481382374E-3</v>
      </c>
      <c r="AC27" s="1">
        <f t="shared" ca="1" si="20"/>
        <v>411</v>
      </c>
      <c r="AD27" s="1">
        <f t="shared" ca="1" si="21"/>
        <v>9.5131793823155873E-3</v>
      </c>
      <c r="AE27" s="1"/>
      <c r="AF27" s="1">
        <f t="shared" ca="1" si="22"/>
        <v>0.37988879869216252</v>
      </c>
      <c r="AG27" s="1">
        <f t="shared" ca="1" si="23"/>
        <v>713</v>
      </c>
      <c r="AH27" s="1">
        <f t="shared" ca="1" si="24"/>
        <v>4.4972383387086382E-3</v>
      </c>
      <c r="AJ27" s="1">
        <f t="shared" ca="1" si="25"/>
        <v>0.99792032563294542</v>
      </c>
      <c r="AK27" s="1">
        <f t="shared" ca="1" si="26"/>
        <v>1.3339382296554678E-3</v>
      </c>
      <c r="AL27" s="1"/>
      <c r="AM27" s="1">
        <f t="shared" ca="1" si="27"/>
        <v>0.19754413820665606</v>
      </c>
      <c r="AN27" s="1">
        <f t="shared" ca="1" si="28"/>
        <v>25</v>
      </c>
      <c r="AO27" s="1">
        <f t="shared" ca="1" si="29"/>
        <v>3</v>
      </c>
      <c r="AQ27" s="1">
        <f t="shared" ca="1" si="30"/>
        <v>57</v>
      </c>
      <c r="AR27" s="1">
        <f t="shared" ca="1" si="31"/>
        <v>9</v>
      </c>
      <c r="AS27" s="1">
        <f t="shared" ca="1" si="32"/>
        <v>66</v>
      </c>
      <c r="AU27" s="1">
        <f t="shared" ca="1" si="33"/>
        <v>369</v>
      </c>
      <c r="AV27" s="1">
        <f t="shared" ca="1" si="34"/>
        <v>3</v>
      </c>
      <c r="AW27" s="1">
        <f t="shared" ca="1" si="35"/>
        <v>0.16683628109903106</v>
      </c>
      <c r="AY27" s="1">
        <f t="shared" ca="1" si="36"/>
        <v>1.9730186017016318</v>
      </c>
      <c r="AZ27" s="1">
        <f t="shared" ca="1" si="37"/>
        <v>293</v>
      </c>
      <c r="BA27" s="1">
        <f t="shared" ca="1" si="38"/>
        <v>6.4544242195059846E-4</v>
      </c>
      <c r="BV27" s="1">
        <f t="shared" ca="1" si="39"/>
        <v>0.57997071309160952</v>
      </c>
      <c r="BW27" s="1">
        <f t="shared" ca="1" si="40"/>
        <v>669</v>
      </c>
      <c r="BX27" s="1">
        <f t="shared" ca="1" si="41"/>
        <v>3.3309784667545218E-3</v>
      </c>
      <c r="BY27" s="1">
        <f t="shared" ca="1" si="42"/>
        <v>3.0544797327542037E-2</v>
      </c>
      <c r="BZ27" s="1">
        <f t="shared" ca="1" si="43"/>
        <v>0.3133631714386732</v>
      </c>
      <c r="CB27" s="1">
        <f t="shared" ca="1" si="44"/>
        <v>294</v>
      </c>
      <c r="CC27" s="1">
        <f t="shared" ca="1" si="45"/>
        <v>14</v>
      </c>
      <c r="CD27" s="1">
        <f t="shared" ca="1" si="46"/>
        <v>4.7420759511897344E-2</v>
      </c>
      <c r="CE27" s="1">
        <f t="shared" ca="1" si="47"/>
        <v>0.94435396430888929</v>
      </c>
      <c r="CF27" s="1">
        <f t="shared" ca="1" si="47"/>
        <v>0.69580788191061149</v>
      </c>
      <c r="CH27" s="3">
        <f t="shared" ca="1" si="48"/>
        <v>0.98214543366612495</v>
      </c>
      <c r="CI27" s="3">
        <f t="shared" ca="1" si="49"/>
        <v>0.7192135878342335</v>
      </c>
      <c r="CJ27" s="3">
        <f t="shared" ca="1" si="50"/>
        <v>1854</v>
      </c>
      <c r="CK27" s="3">
        <f t="shared" ca="1" si="51"/>
        <v>3.985664452371431E-3</v>
      </c>
      <c r="CL27" s="3">
        <f t="shared" ca="1" si="52"/>
        <v>1</v>
      </c>
      <c r="CM27" s="3"/>
      <c r="CN27" s="1">
        <f t="shared" ca="1" si="53"/>
        <v>14.634863374793138</v>
      </c>
      <c r="CO27" s="1">
        <f t="shared" ca="1" si="54"/>
        <v>0.22272868793722311</v>
      </c>
      <c r="CP27" s="1">
        <f t="shared" ca="1" si="55"/>
        <v>5</v>
      </c>
    </row>
    <row r="28" spans="2:94" x14ac:dyDescent="0.25">
      <c r="B28">
        <f t="shared" ca="1" si="0"/>
        <v>681</v>
      </c>
      <c r="C28">
        <f t="shared" ca="1" si="1"/>
        <v>11</v>
      </c>
      <c r="D28">
        <f t="shared" ca="1" si="2"/>
        <v>0.20451965024578012</v>
      </c>
      <c r="F28" s="1">
        <f t="shared" ca="1" si="3"/>
        <v>45</v>
      </c>
      <c r="G28" s="1">
        <f t="shared" ca="1" si="4"/>
        <v>8</v>
      </c>
      <c r="H28" s="1">
        <f t="shared" ca="1" si="5"/>
        <v>2</v>
      </c>
      <c r="I28" s="1"/>
      <c r="J28" s="1">
        <f t="shared" ca="1" si="6"/>
        <v>23</v>
      </c>
      <c r="K28" s="1">
        <f t="shared" ca="1" si="7"/>
        <v>1.5270442748050503</v>
      </c>
      <c r="L28" s="1">
        <f t="shared" ca="1" si="8"/>
        <v>10</v>
      </c>
      <c r="M28" s="1"/>
      <c r="N28" s="1">
        <f t="shared" ca="1" si="9"/>
        <v>97</v>
      </c>
      <c r="O28" s="1">
        <f t="shared" ca="1" si="10"/>
        <v>39</v>
      </c>
      <c r="P28" s="1"/>
      <c r="Q28" s="1">
        <f t="shared" ca="1" si="11"/>
        <v>4.7777229134148591</v>
      </c>
      <c r="R28" s="1">
        <f t="shared" ca="1" si="12"/>
        <v>1071</v>
      </c>
      <c r="S28" s="1"/>
      <c r="T28" s="1">
        <f t="shared" ca="1" si="13"/>
        <v>0.13179077305961709</v>
      </c>
      <c r="U28" s="1">
        <f t="shared" ca="1" si="14"/>
        <v>240</v>
      </c>
      <c r="V28" s="1">
        <f t="shared" ca="1" si="15"/>
        <v>22</v>
      </c>
      <c r="W28" s="1"/>
      <c r="X28" s="1">
        <f t="shared" ca="1" si="16"/>
        <v>9.5628207660900451</v>
      </c>
      <c r="Y28" s="1">
        <f t="shared" ca="1" si="17"/>
        <v>0.7326706369223307</v>
      </c>
      <c r="Z28" s="1">
        <f t="shared" ca="1" si="18"/>
        <v>1926</v>
      </c>
      <c r="AB28" s="1">
        <f t="shared" ca="1" si="19"/>
        <v>5.2535975535906179E-2</v>
      </c>
      <c r="AC28" s="1">
        <f t="shared" ca="1" si="20"/>
        <v>700</v>
      </c>
      <c r="AD28" s="1">
        <f t="shared" ca="1" si="21"/>
        <v>2.5469870403130985E-3</v>
      </c>
      <c r="AE28" s="1"/>
      <c r="AF28" s="1">
        <f t="shared" ca="1" si="22"/>
        <v>0.81352657498902337</v>
      </c>
      <c r="AG28" s="1">
        <f t="shared" ca="1" si="23"/>
        <v>635</v>
      </c>
      <c r="AH28" s="1">
        <f t="shared" ca="1" si="24"/>
        <v>3.56112351768728E-3</v>
      </c>
      <c r="AJ28" s="1">
        <f t="shared" ca="1" si="25"/>
        <v>0.93063139405816853</v>
      </c>
      <c r="AK28" s="1">
        <f t="shared" ca="1" si="26"/>
        <v>1.1650787209666977E-3</v>
      </c>
      <c r="AL28" s="1"/>
      <c r="AM28" s="1">
        <f t="shared" ca="1" si="27"/>
        <v>8.4849431794931846E-2</v>
      </c>
      <c r="AN28" s="1">
        <f t="shared" ca="1" si="28"/>
        <v>35</v>
      </c>
      <c r="AO28" s="1">
        <f t="shared" ca="1" si="29"/>
        <v>17</v>
      </c>
      <c r="AQ28" s="1">
        <f t="shared" ca="1" si="30"/>
        <v>92</v>
      </c>
      <c r="AR28" s="1">
        <f t="shared" ca="1" si="31"/>
        <v>7</v>
      </c>
      <c r="AS28" s="1">
        <f t="shared" ca="1" si="32"/>
        <v>55</v>
      </c>
      <c r="AU28" s="1">
        <f t="shared" ca="1" si="33"/>
        <v>247</v>
      </c>
      <c r="AV28" s="1">
        <f t="shared" ca="1" si="34"/>
        <v>6</v>
      </c>
      <c r="AW28" s="1">
        <f t="shared" ca="1" si="35"/>
        <v>4.7016645186888646E-2</v>
      </c>
      <c r="AY28" s="1">
        <f t="shared" ca="1" si="36"/>
        <v>1.4417610971356298</v>
      </c>
      <c r="AZ28" s="1">
        <f t="shared" ca="1" si="37"/>
        <v>109</v>
      </c>
      <c r="BA28" s="1">
        <f t="shared" ca="1" si="38"/>
        <v>1.4622005887077764E-3</v>
      </c>
      <c r="BV28" s="1">
        <f t="shared" ca="1" si="39"/>
        <v>0.99557428021944971</v>
      </c>
      <c r="BW28" s="1">
        <f t="shared" ca="1" si="40"/>
        <v>678</v>
      </c>
      <c r="BX28" s="1">
        <f t="shared" ca="1" si="41"/>
        <v>9.4892321787836513E-3</v>
      </c>
      <c r="BY28" s="1">
        <f t="shared" ca="1" si="42"/>
        <v>4.4844490226923432E-2</v>
      </c>
      <c r="BZ28" s="1">
        <f t="shared" ca="1" si="43"/>
        <v>0.63794815572491947</v>
      </c>
      <c r="CB28" s="1">
        <f t="shared" ca="1" si="44"/>
        <v>109</v>
      </c>
      <c r="CC28" s="1">
        <f t="shared" ca="1" si="45"/>
        <v>7</v>
      </c>
      <c r="CD28" s="1">
        <f t="shared" ca="1" si="46"/>
        <v>0.1966782698403296</v>
      </c>
      <c r="CE28" s="1">
        <f t="shared" ca="1" si="47"/>
        <v>0.77102914191269933</v>
      </c>
      <c r="CF28" s="1">
        <f t="shared" ca="1" si="47"/>
        <v>0.59820968143559128</v>
      </c>
      <c r="CH28" s="3">
        <f t="shared" ca="1" si="48"/>
        <v>0.5035957877104168</v>
      </c>
      <c r="CI28" s="3">
        <f t="shared" ca="1" si="49"/>
        <v>0.9894464200056976</v>
      </c>
      <c r="CJ28" s="3">
        <f t="shared" ca="1" si="50"/>
        <v>927</v>
      </c>
      <c r="CK28" s="3">
        <f t="shared" ca="1" si="51"/>
        <v>3.1756706678620896E-3</v>
      </c>
      <c r="CL28" s="3">
        <f t="shared" ca="1" si="52"/>
        <v>0</v>
      </c>
      <c r="CM28" s="3"/>
      <c r="CN28" s="1">
        <f t="shared" ca="1" si="53"/>
        <v>4.6442794521098518</v>
      </c>
      <c r="CO28" s="1">
        <f t="shared" ca="1" si="54"/>
        <v>0.43397027840302244</v>
      </c>
      <c r="CP28" s="1">
        <f t="shared" ca="1" si="55"/>
        <v>5</v>
      </c>
    </row>
    <row r="29" spans="2:94" x14ac:dyDescent="0.25">
      <c r="B29">
        <f t="shared" ca="1" si="0"/>
        <v>60</v>
      </c>
      <c r="C29">
        <f t="shared" ca="1" si="1"/>
        <v>11</v>
      </c>
      <c r="D29">
        <f t="shared" ca="1" si="2"/>
        <v>0.25473532376167657</v>
      </c>
      <c r="F29" s="1">
        <f t="shared" ca="1" si="3"/>
        <v>24</v>
      </c>
      <c r="G29" s="1">
        <f t="shared" ca="1" si="4"/>
        <v>26</v>
      </c>
      <c r="H29" s="1">
        <f t="shared" ca="1" si="5"/>
        <v>13</v>
      </c>
      <c r="I29" s="1"/>
      <c r="J29" s="1">
        <f t="shared" ca="1" si="6"/>
        <v>4</v>
      </c>
      <c r="K29" s="1">
        <f t="shared" ca="1" si="7"/>
        <v>2.5269157182134663</v>
      </c>
      <c r="L29" s="1">
        <f t="shared" ca="1" si="8"/>
        <v>19</v>
      </c>
      <c r="M29" s="1"/>
      <c r="N29" s="1">
        <f t="shared" ca="1" si="9"/>
        <v>725</v>
      </c>
      <c r="O29" s="1">
        <f t="shared" ca="1" si="10"/>
        <v>38</v>
      </c>
      <c r="P29" s="1"/>
      <c r="Q29" s="1">
        <f t="shared" ca="1" si="11"/>
        <v>4.8191828074853813</v>
      </c>
      <c r="R29" s="1">
        <f t="shared" ca="1" si="12"/>
        <v>336</v>
      </c>
      <c r="S29" s="1"/>
      <c r="T29" s="1">
        <f t="shared" ca="1" si="13"/>
        <v>0.13083692114383433</v>
      </c>
      <c r="U29" s="1">
        <f t="shared" ca="1" si="14"/>
        <v>105</v>
      </c>
      <c r="V29" s="1">
        <f t="shared" ca="1" si="15"/>
        <v>35</v>
      </c>
      <c r="W29" s="1"/>
      <c r="X29" s="1">
        <f t="shared" ca="1" si="16"/>
        <v>5.594222535780597</v>
      </c>
      <c r="Y29" s="1">
        <f t="shared" ca="1" si="17"/>
        <v>0.63107060026877615</v>
      </c>
      <c r="Z29" s="1">
        <f t="shared" ca="1" si="18"/>
        <v>1443</v>
      </c>
      <c r="AB29" s="1">
        <f t="shared" ca="1" si="19"/>
        <v>0.21105931226260741</v>
      </c>
      <c r="AC29" s="1">
        <f t="shared" ca="1" si="20"/>
        <v>658</v>
      </c>
      <c r="AD29" s="1">
        <f t="shared" ca="1" si="21"/>
        <v>6.9152914868345454E-3</v>
      </c>
      <c r="AE29" s="1"/>
      <c r="AF29" s="1">
        <f t="shared" ca="1" si="22"/>
        <v>0.58987577767326194</v>
      </c>
      <c r="AG29" s="1">
        <f t="shared" ca="1" si="23"/>
        <v>410</v>
      </c>
      <c r="AH29" s="1">
        <f t="shared" ca="1" si="24"/>
        <v>6.0079854669756044E-3</v>
      </c>
      <c r="AJ29" s="1">
        <f t="shared" ca="1" si="25"/>
        <v>0.43903163243441023</v>
      </c>
      <c r="AK29" s="1">
        <f t="shared" ca="1" si="26"/>
        <v>9.6396752754930419E-3</v>
      </c>
      <c r="AL29" s="1"/>
      <c r="AM29" s="1">
        <f t="shared" ca="1" si="27"/>
        <v>4.8651178391261686E-2</v>
      </c>
      <c r="AN29" s="1">
        <f t="shared" ca="1" si="28"/>
        <v>65</v>
      </c>
      <c r="AO29" s="1">
        <f t="shared" ca="1" si="29"/>
        <v>10</v>
      </c>
      <c r="AQ29" s="1">
        <f t="shared" ca="1" si="30"/>
        <v>145</v>
      </c>
      <c r="AR29" s="1">
        <f t="shared" ca="1" si="31"/>
        <v>2</v>
      </c>
      <c r="AS29" s="1">
        <f t="shared" ca="1" si="32"/>
        <v>21</v>
      </c>
      <c r="AU29" s="1">
        <f t="shared" ca="1" si="33"/>
        <v>374</v>
      </c>
      <c r="AV29" s="1">
        <f t="shared" ca="1" si="34"/>
        <v>9</v>
      </c>
      <c r="AW29" s="1">
        <f t="shared" ca="1" si="35"/>
        <v>0.18882165488307479</v>
      </c>
      <c r="AY29" s="1">
        <f t="shared" ca="1" si="36"/>
        <v>1.6592661743966148</v>
      </c>
      <c r="AZ29" s="1">
        <f t="shared" ca="1" si="37"/>
        <v>119</v>
      </c>
      <c r="BA29" s="1">
        <f t="shared" ca="1" si="38"/>
        <v>7.5687763315693398E-3</v>
      </c>
      <c r="BV29" s="1">
        <f t="shared" ca="1" si="39"/>
        <v>0.62650182481347938</v>
      </c>
      <c r="BW29" s="1">
        <f t="shared" ca="1" si="40"/>
        <v>589</v>
      </c>
      <c r="BX29" s="1">
        <f t="shared" ca="1" si="41"/>
        <v>2.8593050140118832E-3</v>
      </c>
      <c r="BY29" s="1">
        <f t="shared" ca="1" si="42"/>
        <v>9.878233515711124E-2</v>
      </c>
      <c r="BZ29" s="1">
        <f t="shared" ca="1" si="43"/>
        <v>0.60438276575247818</v>
      </c>
      <c r="CB29" s="1">
        <f t="shared" ca="1" si="44"/>
        <v>240</v>
      </c>
      <c r="CC29" s="1">
        <f t="shared" ca="1" si="45"/>
        <v>3</v>
      </c>
      <c r="CD29" s="1">
        <f t="shared" ca="1" si="46"/>
        <v>0.14044923931514561</v>
      </c>
      <c r="CE29" s="1">
        <f t="shared" ca="1" si="47"/>
        <v>0.90542071197443019</v>
      </c>
      <c r="CF29" s="1">
        <f t="shared" ca="1" si="47"/>
        <v>0.61987803594311552</v>
      </c>
      <c r="CH29" s="3">
        <f t="shared" ca="1" si="48"/>
        <v>0.58151806288617736</v>
      </c>
      <c r="CI29" s="3">
        <f t="shared" ca="1" si="49"/>
        <v>0.83986347968384722</v>
      </c>
      <c r="CJ29" s="3">
        <f t="shared" ca="1" si="50"/>
        <v>1681</v>
      </c>
      <c r="CK29" s="3">
        <f t="shared" ca="1" si="51"/>
        <v>6.6864633695356245E-3</v>
      </c>
      <c r="CL29" s="3">
        <f t="shared" ca="1" si="52"/>
        <v>1</v>
      </c>
      <c r="CM29" s="3"/>
      <c r="CN29" s="1">
        <f t="shared" ca="1" si="53"/>
        <v>8.0573739040182009</v>
      </c>
      <c r="CO29" s="1">
        <f t="shared" ca="1" si="54"/>
        <v>1.7946549192016123E-3</v>
      </c>
      <c r="CP29" s="1">
        <f t="shared" ca="1" si="55"/>
        <v>3</v>
      </c>
    </row>
    <row r="30" spans="2:94" x14ac:dyDescent="0.25">
      <c r="B30">
        <f t="shared" ca="1" si="0"/>
        <v>814</v>
      </c>
      <c r="C30">
        <f t="shared" ca="1" si="1"/>
        <v>11</v>
      </c>
      <c r="D30">
        <f t="shared" ca="1" si="2"/>
        <v>6.2855932617191065E-2</v>
      </c>
      <c r="F30" s="1">
        <f t="shared" ca="1" si="3"/>
        <v>26</v>
      </c>
      <c r="G30" s="1">
        <f t="shared" ca="1" si="4"/>
        <v>12</v>
      </c>
      <c r="H30" s="1">
        <f t="shared" ca="1" si="5"/>
        <v>1</v>
      </c>
      <c r="I30" s="1"/>
      <c r="J30" s="1">
        <f t="shared" ca="1" si="6"/>
        <v>37</v>
      </c>
      <c r="K30" s="1">
        <f t="shared" ca="1" si="7"/>
        <v>1.1169601179885793</v>
      </c>
      <c r="L30" s="1">
        <f t="shared" ca="1" si="8"/>
        <v>21</v>
      </c>
      <c r="M30" s="1"/>
      <c r="N30" s="1">
        <f t="shared" ca="1" si="9"/>
        <v>502</v>
      </c>
      <c r="O30" s="1">
        <f t="shared" ca="1" si="10"/>
        <v>31</v>
      </c>
      <c r="P30" s="1"/>
      <c r="Q30" s="1">
        <f t="shared" ca="1" si="11"/>
        <v>1.5016945591422268</v>
      </c>
      <c r="R30" s="1">
        <f t="shared" ca="1" si="12"/>
        <v>810</v>
      </c>
      <c r="S30" s="1"/>
      <c r="T30" s="1">
        <f t="shared" ca="1" si="13"/>
        <v>0.14163985717633823</v>
      </c>
      <c r="U30" s="1">
        <f t="shared" ca="1" si="14"/>
        <v>138</v>
      </c>
      <c r="V30" s="1">
        <f t="shared" ca="1" si="15"/>
        <v>29</v>
      </c>
      <c r="W30" s="1"/>
      <c r="X30" s="1">
        <f t="shared" ca="1" si="16"/>
        <v>0.23599636119156311</v>
      </c>
      <c r="Y30" s="1">
        <f t="shared" ca="1" si="17"/>
        <v>0.37396382294836078</v>
      </c>
      <c r="Z30" s="1">
        <f t="shared" ca="1" si="18"/>
        <v>1881</v>
      </c>
      <c r="AB30" s="1">
        <f t="shared" ca="1" si="19"/>
        <v>0.30537112155414609</v>
      </c>
      <c r="AC30" s="1">
        <f t="shared" ca="1" si="20"/>
        <v>836</v>
      </c>
      <c r="AD30" s="1">
        <f t="shared" ca="1" si="21"/>
        <v>6.6958392195810602E-3</v>
      </c>
      <c r="AE30" s="1"/>
      <c r="AF30" s="1">
        <f t="shared" ca="1" si="22"/>
        <v>0.88462268371148489</v>
      </c>
      <c r="AG30" s="1">
        <f t="shared" ca="1" si="23"/>
        <v>143</v>
      </c>
      <c r="AH30" s="1">
        <f t="shared" ca="1" si="24"/>
        <v>2.7256298431395298E-3</v>
      </c>
      <c r="AJ30" s="1">
        <f t="shared" ca="1" si="25"/>
        <v>0.52625096670535121</v>
      </c>
      <c r="AK30" s="1">
        <f t="shared" ca="1" si="26"/>
        <v>6.3830601018831498E-3</v>
      </c>
      <c r="AL30" s="1"/>
      <c r="AM30" s="1">
        <f t="shared" ca="1" si="27"/>
        <v>5.8882209039960651E-2</v>
      </c>
      <c r="AN30" s="1">
        <f t="shared" ca="1" si="28"/>
        <v>55</v>
      </c>
      <c r="AO30" s="1">
        <f t="shared" ca="1" si="29"/>
        <v>20</v>
      </c>
      <c r="AQ30" s="1">
        <f t="shared" ca="1" si="30"/>
        <v>137</v>
      </c>
      <c r="AR30" s="1">
        <f t="shared" ca="1" si="31"/>
        <v>4</v>
      </c>
      <c r="AS30" s="1">
        <f t="shared" ca="1" si="32"/>
        <v>78</v>
      </c>
      <c r="AU30" s="1">
        <f t="shared" ca="1" si="33"/>
        <v>285</v>
      </c>
      <c r="AV30" s="1">
        <f t="shared" ca="1" si="34"/>
        <v>2</v>
      </c>
      <c r="AW30" s="1">
        <f t="shared" ca="1" si="35"/>
        <v>5.335581414493832E-2</v>
      </c>
      <c r="AY30" s="1">
        <f t="shared" ca="1" si="36"/>
        <v>1.41230709918025</v>
      </c>
      <c r="AZ30" s="1">
        <f t="shared" ca="1" si="37"/>
        <v>326</v>
      </c>
      <c r="BA30" s="1">
        <f t="shared" ca="1" si="38"/>
        <v>6.5895188824932277E-3</v>
      </c>
      <c r="BV30" s="1">
        <f t="shared" ca="1" si="39"/>
        <v>0.12250470236067969</v>
      </c>
      <c r="BW30" s="1">
        <f t="shared" ca="1" si="40"/>
        <v>822</v>
      </c>
      <c r="BX30" s="1">
        <f t="shared" ca="1" si="41"/>
        <v>9.0455563589749294E-3</v>
      </c>
      <c r="BY30" s="1">
        <f t="shared" ca="1" si="42"/>
        <v>2.9260204061342887E-2</v>
      </c>
      <c r="BZ30" s="1">
        <f t="shared" ca="1" si="43"/>
        <v>0.100629232015224</v>
      </c>
      <c r="CB30" s="1">
        <f t="shared" ca="1" si="44"/>
        <v>132</v>
      </c>
      <c r="CC30" s="1">
        <f t="shared" ca="1" si="45"/>
        <v>6</v>
      </c>
      <c r="CD30" s="1">
        <f t="shared" ca="1" si="46"/>
        <v>0.23514318671162787</v>
      </c>
      <c r="CE30" s="1">
        <f t="shared" ca="1" si="47"/>
        <v>0.73540311774374056</v>
      </c>
      <c r="CF30" s="1">
        <f t="shared" ca="1" si="47"/>
        <v>0.712250184019532</v>
      </c>
      <c r="CH30" s="3">
        <f t="shared" ca="1" si="48"/>
        <v>0.68056767135338148</v>
      </c>
      <c r="CI30" s="3">
        <f t="shared" ca="1" si="49"/>
        <v>0.20269516516419139</v>
      </c>
      <c r="CJ30" s="3">
        <f t="shared" ca="1" si="50"/>
        <v>616</v>
      </c>
      <c r="CK30" s="3">
        <f t="shared" ca="1" si="51"/>
        <v>5.5705053932420673E-4</v>
      </c>
      <c r="CL30" s="3">
        <f t="shared" ca="1" si="52"/>
        <v>0</v>
      </c>
      <c r="CM30" s="3"/>
      <c r="CN30" s="1">
        <f t="shared" ca="1" si="53"/>
        <v>11.841567683178676</v>
      </c>
      <c r="CO30" s="1">
        <f t="shared" ca="1" si="54"/>
        <v>0.13832545730097548</v>
      </c>
      <c r="CP30" s="1">
        <f t="shared" ca="1" si="55"/>
        <v>3</v>
      </c>
    </row>
    <row r="31" spans="2:94" x14ac:dyDescent="0.25">
      <c r="B31">
        <f t="shared" ca="1" si="0"/>
        <v>327</v>
      </c>
      <c r="C31">
        <f t="shared" ca="1" si="1"/>
        <v>5</v>
      </c>
      <c r="D31">
        <f t="shared" ca="1" si="2"/>
        <v>0.28780172128414733</v>
      </c>
      <c r="F31" s="1">
        <f t="shared" ca="1" si="3"/>
        <v>42</v>
      </c>
      <c r="G31" s="1">
        <f t="shared" ca="1" si="4"/>
        <v>13</v>
      </c>
      <c r="H31" s="1">
        <f t="shared" ca="1" si="5"/>
        <v>8</v>
      </c>
      <c r="I31" s="1"/>
      <c r="J31" s="1">
        <f t="shared" ca="1" si="6"/>
        <v>35</v>
      </c>
      <c r="K31" s="1">
        <f t="shared" ca="1" si="7"/>
        <v>1.725394803659126</v>
      </c>
      <c r="L31" s="1">
        <f t="shared" ca="1" si="8"/>
        <v>19</v>
      </c>
      <c r="M31" s="1"/>
      <c r="N31" s="1">
        <f t="shared" ca="1" si="9"/>
        <v>547</v>
      </c>
      <c r="O31" s="1">
        <f t="shared" ca="1" si="10"/>
        <v>17</v>
      </c>
      <c r="P31" s="1"/>
      <c r="Q31" s="1">
        <f t="shared" ca="1" si="11"/>
        <v>0.61140153463158287</v>
      </c>
      <c r="R31" s="1">
        <f t="shared" ca="1" si="12"/>
        <v>1030</v>
      </c>
      <c r="S31" s="1"/>
      <c r="T31" s="1">
        <f t="shared" ca="1" si="13"/>
        <v>0.17298263433154795</v>
      </c>
      <c r="U31" s="1">
        <f t="shared" ca="1" si="14"/>
        <v>238</v>
      </c>
      <c r="V31" s="1">
        <f t="shared" ca="1" si="15"/>
        <v>21</v>
      </c>
      <c r="W31" s="1"/>
      <c r="X31" s="1">
        <f t="shared" ca="1" si="16"/>
        <v>4.4069161252603868</v>
      </c>
      <c r="Y31" s="1">
        <f t="shared" ca="1" si="17"/>
        <v>0.15678017047136675</v>
      </c>
      <c r="Z31" s="1">
        <f t="shared" ca="1" si="18"/>
        <v>1174</v>
      </c>
      <c r="AB31" s="1">
        <f t="shared" ca="1" si="19"/>
        <v>0.3798505895315713</v>
      </c>
      <c r="AC31" s="1">
        <f t="shared" ca="1" si="20"/>
        <v>930</v>
      </c>
      <c r="AD31" s="1">
        <f t="shared" ca="1" si="21"/>
        <v>9.6840427744753037E-3</v>
      </c>
      <c r="AE31" s="1"/>
      <c r="AF31" s="1">
        <f t="shared" ca="1" si="22"/>
        <v>0.67932306867189707</v>
      </c>
      <c r="AG31" s="1">
        <f t="shared" ca="1" si="23"/>
        <v>503</v>
      </c>
      <c r="AH31" s="1">
        <f t="shared" ca="1" si="24"/>
        <v>9.1194625569179441E-3</v>
      </c>
      <c r="AJ31" s="1">
        <f t="shared" ca="1" si="25"/>
        <v>0.82971704917713229</v>
      </c>
      <c r="AK31" s="1">
        <f t="shared" ca="1" si="26"/>
        <v>1.3035744063199738E-3</v>
      </c>
      <c r="AL31" s="1"/>
      <c r="AM31" s="1">
        <f t="shared" ca="1" si="27"/>
        <v>0.13504254215236747</v>
      </c>
      <c r="AN31" s="1">
        <f t="shared" ca="1" si="28"/>
        <v>51</v>
      </c>
      <c r="AO31" s="1">
        <f t="shared" ca="1" si="29"/>
        <v>9</v>
      </c>
      <c r="AQ31" s="1">
        <f t="shared" ca="1" si="30"/>
        <v>93</v>
      </c>
      <c r="AR31" s="1">
        <f t="shared" ca="1" si="31"/>
        <v>10</v>
      </c>
      <c r="AS31" s="1">
        <f t="shared" ca="1" si="32"/>
        <v>92</v>
      </c>
      <c r="AU31" s="1">
        <f t="shared" ca="1" si="33"/>
        <v>236</v>
      </c>
      <c r="AV31" s="1">
        <f t="shared" ca="1" si="34"/>
        <v>7</v>
      </c>
      <c r="AW31" s="1">
        <f t="shared" ca="1" si="35"/>
        <v>0.14931414207407359</v>
      </c>
      <c r="AY31" s="1">
        <f t="shared" ca="1" si="36"/>
        <v>1.7217553447768705</v>
      </c>
      <c r="AZ31" s="1">
        <f t="shared" ca="1" si="37"/>
        <v>258</v>
      </c>
      <c r="BA31" s="1">
        <f t="shared" ca="1" si="38"/>
        <v>7.7304402756656621E-3</v>
      </c>
      <c r="BV31" s="1">
        <f t="shared" ca="1" si="39"/>
        <v>8.0604906491327274E-2</v>
      </c>
      <c r="BW31" s="1">
        <f t="shared" ca="1" si="40"/>
        <v>727</v>
      </c>
      <c r="BX31" s="1">
        <f t="shared" ca="1" si="41"/>
        <v>3.528874254168641E-3</v>
      </c>
      <c r="BY31" s="1">
        <f t="shared" ca="1" si="42"/>
        <v>6.4489019898063341E-2</v>
      </c>
      <c r="BZ31" s="1">
        <f t="shared" ca="1" si="43"/>
        <v>0.95927618161578465</v>
      </c>
      <c r="CB31" s="1">
        <f t="shared" ca="1" si="44"/>
        <v>174</v>
      </c>
      <c r="CC31" s="1">
        <f t="shared" ca="1" si="45"/>
        <v>11</v>
      </c>
      <c r="CD31" s="1">
        <f t="shared" ca="1" si="46"/>
        <v>0.23887636379443286</v>
      </c>
      <c r="CE31" s="1">
        <f t="shared" ca="1" si="47"/>
        <v>0.56632695609616035</v>
      </c>
      <c r="CF31" s="1">
        <f t="shared" ca="1" si="47"/>
        <v>0.54791849836683837</v>
      </c>
      <c r="CH31" s="3">
        <f t="shared" ca="1" si="48"/>
        <v>0.52894036034983904</v>
      </c>
      <c r="CI31" s="3">
        <f t="shared" ca="1" si="49"/>
        <v>0.88040270605286364</v>
      </c>
      <c r="CJ31" s="3">
        <f t="shared" ca="1" si="50"/>
        <v>806</v>
      </c>
      <c r="CK31" s="3">
        <f t="shared" ca="1" si="51"/>
        <v>3.8811779459804502E-3</v>
      </c>
      <c r="CL31" s="3">
        <f t="shared" ca="1" si="52"/>
        <v>1</v>
      </c>
      <c r="CM31" s="3"/>
      <c r="CN31" s="1">
        <f t="shared" ca="1" si="53"/>
        <v>12.280223904378412</v>
      </c>
      <c r="CO31" s="1">
        <f t="shared" ca="1" si="54"/>
        <v>0.13134423206066417</v>
      </c>
      <c r="CP31" s="1">
        <f t="shared" ca="1" si="55"/>
        <v>4</v>
      </c>
    </row>
    <row r="32" spans="2:94" x14ac:dyDescent="0.25">
      <c r="B32">
        <f t="shared" ca="1" si="0"/>
        <v>712</v>
      </c>
      <c r="C32">
        <f t="shared" ca="1" si="1"/>
        <v>24</v>
      </c>
      <c r="D32">
        <f t="shared" ca="1" si="2"/>
        <v>0.23511944824341013</v>
      </c>
      <c r="F32" s="1">
        <f t="shared" ca="1" si="3"/>
        <v>19</v>
      </c>
      <c r="G32" s="1">
        <f t="shared" ca="1" si="4"/>
        <v>4</v>
      </c>
      <c r="H32" s="1">
        <f t="shared" ca="1" si="5"/>
        <v>1</v>
      </c>
      <c r="I32" s="1"/>
      <c r="J32" s="1">
        <f t="shared" ca="1" si="6"/>
        <v>33</v>
      </c>
      <c r="K32" s="1">
        <f t="shared" ca="1" si="7"/>
        <v>2.3404796095807492</v>
      </c>
      <c r="L32" s="1">
        <f t="shared" ca="1" si="8"/>
        <v>17</v>
      </c>
      <c r="M32" s="1"/>
      <c r="N32" s="1">
        <f t="shared" ca="1" si="9"/>
        <v>65</v>
      </c>
      <c r="O32" s="1">
        <f t="shared" ca="1" si="10"/>
        <v>51</v>
      </c>
      <c r="P32" s="1"/>
      <c r="Q32" s="1">
        <f t="shared" ca="1" si="11"/>
        <v>2.3182196481517368</v>
      </c>
      <c r="R32" s="1">
        <f t="shared" ca="1" si="12"/>
        <v>274</v>
      </c>
      <c r="S32" s="1"/>
      <c r="T32" s="1">
        <f t="shared" ca="1" si="13"/>
        <v>0.16834028444204882</v>
      </c>
      <c r="U32" s="1">
        <f t="shared" ca="1" si="14"/>
        <v>320</v>
      </c>
      <c r="V32" s="1">
        <f t="shared" ca="1" si="15"/>
        <v>4</v>
      </c>
      <c r="W32" s="1"/>
      <c r="X32" s="1">
        <f t="shared" ca="1" si="16"/>
        <v>5.3103559954361925</v>
      </c>
      <c r="Y32" s="1">
        <f t="shared" ca="1" si="17"/>
        <v>3.6299661246215149E-2</v>
      </c>
      <c r="Z32" s="1">
        <f t="shared" ca="1" si="18"/>
        <v>237</v>
      </c>
      <c r="AB32" s="1">
        <f t="shared" ca="1" si="19"/>
        <v>0.70676026195749941</v>
      </c>
      <c r="AC32" s="1">
        <f t="shared" ca="1" si="20"/>
        <v>640</v>
      </c>
      <c r="AD32" s="1">
        <f t="shared" ca="1" si="21"/>
        <v>8.8083638550945035E-3</v>
      </c>
      <c r="AE32" s="1"/>
      <c r="AF32" s="1">
        <f t="shared" ca="1" si="22"/>
        <v>0.26456885300080335</v>
      </c>
      <c r="AG32" s="1">
        <f t="shared" ca="1" si="23"/>
        <v>553</v>
      </c>
      <c r="AH32" s="1">
        <f t="shared" ca="1" si="24"/>
        <v>5.3917871918555587E-3</v>
      </c>
      <c r="AJ32" s="1">
        <f t="shared" ca="1" si="25"/>
        <v>0.7227258291153873</v>
      </c>
      <c r="AK32" s="1">
        <f t="shared" ca="1" si="26"/>
        <v>9.6192349305697783E-3</v>
      </c>
      <c r="AL32" s="1"/>
      <c r="AM32" s="1">
        <f t="shared" ca="1" si="27"/>
        <v>4.0696620446303206E-2</v>
      </c>
      <c r="AN32" s="1">
        <f t="shared" ca="1" si="28"/>
        <v>21</v>
      </c>
      <c r="AO32" s="1">
        <f t="shared" ca="1" si="29"/>
        <v>20</v>
      </c>
      <c r="AQ32" s="1">
        <f t="shared" ca="1" si="30"/>
        <v>147</v>
      </c>
      <c r="AR32" s="1">
        <f t="shared" ca="1" si="31"/>
        <v>6</v>
      </c>
      <c r="AS32" s="1">
        <f t="shared" ca="1" si="32"/>
        <v>16</v>
      </c>
      <c r="AU32" s="1">
        <f t="shared" ca="1" si="33"/>
        <v>152</v>
      </c>
      <c r="AV32" s="1">
        <f t="shared" ca="1" si="34"/>
        <v>3</v>
      </c>
      <c r="AW32" s="1">
        <f t="shared" ca="1" si="35"/>
        <v>0.11223528116528887</v>
      </c>
      <c r="AY32" s="1">
        <f t="shared" ca="1" si="36"/>
        <v>1.3602600610830635</v>
      </c>
      <c r="AZ32" s="1">
        <f t="shared" ca="1" si="37"/>
        <v>212</v>
      </c>
      <c r="BA32" s="1">
        <f t="shared" ca="1" si="38"/>
        <v>3.332475473620259E-3</v>
      </c>
      <c r="BV32" s="1">
        <f t="shared" ca="1" si="39"/>
        <v>0.36347678522002669</v>
      </c>
      <c r="BW32" s="1">
        <f t="shared" ca="1" si="40"/>
        <v>772</v>
      </c>
      <c r="BX32" s="1">
        <f t="shared" ca="1" si="41"/>
        <v>3.7144762450526023E-3</v>
      </c>
      <c r="BY32" s="1">
        <f t="shared" ca="1" si="42"/>
        <v>7.5063578195872102E-2</v>
      </c>
      <c r="BZ32" s="1">
        <f t="shared" ca="1" si="43"/>
        <v>0.13114740369241362</v>
      </c>
      <c r="CB32" s="1">
        <f t="shared" ca="1" si="44"/>
        <v>414</v>
      </c>
      <c r="CC32" s="1">
        <f t="shared" ca="1" si="45"/>
        <v>7</v>
      </c>
      <c r="CD32" s="1">
        <f t="shared" ca="1" si="46"/>
        <v>0.21536211622275439</v>
      </c>
      <c r="CE32" s="1">
        <f t="shared" ca="1" si="47"/>
        <v>0.73686748725204643</v>
      </c>
      <c r="CF32" s="1">
        <f t="shared" ca="1" si="47"/>
        <v>0.66722263457578013</v>
      </c>
      <c r="CH32" s="3">
        <f t="shared" ca="1" si="48"/>
        <v>0.90345103858000597</v>
      </c>
      <c r="CI32" s="3">
        <f t="shared" ca="1" si="49"/>
        <v>0.42754915154323003</v>
      </c>
      <c r="CJ32" s="3">
        <f t="shared" ca="1" si="50"/>
        <v>1621</v>
      </c>
      <c r="CK32" s="3">
        <f t="shared" ca="1" si="51"/>
        <v>1.6575625347999771E-3</v>
      </c>
      <c r="CL32" s="3">
        <f t="shared" ca="1" si="52"/>
        <v>0</v>
      </c>
      <c r="CM32" s="3"/>
      <c r="CN32" s="1">
        <f t="shared" ca="1" si="53"/>
        <v>17.62855935450521</v>
      </c>
      <c r="CO32" s="1">
        <f t="shared" ca="1" si="54"/>
        <v>0.25967013477444173</v>
      </c>
      <c r="CP32" s="1">
        <f t="shared" ca="1" si="55"/>
        <v>2</v>
      </c>
    </row>
    <row r="33" spans="2:94" x14ac:dyDescent="0.25">
      <c r="B33">
        <f t="shared" ca="1" si="0"/>
        <v>192</v>
      </c>
      <c r="C33">
        <f t="shared" ca="1" si="1"/>
        <v>45</v>
      </c>
      <c r="D33">
        <f t="shared" ca="1" si="2"/>
        <v>0.14305240787443688</v>
      </c>
      <c r="F33" s="1">
        <f t="shared" ca="1" si="3"/>
        <v>10</v>
      </c>
      <c r="G33" s="1">
        <f t="shared" ca="1" si="4"/>
        <v>22</v>
      </c>
      <c r="H33" s="1">
        <f t="shared" ca="1" si="5"/>
        <v>3</v>
      </c>
      <c r="I33" s="1"/>
      <c r="J33" s="1">
        <f t="shared" ca="1" si="6"/>
        <v>1</v>
      </c>
      <c r="K33" s="1">
        <f t="shared" ca="1" si="7"/>
        <v>2.3117538721948359</v>
      </c>
      <c r="L33" s="1">
        <f t="shared" ca="1" si="8"/>
        <v>3</v>
      </c>
      <c r="M33" s="1"/>
      <c r="N33" s="1">
        <f t="shared" ca="1" si="9"/>
        <v>939</v>
      </c>
      <c r="O33" s="1">
        <f t="shared" ca="1" si="10"/>
        <v>13</v>
      </c>
      <c r="P33" s="1"/>
      <c r="Q33" s="1">
        <f t="shared" ca="1" si="11"/>
        <v>1.5974270829527164</v>
      </c>
      <c r="R33" s="1">
        <f t="shared" ca="1" si="12"/>
        <v>758</v>
      </c>
      <c r="S33" s="1"/>
      <c r="T33" s="1">
        <f t="shared" ca="1" si="13"/>
        <v>3.4970875785759477E-2</v>
      </c>
      <c r="U33" s="1">
        <f t="shared" ca="1" si="14"/>
        <v>401</v>
      </c>
      <c r="V33" s="1">
        <f t="shared" ca="1" si="15"/>
        <v>24</v>
      </c>
      <c r="W33" s="1"/>
      <c r="X33" s="1">
        <f t="shared" ca="1" si="16"/>
        <v>3.9612435255082001</v>
      </c>
      <c r="Y33" s="1">
        <f t="shared" ca="1" si="17"/>
        <v>0.28565609667022757</v>
      </c>
      <c r="Z33" s="1">
        <f t="shared" ca="1" si="18"/>
        <v>970</v>
      </c>
      <c r="AB33" s="1">
        <f t="shared" ca="1" si="19"/>
        <v>0.28142020770649961</v>
      </c>
      <c r="AC33" s="1">
        <f t="shared" ca="1" si="20"/>
        <v>366</v>
      </c>
      <c r="AD33" s="1">
        <f t="shared" ca="1" si="21"/>
        <v>8.3452832527798147E-3</v>
      </c>
      <c r="AE33" s="1"/>
      <c r="AF33" s="1">
        <f t="shared" ca="1" si="22"/>
        <v>0.43377961617998828</v>
      </c>
      <c r="AG33" s="1">
        <f t="shared" ca="1" si="23"/>
        <v>222</v>
      </c>
      <c r="AH33" s="1">
        <f t="shared" ca="1" si="24"/>
        <v>8.1454032401066159E-3</v>
      </c>
      <c r="AJ33" s="1">
        <f t="shared" ca="1" si="25"/>
        <v>0.90499554351877187</v>
      </c>
      <c r="AK33" s="1">
        <f t="shared" ca="1" si="26"/>
        <v>7.7107410595687069E-3</v>
      </c>
      <c r="AL33" s="1"/>
      <c r="AM33" s="1">
        <f t="shared" ca="1" si="27"/>
        <v>0.18254834982444915</v>
      </c>
      <c r="AN33" s="1">
        <f t="shared" ca="1" si="28"/>
        <v>53</v>
      </c>
      <c r="AO33" s="1">
        <f t="shared" ca="1" si="29"/>
        <v>10</v>
      </c>
      <c r="AQ33" s="1">
        <f t="shared" ca="1" si="30"/>
        <v>129</v>
      </c>
      <c r="AR33" s="1">
        <f t="shared" ca="1" si="31"/>
        <v>3</v>
      </c>
      <c r="AS33" s="1">
        <f t="shared" ca="1" si="32"/>
        <v>33</v>
      </c>
      <c r="AU33" s="1">
        <f t="shared" ca="1" si="33"/>
        <v>56</v>
      </c>
      <c r="AV33" s="1">
        <f t="shared" ca="1" si="34"/>
        <v>3</v>
      </c>
      <c r="AW33" s="1">
        <f t="shared" ca="1" si="35"/>
        <v>7.5508358558850588E-2</v>
      </c>
      <c r="AY33" s="1">
        <f t="shared" ca="1" si="36"/>
        <v>1.2957586386781614</v>
      </c>
      <c r="AZ33" s="1">
        <f t="shared" ca="1" si="37"/>
        <v>400</v>
      </c>
      <c r="BA33" s="1">
        <f t="shared" ca="1" si="38"/>
        <v>1.8817494720170004E-3</v>
      </c>
      <c r="BV33" s="1">
        <f t="shared" ca="1" si="39"/>
        <v>4.736018468719861E-2</v>
      </c>
      <c r="BW33" s="1">
        <f t="shared" ca="1" si="40"/>
        <v>446</v>
      </c>
      <c r="BX33" s="1">
        <f t="shared" ca="1" si="41"/>
        <v>9.4064706391135539E-3</v>
      </c>
      <c r="BY33" s="1">
        <f t="shared" ca="1" si="42"/>
        <v>3.8536901273342708E-2</v>
      </c>
      <c r="BZ33" s="1">
        <f t="shared" ca="1" si="43"/>
        <v>0.61163347375369348</v>
      </c>
      <c r="CB33" s="1">
        <f t="shared" ca="1" si="44"/>
        <v>413</v>
      </c>
      <c r="CC33" s="1">
        <f t="shared" ca="1" si="45"/>
        <v>11</v>
      </c>
      <c r="CD33" s="1">
        <f t="shared" ca="1" si="46"/>
        <v>3.3986187033436935E-2</v>
      </c>
      <c r="CE33" s="1">
        <f t="shared" ca="1" si="47"/>
        <v>0.93148378448117519</v>
      </c>
      <c r="CF33" s="1">
        <f t="shared" ca="1" si="47"/>
        <v>0.57669086299680039</v>
      </c>
      <c r="CH33" s="3">
        <f t="shared" ca="1" si="48"/>
        <v>0.83644497975584209</v>
      </c>
      <c r="CI33" s="3">
        <f t="shared" ca="1" si="49"/>
        <v>0.82126460682421076</v>
      </c>
      <c r="CJ33" s="3">
        <f t="shared" ca="1" si="50"/>
        <v>119</v>
      </c>
      <c r="CK33" s="3">
        <f t="shared" ca="1" si="51"/>
        <v>1.9429051834365116E-3</v>
      </c>
      <c r="CL33" s="3">
        <f t="shared" ca="1" si="52"/>
        <v>0</v>
      </c>
      <c r="CM33" s="3"/>
      <c r="CN33" s="1">
        <f t="shared" ca="1" si="53"/>
        <v>2.0551327799892491</v>
      </c>
      <c r="CO33" s="1">
        <f t="shared" ca="1" si="54"/>
        <v>7.0814146763561625E-2</v>
      </c>
      <c r="CP33" s="1">
        <f t="shared" ca="1" si="55"/>
        <v>2</v>
      </c>
    </row>
    <row r="34" spans="2:94" x14ac:dyDescent="0.25">
      <c r="B34">
        <f t="shared" ca="1" si="0"/>
        <v>254</v>
      </c>
      <c r="C34">
        <f t="shared" ca="1" si="1"/>
        <v>12</v>
      </c>
      <c r="D34">
        <f t="shared" ca="1" si="2"/>
        <v>0.1618266769741924</v>
      </c>
      <c r="F34" s="1">
        <f t="shared" ca="1" si="3"/>
        <v>3</v>
      </c>
      <c r="G34" s="1">
        <f t="shared" ca="1" si="4"/>
        <v>4</v>
      </c>
      <c r="H34" s="1">
        <f t="shared" ca="1" si="5"/>
        <v>5</v>
      </c>
      <c r="I34" s="1"/>
      <c r="J34" s="1">
        <f t="shared" ca="1" si="6"/>
        <v>29</v>
      </c>
      <c r="K34" s="1">
        <f t="shared" ca="1" si="7"/>
        <v>1.6413401617583911</v>
      </c>
      <c r="L34" s="1">
        <f t="shared" ca="1" si="8"/>
        <v>10</v>
      </c>
      <c r="M34" s="1"/>
      <c r="N34" s="1">
        <f t="shared" ca="1" si="9"/>
        <v>869</v>
      </c>
      <c r="O34" s="1">
        <f t="shared" ca="1" si="10"/>
        <v>9</v>
      </c>
      <c r="P34" s="1"/>
      <c r="Q34" s="1">
        <f t="shared" ca="1" si="11"/>
        <v>2.219999426196678</v>
      </c>
      <c r="R34" s="1">
        <f t="shared" ca="1" si="12"/>
        <v>203</v>
      </c>
      <c r="S34" s="1"/>
      <c r="T34" s="1">
        <f t="shared" ca="1" si="13"/>
        <v>1.9197104788258361E-2</v>
      </c>
      <c r="U34" s="1">
        <f t="shared" ca="1" si="14"/>
        <v>203</v>
      </c>
      <c r="V34" s="1">
        <f t="shared" ca="1" si="15"/>
        <v>45</v>
      </c>
      <c r="W34" s="1"/>
      <c r="X34" s="1">
        <f t="shared" ca="1" si="16"/>
        <v>7.6583779072639997</v>
      </c>
      <c r="Y34" s="1">
        <f t="shared" ca="1" si="17"/>
        <v>8.6499717161740125E-2</v>
      </c>
      <c r="Z34" s="1">
        <f t="shared" ca="1" si="18"/>
        <v>1552</v>
      </c>
      <c r="AB34" s="1">
        <f t="shared" ca="1" si="19"/>
        <v>0.14358330574316674</v>
      </c>
      <c r="AC34" s="1">
        <f t="shared" ca="1" si="20"/>
        <v>506</v>
      </c>
      <c r="AD34" s="1">
        <f t="shared" ca="1" si="21"/>
        <v>9.4766249785818799E-3</v>
      </c>
      <c r="AE34" s="1"/>
      <c r="AF34" s="1">
        <f t="shared" ca="1" si="22"/>
        <v>0.4425695852759105</v>
      </c>
      <c r="AG34" s="1">
        <f t="shared" ca="1" si="23"/>
        <v>287</v>
      </c>
      <c r="AH34" s="1">
        <f t="shared" ca="1" si="24"/>
        <v>3.9129486522252064E-3</v>
      </c>
      <c r="AJ34" s="1">
        <f t="shared" ca="1" si="25"/>
        <v>0.56083079061344998</v>
      </c>
      <c r="AK34" s="1">
        <f t="shared" ca="1" si="26"/>
        <v>2.0470112688786716E-3</v>
      </c>
      <c r="AL34" s="1"/>
      <c r="AM34" s="1">
        <f t="shared" ca="1" si="27"/>
        <v>0.18062101186287854</v>
      </c>
      <c r="AN34" s="1">
        <f t="shared" ca="1" si="28"/>
        <v>51</v>
      </c>
      <c r="AO34" s="1">
        <f t="shared" ca="1" si="29"/>
        <v>3</v>
      </c>
      <c r="AQ34" s="1">
        <f t="shared" ca="1" si="30"/>
        <v>62</v>
      </c>
      <c r="AR34" s="1">
        <f t="shared" ca="1" si="31"/>
        <v>1</v>
      </c>
      <c r="AS34" s="1">
        <f t="shared" ca="1" si="32"/>
        <v>20</v>
      </c>
      <c r="AU34" s="1">
        <f t="shared" ca="1" si="33"/>
        <v>348</v>
      </c>
      <c r="AV34" s="1">
        <f t="shared" ca="1" si="34"/>
        <v>8</v>
      </c>
      <c r="AW34" s="1">
        <f t="shared" ca="1" si="35"/>
        <v>9.1908416857409386E-2</v>
      </c>
      <c r="AY34" s="1">
        <f t="shared" ca="1" si="36"/>
        <v>1.1640328861149871</v>
      </c>
      <c r="AZ34" s="1">
        <f t="shared" ca="1" si="37"/>
        <v>468</v>
      </c>
      <c r="BA34" s="1">
        <f t="shared" ca="1" si="38"/>
        <v>1.108613444142946E-3</v>
      </c>
      <c r="BV34" s="1">
        <f t="shared" ca="1" si="39"/>
        <v>0.43913143180779529</v>
      </c>
      <c r="BW34" s="1">
        <f t="shared" ca="1" si="40"/>
        <v>976</v>
      </c>
      <c r="BX34" s="1">
        <f t="shared" ca="1" si="41"/>
        <v>1.8453302943855548E-3</v>
      </c>
      <c r="BY34" s="1">
        <f t="shared" ca="1" si="42"/>
        <v>5.1026317662370237E-2</v>
      </c>
      <c r="BZ34" s="1">
        <f t="shared" ca="1" si="43"/>
        <v>0.90722158668709252</v>
      </c>
      <c r="CB34" s="1">
        <f t="shared" ca="1" si="44"/>
        <v>53</v>
      </c>
      <c r="CC34" s="1">
        <f t="shared" ca="1" si="45"/>
        <v>7</v>
      </c>
      <c r="CD34" s="1">
        <f t="shared" ca="1" si="46"/>
        <v>9.5245334311023888E-2</v>
      </c>
      <c r="CE34" s="1">
        <f t="shared" ca="1" si="47"/>
        <v>0.99170945269808031</v>
      </c>
      <c r="CF34" s="1">
        <f t="shared" ca="1" si="47"/>
        <v>0.64023439146843608</v>
      </c>
      <c r="CH34" s="3">
        <f t="shared" ca="1" si="48"/>
        <v>0.15831001343497689</v>
      </c>
      <c r="CI34" s="3">
        <f t="shared" ca="1" si="49"/>
        <v>0.61857216536108395</v>
      </c>
      <c r="CJ34" s="3">
        <f t="shared" ca="1" si="50"/>
        <v>1460</v>
      </c>
      <c r="CK34" s="3">
        <f t="shared" ca="1" si="51"/>
        <v>2.0519316756451365E-3</v>
      </c>
      <c r="CL34" s="3">
        <f t="shared" ca="1" si="52"/>
        <v>1</v>
      </c>
      <c r="CM34" s="3"/>
      <c r="CN34" s="1">
        <f t="shared" ca="1" si="53"/>
        <v>16.105319755190891</v>
      </c>
      <c r="CO34" s="1">
        <f t="shared" ca="1" si="54"/>
        <v>4.5144668003120204E-2</v>
      </c>
      <c r="CP34" s="1">
        <f t="shared" ca="1" si="55"/>
        <v>1</v>
      </c>
    </row>
    <row r="35" spans="2:94" x14ac:dyDescent="0.25">
      <c r="B35">
        <f t="shared" ca="1" si="0"/>
        <v>628</v>
      </c>
      <c r="C35">
        <f t="shared" ca="1" si="1"/>
        <v>48</v>
      </c>
      <c r="D35">
        <f t="shared" ca="1" si="2"/>
        <v>8.9525153566839724E-2</v>
      </c>
      <c r="F35" s="1">
        <f t="shared" ca="1" si="3"/>
        <v>23</v>
      </c>
      <c r="G35" s="1">
        <f t="shared" ca="1" si="4"/>
        <v>27</v>
      </c>
      <c r="H35" s="1">
        <f t="shared" ca="1" si="5"/>
        <v>1</v>
      </c>
      <c r="I35" s="1"/>
      <c r="J35" s="1">
        <f t="shared" ca="1" si="6"/>
        <v>11</v>
      </c>
      <c r="K35" s="1">
        <f t="shared" ca="1" si="7"/>
        <v>1.8103430250053258</v>
      </c>
      <c r="L35" s="1">
        <f t="shared" ca="1" si="8"/>
        <v>26</v>
      </c>
      <c r="M35" s="1"/>
      <c r="N35" s="1">
        <f t="shared" ca="1" si="9"/>
        <v>274</v>
      </c>
      <c r="O35" s="1">
        <f t="shared" ca="1" si="10"/>
        <v>9</v>
      </c>
      <c r="P35" s="1"/>
      <c r="Q35" s="1">
        <f t="shared" ca="1" si="11"/>
        <v>2.8303338818929986</v>
      </c>
      <c r="R35" s="1">
        <f t="shared" ca="1" si="12"/>
        <v>432</v>
      </c>
      <c r="S35" s="1"/>
      <c r="T35" s="1">
        <f t="shared" ca="1" si="13"/>
        <v>2.664457861749716E-2</v>
      </c>
      <c r="U35" s="1">
        <f t="shared" ca="1" si="14"/>
        <v>84</v>
      </c>
      <c r="V35" s="1">
        <f t="shared" ca="1" si="15"/>
        <v>10</v>
      </c>
      <c r="W35" s="1"/>
      <c r="X35" s="1">
        <f t="shared" ca="1" si="16"/>
        <v>8.6199372300080963</v>
      </c>
      <c r="Y35" s="1">
        <f t="shared" ca="1" si="17"/>
        <v>0.57449191626826268</v>
      </c>
      <c r="Z35" s="1">
        <f t="shared" ca="1" si="18"/>
        <v>528</v>
      </c>
      <c r="AB35" s="1">
        <f t="shared" ca="1" si="19"/>
        <v>0.23692736006522966</v>
      </c>
      <c r="AC35" s="1">
        <f t="shared" ca="1" si="20"/>
        <v>907</v>
      </c>
      <c r="AD35" s="1">
        <f t="shared" ca="1" si="21"/>
        <v>2.136601012077903E-3</v>
      </c>
      <c r="AE35" s="1"/>
      <c r="AF35" s="1">
        <f t="shared" ca="1" si="22"/>
        <v>0.294725549991598</v>
      </c>
      <c r="AG35" s="1">
        <f t="shared" ca="1" si="23"/>
        <v>857</v>
      </c>
      <c r="AH35" s="1">
        <f t="shared" ca="1" si="24"/>
        <v>3.3945108516777165E-3</v>
      </c>
      <c r="AJ35" s="1">
        <f t="shared" ca="1" si="25"/>
        <v>0.53920580124037443</v>
      </c>
      <c r="AK35" s="1">
        <f t="shared" ca="1" si="26"/>
        <v>2.3368799818284576E-3</v>
      </c>
      <c r="AL35" s="1"/>
      <c r="AM35" s="1">
        <f t="shared" ca="1" si="27"/>
        <v>2.1618564730413903E-2</v>
      </c>
      <c r="AN35" s="1">
        <f t="shared" ca="1" si="28"/>
        <v>13</v>
      </c>
      <c r="AO35" s="1">
        <f t="shared" ca="1" si="29"/>
        <v>4</v>
      </c>
      <c r="AQ35" s="1">
        <f t="shared" ca="1" si="30"/>
        <v>93</v>
      </c>
      <c r="AR35" s="1">
        <f t="shared" ca="1" si="31"/>
        <v>9</v>
      </c>
      <c r="AS35" s="1">
        <f t="shared" ca="1" si="32"/>
        <v>29</v>
      </c>
      <c r="AU35" s="1">
        <f t="shared" ca="1" si="33"/>
        <v>400</v>
      </c>
      <c r="AV35" s="1">
        <f t="shared" ca="1" si="34"/>
        <v>8</v>
      </c>
      <c r="AW35" s="1">
        <f t="shared" ca="1" si="35"/>
        <v>5.6093626574314825E-2</v>
      </c>
      <c r="AY35" s="1">
        <f t="shared" ca="1" si="36"/>
        <v>1.6731846731271633</v>
      </c>
      <c r="AZ35" s="1">
        <f t="shared" ca="1" si="37"/>
        <v>270</v>
      </c>
      <c r="BA35" s="1">
        <f t="shared" ca="1" si="38"/>
        <v>5.5815930063485572E-3</v>
      </c>
      <c r="BV35" s="1">
        <f t="shared" ca="1" si="39"/>
        <v>0.20080121679607327</v>
      </c>
      <c r="BW35" s="1">
        <f t="shared" ca="1" si="40"/>
        <v>751</v>
      </c>
      <c r="BX35" s="1">
        <f t="shared" ca="1" si="41"/>
        <v>1.1165214216031475E-3</v>
      </c>
      <c r="BY35" s="1">
        <f t="shared" ca="1" si="42"/>
        <v>3.3462579732341208E-2</v>
      </c>
      <c r="BZ35" s="1">
        <f t="shared" ca="1" si="43"/>
        <v>0.42881169080398929</v>
      </c>
      <c r="CB35" s="1">
        <f t="shared" ca="1" si="44"/>
        <v>475</v>
      </c>
      <c r="CC35" s="1">
        <f t="shared" ca="1" si="45"/>
        <v>4</v>
      </c>
      <c r="CD35" s="1">
        <f t="shared" ca="1" si="46"/>
        <v>4.2447067141330196E-2</v>
      </c>
      <c r="CE35" s="1">
        <f t="shared" ca="1" si="47"/>
        <v>0.53924093975738374</v>
      </c>
      <c r="CF35" s="1">
        <f t="shared" ca="1" si="47"/>
        <v>0.69257789515155288</v>
      </c>
      <c r="CH35" s="3">
        <f t="shared" ca="1" si="48"/>
        <v>5.0964797568774242E-2</v>
      </c>
      <c r="CI35" s="3">
        <f t="shared" ca="1" si="49"/>
        <v>0.28477426857717436</v>
      </c>
      <c r="CJ35" s="3">
        <f t="shared" ca="1" si="50"/>
        <v>797</v>
      </c>
      <c r="CK35" s="3">
        <f t="shared" ca="1" si="51"/>
        <v>8.0469432728146519E-3</v>
      </c>
      <c r="CL35" s="3">
        <f t="shared" ca="1" si="52"/>
        <v>0</v>
      </c>
      <c r="CM35" s="3"/>
      <c r="CN35" s="1">
        <f t="shared" ca="1" si="53"/>
        <v>17.898752060975571</v>
      </c>
      <c r="CO35" s="1">
        <f t="shared" ca="1" si="54"/>
        <v>0.28321820700855888</v>
      </c>
      <c r="CP35" s="1">
        <f t="shared" ca="1" si="55"/>
        <v>3</v>
      </c>
    </row>
    <row r="36" spans="2:94" x14ac:dyDescent="0.25">
      <c r="B36">
        <f t="shared" ca="1" si="0"/>
        <v>952</v>
      </c>
      <c r="C36">
        <f t="shared" ca="1" si="1"/>
        <v>6</v>
      </c>
      <c r="D36">
        <f t="shared" ca="1" si="2"/>
        <v>0.16814097552535107</v>
      </c>
      <c r="F36" s="1">
        <f t="shared" ca="1" si="3"/>
        <v>31</v>
      </c>
      <c r="G36" s="1">
        <f t="shared" ca="1" si="4"/>
        <v>2</v>
      </c>
      <c r="H36" s="1">
        <f t="shared" ca="1" si="5"/>
        <v>5</v>
      </c>
      <c r="I36" s="1"/>
      <c r="J36" s="1">
        <f t="shared" ca="1" si="6"/>
        <v>30</v>
      </c>
      <c r="K36" s="1">
        <f t="shared" ca="1" si="7"/>
        <v>2.4545576276210488</v>
      </c>
      <c r="L36" s="1">
        <f t="shared" ca="1" si="8"/>
        <v>17</v>
      </c>
      <c r="M36" s="1"/>
      <c r="N36" s="1">
        <f t="shared" ca="1" si="9"/>
        <v>593</v>
      </c>
      <c r="O36" s="1">
        <f t="shared" ca="1" si="10"/>
        <v>40</v>
      </c>
      <c r="P36" s="1"/>
      <c r="Q36" s="1">
        <f t="shared" ca="1" si="11"/>
        <v>1.3974430559254511</v>
      </c>
      <c r="R36" s="1">
        <f t="shared" ca="1" si="12"/>
        <v>1157</v>
      </c>
      <c r="S36" s="1"/>
      <c r="T36" s="1">
        <f t="shared" ca="1" si="13"/>
        <v>6.8409056599943216E-2</v>
      </c>
      <c r="U36" s="1">
        <f t="shared" ca="1" si="14"/>
        <v>342</v>
      </c>
      <c r="V36" s="1">
        <f t="shared" ca="1" si="15"/>
        <v>11</v>
      </c>
      <c r="W36" s="1"/>
      <c r="X36" s="1">
        <f t="shared" ca="1" si="16"/>
        <v>1.4926122351320135</v>
      </c>
      <c r="Y36" s="1">
        <f t="shared" ca="1" si="17"/>
        <v>0.3877955673888413</v>
      </c>
      <c r="Z36" s="1">
        <f t="shared" ca="1" si="18"/>
        <v>688</v>
      </c>
      <c r="AB36" s="1">
        <f t="shared" ca="1" si="19"/>
        <v>0.16024823623987047</v>
      </c>
      <c r="AC36" s="1">
        <f t="shared" ca="1" si="20"/>
        <v>383</v>
      </c>
      <c r="AD36" s="1">
        <f t="shared" ca="1" si="21"/>
        <v>1.5377015608864055E-3</v>
      </c>
      <c r="AE36" s="1"/>
      <c r="AF36" s="1">
        <f t="shared" ca="1" si="22"/>
        <v>0.78311861874644428</v>
      </c>
      <c r="AG36" s="1">
        <f t="shared" ca="1" si="23"/>
        <v>812</v>
      </c>
      <c r="AH36" s="1">
        <f t="shared" ca="1" si="24"/>
        <v>6.5171373414449636E-3</v>
      </c>
      <c r="AJ36" s="1">
        <f t="shared" ca="1" si="25"/>
        <v>0.65168904734040645</v>
      </c>
      <c r="AK36" s="1">
        <f t="shared" ca="1" si="26"/>
        <v>6.5700245351194069E-3</v>
      </c>
      <c r="AL36" s="1"/>
      <c r="AM36" s="1">
        <f t="shared" ca="1" si="27"/>
        <v>8.7847572926289169E-2</v>
      </c>
      <c r="AN36" s="1">
        <f t="shared" ca="1" si="28"/>
        <v>61</v>
      </c>
      <c r="AO36" s="1">
        <f t="shared" ca="1" si="29"/>
        <v>19</v>
      </c>
      <c r="AQ36" s="1">
        <f t="shared" ca="1" si="30"/>
        <v>191</v>
      </c>
      <c r="AR36" s="1">
        <f t="shared" ca="1" si="31"/>
        <v>7</v>
      </c>
      <c r="AS36" s="1">
        <f t="shared" ca="1" si="32"/>
        <v>75</v>
      </c>
      <c r="AU36" s="1">
        <f t="shared" ca="1" si="33"/>
        <v>356</v>
      </c>
      <c r="AV36" s="1">
        <f t="shared" ca="1" si="34"/>
        <v>9</v>
      </c>
      <c r="AW36" s="1">
        <f t="shared" ca="1" si="35"/>
        <v>5.9545476327452641E-2</v>
      </c>
      <c r="AY36" s="1">
        <f t="shared" ca="1" si="36"/>
        <v>1.5233952633042422</v>
      </c>
      <c r="AZ36" s="1">
        <f t="shared" ca="1" si="37"/>
        <v>444</v>
      </c>
      <c r="BA36" s="1">
        <f t="shared" ca="1" si="38"/>
        <v>3.0301068513982625E-3</v>
      </c>
      <c r="BV36" s="1">
        <f t="shared" ca="1" si="39"/>
        <v>0.56288433409614425</v>
      </c>
      <c r="BW36" s="1">
        <f t="shared" ca="1" si="40"/>
        <v>731</v>
      </c>
      <c r="BX36" s="1">
        <f t="shared" ca="1" si="41"/>
        <v>2.8868006739669843E-3</v>
      </c>
      <c r="BY36" s="1">
        <f t="shared" ca="1" si="42"/>
        <v>7.859021452775343E-2</v>
      </c>
      <c r="BZ36" s="1">
        <f t="shared" ca="1" si="43"/>
        <v>0.46379466758856691</v>
      </c>
      <c r="CB36" s="1">
        <f t="shared" ca="1" si="44"/>
        <v>429</v>
      </c>
      <c r="CC36" s="1">
        <f t="shared" ca="1" si="45"/>
        <v>4</v>
      </c>
      <c r="CD36" s="1">
        <f t="shared" ca="1" si="46"/>
        <v>0.11688241582792042</v>
      </c>
      <c r="CE36" s="1">
        <f t="shared" ref="CE36:CF67" ca="1" si="56">RAND()*(1-0.5)+0.5</f>
        <v>0.54849877348575271</v>
      </c>
      <c r="CF36" s="1">
        <f t="shared" ca="1" si="56"/>
        <v>0.75593550627972173</v>
      </c>
      <c r="CH36" s="3">
        <f t="shared" ca="1" si="48"/>
        <v>0.95908554812565416</v>
      </c>
      <c r="CI36" s="3">
        <f t="shared" ca="1" si="49"/>
        <v>9.9594873294037073E-2</v>
      </c>
      <c r="CJ36" s="3">
        <f t="shared" ca="1" si="50"/>
        <v>1842</v>
      </c>
      <c r="CK36" s="3">
        <f t="shared" ca="1" si="51"/>
        <v>2.9124821732055451E-3</v>
      </c>
      <c r="CL36" s="3">
        <f t="shared" ca="1" si="52"/>
        <v>0</v>
      </c>
      <c r="CM36" s="3"/>
      <c r="CN36" s="1">
        <f t="shared" ca="1" si="53"/>
        <v>18.591007187973325</v>
      </c>
      <c r="CO36" s="1">
        <f t="shared" ca="1" si="54"/>
        <v>0.21225525210335394</v>
      </c>
      <c r="CP36" s="1">
        <f t="shared" ca="1" si="55"/>
        <v>5</v>
      </c>
    </row>
    <row r="37" spans="2:94" x14ac:dyDescent="0.25">
      <c r="B37">
        <f t="shared" ca="1" si="0"/>
        <v>936</v>
      </c>
      <c r="C37">
        <f t="shared" ca="1" si="1"/>
        <v>15</v>
      </c>
      <c r="D37">
        <f t="shared" ca="1" si="2"/>
        <v>0.28140192620621945</v>
      </c>
      <c r="F37" s="1">
        <f t="shared" ca="1" si="3"/>
        <v>11</v>
      </c>
      <c r="G37" s="1">
        <f t="shared" ca="1" si="4"/>
        <v>7</v>
      </c>
      <c r="H37" s="1">
        <f t="shared" ca="1" si="5"/>
        <v>3</v>
      </c>
      <c r="I37" s="1"/>
      <c r="J37" s="1">
        <f t="shared" ca="1" si="6"/>
        <v>23</v>
      </c>
      <c r="K37" s="1">
        <f t="shared" ca="1" si="7"/>
        <v>2.2401547011671585</v>
      </c>
      <c r="L37" s="1">
        <f t="shared" ca="1" si="8"/>
        <v>10</v>
      </c>
      <c r="M37" s="1"/>
      <c r="N37" s="1">
        <f t="shared" ca="1" si="9"/>
        <v>659</v>
      </c>
      <c r="O37" s="1">
        <f t="shared" ca="1" si="10"/>
        <v>33</v>
      </c>
      <c r="P37" s="1"/>
      <c r="Q37" s="1">
        <f t="shared" ca="1" si="11"/>
        <v>2.8707872310431215</v>
      </c>
      <c r="R37" s="1">
        <f t="shared" ca="1" si="12"/>
        <v>606</v>
      </c>
      <c r="S37" s="1"/>
      <c r="T37" s="1">
        <f t="shared" ca="1" si="13"/>
        <v>7.7366565426294831E-2</v>
      </c>
      <c r="U37" s="1">
        <f t="shared" ca="1" si="14"/>
        <v>150</v>
      </c>
      <c r="V37" s="1">
        <f t="shared" ca="1" si="15"/>
        <v>42</v>
      </c>
      <c r="W37" s="1"/>
      <c r="X37" s="1">
        <f t="shared" ca="1" si="16"/>
        <v>8.4378074583634692</v>
      </c>
      <c r="Y37" s="1">
        <f t="shared" ca="1" si="17"/>
        <v>0.38653522255442513</v>
      </c>
      <c r="Z37" s="1">
        <f t="shared" ca="1" si="18"/>
        <v>1003</v>
      </c>
      <c r="AB37" s="1">
        <f t="shared" ca="1" si="19"/>
        <v>0.43779277693061502</v>
      </c>
      <c r="AC37" s="1">
        <f t="shared" ca="1" si="20"/>
        <v>510</v>
      </c>
      <c r="AD37" s="1">
        <f t="shared" ca="1" si="21"/>
        <v>3.3506793874840258E-3</v>
      </c>
      <c r="AE37" s="1"/>
      <c r="AF37" s="1">
        <f t="shared" ca="1" si="22"/>
        <v>0.41006881370087134</v>
      </c>
      <c r="AG37" s="1">
        <f t="shared" ca="1" si="23"/>
        <v>326</v>
      </c>
      <c r="AH37" s="1">
        <f t="shared" ca="1" si="24"/>
        <v>8.5730959936514868E-3</v>
      </c>
      <c r="AJ37" s="1">
        <f t="shared" ca="1" si="25"/>
        <v>8.5773767942062373E-2</v>
      </c>
      <c r="AK37" s="1">
        <f t="shared" ca="1" si="26"/>
        <v>5.9009002823813004E-3</v>
      </c>
      <c r="AL37" s="1"/>
      <c r="AM37" s="1">
        <f t="shared" ca="1" si="27"/>
        <v>3.0978956362019597E-2</v>
      </c>
      <c r="AN37" s="1">
        <f t="shared" ca="1" si="28"/>
        <v>69</v>
      </c>
      <c r="AO37" s="1">
        <f t="shared" ca="1" si="29"/>
        <v>1</v>
      </c>
      <c r="AQ37" s="1">
        <f t="shared" ca="1" si="30"/>
        <v>132</v>
      </c>
      <c r="AR37" s="1">
        <f t="shared" ca="1" si="31"/>
        <v>4</v>
      </c>
      <c r="AS37" s="1">
        <f t="shared" ca="1" si="32"/>
        <v>32</v>
      </c>
      <c r="AU37" s="1">
        <f t="shared" ca="1" si="33"/>
        <v>281</v>
      </c>
      <c r="AV37" s="1">
        <f t="shared" ca="1" si="34"/>
        <v>8</v>
      </c>
      <c r="AW37" s="1">
        <f t="shared" ca="1" si="35"/>
        <v>0.14462238646271675</v>
      </c>
      <c r="AY37" s="1">
        <f t="shared" ca="1" si="36"/>
        <v>1.121674447382905</v>
      </c>
      <c r="AZ37" s="1">
        <f t="shared" ca="1" si="37"/>
        <v>412</v>
      </c>
      <c r="BA37" s="1">
        <f t="shared" ca="1" si="38"/>
        <v>8.2871008549422736E-3</v>
      </c>
      <c r="BV37" s="1">
        <f t="shared" ca="1" si="39"/>
        <v>6.8269895119605351E-2</v>
      </c>
      <c r="BW37" s="1">
        <f t="shared" ca="1" si="40"/>
        <v>206</v>
      </c>
      <c r="BX37" s="1">
        <f t="shared" ca="1" si="41"/>
        <v>9.3486700354717331E-3</v>
      </c>
      <c r="BY37" s="1">
        <f t="shared" ca="1" si="42"/>
        <v>5.6702714570607347E-2</v>
      </c>
      <c r="BZ37" s="1">
        <f t="shared" ca="1" si="43"/>
        <v>0.59272561082703623</v>
      </c>
      <c r="CB37" s="1">
        <f t="shared" ca="1" si="44"/>
        <v>103</v>
      </c>
      <c r="CC37" s="1">
        <f t="shared" ca="1" si="45"/>
        <v>12</v>
      </c>
      <c r="CD37" s="1">
        <f t="shared" ca="1" si="46"/>
        <v>0.15955096477750047</v>
      </c>
      <c r="CE37" s="1">
        <f t="shared" ca="1" si="56"/>
        <v>0.78071648793400494</v>
      </c>
      <c r="CF37" s="1">
        <f t="shared" ca="1" si="56"/>
        <v>0.78599636367310222</v>
      </c>
      <c r="CH37" s="3">
        <f t="shared" ca="1" si="48"/>
        <v>0.38548692855367278</v>
      </c>
      <c r="CI37" s="3">
        <f t="shared" ca="1" si="49"/>
        <v>0.35654285042246542</v>
      </c>
      <c r="CJ37" s="3">
        <f t="shared" ca="1" si="50"/>
        <v>881</v>
      </c>
      <c r="CK37" s="3">
        <f t="shared" ca="1" si="51"/>
        <v>5.598572397006483E-4</v>
      </c>
      <c r="CL37" s="3">
        <f t="shared" ca="1" si="52"/>
        <v>1</v>
      </c>
      <c r="CM37" s="3"/>
      <c r="CN37" s="1">
        <f t="shared" ca="1" si="53"/>
        <v>8.5307182133058088</v>
      </c>
      <c r="CO37" s="1">
        <f t="shared" ca="1" si="54"/>
        <v>0.47000634204326319</v>
      </c>
      <c r="CP37" s="1">
        <f t="shared" ca="1" si="55"/>
        <v>3</v>
      </c>
    </row>
    <row r="38" spans="2:94" x14ac:dyDescent="0.25">
      <c r="B38">
        <f t="shared" ca="1" si="0"/>
        <v>671</v>
      </c>
      <c r="C38">
        <f t="shared" ca="1" si="1"/>
        <v>24</v>
      </c>
      <c r="D38">
        <f t="shared" ca="1" si="2"/>
        <v>0.10425846317501661</v>
      </c>
      <c r="F38" s="1">
        <f t="shared" ca="1" si="3"/>
        <v>41</v>
      </c>
      <c r="G38" s="1">
        <f t="shared" ca="1" si="4"/>
        <v>26</v>
      </c>
      <c r="H38" s="1">
        <f t="shared" ca="1" si="5"/>
        <v>3</v>
      </c>
      <c r="I38" s="1"/>
      <c r="J38" s="1">
        <f t="shared" ca="1" si="6"/>
        <v>29</v>
      </c>
      <c r="K38" s="1">
        <f t="shared" ca="1" si="7"/>
        <v>2.6273013907021401</v>
      </c>
      <c r="L38" s="1">
        <f t="shared" ca="1" si="8"/>
        <v>33</v>
      </c>
      <c r="M38" s="1"/>
      <c r="N38" s="1">
        <f t="shared" ca="1" si="9"/>
        <v>92</v>
      </c>
      <c r="O38" s="1">
        <f t="shared" ca="1" si="10"/>
        <v>34</v>
      </c>
      <c r="P38" s="1"/>
      <c r="Q38" s="1">
        <f t="shared" ca="1" si="11"/>
        <v>4.8102536566279053</v>
      </c>
      <c r="R38" s="1">
        <f t="shared" ca="1" si="12"/>
        <v>370</v>
      </c>
      <c r="S38" s="1"/>
      <c r="T38" s="1">
        <f t="shared" ca="1" si="13"/>
        <v>3.8447337940356451E-2</v>
      </c>
      <c r="U38" s="1">
        <f t="shared" ca="1" si="14"/>
        <v>58</v>
      </c>
      <c r="V38" s="1">
        <f t="shared" ca="1" si="15"/>
        <v>8</v>
      </c>
      <c r="W38" s="1"/>
      <c r="X38" s="1">
        <f t="shared" ca="1" si="16"/>
        <v>0.11840444441457926</v>
      </c>
      <c r="Y38" s="1">
        <f t="shared" ca="1" si="17"/>
        <v>0.13124744311790368</v>
      </c>
      <c r="Z38" s="1">
        <f t="shared" ca="1" si="18"/>
        <v>443</v>
      </c>
      <c r="AB38" s="1">
        <f t="shared" ca="1" si="19"/>
        <v>0.91130729383327846</v>
      </c>
      <c r="AC38" s="1">
        <f t="shared" ca="1" si="20"/>
        <v>922</v>
      </c>
      <c r="AD38" s="1">
        <f t="shared" ca="1" si="21"/>
        <v>9.167744986031269E-3</v>
      </c>
      <c r="AE38" s="1"/>
      <c r="AF38" s="1">
        <f t="shared" ca="1" si="22"/>
        <v>0.36457167921369782</v>
      </c>
      <c r="AG38" s="1">
        <f t="shared" ca="1" si="23"/>
        <v>910</v>
      </c>
      <c r="AH38" s="1">
        <f t="shared" ca="1" si="24"/>
        <v>5.555959580555451E-3</v>
      </c>
      <c r="AJ38" s="1">
        <f t="shared" ca="1" si="25"/>
        <v>0.92950643019375168</v>
      </c>
      <c r="AK38" s="1">
        <f t="shared" ca="1" si="26"/>
        <v>8.9997058199021551E-3</v>
      </c>
      <c r="AL38" s="1"/>
      <c r="AM38" s="1">
        <f t="shared" ca="1" si="27"/>
        <v>0.18359299845411592</v>
      </c>
      <c r="AN38" s="1">
        <f t="shared" ca="1" si="28"/>
        <v>69</v>
      </c>
      <c r="AO38" s="1">
        <f t="shared" ca="1" si="29"/>
        <v>4</v>
      </c>
      <c r="AQ38" s="1">
        <f t="shared" ca="1" si="30"/>
        <v>130</v>
      </c>
      <c r="AR38" s="1">
        <f t="shared" ca="1" si="31"/>
        <v>9</v>
      </c>
      <c r="AS38" s="1">
        <f t="shared" ca="1" si="32"/>
        <v>32</v>
      </c>
      <c r="AU38" s="1">
        <f t="shared" ca="1" si="33"/>
        <v>394</v>
      </c>
      <c r="AV38" s="1">
        <f t="shared" ca="1" si="34"/>
        <v>3</v>
      </c>
      <c r="AW38" s="1">
        <f t="shared" ca="1" si="35"/>
        <v>0.18279434340797082</v>
      </c>
      <c r="AY38" s="1">
        <f t="shared" ca="1" si="36"/>
        <v>1.3835376841007463</v>
      </c>
      <c r="AZ38" s="1">
        <f t="shared" ca="1" si="37"/>
        <v>352</v>
      </c>
      <c r="BA38" s="1">
        <f t="shared" ca="1" si="38"/>
        <v>9.4313523315927468E-3</v>
      </c>
      <c r="BV38" s="1">
        <f t="shared" ca="1" si="39"/>
        <v>0.92431531036197323</v>
      </c>
      <c r="BW38" s="1">
        <f t="shared" ca="1" si="40"/>
        <v>469</v>
      </c>
      <c r="BX38" s="1">
        <f t="shared" ca="1" si="41"/>
        <v>8.9382733253094166E-3</v>
      </c>
      <c r="BY38" s="1">
        <f t="shared" ca="1" si="42"/>
        <v>2.041183414289003E-2</v>
      </c>
      <c r="BZ38" s="1">
        <f t="shared" ca="1" si="43"/>
        <v>0.35032057600902755</v>
      </c>
      <c r="CB38" s="1">
        <f t="shared" ca="1" si="44"/>
        <v>167</v>
      </c>
      <c r="CC38" s="1">
        <f t="shared" ca="1" si="45"/>
        <v>14</v>
      </c>
      <c r="CD38" s="1">
        <f t="shared" ca="1" si="46"/>
        <v>0.2510352561722054</v>
      </c>
      <c r="CE38" s="1">
        <f t="shared" ca="1" si="56"/>
        <v>0.96886376980597833</v>
      </c>
      <c r="CF38" s="1">
        <f t="shared" ca="1" si="56"/>
        <v>0.99859691716957644</v>
      </c>
      <c r="CH38" s="3">
        <f t="shared" ca="1" si="48"/>
        <v>0.12118303541005286</v>
      </c>
      <c r="CI38" s="3">
        <f t="shared" ca="1" si="49"/>
        <v>0.70375890066295854</v>
      </c>
      <c r="CJ38" s="3">
        <f t="shared" ca="1" si="50"/>
        <v>787</v>
      </c>
      <c r="CK38" s="3">
        <f t="shared" ca="1" si="51"/>
        <v>3.1246158727840966E-3</v>
      </c>
      <c r="CL38" s="3">
        <f t="shared" ca="1" si="52"/>
        <v>1</v>
      </c>
      <c r="CM38" s="3"/>
      <c r="CN38" s="1">
        <f t="shared" ca="1" si="53"/>
        <v>1.2445546574069564</v>
      </c>
      <c r="CO38" s="1">
        <f t="shared" ca="1" si="54"/>
        <v>0.47967617902934861</v>
      </c>
      <c r="CP38" s="1">
        <f t="shared" ca="1" si="55"/>
        <v>5</v>
      </c>
    </row>
    <row r="39" spans="2:94" x14ac:dyDescent="0.25">
      <c r="B39">
        <f t="shared" ca="1" si="0"/>
        <v>150</v>
      </c>
      <c r="C39">
        <f t="shared" ca="1" si="1"/>
        <v>40</v>
      </c>
      <c r="D39">
        <f t="shared" ca="1" si="2"/>
        <v>9.0862619351041687E-2</v>
      </c>
      <c r="F39" s="1">
        <f t="shared" ca="1" si="3"/>
        <v>32</v>
      </c>
      <c r="G39" s="1">
        <f t="shared" ca="1" si="4"/>
        <v>17</v>
      </c>
      <c r="H39" s="1">
        <f t="shared" ca="1" si="5"/>
        <v>2</v>
      </c>
      <c r="I39" s="1"/>
      <c r="J39" s="1">
        <f t="shared" ca="1" si="6"/>
        <v>10</v>
      </c>
      <c r="K39" s="1">
        <f t="shared" ca="1" si="7"/>
        <v>1.0238144827627464</v>
      </c>
      <c r="L39" s="1">
        <f t="shared" ca="1" si="8"/>
        <v>28</v>
      </c>
      <c r="M39" s="1"/>
      <c r="N39" s="1">
        <f t="shared" ca="1" si="9"/>
        <v>279</v>
      </c>
      <c r="O39" s="1">
        <f t="shared" ca="1" si="10"/>
        <v>39</v>
      </c>
      <c r="P39" s="1"/>
      <c r="Q39" s="1">
        <f t="shared" ca="1" si="11"/>
        <v>1.4266435129325892</v>
      </c>
      <c r="R39" s="1">
        <f t="shared" ca="1" si="12"/>
        <v>316</v>
      </c>
      <c r="S39" s="1"/>
      <c r="T39" s="1">
        <f t="shared" ca="1" si="13"/>
        <v>0.1281427725852764</v>
      </c>
      <c r="U39" s="1">
        <f t="shared" ca="1" si="14"/>
        <v>122</v>
      </c>
      <c r="V39" s="1">
        <f t="shared" ca="1" si="15"/>
        <v>39</v>
      </c>
      <c r="W39" s="1"/>
      <c r="X39" s="1">
        <f t="shared" ca="1" si="16"/>
        <v>8.9839585216573337</v>
      </c>
      <c r="Y39" s="1">
        <f t="shared" ca="1" si="17"/>
        <v>0.79290291878011909</v>
      </c>
      <c r="Z39" s="1">
        <f t="shared" ca="1" si="18"/>
        <v>430</v>
      </c>
      <c r="AB39" s="1">
        <f t="shared" ca="1" si="19"/>
        <v>0.56271353743471653</v>
      </c>
      <c r="AC39" s="1">
        <f t="shared" ca="1" si="20"/>
        <v>913</v>
      </c>
      <c r="AD39" s="1">
        <f t="shared" ca="1" si="21"/>
        <v>4.2486970943960674E-3</v>
      </c>
      <c r="AE39" s="1"/>
      <c r="AF39" s="1">
        <f t="shared" ca="1" si="22"/>
        <v>0.57885041682458327</v>
      </c>
      <c r="AG39" s="1">
        <f t="shared" ca="1" si="23"/>
        <v>424</v>
      </c>
      <c r="AH39" s="1">
        <f t="shared" ca="1" si="24"/>
        <v>3.3605014086850829E-3</v>
      </c>
      <c r="AJ39" s="1">
        <f t="shared" ca="1" si="25"/>
        <v>0.85866458851046323</v>
      </c>
      <c r="AK39" s="1">
        <f t="shared" ca="1" si="26"/>
        <v>4.7746244970419403E-4</v>
      </c>
      <c r="AL39" s="1"/>
      <c r="AM39" s="1">
        <f t="shared" ca="1" si="27"/>
        <v>0.14463447356383174</v>
      </c>
      <c r="AN39" s="1">
        <f t="shared" ca="1" si="28"/>
        <v>43</v>
      </c>
      <c r="AO39" s="1">
        <f t="shared" ca="1" si="29"/>
        <v>-1</v>
      </c>
      <c r="AQ39" s="1">
        <f t="shared" ca="1" si="30"/>
        <v>85</v>
      </c>
      <c r="AR39" s="1">
        <f t="shared" ca="1" si="31"/>
        <v>10</v>
      </c>
      <c r="AS39" s="1">
        <f t="shared" ca="1" si="32"/>
        <v>67</v>
      </c>
      <c r="AU39" s="1">
        <f t="shared" ca="1" si="33"/>
        <v>398</v>
      </c>
      <c r="AV39" s="1">
        <f t="shared" ca="1" si="34"/>
        <v>3</v>
      </c>
      <c r="AW39" s="1">
        <f t="shared" ca="1" si="35"/>
        <v>0.10877146878405791</v>
      </c>
      <c r="AY39" s="1">
        <f t="shared" ca="1" si="36"/>
        <v>1.7282953671394132</v>
      </c>
      <c r="AZ39" s="1">
        <f t="shared" ca="1" si="37"/>
        <v>209</v>
      </c>
      <c r="BA39" s="1">
        <f t="shared" ca="1" si="38"/>
        <v>6.1723186936192311E-3</v>
      </c>
      <c r="BV39" s="1">
        <f t="shared" ca="1" si="39"/>
        <v>0.28789461219001172</v>
      </c>
      <c r="BW39" s="1">
        <f t="shared" ca="1" si="40"/>
        <v>488</v>
      </c>
      <c r="BX39" s="1">
        <f t="shared" ca="1" si="41"/>
        <v>5.3245572738325683E-3</v>
      </c>
      <c r="BY39" s="1">
        <f t="shared" ca="1" si="42"/>
        <v>9.6486449051536902E-2</v>
      </c>
      <c r="BZ39" s="1">
        <f t="shared" ca="1" si="43"/>
        <v>0.10609359025526655</v>
      </c>
      <c r="CB39" s="1">
        <f t="shared" ca="1" si="44"/>
        <v>468</v>
      </c>
      <c r="CC39" s="1">
        <f t="shared" ca="1" si="45"/>
        <v>6</v>
      </c>
      <c r="CD39" s="1">
        <f t="shared" ca="1" si="46"/>
        <v>0.18447107162438922</v>
      </c>
      <c r="CE39" s="1">
        <f t="shared" ca="1" si="56"/>
        <v>0.92871968954479733</v>
      </c>
      <c r="CF39" s="1">
        <f t="shared" ca="1" si="56"/>
        <v>0.70815455297428853</v>
      </c>
      <c r="CH39" s="3">
        <f t="shared" ca="1" si="48"/>
        <v>0.90804162556269696</v>
      </c>
      <c r="CI39" s="3">
        <f t="shared" ca="1" si="49"/>
        <v>0.90784828611672697</v>
      </c>
      <c r="CJ39" s="3">
        <f t="shared" ca="1" si="50"/>
        <v>255</v>
      </c>
      <c r="CK39" s="3">
        <f t="shared" ca="1" si="51"/>
        <v>2.3802623242555974E-3</v>
      </c>
      <c r="CL39" s="3">
        <f t="shared" ca="1" si="52"/>
        <v>0</v>
      </c>
      <c r="CM39" s="3"/>
      <c r="CN39" s="1">
        <f t="shared" ca="1" si="53"/>
        <v>13.215217696705617</v>
      </c>
      <c r="CO39" s="1">
        <f t="shared" ca="1" si="54"/>
        <v>0.4402242701107667</v>
      </c>
      <c r="CP39" s="1">
        <f t="shared" ca="1" si="55"/>
        <v>5</v>
      </c>
    </row>
    <row r="40" spans="2:94" x14ac:dyDescent="0.25">
      <c r="B40">
        <f t="shared" ca="1" si="0"/>
        <v>456</v>
      </c>
      <c r="C40">
        <f t="shared" ca="1" si="1"/>
        <v>17</v>
      </c>
      <c r="D40">
        <f t="shared" ca="1" si="2"/>
        <v>0.22182048445619815</v>
      </c>
      <c r="F40" s="1">
        <f t="shared" ca="1" si="3"/>
        <v>35</v>
      </c>
      <c r="G40" s="1">
        <f t="shared" ca="1" si="4"/>
        <v>24</v>
      </c>
      <c r="H40" s="1">
        <f t="shared" ca="1" si="5"/>
        <v>10</v>
      </c>
      <c r="I40" s="1"/>
      <c r="J40" s="1">
        <f t="shared" ca="1" si="6"/>
        <v>2</v>
      </c>
      <c r="K40" s="1">
        <f t="shared" ca="1" si="7"/>
        <v>2.8431227966224997</v>
      </c>
      <c r="L40" s="1">
        <f t="shared" ca="1" si="8"/>
        <v>25</v>
      </c>
      <c r="M40" s="1"/>
      <c r="N40" s="1">
        <f t="shared" ca="1" si="9"/>
        <v>676</v>
      </c>
      <c r="O40" s="1">
        <f t="shared" ca="1" si="10"/>
        <v>13</v>
      </c>
      <c r="P40" s="1"/>
      <c r="Q40" s="1">
        <f t="shared" ca="1" si="11"/>
        <v>3.4891384173960498</v>
      </c>
      <c r="R40" s="1">
        <f t="shared" ca="1" si="12"/>
        <v>295</v>
      </c>
      <c r="S40" s="1"/>
      <c r="T40" s="1">
        <f t="shared" ca="1" si="13"/>
        <v>0.12819996028711156</v>
      </c>
      <c r="U40" s="1">
        <f t="shared" ca="1" si="14"/>
        <v>137</v>
      </c>
      <c r="V40" s="1">
        <f t="shared" ca="1" si="15"/>
        <v>33</v>
      </c>
      <c r="W40" s="1"/>
      <c r="X40" s="1">
        <f t="shared" ca="1" si="16"/>
        <v>7.349590610184416</v>
      </c>
      <c r="Y40" s="1">
        <f t="shared" ca="1" si="17"/>
        <v>0.53168841534283395</v>
      </c>
      <c r="Z40" s="1">
        <f t="shared" ca="1" si="18"/>
        <v>1776</v>
      </c>
      <c r="AB40" s="1">
        <f t="shared" ca="1" si="19"/>
        <v>0.19844870041637128</v>
      </c>
      <c r="AC40" s="1">
        <f t="shared" ca="1" si="20"/>
        <v>634</v>
      </c>
      <c r="AD40" s="1">
        <f t="shared" ca="1" si="21"/>
        <v>3.5980714530701825E-3</v>
      </c>
      <c r="AE40" s="1"/>
      <c r="AF40" s="1">
        <f t="shared" ca="1" si="22"/>
        <v>0.78784542530234825</v>
      </c>
      <c r="AG40" s="1">
        <f t="shared" ca="1" si="23"/>
        <v>614</v>
      </c>
      <c r="AH40" s="1">
        <f t="shared" ca="1" si="24"/>
        <v>8.1398369464693171E-3</v>
      </c>
      <c r="AJ40" s="1">
        <f t="shared" ca="1" si="25"/>
        <v>0.14552906288329792</v>
      </c>
      <c r="AK40" s="1">
        <f t="shared" ca="1" si="26"/>
        <v>9.9994094029735533E-4</v>
      </c>
      <c r="AL40" s="1"/>
      <c r="AM40" s="1">
        <f t="shared" ca="1" si="27"/>
        <v>5.5382840136720547E-2</v>
      </c>
      <c r="AN40" s="1">
        <f t="shared" ca="1" si="28"/>
        <v>69</v>
      </c>
      <c r="AO40" s="1">
        <f t="shared" ca="1" si="29"/>
        <v>3</v>
      </c>
      <c r="AQ40" s="1">
        <f t="shared" ca="1" si="30"/>
        <v>168</v>
      </c>
      <c r="AR40" s="1">
        <f t="shared" ca="1" si="31"/>
        <v>3</v>
      </c>
      <c r="AS40" s="1">
        <f t="shared" ca="1" si="32"/>
        <v>13</v>
      </c>
      <c r="AU40" s="1">
        <f t="shared" ca="1" si="33"/>
        <v>386</v>
      </c>
      <c r="AV40" s="1">
        <f t="shared" ca="1" si="34"/>
        <v>4</v>
      </c>
      <c r="AW40" s="1">
        <f t="shared" ca="1" si="35"/>
        <v>0.1248190893025812</v>
      </c>
      <c r="AY40" s="1">
        <f t="shared" ca="1" si="36"/>
        <v>1.3198585480340512</v>
      </c>
      <c r="AZ40" s="1">
        <f t="shared" ca="1" si="37"/>
        <v>459</v>
      </c>
      <c r="BA40" s="1">
        <f t="shared" ca="1" si="38"/>
        <v>9.3156543994920814E-3</v>
      </c>
      <c r="BV40" s="1">
        <f t="shared" ca="1" si="39"/>
        <v>0.85062812283159706</v>
      </c>
      <c r="BW40" s="1">
        <f t="shared" ca="1" si="40"/>
        <v>762</v>
      </c>
      <c r="BX40" s="1">
        <f t="shared" ca="1" si="41"/>
        <v>3.9696167203467957E-3</v>
      </c>
      <c r="BY40" s="1">
        <f t="shared" ca="1" si="42"/>
        <v>6.5668915839470057E-2</v>
      </c>
      <c r="BZ40" s="1">
        <f t="shared" ca="1" si="43"/>
        <v>0.77775539051099829</v>
      </c>
      <c r="CB40" s="1">
        <f t="shared" ca="1" si="44"/>
        <v>224</v>
      </c>
      <c r="CC40" s="1">
        <f t="shared" ca="1" si="45"/>
        <v>5</v>
      </c>
      <c r="CD40" s="1">
        <f t="shared" ca="1" si="46"/>
        <v>0.19724689975126392</v>
      </c>
      <c r="CE40" s="1">
        <f t="shared" ca="1" si="56"/>
        <v>0.89350605324131127</v>
      </c>
      <c r="CF40" s="1">
        <f t="shared" ca="1" si="56"/>
        <v>0.63690515089107058</v>
      </c>
      <c r="CH40" s="3">
        <f t="shared" ca="1" si="48"/>
        <v>0.18028518199948801</v>
      </c>
      <c r="CI40" s="3">
        <f t="shared" ca="1" si="49"/>
        <v>0.56896877877341612</v>
      </c>
      <c r="CJ40" s="3">
        <f t="shared" ca="1" si="50"/>
        <v>1690</v>
      </c>
      <c r="CK40" s="3">
        <f t="shared" ca="1" si="51"/>
        <v>7.8367140458157018E-3</v>
      </c>
      <c r="CL40" s="3">
        <f t="shared" ca="1" si="52"/>
        <v>0</v>
      </c>
      <c r="CM40" s="3"/>
      <c r="CN40" s="1">
        <f t="shared" ca="1" si="53"/>
        <v>0.63106494703067995</v>
      </c>
      <c r="CO40" s="1">
        <f t="shared" ca="1" si="54"/>
        <v>0.18180856732993883</v>
      </c>
      <c r="CP40" s="1">
        <f t="shared" ca="1" si="55"/>
        <v>1</v>
      </c>
    </row>
    <row r="41" spans="2:94" x14ac:dyDescent="0.25">
      <c r="B41">
        <f t="shared" ca="1" si="0"/>
        <v>93</v>
      </c>
      <c r="C41">
        <f t="shared" ca="1" si="1"/>
        <v>43</v>
      </c>
      <c r="D41">
        <f t="shared" ca="1" si="2"/>
        <v>6.5659708791863114E-2</v>
      </c>
      <c r="F41" s="1">
        <f t="shared" ca="1" si="3"/>
        <v>19</v>
      </c>
      <c r="G41" s="1">
        <f t="shared" ca="1" si="4"/>
        <v>9</v>
      </c>
      <c r="H41" s="1">
        <f t="shared" ca="1" si="5"/>
        <v>3</v>
      </c>
      <c r="I41" s="1"/>
      <c r="J41" s="1">
        <f t="shared" ca="1" si="6"/>
        <v>31</v>
      </c>
      <c r="K41" s="1">
        <f t="shared" ca="1" si="7"/>
        <v>2.7524211085776384</v>
      </c>
      <c r="L41" s="1">
        <f t="shared" ca="1" si="8"/>
        <v>8</v>
      </c>
      <c r="M41" s="1"/>
      <c r="N41" s="1">
        <f t="shared" ca="1" si="9"/>
        <v>709</v>
      </c>
      <c r="O41" s="1">
        <f t="shared" ca="1" si="10"/>
        <v>30</v>
      </c>
      <c r="P41" s="1"/>
      <c r="Q41" s="1">
        <f t="shared" ca="1" si="11"/>
        <v>1.0506284650853561</v>
      </c>
      <c r="R41" s="1">
        <f t="shared" ca="1" si="12"/>
        <v>314</v>
      </c>
      <c r="S41" s="1"/>
      <c r="T41" s="1">
        <f t="shared" ca="1" si="13"/>
        <v>4.9306724248092182E-2</v>
      </c>
      <c r="U41" s="1">
        <f t="shared" ca="1" si="14"/>
        <v>395</v>
      </c>
      <c r="V41" s="1">
        <f t="shared" ca="1" si="15"/>
        <v>49</v>
      </c>
      <c r="W41" s="1"/>
      <c r="X41" s="1">
        <f t="shared" ca="1" si="16"/>
        <v>4.5492830325580966</v>
      </c>
      <c r="Y41" s="1">
        <f t="shared" ca="1" si="17"/>
        <v>0.78914243494451064</v>
      </c>
      <c r="Z41" s="1">
        <f t="shared" ca="1" si="18"/>
        <v>1728</v>
      </c>
      <c r="AB41" s="1">
        <f t="shared" ca="1" si="19"/>
        <v>8.3969406869821989E-2</v>
      </c>
      <c r="AC41" s="1">
        <f t="shared" ca="1" si="20"/>
        <v>492</v>
      </c>
      <c r="AD41" s="1">
        <f t="shared" ca="1" si="21"/>
        <v>5.6132520305445435E-3</v>
      </c>
      <c r="AE41" s="1"/>
      <c r="AF41" s="1">
        <f t="shared" ca="1" si="22"/>
        <v>0.15639042850155951</v>
      </c>
      <c r="AG41" s="1">
        <f t="shared" ca="1" si="23"/>
        <v>302</v>
      </c>
      <c r="AH41" s="1">
        <f t="shared" ca="1" si="24"/>
        <v>7.3657598285700966E-3</v>
      </c>
      <c r="AJ41" s="1">
        <f t="shared" ca="1" si="25"/>
        <v>0.46260762568347835</v>
      </c>
      <c r="AK41" s="1">
        <f t="shared" ca="1" si="26"/>
        <v>7.3460177691240559E-3</v>
      </c>
      <c r="AL41" s="1"/>
      <c r="AM41" s="1">
        <f t="shared" ca="1" si="27"/>
        <v>0.1857142770877292</v>
      </c>
      <c r="AN41" s="1">
        <f t="shared" ca="1" si="28"/>
        <v>71</v>
      </c>
      <c r="AO41" s="1">
        <f t="shared" ca="1" si="29"/>
        <v>3</v>
      </c>
      <c r="AQ41" s="1">
        <f t="shared" ca="1" si="30"/>
        <v>113</v>
      </c>
      <c r="AR41" s="1">
        <f t="shared" ca="1" si="31"/>
        <v>3</v>
      </c>
      <c r="AS41" s="1">
        <f t="shared" ca="1" si="32"/>
        <v>97</v>
      </c>
      <c r="AU41" s="1">
        <f t="shared" ca="1" si="33"/>
        <v>68</v>
      </c>
      <c r="AV41" s="1">
        <f t="shared" ca="1" si="34"/>
        <v>10</v>
      </c>
      <c r="AW41" s="1">
        <f t="shared" ca="1" si="35"/>
        <v>3.0980222992838778E-2</v>
      </c>
      <c r="AY41" s="1">
        <f t="shared" ca="1" si="36"/>
        <v>1.1424349697836655</v>
      </c>
      <c r="AZ41" s="1">
        <f t="shared" ca="1" si="37"/>
        <v>198</v>
      </c>
      <c r="BA41" s="1">
        <f t="shared" ca="1" si="38"/>
        <v>4.3245608912499079E-3</v>
      </c>
      <c r="BV41" s="1">
        <f t="shared" ca="1" si="39"/>
        <v>0.44554973798606218</v>
      </c>
      <c r="BW41" s="1">
        <f t="shared" ca="1" si="40"/>
        <v>601</v>
      </c>
      <c r="BX41" s="1">
        <f t="shared" ca="1" si="41"/>
        <v>3.6099406694353052E-3</v>
      </c>
      <c r="BY41" s="1">
        <f t="shared" ca="1" si="42"/>
        <v>9.8008358025497483E-2</v>
      </c>
      <c r="BZ41" s="1">
        <f t="shared" ca="1" si="43"/>
        <v>0.52161814196463741</v>
      </c>
      <c r="CB41" s="1">
        <f t="shared" ca="1" si="44"/>
        <v>458</v>
      </c>
      <c r="CC41" s="1">
        <f t="shared" ca="1" si="45"/>
        <v>8</v>
      </c>
      <c r="CD41" s="1">
        <f t="shared" ca="1" si="46"/>
        <v>0.28598928554160274</v>
      </c>
      <c r="CE41" s="1">
        <f t="shared" ca="1" si="56"/>
        <v>0.61034315371888603</v>
      </c>
      <c r="CF41" s="1">
        <f t="shared" ca="1" si="56"/>
        <v>0.66040562243817047</v>
      </c>
      <c r="CH41" s="3">
        <f t="shared" ca="1" si="48"/>
        <v>3.488994200973617E-2</v>
      </c>
      <c r="CI41" s="3">
        <f t="shared" ca="1" si="49"/>
        <v>0.54040864488527895</v>
      </c>
      <c r="CJ41" s="3">
        <f t="shared" ca="1" si="50"/>
        <v>970</v>
      </c>
      <c r="CK41" s="3">
        <f t="shared" ca="1" si="51"/>
        <v>5.4694698330094967E-3</v>
      </c>
      <c r="CL41" s="3">
        <f t="shared" ca="1" si="52"/>
        <v>1</v>
      </c>
      <c r="CM41" s="3"/>
      <c r="CN41" s="1">
        <f t="shared" ca="1" si="53"/>
        <v>5.9022131512274578</v>
      </c>
      <c r="CO41" s="1">
        <f t="shared" ca="1" si="54"/>
        <v>0.10283837920658863</v>
      </c>
      <c r="CP41" s="1">
        <f t="shared" ca="1" si="55"/>
        <v>1</v>
      </c>
    </row>
    <row r="42" spans="2:94" x14ac:dyDescent="0.25">
      <c r="B42">
        <f t="shared" ca="1" si="0"/>
        <v>822</v>
      </c>
      <c r="C42">
        <f t="shared" ca="1" si="1"/>
        <v>21</v>
      </c>
      <c r="D42">
        <f t="shared" ca="1" si="2"/>
        <v>0.15307941699799649</v>
      </c>
      <c r="F42" s="1">
        <f t="shared" ca="1" si="3"/>
        <v>25</v>
      </c>
      <c r="G42" s="1">
        <f t="shared" ca="1" si="4"/>
        <v>30</v>
      </c>
      <c r="H42" s="1">
        <f t="shared" ca="1" si="5"/>
        <v>13</v>
      </c>
      <c r="I42" s="1"/>
      <c r="J42" s="1">
        <f t="shared" ca="1" si="6"/>
        <v>26</v>
      </c>
      <c r="K42" s="1">
        <f t="shared" ca="1" si="7"/>
        <v>1.7680856075491551</v>
      </c>
      <c r="L42" s="1">
        <f t="shared" ca="1" si="8"/>
        <v>35</v>
      </c>
      <c r="M42" s="1"/>
      <c r="N42" s="1">
        <f t="shared" ca="1" si="9"/>
        <v>255</v>
      </c>
      <c r="O42" s="1">
        <f t="shared" ca="1" si="10"/>
        <v>21</v>
      </c>
      <c r="P42" s="1"/>
      <c r="Q42" s="1">
        <f t="shared" ca="1" si="11"/>
        <v>4.4924660636642182</v>
      </c>
      <c r="R42" s="1">
        <f t="shared" ca="1" si="12"/>
        <v>682</v>
      </c>
      <c r="S42" s="1"/>
      <c r="T42" s="1">
        <f t="shared" ca="1" si="13"/>
        <v>0.18401099800059112</v>
      </c>
      <c r="U42" s="1">
        <f t="shared" ca="1" si="14"/>
        <v>373</v>
      </c>
      <c r="V42" s="1">
        <f t="shared" ca="1" si="15"/>
        <v>2</v>
      </c>
      <c r="W42" s="1"/>
      <c r="X42" s="1">
        <f t="shared" ca="1" si="16"/>
        <v>2.4722448427883372</v>
      </c>
      <c r="Y42" s="1">
        <f t="shared" ca="1" si="17"/>
        <v>0.37009218533690635</v>
      </c>
      <c r="Z42" s="1">
        <f t="shared" ca="1" si="18"/>
        <v>1735</v>
      </c>
      <c r="AB42" s="1">
        <f t="shared" ca="1" si="19"/>
        <v>0.52270212943670558</v>
      </c>
      <c r="AC42" s="1">
        <f t="shared" ca="1" si="20"/>
        <v>657</v>
      </c>
      <c r="AD42" s="1">
        <f t="shared" ca="1" si="21"/>
        <v>1.3438323402977126E-3</v>
      </c>
      <c r="AE42" s="1"/>
      <c r="AF42" s="1">
        <f t="shared" ca="1" si="22"/>
        <v>0.31613919079171648</v>
      </c>
      <c r="AG42" s="1">
        <f t="shared" ca="1" si="23"/>
        <v>131</v>
      </c>
      <c r="AH42" s="1">
        <f t="shared" ca="1" si="24"/>
        <v>7.6815223460354669E-4</v>
      </c>
      <c r="AJ42" s="1">
        <f t="shared" ca="1" si="25"/>
        <v>0.97143755858597614</v>
      </c>
      <c r="AK42" s="1">
        <f t="shared" ca="1" si="26"/>
        <v>1.4573411956742752E-3</v>
      </c>
      <c r="AL42" s="1"/>
      <c r="AM42" s="1">
        <f t="shared" ca="1" si="27"/>
        <v>0.15619204087322633</v>
      </c>
      <c r="AN42" s="1">
        <f t="shared" ca="1" si="28"/>
        <v>17</v>
      </c>
      <c r="AO42" s="1">
        <f t="shared" ca="1" si="29"/>
        <v>0</v>
      </c>
      <c r="AQ42" s="1">
        <f t="shared" ca="1" si="30"/>
        <v>25</v>
      </c>
      <c r="AR42" s="1">
        <f t="shared" ca="1" si="31"/>
        <v>5</v>
      </c>
      <c r="AS42" s="1">
        <f t="shared" ca="1" si="32"/>
        <v>72</v>
      </c>
      <c r="AU42" s="1">
        <f t="shared" ca="1" si="33"/>
        <v>307</v>
      </c>
      <c r="AV42" s="1">
        <f t="shared" ca="1" si="34"/>
        <v>8</v>
      </c>
      <c r="AW42" s="1">
        <f t="shared" ca="1" si="35"/>
        <v>7.0336186571277978E-2</v>
      </c>
      <c r="AY42" s="1">
        <f t="shared" ca="1" si="36"/>
        <v>1.3686368056443812</v>
      </c>
      <c r="AZ42" s="1">
        <f t="shared" ca="1" si="37"/>
        <v>193</v>
      </c>
      <c r="BA42" s="1">
        <f t="shared" ca="1" si="38"/>
        <v>9.3092337945639148E-3</v>
      </c>
      <c r="BV42" s="1">
        <f t="shared" ca="1" si="39"/>
        <v>0.75997048786646304</v>
      </c>
      <c r="BW42" s="1">
        <f t="shared" ca="1" si="40"/>
        <v>377</v>
      </c>
      <c r="BX42" s="1">
        <f t="shared" ca="1" si="41"/>
        <v>8.2509060720311802E-3</v>
      </c>
      <c r="BY42" s="1">
        <f t="shared" ca="1" si="42"/>
        <v>5.2838816415999329E-2</v>
      </c>
      <c r="BZ42" s="1">
        <f t="shared" ca="1" si="43"/>
        <v>0.69991712983416199</v>
      </c>
      <c r="CB42" s="1">
        <f t="shared" ca="1" si="44"/>
        <v>466</v>
      </c>
      <c r="CC42" s="1">
        <f t="shared" ca="1" si="45"/>
        <v>9</v>
      </c>
      <c r="CD42" s="1">
        <f t="shared" ca="1" si="46"/>
        <v>0.28060237941384786</v>
      </c>
      <c r="CE42" s="1">
        <f t="shared" ca="1" si="56"/>
        <v>0.96421471465565256</v>
      </c>
      <c r="CF42" s="1">
        <f t="shared" ca="1" si="56"/>
        <v>0.92184344355384518</v>
      </c>
      <c r="CH42" s="3">
        <f t="shared" ca="1" si="48"/>
        <v>0.7552415720335095</v>
      </c>
      <c r="CI42" s="3">
        <f t="shared" ca="1" si="49"/>
        <v>0.52458111353893122</v>
      </c>
      <c r="CJ42" s="3">
        <f t="shared" ca="1" si="50"/>
        <v>520</v>
      </c>
      <c r="CK42" s="3">
        <f t="shared" ca="1" si="51"/>
        <v>3.4193111591876452E-3</v>
      </c>
      <c r="CL42" s="3">
        <f t="shared" ca="1" si="52"/>
        <v>1</v>
      </c>
      <c r="CM42" s="3"/>
      <c r="CN42" s="1">
        <f t="shared" ca="1" si="53"/>
        <v>19.681957689186234</v>
      </c>
      <c r="CO42" s="1">
        <f t="shared" ca="1" si="54"/>
        <v>0.23583045729612093</v>
      </c>
      <c r="CP42" s="1">
        <f t="shared" ca="1" si="55"/>
        <v>5</v>
      </c>
    </row>
    <row r="43" spans="2:94" x14ac:dyDescent="0.25">
      <c r="B43">
        <f t="shared" ca="1" si="0"/>
        <v>448</v>
      </c>
      <c r="C43">
        <f t="shared" ca="1" si="1"/>
        <v>12</v>
      </c>
      <c r="D43">
        <f t="shared" ca="1" si="2"/>
        <v>0.10786073579497543</v>
      </c>
      <c r="F43" s="1">
        <f t="shared" ca="1" si="3"/>
        <v>40</v>
      </c>
      <c r="G43" s="1">
        <f t="shared" ca="1" si="4"/>
        <v>2</v>
      </c>
      <c r="H43" s="1">
        <f t="shared" ca="1" si="5"/>
        <v>13</v>
      </c>
      <c r="I43" s="1"/>
      <c r="J43" s="1">
        <f t="shared" ca="1" si="6"/>
        <v>37</v>
      </c>
      <c r="K43" s="1">
        <f t="shared" ca="1" si="7"/>
        <v>2.5160067394815049</v>
      </c>
      <c r="L43" s="1">
        <f t="shared" ca="1" si="8"/>
        <v>2</v>
      </c>
      <c r="M43" s="1"/>
      <c r="N43" s="1">
        <f t="shared" ca="1" si="9"/>
        <v>29</v>
      </c>
      <c r="O43" s="1">
        <f t="shared" ca="1" si="10"/>
        <v>19</v>
      </c>
      <c r="P43" s="1"/>
      <c r="Q43" s="1">
        <f t="shared" ca="1" si="11"/>
        <v>1.9929602407737097</v>
      </c>
      <c r="R43" s="1">
        <f t="shared" ca="1" si="12"/>
        <v>462</v>
      </c>
      <c r="S43" s="1"/>
      <c r="T43" s="1">
        <f t="shared" ca="1" si="13"/>
        <v>0.17136672465687683</v>
      </c>
      <c r="U43" s="1">
        <f t="shared" ca="1" si="14"/>
        <v>435</v>
      </c>
      <c r="V43" s="1">
        <f t="shared" ca="1" si="15"/>
        <v>17</v>
      </c>
      <c r="W43" s="1"/>
      <c r="X43" s="1">
        <f t="shared" ca="1" si="16"/>
        <v>9.2485701158407227</v>
      </c>
      <c r="Y43" s="1">
        <f t="shared" ca="1" si="17"/>
        <v>0.80372711599603586</v>
      </c>
      <c r="Z43" s="1">
        <f t="shared" ca="1" si="18"/>
        <v>1360</v>
      </c>
      <c r="AB43" s="1">
        <f t="shared" ca="1" si="19"/>
        <v>0.15570277355785056</v>
      </c>
      <c r="AC43" s="1">
        <f t="shared" ca="1" si="20"/>
        <v>282</v>
      </c>
      <c r="AD43" s="1">
        <f t="shared" ca="1" si="21"/>
        <v>3.1626570587704756E-3</v>
      </c>
      <c r="AE43" s="1"/>
      <c r="AF43" s="1">
        <f t="shared" ca="1" si="22"/>
        <v>0.15531122581283469</v>
      </c>
      <c r="AG43" s="1">
        <f t="shared" ca="1" si="23"/>
        <v>844</v>
      </c>
      <c r="AH43" s="1">
        <f t="shared" ca="1" si="24"/>
        <v>3.0718333477983742E-3</v>
      </c>
      <c r="AJ43" s="1">
        <f t="shared" ca="1" si="25"/>
        <v>0.93397941894340386</v>
      </c>
      <c r="AK43" s="1">
        <f t="shared" ca="1" si="26"/>
        <v>7.4383369783572652E-3</v>
      </c>
      <c r="AL43" s="1"/>
      <c r="AM43" s="1">
        <f t="shared" ca="1" si="27"/>
        <v>0.14084246935160447</v>
      </c>
      <c r="AN43" s="1">
        <f t="shared" ca="1" si="28"/>
        <v>41</v>
      </c>
      <c r="AO43" s="1">
        <f t="shared" ca="1" si="29"/>
        <v>4</v>
      </c>
      <c r="AQ43" s="1">
        <f t="shared" ca="1" si="30"/>
        <v>84</v>
      </c>
      <c r="AR43" s="1">
        <f t="shared" ca="1" si="31"/>
        <v>9</v>
      </c>
      <c r="AS43" s="1">
        <f t="shared" ca="1" si="32"/>
        <v>15</v>
      </c>
      <c r="AU43" s="1">
        <f t="shared" ca="1" si="33"/>
        <v>191</v>
      </c>
      <c r="AV43" s="1">
        <f t="shared" ca="1" si="34"/>
        <v>2</v>
      </c>
      <c r="AW43" s="1">
        <f t="shared" ca="1" si="35"/>
        <v>7.9995794151585461E-2</v>
      </c>
      <c r="AY43" s="1">
        <f t="shared" ca="1" si="36"/>
        <v>1.8801960584533357</v>
      </c>
      <c r="AZ43" s="1">
        <f t="shared" ca="1" si="37"/>
        <v>465</v>
      </c>
      <c r="BA43" s="1">
        <f t="shared" ca="1" si="38"/>
        <v>1.4030106808991083E-3</v>
      </c>
      <c r="BV43" s="1">
        <f t="shared" ca="1" si="39"/>
        <v>0.90942583741607586</v>
      </c>
      <c r="BW43" s="1">
        <f t="shared" ca="1" si="40"/>
        <v>517</v>
      </c>
      <c r="BX43" s="1">
        <f t="shared" ca="1" si="41"/>
        <v>6.8390028734927827E-3</v>
      </c>
      <c r="BY43" s="1">
        <f t="shared" ca="1" si="42"/>
        <v>2.8646142626399484E-2</v>
      </c>
      <c r="BZ43" s="1">
        <f t="shared" ca="1" si="43"/>
        <v>0.14352610307549607</v>
      </c>
      <c r="CB43" s="1">
        <f t="shared" ca="1" si="44"/>
        <v>403</v>
      </c>
      <c r="CC43" s="1">
        <f t="shared" ca="1" si="45"/>
        <v>6</v>
      </c>
      <c r="CD43" s="1">
        <f t="shared" ca="1" si="46"/>
        <v>0.16404483324514826</v>
      </c>
      <c r="CE43" s="1">
        <f t="shared" ca="1" si="56"/>
        <v>0.63132052265906258</v>
      </c>
      <c r="CF43" s="1">
        <f t="shared" ca="1" si="56"/>
        <v>0.90644206453907195</v>
      </c>
      <c r="CH43" s="3">
        <f t="shared" ca="1" si="48"/>
        <v>0.76874659131661294</v>
      </c>
      <c r="CI43" s="3">
        <f t="shared" ca="1" si="49"/>
        <v>0.63220672833657299</v>
      </c>
      <c r="CJ43" s="3">
        <f t="shared" ca="1" si="50"/>
        <v>943</v>
      </c>
      <c r="CK43" s="3">
        <f t="shared" ca="1" si="51"/>
        <v>7.5956878435236774E-4</v>
      </c>
      <c r="CL43" s="3">
        <f t="shared" ca="1" si="52"/>
        <v>1</v>
      </c>
      <c r="CM43" s="3"/>
      <c r="CN43" s="1">
        <f t="shared" ca="1" si="53"/>
        <v>15.296102120838469</v>
      </c>
      <c r="CO43" s="1">
        <f t="shared" ca="1" si="54"/>
        <v>0.49490290279062449</v>
      </c>
      <c r="CP43" s="1">
        <f t="shared" ca="1" si="55"/>
        <v>5</v>
      </c>
    </row>
    <row r="44" spans="2:94" x14ac:dyDescent="0.25">
      <c r="B44">
        <f t="shared" ca="1" si="0"/>
        <v>843</v>
      </c>
      <c r="C44">
        <f t="shared" ca="1" si="1"/>
        <v>50</v>
      </c>
      <c r="D44">
        <f t="shared" ca="1" si="2"/>
        <v>0.24109307694415669</v>
      </c>
      <c r="F44" s="1">
        <f t="shared" ca="1" si="3"/>
        <v>40</v>
      </c>
      <c r="G44" s="1">
        <f t="shared" ca="1" si="4"/>
        <v>30</v>
      </c>
      <c r="H44" s="1">
        <f t="shared" ca="1" si="5"/>
        <v>2</v>
      </c>
      <c r="I44" s="1"/>
      <c r="J44" s="1">
        <f t="shared" ca="1" si="6"/>
        <v>7</v>
      </c>
      <c r="K44" s="1">
        <f t="shared" ca="1" si="7"/>
        <v>1.8803763551265216</v>
      </c>
      <c r="L44" s="1">
        <f t="shared" ca="1" si="8"/>
        <v>34</v>
      </c>
      <c r="M44" s="1"/>
      <c r="N44" s="1">
        <f t="shared" ca="1" si="9"/>
        <v>430</v>
      </c>
      <c r="O44" s="1">
        <f t="shared" ca="1" si="10"/>
        <v>48</v>
      </c>
      <c r="P44" s="1"/>
      <c r="Q44" s="1">
        <f t="shared" ca="1" si="11"/>
        <v>1.9175486064016329</v>
      </c>
      <c r="R44" s="1">
        <f t="shared" ca="1" si="12"/>
        <v>972</v>
      </c>
      <c r="S44" s="1"/>
      <c r="T44" s="1">
        <f t="shared" ca="1" si="13"/>
        <v>3.9881736869501944E-2</v>
      </c>
      <c r="U44" s="1">
        <f t="shared" ca="1" si="14"/>
        <v>347</v>
      </c>
      <c r="V44" s="1">
        <f t="shared" ca="1" si="15"/>
        <v>27</v>
      </c>
      <c r="W44" s="1"/>
      <c r="X44" s="1">
        <f t="shared" ca="1" si="16"/>
        <v>4.770347249670893</v>
      </c>
      <c r="Y44" s="1">
        <f t="shared" ca="1" si="17"/>
        <v>7.4354337316859143E-2</v>
      </c>
      <c r="Z44" s="1">
        <f t="shared" ca="1" si="18"/>
        <v>236</v>
      </c>
      <c r="AB44" s="1">
        <f t="shared" ca="1" si="19"/>
        <v>0.79568344221751863</v>
      </c>
      <c r="AC44" s="1">
        <f t="shared" ca="1" si="20"/>
        <v>163</v>
      </c>
      <c r="AD44" s="1">
        <f t="shared" ca="1" si="21"/>
        <v>2.5265634253440346E-3</v>
      </c>
      <c r="AE44" s="1"/>
      <c r="AF44" s="1">
        <f t="shared" ca="1" si="22"/>
        <v>0.66496528368244434</v>
      </c>
      <c r="AG44" s="1">
        <f t="shared" ca="1" si="23"/>
        <v>938</v>
      </c>
      <c r="AH44" s="1">
        <f t="shared" ca="1" si="24"/>
        <v>5.6980197072113419E-3</v>
      </c>
      <c r="AJ44" s="1">
        <f t="shared" ca="1" si="25"/>
        <v>1.8973609450362527E-2</v>
      </c>
      <c r="AK44" s="1">
        <f t="shared" ca="1" si="26"/>
        <v>7.8817271381449276E-3</v>
      </c>
      <c r="AL44" s="1"/>
      <c r="AM44" s="1">
        <f t="shared" ca="1" si="27"/>
        <v>8.0992022724741985E-2</v>
      </c>
      <c r="AN44" s="1">
        <f t="shared" ca="1" si="28"/>
        <v>22</v>
      </c>
      <c r="AO44" s="1">
        <f t="shared" ca="1" si="29"/>
        <v>9</v>
      </c>
      <c r="AQ44" s="1">
        <f t="shared" ca="1" si="30"/>
        <v>30</v>
      </c>
      <c r="AR44" s="1">
        <f t="shared" ca="1" si="31"/>
        <v>5</v>
      </c>
      <c r="AS44" s="1">
        <f t="shared" ca="1" si="32"/>
        <v>81</v>
      </c>
      <c r="AU44" s="1">
        <f t="shared" ca="1" si="33"/>
        <v>70</v>
      </c>
      <c r="AV44" s="1">
        <f t="shared" ca="1" si="34"/>
        <v>10</v>
      </c>
      <c r="AW44" s="1">
        <f t="shared" ca="1" si="35"/>
        <v>1.8080719823342938E-2</v>
      </c>
      <c r="AY44" s="1">
        <f t="shared" ca="1" si="36"/>
        <v>1.8071007984628644</v>
      </c>
      <c r="AZ44" s="1">
        <f t="shared" ca="1" si="37"/>
        <v>124</v>
      </c>
      <c r="BA44" s="1">
        <f t="shared" ca="1" si="38"/>
        <v>6.5002508738004868E-3</v>
      </c>
      <c r="BV44" s="1">
        <f t="shared" ca="1" si="39"/>
        <v>0.95171536106877885</v>
      </c>
      <c r="BW44" s="1">
        <f t="shared" ca="1" si="40"/>
        <v>516</v>
      </c>
      <c r="BX44" s="1">
        <f t="shared" ca="1" si="41"/>
        <v>2.6433270311502942E-3</v>
      </c>
      <c r="BY44" s="1">
        <f t="shared" ca="1" si="42"/>
        <v>3.9834202864031845E-2</v>
      </c>
      <c r="BZ44" s="1">
        <f t="shared" ca="1" si="43"/>
        <v>0.80840575349524424</v>
      </c>
      <c r="CB44" s="1">
        <f t="shared" ca="1" si="44"/>
        <v>153</v>
      </c>
      <c r="CC44" s="1">
        <f t="shared" ca="1" si="45"/>
        <v>15</v>
      </c>
      <c r="CD44" s="1">
        <f t="shared" ca="1" si="46"/>
        <v>0.18060561625173815</v>
      </c>
      <c r="CE44" s="1">
        <f t="shared" ca="1" si="56"/>
        <v>0.65326554993309227</v>
      </c>
      <c r="CF44" s="1">
        <f t="shared" ca="1" si="56"/>
        <v>0.72981921655829662</v>
      </c>
      <c r="CH44" s="3">
        <f t="shared" ca="1" si="48"/>
        <v>0.50163582929016048</v>
      </c>
      <c r="CI44" s="3">
        <f t="shared" ca="1" si="49"/>
        <v>0.64627384212916295</v>
      </c>
      <c r="CJ44" s="3">
        <f t="shared" ca="1" si="50"/>
        <v>933</v>
      </c>
      <c r="CK44" s="3">
        <f t="shared" ca="1" si="51"/>
        <v>1.2887215494271447E-3</v>
      </c>
      <c r="CL44" s="3">
        <f t="shared" ca="1" si="52"/>
        <v>0</v>
      </c>
      <c r="CM44" s="3"/>
      <c r="CN44" s="1">
        <f t="shared" ca="1" si="53"/>
        <v>5.7031046514718327</v>
      </c>
      <c r="CO44" s="1">
        <f t="shared" ca="1" si="54"/>
        <v>0.33937644907309555</v>
      </c>
      <c r="CP44" s="1">
        <f t="shared" ca="1" si="55"/>
        <v>4</v>
      </c>
    </row>
    <row r="45" spans="2:94" x14ac:dyDescent="0.25">
      <c r="B45">
        <f t="shared" ca="1" si="0"/>
        <v>436</v>
      </c>
      <c r="C45">
        <f t="shared" ca="1" si="1"/>
        <v>45</v>
      </c>
      <c r="D45">
        <f t="shared" ca="1" si="2"/>
        <v>0.10103551251060049</v>
      </c>
      <c r="F45" s="1">
        <f t="shared" ca="1" si="3"/>
        <v>5</v>
      </c>
      <c r="G45" s="1">
        <f t="shared" ca="1" si="4"/>
        <v>8</v>
      </c>
      <c r="H45" s="1">
        <f t="shared" ca="1" si="5"/>
        <v>4</v>
      </c>
      <c r="I45" s="1"/>
      <c r="J45" s="1">
        <f t="shared" ca="1" si="6"/>
        <v>5</v>
      </c>
      <c r="K45" s="1">
        <f t="shared" ca="1" si="7"/>
        <v>2.3203456926407156</v>
      </c>
      <c r="L45" s="1">
        <f t="shared" ca="1" si="8"/>
        <v>14</v>
      </c>
      <c r="M45" s="1"/>
      <c r="N45" s="1">
        <f t="shared" ca="1" si="9"/>
        <v>124</v>
      </c>
      <c r="O45" s="1">
        <f t="shared" ca="1" si="10"/>
        <v>2</v>
      </c>
      <c r="P45" s="1"/>
      <c r="Q45" s="1">
        <f t="shared" ca="1" si="11"/>
        <v>2.520435022968619</v>
      </c>
      <c r="R45" s="1">
        <f t="shared" ca="1" si="12"/>
        <v>770</v>
      </c>
      <c r="S45" s="1"/>
      <c r="T45" s="1">
        <f t="shared" ca="1" si="13"/>
        <v>7.2743166987666558E-2</v>
      </c>
      <c r="U45" s="1">
        <f t="shared" ca="1" si="14"/>
        <v>412</v>
      </c>
      <c r="V45" s="1">
        <f t="shared" ca="1" si="15"/>
        <v>40</v>
      </c>
      <c r="W45" s="1"/>
      <c r="X45" s="1">
        <f t="shared" ca="1" si="16"/>
        <v>5.2932176407083862</v>
      </c>
      <c r="Y45" s="1">
        <f t="shared" ca="1" si="17"/>
        <v>0.42411283608743583</v>
      </c>
      <c r="Z45" s="1">
        <f t="shared" ca="1" si="18"/>
        <v>1572</v>
      </c>
      <c r="AB45" s="1">
        <f t="shared" ca="1" si="19"/>
        <v>0.5755277720985511</v>
      </c>
      <c r="AC45" s="1">
        <f t="shared" ca="1" si="20"/>
        <v>221</v>
      </c>
      <c r="AD45" s="1">
        <f t="shared" ca="1" si="21"/>
        <v>5.4771322220650053E-3</v>
      </c>
      <c r="AE45" s="1"/>
      <c r="AF45" s="1">
        <f t="shared" ca="1" si="22"/>
        <v>0.5217791846051788</v>
      </c>
      <c r="AG45" s="1">
        <f t="shared" ca="1" si="23"/>
        <v>995</v>
      </c>
      <c r="AH45" s="1">
        <f t="shared" ca="1" si="24"/>
        <v>3.7604132803592816E-3</v>
      </c>
      <c r="AJ45" s="1">
        <f t="shared" ca="1" si="25"/>
        <v>0.38426743270670916</v>
      </c>
      <c r="AK45" s="1">
        <f t="shared" ca="1" si="26"/>
        <v>9.9466025851320024E-3</v>
      </c>
      <c r="AL45" s="1"/>
      <c r="AM45" s="1">
        <f t="shared" ca="1" si="27"/>
        <v>4.2697900176065645E-2</v>
      </c>
      <c r="AN45" s="1">
        <f t="shared" ca="1" si="28"/>
        <v>18</v>
      </c>
      <c r="AO45" s="1">
        <f t="shared" ca="1" si="29"/>
        <v>17</v>
      </c>
      <c r="AQ45" s="1">
        <f t="shared" ca="1" si="30"/>
        <v>50</v>
      </c>
      <c r="AR45" s="1">
        <f t="shared" ca="1" si="31"/>
        <v>7</v>
      </c>
      <c r="AS45" s="1">
        <f t="shared" ca="1" si="32"/>
        <v>31</v>
      </c>
      <c r="AU45" s="1">
        <f t="shared" ca="1" si="33"/>
        <v>122</v>
      </c>
      <c r="AV45" s="1">
        <f t="shared" ca="1" si="34"/>
        <v>6</v>
      </c>
      <c r="AW45" s="1">
        <f t="shared" ca="1" si="35"/>
        <v>2.7951532867110954E-2</v>
      </c>
      <c r="AY45" s="1">
        <f t="shared" ca="1" si="36"/>
        <v>1.8354795249170139</v>
      </c>
      <c r="AZ45" s="1">
        <f t="shared" ca="1" si="37"/>
        <v>82</v>
      </c>
      <c r="BA45" s="1">
        <f t="shared" ca="1" si="38"/>
        <v>1.5566172551538646E-3</v>
      </c>
      <c r="BV45" s="1">
        <f t="shared" ca="1" si="39"/>
        <v>0.55312607847694273</v>
      </c>
      <c r="BW45" s="1">
        <f t="shared" ca="1" si="40"/>
        <v>632</v>
      </c>
      <c r="BX45" s="1">
        <f t="shared" ca="1" si="41"/>
        <v>7.9047855114068415E-3</v>
      </c>
      <c r="BY45" s="1">
        <f t="shared" ca="1" si="42"/>
        <v>5.2582960666968964E-2</v>
      </c>
      <c r="BZ45" s="1">
        <f t="shared" ca="1" si="43"/>
        <v>0.22795058110168998</v>
      </c>
      <c r="CB45" s="1">
        <f t="shared" ca="1" si="44"/>
        <v>368</v>
      </c>
      <c r="CC45" s="1">
        <f t="shared" ca="1" si="45"/>
        <v>13</v>
      </c>
      <c r="CD45" s="1">
        <f t="shared" ca="1" si="46"/>
        <v>0.2156323717195569</v>
      </c>
      <c r="CE45" s="1">
        <f t="shared" ca="1" si="56"/>
        <v>0.66787051505704054</v>
      </c>
      <c r="CF45" s="1">
        <f t="shared" ca="1" si="56"/>
        <v>0.86558124395468594</v>
      </c>
      <c r="CH45" s="3">
        <f t="shared" ca="1" si="48"/>
        <v>0.58235407227913205</v>
      </c>
      <c r="CI45" s="3">
        <f t="shared" ca="1" si="49"/>
        <v>0.18755268791888424</v>
      </c>
      <c r="CJ45" s="3">
        <f t="shared" ca="1" si="50"/>
        <v>687</v>
      </c>
      <c r="CK45" s="3">
        <f t="shared" ca="1" si="51"/>
        <v>5.3103454160518182E-3</v>
      </c>
      <c r="CL45" s="3">
        <f t="shared" ca="1" si="52"/>
        <v>1</v>
      </c>
      <c r="CM45" s="3"/>
      <c r="CN45" s="1">
        <f t="shared" ca="1" si="53"/>
        <v>11.656777315617228</v>
      </c>
      <c r="CO45" s="1">
        <f t="shared" ca="1" si="54"/>
        <v>0.33297678290407084</v>
      </c>
      <c r="CP45" s="1">
        <f t="shared" ca="1" si="55"/>
        <v>5</v>
      </c>
    </row>
    <row r="46" spans="2:94" x14ac:dyDescent="0.25">
      <c r="B46">
        <f t="shared" ca="1" si="0"/>
        <v>458</v>
      </c>
      <c r="C46">
        <f t="shared" ca="1" si="1"/>
        <v>13</v>
      </c>
      <c r="D46">
        <f t="shared" ca="1" si="2"/>
        <v>6.8424662978347067E-2</v>
      </c>
      <c r="F46" s="1">
        <f t="shared" ca="1" si="3"/>
        <v>35</v>
      </c>
      <c r="G46" s="1">
        <f t="shared" ca="1" si="4"/>
        <v>5</v>
      </c>
      <c r="H46" s="1">
        <f t="shared" ca="1" si="5"/>
        <v>6</v>
      </c>
      <c r="I46" s="1"/>
      <c r="J46" s="1">
        <f t="shared" ca="1" si="6"/>
        <v>28</v>
      </c>
      <c r="K46" s="1">
        <f t="shared" ca="1" si="7"/>
        <v>2.9590521985979383</v>
      </c>
      <c r="L46" s="1">
        <f t="shared" ca="1" si="8"/>
        <v>21</v>
      </c>
      <c r="M46" s="1"/>
      <c r="N46" s="1">
        <f t="shared" ca="1" si="9"/>
        <v>326</v>
      </c>
      <c r="O46" s="1">
        <f t="shared" ca="1" si="10"/>
        <v>7</v>
      </c>
      <c r="P46" s="1"/>
      <c r="Q46" s="1">
        <f t="shared" ca="1" si="11"/>
        <v>2.339068901386903</v>
      </c>
      <c r="R46" s="1">
        <f t="shared" ca="1" si="12"/>
        <v>1049</v>
      </c>
      <c r="S46" s="1"/>
      <c r="T46" s="1">
        <f t="shared" ca="1" si="13"/>
        <v>8.7944203912177971E-2</v>
      </c>
      <c r="U46" s="1">
        <f t="shared" ca="1" si="14"/>
        <v>344</v>
      </c>
      <c r="V46" s="1">
        <f t="shared" ca="1" si="15"/>
        <v>7</v>
      </c>
      <c r="W46" s="1"/>
      <c r="X46" s="1">
        <f t="shared" ca="1" si="16"/>
        <v>5.6567091778456362</v>
      </c>
      <c r="Y46" s="1">
        <f t="shared" ca="1" si="17"/>
        <v>0.67108372761894641</v>
      </c>
      <c r="Z46" s="1">
        <f t="shared" ca="1" si="18"/>
        <v>1296</v>
      </c>
      <c r="AB46" s="1">
        <f t="shared" ca="1" si="19"/>
        <v>0.11349267821690161</v>
      </c>
      <c r="AC46" s="1">
        <f t="shared" ca="1" si="20"/>
        <v>325</v>
      </c>
      <c r="AD46" s="1">
        <f t="shared" ca="1" si="21"/>
        <v>1.184225136174421E-3</v>
      </c>
      <c r="AE46" s="1"/>
      <c r="AF46" s="1">
        <f t="shared" ca="1" si="22"/>
        <v>0.44369642533558074</v>
      </c>
      <c r="AG46" s="1">
        <f t="shared" ca="1" si="23"/>
        <v>281</v>
      </c>
      <c r="AH46" s="1">
        <f t="shared" ca="1" si="24"/>
        <v>4.2114708235298165E-3</v>
      </c>
      <c r="AJ46" s="1">
        <f t="shared" ca="1" si="25"/>
        <v>0.8049979781851424</v>
      </c>
      <c r="AK46" s="1">
        <f t="shared" ca="1" si="26"/>
        <v>4.7262299285427073E-3</v>
      </c>
      <c r="AL46" s="1"/>
      <c r="AM46" s="1">
        <f t="shared" ca="1" si="27"/>
        <v>0.11881507832991756</v>
      </c>
      <c r="AN46" s="1">
        <f t="shared" ca="1" si="28"/>
        <v>74</v>
      </c>
      <c r="AO46" s="1">
        <f t="shared" ca="1" si="29"/>
        <v>19</v>
      </c>
      <c r="AQ46" s="1">
        <f t="shared" ca="1" si="30"/>
        <v>83</v>
      </c>
      <c r="AR46" s="1">
        <f t="shared" ca="1" si="31"/>
        <v>5</v>
      </c>
      <c r="AS46" s="1">
        <f t="shared" ca="1" si="32"/>
        <v>50</v>
      </c>
      <c r="AU46" s="1">
        <f t="shared" ca="1" si="33"/>
        <v>204</v>
      </c>
      <c r="AV46" s="1">
        <f t="shared" ca="1" si="34"/>
        <v>5</v>
      </c>
      <c r="AW46" s="1">
        <f t="shared" ca="1" si="35"/>
        <v>0.11675501820417448</v>
      </c>
      <c r="AY46" s="1">
        <f t="shared" ca="1" si="36"/>
        <v>1.4876273159141513</v>
      </c>
      <c r="AZ46" s="1">
        <f t="shared" ca="1" si="37"/>
        <v>196</v>
      </c>
      <c r="BA46" s="1">
        <f t="shared" ca="1" si="38"/>
        <v>7.4788543401949382E-3</v>
      </c>
      <c r="BV46" s="1">
        <f t="shared" ca="1" si="39"/>
        <v>0.3391857260290288</v>
      </c>
      <c r="BW46" s="1">
        <f t="shared" ca="1" si="40"/>
        <v>756</v>
      </c>
      <c r="BX46" s="1">
        <f t="shared" ca="1" si="41"/>
        <v>5.4462091904142968E-3</v>
      </c>
      <c r="BY46" s="1">
        <f t="shared" ca="1" si="42"/>
        <v>2.3891296883240556E-2</v>
      </c>
      <c r="BZ46" s="1">
        <f t="shared" ca="1" si="43"/>
        <v>1.5995517717504071E-2</v>
      </c>
      <c r="CB46" s="1">
        <f t="shared" ca="1" si="44"/>
        <v>486</v>
      </c>
      <c r="CC46" s="1">
        <f t="shared" ca="1" si="45"/>
        <v>12</v>
      </c>
      <c r="CD46" s="1">
        <f t="shared" ca="1" si="46"/>
        <v>8.8287647433584554E-2</v>
      </c>
      <c r="CE46" s="1">
        <f t="shared" ca="1" si="56"/>
        <v>0.64890844998100961</v>
      </c>
      <c r="CF46" s="1">
        <f t="shared" ca="1" si="56"/>
        <v>0.91307307132467153</v>
      </c>
      <c r="CH46" s="3">
        <f t="shared" ca="1" si="48"/>
        <v>0.40167490117540694</v>
      </c>
      <c r="CI46" s="3">
        <f t="shared" ca="1" si="49"/>
        <v>0.23303130900068306</v>
      </c>
      <c r="CJ46" s="3">
        <f t="shared" ca="1" si="50"/>
        <v>1001</v>
      </c>
      <c r="CK46" s="3">
        <f t="shared" ca="1" si="51"/>
        <v>7.1265912804361663E-3</v>
      </c>
      <c r="CL46" s="3">
        <f t="shared" ca="1" si="52"/>
        <v>1</v>
      </c>
      <c r="CM46" s="3"/>
      <c r="CN46" s="1">
        <f t="shared" ca="1" si="53"/>
        <v>6.1834164205189825</v>
      </c>
      <c r="CO46" s="1">
        <f t="shared" ca="1" si="54"/>
        <v>0.45723065811180258</v>
      </c>
      <c r="CP46" s="1">
        <f t="shared" ca="1" si="55"/>
        <v>1</v>
      </c>
    </row>
    <row r="47" spans="2:94" x14ac:dyDescent="0.25">
      <c r="B47">
        <f t="shared" ca="1" si="0"/>
        <v>538</v>
      </c>
      <c r="C47">
        <f t="shared" ca="1" si="1"/>
        <v>3</v>
      </c>
      <c r="D47">
        <f t="shared" ca="1" si="2"/>
        <v>0.22108980564251618</v>
      </c>
      <c r="F47" s="1">
        <f t="shared" ca="1" si="3"/>
        <v>20</v>
      </c>
      <c r="G47" s="1">
        <f t="shared" ca="1" si="4"/>
        <v>7</v>
      </c>
      <c r="H47" s="1">
        <f t="shared" ca="1" si="5"/>
        <v>7</v>
      </c>
      <c r="I47" s="1"/>
      <c r="J47" s="1">
        <f t="shared" ca="1" si="6"/>
        <v>27</v>
      </c>
      <c r="K47" s="1">
        <f t="shared" ca="1" si="7"/>
        <v>1.6004732584191939</v>
      </c>
      <c r="L47" s="1">
        <f t="shared" ca="1" si="8"/>
        <v>17</v>
      </c>
      <c r="M47" s="1"/>
      <c r="N47" s="1">
        <f t="shared" ca="1" si="9"/>
        <v>876</v>
      </c>
      <c r="O47" s="1">
        <f t="shared" ca="1" si="10"/>
        <v>48</v>
      </c>
      <c r="P47" s="1"/>
      <c r="Q47" s="1">
        <f t="shared" ca="1" si="11"/>
        <v>0.79632974112857868</v>
      </c>
      <c r="R47" s="1">
        <f t="shared" ca="1" si="12"/>
        <v>1200</v>
      </c>
      <c r="S47" s="1"/>
      <c r="T47" s="1">
        <f t="shared" ca="1" si="13"/>
        <v>1.8452629627122328E-2</v>
      </c>
      <c r="U47" s="1">
        <f t="shared" ca="1" si="14"/>
        <v>373</v>
      </c>
      <c r="V47" s="1">
        <f t="shared" ca="1" si="15"/>
        <v>16</v>
      </c>
      <c r="W47" s="1"/>
      <c r="X47" s="1">
        <f t="shared" ca="1" si="16"/>
        <v>9.7573358871213198E-2</v>
      </c>
      <c r="Y47" s="1">
        <f t="shared" ca="1" si="17"/>
        <v>0.18148872887945586</v>
      </c>
      <c r="Z47" s="1">
        <f t="shared" ca="1" si="18"/>
        <v>1658</v>
      </c>
      <c r="AB47" s="1">
        <f t="shared" ca="1" si="19"/>
        <v>0.40512564460785266</v>
      </c>
      <c r="AC47" s="1">
        <f t="shared" ca="1" si="20"/>
        <v>605</v>
      </c>
      <c r="AD47" s="1">
        <f t="shared" ca="1" si="21"/>
        <v>4.0884576990105987E-3</v>
      </c>
      <c r="AE47" s="1"/>
      <c r="AF47" s="1">
        <f t="shared" ca="1" si="22"/>
        <v>0.70396729672289726</v>
      </c>
      <c r="AG47" s="1">
        <f t="shared" ca="1" si="23"/>
        <v>978</v>
      </c>
      <c r="AH47" s="1">
        <f t="shared" ca="1" si="24"/>
        <v>7.5406136503291133E-3</v>
      </c>
      <c r="AJ47" s="1">
        <f t="shared" ca="1" si="25"/>
        <v>0.35619240800897889</v>
      </c>
      <c r="AK47" s="1">
        <f t="shared" ca="1" si="26"/>
        <v>9.4116148902723112E-3</v>
      </c>
      <c r="AL47" s="1"/>
      <c r="AM47" s="1">
        <f t="shared" ca="1" si="27"/>
        <v>0.15146653167260998</v>
      </c>
      <c r="AN47" s="1">
        <f t="shared" ca="1" si="28"/>
        <v>74</v>
      </c>
      <c r="AO47" s="1">
        <f t="shared" ca="1" si="29"/>
        <v>19</v>
      </c>
      <c r="AQ47" s="1">
        <f t="shared" ca="1" si="30"/>
        <v>168</v>
      </c>
      <c r="AR47" s="1">
        <f t="shared" ca="1" si="31"/>
        <v>9</v>
      </c>
      <c r="AS47" s="1">
        <f t="shared" ca="1" si="32"/>
        <v>88</v>
      </c>
      <c r="AU47" s="1">
        <f t="shared" ca="1" si="33"/>
        <v>335</v>
      </c>
      <c r="AV47" s="1">
        <f t="shared" ca="1" si="34"/>
        <v>5</v>
      </c>
      <c r="AW47" s="1">
        <f t="shared" ca="1" si="35"/>
        <v>0.12354571643277683</v>
      </c>
      <c r="AY47" s="1">
        <f t="shared" ca="1" si="36"/>
        <v>1.8908754722112189</v>
      </c>
      <c r="AZ47" s="1">
        <f t="shared" ca="1" si="37"/>
        <v>213</v>
      </c>
      <c r="BA47" s="1">
        <f t="shared" ca="1" si="38"/>
        <v>8.4991712291039596E-3</v>
      </c>
      <c r="BV47" s="1">
        <f t="shared" ca="1" si="39"/>
        <v>4.0217317948014933E-2</v>
      </c>
      <c r="BW47" s="1">
        <f t="shared" ca="1" si="40"/>
        <v>979</v>
      </c>
      <c r="BX47" s="1">
        <f t="shared" ca="1" si="41"/>
        <v>7.6626733138755879E-3</v>
      </c>
      <c r="BY47" s="1">
        <f t="shared" ca="1" si="42"/>
        <v>3.1253335380745108E-3</v>
      </c>
      <c r="BZ47" s="1">
        <f t="shared" ca="1" si="43"/>
        <v>0.89927593808371864</v>
      </c>
      <c r="CB47" s="1">
        <f t="shared" ca="1" si="44"/>
        <v>275</v>
      </c>
      <c r="CC47" s="1">
        <f t="shared" ca="1" si="45"/>
        <v>7</v>
      </c>
      <c r="CD47" s="1">
        <f t="shared" ca="1" si="46"/>
        <v>6.8282040691192161E-2</v>
      </c>
      <c r="CE47" s="1">
        <f t="shared" ca="1" si="56"/>
        <v>0.98351086760787831</v>
      </c>
      <c r="CF47" s="1">
        <f t="shared" ca="1" si="56"/>
        <v>0.98324137788389998</v>
      </c>
      <c r="CH47" s="3">
        <f t="shared" ca="1" si="48"/>
        <v>0.29965568567730544</v>
      </c>
      <c r="CI47" s="3">
        <f t="shared" ca="1" si="49"/>
        <v>0.74739055883107453</v>
      </c>
      <c r="CJ47" s="3">
        <f t="shared" ca="1" si="50"/>
        <v>1628</v>
      </c>
      <c r="CK47" s="3">
        <f t="shared" ca="1" si="51"/>
        <v>6.1040985734957046E-3</v>
      </c>
      <c r="CL47" s="3">
        <f t="shared" ca="1" si="52"/>
        <v>1</v>
      </c>
      <c r="CM47" s="3"/>
      <c r="CN47" s="1">
        <f t="shared" ca="1" si="53"/>
        <v>18.707752497778255</v>
      </c>
      <c r="CO47" s="1">
        <f t="shared" ca="1" si="54"/>
        <v>0.41137469796817772</v>
      </c>
      <c r="CP47" s="1">
        <f t="shared" ca="1" si="55"/>
        <v>4</v>
      </c>
    </row>
    <row r="48" spans="2:94" x14ac:dyDescent="0.25">
      <c r="B48">
        <f t="shared" ca="1" si="0"/>
        <v>857</v>
      </c>
      <c r="C48">
        <f t="shared" ca="1" si="1"/>
        <v>49</v>
      </c>
      <c r="D48">
        <f t="shared" ca="1" si="2"/>
        <v>5.5008871699183996E-2</v>
      </c>
      <c r="F48" s="1">
        <f t="shared" ca="1" si="3"/>
        <v>13</v>
      </c>
      <c r="G48" s="1">
        <f t="shared" ca="1" si="4"/>
        <v>5</v>
      </c>
      <c r="H48" s="1">
        <f t="shared" ca="1" si="5"/>
        <v>10</v>
      </c>
      <c r="I48" s="1"/>
      <c r="J48" s="1">
        <f t="shared" ca="1" si="6"/>
        <v>12</v>
      </c>
      <c r="K48" s="1">
        <f t="shared" ca="1" si="7"/>
        <v>2.2895304122467275</v>
      </c>
      <c r="L48" s="1">
        <f t="shared" ca="1" si="8"/>
        <v>16</v>
      </c>
      <c r="M48" s="1"/>
      <c r="N48" s="1">
        <f t="shared" ca="1" si="9"/>
        <v>595</v>
      </c>
      <c r="O48" s="1">
        <f t="shared" ca="1" si="10"/>
        <v>32</v>
      </c>
      <c r="P48" s="1"/>
      <c r="Q48" s="1">
        <f t="shared" ca="1" si="11"/>
        <v>2.415357467213048</v>
      </c>
      <c r="R48" s="1">
        <f t="shared" ca="1" si="12"/>
        <v>792</v>
      </c>
      <c r="S48" s="1"/>
      <c r="T48" s="1">
        <f t="shared" ca="1" si="13"/>
        <v>0.13102668045299526</v>
      </c>
      <c r="U48" s="1">
        <f t="shared" ca="1" si="14"/>
        <v>72</v>
      </c>
      <c r="V48" s="1">
        <f t="shared" ca="1" si="15"/>
        <v>39</v>
      </c>
      <c r="W48" s="1"/>
      <c r="X48" s="1">
        <f t="shared" ca="1" si="16"/>
        <v>3.5551638313289353</v>
      </c>
      <c r="Y48" s="1">
        <f t="shared" ca="1" si="17"/>
        <v>0.7158732762031893</v>
      </c>
      <c r="Z48" s="1">
        <f t="shared" ca="1" si="18"/>
        <v>1571</v>
      </c>
      <c r="AB48" s="1">
        <f t="shared" ca="1" si="19"/>
        <v>9.7515762524027397E-2</v>
      </c>
      <c r="AC48" s="1">
        <f t="shared" ca="1" si="20"/>
        <v>704</v>
      </c>
      <c r="AD48" s="1">
        <f t="shared" ca="1" si="21"/>
        <v>4.3183011105888854E-3</v>
      </c>
      <c r="AE48" s="1"/>
      <c r="AF48" s="1">
        <f t="shared" ca="1" si="22"/>
        <v>0.21622294452757701</v>
      </c>
      <c r="AG48" s="1">
        <f t="shared" ca="1" si="23"/>
        <v>317</v>
      </c>
      <c r="AH48" s="1">
        <f t="shared" ca="1" si="24"/>
        <v>4.0961245148170861E-3</v>
      </c>
      <c r="AJ48" s="1">
        <f t="shared" ca="1" si="25"/>
        <v>0.78519352676181176</v>
      </c>
      <c r="AK48" s="1">
        <f t="shared" ca="1" si="26"/>
        <v>7.9799096966866687E-3</v>
      </c>
      <c r="AL48" s="1"/>
      <c r="AM48" s="1">
        <f t="shared" ca="1" si="27"/>
        <v>6.4273925112172964E-3</v>
      </c>
      <c r="AN48" s="1">
        <f t="shared" ca="1" si="28"/>
        <v>73</v>
      </c>
      <c r="AO48" s="1">
        <f t="shared" ca="1" si="29"/>
        <v>-1</v>
      </c>
      <c r="AQ48" s="1">
        <f t="shared" ca="1" si="30"/>
        <v>200</v>
      </c>
      <c r="AR48" s="1">
        <f t="shared" ca="1" si="31"/>
        <v>4</v>
      </c>
      <c r="AS48" s="1">
        <f t="shared" ca="1" si="32"/>
        <v>27</v>
      </c>
      <c r="AU48" s="1">
        <f t="shared" ca="1" si="33"/>
        <v>57</v>
      </c>
      <c r="AV48" s="1">
        <f t="shared" ca="1" si="34"/>
        <v>10</v>
      </c>
      <c r="AW48" s="1">
        <f t="shared" ca="1" si="35"/>
        <v>0.14681016306879865</v>
      </c>
      <c r="AY48" s="1">
        <f t="shared" ca="1" si="36"/>
        <v>1.1170015443132404</v>
      </c>
      <c r="AZ48" s="1">
        <f t="shared" ca="1" si="37"/>
        <v>452</v>
      </c>
      <c r="BA48" s="1">
        <f t="shared" ca="1" si="38"/>
        <v>9.1450784817312357E-3</v>
      </c>
      <c r="BV48" s="1">
        <f t="shared" ca="1" si="39"/>
        <v>0.82839784332642252</v>
      </c>
      <c r="BW48" s="1">
        <f t="shared" ca="1" si="40"/>
        <v>341</v>
      </c>
      <c r="BX48" s="1">
        <f t="shared" ca="1" si="41"/>
        <v>9.5869102004826449E-3</v>
      </c>
      <c r="BY48" s="1">
        <f t="shared" ca="1" si="42"/>
        <v>5.3336048712231854E-2</v>
      </c>
      <c r="BZ48" s="1">
        <f t="shared" ca="1" si="43"/>
        <v>0.30072988757526353</v>
      </c>
      <c r="CB48" s="1">
        <f t="shared" ca="1" si="44"/>
        <v>281</v>
      </c>
      <c r="CC48" s="1">
        <f t="shared" ca="1" si="45"/>
        <v>11</v>
      </c>
      <c r="CD48" s="1">
        <f t="shared" ca="1" si="46"/>
        <v>0.23509836488679167</v>
      </c>
      <c r="CE48" s="1">
        <f t="shared" ca="1" si="56"/>
        <v>0.98161931603021257</v>
      </c>
      <c r="CF48" s="1">
        <f t="shared" ca="1" si="56"/>
        <v>0.66347259445102957</v>
      </c>
      <c r="CH48" s="3">
        <f t="shared" ca="1" si="48"/>
        <v>0.98515033766986193</v>
      </c>
      <c r="CI48" s="3">
        <f t="shared" ca="1" si="49"/>
        <v>0.24310756638731643</v>
      </c>
      <c r="CJ48" s="3">
        <f t="shared" ca="1" si="50"/>
        <v>652</v>
      </c>
      <c r="CK48" s="3">
        <f t="shared" ca="1" si="51"/>
        <v>4.9327927471678528E-3</v>
      </c>
      <c r="CL48" s="3">
        <f t="shared" ca="1" si="52"/>
        <v>0</v>
      </c>
      <c r="CM48" s="3"/>
      <c r="CN48" s="1">
        <f t="shared" ca="1" si="53"/>
        <v>16.973849180548598</v>
      </c>
      <c r="CO48" s="1">
        <f t="shared" ca="1" si="54"/>
        <v>7.2537510135280411E-2</v>
      </c>
      <c r="CP48" s="1">
        <f t="shared" ca="1" si="55"/>
        <v>3</v>
      </c>
    </row>
    <row r="49" spans="2:94" x14ac:dyDescent="0.25">
      <c r="B49">
        <f t="shared" ca="1" si="0"/>
        <v>210</v>
      </c>
      <c r="C49">
        <f t="shared" ca="1" si="1"/>
        <v>44</v>
      </c>
      <c r="D49">
        <f t="shared" ca="1" si="2"/>
        <v>0.16008255767680174</v>
      </c>
      <c r="F49" s="1">
        <f t="shared" ca="1" si="3"/>
        <v>5</v>
      </c>
      <c r="G49" s="1">
        <f t="shared" ca="1" si="4"/>
        <v>15</v>
      </c>
      <c r="H49" s="1">
        <f t="shared" ca="1" si="5"/>
        <v>10</v>
      </c>
      <c r="I49" s="1"/>
      <c r="J49" s="1">
        <f t="shared" ca="1" si="6"/>
        <v>25</v>
      </c>
      <c r="K49" s="1">
        <f t="shared" ca="1" si="7"/>
        <v>1.6118605164274498</v>
      </c>
      <c r="L49" s="1">
        <f t="shared" ca="1" si="8"/>
        <v>2</v>
      </c>
      <c r="M49" s="1"/>
      <c r="N49" s="1">
        <f t="shared" ca="1" si="9"/>
        <v>197</v>
      </c>
      <c r="O49" s="1">
        <f t="shared" ca="1" si="10"/>
        <v>27</v>
      </c>
      <c r="P49" s="1"/>
      <c r="Q49" s="1">
        <f t="shared" ca="1" si="11"/>
        <v>3.194943951962141</v>
      </c>
      <c r="R49" s="1">
        <f t="shared" ca="1" si="12"/>
        <v>1170</v>
      </c>
      <c r="S49" s="1"/>
      <c r="T49" s="1">
        <f t="shared" ca="1" si="13"/>
        <v>8.0589895696927899E-2</v>
      </c>
      <c r="U49" s="1">
        <f t="shared" ca="1" si="14"/>
        <v>204</v>
      </c>
      <c r="V49" s="1">
        <f t="shared" ca="1" si="15"/>
        <v>9</v>
      </c>
      <c r="W49" s="1"/>
      <c r="X49" s="1">
        <f t="shared" ca="1" si="16"/>
        <v>9.7120201646999362</v>
      </c>
      <c r="Y49" s="1">
        <f t="shared" ca="1" si="17"/>
        <v>0.33845522657987348</v>
      </c>
      <c r="Z49" s="1">
        <f t="shared" ca="1" si="18"/>
        <v>1477</v>
      </c>
      <c r="AB49" s="1">
        <f t="shared" ca="1" si="19"/>
        <v>0.66843172143253393</v>
      </c>
      <c r="AC49" s="1">
        <f t="shared" ca="1" si="20"/>
        <v>321</v>
      </c>
      <c r="AD49" s="1">
        <f t="shared" ca="1" si="21"/>
        <v>1.3508519929170402E-3</v>
      </c>
      <c r="AE49" s="1"/>
      <c r="AF49" s="1">
        <f t="shared" ca="1" si="22"/>
        <v>0.5460139120513422</v>
      </c>
      <c r="AG49" s="1">
        <f t="shared" ca="1" si="23"/>
        <v>776</v>
      </c>
      <c r="AH49" s="1">
        <f t="shared" ca="1" si="24"/>
        <v>2.4977930204072678E-3</v>
      </c>
      <c r="AJ49" s="1">
        <f t="shared" ca="1" si="25"/>
        <v>0.72579255682849753</v>
      </c>
      <c r="AK49" s="1">
        <f t="shared" ca="1" si="26"/>
        <v>2.3704152775865031E-3</v>
      </c>
      <c r="AL49" s="1"/>
      <c r="AM49" s="1">
        <f t="shared" ca="1" si="27"/>
        <v>6.309227972700597E-2</v>
      </c>
      <c r="AN49" s="1">
        <f t="shared" ca="1" si="28"/>
        <v>11</v>
      </c>
      <c r="AO49" s="1">
        <f t="shared" ca="1" si="29"/>
        <v>9</v>
      </c>
      <c r="AQ49" s="1">
        <f t="shared" ca="1" si="30"/>
        <v>182</v>
      </c>
      <c r="AR49" s="1">
        <f t="shared" ca="1" si="31"/>
        <v>4</v>
      </c>
      <c r="AS49" s="1">
        <f t="shared" ca="1" si="32"/>
        <v>32</v>
      </c>
      <c r="AU49" s="1">
        <f t="shared" ca="1" si="33"/>
        <v>383</v>
      </c>
      <c r="AV49" s="1">
        <f t="shared" ca="1" si="34"/>
        <v>8</v>
      </c>
      <c r="AW49" s="1">
        <f t="shared" ca="1" si="35"/>
        <v>0.11704265448326102</v>
      </c>
      <c r="AY49" s="1">
        <f t="shared" ca="1" si="36"/>
        <v>1.6050653083522954</v>
      </c>
      <c r="AZ49" s="1">
        <f t="shared" ca="1" si="37"/>
        <v>222</v>
      </c>
      <c r="BA49" s="1">
        <f t="shared" ca="1" si="38"/>
        <v>8.2538477848063726E-3</v>
      </c>
      <c r="BV49" s="1">
        <f t="shared" ca="1" si="39"/>
        <v>4.2346706452313233E-2</v>
      </c>
      <c r="BW49" s="1">
        <f t="shared" ca="1" si="40"/>
        <v>786</v>
      </c>
      <c r="BX49" s="1">
        <f t="shared" ca="1" si="41"/>
        <v>9.3792830395843761E-3</v>
      </c>
      <c r="BY49" s="1">
        <f t="shared" ca="1" si="42"/>
        <v>2.6898644615730622E-2</v>
      </c>
      <c r="BZ49" s="1">
        <f t="shared" ca="1" si="43"/>
        <v>8.5444912813051443E-2</v>
      </c>
      <c r="CB49" s="1">
        <f t="shared" ca="1" si="44"/>
        <v>253</v>
      </c>
      <c r="CC49" s="1">
        <f t="shared" ca="1" si="45"/>
        <v>5</v>
      </c>
      <c r="CD49" s="1">
        <f t="shared" ca="1" si="46"/>
        <v>0.25695897971755377</v>
      </c>
      <c r="CE49" s="1">
        <f t="shared" ca="1" si="56"/>
        <v>0.82423124719381313</v>
      </c>
      <c r="CF49" s="1">
        <f t="shared" ca="1" si="56"/>
        <v>0.73255418812644102</v>
      </c>
      <c r="CH49" s="3">
        <f t="shared" ca="1" si="48"/>
        <v>4.9439478223403027E-2</v>
      </c>
      <c r="CI49" s="3">
        <f t="shared" ca="1" si="49"/>
        <v>0.59981336755266434</v>
      </c>
      <c r="CJ49" s="3">
        <f t="shared" ca="1" si="50"/>
        <v>431</v>
      </c>
      <c r="CK49" s="3">
        <f t="shared" ca="1" si="51"/>
        <v>3.1907717595105775E-3</v>
      </c>
      <c r="CL49" s="3">
        <f t="shared" ca="1" si="52"/>
        <v>1</v>
      </c>
      <c r="CM49" s="3"/>
      <c r="CN49" s="1">
        <f t="shared" ca="1" si="53"/>
        <v>6.6611823858842705</v>
      </c>
      <c r="CO49" s="1">
        <f t="shared" ca="1" si="54"/>
        <v>0.39134458483172291</v>
      </c>
      <c r="CP49" s="1">
        <f t="shared" ca="1" si="55"/>
        <v>1</v>
      </c>
    </row>
    <row r="50" spans="2:94" x14ac:dyDescent="0.25">
      <c r="B50">
        <f t="shared" ca="1" si="0"/>
        <v>617</v>
      </c>
      <c r="C50">
        <f t="shared" ca="1" si="1"/>
        <v>12</v>
      </c>
      <c r="D50">
        <f t="shared" ca="1" si="2"/>
        <v>0.23944391974257812</v>
      </c>
      <c r="F50" s="1">
        <f t="shared" ca="1" si="3"/>
        <v>9</v>
      </c>
      <c r="G50" s="1">
        <f t="shared" ca="1" si="4"/>
        <v>6</v>
      </c>
      <c r="H50" s="1">
        <f t="shared" ca="1" si="5"/>
        <v>10</v>
      </c>
      <c r="I50" s="1"/>
      <c r="J50" s="1">
        <f t="shared" ca="1" si="6"/>
        <v>22</v>
      </c>
      <c r="K50" s="1">
        <f t="shared" ca="1" si="7"/>
        <v>2.7298799348449885</v>
      </c>
      <c r="L50" s="1">
        <f t="shared" ca="1" si="8"/>
        <v>2</v>
      </c>
      <c r="M50" s="1"/>
      <c r="N50" s="1">
        <f t="shared" ca="1" si="9"/>
        <v>587</v>
      </c>
      <c r="O50" s="1">
        <f t="shared" ca="1" si="10"/>
        <v>48</v>
      </c>
      <c r="P50" s="1"/>
      <c r="Q50" s="1">
        <f t="shared" ca="1" si="11"/>
        <v>3.436731838525338</v>
      </c>
      <c r="R50" s="1">
        <f t="shared" ca="1" si="12"/>
        <v>1005</v>
      </c>
      <c r="S50" s="1"/>
      <c r="T50" s="1">
        <f t="shared" ca="1" si="13"/>
        <v>8.5033477681799724E-2</v>
      </c>
      <c r="U50" s="1">
        <f t="shared" ca="1" si="14"/>
        <v>92</v>
      </c>
      <c r="V50" s="1">
        <f t="shared" ca="1" si="15"/>
        <v>36</v>
      </c>
      <c r="W50" s="1"/>
      <c r="X50" s="1">
        <f t="shared" ca="1" si="16"/>
        <v>1.0083845647760388</v>
      </c>
      <c r="Y50" s="1">
        <f t="shared" ca="1" si="17"/>
        <v>0.50943412002776967</v>
      </c>
      <c r="Z50" s="1">
        <f t="shared" ca="1" si="18"/>
        <v>586</v>
      </c>
      <c r="AB50" s="1">
        <f t="shared" ca="1" si="19"/>
        <v>0.14489885601014874</v>
      </c>
      <c r="AC50" s="1">
        <f t="shared" ca="1" si="20"/>
        <v>852</v>
      </c>
      <c r="AD50" s="1">
        <f t="shared" ca="1" si="21"/>
        <v>8.9385444408425791E-3</v>
      </c>
      <c r="AE50" s="1"/>
      <c r="AF50" s="1">
        <f t="shared" ca="1" si="22"/>
        <v>0.72497138540511441</v>
      </c>
      <c r="AG50" s="1">
        <f t="shared" ca="1" si="23"/>
        <v>748</v>
      </c>
      <c r="AH50" s="1">
        <f t="shared" ca="1" si="24"/>
        <v>4.0952976224354152E-3</v>
      </c>
      <c r="AJ50" s="1">
        <f t="shared" ca="1" si="25"/>
        <v>0.28906742507388572</v>
      </c>
      <c r="AK50" s="1">
        <f t="shared" ca="1" si="26"/>
        <v>7.3369397580254677E-3</v>
      </c>
      <c r="AL50" s="1"/>
      <c r="AM50" s="1">
        <f t="shared" ca="1" si="27"/>
        <v>6.3263471482272307E-2</v>
      </c>
      <c r="AN50" s="1">
        <f t="shared" ca="1" si="28"/>
        <v>17</v>
      </c>
      <c r="AO50" s="1">
        <f t="shared" ca="1" si="29"/>
        <v>20</v>
      </c>
      <c r="AQ50" s="1">
        <f t="shared" ca="1" si="30"/>
        <v>36</v>
      </c>
      <c r="AR50" s="1">
        <f t="shared" ca="1" si="31"/>
        <v>9</v>
      </c>
      <c r="AS50" s="1">
        <f t="shared" ca="1" si="32"/>
        <v>79</v>
      </c>
      <c r="AU50" s="1">
        <f t="shared" ca="1" si="33"/>
        <v>287</v>
      </c>
      <c r="AV50" s="1">
        <f t="shared" ca="1" si="34"/>
        <v>5</v>
      </c>
      <c r="AW50" s="1">
        <f t="shared" ca="1" si="35"/>
        <v>0.15058564194503452</v>
      </c>
      <c r="AY50" s="1">
        <f t="shared" ca="1" si="36"/>
        <v>1.4495927249850755</v>
      </c>
      <c r="AZ50" s="1">
        <f t="shared" ca="1" si="37"/>
        <v>62</v>
      </c>
      <c r="BA50" s="1">
        <f t="shared" ca="1" si="38"/>
        <v>7.0051760123475085E-3</v>
      </c>
      <c r="BV50" s="1">
        <f t="shared" ca="1" si="39"/>
        <v>0.53509568314451683</v>
      </c>
      <c r="BW50" s="1">
        <f t="shared" ca="1" si="40"/>
        <v>559</v>
      </c>
      <c r="BX50" s="1">
        <f t="shared" ca="1" si="41"/>
        <v>8.3795909835260307E-3</v>
      </c>
      <c r="BY50" s="1">
        <f t="shared" ca="1" si="42"/>
        <v>8.8421774383957208E-2</v>
      </c>
      <c r="BZ50" s="1">
        <f t="shared" ca="1" si="43"/>
        <v>0.53520481851074375</v>
      </c>
      <c r="CB50" s="1">
        <f t="shared" ca="1" si="44"/>
        <v>371</v>
      </c>
      <c r="CC50" s="1">
        <f t="shared" ca="1" si="45"/>
        <v>6</v>
      </c>
      <c r="CD50" s="1">
        <f t="shared" ca="1" si="46"/>
        <v>0.20840550739465277</v>
      </c>
      <c r="CE50" s="1">
        <f t="shared" ca="1" si="56"/>
        <v>0.5977247548663962</v>
      </c>
      <c r="CF50" s="1">
        <f t="shared" ca="1" si="56"/>
        <v>0.6145108802934085</v>
      </c>
      <c r="CH50" s="3">
        <f t="shared" ca="1" si="48"/>
        <v>0.53561520256244666</v>
      </c>
      <c r="CI50" s="3">
        <f t="shared" ca="1" si="49"/>
        <v>9.8704427315978421E-2</v>
      </c>
      <c r="CJ50" s="3">
        <f t="shared" ca="1" si="50"/>
        <v>1625</v>
      </c>
      <c r="CK50" s="3">
        <f t="shared" ca="1" si="51"/>
        <v>8.5033560492204126E-3</v>
      </c>
      <c r="CL50" s="3">
        <f t="shared" ca="1" si="52"/>
        <v>0</v>
      </c>
      <c r="CM50" s="3"/>
      <c r="CN50" s="1">
        <f t="shared" ca="1" si="53"/>
        <v>16.893792519008318</v>
      </c>
      <c r="CO50" s="1">
        <f t="shared" ca="1" si="54"/>
        <v>0.47019456176701779</v>
      </c>
      <c r="CP50" s="1">
        <f t="shared" ca="1" si="55"/>
        <v>4</v>
      </c>
    </row>
    <row r="51" spans="2:94" x14ac:dyDescent="0.25">
      <c r="B51">
        <f t="shared" ca="1" si="0"/>
        <v>379</v>
      </c>
      <c r="C51">
        <f t="shared" ca="1" si="1"/>
        <v>26</v>
      </c>
      <c r="D51">
        <f t="shared" ca="1" si="2"/>
        <v>0.16494448990256622</v>
      </c>
      <c r="F51" s="1">
        <f t="shared" ca="1" si="3"/>
        <v>49</v>
      </c>
      <c r="G51" s="1">
        <f t="shared" ca="1" si="4"/>
        <v>29</v>
      </c>
      <c r="H51" s="1">
        <f t="shared" ca="1" si="5"/>
        <v>3</v>
      </c>
      <c r="I51" s="1"/>
      <c r="J51" s="1">
        <f t="shared" ca="1" si="6"/>
        <v>21</v>
      </c>
      <c r="K51" s="1">
        <f t="shared" ca="1" si="7"/>
        <v>2.8216537198477991</v>
      </c>
      <c r="L51" s="1">
        <f t="shared" ca="1" si="8"/>
        <v>4</v>
      </c>
      <c r="M51" s="1"/>
      <c r="N51" s="1">
        <f t="shared" ca="1" si="9"/>
        <v>971</v>
      </c>
      <c r="O51" s="1">
        <f t="shared" ca="1" si="10"/>
        <v>31</v>
      </c>
      <c r="P51" s="1"/>
      <c r="Q51" s="1">
        <f t="shared" ca="1" si="11"/>
        <v>4.5630814972121563</v>
      </c>
      <c r="R51" s="1">
        <f t="shared" ca="1" si="12"/>
        <v>857</v>
      </c>
      <c r="S51" s="1"/>
      <c r="T51" s="1">
        <f t="shared" ca="1" si="13"/>
        <v>0.15337605304985635</v>
      </c>
      <c r="U51" s="1">
        <f t="shared" ca="1" si="14"/>
        <v>134</v>
      </c>
      <c r="V51" s="1">
        <f t="shared" ca="1" si="15"/>
        <v>41</v>
      </c>
      <c r="W51" s="1"/>
      <c r="X51" s="1">
        <f t="shared" ca="1" si="16"/>
        <v>8.8018144003485226</v>
      </c>
      <c r="Y51" s="1">
        <f t="shared" ca="1" si="17"/>
        <v>8.2657778951566813E-2</v>
      </c>
      <c r="Z51" s="1">
        <f t="shared" ca="1" si="18"/>
        <v>219</v>
      </c>
      <c r="AB51" s="1">
        <f t="shared" ca="1" si="19"/>
        <v>0.67287486713754041</v>
      </c>
      <c r="AC51" s="1">
        <f t="shared" ca="1" si="20"/>
        <v>207</v>
      </c>
      <c r="AD51" s="1">
        <f t="shared" ca="1" si="21"/>
        <v>5.0277575460250523E-3</v>
      </c>
      <c r="AE51" s="1"/>
      <c r="AF51" s="1">
        <f t="shared" ca="1" si="22"/>
        <v>0.21047025146001819</v>
      </c>
      <c r="AG51" s="1">
        <f t="shared" ca="1" si="23"/>
        <v>539</v>
      </c>
      <c r="AH51" s="1">
        <f t="shared" ca="1" si="24"/>
        <v>7.6438201169159526E-3</v>
      </c>
      <c r="AJ51" s="1">
        <f t="shared" ca="1" si="25"/>
        <v>0.28882342466111688</v>
      </c>
      <c r="AK51" s="1">
        <f t="shared" ca="1" si="26"/>
        <v>8.6818209137303499E-3</v>
      </c>
      <c r="AL51" s="1"/>
      <c r="AM51" s="1">
        <f t="shared" ca="1" si="27"/>
        <v>9.4684965384417327E-2</v>
      </c>
      <c r="AN51" s="1">
        <f t="shared" ca="1" si="28"/>
        <v>23</v>
      </c>
      <c r="AO51" s="1">
        <f t="shared" ca="1" si="29"/>
        <v>13</v>
      </c>
      <c r="AQ51" s="1">
        <f t="shared" ca="1" si="30"/>
        <v>12</v>
      </c>
      <c r="AR51" s="1">
        <f t="shared" ca="1" si="31"/>
        <v>10</v>
      </c>
      <c r="AS51" s="1">
        <f t="shared" ca="1" si="32"/>
        <v>91</v>
      </c>
      <c r="AU51" s="1">
        <f t="shared" ca="1" si="33"/>
        <v>104</v>
      </c>
      <c r="AV51" s="1">
        <f t="shared" ca="1" si="34"/>
        <v>7</v>
      </c>
      <c r="AW51" s="1">
        <f t="shared" ca="1" si="35"/>
        <v>4.8203918775206939E-2</v>
      </c>
      <c r="AY51" s="1">
        <f t="shared" ca="1" si="36"/>
        <v>1.6697735102460527</v>
      </c>
      <c r="AZ51" s="1">
        <f t="shared" ca="1" si="37"/>
        <v>367</v>
      </c>
      <c r="BA51" s="1">
        <f t="shared" ca="1" si="38"/>
        <v>7.7508645827981532E-3</v>
      </c>
      <c r="BV51" s="1">
        <f t="shared" ca="1" si="39"/>
        <v>0.40141978116192489</v>
      </c>
      <c r="BW51" s="1">
        <f t="shared" ca="1" si="40"/>
        <v>819</v>
      </c>
      <c r="BX51" s="1">
        <f t="shared" ca="1" si="41"/>
        <v>6.4484430707970825E-3</v>
      </c>
      <c r="BY51" s="1">
        <f t="shared" ca="1" si="42"/>
        <v>6.605580074476881E-3</v>
      </c>
      <c r="BZ51" s="1">
        <f t="shared" ca="1" si="43"/>
        <v>0.92855586838645165</v>
      </c>
      <c r="CB51" s="1">
        <f t="shared" ca="1" si="44"/>
        <v>378</v>
      </c>
      <c r="CC51" s="1">
        <f t="shared" ca="1" si="45"/>
        <v>13</v>
      </c>
      <c r="CD51" s="1">
        <f t="shared" ca="1" si="46"/>
        <v>5.6468619137103271E-2</v>
      </c>
      <c r="CE51" s="1">
        <f t="shared" ca="1" si="56"/>
        <v>0.81687613790583269</v>
      </c>
      <c r="CF51" s="1">
        <f t="shared" ca="1" si="56"/>
        <v>0.5058044580797455</v>
      </c>
      <c r="CH51" s="3">
        <f t="shared" ca="1" si="48"/>
        <v>0.14435346707456925</v>
      </c>
      <c r="CI51" s="3">
        <f t="shared" ca="1" si="49"/>
        <v>0.88954819214311687</v>
      </c>
      <c r="CJ51" s="3">
        <f t="shared" ca="1" si="50"/>
        <v>481</v>
      </c>
      <c r="CK51" s="3">
        <f t="shared" ca="1" si="51"/>
        <v>3.9714785329537684E-3</v>
      </c>
      <c r="CL51" s="3">
        <f t="shared" ca="1" si="52"/>
        <v>1</v>
      </c>
      <c r="CM51" s="3"/>
      <c r="CN51" s="1">
        <f t="shared" ca="1" si="53"/>
        <v>4.0882452155755002</v>
      </c>
      <c r="CO51" s="1">
        <f t="shared" ca="1" si="54"/>
        <v>0.23273341110164797</v>
      </c>
      <c r="CP51" s="1">
        <f t="shared" ca="1" si="55"/>
        <v>4</v>
      </c>
    </row>
    <row r="52" spans="2:94" x14ac:dyDescent="0.25">
      <c r="B52">
        <f t="shared" ca="1" si="0"/>
        <v>551</v>
      </c>
      <c r="C52">
        <f t="shared" ca="1" si="1"/>
        <v>15</v>
      </c>
      <c r="D52">
        <f t="shared" ca="1" si="2"/>
        <v>6.7308389155585749E-2</v>
      </c>
      <c r="F52" s="1">
        <f t="shared" ca="1" si="3"/>
        <v>22</v>
      </c>
      <c r="G52" s="1">
        <f t="shared" ca="1" si="4"/>
        <v>21</v>
      </c>
      <c r="H52" s="1">
        <f t="shared" ca="1" si="5"/>
        <v>4</v>
      </c>
      <c r="I52" s="1"/>
      <c r="J52" s="1">
        <f t="shared" ca="1" si="6"/>
        <v>19</v>
      </c>
      <c r="K52" s="1">
        <f t="shared" ca="1" si="7"/>
        <v>2.168765275014696</v>
      </c>
      <c r="L52" s="1">
        <f t="shared" ca="1" si="8"/>
        <v>30</v>
      </c>
      <c r="M52" s="1"/>
      <c r="N52" s="1">
        <f t="shared" ca="1" si="9"/>
        <v>602</v>
      </c>
      <c r="O52" s="1">
        <f t="shared" ca="1" si="10"/>
        <v>18</v>
      </c>
      <c r="P52" s="1"/>
      <c r="Q52" s="1">
        <f t="shared" ca="1" si="11"/>
        <v>1.2665756250201612</v>
      </c>
      <c r="R52" s="1">
        <f t="shared" ca="1" si="12"/>
        <v>365</v>
      </c>
      <c r="S52" s="1"/>
      <c r="T52" s="1">
        <f t="shared" ca="1" si="13"/>
        <v>0.16157873834612971</v>
      </c>
      <c r="U52" s="1">
        <f t="shared" ca="1" si="14"/>
        <v>427</v>
      </c>
      <c r="V52" s="1">
        <f t="shared" ca="1" si="15"/>
        <v>13</v>
      </c>
      <c r="W52" s="1"/>
      <c r="X52" s="1">
        <f t="shared" ca="1" si="16"/>
        <v>1.379369296895516</v>
      </c>
      <c r="Y52" s="1">
        <f t="shared" ca="1" si="17"/>
        <v>0.92952729316226801</v>
      </c>
      <c r="Z52" s="1">
        <f t="shared" ca="1" si="18"/>
        <v>1849</v>
      </c>
      <c r="AB52" s="1">
        <f t="shared" ca="1" si="19"/>
        <v>0.26888442385329353</v>
      </c>
      <c r="AC52" s="1">
        <f t="shared" ca="1" si="20"/>
        <v>726</v>
      </c>
      <c r="AD52" s="1">
        <f t="shared" ca="1" si="21"/>
        <v>1.2687253350040405E-4</v>
      </c>
      <c r="AE52" s="1"/>
      <c r="AF52" s="1">
        <f t="shared" ca="1" si="22"/>
        <v>0.14219355589113994</v>
      </c>
      <c r="AG52" s="1">
        <f t="shared" ca="1" si="23"/>
        <v>872</v>
      </c>
      <c r="AH52" s="1">
        <f t="shared" ca="1" si="24"/>
        <v>6.9914215955470538E-3</v>
      </c>
      <c r="AJ52" s="1">
        <f t="shared" ca="1" si="25"/>
        <v>0.1530124770180179</v>
      </c>
      <c r="AK52" s="1">
        <f t="shared" ca="1" si="26"/>
        <v>7.6938339105697357E-3</v>
      </c>
      <c r="AL52" s="1"/>
      <c r="AM52" s="1">
        <f t="shared" ca="1" si="27"/>
        <v>0.13124789040383986</v>
      </c>
      <c r="AN52" s="1">
        <f t="shared" ca="1" si="28"/>
        <v>49</v>
      </c>
      <c r="AO52" s="1">
        <f t="shared" ca="1" si="29"/>
        <v>20</v>
      </c>
      <c r="AQ52" s="1">
        <f t="shared" ca="1" si="30"/>
        <v>197</v>
      </c>
      <c r="AR52" s="1">
        <f t="shared" ca="1" si="31"/>
        <v>7</v>
      </c>
      <c r="AS52" s="1">
        <f t="shared" ca="1" si="32"/>
        <v>33</v>
      </c>
      <c r="AU52" s="1">
        <f t="shared" ca="1" si="33"/>
        <v>246</v>
      </c>
      <c r="AV52" s="1">
        <f t="shared" ca="1" si="34"/>
        <v>6</v>
      </c>
      <c r="AW52" s="1">
        <f t="shared" ca="1" si="35"/>
        <v>1.5124193943480382E-2</v>
      </c>
      <c r="AY52" s="1">
        <f t="shared" ca="1" si="36"/>
        <v>1.8139936798335032</v>
      </c>
      <c r="AZ52" s="1">
        <f t="shared" ca="1" si="37"/>
        <v>467</v>
      </c>
      <c r="BA52" s="1">
        <f t="shared" ca="1" si="38"/>
        <v>1.667379678099932E-3</v>
      </c>
      <c r="BV52" s="1">
        <f t="shared" ca="1" si="39"/>
        <v>0.99266893178085991</v>
      </c>
      <c r="BW52" s="1">
        <f t="shared" ca="1" si="40"/>
        <v>698</v>
      </c>
      <c r="BX52" s="1">
        <f t="shared" ca="1" si="41"/>
        <v>8.5027711677129018E-3</v>
      </c>
      <c r="BY52" s="1">
        <f t="shared" ca="1" si="42"/>
        <v>9.7226856782728938E-2</v>
      </c>
      <c r="BZ52" s="1">
        <f t="shared" ca="1" si="43"/>
        <v>6.930014942255136E-2</v>
      </c>
      <c r="CB52" s="1">
        <f t="shared" ca="1" si="44"/>
        <v>117</v>
      </c>
      <c r="CC52" s="1">
        <f t="shared" ca="1" si="45"/>
        <v>10</v>
      </c>
      <c r="CD52" s="1">
        <f t="shared" ca="1" si="46"/>
        <v>0.11992975433569138</v>
      </c>
      <c r="CE52" s="1">
        <f t="shared" ca="1" si="56"/>
        <v>0.74543126415947525</v>
      </c>
      <c r="CF52" s="1">
        <f t="shared" ca="1" si="56"/>
        <v>0.98130368731154283</v>
      </c>
      <c r="CH52" s="3">
        <f t="shared" ca="1" si="48"/>
        <v>0.42707058096001749</v>
      </c>
      <c r="CI52" s="3">
        <f t="shared" ca="1" si="49"/>
        <v>0.80973860335180659</v>
      </c>
      <c r="CJ52" s="3">
        <f t="shared" ca="1" si="50"/>
        <v>943</v>
      </c>
      <c r="CK52" s="3">
        <f t="shared" ca="1" si="51"/>
        <v>2.1485331261957854E-3</v>
      </c>
      <c r="CL52" s="3">
        <f t="shared" ca="1" si="52"/>
        <v>0</v>
      </c>
      <c r="CM52" s="3"/>
      <c r="CN52" s="1">
        <f t="shared" ca="1" si="53"/>
        <v>4.7936007619571246</v>
      </c>
      <c r="CO52" s="1">
        <f t="shared" ca="1" si="54"/>
        <v>0.16009502582542029</v>
      </c>
      <c r="CP52" s="1">
        <f t="shared" ca="1" si="55"/>
        <v>5</v>
      </c>
    </row>
    <row r="53" spans="2:94" x14ac:dyDescent="0.25">
      <c r="B53">
        <f t="shared" ca="1" si="0"/>
        <v>445</v>
      </c>
      <c r="C53">
        <f t="shared" ca="1" si="1"/>
        <v>19</v>
      </c>
      <c r="D53">
        <f t="shared" ca="1" si="2"/>
        <v>7.644850385286675E-2</v>
      </c>
      <c r="F53" s="1">
        <f t="shared" ca="1" si="3"/>
        <v>48</v>
      </c>
      <c r="G53" s="1">
        <f t="shared" ca="1" si="4"/>
        <v>15</v>
      </c>
      <c r="H53" s="1">
        <f t="shared" ca="1" si="5"/>
        <v>14</v>
      </c>
      <c r="I53" s="1"/>
      <c r="J53" s="1">
        <f t="shared" ca="1" si="6"/>
        <v>21</v>
      </c>
      <c r="K53" s="1">
        <f t="shared" ca="1" si="7"/>
        <v>2.0172247434805435</v>
      </c>
      <c r="L53" s="1">
        <f t="shared" ca="1" si="8"/>
        <v>30</v>
      </c>
      <c r="M53" s="1"/>
      <c r="N53" s="1">
        <f t="shared" ca="1" si="9"/>
        <v>469</v>
      </c>
      <c r="O53" s="1">
        <f t="shared" ca="1" si="10"/>
        <v>11</v>
      </c>
      <c r="P53" s="1"/>
      <c r="Q53" s="1">
        <f t="shared" ca="1" si="11"/>
        <v>1.0259384015821988</v>
      </c>
      <c r="R53" s="1">
        <f t="shared" ca="1" si="12"/>
        <v>1019</v>
      </c>
      <c r="S53" s="1"/>
      <c r="T53" s="1">
        <f t="shared" ca="1" si="13"/>
        <v>3.0136380035847371E-2</v>
      </c>
      <c r="U53" s="1">
        <f t="shared" ca="1" si="14"/>
        <v>225</v>
      </c>
      <c r="V53" s="1">
        <f t="shared" ca="1" si="15"/>
        <v>42</v>
      </c>
      <c r="W53" s="1"/>
      <c r="X53" s="1">
        <f t="shared" ca="1" si="16"/>
        <v>7.2212342963758198</v>
      </c>
      <c r="Y53" s="1">
        <f t="shared" ca="1" si="17"/>
        <v>0.78377089573189385</v>
      </c>
      <c r="Z53" s="1">
        <f t="shared" ca="1" si="18"/>
        <v>851</v>
      </c>
      <c r="AB53" s="1">
        <f t="shared" ca="1" si="19"/>
        <v>0.57440206243227832</v>
      </c>
      <c r="AC53" s="1">
        <f t="shared" ca="1" si="20"/>
        <v>320</v>
      </c>
      <c r="AD53" s="1">
        <f t="shared" ca="1" si="21"/>
        <v>8.1196874554802009E-3</v>
      </c>
      <c r="AE53" s="1"/>
      <c r="AF53" s="1">
        <f t="shared" ca="1" si="22"/>
        <v>0.82037854204592342</v>
      </c>
      <c r="AG53" s="1">
        <f t="shared" ca="1" si="23"/>
        <v>168</v>
      </c>
      <c r="AH53" s="1">
        <f t="shared" ca="1" si="24"/>
        <v>2.3256911626610651E-3</v>
      </c>
      <c r="AJ53" s="1">
        <f t="shared" ca="1" si="25"/>
        <v>0.78634095336485532</v>
      </c>
      <c r="AK53" s="1">
        <f t="shared" ca="1" si="26"/>
        <v>5.8846808548600089E-3</v>
      </c>
      <c r="AL53" s="1"/>
      <c r="AM53" s="1">
        <f t="shared" ca="1" si="27"/>
        <v>0.1716768706334246</v>
      </c>
      <c r="AN53" s="1">
        <f t="shared" ca="1" si="28"/>
        <v>41</v>
      </c>
      <c r="AO53" s="1">
        <f t="shared" ca="1" si="29"/>
        <v>11</v>
      </c>
      <c r="AQ53" s="1">
        <f t="shared" ca="1" si="30"/>
        <v>67</v>
      </c>
      <c r="AR53" s="1">
        <f t="shared" ca="1" si="31"/>
        <v>0</v>
      </c>
      <c r="AS53" s="1">
        <f t="shared" ca="1" si="32"/>
        <v>2</v>
      </c>
      <c r="AU53" s="1">
        <f t="shared" ca="1" si="33"/>
        <v>294</v>
      </c>
      <c r="AV53" s="1">
        <f t="shared" ca="1" si="34"/>
        <v>8</v>
      </c>
      <c r="AW53" s="1">
        <f t="shared" ca="1" si="35"/>
        <v>0.17860332863441991</v>
      </c>
      <c r="AY53" s="1">
        <f t="shared" ca="1" si="36"/>
        <v>1.6993532127525384</v>
      </c>
      <c r="AZ53" s="1">
        <f t="shared" ca="1" si="37"/>
        <v>110</v>
      </c>
      <c r="BA53" s="1">
        <f t="shared" ca="1" si="38"/>
        <v>6.7731696163250352E-3</v>
      </c>
      <c r="BV53" s="1">
        <f t="shared" ca="1" si="39"/>
        <v>0.39141638899957004</v>
      </c>
      <c r="BW53" s="1">
        <f t="shared" ca="1" si="40"/>
        <v>603</v>
      </c>
      <c r="BX53" s="1">
        <f t="shared" ca="1" si="41"/>
        <v>1.1345616199856213E-3</v>
      </c>
      <c r="BY53" s="1">
        <f t="shared" ca="1" si="42"/>
        <v>8.9410768371568135E-3</v>
      </c>
      <c r="BZ53" s="1">
        <f t="shared" ca="1" si="43"/>
        <v>0.67465657199965623</v>
      </c>
      <c r="CB53" s="1">
        <f t="shared" ca="1" si="44"/>
        <v>322</v>
      </c>
      <c r="CC53" s="1">
        <f t="shared" ca="1" si="45"/>
        <v>8</v>
      </c>
      <c r="CD53" s="1">
        <f t="shared" ca="1" si="46"/>
        <v>0.25238748000833067</v>
      </c>
      <c r="CE53" s="1">
        <f t="shared" ca="1" si="56"/>
        <v>0.64444753125008791</v>
      </c>
      <c r="CF53" s="1">
        <f t="shared" ca="1" si="56"/>
        <v>0.82743635751927369</v>
      </c>
      <c r="CH53" s="3">
        <f t="shared" ca="1" si="48"/>
        <v>0.43942390366603956</v>
      </c>
      <c r="CI53" s="3">
        <f t="shared" ca="1" si="49"/>
        <v>0.9121446857444796</v>
      </c>
      <c r="CJ53" s="3">
        <f t="shared" ca="1" si="50"/>
        <v>1605</v>
      </c>
      <c r="CK53" s="3">
        <f t="shared" ca="1" si="51"/>
        <v>3.5264516919624967E-3</v>
      </c>
      <c r="CL53" s="3">
        <f t="shared" ca="1" si="52"/>
        <v>1</v>
      </c>
      <c r="CM53" s="3"/>
      <c r="CN53" s="1">
        <f t="shared" ca="1" si="53"/>
        <v>1.9801744630252376</v>
      </c>
      <c r="CO53" s="1">
        <f t="shared" ca="1" si="54"/>
        <v>0.29342589499908761</v>
      </c>
      <c r="CP53" s="1">
        <f t="shared" ca="1" si="55"/>
        <v>3</v>
      </c>
    </row>
    <row r="54" spans="2:94" x14ac:dyDescent="0.25">
      <c r="B54">
        <f t="shared" ca="1" si="0"/>
        <v>651</v>
      </c>
      <c r="C54">
        <f t="shared" ca="1" si="1"/>
        <v>49</v>
      </c>
      <c r="D54">
        <f t="shared" ca="1" si="2"/>
        <v>0.15489847776526322</v>
      </c>
      <c r="F54" s="1">
        <f t="shared" ca="1" si="3"/>
        <v>43</v>
      </c>
      <c r="G54" s="1">
        <f t="shared" ca="1" si="4"/>
        <v>24</v>
      </c>
      <c r="H54" s="1">
        <f t="shared" ca="1" si="5"/>
        <v>5</v>
      </c>
      <c r="I54" s="1"/>
      <c r="J54" s="1">
        <f t="shared" ca="1" si="6"/>
        <v>1</v>
      </c>
      <c r="K54" s="1">
        <f t="shared" ca="1" si="7"/>
        <v>1.8953955113644743</v>
      </c>
      <c r="L54" s="1">
        <f t="shared" ca="1" si="8"/>
        <v>3</v>
      </c>
      <c r="M54" s="1"/>
      <c r="N54" s="1">
        <f t="shared" ca="1" si="9"/>
        <v>902</v>
      </c>
      <c r="O54" s="1">
        <f t="shared" ca="1" si="10"/>
        <v>17</v>
      </c>
      <c r="P54" s="1"/>
      <c r="Q54" s="1">
        <f t="shared" ca="1" si="11"/>
        <v>1.2372844058041177</v>
      </c>
      <c r="R54" s="1">
        <f t="shared" ca="1" si="12"/>
        <v>992</v>
      </c>
      <c r="S54" s="1"/>
      <c r="T54" s="1">
        <f t="shared" ca="1" si="13"/>
        <v>0.12336795438230989</v>
      </c>
      <c r="U54" s="1">
        <f t="shared" ca="1" si="14"/>
        <v>104</v>
      </c>
      <c r="V54" s="1">
        <f t="shared" ca="1" si="15"/>
        <v>38</v>
      </c>
      <c r="W54" s="1"/>
      <c r="X54" s="1">
        <f t="shared" ca="1" si="16"/>
        <v>3.8026553951721573</v>
      </c>
      <c r="Y54" s="1">
        <f t="shared" ca="1" si="17"/>
        <v>0.79438954686647634</v>
      </c>
      <c r="Z54" s="1">
        <f t="shared" ca="1" si="18"/>
        <v>435</v>
      </c>
      <c r="AB54" s="1">
        <f t="shared" ca="1" si="19"/>
        <v>0.24140640424941126</v>
      </c>
      <c r="AC54" s="1">
        <f t="shared" ca="1" si="20"/>
        <v>658</v>
      </c>
      <c r="AD54" s="1">
        <f t="shared" ca="1" si="21"/>
        <v>4.2056396762310978E-3</v>
      </c>
      <c r="AE54" s="1"/>
      <c r="AF54" s="1">
        <f t="shared" ca="1" si="22"/>
        <v>0.25057477318839361</v>
      </c>
      <c r="AG54" s="1">
        <f t="shared" ca="1" si="23"/>
        <v>575</v>
      </c>
      <c r="AH54" s="1">
        <f t="shared" ca="1" si="24"/>
        <v>4.4372996119450316E-3</v>
      </c>
      <c r="AJ54" s="1">
        <f t="shared" ca="1" si="25"/>
        <v>0.17930509699268748</v>
      </c>
      <c r="AK54" s="1">
        <f t="shared" ca="1" si="26"/>
        <v>2.8231886996656001E-3</v>
      </c>
      <c r="AL54" s="1"/>
      <c r="AM54" s="1">
        <f t="shared" ca="1" si="27"/>
        <v>9.3822190402607628E-2</v>
      </c>
      <c r="AN54" s="1">
        <f t="shared" ca="1" si="28"/>
        <v>48</v>
      </c>
      <c r="AO54" s="1">
        <f t="shared" ca="1" si="29"/>
        <v>15</v>
      </c>
      <c r="AQ54" s="1">
        <f t="shared" ca="1" si="30"/>
        <v>107</v>
      </c>
      <c r="AR54" s="1">
        <f t="shared" ca="1" si="31"/>
        <v>5</v>
      </c>
      <c r="AS54" s="1">
        <f t="shared" ca="1" si="32"/>
        <v>100</v>
      </c>
      <c r="AU54" s="1">
        <f t="shared" ca="1" si="33"/>
        <v>344</v>
      </c>
      <c r="AV54" s="1">
        <f t="shared" ca="1" si="34"/>
        <v>3</v>
      </c>
      <c r="AW54" s="1">
        <f t="shared" ca="1" si="35"/>
        <v>6.1795758403228596E-2</v>
      </c>
      <c r="AY54" s="1">
        <f t="shared" ca="1" si="36"/>
        <v>1.3668746684229736</v>
      </c>
      <c r="AZ54" s="1">
        <f t="shared" ca="1" si="37"/>
        <v>387</v>
      </c>
      <c r="BA54" s="1">
        <f t="shared" ca="1" si="38"/>
        <v>3.2190802094123616E-3</v>
      </c>
      <c r="BV54" s="1">
        <f t="shared" ca="1" si="39"/>
        <v>0.44644481260348473</v>
      </c>
      <c r="BW54" s="1">
        <f t="shared" ca="1" si="40"/>
        <v>724</v>
      </c>
      <c r="BX54" s="1">
        <f t="shared" ca="1" si="41"/>
        <v>7.939305792927176E-3</v>
      </c>
      <c r="BY54" s="1">
        <f t="shared" ca="1" si="42"/>
        <v>2.1486164790242471E-2</v>
      </c>
      <c r="BZ54" s="1">
        <f t="shared" ca="1" si="43"/>
        <v>0.68200426003236692</v>
      </c>
      <c r="CB54" s="1">
        <f t="shared" ca="1" si="44"/>
        <v>227</v>
      </c>
      <c r="CC54" s="1">
        <f t="shared" ca="1" si="45"/>
        <v>13</v>
      </c>
      <c r="CD54" s="1">
        <f t="shared" ca="1" si="46"/>
        <v>0.14637574364702474</v>
      </c>
      <c r="CE54" s="1">
        <f t="shared" ca="1" si="56"/>
        <v>0.62933994204765809</v>
      </c>
      <c r="CF54" s="1">
        <f t="shared" ca="1" si="56"/>
        <v>0.66434736511364356</v>
      </c>
      <c r="CH54" s="3">
        <f t="shared" ca="1" si="48"/>
        <v>0.61777853930812698</v>
      </c>
      <c r="CI54" s="3">
        <f t="shared" ca="1" si="49"/>
        <v>3.827725214542841E-2</v>
      </c>
      <c r="CJ54" s="3">
        <f t="shared" ca="1" si="50"/>
        <v>631</v>
      </c>
      <c r="CK54" s="3">
        <f t="shared" ca="1" si="51"/>
        <v>9.7899896519429638E-3</v>
      </c>
      <c r="CL54" s="3">
        <f t="shared" ca="1" si="52"/>
        <v>1</v>
      </c>
      <c r="CM54" s="3"/>
      <c r="CN54" s="1">
        <f t="shared" ca="1" si="53"/>
        <v>12.436204865586038</v>
      </c>
      <c r="CO54" s="1">
        <f t="shared" ca="1" si="54"/>
        <v>0.11766313931995501</v>
      </c>
      <c r="CP54" s="1">
        <f t="shared" ca="1" si="55"/>
        <v>3</v>
      </c>
    </row>
    <row r="55" spans="2:94" x14ac:dyDescent="0.25">
      <c r="B55">
        <f t="shared" ca="1" si="0"/>
        <v>362</v>
      </c>
      <c r="C55">
        <f t="shared" ca="1" si="1"/>
        <v>24</v>
      </c>
      <c r="D55">
        <f t="shared" ca="1" si="2"/>
        <v>4.5448294943343376E-2</v>
      </c>
      <c r="F55" s="1">
        <f t="shared" ca="1" si="3"/>
        <v>25</v>
      </c>
      <c r="G55" s="1">
        <f t="shared" ca="1" si="4"/>
        <v>7</v>
      </c>
      <c r="H55" s="1">
        <f t="shared" ca="1" si="5"/>
        <v>7</v>
      </c>
      <c r="I55" s="1"/>
      <c r="J55" s="1">
        <f t="shared" ca="1" si="6"/>
        <v>8</v>
      </c>
      <c r="K55" s="1">
        <f t="shared" ca="1" si="7"/>
        <v>2.115891362736253</v>
      </c>
      <c r="L55" s="1">
        <f t="shared" ca="1" si="8"/>
        <v>8</v>
      </c>
      <c r="M55" s="1"/>
      <c r="N55" s="1">
        <f t="shared" ca="1" si="9"/>
        <v>829</v>
      </c>
      <c r="O55" s="1">
        <f t="shared" ca="1" si="10"/>
        <v>21</v>
      </c>
      <c r="P55" s="1"/>
      <c r="Q55" s="1">
        <f t="shared" ca="1" si="11"/>
        <v>1.7610741686153408</v>
      </c>
      <c r="R55" s="1">
        <f t="shared" ca="1" si="12"/>
        <v>844</v>
      </c>
      <c r="S55" s="1"/>
      <c r="T55" s="1">
        <f t="shared" ca="1" si="13"/>
        <v>0.10435115588661495</v>
      </c>
      <c r="U55" s="1">
        <f t="shared" ca="1" si="14"/>
        <v>300</v>
      </c>
      <c r="V55" s="1">
        <f t="shared" ca="1" si="15"/>
        <v>31</v>
      </c>
      <c r="W55" s="1"/>
      <c r="X55" s="1">
        <f t="shared" ca="1" si="16"/>
        <v>5.7324932119601808</v>
      </c>
      <c r="Y55" s="1">
        <f t="shared" ca="1" si="17"/>
        <v>0.57217287841532427</v>
      </c>
      <c r="Z55" s="1">
        <f t="shared" ca="1" si="18"/>
        <v>429</v>
      </c>
      <c r="AB55" s="1">
        <f t="shared" ca="1" si="19"/>
        <v>0.99866920059675213</v>
      </c>
      <c r="AC55" s="1">
        <f t="shared" ca="1" si="20"/>
        <v>426</v>
      </c>
      <c r="AD55" s="1">
        <f t="shared" ca="1" si="21"/>
        <v>1.574597852832854E-4</v>
      </c>
      <c r="AE55" s="1"/>
      <c r="AF55" s="1">
        <f t="shared" ca="1" si="22"/>
        <v>0.3761379744852873</v>
      </c>
      <c r="AG55" s="1">
        <f t="shared" ca="1" si="23"/>
        <v>963</v>
      </c>
      <c r="AH55" s="1">
        <f t="shared" ca="1" si="24"/>
        <v>5.4174502248157527E-3</v>
      </c>
      <c r="AJ55" s="1">
        <f t="shared" ca="1" si="25"/>
        <v>0.25047877717384748</v>
      </c>
      <c r="AK55" s="1">
        <f t="shared" ca="1" si="26"/>
        <v>2.6517257995406435E-3</v>
      </c>
      <c r="AL55" s="1"/>
      <c r="AM55" s="1">
        <f t="shared" ca="1" si="27"/>
        <v>6.1772310306429309E-2</v>
      </c>
      <c r="AN55" s="1">
        <f t="shared" ca="1" si="28"/>
        <v>34</v>
      </c>
      <c r="AO55" s="1">
        <f t="shared" ca="1" si="29"/>
        <v>1</v>
      </c>
      <c r="AQ55" s="1">
        <f t="shared" ca="1" si="30"/>
        <v>50</v>
      </c>
      <c r="AR55" s="1">
        <f t="shared" ca="1" si="31"/>
        <v>10</v>
      </c>
      <c r="AS55" s="1">
        <f t="shared" ca="1" si="32"/>
        <v>57</v>
      </c>
      <c r="AU55" s="1">
        <f t="shared" ca="1" si="33"/>
        <v>168</v>
      </c>
      <c r="AV55" s="1">
        <f t="shared" ca="1" si="34"/>
        <v>9</v>
      </c>
      <c r="AW55" s="1">
        <f t="shared" ca="1" si="35"/>
        <v>0.13456638161496715</v>
      </c>
      <c r="AY55" s="1">
        <f t="shared" ca="1" si="36"/>
        <v>1.5886955173724582</v>
      </c>
      <c r="AZ55" s="1">
        <f t="shared" ca="1" si="37"/>
        <v>491</v>
      </c>
      <c r="BA55" s="1">
        <f t="shared" ca="1" si="38"/>
        <v>9.4076042474487958E-3</v>
      </c>
      <c r="BV55" s="1">
        <f t="shared" ca="1" si="39"/>
        <v>0.95299846304152214</v>
      </c>
      <c r="BW55" s="1">
        <f t="shared" ca="1" si="40"/>
        <v>503</v>
      </c>
      <c r="BX55" s="1">
        <f t="shared" ca="1" si="41"/>
        <v>7.6671939087558181E-3</v>
      </c>
      <c r="BY55" s="1">
        <f t="shared" ca="1" si="42"/>
        <v>5.011460750305221E-2</v>
      </c>
      <c r="BZ55" s="1">
        <f t="shared" ca="1" si="43"/>
        <v>0.2012543190827184</v>
      </c>
      <c r="CB55" s="1">
        <f t="shared" ca="1" si="44"/>
        <v>77</v>
      </c>
      <c r="CC55" s="1">
        <f t="shared" ca="1" si="45"/>
        <v>15</v>
      </c>
      <c r="CD55" s="1">
        <f t="shared" ca="1" si="46"/>
        <v>0.26701898072155161</v>
      </c>
      <c r="CE55" s="1">
        <f t="shared" ca="1" si="56"/>
        <v>0.81710532953724357</v>
      </c>
      <c r="CF55" s="1">
        <f t="shared" ca="1" si="56"/>
        <v>0.60325095301271947</v>
      </c>
      <c r="CH55" s="3">
        <f t="shared" ca="1" si="48"/>
        <v>0.74870442434709672</v>
      </c>
      <c r="CI55" s="3">
        <f t="shared" ca="1" si="49"/>
        <v>0.27421315648739891</v>
      </c>
      <c r="CJ55" s="3">
        <f t="shared" ca="1" si="50"/>
        <v>696</v>
      </c>
      <c r="CK55" s="3">
        <f t="shared" ca="1" si="51"/>
        <v>4.9834725895950205E-3</v>
      </c>
      <c r="CL55" s="3">
        <f t="shared" ca="1" si="52"/>
        <v>1</v>
      </c>
      <c r="CM55" s="3"/>
      <c r="CN55" s="1">
        <f t="shared" ca="1" si="53"/>
        <v>19.508383887670089</v>
      </c>
      <c r="CO55" s="1">
        <f t="shared" ca="1" si="54"/>
        <v>0.47271150005763352</v>
      </c>
      <c r="CP55" s="1">
        <f t="shared" ca="1" si="55"/>
        <v>3</v>
      </c>
    </row>
    <row r="56" spans="2:94" x14ac:dyDescent="0.25">
      <c r="B56">
        <f t="shared" ca="1" si="0"/>
        <v>119</v>
      </c>
      <c r="C56">
        <f t="shared" ca="1" si="1"/>
        <v>26</v>
      </c>
      <c r="D56">
        <f t="shared" ca="1" si="2"/>
        <v>0.1991982905021846</v>
      </c>
      <c r="F56" s="1">
        <f t="shared" ca="1" si="3"/>
        <v>23</v>
      </c>
      <c r="G56" s="1">
        <f t="shared" ca="1" si="4"/>
        <v>19</v>
      </c>
      <c r="H56" s="1">
        <f t="shared" ca="1" si="5"/>
        <v>1</v>
      </c>
      <c r="I56" s="1"/>
      <c r="J56" s="1">
        <f t="shared" ca="1" si="6"/>
        <v>25</v>
      </c>
      <c r="K56" s="1">
        <f t="shared" ca="1" si="7"/>
        <v>2.1460249288420248</v>
      </c>
      <c r="L56" s="1">
        <f t="shared" ca="1" si="8"/>
        <v>18</v>
      </c>
      <c r="M56" s="1"/>
      <c r="N56" s="1">
        <f t="shared" ca="1" si="9"/>
        <v>495</v>
      </c>
      <c r="O56" s="1">
        <f t="shared" ca="1" si="10"/>
        <v>24</v>
      </c>
      <c r="P56" s="1"/>
      <c r="Q56" s="1">
        <f t="shared" ca="1" si="11"/>
        <v>2.7056100680965951</v>
      </c>
      <c r="R56" s="1">
        <f t="shared" ca="1" si="12"/>
        <v>678</v>
      </c>
      <c r="S56" s="1"/>
      <c r="T56" s="1">
        <f t="shared" ca="1" si="13"/>
        <v>0.18552105759609119</v>
      </c>
      <c r="U56" s="1">
        <f t="shared" ca="1" si="14"/>
        <v>136</v>
      </c>
      <c r="V56" s="1">
        <f t="shared" ca="1" si="15"/>
        <v>32</v>
      </c>
      <c r="W56" s="1"/>
      <c r="X56" s="1">
        <f t="shared" ca="1" si="16"/>
        <v>9.9443276664741287</v>
      </c>
      <c r="Y56" s="1">
        <f t="shared" ca="1" si="17"/>
        <v>0.17501355025313126</v>
      </c>
      <c r="Z56" s="1">
        <f t="shared" ca="1" si="18"/>
        <v>1612</v>
      </c>
      <c r="AB56" s="1">
        <f t="shared" ca="1" si="19"/>
        <v>0.10829886989817612</v>
      </c>
      <c r="AC56" s="1">
        <f t="shared" ca="1" si="20"/>
        <v>771</v>
      </c>
      <c r="AD56" s="1">
        <f t="shared" ca="1" si="21"/>
        <v>5.2697188596516637E-3</v>
      </c>
      <c r="AE56" s="1"/>
      <c r="AF56" s="1">
        <f t="shared" ca="1" si="22"/>
        <v>0.84903792369080711</v>
      </c>
      <c r="AG56" s="1">
        <f t="shared" ca="1" si="23"/>
        <v>734</v>
      </c>
      <c r="AH56" s="1">
        <f t="shared" ca="1" si="24"/>
        <v>9.0626477560020874E-3</v>
      </c>
      <c r="AJ56" s="1">
        <f t="shared" ca="1" si="25"/>
        <v>0.13723878577076154</v>
      </c>
      <c r="AK56" s="1">
        <f t="shared" ca="1" si="26"/>
        <v>1.3981496976078842E-4</v>
      </c>
      <c r="AL56" s="1"/>
      <c r="AM56" s="1">
        <f t="shared" ca="1" si="27"/>
        <v>8.7283052852634282E-2</v>
      </c>
      <c r="AN56" s="1">
        <f t="shared" ca="1" si="28"/>
        <v>24</v>
      </c>
      <c r="AO56" s="1">
        <f t="shared" ca="1" si="29"/>
        <v>9</v>
      </c>
      <c r="AQ56" s="1">
        <f t="shared" ca="1" si="30"/>
        <v>118</v>
      </c>
      <c r="AR56" s="1">
        <f t="shared" ca="1" si="31"/>
        <v>8</v>
      </c>
      <c r="AS56" s="1">
        <f t="shared" ca="1" si="32"/>
        <v>36</v>
      </c>
      <c r="AU56" s="1">
        <f t="shared" ca="1" si="33"/>
        <v>378</v>
      </c>
      <c r="AV56" s="1">
        <f t="shared" ca="1" si="34"/>
        <v>7</v>
      </c>
      <c r="AW56" s="1">
        <f t="shared" ca="1" si="35"/>
        <v>6.3910458364122333E-2</v>
      </c>
      <c r="AY56" s="1">
        <f t="shared" ca="1" si="36"/>
        <v>1.7072641345985393</v>
      </c>
      <c r="AZ56" s="1">
        <f t="shared" ca="1" si="37"/>
        <v>341</v>
      </c>
      <c r="BA56" s="1">
        <f t="shared" ca="1" si="38"/>
        <v>6.5887985915325433E-3</v>
      </c>
      <c r="BV56" s="1">
        <f t="shared" ca="1" si="39"/>
        <v>0.91930431179776761</v>
      </c>
      <c r="BW56" s="1">
        <f t="shared" ca="1" si="40"/>
        <v>813</v>
      </c>
      <c r="BX56" s="1">
        <f t="shared" ca="1" si="41"/>
        <v>5.5636133695263447E-3</v>
      </c>
      <c r="BY56" s="1">
        <f t="shared" ca="1" si="42"/>
        <v>2.6248347903375702E-2</v>
      </c>
      <c r="BZ56" s="1">
        <f t="shared" ca="1" si="43"/>
        <v>0.38823926992683888</v>
      </c>
      <c r="CB56" s="1">
        <f t="shared" ca="1" si="44"/>
        <v>141</v>
      </c>
      <c r="CC56" s="1">
        <f t="shared" ca="1" si="45"/>
        <v>14</v>
      </c>
      <c r="CD56" s="1">
        <f t="shared" ca="1" si="46"/>
        <v>0.22001546476572842</v>
      </c>
      <c r="CE56" s="1">
        <f t="shared" ca="1" si="56"/>
        <v>0.73820301263854737</v>
      </c>
      <c r="CF56" s="1">
        <f t="shared" ca="1" si="56"/>
        <v>0.85227455038798783</v>
      </c>
      <c r="CH56" s="3">
        <f t="shared" ca="1" si="48"/>
        <v>0.31534324285155235</v>
      </c>
      <c r="CI56" s="3">
        <f t="shared" ca="1" si="49"/>
        <v>0.15340091602111186</v>
      </c>
      <c r="CJ56" s="3">
        <f t="shared" ca="1" si="50"/>
        <v>187</v>
      </c>
      <c r="CK56" s="3">
        <f t="shared" ca="1" si="51"/>
        <v>2.0712778892428576E-3</v>
      </c>
      <c r="CL56" s="3">
        <f t="shared" ca="1" si="52"/>
        <v>1</v>
      </c>
      <c r="CM56" s="3"/>
      <c r="CN56" s="1">
        <f t="shared" ca="1" si="53"/>
        <v>3.336348855718994</v>
      </c>
      <c r="CO56" s="1">
        <f t="shared" ca="1" si="54"/>
        <v>0.41908857480331813</v>
      </c>
      <c r="CP56" s="1">
        <f t="shared" ca="1" si="55"/>
        <v>5</v>
      </c>
    </row>
    <row r="57" spans="2:94" x14ac:dyDescent="0.25">
      <c r="B57">
        <f t="shared" ca="1" si="0"/>
        <v>108</v>
      </c>
      <c r="C57">
        <f t="shared" ca="1" si="1"/>
        <v>30</v>
      </c>
      <c r="D57">
        <f t="shared" ca="1" si="2"/>
        <v>0.27466962609356993</v>
      </c>
      <c r="F57" s="1">
        <f t="shared" ca="1" si="3"/>
        <v>40</v>
      </c>
      <c r="G57" s="1">
        <f t="shared" ca="1" si="4"/>
        <v>4</v>
      </c>
      <c r="H57" s="1">
        <f t="shared" ca="1" si="5"/>
        <v>3</v>
      </c>
      <c r="I57" s="1"/>
      <c r="J57" s="1">
        <f t="shared" ca="1" si="6"/>
        <v>9</v>
      </c>
      <c r="K57" s="1">
        <f t="shared" ca="1" si="7"/>
        <v>1.5153166679819947</v>
      </c>
      <c r="L57" s="1">
        <f t="shared" ca="1" si="8"/>
        <v>4</v>
      </c>
      <c r="M57" s="1"/>
      <c r="N57" s="1">
        <f t="shared" ca="1" si="9"/>
        <v>602</v>
      </c>
      <c r="O57" s="1">
        <f t="shared" ca="1" si="10"/>
        <v>24</v>
      </c>
      <c r="P57" s="1"/>
      <c r="Q57" s="1">
        <f t="shared" ca="1" si="11"/>
        <v>3.1365926969849589</v>
      </c>
      <c r="R57" s="1">
        <f t="shared" ca="1" si="12"/>
        <v>537</v>
      </c>
      <c r="S57" s="1"/>
      <c r="T57" s="1">
        <f t="shared" ca="1" si="13"/>
        <v>1.7018275905913767E-2</v>
      </c>
      <c r="U57" s="1">
        <f t="shared" ca="1" si="14"/>
        <v>433</v>
      </c>
      <c r="V57" s="1">
        <f t="shared" ca="1" si="15"/>
        <v>46</v>
      </c>
      <c r="W57" s="1"/>
      <c r="X57" s="1">
        <f t="shared" ca="1" si="16"/>
        <v>4.3661042648706534</v>
      </c>
      <c r="Y57" s="1">
        <f t="shared" ca="1" si="17"/>
        <v>0.71361315093833433</v>
      </c>
      <c r="Z57" s="1">
        <f t="shared" ca="1" si="18"/>
        <v>1923</v>
      </c>
      <c r="AB57" s="1">
        <f t="shared" ca="1" si="19"/>
        <v>0.3171616487602153</v>
      </c>
      <c r="AC57" s="1">
        <f t="shared" ca="1" si="20"/>
        <v>245</v>
      </c>
      <c r="AD57" s="1">
        <f t="shared" ca="1" si="21"/>
        <v>1.6983907046573875E-3</v>
      </c>
      <c r="AE57" s="1"/>
      <c r="AF57" s="1">
        <f t="shared" ca="1" si="22"/>
        <v>0.28741974435984946</v>
      </c>
      <c r="AG57" s="1">
        <f t="shared" ca="1" si="23"/>
        <v>807</v>
      </c>
      <c r="AH57" s="1">
        <f t="shared" ca="1" si="24"/>
        <v>7.3276120554687093E-3</v>
      </c>
      <c r="AJ57" s="1">
        <f t="shared" ca="1" si="25"/>
        <v>0.33442116011849954</v>
      </c>
      <c r="AK57" s="1">
        <f t="shared" ca="1" si="26"/>
        <v>7.7647775496190539E-3</v>
      </c>
      <c r="AL57" s="1"/>
      <c r="AM57" s="1">
        <f t="shared" ca="1" si="27"/>
        <v>0.10890480247432836</v>
      </c>
      <c r="AN57" s="1">
        <f t="shared" ca="1" si="28"/>
        <v>31</v>
      </c>
      <c r="AO57" s="1">
        <f t="shared" ca="1" si="29"/>
        <v>12</v>
      </c>
      <c r="AQ57" s="1">
        <f t="shared" ca="1" si="30"/>
        <v>63</v>
      </c>
      <c r="AR57" s="1">
        <f t="shared" ca="1" si="31"/>
        <v>5</v>
      </c>
      <c r="AS57" s="1">
        <f t="shared" ca="1" si="32"/>
        <v>36</v>
      </c>
      <c r="AU57" s="1">
        <f t="shared" ca="1" si="33"/>
        <v>240</v>
      </c>
      <c r="AV57" s="1">
        <f t="shared" ca="1" si="34"/>
        <v>9</v>
      </c>
      <c r="AW57" s="1">
        <f t="shared" ca="1" si="35"/>
        <v>0.17020192507040297</v>
      </c>
      <c r="AY57" s="1">
        <f t="shared" ca="1" si="36"/>
        <v>1.9602183615304416</v>
      </c>
      <c r="AZ57" s="1">
        <f t="shared" ca="1" si="37"/>
        <v>324</v>
      </c>
      <c r="BA57" s="1">
        <f t="shared" ca="1" si="38"/>
        <v>8.8300707931638842E-3</v>
      </c>
      <c r="BV57" s="1">
        <f t="shared" ca="1" si="39"/>
        <v>0.75820885571694041</v>
      </c>
      <c r="BW57" s="1">
        <f t="shared" ca="1" si="40"/>
        <v>804</v>
      </c>
      <c r="BX57" s="1">
        <f t="shared" ca="1" si="41"/>
        <v>7.0274589815897326E-3</v>
      </c>
      <c r="BY57" s="1">
        <f t="shared" ca="1" si="42"/>
        <v>1.4694690807253174E-2</v>
      </c>
      <c r="BZ57" s="1">
        <f t="shared" ca="1" si="43"/>
        <v>1.7128645619751026E-2</v>
      </c>
      <c r="CB57" s="1">
        <f t="shared" ca="1" si="44"/>
        <v>355</v>
      </c>
      <c r="CC57" s="1">
        <f t="shared" ca="1" si="45"/>
        <v>4</v>
      </c>
      <c r="CD57" s="1">
        <f t="shared" ca="1" si="46"/>
        <v>4.0260516624798279E-2</v>
      </c>
      <c r="CE57" s="1">
        <f t="shared" ca="1" si="56"/>
        <v>0.89620943938144471</v>
      </c>
      <c r="CF57" s="1">
        <f t="shared" ca="1" si="56"/>
        <v>0.94245945972739376</v>
      </c>
      <c r="CH57" s="3">
        <f t="shared" ca="1" si="48"/>
        <v>0.67781626691311592</v>
      </c>
      <c r="CI57" s="3">
        <f t="shared" ca="1" si="49"/>
        <v>0.82079835917448274</v>
      </c>
      <c r="CJ57" s="3">
        <f t="shared" ca="1" si="50"/>
        <v>652</v>
      </c>
      <c r="CK57" s="3">
        <f t="shared" ca="1" si="51"/>
        <v>5.2745791101078176E-3</v>
      </c>
      <c r="CL57" s="3">
        <f t="shared" ca="1" si="52"/>
        <v>0</v>
      </c>
      <c r="CM57" s="3"/>
      <c r="CN57" s="1">
        <f t="shared" ca="1" si="53"/>
        <v>4.2069410828864111</v>
      </c>
      <c r="CO57" s="1">
        <f t="shared" ca="1" si="54"/>
        <v>2.7078609988772023E-2</v>
      </c>
      <c r="CP57" s="1">
        <f t="shared" ca="1" si="55"/>
        <v>5</v>
      </c>
    </row>
    <row r="58" spans="2:94" x14ac:dyDescent="0.25">
      <c r="B58">
        <f t="shared" ca="1" si="0"/>
        <v>300</v>
      </c>
      <c r="C58">
        <f t="shared" ca="1" si="1"/>
        <v>40</v>
      </c>
      <c r="D58">
        <f t="shared" ca="1" si="2"/>
        <v>3.1149233230307653E-2</v>
      </c>
      <c r="F58" s="1">
        <f t="shared" ca="1" si="3"/>
        <v>8</v>
      </c>
      <c r="G58" s="1">
        <f t="shared" ca="1" si="4"/>
        <v>18</v>
      </c>
      <c r="H58" s="1">
        <f t="shared" ca="1" si="5"/>
        <v>9</v>
      </c>
      <c r="I58" s="1"/>
      <c r="J58" s="1">
        <f t="shared" ca="1" si="6"/>
        <v>37</v>
      </c>
      <c r="K58" s="1">
        <f t="shared" ca="1" si="7"/>
        <v>1.8502547128063662</v>
      </c>
      <c r="L58" s="1">
        <f t="shared" ca="1" si="8"/>
        <v>33</v>
      </c>
      <c r="M58" s="1"/>
      <c r="N58" s="1">
        <f t="shared" ca="1" si="9"/>
        <v>66</v>
      </c>
      <c r="O58" s="1">
        <f t="shared" ca="1" si="10"/>
        <v>22</v>
      </c>
      <c r="P58" s="1"/>
      <c r="Q58" s="1">
        <f t="shared" ca="1" si="11"/>
        <v>4.4821924665170068</v>
      </c>
      <c r="R58" s="1">
        <f t="shared" ca="1" si="12"/>
        <v>377</v>
      </c>
      <c r="S58" s="1"/>
      <c r="T58" s="1">
        <f t="shared" ca="1" si="13"/>
        <v>0.18368938453249553</v>
      </c>
      <c r="U58" s="1">
        <f t="shared" ca="1" si="14"/>
        <v>185</v>
      </c>
      <c r="V58" s="1">
        <f t="shared" ca="1" si="15"/>
        <v>42</v>
      </c>
      <c r="W58" s="1"/>
      <c r="X58" s="1">
        <f t="shared" ca="1" si="16"/>
        <v>6.6126326598166036</v>
      </c>
      <c r="Y58" s="1">
        <f t="shared" ca="1" si="17"/>
        <v>0.76587996915100576</v>
      </c>
      <c r="Z58" s="1">
        <f t="shared" ca="1" si="18"/>
        <v>442</v>
      </c>
      <c r="AB58" s="1">
        <f t="shared" ca="1" si="19"/>
        <v>0.90432206613257715</v>
      </c>
      <c r="AC58" s="1">
        <f t="shared" ca="1" si="20"/>
        <v>933</v>
      </c>
      <c r="AD58" s="1">
        <f t="shared" ca="1" si="21"/>
        <v>9.0429322413990675E-3</v>
      </c>
      <c r="AE58" s="1"/>
      <c r="AF58" s="1">
        <f t="shared" ca="1" si="22"/>
        <v>0.81921172122226205</v>
      </c>
      <c r="AG58" s="1">
        <f t="shared" ca="1" si="23"/>
        <v>153</v>
      </c>
      <c r="AH58" s="1">
        <f t="shared" ca="1" si="24"/>
        <v>2.0441267736185796E-3</v>
      </c>
      <c r="AJ58" s="1">
        <f t="shared" ca="1" si="25"/>
        <v>0.61903041411755833</v>
      </c>
      <c r="AK58" s="1">
        <f t="shared" ca="1" si="26"/>
        <v>9.9760799735519497E-3</v>
      </c>
      <c r="AL58" s="1"/>
      <c r="AM58" s="1">
        <f t="shared" ca="1" si="27"/>
        <v>0.14631972941098045</v>
      </c>
      <c r="AN58" s="1">
        <f t="shared" ca="1" si="28"/>
        <v>35</v>
      </c>
      <c r="AO58" s="1">
        <f t="shared" ca="1" si="29"/>
        <v>14</v>
      </c>
      <c r="AQ58" s="1">
        <f t="shared" ca="1" si="30"/>
        <v>195</v>
      </c>
      <c r="AR58" s="1">
        <f t="shared" ca="1" si="31"/>
        <v>8</v>
      </c>
      <c r="AS58" s="1">
        <f t="shared" ca="1" si="32"/>
        <v>2</v>
      </c>
      <c r="AU58" s="1">
        <f t="shared" ca="1" si="33"/>
        <v>303</v>
      </c>
      <c r="AV58" s="1">
        <f t="shared" ca="1" si="34"/>
        <v>5</v>
      </c>
      <c r="AW58" s="1">
        <f t="shared" ca="1" si="35"/>
        <v>2.5821065728606658E-2</v>
      </c>
      <c r="AY58" s="1">
        <f t="shared" ca="1" si="36"/>
        <v>1.5327557143144348</v>
      </c>
      <c r="AZ58" s="1">
        <f t="shared" ca="1" si="37"/>
        <v>282</v>
      </c>
      <c r="BA58" s="1">
        <f t="shared" ca="1" si="38"/>
        <v>4.4329969198599844E-5</v>
      </c>
      <c r="BV58" s="1">
        <f t="shared" ca="1" si="39"/>
        <v>0.81395217562114608</v>
      </c>
      <c r="BW58" s="1">
        <f t="shared" ca="1" si="40"/>
        <v>683</v>
      </c>
      <c r="BX58" s="1">
        <f t="shared" ca="1" si="41"/>
        <v>9.5345166123291022E-3</v>
      </c>
      <c r="BY58" s="1">
        <f t="shared" ca="1" si="42"/>
        <v>2.3673245499870221E-2</v>
      </c>
      <c r="BZ58" s="1">
        <f t="shared" ca="1" si="43"/>
        <v>0.76374466959713683</v>
      </c>
      <c r="CB58" s="1">
        <f t="shared" ca="1" si="44"/>
        <v>149</v>
      </c>
      <c r="CC58" s="1">
        <f t="shared" ca="1" si="45"/>
        <v>10</v>
      </c>
      <c r="CD58" s="1">
        <f t="shared" ca="1" si="46"/>
        <v>0.12688815799771558</v>
      </c>
      <c r="CE58" s="1">
        <f t="shared" ca="1" si="56"/>
        <v>0.52545569667236869</v>
      </c>
      <c r="CF58" s="1">
        <f t="shared" ca="1" si="56"/>
        <v>0.86231352039765452</v>
      </c>
      <c r="CH58" s="3">
        <f t="shared" ca="1" si="48"/>
        <v>0.65918546523001675</v>
      </c>
      <c r="CI58" s="3">
        <f t="shared" ca="1" si="49"/>
        <v>0.39057138143054071</v>
      </c>
      <c r="CJ58" s="3">
        <f t="shared" ca="1" si="50"/>
        <v>422</v>
      </c>
      <c r="CK58" s="3">
        <f t="shared" ca="1" si="51"/>
        <v>4.3197250631334299E-3</v>
      </c>
      <c r="CL58" s="3">
        <f t="shared" ca="1" si="52"/>
        <v>0</v>
      </c>
      <c r="CM58" s="3"/>
      <c r="CN58" s="1">
        <f t="shared" ca="1" si="53"/>
        <v>4.200623412726916</v>
      </c>
      <c r="CO58" s="1">
        <f t="shared" ca="1" si="54"/>
        <v>0.30021095999804992</v>
      </c>
      <c r="CP58" s="1">
        <f t="shared" ca="1" si="55"/>
        <v>1</v>
      </c>
    </row>
    <row r="59" spans="2:94" x14ac:dyDescent="0.25">
      <c r="B59">
        <f t="shared" ca="1" si="0"/>
        <v>101</v>
      </c>
      <c r="C59">
        <f t="shared" ca="1" si="1"/>
        <v>13</v>
      </c>
      <c r="D59">
        <f t="shared" ca="1" si="2"/>
        <v>0.29113061035929683</v>
      </c>
      <c r="F59" s="1">
        <f t="shared" ca="1" si="3"/>
        <v>16</v>
      </c>
      <c r="G59" s="1">
        <f t="shared" ca="1" si="4"/>
        <v>24</v>
      </c>
      <c r="H59" s="1">
        <f t="shared" ca="1" si="5"/>
        <v>3</v>
      </c>
      <c r="I59" s="1"/>
      <c r="J59" s="1">
        <f t="shared" ca="1" si="6"/>
        <v>21</v>
      </c>
      <c r="K59" s="1">
        <f t="shared" ca="1" si="7"/>
        <v>1.965532461048616</v>
      </c>
      <c r="L59" s="1">
        <f t="shared" ca="1" si="8"/>
        <v>33</v>
      </c>
      <c r="M59" s="1"/>
      <c r="N59" s="1">
        <f t="shared" ca="1" si="9"/>
        <v>37</v>
      </c>
      <c r="O59" s="1">
        <f t="shared" ca="1" si="10"/>
        <v>42</v>
      </c>
      <c r="P59" s="1"/>
      <c r="Q59" s="1">
        <f t="shared" ca="1" si="11"/>
        <v>4.8329004672194991</v>
      </c>
      <c r="R59" s="1">
        <f t="shared" ca="1" si="12"/>
        <v>218</v>
      </c>
      <c r="S59" s="1"/>
      <c r="T59" s="1">
        <f t="shared" ca="1" si="13"/>
        <v>3.5992323860951414E-2</v>
      </c>
      <c r="U59" s="1">
        <f t="shared" ca="1" si="14"/>
        <v>121</v>
      </c>
      <c r="V59" s="1">
        <f t="shared" ca="1" si="15"/>
        <v>18</v>
      </c>
      <c r="W59" s="1"/>
      <c r="X59" s="1">
        <f t="shared" ca="1" si="16"/>
        <v>6.1450890363853539</v>
      </c>
      <c r="Y59" s="1">
        <f t="shared" ca="1" si="17"/>
        <v>0.82480694768014562</v>
      </c>
      <c r="Z59" s="1">
        <f t="shared" ca="1" si="18"/>
        <v>804</v>
      </c>
      <c r="AB59" s="1">
        <f t="shared" ca="1" si="19"/>
        <v>9.369680921544507E-2</v>
      </c>
      <c r="AC59" s="1">
        <f t="shared" ca="1" si="20"/>
        <v>660</v>
      </c>
      <c r="AD59" s="1">
        <f t="shared" ca="1" si="21"/>
        <v>2.9224271204777094E-3</v>
      </c>
      <c r="AE59" s="1"/>
      <c r="AF59" s="1">
        <f t="shared" ca="1" si="22"/>
        <v>0.32298594620651661</v>
      </c>
      <c r="AG59" s="1">
        <f t="shared" ca="1" si="23"/>
        <v>690</v>
      </c>
      <c r="AH59" s="1">
        <f t="shared" ca="1" si="24"/>
        <v>3.3616758139597765E-3</v>
      </c>
      <c r="AJ59" s="1">
        <f t="shared" ca="1" si="25"/>
        <v>0.42400940532529485</v>
      </c>
      <c r="AK59" s="1">
        <f t="shared" ca="1" si="26"/>
        <v>2.3595459091411896E-3</v>
      </c>
      <c r="AL59" s="1"/>
      <c r="AM59" s="1">
        <f t="shared" ca="1" si="27"/>
        <v>0.10975587077184618</v>
      </c>
      <c r="AN59" s="1">
        <f t="shared" ca="1" si="28"/>
        <v>56</v>
      </c>
      <c r="AO59" s="1">
        <f t="shared" ca="1" si="29"/>
        <v>11</v>
      </c>
      <c r="AQ59" s="1">
        <f t="shared" ca="1" si="30"/>
        <v>109</v>
      </c>
      <c r="AR59" s="1">
        <f t="shared" ca="1" si="31"/>
        <v>6</v>
      </c>
      <c r="AS59" s="1">
        <f t="shared" ca="1" si="32"/>
        <v>60</v>
      </c>
      <c r="AU59" s="1">
        <f t="shared" ca="1" si="33"/>
        <v>167</v>
      </c>
      <c r="AV59" s="1">
        <f t="shared" ca="1" si="34"/>
        <v>5</v>
      </c>
      <c r="AW59" s="1">
        <f t="shared" ca="1" si="35"/>
        <v>0.13734591011464525</v>
      </c>
      <c r="AY59" s="1">
        <f t="shared" ca="1" si="36"/>
        <v>1.5578438410383995</v>
      </c>
      <c r="AZ59" s="1">
        <f t="shared" ca="1" si="37"/>
        <v>155</v>
      </c>
      <c r="BA59" s="1">
        <f t="shared" ca="1" si="38"/>
        <v>1.4471808885804913E-4</v>
      </c>
      <c r="BV59" s="1">
        <f t="shared" ca="1" si="39"/>
        <v>0.61185535940880142</v>
      </c>
      <c r="BW59" s="1">
        <f t="shared" ca="1" si="40"/>
        <v>653</v>
      </c>
      <c r="BX59" s="1">
        <f t="shared" ca="1" si="41"/>
        <v>2.7948157149121945E-3</v>
      </c>
      <c r="BY59" s="1">
        <f t="shared" ca="1" si="42"/>
        <v>3.6643064476458105E-2</v>
      </c>
      <c r="BZ59" s="1">
        <f t="shared" ca="1" si="43"/>
        <v>0.6411147124117651</v>
      </c>
      <c r="CB59" s="1">
        <f t="shared" ca="1" si="44"/>
        <v>54</v>
      </c>
      <c r="CC59" s="1">
        <f t="shared" ca="1" si="45"/>
        <v>14</v>
      </c>
      <c r="CD59" s="1">
        <f t="shared" ca="1" si="46"/>
        <v>2.1041541975198155E-2</v>
      </c>
      <c r="CE59" s="1">
        <f t="shared" ca="1" si="56"/>
        <v>0.80273479280057791</v>
      </c>
      <c r="CF59" s="1">
        <f t="shared" ca="1" si="56"/>
        <v>0.99726255610460335</v>
      </c>
      <c r="CH59" s="3">
        <f t="shared" ca="1" si="48"/>
        <v>0.26847171757517635</v>
      </c>
      <c r="CI59" s="3">
        <f t="shared" ca="1" si="49"/>
        <v>0.31612033483719343</v>
      </c>
      <c r="CJ59" s="3">
        <f t="shared" ca="1" si="50"/>
        <v>1793</v>
      </c>
      <c r="CK59" s="3">
        <f t="shared" ca="1" si="51"/>
        <v>2.2411387164289944E-3</v>
      </c>
      <c r="CL59" s="3">
        <f t="shared" ca="1" si="52"/>
        <v>1</v>
      </c>
      <c r="CM59" s="3"/>
      <c r="CN59" s="1">
        <f t="shared" ca="1" si="53"/>
        <v>13.463645858199</v>
      </c>
      <c r="CO59" s="1">
        <f t="shared" ca="1" si="54"/>
        <v>0.38805784438674806</v>
      </c>
      <c r="CP59" s="1">
        <f t="shared" ca="1" si="55"/>
        <v>4</v>
      </c>
    </row>
    <row r="60" spans="2:94" x14ac:dyDescent="0.25">
      <c r="B60">
        <f t="shared" ca="1" si="0"/>
        <v>788</v>
      </c>
      <c r="C60">
        <f t="shared" ca="1" si="1"/>
        <v>35</v>
      </c>
      <c r="D60">
        <f t="shared" ca="1" si="2"/>
        <v>7.6778952208344506E-2</v>
      </c>
      <c r="F60" s="1">
        <f t="shared" ca="1" si="3"/>
        <v>23</v>
      </c>
      <c r="G60" s="1">
        <f t="shared" ca="1" si="4"/>
        <v>13</v>
      </c>
      <c r="H60" s="1">
        <f t="shared" ca="1" si="5"/>
        <v>14</v>
      </c>
      <c r="I60" s="1"/>
      <c r="J60" s="1">
        <f t="shared" ca="1" si="6"/>
        <v>22</v>
      </c>
      <c r="K60" s="1">
        <f t="shared" ca="1" si="7"/>
        <v>2.0021465947818546</v>
      </c>
      <c r="L60" s="1">
        <f t="shared" ca="1" si="8"/>
        <v>29</v>
      </c>
      <c r="M60" s="1"/>
      <c r="N60" s="1">
        <f t="shared" ca="1" si="9"/>
        <v>61</v>
      </c>
      <c r="O60" s="1">
        <f t="shared" ca="1" si="10"/>
        <v>52</v>
      </c>
      <c r="P60" s="1"/>
      <c r="Q60" s="1">
        <f t="shared" ca="1" si="11"/>
        <v>2.4795774866673685</v>
      </c>
      <c r="R60" s="1">
        <f t="shared" ca="1" si="12"/>
        <v>304</v>
      </c>
      <c r="S60" s="1"/>
      <c r="T60" s="1">
        <f t="shared" ca="1" si="13"/>
        <v>0.11701282149835765</v>
      </c>
      <c r="U60" s="1">
        <f t="shared" ca="1" si="14"/>
        <v>447</v>
      </c>
      <c r="V60" s="1">
        <f t="shared" ca="1" si="15"/>
        <v>39</v>
      </c>
      <c r="W60" s="1"/>
      <c r="X60" s="1">
        <f t="shared" ca="1" si="16"/>
        <v>3.0266832702202797</v>
      </c>
      <c r="Y60" s="1">
        <f t="shared" ca="1" si="17"/>
        <v>0.89959855629422147</v>
      </c>
      <c r="Z60" s="1">
        <f t="shared" ca="1" si="18"/>
        <v>1066</v>
      </c>
      <c r="AB60" s="1">
        <f t="shared" ca="1" si="19"/>
        <v>0.86528927089895347</v>
      </c>
      <c r="AC60" s="1">
        <f t="shared" ca="1" si="20"/>
        <v>691</v>
      </c>
      <c r="AD60" s="1">
        <f t="shared" ca="1" si="21"/>
        <v>3.8781757889630171E-3</v>
      </c>
      <c r="AE60" s="1"/>
      <c r="AF60" s="1">
        <f t="shared" ca="1" si="22"/>
        <v>0.65245643118583485</v>
      </c>
      <c r="AG60" s="1">
        <f t="shared" ca="1" si="23"/>
        <v>695</v>
      </c>
      <c r="AH60" s="1">
        <f t="shared" ca="1" si="24"/>
        <v>6.8673608588656438E-3</v>
      </c>
      <c r="AJ60" s="1">
        <f t="shared" ca="1" si="25"/>
        <v>0.83429806891773572</v>
      </c>
      <c r="AK60" s="1">
        <f t="shared" ca="1" si="26"/>
        <v>4.3769985750767735E-3</v>
      </c>
      <c r="AL60" s="1"/>
      <c r="AM60" s="1">
        <f t="shared" ca="1" si="27"/>
        <v>5.3929538457590138E-2</v>
      </c>
      <c r="AN60" s="1">
        <f t="shared" ca="1" si="28"/>
        <v>42</v>
      </c>
      <c r="AO60" s="1">
        <f t="shared" ca="1" si="29"/>
        <v>13</v>
      </c>
      <c r="AQ60" s="1">
        <f t="shared" ca="1" si="30"/>
        <v>181</v>
      </c>
      <c r="AR60" s="1">
        <f t="shared" ca="1" si="31"/>
        <v>1</v>
      </c>
      <c r="AS60" s="1">
        <f t="shared" ca="1" si="32"/>
        <v>32</v>
      </c>
      <c r="AU60" s="1">
        <f t="shared" ca="1" si="33"/>
        <v>59</v>
      </c>
      <c r="AV60" s="1">
        <f t="shared" ca="1" si="34"/>
        <v>7</v>
      </c>
      <c r="AW60" s="1">
        <f t="shared" ca="1" si="35"/>
        <v>2.358388291925783E-2</v>
      </c>
      <c r="AY60" s="1">
        <f t="shared" ca="1" si="36"/>
        <v>1.5146063420406657</v>
      </c>
      <c r="AZ60" s="1">
        <f t="shared" ca="1" si="37"/>
        <v>399</v>
      </c>
      <c r="BA60" s="1">
        <f t="shared" ca="1" si="38"/>
        <v>7.1788130490788053E-3</v>
      </c>
      <c r="BV60" s="1">
        <f t="shared" ca="1" si="39"/>
        <v>0.96794698149894121</v>
      </c>
      <c r="BW60" s="1">
        <f t="shared" ca="1" si="40"/>
        <v>613</v>
      </c>
      <c r="BX60" s="1">
        <f t="shared" ca="1" si="41"/>
        <v>6.4782866051698749E-3</v>
      </c>
      <c r="BY60" s="1">
        <f t="shared" ca="1" si="42"/>
        <v>9.0001790879453467E-2</v>
      </c>
      <c r="BZ60" s="1">
        <f t="shared" ca="1" si="43"/>
        <v>0.80634434281433143</v>
      </c>
      <c r="CB60" s="1">
        <f t="shared" ca="1" si="44"/>
        <v>328</v>
      </c>
      <c r="CC60" s="1">
        <f t="shared" ca="1" si="45"/>
        <v>7</v>
      </c>
      <c r="CD60" s="1">
        <f t="shared" ca="1" si="46"/>
        <v>0.19018854173415053</v>
      </c>
      <c r="CE60" s="1">
        <f t="shared" ca="1" si="56"/>
        <v>0.66773118736015902</v>
      </c>
      <c r="CF60" s="1">
        <f t="shared" ca="1" si="56"/>
        <v>0.87138235645941142</v>
      </c>
      <c r="CH60" s="3">
        <f t="shared" ca="1" si="48"/>
        <v>0.72792993685581553</v>
      </c>
      <c r="CI60" s="3">
        <f t="shared" ca="1" si="49"/>
        <v>0.9887373995330927</v>
      </c>
      <c r="CJ60" s="3">
        <f t="shared" ca="1" si="50"/>
        <v>1420</v>
      </c>
      <c r="CK60" s="3">
        <f t="shared" ca="1" si="51"/>
        <v>3.7685199893752056E-3</v>
      </c>
      <c r="CL60" s="3">
        <f t="shared" ca="1" si="52"/>
        <v>0</v>
      </c>
      <c r="CM60" s="3"/>
      <c r="CN60" s="1">
        <f t="shared" ca="1" si="53"/>
        <v>9.5184535608064493</v>
      </c>
      <c r="CO60" s="1">
        <f t="shared" ca="1" si="54"/>
        <v>0.14852431160925733</v>
      </c>
      <c r="CP60" s="1">
        <f t="shared" ca="1" si="55"/>
        <v>4</v>
      </c>
    </row>
    <row r="61" spans="2:94" x14ac:dyDescent="0.25">
      <c r="B61">
        <f t="shared" ca="1" si="0"/>
        <v>180</v>
      </c>
      <c r="C61">
        <f t="shared" ca="1" si="1"/>
        <v>4</v>
      </c>
      <c r="D61">
        <f t="shared" ca="1" si="2"/>
        <v>0.13246596531935739</v>
      </c>
      <c r="F61" s="1">
        <f t="shared" ca="1" si="3"/>
        <v>17</v>
      </c>
      <c r="G61" s="1">
        <f t="shared" ca="1" si="4"/>
        <v>23</v>
      </c>
      <c r="H61" s="1">
        <f t="shared" ca="1" si="5"/>
        <v>12</v>
      </c>
      <c r="I61" s="1"/>
      <c r="J61" s="1">
        <f t="shared" ca="1" si="6"/>
        <v>22</v>
      </c>
      <c r="K61" s="1">
        <f t="shared" ca="1" si="7"/>
        <v>2.6033212063322448</v>
      </c>
      <c r="L61" s="1">
        <f t="shared" ca="1" si="8"/>
        <v>17</v>
      </c>
      <c r="M61" s="1"/>
      <c r="N61" s="1">
        <f t="shared" ca="1" si="9"/>
        <v>631</v>
      </c>
      <c r="O61" s="1">
        <f t="shared" ca="1" si="10"/>
        <v>47</v>
      </c>
      <c r="P61" s="1"/>
      <c r="Q61" s="1">
        <f t="shared" ca="1" si="11"/>
        <v>3.4413095133071709</v>
      </c>
      <c r="R61" s="1">
        <f t="shared" ca="1" si="12"/>
        <v>329</v>
      </c>
      <c r="S61" s="1"/>
      <c r="T61" s="1">
        <f t="shared" ca="1" si="13"/>
        <v>0.10077562083131736</v>
      </c>
      <c r="U61" s="1">
        <f t="shared" ca="1" si="14"/>
        <v>346</v>
      </c>
      <c r="V61" s="1">
        <f t="shared" ca="1" si="15"/>
        <v>21</v>
      </c>
      <c r="W61" s="1"/>
      <c r="X61" s="1">
        <f t="shared" ca="1" si="16"/>
        <v>6.9896786823749011</v>
      </c>
      <c r="Y61" s="1">
        <f t="shared" ca="1" si="17"/>
        <v>0.56896934178738945</v>
      </c>
      <c r="Z61" s="1">
        <f t="shared" ca="1" si="18"/>
        <v>1052</v>
      </c>
      <c r="AB61" s="1">
        <f t="shared" ca="1" si="19"/>
        <v>5.0561505180189877E-2</v>
      </c>
      <c r="AC61" s="1">
        <f t="shared" ca="1" si="20"/>
        <v>287</v>
      </c>
      <c r="AD61" s="1">
        <f t="shared" ca="1" si="21"/>
        <v>6.8033259433365025E-3</v>
      </c>
      <c r="AE61" s="1"/>
      <c r="AF61" s="1">
        <f t="shared" ca="1" si="22"/>
        <v>0.32120525352714735</v>
      </c>
      <c r="AG61" s="1">
        <f t="shared" ca="1" si="23"/>
        <v>797</v>
      </c>
      <c r="AH61" s="1">
        <f t="shared" ca="1" si="24"/>
        <v>9.9087995339462113E-3</v>
      </c>
      <c r="AJ61" s="1">
        <f t="shared" ca="1" si="25"/>
        <v>0.85270394236651614</v>
      </c>
      <c r="AK61" s="1">
        <f t="shared" ca="1" si="26"/>
        <v>3.3340349706922727E-3</v>
      </c>
      <c r="AL61" s="1"/>
      <c r="AM61" s="1">
        <f t="shared" ca="1" si="27"/>
        <v>0.17663723178126325</v>
      </c>
      <c r="AN61" s="1">
        <f t="shared" ca="1" si="28"/>
        <v>49</v>
      </c>
      <c r="AO61" s="1">
        <f t="shared" ca="1" si="29"/>
        <v>18</v>
      </c>
      <c r="AQ61" s="1">
        <f t="shared" ca="1" si="30"/>
        <v>157</v>
      </c>
      <c r="AR61" s="1">
        <f t="shared" ca="1" si="31"/>
        <v>10</v>
      </c>
      <c r="AS61" s="1">
        <f t="shared" ca="1" si="32"/>
        <v>100</v>
      </c>
      <c r="AU61" s="1">
        <f t="shared" ca="1" si="33"/>
        <v>382</v>
      </c>
      <c r="AV61" s="1">
        <f t="shared" ca="1" si="34"/>
        <v>5</v>
      </c>
      <c r="AW61" s="1">
        <f t="shared" ca="1" si="35"/>
        <v>0.11186169075595281</v>
      </c>
      <c r="AY61" s="1">
        <f t="shared" ca="1" si="36"/>
        <v>1.6584062909801172</v>
      </c>
      <c r="AZ61" s="1">
        <f t="shared" ca="1" si="37"/>
        <v>340</v>
      </c>
      <c r="BA61" s="1">
        <f t="shared" ca="1" si="38"/>
        <v>8.2207578519817581E-3</v>
      </c>
      <c r="BV61" s="1">
        <f t="shared" ca="1" si="39"/>
        <v>0.37306837860197956</v>
      </c>
      <c r="BW61" s="1">
        <f t="shared" ca="1" si="40"/>
        <v>819</v>
      </c>
      <c r="BX61" s="1">
        <f t="shared" ca="1" si="41"/>
        <v>2.1514720312556367E-3</v>
      </c>
      <c r="BY61" s="1">
        <f t="shared" ca="1" si="42"/>
        <v>6.654865837508199E-2</v>
      </c>
      <c r="BZ61" s="1">
        <f t="shared" ca="1" si="43"/>
        <v>0.89150946607015746</v>
      </c>
      <c r="CB61" s="1">
        <f t="shared" ca="1" si="44"/>
        <v>418</v>
      </c>
      <c r="CC61" s="1">
        <f t="shared" ca="1" si="45"/>
        <v>6</v>
      </c>
      <c r="CD61" s="1">
        <f t="shared" ca="1" si="46"/>
        <v>0.26910189847208121</v>
      </c>
      <c r="CE61" s="1">
        <f t="shared" ca="1" si="56"/>
        <v>0.8041676100321048</v>
      </c>
      <c r="CF61" s="1">
        <f t="shared" ca="1" si="56"/>
        <v>0.79650781442257301</v>
      </c>
      <c r="CH61" s="3">
        <f t="shared" ca="1" si="48"/>
        <v>0.3198229125307076</v>
      </c>
      <c r="CI61" s="3">
        <f t="shared" ca="1" si="49"/>
        <v>3.9026157730790677E-2</v>
      </c>
      <c r="CJ61" s="3">
        <f t="shared" ca="1" si="50"/>
        <v>1367</v>
      </c>
      <c r="CK61" s="3">
        <f t="shared" ca="1" si="51"/>
        <v>7.5656885001536807E-3</v>
      </c>
      <c r="CL61" s="3">
        <f t="shared" ca="1" si="52"/>
        <v>1</v>
      </c>
      <c r="CM61" s="3"/>
      <c r="CN61" s="1">
        <f t="shared" ca="1" si="53"/>
        <v>5.6611462800540782</v>
      </c>
      <c r="CO61" s="1">
        <f t="shared" ca="1" si="54"/>
        <v>0.46193234283399254</v>
      </c>
      <c r="CP61" s="1">
        <f t="shared" ca="1" si="55"/>
        <v>3</v>
      </c>
    </row>
    <row r="62" spans="2:94" x14ac:dyDescent="0.25">
      <c r="B62">
        <f t="shared" ca="1" si="0"/>
        <v>721</v>
      </c>
      <c r="C62">
        <f t="shared" ca="1" si="1"/>
        <v>6</v>
      </c>
      <c r="D62">
        <f t="shared" ca="1" si="2"/>
        <v>2.8940699876714694E-2</v>
      </c>
      <c r="F62" s="1">
        <f t="shared" ca="1" si="3"/>
        <v>42</v>
      </c>
      <c r="G62" s="1">
        <f t="shared" ca="1" si="4"/>
        <v>13</v>
      </c>
      <c r="H62" s="1">
        <f t="shared" ca="1" si="5"/>
        <v>1</v>
      </c>
      <c r="I62" s="1"/>
      <c r="J62" s="1">
        <f t="shared" ca="1" si="6"/>
        <v>24</v>
      </c>
      <c r="K62" s="1">
        <f t="shared" ca="1" si="7"/>
        <v>2.0852369734565057</v>
      </c>
      <c r="L62" s="1">
        <f t="shared" ca="1" si="8"/>
        <v>11</v>
      </c>
      <c r="M62" s="1"/>
      <c r="N62" s="1">
        <f t="shared" ca="1" si="9"/>
        <v>568</v>
      </c>
      <c r="O62" s="1">
        <f t="shared" ca="1" si="10"/>
        <v>28</v>
      </c>
      <c r="P62" s="1"/>
      <c r="Q62" s="1">
        <f t="shared" ca="1" si="11"/>
        <v>1.9598515942832673</v>
      </c>
      <c r="R62" s="1">
        <f t="shared" ca="1" si="12"/>
        <v>855</v>
      </c>
      <c r="S62" s="1"/>
      <c r="T62" s="1">
        <f t="shared" ca="1" si="13"/>
        <v>2.7129839331910266E-2</v>
      </c>
      <c r="U62" s="1">
        <f t="shared" ca="1" si="14"/>
        <v>385</v>
      </c>
      <c r="V62" s="1">
        <f t="shared" ca="1" si="15"/>
        <v>35</v>
      </c>
      <c r="W62" s="1"/>
      <c r="X62" s="1">
        <f t="shared" ca="1" si="16"/>
        <v>2.3253651742861248</v>
      </c>
      <c r="Y62" s="1">
        <f t="shared" ca="1" si="17"/>
        <v>0.36231510925806409</v>
      </c>
      <c r="Z62" s="1">
        <f t="shared" ca="1" si="18"/>
        <v>855</v>
      </c>
      <c r="AB62" s="1">
        <f t="shared" ca="1" si="19"/>
        <v>0.28085791509882152</v>
      </c>
      <c r="AC62" s="1">
        <f t="shared" ca="1" si="20"/>
        <v>736</v>
      </c>
      <c r="AD62" s="1">
        <f t="shared" ca="1" si="21"/>
        <v>9.8278913973485725E-3</v>
      </c>
      <c r="AE62" s="1"/>
      <c r="AF62" s="1">
        <f t="shared" ca="1" si="22"/>
        <v>0.1849170732852442</v>
      </c>
      <c r="AG62" s="1">
        <f t="shared" ca="1" si="23"/>
        <v>669</v>
      </c>
      <c r="AH62" s="1">
        <f t="shared" ca="1" si="24"/>
        <v>1.4049629614822461E-3</v>
      </c>
      <c r="AJ62" s="1">
        <f t="shared" ca="1" si="25"/>
        <v>0.32650263089663434</v>
      </c>
      <c r="AK62" s="1">
        <f t="shared" ca="1" si="26"/>
        <v>4.0174010481493711E-3</v>
      </c>
      <c r="AL62" s="1"/>
      <c r="AM62" s="1">
        <f t="shared" ca="1" si="27"/>
        <v>1.2481817155983004E-2</v>
      </c>
      <c r="AN62" s="1">
        <f t="shared" ca="1" si="28"/>
        <v>67</v>
      </c>
      <c r="AO62" s="1">
        <f t="shared" ca="1" si="29"/>
        <v>11</v>
      </c>
      <c r="AQ62" s="1">
        <f t="shared" ca="1" si="30"/>
        <v>73</v>
      </c>
      <c r="AR62" s="1">
        <f t="shared" ca="1" si="31"/>
        <v>2</v>
      </c>
      <c r="AS62" s="1">
        <f t="shared" ca="1" si="32"/>
        <v>99</v>
      </c>
      <c r="AU62" s="1">
        <f t="shared" ca="1" si="33"/>
        <v>68</v>
      </c>
      <c r="AV62" s="1">
        <f t="shared" ca="1" si="34"/>
        <v>3</v>
      </c>
      <c r="AW62" s="1">
        <f t="shared" ca="1" si="35"/>
        <v>0.1835357650617592</v>
      </c>
      <c r="AY62" s="1">
        <f t="shared" ca="1" si="36"/>
        <v>1.6377065865179028</v>
      </c>
      <c r="AZ62" s="1">
        <f t="shared" ca="1" si="37"/>
        <v>105</v>
      </c>
      <c r="BA62" s="1">
        <f t="shared" ca="1" si="38"/>
        <v>7.0112948505361688E-3</v>
      </c>
      <c r="BV62" s="1">
        <f t="shared" ca="1" si="39"/>
        <v>0.71422712773210351</v>
      </c>
      <c r="BW62" s="1">
        <f t="shared" ca="1" si="40"/>
        <v>198</v>
      </c>
      <c r="BX62" s="1">
        <f t="shared" ca="1" si="41"/>
        <v>5.9461760245895232E-3</v>
      </c>
      <c r="BY62" s="1">
        <f t="shared" ca="1" si="42"/>
        <v>6.1969520455875018E-2</v>
      </c>
      <c r="BZ62" s="1">
        <f t="shared" ca="1" si="43"/>
        <v>0.92509110987486953</v>
      </c>
      <c r="CB62" s="1">
        <f t="shared" ca="1" si="44"/>
        <v>470</v>
      </c>
      <c r="CC62" s="1">
        <f t="shared" ca="1" si="45"/>
        <v>10</v>
      </c>
      <c r="CD62" s="1">
        <f t="shared" ca="1" si="46"/>
        <v>8.3720617261506841E-2</v>
      </c>
      <c r="CE62" s="1">
        <f t="shared" ca="1" si="56"/>
        <v>0.66084086328387959</v>
      </c>
      <c r="CF62" s="1">
        <f t="shared" ca="1" si="56"/>
        <v>0.91668004365048961</v>
      </c>
      <c r="CH62" s="3">
        <f t="shared" ca="1" si="48"/>
        <v>0.20359508960811373</v>
      </c>
      <c r="CI62" s="3">
        <f t="shared" ca="1" si="49"/>
        <v>7.2180113806588037E-2</v>
      </c>
      <c r="CJ62" s="3">
        <f t="shared" ca="1" si="50"/>
        <v>815</v>
      </c>
      <c r="CK62" s="3">
        <f t="shared" ca="1" si="51"/>
        <v>6.5054182237200223E-4</v>
      </c>
      <c r="CL62" s="3">
        <f t="shared" ca="1" si="52"/>
        <v>0</v>
      </c>
      <c r="CM62" s="3"/>
      <c r="CN62" s="1">
        <f t="shared" ca="1" si="53"/>
        <v>18.644637736304102</v>
      </c>
      <c r="CO62" s="1">
        <f t="shared" ca="1" si="54"/>
        <v>0.37506502727440622</v>
      </c>
      <c r="CP62" s="1">
        <f t="shared" ca="1" si="55"/>
        <v>5</v>
      </c>
    </row>
    <row r="63" spans="2:94" x14ac:dyDescent="0.25">
      <c r="B63">
        <f t="shared" ca="1" si="0"/>
        <v>70</v>
      </c>
      <c r="C63">
        <f t="shared" ca="1" si="1"/>
        <v>30</v>
      </c>
      <c r="D63">
        <f t="shared" ca="1" si="2"/>
        <v>5.5852221558869861E-2</v>
      </c>
      <c r="F63" s="1">
        <f t="shared" ca="1" si="3"/>
        <v>39</v>
      </c>
      <c r="G63" s="1">
        <f t="shared" ca="1" si="4"/>
        <v>2</v>
      </c>
      <c r="H63" s="1">
        <f t="shared" ca="1" si="5"/>
        <v>4</v>
      </c>
      <c r="I63" s="1"/>
      <c r="J63" s="1">
        <f t="shared" ca="1" si="6"/>
        <v>19</v>
      </c>
      <c r="K63" s="1">
        <f t="shared" ca="1" si="7"/>
        <v>1.7146089950453169</v>
      </c>
      <c r="L63" s="1">
        <f t="shared" ca="1" si="8"/>
        <v>15</v>
      </c>
      <c r="M63" s="1"/>
      <c r="N63" s="1">
        <f t="shared" ca="1" si="9"/>
        <v>366</v>
      </c>
      <c r="O63" s="1">
        <f t="shared" ca="1" si="10"/>
        <v>23</v>
      </c>
      <c r="P63" s="1"/>
      <c r="Q63" s="1">
        <f t="shared" ca="1" si="11"/>
        <v>2.2710256160681102</v>
      </c>
      <c r="R63" s="1">
        <f t="shared" ca="1" si="12"/>
        <v>301</v>
      </c>
      <c r="S63" s="1"/>
      <c r="T63" s="1">
        <f t="shared" ca="1" si="13"/>
        <v>2.9788709072813647E-2</v>
      </c>
      <c r="U63" s="1">
        <f t="shared" ca="1" si="14"/>
        <v>330</v>
      </c>
      <c r="V63" s="1">
        <f t="shared" ca="1" si="15"/>
        <v>5</v>
      </c>
      <c r="W63" s="1"/>
      <c r="X63" s="1">
        <f t="shared" ca="1" si="16"/>
        <v>9.509030475606048</v>
      </c>
      <c r="Y63" s="1">
        <f t="shared" ca="1" si="17"/>
        <v>0.89454373124367614</v>
      </c>
      <c r="Z63" s="1">
        <f t="shared" ca="1" si="18"/>
        <v>1052</v>
      </c>
      <c r="AB63" s="1">
        <f t="shared" ca="1" si="19"/>
        <v>0.87180082533246772</v>
      </c>
      <c r="AC63" s="1">
        <f t="shared" ca="1" si="20"/>
        <v>901</v>
      </c>
      <c r="AD63" s="1">
        <f t="shared" ca="1" si="21"/>
        <v>6.6715296568877896E-3</v>
      </c>
      <c r="AE63" s="1"/>
      <c r="AF63" s="1">
        <f t="shared" ca="1" si="22"/>
        <v>0.29433172850715694</v>
      </c>
      <c r="AG63" s="1">
        <f t="shared" ca="1" si="23"/>
        <v>430</v>
      </c>
      <c r="AH63" s="1">
        <f t="shared" ca="1" si="24"/>
        <v>6.5857012281687888E-3</v>
      </c>
      <c r="AJ63" s="1">
        <f t="shared" ca="1" si="25"/>
        <v>0.84782542341113409</v>
      </c>
      <c r="AK63" s="1">
        <f t="shared" ca="1" si="26"/>
        <v>9.7533773790937119E-3</v>
      </c>
      <c r="AL63" s="1"/>
      <c r="AM63" s="1">
        <f t="shared" ca="1" si="27"/>
        <v>0.19984553355787613</v>
      </c>
      <c r="AN63" s="1">
        <f t="shared" ca="1" si="28"/>
        <v>36</v>
      </c>
      <c r="AO63" s="1">
        <f t="shared" ca="1" si="29"/>
        <v>1</v>
      </c>
      <c r="AQ63" s="1">
        <f t="shared" ca="1" si="30"/>
        <v>42</v>
      </c>
      <c r="AR63" s="1">
        <f t="shared" ca="1" si="31"/>
        <v>8</v>
      </c>
      <c r="AS63" s="1">
        <f t="shared" ca="1" si="32"/>
        <v>79</v>
      </c>
      <c r="AU63" s="1">
        <f t="shared" ca="1" si="33"/>
        <v>330</v>
      </c>
      <c r="AV63" s="1">
        <f t="shared" ca="1" si="34"/>
        <v>2</v>
      </c>
      <c r="AW63" s="1">
        <f t="shared" ca="1" si="35"/>
        <v>1.6019169580852258E-2</v>
      </c>
      <c r="AY63" s="1">
        <f t="shared" ca="1" si="36"/>
        <v>1.3385496635929686</v>
      </c>
      <c r="AZ63" s="1">
        <f t="shared" ca="1" si="37"/>
        <v>167</v>
      </c>
      <c r="BA63" s="1">
        <f t="shared" ca="1" si="38"/>
        <v>9.9530767069187474E-3</v>
      </c>
      <c r="BV63" s="1">
        <f t="shared" ca="1" si="39"/>
        <v>0.45967442220476362</v>
      </c>
      <c r="BW63" s="1">
        <f t="shared" ca="1" si="40"/>
        <v>355</v>
      </c>
      <c r="BX63" s="1">
        <f t="shared" ca="1" si="41"/>
        <v>9.3510380007690175E-3</v>
      </c>
      <c r="BY63" s="1">
        <f t="shared" ca="1" si="42"/>
        <v>4.1588976442615555E-2</v>
      </c>
      <c r="BZ63" s="1">
        <f t="shared" ca="1" si="43"/>
        <v>0.25386038797968635</v>
      </c>
      <c r="CB63" s="1">
        <f t="shared" ca="1" si="44"/>
        <v>286</v>
      </c>
      <c r="CC63" s="1">
        <f t="shared" ca="1" si="45"/>
        <v>4</v>
      </c>
      <c r="CD63" s="1">
        <f t="shared" ca="1" si="46"/>
        <v>0.26160759910447828</v>
      </c>
      <c r="CE63" s="1">
        <f t="shared" ca="1" si="56"/>
        <v>0.88771593402267868</v>
      </c>
      <c r="CF63" s="1">
        <f t="shared" ca="1" si="56"/>
        <v>0.65890543249727496</v>
      </c>
      <c r="CH63" s="3">
        <f t="shared" ca="1" si="48"/>
        <v>7.2951777223792813E-2</v>
      </c>
      <c r="CI63" s="3">
        <f t="shared" ca="1" si="49"/>
        <v>0.10086616357793528</v>
      </c>
      <c r="CJ63" s="3">
        <f t="shared" ca="1" si="50"/>
        <v>522</v>
      </c>
      <c r="CK63" s="3">
        <f t="shared" ca="1" si="51"/>
        <v>7.4726178046597121E-3</v>
      </c>
      <c r="CL63" s="3">
        <f t="shared" ca="1" si="52"/>
        <v>0</v>
      </c>
      <c r="CM63" s="3"/>
      <c r="CN63" s="1">
        <f t="shared" ca="1" si="53"/>
        <v>9.5409606805767169</v>
      </c>
      <c r="CO63" s="1">
        <f t="shared" ca="1" si="54"/>
        <v>0.29874195451829</v>
      </c>
      <c r="CP63" s="1">
        <f t="shared" ca="1" si="55"/>
        <v>4</v>
      </c>
    </row>
    <row r="64" spans="2:94" x14ac:dyDescent="0.25">
      <c r="B64">
        <f t="shared" ca="1" si="0"/>
        <v>257</v>
      </c>
      <c r="C64">
        <f t="shared" ca="1" si="1"/>
        <v>35</v>
      </c>
      <c r="D64">
        <f t="shared" ca="1" si="2"/>
        <v>1.5394811776938985E-2</v>
      </c>
      <c r="F64" s="1">
        <f t="shared" ca="1" si="3"/>
        <v>4</v>
      </c>
      <c r="G64" s="1">
        <f t="shared" ca="1" si="4"/>
        <v>24</v>
      </c>
      <c r="H64" s="1">
        <f t="shared" ca="1" si="5"/>
        <v>2</v>
      </c>
      <c r="I64" s="1"/>
      <c r="J64" s="1">
        <f t="shared" ca="1" si="6"/>
        <v>27</v>
      </c>
      <c r="K64" s="1">
        <f t="shared" ca="1" si="7"/>
        <v>2.852598666204468</v>
      </c>
      <c r="L64" s="1">
        <f t="shared" ca="1" si="8"/>
        <v>25</v>
      </c>
      <c r="M64" s="1"/>
      <c r="N64" s="1">
        <f t="shared" ca="1" si="9"/>
        <v>758</v>
      </c>
      <c r="O64" s="1">
        <f t="shared" ca="1" si="10"/>
        <v>15</v>
      </c>
      <c r="P64" s="1"/>
      <c r="Q64" s="1">
        <f t="shared" ca="1" si="11"/>
        <v>2.9170358862351602</v>
      </c>
      <c r="R64" s="1">
        <f t="shared" ca="1" si="12"/>
        <v>1114</v>
      </c>
      <c r="S64" s="1"/>
      <c r="T64" s="1">
        <f t="shared" ca="1" si="13"/>
        <v>3.8824159828232487E-2</v>
      </c>
      <c r="U64" s="1">
        <f t="shared" ca="1" si="14"/>
        <v>374</v>
      </c>
      <c r="V64" s="1">
        <f t="shared" ca="1" si="15"/>
        <v>24</v>
      </c>
      <c r="W64" s="1"/>
      <c r="X64" s="1">
        <f t="shared" ca="1" si="16"/>
        <v>2.9761603183759333</v>
      </c>
      <c r="Y64" s="1">
        <f t="shared" ca="1" si="17"/>
        <v>0.39548842144533003</v>
      </c>
      <c r="Z64" s="1">
        <f t="shared" ca="1" si="18"/>
        <v>1339</v>
      </c>
      <c r="AB64" s="1">
        <f t="shared" ca="1" si="19"/>
        <v>0.74686965486885104</v>
      </c>
      <c r="AC64" s="1">
        <f t="shared" ca="1" si="20"/>
        <v>956</v>
      </c>
      <c r="AD64" s="1">
        <f t="shared" ca="1" si="21"/>
        <v>5.1063148988198769E-3</v>
      </c>
      <c r="AE64" s="1"/>
      <c r="AF64" s="1">
        <f t="shared" ca="1" si="22"/>
        <v>0.28606492226547053</v>
      </c>
      <c r="AG64" s="1">
        <f t="shared" ca="1" si="23"/>
        <v>810</v>
      </c>
      <c r="AH64" s="1">
        <f t="shared" ca="1" si="24"/>
        <v>4.5722254846136323E-3</v>
      </c>
      <c r="AJ64" s="1">
        <f t="shared" ca="1" si="25"/>
        <v>0.77507586574073595</v>
      </c>
      <c r="AK64" s="1">
        <f t="shared" ca="1" si="26"/>
        <v>9.1686417563673055E-3</v>
      </c>
      <c r="AL64" s="1"/>
      <c r="AM64" s="1">
        <f t="shared" ca="1" si="27"/>
        <v>0.14966589335951203</v>
      </c>
      <c r="AN64" s="1">
        <f t="shared" ca="1" si="28"/>
        <v>79</v>
      </c>
      <c r="AO64" s="1">
        <f t="shared" ca="1" si="29"/>
        <v>5</v>
      </c>
      <c r="AQ64" s="1">
        <f t="shared" ca="1" si="30"/>
        <v>53</v>
      </c>
      <c r="AR64" s="1">
        <f t="shared" ca="1" si="31"/>
        <v>9</v>
      </c>
      <c r="AS64" s="1">
        <f t="shared" ca="1" si="32"/>
        <v>50</v>
      </c>
      <c r="AU64" s="1">
        <f t="shared" ca="1" si="33"/>
        <v>360</v>
      </c>
      <c r="AV64" s="1">
        <f t="shared" ca="1" si="34"/>
        <v>3</v>
      </c>
      <c r="AW64" s="1">
        <f t="shared" ca="1" si="35"/>
        <v>0.16767965842146446</v>
      </c>
      <c r="AY64" s="1">
        <f t="shared" ca="1" si="36"/>
        <v>1.7152570398888971</v>
      </c>
      <c r="AZ64" s="1">
        <f t="shared" ca="1" si="37"/>
        <v>146</v>
      </c>
      <c r="BA64" s="1">
        <f t="shared" ca="1" si="38"/>
        <v>5.6928707720348016E-3</v>
      </c>
      <c r="BV64" s="1">
        <f t="shared" ca="1" si="39"/>
        <v>0.19257837527526234</v>
      </c>
      <c r="BW64" s="1">
        <f t="shared" ca="1" si="40"/>
        <v>428</v>
      </c>
      <c r="BX64" s="1">
        <f t="shared" ca="1" si="41"/>
        <v>2.3554089479012998E-3</v>
      </c>
      <c r="BY64" s="1">
        <f t="shared" ca="1" si="42"/>
        <v>7.4358558071808203E-2</v>
      </c>
      <c r="BZ64" s="1">
        <f t="shared" ca="1" si="43"/>
        <v>0.38547799256167592</v>
      </c>
      <c r="CB64" s="1">
        <f t="shared" ca="1" si="44"/>
        <v>241</v>
      </c>
      <c r="CC64" s="1">
        <f t="shared" ca="1" si="45"/>
        <v>4</v>
      </c>
      <c r="CD64" s="1">
        <f t="shared" ca="1" si="46"/>
        <v>0.27041682248437848</v>
      </c>
      <c r="CE64" s="1">
        <f t="shared" ca="1" si="56"/>
        <v>0.92675033194768053</v>
      </c>
      <c r="CF64" s="1">
        <f t="shared" ca="1" si="56"/>
        <v>0.95949050252323209</v>
      </c>
      <c r="CH64" s="3">
        <f t="shared" ca="1" si="48"/>
        <v>0.54093904139360072</v>
      </c>
      <c r="CI64" s="3">
        <f t="shared" ca="1" si="49"/>
        <v>0.59886379443809412</v>
      </c>
      <c r="CJ64" s="3">
        <f t="shared" ca="1" si="50"/>
        <v>1215</v>
      </c>
      <c r="CK64" s="3">
        <f t="shared" ca="1" si="51"/>
        <v>1.4181393617236871E-3</v>
      </c>
      <c r="CL64" s="3">
        <f t="shared" ca="1" si="52"/>
        <v>0</v>
      </c>
      <c r="CM64" s="3"/>
      <c r="CN64" s="1">
        <f t="shared" ca="1" si="53"/>
        <v>12.688205146919081</v>
      </c>
      <c r="CO64" s="1">
        <f t="shared" ca="1" si="54"/>
        <v>0.21234929720458318</v>
      </c>
      <c r="CP64" s="1">
        <f t="shared" ca="1" si="55"/>
        <v>3</v>
      </c>
    </row>
    <row r="65" spans="2:94" x14ac:dyDescent="0.25">
      <c r="B65">
        <f t="shared" ca="1" si="0"/>
        <v>949</v>
      </c>
      <c r="C65">
        <f t="shared" ca="1" si="1"/>
        <v>4</v>
      </c>
      <c r="D65">
        <f t="shared" ca="1" si="2"/>
        <v>0.16403220266357765</v>
      </c>
      <c r="F65" s="1">
        <f t="shared" ca="1" si="3"/>
        <v>12</v>
      </c>
      <c r="G65" s="1">
        <f t="shared" ca="1" si="4"/>
        <v>20</v>
      </c>
      <c r="H65" s="1">
        <f t="shared" ca="1" si="5"/>
        <v>7</v>
      </c>
      <c r="I65" s="1"/>
      <c r="J65" s="1">
        <f t="shared" ca="1" si="6"/>
        <v>32</v>
      </c>
      <c r="K65" s="1">
        <f t="shared" ca="1" si="7"/>
        <v>1.7390467638528078</v>
      </c>
      <c r="L65" s="1">
        <f t="shared" ca="1" si="8"/>
        <v>4</v>
      </c>
      <c r="M65" s="1"/>
      <c r="N65" s="1">
        <f t="shared" ca="1" si="9"/>
        <v>838</v>
      </c>
      <c r="O65" s="1">
        <f t="shared" ca="1" si="10"/>
        <v>9</v>
      </c>
      <c r="P65" s="1"/>
      <c r="Q65" s="1">
        <f t="shared" ca="1" si="11"/>
        <v>3.12334318049172</v>
      </c>
      <c r="R65" s="1">
        <f t="shared" ca="1" si="12"/>
        <v>502</v>
      </c>
      <c r="S65" s="1"/>
      <c r="T65" s="1">
        <f t="shared" ca="1" si="13"/>
        <v>0.1107406120735963</v>
      </c>
      <c r="U65" s="1">
        <f t="shared" ca="1" si="14"/>
        <v>215</v>
      </c>
      <c r="V65" s="1">
        <f t="shared" ca="1" si="15"/>
        <v>36</v>
      </c>
      <c r="W65" s="1"/>
      <c r="X65" s="1">
        <f t="shared" ca="1" si="16"/>
        <v>7.2830825946177002</v>
      </c>
      <c r="Y65" s="1">
        <f t="shared" ca="1" si="17"/>
        <v>0.74312928572818893</v>
      </c>
      <c r="Z65" s="1">
        <f t="shared" ca="1" si="18"/>
        <v>705</v>
      </c>
      <c r="AB65" s="1">
        <f t="shared" ca="1" si="19"/>
        <v>0.4971160636936246</v>
      </c>
      <c r="AC65" s="1">
        <f t="shared" ca="1" si="20"/>
        <v>792</v>
      </c>
      <c r="AD65" s="1">
        <f t="shared" ca="1" si="21"/>
        <v>5.593273416753918E-3</v>
      </c>
      <c r="AE65" s="1"/>
      <c r="AF65" s="1">
        <f t="shared" ca="1" si="22"/>
        <v>0.71703168799390737</v>
      </c>
      <c r="AG65" s="1">
        <f t="shared" ca="1" si="23"/>
        <v>779</v>
      </c>
      <c r="AH65" s="1">
        <f t="shared" ca="1" si="24"/>
        <v>1.1029498031902853E-3</v>
      </c>
      <c r="AJ65" s="1">
        <f t="shared" ca="1" si="25"/>
        <v>0.64939259539763827</v>
      </c>
      <c r="AK65" s="1">
        <f t="shared" ca="1" si="26"/>
        <v>3.3018618032472852E-3</v>
      </c>
      <c r="AL65" s="1"/>
      <c r="AM65" s="1">
        <f t="shared" ca="1" si="27"/>
        <v>0.13743435536810272</v>
      </c>
      <c r="AN65" s="1">
        <f t="shared" ca="1" si="28"/>
        <v>74</v>
      </c>
      <c r="AO65" s="1">
        <f t="shared" ca="1" si="29"/>
        <v>6</v>
      </c>
      <c r="AQ65" s="1">
        <f t="shared" ca="1" si="30"/>
        <v>149</v>
      </c>
      <c r="AR65" s="1">
        <f t="shared" ca="1" si="31"/>
        <v>5</v>
      </c>
      <c r="AS65" s="1">
        <f t="shared" ca="1" si="32"/>
        <v>100</v>
      </c>
      <c r="AU65" s="1">
        <f t="shared" ca="1" si="33"/>
        <v>264</v>
      </c>
      <c r="AV65" s="1">
        <f t="shared" ca="1" si="34"/>
        <v>3</v>
      </c>
      <c r="AW65" s="1">
        <f t="shared" ca="1" si="35"/>
        <v>0.19358643188459687</v>
      </c>
      <c r="AY65" s="1">
        <f t="shared" ca="1" si="36"/>
        <v>1.5688010183346992</v>
      </c>
      <c r="AZ65" s="1">
        <f t="shared" ca="1" si="37"/>
        <v>240</v>
      </c>
      <c r="BA65" s="1">
        <f t="shared" ca="1" si="38"/>
        <v>3.6330899445083872E-3</v>
      </c>
      <c r="BV65" s="1">
        <f t="shared" ca="1" si="39"/>
        <v>0.87821887022424017</v>
      </c>
      <c r="BW65" s="1">
        <f t="shared" ca="1" si="40"/>
        <v>692</v>
      </c>
      <c r="BX65" s="1">
        <f t="shared" ca="1" si="41"/>
        <v>6.2564767756045732E-3</v>
      </c>
      <c r="BY65" s="1">
        <f t="shared" ca="1" si="42"/>
        <v>9.7414465942776307E-2</v>
      </c>
      <c r="BZ65" s="1">
        <f t="shared" ca="1" si="43"/>
        <v>0.24734923587230651</v>
      </c>
      <c r="CB65" s="1">
        <f t="shared" ca="1" si="44"/>
        <v>205</v>
      </c>
      <c r="CC65" s="1">
        <f t="shared" ca="1" si="45"/>
        <v>9</v>
      </c>
      <c r="CD65" s="1">
        <f t="shared" ca="1" si="46"/>
        <v>0.10815338668162364</v>
      </c>
      <c r="CE65" s="1">
        <f t="shared" ca="1" si="56"/>
        <v>0.73713560676625578</v>
      </c>
      <c r="CF65" s="1">
        <f t="shared" ca="1" si="56"/>
        <v>0.7965944893495045</v>
      </c>
      <c r="CH65" s="3">
        <f t="shared" ca="1" si="48"/>
        <v>6.1298809383071333E-3</v>
      </c>
      <c r="CI65" s="3">
        <f t="shared" ca="1" si="49"/>
        <v>0.17646605825326633</v>
      </c>
      <c r="CJ65" s="3">
        <f t="shared" ca="1" si="50"/>
        <v>1005</v>
      </c>
      <c r="CK65" s="3">
        <f t="shared" ca="1" si="51"/>
        <v>2.7337014201525957E-3</v>
      </c>
      <c r="CL65" s="3">
        <f t="shared" ca="1" si="52"/>
        <v>0</v>
      </c>
      <c r="CM65" s="3"/>
      <c r="CN65" s="1">
        <f t="shared" ca="1" si="53"/>
        <v>13.488885833308348</v>
      </c>
      <c r="CO65" s="1">
        <f t="shared" ca="1" si="54"/>
        <v>0.3008097606113887</v>
      </c>
      <c r="CP65" s="1">
        <f t="shared" ca="1" si="55"/>
        <v>3</v>
      </c>
    </row>
    <row r="66" spans="2:94" x14ac:dyDescent="0.25">
      <c r="B66">
        <f t="shared" ca="1" si="0"/>
        <v>527</v>
      </c>
      <c r="C66">
        <f t="shared" ca="1" si="1"/>
        <v>5</v>
      </c>
      <c r="D66">
        <f t="shared" ca="1" si="2"/>
        <v>0.1807459505341267</v>
      </c>
      <c r="F66" s="1">
        <f t="shared" ca="1" si="3"/>
        <v>6</v>
      </c>
      <c r="G66" s="1">
        <f t="shared" ca="1" si="4"/>
        <v>8</v>
      </c>
      <c r="H66" s="1">
        <f t="shared" ca="1" si="5"/>
        <v>2</v>
      </c>
      <c r="I66" s="1"/>
      <c r="J66" s="1">
        <f t="shared" ca="1" si="6"/>
        <v>19</v>
      </c>
      <c r="K66" s="1">
        <f t="shared" ca="1" si="7"/>
        <v>1.6084850773069688</v>
      </c>
      <c r="L66" s="1">
        <f t="shared" ca="1" si="8"/>
        <v>8</v>
      </c>
      <c r="M66" s="1"/>
      <c r="N66" s="1">
        <f t="shared" ca="1" si="9"/>
        <v>261</v>
      </c>
      <c r="O66" s="1">
        <f t="shared" ca="1" si="10"/>
        <v>17</v>
      </c>
      <c r="P66" s="1"/>
      <c r="Q66" s="1">
        <f t="shared" ca="1" si="11"/>
        <v>4.482739574027895</v>
      </c>
      <c r="R66" s="1">
        <f t="shared" ca="1" si="12"/>
        <v>627</v>
      </c>
      <c r="S66" s="1"/>
      <c r="T66" s="1">
        <f t="shared" ca="1" si="13"/>
        <v>0.12370868148497645</v>
      </c>
      <c r="U66" s="1">
        <f t="shared" ca="1" si="14"/>
        <v>166</v>
      </c>
      <c r="V66" s="1">
        <f t="shared" ca="1" si="15"/>
        <v>4</v>
      </c>
      <c r="W66" s="1"/>
      <c r="X66" s="1">
        <f t="shared" ca="1" si="16"/>
        <v>7.874390276169942</v>
      </c>
      <c r="Y66" s="1">
        <f t="shared" ca="1" si="17"/>
        <v>0.88271317044777609</v>
      </c>
      <c r="Z66" s="1">
        <f t="shared" ca="1" si="18"/>
        <v>597</v>
      </c>
      <c r="AB66" s="1">
        <f t="shared" ca="1" si="19"/>
        <v>0.10354679427717434</v>
      </c>
      <c r="AC66" s="1">
        <f t="shared" ca="1" si="20"/>
        <v>216</v>
      </c>
      <c r="AD66" s="1">
        <f t="shared" ca="1" si="21"/>
        <v>5.9795044611713347E-3</v>
      </c>
      <c r="AE66" s="1"/>
      <c r="AF66" s="1">
        <f t="shared" ca="1" si="22"/>
        <v>0.71096209151915091</v>
      </c>
      <c r="AG66" s="1">
        <f t="shared" ca="1" si="23"/>
        <v>736</v>
      </c>
      <c r="AH66" s="1">
        <f t="shared" ca="1" si="24"/>
        <v>1.1169310354887218E-3</v>
      </c>
      <c r="AJ66" s="1">
        <f t="shared" ca="1" si="25"/>
        <v>0.8298108796992365</v>
      </c>
      <c r="AK66" s="1">
        <f t="shared" ca="1" si="26"/>
        <v>6.596097828770099E-3</v>
      </c>
      <c r="AL66" s="1"/>
      <c r="AM66" s="1">
        <f t="shared" ca="1" si="27"/>
        <v>4.1052294778033752E-2</v>
      </c>
      <c r="AN66" s="1">
        <f t="shared" ca="1" si="28"/>
        <v>79</v>
      </c>
      <c r="AO66" s="1">
        <f t="shared" ca="1" si="29"/>
        <v>3</v>
      </c>
      <c r="AQ66" s="1">
        <f t="shared" ca="1" si="30"/>
        <v>20</v>
      </c>
      <c r="AR66" s="1">
        <f t="shared" ca="1" si="31"/>
        <v>10</v>
      </c>
      <c r="AS66" s="1">
        <f t="shared" ca="1" si="32"/>
        <v>16</v>
      </c>
      <c r="AU66" s="1">
        <f t="shared" ca="1" si="33"/>
        <v>91</v>
      </c>
      <c r="AV66" s="1">
        <f t="shared" ca="1" si="34"/>
        <v>2</v>
      </c>
      <c r="AW66" s="1">
        <f t="shared" ca="1" si="35"/>
        <v>3.3440946414377455E-2</v>
      </c>
      <c r="AY66" s="1">
        <f t="shared" ca="1" si="36"/>
        <v>1.4013528300277069</v>
      </c>
      <c r="AZ66" s="1">
        <f t="shared" ca="1" si="37"/>
        <v>104</v>
      </c>
      <c r="BA66" s="1">
        <f t="shared" ca="1" si="38"/>
        <v>7.8453692513942054E-3</v>
      </c>
      <c r="BV66" s="1">
        <f t="shared" ca="1" si="39"/>
        <v>8.0558790105960662E-2</v>
      </c>
      <c r="BW66" s="1">
        <f t="shared" ca="1" si="40"/>
        <v>606</v>
      </c>
      <c r="BX66" s="1">
        <f t="shared" ca="1" si="41"/>
        <v>1.1912476115729547E-4</v>
      </c>
      <c r="BY66" s="1">
        <f t="shared" ca="1" si="42"/>
        <v>7.1357413362003852E-2</v>
      </c>
      <c r="BZ66" s="1">
        <f t="shared" ca="1" si="43"/>
        <v>0.10549619974687785</v>
      </c>
      <c r="CB66" s="1">
        <f t="shared" ca="1" si="44"/>
        <v>250</v>
      </c>
      <c r="CC66" s="1">
        <f t="shared" ca="1" si="45"/>
        <v>6</v>
      </c>
      <c r="CD66" s="1">
        <f t="shared" ca="1" si="46"/>
        <v>8.5543958241071333E-2</v>
      </c>
      <c r="CE66" s="1">
        <f t="shared" ca="1" si="56"/>
        <v>0.67216559612097759</v>
      </c>
      <c r="CF66" s="1">
        <f t="shared" ca="1" si="56"/>
        <v>0.80814527406692482</v>
      </c>
      <c r="CH66" s="3">
        <f t="shared" ca="1" si="48"/>
        <v>0.48796979197151463</v>
      </c>
      <c r="CI66" s="3">
        <f t="shared" ca="1" si="49"/>
        <v>0.97307297525999792</v>
      </c>
      <c r="CJ66" s="3">
        <f t="shared" ca="1" si="50"/>
        <v>1710</v>
      </c>
      <c r="CK66" s="3">
        <f t="shared" ca="1" si="51"/>
        <v>2.9046749583405641E-4</v>
      </c>
      <c r="CL66" s="3">
        <f t="shared" ca="1" si="52"/>
        <v>0</v>
      </c>
      <c r="CM66" s="3"/>
      <c r="CN66" s="1">
        <f t="shared" ca="1" si="53"/>
        <v>19.185120291594735</v>
      </c>
      <c r="CO66" s="1">
        <f t="shared" ca="1" si="54"/>
        <v>0.35430135706256716</v>
      </c>
      <c r="CP66" s="1">
        <f t="shared" ca="1" si="55"/>
        <v>4</v>
      </c>
    </row>
    <row r="67" spans="2:94" x14ac:dyDescent="0.25">
      <c r="B67">
        <f t="shared" ca="1" si="0"/>
        <v>753</v>
      </c>
      <c r="C67">
        <f t="shared" ca="1" si="1"/>
        <v>10</v>
      </c>
      <c r="D67">
        <f t="shared" ca="1" si="2"/>
        <v>0.20315287483582156</v>
      </c>
      <c r="F67" s="1">
        <f t="shared" ca="1" si="3"/>
        <v>34</v>
      </c>
      <c r="G67" s="1">
        <f t="shared" ca="1" si="4"/>
        <v>8</v>
      </c>
      <c r="H67" s="1">
        <f t="shared" ca="1" si="5"/>
        <v>6</v>
      </c>
      <c r="I67" s="1"/>
      <c r="J67" s="1">
        <f t="shared" ca="1" si="6"/>
        <v>12</v>
      </c>
      <c r="K67" s="1">
        <f t="shared" ca="1" si="7"/>
        <v>2.1710079973055594</v>
      </c>
      <c r="L67" s="1">
        <f t="shared" ca="1" si="8"/>
        <v>26</v>
      </c>
      <c r="M67" s="1"/>
      <c r="N67" s="1">
        <f t="shared" ca="1" si="9"/>
        <v>817</v>
      </c>
      <c r="O67" s="1">
        <f t="shared" ca="1" si="10"/>
        <v>41</v>
      </c>
      <c r="P67" s="1"/>
      <c r="Q67" s="1">
        <f t="shared" ca="1" si="11"/>
        <v>0.38305587208989678</v>
      </c>
      <c r="R67" s="1">
        <f t="shared" ca="1" si="12"/>
        <v>497</v>
      </c>
      <c r="S67" s="1"/>
      <c r="T67" s="1">
        <f t="shared" ca="1" si="13"/>
        <v>1.8746240894382565E-2</v>
      </c>
      <c r="U67" s="1">
        <f t="shared" ca="1" si="14"/>
        <v>192</v>
      </c>
      <c r="V67" s="1">
        <f t="shared" ca="1" si="15"/>
        <v>9</v>
      </c>
      <c r="W67" s="1"/>
      <c r="X67" s="1">
        <f t="shared" ca="1" si="16"/>
        <v>8.6143322000831013</v>
      </c>
      <c r="Y67" s="1">
        <f t="shared" ca="1" si="17"/>
        <v>0.78117294654863123</v>
      </c>
      <c r="Z67" s="1">
        <f t="shared" ca="1" si="18"/>
        <v>875</v>
      </c>
      <c r="AB67" s="1">
        <f t="shared" ca="1" si="19"/>
        <v>3.5051806589937291E-2</v>
      </c>
      <c r="AC67" s="1">
        <f t="shared" ca="1" si="20"/>
        <v>460</v>
      </c>
      <c r="AD67" s="1">
        <f t="shared" ca="1" si="21"/>
        <v>6.9153922441472808E-3</v>
      </c>
      <c r="AE67" s="1"/>
      <c r="AF67" s="1">
        <f t="shared" ca="1" si="22"/>
        <v>0.26665873413544328</v>
      </c>
      <c r="AG67" s="1">
        <f t="shared" ca="1" si="23"/>
        <v>646</v>
      </c>
      <c r="AH67" s="1">
        <f t="shared" ca="1" si="24"/>
        <v>5.6838193677797699E-4</v>
      </c>
      <c r="AJ67" s="1">
        <f t="shared" ca="1" si="25"/>
        <v>0.28250299750936936</v>
      </c>
      <c r="AK67" s="1">
        <f t="shared" ca="1" si="26"/>
        <v>7.3476453328832668E-3</v>
      </c>
      <c r="AL67" s="1"/>
      <c r="AM67" s="1">
        <f t="shared" ca="1" si="27"/>
        <v>9.4840707963363788E-2</v>
      </c>
      <c r="AN67" s="1">
        <f t="shared" ca="1" si="28"/>
        <v>58</v>
      </c>
      <c r="AO67" s="1">
        <f t="shared" ca="1" si="29"/>
        <v>12</v>
      </c>
      <c r="AQ67" s="1">
        <f t="shared" ca="1" si="30"/>
        <v>131</v>
      </c>
      <c r="AR67" s="1">
        <f t="shared" ca="1" si="31"/>
        <v>8</v>
      </c>
      <c r="AS67" s="1">
        <f t="shared" ca="1" si="32"/>
        <v>100</v>
      </c>
      <c r="AU67" s="1">
        <f t="shared" ca="1" si="33"/>
        <v>268</v>
      </c>
      <c r="AV67" s="1">
        <f t="shared" ca="1" si="34"/>
        <v>4</v>
      </c>
      <c r="AW67" s="1">
        <f t="shared" ca="1" si="35"/>
        <v>8.8502707037160483E-2</v>
      </c>
      <c r="AY67" s="1">
        <f t="shared" ca="1" si="36"/>
        <v>1.5678396324226136</v>
      </c>
      <c r="AZ67" s="1">
        <f t="shared" ca="1" si="37"/>
        <v>107</v>
      </c>
      <c r="BA67" s="1">
        <f t="shared" ca="1" si="38"/>
        <v>6.6140329218062144E-3</v>
      </c>
      <c r="BV67" s="1">
        <f t="shared" ca="1" si="39"/>
        <v>0.80620012246265249</v>
      </c>
      <c r="BW67" s="1">
        <f t="shared" ca="1" si="40"/>
        <v>430</v>
      </c>
      <c r="BX67" s="1">
        <f t="shared" ca="1" si="41"/>
        <v>9.8180786830039755E-3</v>
      </c>
      <c r="BY67" s="1">
        <f t="shared" ca="1" si="42"/>
        <v>5.8073589920236417E-2</v>
      </c>
      <c r="BZ67" s="1">
        <f t="shared" ca="1" si="43"/>
        <v>0.16535220998062305</v>
      </c>
      <c r="CB67" s="1">
        <f t="shared" ca="1" si="44"/>
        <v>158</v>
      </c>
      <c r="CC67" s="1">
        <f t="shared" ca="1" si="45"/>
        <v>9</v>
      </c>
      <c r="CD67" s="1">
        <f t="shared" ca="1" si="46"/>
        <v>0.20018439116114176</v>
      </c>
      <c r="CE67" s="1">
        <f t="shared" ca="1" si="56"/>
        <v>0.71274571018062538</v>
      </c>
      <c r="CF67" s="1">
        <f t="shared" ca="1" si="56"/>
        <v>0.93211072271836082</v>
      </c>
      <c r="CH67" s="3">
        <f t="shared" ca="1" si="48"/>
        <v>0.64105340129974364</v>
      </c>
      <c r="CI67" s="3">
        <f t="shared" ca="1" si="49"/>
        <v>0.31913632414060722</v>
      </c>
      <c r="CJ67" s="3">
        <f t="shared" ca="1" si="50"/>
        <v>1485</v>
      </c>
      <c r="CK67" s="3">
        <f t="shared" ca="1" si="51"/>
        <v>2.102893492373623E-3</v>
      </c>
      <c r="CL67" s="3">
        <f t="shared" ca="1" si="52"/>
        <v>1</v>
      </c>
      <c r="CM67" s="3"/>
      <c r="CN67" s="1">
        <f t="shared" ca="1" si="53"/>
        <v>11.920014362312601</v>
      </c>
      <c r="CO67" s="1">
        <f t="shared" ca="1" si="54"/>
        <v>0.2443283598574934</v>
      </c>
      <c r="CP67" s="1">
        <f t="shared" ca="1" si="55"/>
        <v>1</v>
      </c>
    </row>
    <row r="68" spans="2:94" x14ac:dyDescent="0.25">
      <c r="B68">
        <f t="shared" ref="B68:B131" ca="1" si="57">RANDBETWEEN(15,1000)</f>
        <v>725</v>
      </c>
      <c r="C68">
        <f t="shared" ref="C68:C131" ca="1" si="58">RANDBETWEEN(2,52)</f>
        <v>37</v>
      </c>
      <c r="D68">
        <f t="shared" ref="D68:D131" ca="1" si="59">RAND()*(0.3-0.01)+0.01</f>
        <v>0.19705795619433084</v>
      </c>
      <c r="F68" s="1">
        <f t="shared" ref="F68:F131" ca="1" si="60">RANDBETWEEN(2,52)</f>
        <v>25</v>
      </c>
      <c r="G68" s="1">
        <f t="shared" ref="G68:G131" ca="1" si="61">RANDBETWEEN(2,30)</f>
        <v>15</v>
      </c>
      <c r="H68" s="1">
        <f t="shared" ref="H68:H131" ca="1" si="62">RANDBETWEEN(1,15)</f>
        <v>14</v>
      </c>
      <c r="I68" s="1"/>
      <c r="J68" s="1">
        <f t="shared" ref="J68:J131" ca="1" si="63">RANDBETWEEN(1,39)</f>
        <v>21</v>
      </c>
      <c r="K68" s="1">
        <f t="shared" ref="K68:K131" ca="1" si="64">RAND()*(3-1)+1</f>
        <v>2.5436721335487822</v>
      </c>
      <c r="L68" s="1">
        <f t="shared" ref="L68:L131" ca="1" si="65">RANDBETWEEN(2,35)</f>
        <v>3</v>
      </c>
      <c r="M68" s="1"/>
      <c r="N68" s="1">
        <f t="shared" ref="N68:N131" ca="1" si="66">RANDBETWEEN(15,1000)</f>
        <v>822</v>
      </c>
      <c r="O68" s="1">
        <f t="shared" ref="O68:O131" ca="1" si="67">RANDBETWEEN(2,52)</f>
        <v>30</v>
      </c>
      <c r="P68" s="1"/>
      <c r="Q68" s="1">
        <f t="shared" ref="Q68:Q131" ca="1" si="68">RAND()*(5-0.01)+0.01</f>
        <v>1.953326071060731</v>
      </c>
      <c r="R68" s="1">
        <f t="shared" ref="R68:R131" ca="1" si="69">RANDBETWEEN(200,1200)</f>
        <v>988</v>
      </c>
      <c r="S68" s="1"/>
      <c r="T68" s="1">
        <f t="shared" ref="T68:T131" ca="1" si="70">RAND()*(0.2-0.01)+0.01</f>
        <v>0.1949209077536706</v>
      </c>
      <c r="U68" s="1">
        <f t="shared" ref="U68:U131" ca="1" si="71">RANDBETWEEN(50,450)</f>
        <v>92</v>
      </c>
      <c r="V68" s="1">
        <f t="shared" ref="V68:V131" ca="1" si="72">RANDBETWEEN(2,52)</f>
        <v>27</v>
      </c>
      <c r="W68" s="1"/>
      <c r="X68" s="1">
        <f t="shared" ref="X68:X131" ca="1" si="73">RAND()*(10-0.01)+0.01</f>
        <v>2.488431644959018</v>
      </c>
      <c r="Y68" s="1">
        <f t="shared" ref="Y68:Y131" ca="1" si="74">RAND()*(1-0.0001)+0.0001</f>
        <v>0.32429197881015714</v>
      </c>
      <c r="Z68" s="1">
        <f t="shared" ref="Z68:Z131" ca="1" si="75">RANDBETWEEN(100,2000)</f>
        <v>897</v>
      </c>
      <c r="AB68" s="1">
        <f t="shared" ref="AB68:AB131" ca="1" si="76">RAND()*(1-0.0001)+0.0001</f>
        <v>0.34511775847542947</v>
      </c>
      <c r="AC68" s="1">
        <f t="shared" ref="AC68:AC131" ca="1" si="77">RANDBETWEEN(100,1000)</f>
        <v>282</v>
      </c>
      <c r="AD68" s="1">
        <f t="shared" ref="AD68:AD131" ca="1" si="78">RAND()*(0.01-0.00001)+0.00001</f>
        <v>5.3405925295531642E-3</v>
      </c>
      <c r="AE68" s="1"/>
      <c r="AF68" s="1">
        <f t="shared" ref="AF68:AF131" ca="1" si="79">RAND()*(0.9-0.1)+0.1</f>
        <v>0.86786486607224256</v>
      </c>
      <c r="AG68" s="1">
        <f t="shared" ref="AG68:AG131" ca="1" si="80">RANDBETWEEN(100,1000)</f>
        <v>288</v>
      </c>
      <c r="AH68" s="1">
        <f t="shared" ref="AH68:AH131" ca="1" si="81">RAND()*(0.01-0.00001)+0.00001</f>
        <v>8.4683052133135237E-3</v>
      </c>
      <c r="AJ68" s="1">
        <f t="shared" ref="AJ68:AJ131" ca="1" si="82">RAND()*(1-0)+0</f>
        <v>0.89238242412874169</v>
      </c>
      <c r="AK68" s="1">
        <f t="shared" ref="AK68:AK131" ca="1" si="83">RAND()*(0.01-0.00001)+0.00001</f>
        <v>3.1718902569480185E-3</v>
      </c>
      <c r="AL68" s="1"/>
      <c r="AM68" s="1">
        <f t="shared" ref="AM68:AM131" ca="1" si="84">RAND()*(0.2-0.005)+0.005</f>
        <v>5.8969170352483793E-2</v>
      </c>
      <c r="AN68" s="1">
        <f t="shared" ref="AN68:AN131" ca="1" si="85">RANDBETWEEN(10,80)</f>
        <v>64</v>
      </c>
      <c r="AO68" s="1">
        <f t="shared" ref="AO68:AO131" ca="1" si="86">RANDBETWEEN(-1,20)</f>
        <v>6</v>
      </c>
      <c r="AQ68" s="1">
        <f t="shared" ref="AQ68:AQ131" ca="1" si="87">RANDBETWEEN(10,200)</f>
        <v>63</v>
      </c>
      <c r="AR68" s="1">
        <f t="shared" ref="AR68:AR131" ca="1" si="88">RANDBETWEEN(0,10)</f>
        <v>3</v>
      </c>
      <c r="AS68" s="1">
        <f t="shared" ref="AS68:AS131" ca="1" si="89">RANDBETWEEN(1,100)</f>
        <v>42</v>
      </c>
      <c r="AU68" s="1">
        <f t="shared" ref="AU68:AU131" ca="1" si="90">RANDBETWEEN(50,400)</f>
        <v>305</v>
      </c>
      <c r="AV68" s="1">
        <f t="shared" ref="AV68:AV131" ca="1" si="91">RANDBETWEEN(2,10)</f>
        <v>9</v>
      </c>
      <c r="AW68" s="1">
        <f t="shared" ref="AW68:AW131" ca="1" si="92">RAND()*(0.2-0.01)+0.01</f>
        <v>7.8556982448916624E-2</v>
      </c>
      <c r="AY68" s="1">
        <f t="shared" ref="AY68:AY131" ca="1" si="93">RAND()*(2-1.1)+1.1</f>
        <v>1.2774536490686588</v>
      </c>
      <c r="AZ68" s="1">
        <f t="shared" ref="AZ68:AZ131" ca="1" si="94">RANDBETWEEN(50,500)</f>
        <v>307</v>
      </c>
      <c r="BA68" s="1">
        <f t="shared" ref="BA68:BA131" ca="1" si="95">RAND()*(0.01-0.00001)+0.00001</f>
        <v>2.0396842042581004E-3</v>
      </c>
      <c r="BV68" s="1">
        <f t="shared" ref="BV68:BV131" ca="1" si="96">RAND()*(1-0.0001)+0.0001</f>
        <v>0.63014684600542947</v>
      </c>
      <c r="BW68" s="1">
        <f t="shared" ref="BW68:BW131" ca="1" si="97">RANDBETWEEN(100,1000)</f>
        <v>501</v>
      </c>
      <c r="BX68" s="1">
        <f t="shared" ref="BX68:BX131" ca="1" si="98">RAND()*(0.01-0.00001)+0.00001</f>
        <v>9.6042638163124118E-3</v>
      </c>
      <c r="BY68" s="1">
        <f t="shared" ref="BY68:BY131" ca="1" si="99">RAND()*(0.1-0.0001)+0.0001</f>
        <v>2.260537464489222E-2</v>
      </c>
      <c r="BZ68" s="1">
        <f t="shared" ref="BZ68:BZ131" ca="1" si="100">RAND()*(1-0)+0</f>
        <v>0.31611590695914893</v>
      </c>
      <c r="CB68" s="1">
        <f t="shared" ref="CB68:CB131" ca="1" si="101">RANDBETWEEN(50,500)</f>
        <v>365</v>
      </c>
      <c r="CC68" s="1">
        <f t="shared" ref="CC68:CC131" ca="1" si="102">RANDBETWEEN(3,15)</f>
        <v>7</v>
      </c>
      <c r="CD68" s="1">
        <f t="shared" ref="CD68:CD131" ca="1" si="103">RAND()*(0.3-0.01)+0.01</f>
        <v>8.435299409524942E-2</v>
      </c>
      <c r="CE68" s="1">
        <f t="shared" ref="CE68:CF99" ca="1" si="104">RAND()*(1-0.5)+0.5</f>
        <v>0.55449218670843803</v>
      </c>
      <c r="CF68" s="1">
        <f t="shared" ca="1" si="104"/>
        <v>0.88984154446676134</v>
      </c>
      <c r="CH68" s="3">
        <f t="shared" ref="CH68:CH131" ca="1" si="105">RAND()*(1-0.0001)+0.0001</f>
        <v>0.24776437275265875</v>
      </c>
      <c r="CI68" s="3">
        <f t="shared" ref="CI68:CI131" ca="1" si="106">RAND()*(0.99-0.01)+0.01</f>
        <v>0.33768240499573821</v>
      </c>
      <c r="CJ68" s="3">
        <f t="shared" ref="CJ68:CJ131" ca="1" si="107">RANDBETWEEN(100,2000)</f>
        <v>1238</v>
      </c>
      <c r="CK68" s="3">
        <f t="shared" ref="CK68:CK131" ca="1" si="108">RAND()*(0.01-0.000001)+0.000001</f>
        <v>6.1134739212850521E-3</v>
      </c>
      <c r="CL68" s="3">
        <f t="shared" ref="CL68:CL131" ca="1" si="109">RANDBETWEEN(0,1)</f>
        <v>0</v>
      </c>
      <c r="CM68" s="3"/>
      <c r="CN68" s="1">
        <f t="shared" ref="CN68:CN131" ca="1" si="110">RAND()*(20-0.1)+0.1</f>
        <v>7.8144691950950858</v>
      </c>
      <c r="CO68" s="1">
        <f t="shared" ref="CO68:CO131" ca="1" si="111">RAND()*(0.5-0.001)+0.001</f>
        <v>0.49439768947693791</v>
      </c>
      <c r="CP68" s="1">
        <f t="shared" ref="CP68:CP131" ca="1" si="112">RANDBETWEEN(1,5)</f>
        <v>2</v>
      </c>
    </row>
    <row r="69" spans="2:94" x14ac:dyDescent="0.25">
      <c r="B69">
        <f t="shared" ca="1" si="57"/>
        <v>46</v>
      </c>
      <c r="C69">
        <f t="shared" ca="1" si="58"/>
        <v>3</v>
      </c>
      <c r="D69">
        <f t="shared" ca="1" si="59"/>
        <v>0.11774374189885925</v>
      </c>
      <c r="F69" s="1">
        <f t="shared" ca="1" si="60"/>
        <v>14</v>
      </c>
      <c r="G69" s="1">
        <f t="shared" ca="1" si="61"/>
        <v>25</v>
      </c>
      <c r="H69" s="1">
        <f t="shared" ca="1" si="62"/>
        <v>14</v>
      </c>
      <c r="I69" s="1"/>
      <c r="J69" s="1">
        <f t="shared" ca="1" si="63"/>
        <v>28</v>
      </c>
      <c r="K69" s="1">
        <f t="shared" ca="1" si="64"/>
        <v>2.4977606123829759</v>
      </c>
      <c r="L69" s="1">
        <f t="shared" ca="1" si="65"/>
        <v>15</v>
      </c>
      <c r="M69" s="1"/>
      <c r="N69" s="1">
        <f t="shared" ca="1" si="66"/>
        <v>170</v>
      </c>
      <c r="O69" s="1">
        <f t="shared" ca="1" si="67"/>
        <v>5</v>
      </c>
      <c r="P69" s="1"/>
      <c r="Q69" s="1">
        <f t="shared" ca="1" si="68"/>
        <v>2.0298511178301073</v>
      </c>
      <c r="R69" s="1">
        <f t="shared" ca="1" si="69"/>
        <v>1074</v>
      </c>
      <c r="S69" s="1"/>
      <c r="T69" s="1">
        <f t="shared" ca="1" si="70"/>
        <v>1.3278093002597517E-2</v>
      </c>
      <c r="U69" s="1">
        <f t="shared" ca="1" si="71"/>
        <v>444</v>
      </c>
      <c r="V69" s="1">
        <f t="shared" ca="1" si="72"/>
        <v>16</v>
      </c>
      <c r="W69" s="1"/>
      <c r="X69" s="1">
        <f t="shared" ca="1" si="73"/>
        <v>6.1355148375462862</v>
      </c>
      <c r="Y69" s="1">
        <f t="shared" ca="1" si="74"/>
        <v>5.6811062097679582E-2</v>
      </c>
      <c r="Z69" s="1">
        <f t="shared" ca="1" si="75"/>
        <v>336</v>
      </c>
      <c r="AB69" s="1">
        <f t="shared" ca="1" si="76"/>
        <v>0.51499629644128264</v>
      </c>
      <c r="AC69" s="1">
        <f t="shared" ca="1" si="77"/>
        <v>446</v>
      </c>
      <c r="AD69" s="1">
        <f t="shared" ca="1" si="78"/>
        <v>5.0042285888304179E-3</v>
      </c>
      <c r="AE69" s="1"/>
      <c r="AF69" s="1">
        <f t="shared" ca="1" si="79"/>
        <v>0.64250898584845673</v>
      </c>
      <c r="AG69" s="1">
        <f t="shared" ca="1" si="80"/>
        <v>833</v>
      </c>
      <c r="AH69" s="1">
        <f t="shared" ca="1" si="81"/>
        <v>7.4505002409559554E-3</v>
      </c>
      <c r="AJ69" s="1">
        <f t="shared" ca="1" si="82"/>
        <v>0.34262395809168467</v>
      </c>
      <c r="AK69" s="1">
        <f t="shared" ca="1" si="83"/>
        <v>9.9345862876148404E-3</v>
      </c>
      <c r="AL69" s="1"/>
      <c r="AM69" s="1">
        <f t="shared" ca="1" si="84"/>
        <v>3.0974687738109224E-2</v>
      </c>
      <c r="AN69" s="1">
        <f t="shared" ca="1" si="85"/>
        <v>46</v>
      </c>
      <c r="AO69" s="1">
        <f t="shared" ca="1" si="86"/>
        <v>6</v>
      </c>
      <c r="AQ69" s="1">
        <f t="shared" ca="1" si="87"/>
        <v>199</v>
      </c>
      <c r="AR69" s="1">
        <f t="shared" ca="1" si="88"/>
        <v>10</v>
      </c>
      <c r="AS69" s="1">
        <f t="shared" ca="1" si="89"/>
        <v>63</v>
      </c>
      <c r="AU69" s="1">
        <f t="shared" ca="1" si="90"/>
        <v>202</v>
      </c>
      <c r="AV69" s="1">
        <f t="shared" ca="1" si="91"/>
        <v>4</v>
      </c>
      <c r="AW69" s="1">
        <f t="shared" ca="1" si="92"/>
        <v>0.15053815265169315</v>
      </c>
      <c r="AY69" s="1">
        <f t="shared" ca="1" si="93"/>
        <v>1.6916836505993238</v>
      </c>
      <c r="AZ69" s="1">
        <f t="shared" ca="1" si="94"/>
        <v>107</v>
      </c>
      <c r="BA69" s="1">
        <f t="shared" ca="1" si="95"/>
        <v>4.1854639219185618E-3</v>
      </c>
      <c r="BV69" s="1">
        <f t="shared" ca="1" si="96"/>
        <v>5.9458682024313314E-2</v>
      </c>
      <c r="BW69" s="1">
        <f t="shared" ca="1" si="97"/>
        <v>322</v>
      </c>
      <c r="BX69" s="1">
        <f t="shared" ca="1" si="98"/>
        <v>9.90297007297921E-3</v>
      </c>
      <c r="BY69" s="1">
        <f t="shared" ca="1" si="99"/>
        <v>5.5826023163101327E-2</v>
      </c>
      <c r="BZ69" s="1">
        <f t="shared" ca="1" si="100"/>
        <v>0.69229363037005465</v>
      </c>
      <c r="CB69" s="1">
        <f t="shared" ca="1" si="101"/>
        <v>120</v>
      </c>
      <c r="CC69" s="1">
        <f t="shared" ca="1" si="102"/>
        <v>9</v>
      </c>
      <c r="CD69" s="1">
        <f t="shared" ca="1" si="103"/>
        <v>0.1782599642588806</v>
      </c>
      <c r="CE69" s="1">
        <f t="shared" ca="1" si="104"/>
        <v>0.79694836317274609</v>
      </c>
      <c r="CF69" s="1">
        <f t="shared" ca="1" si="104"/>
        <v>0.52391274194645676</v>
      </c>
      <c r="CH69" s="3">
        <f t="shared" ca="1" si="105"/>
        <v>0.32613928263644582</v>
      </c>
      <c r="CI69" s="3">
        <f t="shared" ca="1" si="106"/>
        <v>4.6039320368997973E-2</v>
      </c>
      <c r="CJ69" s="3">
        <f t="shared" ca="1" si="107"/>
        <v>830</v>
      </c>
      <c r="CK69" s="3">
        <f t="shared" ca="1" si="108"/>
        <v>6.819995299644473E-3</v>
      </c>
      <c r="CL69" s="3">
        <f t="shared" ca="1" si="109"/>
        <v>1</v>
      </c>
      <c r="CM69" s="3"/>
      <c r="CN69" s="1">
        <f t="shared" ca="1" si="110"/>
        <v>6.4457298123273201</v>
      </c>
      <c r="CO69" s="1">
        <f t="shared" ca="1" si="111"/>
        <v>2.7078150602136704E-2</v>
      </c>
      <c r="CP69" s="1">
        <f t="shared" ca="1" si="112"/>
        <v>2</v>
      </c>
    </row>
    <row r="70" spans="2:94" x14ac:dyDescent="0.25">
      <c r="B70">
        <f t="shared" ca="1" si="57"/>
        <v>269</v>
      </c>
      <c r="C70">
        <f t="shared" ca="1" si="58"/>
        <v>34</v>
      </c>
      <c r="D70">
        <f t="shared" ca="1" si="59"/>
        <v>0.23233834957623614</v>
      </c>
      <c r="F70" s="1">
        <f t="shared" ca="1" si="60"/>
        <v>33</v>
      </c>
      <c r="G70" s="1">
        <f t="shared" ca="1" si="61"/>
        <v>11</v>
      </c>
      <c r="H70" s="1">
        <f t="shared" ca="1" si="62"/>
        <v>9</v>
      </c>
      <c r="I70" s="1"/>
      <c r="J70" s="1">
        <f t="shared" ca="1" si="63"/>
        <v>9</v>
      </c>
      <c r="K70" s="1">
        <f t="shared" ca="1" si="64"/>
        <v>1.7266690822310875</v>
      </c>
      <c r="L70" s="1">
        <f t="shared" ca="1" si="65"/>
        <v>8</v>
      </c>
      <c r="M70" s="1"/>
      <c r="N70" s="1">
        <f t="shared" ca="1" si="66"/>
        <v>452</v>
      </c>
      <c r="O70" s="1">
        <f t="shared" ca="1" si="67"/>
        <v>49</v>
      </c>
      <c r="P70" s="1"/>
      <c r="Q70" s="1">
        <f t="shared" ca="1" si="68"/>
        <v>4.6885790275255053</v>
      </c>
      <c r="R70" s="1">
        <f t="shared" ca="1" si="69"/>
        <v>652</v>
      </c>
      <c r="S70" s="1"/>
      <c r="T70" s="1">
        <f t="shared" ca="1" si="70"/>
        <v>0.14656994782023078</v>
      </c>
      <c r="U70" s="1">
        <f t="shared" ca="1" si="71"/>
        <v>279</v>
      </c>
      <c r="V70" s="1">
        <f t="shared" ca="1" si="72"/>
        <v>30</v>
      </c>
      <c r="W70" s="1"/>
      <c r="X70" s="1">
        <f t="shared" ca="1" si="73"/>
        <v>9.3459476804301431</v>
      </c>
      <c r="Y70" s="1">
        <f t="shared" ca="1" si="74"/>
        <v>0.23553279812778086</v>
      </c>
      <c r="Z70" s="1">
        <f t="shared" ca="1" si="75"/>
        <v>1752</v>
      </c>
      <c r="AB70" s="1">
        <f t="shared" ca="1" si="76"/>
        <v>0.27978109592917433</v>
      </c>
      <c r="AC70" s="1">
        <f t="shared" ca="1" si="77"/>
        <v>851</v>
      </c>
      <c r="AD70" s="1">
        <f t="shared" ca="1" si="78"/>
        <v>9.3575281823606964E-3</v>
      </c>
      <c r="AE70" s="1"/>
      <c r="AF70" s="1">
        <f t="shared" ca="1" si="79"/>
        <v>0.84509736056880325</v>
      </c>
      <c r="AG70" s="1">
        <f t="shared" ca="1" si="80"/>
        <v>330</v>
      </c>
      <c r="AH70" s="1">
        <f t="shared" ca="1" si="81"/>
        <v>8.8056119432282799E-3</v>
      </c>
      <c r="AJ70" s="1">
        <f t="shared" ca="1" si="82"/>
        <v>0.56687199487444584</v>
      </c>
      <c r="AK70" s="1">
        <f t="shared" ca="1" si="83"/>
        <v>3.2708662777972959E-3</v>
      </c>
      <c r="AL70" s="1"/>
      <c r="AM70" s="1">
        <f t="shared" ca="1" si="84"/>
        <v>6.526354660235141E-2</v>
      </c>
      <c r="AN70" s="1">
        <f t="shared" ca="1" si="85"/>
        <v>31</v>
      </c>
      <c r="AO70" s="1">
        <f t="shared" ca="1" si="86"/>
        <v>16</v>
      </c>
      <c r="AQ70" s="1">
        <f t="shared" ca="1" si="87"/>
        <v>65</v>
      </c>
      <c r="AR70" s="1">
        <f t="shared" ca="1" si="88"/>
        <v>10</v>
      </c>
      <c r="AS70" s="1">
        <f t="shared" ca="1" si="89"/>
        <v>4</v>
      </c>
      <c r="AU70" s="1">
        <f t="shared" ca="1" si="90"/>
        <v>336</v>
      </c>
      <c r="AV70" s="1">
        <f t="shared" ca="1" si="91"/>
        <v>7</v>
      </c>
      <c r="AW70" s="1">
        <f t="shared" ca="1" si="92"/>
        <v>0.19891657568629076</v>
      </c>
      <c r="AY70" s="1">
        <f t="shared" ca="1" si="93"/>
        <v>1.7443011410666085</v>
      </c>
      <c r="AZ70" s="1">
        <f t="shared" ca="1" si="94"/>
        <v>472</v>
      </c>
      <c r="BA70" s="1">
        <f t="shared" ca="1" si="95"/>
        <v>5.2221146598058904E-3</v>
      </c>
      <c r="BV70" s="1">
        <f t="shared" ca="1" si="96"/>
        <v>0.10156777951062371</v>
      </c>
      <c r="BW70" s="1">
        <f t="shared" ca="1" si="97"/>
        <v>865</v>
      </c>
      <c r="BX70" s="1">
        <f t="shared" ca="1" si="98"/>
        <v>2.4782683931455574E-3</v>
      </c>
      <c r="BY70" s="1">
        <f t="shared" ca="1" si="99"/>
        <v>5.4127330743508048E-2</v>
      </c>
      <c r="BZ70" s="1">
        <f t="shared" ca="1" si="100"/>
        <v>0.55029427098713146</v>
      </c>
      <c r="CB70" s="1">
        <f t="shared" ca="1" si="101"/>
        <v>120</v>
      </c>
      <c r="CC70" s="1">
        <f t="shared" ca="1" si="102"/>
        <v>10</v>
      </c>
      <c r="CD70" s="1">
        <f t="shared" ca="1" si="103"/>
        <v>0.22523104582279216</v>
      </c>
      <c r="CE70" s="1">
        <f t="shared" ca="1" si="104"/>
        <v>0.64508370118659264</v>
      </c>
      <c r="CF70" s="1">
        <f t="shared" ca="1" si="104"/>
        <v>0.88085184315746734</v>
      </c>
      <c r="CH70" s="3">
        <f t="shared" ca="1" si="105"/>
        <v>0.66458629602831898</v>
      </c>
      <c r="CI70" s="3">
        <f t="shared" ca="1" si="106"/>
        <v>0.61571609115634074</v>
      </c>
      <c r="CJ70" s="3">
        <f t="shared" ca="1" si="107"/>
        <v>1594</v>
      </c>
      <c r="CK70" s="3">
        <f t="shared" ca="1" si="108"/>
        <v>5.8363968232144443E-3</v>
      </c>
      <c r="CL70" s="3">
        <f t="shared" ca="1" si="109"/>
        <v>0</v>
      </c>
      <c r="CM70" s="3"/>
      <c r="CN70" s="1">
        <f t="shared" ca="1" si="110"/>
        <v>17.240898649793824</v>
      </c>
      <c r="CO70" s="1">
        <f t="shared" ca="1" si="111"/>
        <v>0.10973124410919338</v>
      </c>
      <c r="CP70" s="1">
        <f t="shared" ca="1" si="112"/>
        <v>3</v>
      </c>
    </row>
    <row r="71" spans="2:94" x14ac:dyDescent="0.25">
      <c r="B71">
        <f t="shared" ca="1" si="57"/>
        <v>730</v>
      </c>
      <c r="C71">
        <f t="shared" ca="1" si="58"/>
        <v>19</v>
      </c>
      <c r="D71">
        <f t="shared" ca="1" si="59"/>
        <v>0.15160684480224165</v>
      </c>
      <c r="F71" s="1">
        <f t="shared" ca="1" si="60"/>
        <v>10</v>
      </c>
      <c r="G71" s="1">
        <f t="shared" ca="1" si="61"/>
        <v>4</v>
      </c>
      <c r="H71" s="1">
        <f t="shared" ca="1" si="62"/>
        <v>14</v>
      </c>
      <c r="I71" s="1"/>
      <c r="J71" s="1">
        <f t="shared" ca="1" si="63"/>
        <v>8</v>
      </c>
      <c r="K71" s="1">
        <f t="shared" ca="1" si="64"/>
        <v>1.0001310277246924</v>
      </c>
      <c r="L71" s="1">
        <f t="shared" ca="1" si="65"/>
        <v>32</v>
      </c>
      <c r="M71" s="1"/>
      <c r="N71" s="1">
        <f t="shared" ca="1" si="66"/>
        <v>511</v>
      </c>
      <c r="O71" s="1">
        <f t="shared" ca="1" si="67"/>
        <v>2</v>
      </c>
      <c r="P71" s="1"/>
      <c r="Q71" s="1">
        <f t="shared" ca="1" si="68"/>
        <v>0.4663555093365091</v>
      </c>
      <c r="R71" s="1">
        <f t="shared" ca="1" si="69"/>
        <v>934</v>
      </c>
      <c r="S71" s="1"/>
      <c r="T71" s="1">
        <f t="shared" ca="1" si="70"/>
        <v>0.13187785778912534</v>
      </c>
      <c r="U71" s="1">
        <f t="shared" ca="1" si="71"/>
        <v>83</v>
      </c>
      <c r="V71" s="1">
        <f t="shared" ca="1" si="72"/>
        <v>33</v>
      </c>
      <c r="W71" s="1"/>
      <c r="X71" s="1">
        <f t="shared" ca="1" si="73"/>
        <v>8.6076365054577515</v>
      </c>
      <c r="Y71" s="1">
        <f t="shared" ca="1" si="74"/>
        <v>0.40787815064153982</v>
      </c>
      <c r="Z71" s="1">
        <f t="shared" ca="1" si="75"/>
        <v>1148</v>
      </c>
      <c r="AB71" s="1">
        <f t="shared" ca="1" si="76"/>
        <v>0.86897936710496382</v>
      </c>
      <c r="AC71" s="1">
        <f t="shared" ca="1" si="77"/>
        <v>257</v>
      </c>
      <c r="AD71" s="1">
        <f t="shared" ca="1" si="78"/>
        <v>6.3698578836941648E-4</v>
      </c>
      <c r="AE71" s="1"/>
      <c r="AF71" s="1">
        <f t="shared" ca="1" si="79"/>
        <v>0.28766634283215609</v>
      </c>
      <c r="AG71" s="1">
        <f t="shared" ca="1" si="80"/>
        <v>933</v>
      </c>
      <c r="AH71" s="1">
        <f t="shared" ca="1" si="81"/>
        <v>7.372641713724766E-3</v>
      </c>
      <c r="AJ71" s="1">
        <f t="shared" ca="1" si="82"/>
        <v>0.87035453124957174</v>
      </c>
      <c r="AK71" s="1">
        <f t="shared" ca="1" si="83"/>
        <v>2.9893486412749443E-3</v>
      </c>
      <c r="AL71" s="1"/>
      <c r="AM71" s="1">
        <f t="shared" ca="1" si="84"/>
        <v>0.12233387475596155</v>
      </c>
      <c r="AN71" s="1">
        <f t="shared" ca="1" si="85"/>
        <v>27</v>
      </c>
      <c r="AO71" s="1">
        <f t="shared" ca="1" si="86"/>
        <v>12</v>
      </c>
      <c r="AQ71" s="1">
        <f t="shared" ca="1" si="87"/>
        <v>136</v>
      </c>
      <c r="AR71" s="1">
        <f t="shared" ca="1" si="88"/>
        <v>4</v>
      </c>
      <c r="AS71" s="1">
        <f t="shared" ca="1" si="89"/>
        <v>68</v>
      </c>
      <c r="AU71" s="1">
        <f t="shared" ca="1" si="90"/>
        <v>282</v>
      </c>
      <c r="AV71" s="1">
        <f t="shared" ca="1" si="91"/>
        <v>2</v>
      </c>
      <c r="AW71" s="1">
        <f t="shared" ca="1" si="92"/>
        <v>1.6134789681899513E-2</v>
      </c>
      <c r="AY71" s="1">
        <f t="shared" ca="1" si="93"/>
        <v>1.8046565567880966</v>
      </c>
      <c r="AZ71" s="1">
        <f t="shared" ca="1" si="94"/>
        <v>114</v>
      </c>
      <c r="BA71" s="1">
        <f t="shared" ca="1" si="95"/>
        <v>7.3246978829033822E-3</v>
      </c>
      <c r="BV71" s="1">
        <f t="shared" ca="1" si="96"/>
        <v>0.22918413858923917</v>
      </c>
      <c r="BW71" s="1">
        <f t="shared" ca="1" si="97"/>
        <v>694</v>
      </c>
      <c r="BX71" s="1">
        <f t="shared" ca="1" si="98"/>
        <v>4.2934424378238638E-4</v>
      </c>
      <c r="BY71" s="1">
        <f t="shared" ca="1" si="99"/>
        <v>9.9595709405342243E-3</v>
      </c>
      <c r="BZ71" s="1">
        <f t="shared" ca="1" si="100"/>
        <v>0.44347360402398284</v>
      </c>
      <c r="CB71" s="1">
        <f t="shared" ca="1" si="101"/>
        <v>253</v>
      </c>
      <c r="CC71" s="1">
        <f t="shared" ca="1" si="102"/>
        <v>3</v>
      </c>
      <c r="CD71" s="1">
        <f t="shared" ca="1" si="103"/>
        <v>1.1833384000516346E-2</v>
      </c>
      <c r="CE71" s="1">
        <f t="shared" ca="1" si="104"/>
        <v>0.80304793322899315</v>
      </c>
      <c r="CF71" s="1">
        <f t="shared" ca="1" si="104"/>
        <v>0.61446969913559668</v>
      </c>
      <c r="CH71" s="3">
        <f t="shared" ca="1" si="105"/>
        <v>0.92659405549745455</v>
      </c>
      <c r="CI71" s="3">
        <f t="shared" ca="1" si="106"/>
        <v>0.16410208762780398</v>
      </c>
      <c r="CJ71" s="3">
        <f t="shared" ca="1" si="107"/>
        <v>1793</v>
      </c>
      <c r="CK71" s="3">
        <f t="shared" ca="1" si="108"/>
        <v>3.8435149159063639E-3</v>
      </c>
      <c r="CL71" s="3">
        <f t="shared" ca="1" si="109"/>
        <v>0</v>
      </c>
      <c r="CM71" s="3"/>
      <c r="CN71" s="1">
        <f t="shared" ca="1" si="110"/>
        <v>5.9713372839061494</v>
      </c>
      <c r="CO71" s="1">
        <f t="shared" ca="1" si="111"/>
        <v>8.7060761570432507E-2</v>
      </c>
      <c r="CP71" s="1">
        <f t="shared" ca="1" si="112"/>
        <v>3</v>
      </c>
    </row>
    <row r="72" spans="2:94" x14ac:dyDescent="0.25">
      <c r="B72">
        <f t="shared" ca="1" si="57"/>
        <v>600</v>
      </c>
      <c r="C72">
        <f t="shared" ca="1" si="58"/>
        <v>46</v>
      </c>
      <c r="D72">
        <f t="shared" ca="1" si="59"/>
        <v>0.26988455141361345</v>
      </c>
      <c r="F72" s="1">
        <f t="shared" ca="1" si="60"/>
        <v>29</v>
      </c>
      <c r="G72" s="1">
        <f t="shared" ca="1" si="61"/>
        <v>19</v>
      </c>
      <c r="H72" s="1">
        <f t="shared" ca="1" si="62"/>
        <v>11</v>
      </c>
      <c r="I72" s="1"/>
      <c r="J72" s="1">
        <f t="shared" ca="1" si="63"/>
        <v>10</v>
      </c>
      <c r="K72" s="1">
        <f t="shared" ca="1" si="64"/>
        <v>2.2724178389387855</v>
      </c>
      <c r="L72" s="1">
        <f t="shared" ca="1" si="65"/>
        <v>33</v>
      </c>
      <c r="M72" s="1"/>
      <c r="N72" s="1">
        <f t="shared" ca="1" si="66"/>
        <v>735</v>
      </c>
      <c r="O72" s="1">
        <f t="shared" ca="1" si="67"/>
        <v>36</v>
      </c>
      <c r="P72" s="1"/>
      <c r="Q72" s="1">
        <f t="shared" ca="1" si="68"/>
        <v>1.3998912419236609</v>
      </c>
      <c r="R72" s="1">
        <f t="shared" ca="1" si="69"/>
        <v>1190</v>
      </c>
      <c r="S72" s="1"/>
      <c r="T72" s="1">
        <f t="shared" ca="1" si="70"/>
        <v>7.4014347020136206E-2</v>
      </c>
      <c r="U72" s="1">
        <f t="shared" ca="1" si="71"/>
        <v>211</v>
      </c>
      <c r="V72" s="1">
        <f t="shared" ca="1" si="72"/>
        <v>12</v>
      </c>
      <c r="W72" s="1"/>
      <c r="X72" s="1">
        <f t="shared" ca="1" si="73"/>
        <v>4.1384783431232233</v>
      </c>
      <c r="Y72" s="1">
        <f t="shared" ca="1" si="74"/>
        <v>0.90438488833579112</v>
      </c>
      <c r="Z72" s="1">
        <f t="shared" ca="1" si="75"/>
        <v>1917</v>
      </c>
      <c r="AB72" s="1">
        <f t="shared" ca="1" si="76"/>
        <v>0.59990910225223359</v>
      </c>
      <c r="AC72" s="1">
        <f t="shared" ca="1" si="77"/>
        <v>641</v>
      </c>
      <c r="AD72" s="1">
        <f t="shared" ca="1" si="78"/>
        <v>5.9326590617265812E-3</v>
      </c>
      <c r="AE72" s="1"/>
      <c r="AF72" s="1">
        <f t="shared" ca="1" si="79"/>
        <v>0.50762830959436067</v>
      </c>
      <c r="AG72" s="1">
        <f t="shared" ca="1" si="80"/>
        <v>880</v>
      </c>
      <c r="AH72" s="1">
        <f t="shared" ca="1" si="81"/>
        <v>8.202663279439804E-4</v>
      </c>
      <c r="AJ72" s="1">
        <f t="shared" ca="1" si="82"/>
        <v>0.38321220363739905</v>
      </c>
      <c r="AK72" s="1">
        <f t="shared" ca="1" si="83"/>
        <v>6.5833449076819891E-3</v>
      </c>
      <c r="AL72" s="1"/>
      <c r="AM72" s="1">
        <f t="shared" ca="1" si="84"/>
        <v>3.7872968838333444E-2</v>
      </c>
      <c r="AN72" s="1">
        <f t="shared" ca="1" si="85"/>
        <v>31</v>
      </c>
      <c r="AO72" s="1">
        <f t="shared" ca="1" si="86"/>
        <v>10</v>
      </c>
      <c r="AQ72" s="1">
        <f t="shared" ca="1" si="87"/>
        <v>51</v>
      </c>
      <c r="AR72" s="1">
        <f t="shared" ca="1" si="88"/>
        <v>6</v>
      </c>
      <c r="AS72" s="1">
        <f t="shared" ca="1" si="89"/>
        <v>3</v>
      </c>
      <c r="AU72" s="1">
        <f t="shared" ca="1" si="90"/>
        <v>220</v>
      </c>
      <c r="AV72" s="1">
        <f t="shared" ca="1" si="91"/>
        <v>10</v>
      </c>
      <c r="AW72" s="1">
        <f t="shared" ca="1" si="92"/>
        <v>8.5669061435628829E-2</v>
      </c>
      <c r="AY72" s="1">
        <f t="shared" ca="1" si="93"/>
        <v>1.9081039259497796</v>
      </c>
      <c r="AZ72" s="1">
        <f t="shared" ca="1" si="94"/>
        <v>429</v>
      </c>
      <c r="BA72" s="1">
        <f t="shared" ca="1" si="95"/>
        <v>8.3022530109783423E-3</v>
      </c>
      <c r="BV72" s="1">
        <f t="shared" ca="1" si="96"/>
        <v>0.72897178826822218</v>
      </c>
      <c r="BW72" s="1">
        <f t="shared" ca="1" si="97"/>
        <v>556</v>
      </c>
      <c r="BX72" s="1">
        <f t="shared" ca="1" si="98"/>
        <v>6.3811790343107268E-3</v>
      </c>
      <c r="BY72" s="1">
        <f t="shared" ca="1" si="99"/>
        <v>7.0774085247236593E-2</v>
      </c>
      <c r="BZ72" s="1">
        <f t="shared" ca="1" si="100"/>
        <v>0.32755679330000553</v>
      </c>
      <c r="CB72" s="1">
        <f t="shared" ca="1" si="101"/>
        <v>350</v>
      </c>
      <c r="CC72" s="1">
        <f t="shared" ca="1" si="102"/>
        <v>12</v>
      </c>
      <c r="CD72" s="1">
        <f t="shared" ca="1" si="103"/>
        <v>8.6651634793035323E-2</v>
      </c>
      <c r="CE72" s="1">
        <f t="shared" ca="1" si="104"/>
        <v>0.78159583132035393</v>
      </c>
      <c r="CF72" s="1">
        <f t="shared" ca="1" si="104"/>
        <v>0.98998380482241743</v>
      </c>
      <c r="CH72" s="3">
        <f t="shared" ca="1" si="105"/>
        <v>0.77369384309591882</v>
      </c>
      <c r="CI72" s="3">
        <f t="shared" ca="1" si="106"/>
        <v>0.79839006243138455</v>
      </c>
      <c r="CJ72" s="3">
        <f t="shared" ca="1" si="107"/>
        <v>1651</v>
      </c>
      <c r="CK72" s="3">
        <f t="shared" ca="1" si="108"/>
        <v>6.6711878222871996E-3</v>
      </c>
      <c r="CL72" s="3">
        <f t="shared" ca="1" si="109"/>
        <v>0</v>
      </c>
      <c r="CM72" s="3"/>
      <c r="CN72" s="1">
        <f t="shared" ca="1" si="110"/>
        <v>1.1519178482777863</v>
      </c>
      <c r="CO72" s="1">
        <f t="shared" ca="1" si="111"/>
        <v>2.0869775925196371E-2</v>
      </c>
      <c r="CP72" s="1">
        <f t="shared" ca="1" si="112"/>
        <v>5</v>
      </c>
    </row>
    <row r="73" spans="2:94" x14ac:dyDescent="0.25">
      <c r="B73">
        <f t="shared" ca="1" si="57"/>
        <v>990</v>
      </c>
      <c r="C73">
        <f t="shared" ca="1" si="58"/>
        <v>40</v>
      </c>
      <c r="D73">
        <f t="shared" ca="1" si="59"/>
        <v>0.26880952355659421</v>
      </c>
      <c r="F73" s="1">
        <f t="shared" ca="1" si="60"/>
        <v>9</v>
      </c>
      <c r="G73" s="1">
        <f t="shared" ca="1" si="61"/>
        <v>21</v>
      </c>
      <c r="H73" s="1">
        <f t="shared" ca="1" si="62"/>
        <v>8</v>
      </c>
      <c r="I73" s="1"/>
      <c r="J73" s="1">
        <f t="shared" ca="1" si="63"/>
        <v>33</v>
      </c>
      <c r="K73" s="1">
        <f t="shared" ca="1" si="64"/>
        <v>2.1032561801465048</v>
      </c>
      <c r="L73" s="1">
        <f t="shared" ca="1" si="65"/>
        <v>24</v>
      </c>
      <c r="M73" s="1"/>
      <c r="N73" s="1">
        <f t="shared" ca="1" si="66"/>
        <v>860</v>
      </c>
      <c r="O73" s="1">
        <f t="shared" ca="1" si="67"/>
        <v>46</v>
      </c>
      <c r="P73" s="1"/>
      <c r="Q73" s="1">
        <f t="shared" ca="1" si="68"/>
        <v>2.0170890551246177</v>
      </c>
      <c r="R73" s="1">
        <f t="shared" ca="1" si="69"/>
        <v>804</v>
      </c>
      <c r="S73" s="1"/>
      <c r="T73" s="1">
        <f t="shared" ca="1" si="70"/>
        <v>0.17211801670208518</v>
      </c>
      <c r="U73" s="1">
        <f t="shared" ca="1" si="71"/>
        <v>207</v>
      </c>
      <c r="V73" s="1">
        <f t="shared" ca="1" si="72"/>
        <v>41</v>
      </c>
      <c r="W73" s="1"/>
      <c r="X73" s="1">
        <f t="shared" ca="1" si="73"/>
        <v>0.84367724394316468</v>
      </c>
      <c r="Y73" s="1">
        <f t="shared" ca="1" si="74"/>
        <v>0.39149357959800302</v>
      </c>
      <c r="Z73" s="1">
        <f t="shared" ca="1" si="75"/>
        <v>781</v>
      </c>
      <c r="AB73" s="1">
        <f t="shared" ca="1" si="76"/>
        <v>0.10129101704904608</v>
      </c>
      <c r="AC73" s="1">
        <f t="shared" ca="1" si="77"/>
        <v>904</v>
      </c>
      <c r="AD73" s="1">
        <f t="shared" ca="1" si="78"/>
        <v>5.2985365173592756E-3</v>
      </c>
      <c r="AE73" s="1"/>
      <c r="AF73" s="1">
        <f t="shared" ca="1" si="79"/>
        <v>0.59933996937042233</v>
      </c>
      <c r="AG73" s="1">
        <f t="shared" ca="1" si="80"/>
        <v>880</v>
      </c>
      <c r="AH73" s="1">
        <f t="shared" ca="1" si="81"/>
        <v>1.4938928963882546E-3</v>
      </c>
      <c r="AJ73" s="1">
        <f t="shared" ca="1" si="82"/>
        <v>0.35513345201675883</v>
      </c>
      <c r="AK73" s="1">
        <f t="shared" ca="1" si="83"/>
        <v>7.7016173643508143E-3</v>
      </c>
      <c r="AL73" s="1"/>
      <c r="AM73" s="1">
        <f t="shared" ca="1" si="84"/>
        <v>3.7731181518061416E-2</v>
      </c>
      <c r="AN73" s="1">
        <f t="shared" ca="1" si="85"/>
        <v>63</v>
      </c>
      <c r="AO73" s="1">
        <f t="shared" ca="1" si="86"/>
        <v>13</v>
      </c>
      <c r="AQ73" s="1">
        <f t="shared" ca="1" si="87"/>
        <v>166</v>
      </c>
      <c r="AR73" s="1">
        <f t="shared" ca="1" si="88"/>
        <v>7</v>
      </c>
      <c r="AS73" s="1">
        <f t="shared" ca="1" si="89"/>
        <v>14</v>
      </c>
      <c r="AU73" s="1">
        <f t="shared" ca="1" si="90"/>
        <v>362</v>
      </c>
      <c r="AV73" s="1">
        <f t="shared" ca="1" si="91"/>
        <v>3</v>
      </c>
      <c r="AW73" s="1">
        <f t="shared" ca="1" si="92"/>
        <v>0.10333451242683986</v>
      </c>
      <c r="AY73" s="1">
        <f t="shared" ca="1" si="93"/>
        <v>1.1362895210957029</v>
      </c>
      <c r="AZ73" s="1">
        <f t="shared" ca="1" si="94"/>
        <v>216</v>
      </c>
      <c r="BA73" s="1">
        <f t="shared" ca="1" si="95"/>
        <v>2.8265376737309019E-3</v>
      </c>
      <c r="BV73" s="1">
        <f t="shared" ca="1" si="96"/>
        <v>0.89852565680691754</v>
      </c>
      <c r="BW73" s="1">
        <f t="shared" ca="1" si="97"/>
        <v>422</v>
      </c>
      <c r="BX73" s="1">
        <f t="shared" ca="1" si="98"/>
        <v>2.1945207781762068E-3</v>
      </c>
      <c r="BY73" s="1">
        <f t="shared" ca="1" si="99"/>
        <v>2.295323654496396E-3</v>
      </c>
      <c r="BZ73" s="1">
        <f t="shared" ca="1" si="100"/>
        <v>0.79294006956521701</v>
      </c>
      <c r="CB73" s="1">
        <f t="shared" ca="1" si="101"/>
        <v>338</v>
      </c>
      <c r="CC73" s="1">
        <f t="shared" ca="1" si="102"/>
        <v>15</v>
      </c>
      <c r="CD73" s="1">
        <f t="shared" ca="1" si="103"/>
        <v>3.5835379882316373E-2</v>
      </c>
      <c r="CE73" s="1">
        <f t="shared" ca="1" si="104"/>
        <v>0.76580617267773454</v>
      </c>
      <c r="CF73" s="1">
        <f t="shared" ca="1" si="104"/>
        <v>0.50806033647883009</v>
      </c>
      <c r="CH73" s="3">
        <f t="shared" ca="1" si="105"/>
        <v>0.53304606187848691</v>
      </c>
      <c r="CI73" s="3">
        <f t="shared" ca="1" si="106"/>
        <v>0.43654153909447657</v>
      </c>
      <c r="CJ73" s="3">
        <f t="shared" ca="1" si="107"/>
        <v>596</v>
      </c>
      <c r="CK73" s="3">
        <f t="shared" ca="1" si="108"/>
        <v>7.7689139650790086E-3</v>
      </c>
      <c r="CL73" s="3">
        <f t="shared" ca="1" si="109"/>
        <v>1</v>
      </c>
      <c r="CM73" s="3"/>
      <c r="CN73" s="1">
        <f t="shared" ca="1" si="110"/>
        <v>7.2210313285811312</v>
      </c>
      <c r="CO73" s="1">
        <f t="shared" ca="1" si="111"/>
        <v>0.43312274288795621</v>
      </c>
      <c r="CP73" s="1">
        <f t="shared" ca="1" si="112"/>
        <v>5</v>
      </c>
    </row>
    <row r="74" spans="2:94" x14ac:dyDescent="0.25">
      <c r="B74">
        <f t="shared" ca="1" si="57"/>
        <v>398</v>
      </c>
      <c r="C74">
        <f t="shared" ca="1" si="58"/>
        <v>32</v>
      </c>
      <c r="D74">
        <f t="shared" ca="1" si="59"/>
        <v>7.1238601610549609E-2</v>
      </c>
      <c r="F74" s="1">
        <f t="shared" ca="1" si="60"/>
        <v>28</v>
      </c>
      <c r="G74" s="1">
        <f t="shared" ca="1" si="61"/>
        <v>23</v>
      </c>
      <c r="H74" s="1">
        <f t="shared" ca="1" si="62"/>
        <v>6</v>
      </c>
      <c r="I74" s="1"/>
      <c r="J74" s="1">
        <f t="shared" ca="1" si="63"/>
        <v>23</v>
      </c>
      <c r="K74" s="1">
        <f t="shared" ca="1" si="64"/>
        <v>2.1423931507495029</v>
      </c>
      <c r="L74" s="1">
        <f t="shared" ca="1" si="65"/>
        <v>8</v>
      </c>
      <c r="M74" s="1"/>
      <c r="N74" s="1">
        <f t="shared" ca="1" si="66"/>
        <v>548</v>
      </c>
      <c r="O74" s="1">
        <f t="shared" ca="1" si="67"/>
        <v>31</v>
      </c>
      <c r="P74" s="1"/>
      <c r="Q74" s="1">
        <f t="shared" ca="1" si="68"/>
        <v>4.7654588598535783</v>
      </c>
      <c r="R74" s="1">
        <f t="shared" ca="1" si="69"/>
        <v>878</v>
      </c>
      <c r="S74" s="1"/>
      <c r="T74" s="1">
        <f t="shared" ca="1" si="70"/>
        <v>0.11856368201018988</v>
      </c>
      <c r="U74" s="1">
        <f t="shared" ca="1" si="71"/>
        <v>253</v>
      </c>
      <c r="V74" s="1">
        <f t="shared" ca="1" si="72"/>
        <v>15</v>
      </c>
      <c r="W74" s="1"/>
      <c r="X74" s="1">
        <f t="shared" ca="1" si="73"/>
        <v>3.9764227574717927</v>
      </c>
      <c r="Y74" s="1">
        <f t="shared" ca="1" si="74"/>
        <v>0.1628779682865443</v>
      </c>
      <c r="Z74" s="1">
        <f t="shared" ca="1" si="75"/>
        <v>302</v>
      </c>
      <c r="AB74" s="1">
        <f t="shared" ca="1" si="76"/>
        <v>0.25542699446524458</v>
      </c>
      <c r="AC74" s="1">
        <f t="shared" ca="1" si="77"/>
        <v>152</v>
      </c>
      <c r="AD74" s="1">
        <f t="shared" ca="1" si="78"/>
        <v>9.1340432277393184E-3</v>
      </c>
      <c r="AE74" s="1"/>
      <c r="AF74" s="1">
        <f t="shared" ca="1" si="79"/>
        <v>0.83812780990009761</v>
      </c>
      <c r="AG74" s="1">
        <f t="shared" ca="1" si="80"/>
        <v>872</v>
      </c>
      <c r="AH74" s="1">
        <f t="shared" ca="1" si="81"/>
        <v>4.1344264321469595E-4</v>
      </c>
      <c r="AJ74" s="1">
        <f t="shared" ca="1" si="82"/>
        <v>0.41720640070769688</v>
      </c>
      <c r="AK74" s="1">
        <f t="shared" ca="1" si="83"/>
        <v>2.1246449116773072E-3</v>
      </c>
      <c r="AL74" s="1"/>
      <c r="AM74" s="1">
        <f t="shared" ca="1" si="84"/>
        <v>4.1160684599776225E-2</v>
      </c>
      <c r="AN74" s="1">
        <f t="shared" ca="1" si="85"/>
        <v>75</v>
      </c>
      <c r="AO74" s="1">
        <f t="shared" ca="1" si="86"/>
        <v>0</v>
      </c>
      <c r="AQ74" s="1">
        <f t="shared" ca="1" si="87"/>
        <v>36</v>
      </c>
      <c r="AR74" s="1">
        <f t="shared" ca="1" si="88"/>
        <v>0</v>
      </c>
      <c r="AS74" s="1">
        <f t="shared" ca="1" si="89"/>
        <v>58</v>
      </c>
      <c r="AU74" s="1">
        <f t="shared" ca="1" si="90"/>
        <v>201</v>
      </c>
      <c r="AV74" s="1">
        <f t="shared" ca="1" si="91"/>
        <v>4</v>
      </c>
      <c r="AW74" s="1">
        <f t="shared" ca="1" si="92"/>
        <v>0.19846383036359624</v>
      </c>
      <c r="AY74" s="1">
        <f t="shared" ca="1" si="93"/>
        <v>1.5126132958913012</v>
      </c>
      <c r="AZ74" s="1">
        <f t="shared" ca="1" si="94"/>
        <v>264</v>
      </c>
      <c r="BA74" s="1">
        <f t="shared" ca="1" si="95"/>
        <v>7.0606061130459551E-3</v>
      </c>
      <c r="BV74" s="1">
        <f t="shared" ca="1" si="96"/>
        <v>0.12260444451645515</v>
      </c>
      <c r="BW74" s="1">
        <f t="shared" ca="1" si="97"/>
        <v>546</v>
      </c>
      <c r="BX74" s="1">
        <f t="shared" ca="1" si="98"/>
        <v>2.5374758327433153E-3</v>
      </c>
      <c r="BY74" s="1">
        <f t="shared" ca="1" si="99"/>
        <v>5.9645387426604878E-2</v>
      </c>
      <c r="BZ74" s="1">
        <f t="shared" ca="1" si="100"/>
        <v>0.35240476519873221</v>
      </c>
      <c r="CB74" s="1">
        <f t="shared" ca="1" si="101"/>
        <v>361</v>
      </c>
      <c r="CC74" s="1">
        <f t="shared" ca="1" si="102"/>
        <v>13</v>
      </c>
      <c r="CD74" s="1">
        <f t="shared" ca="1" si="103"/>
        <v>2.1536453425659591E-2</v>
      </c>
      <c r="CE74" s="1">
        <f t="shared" ca="1" si="104"/>
        <v>0.51820022609822836</v>
      </c>
      <c r="CF74" s="1">
        <f t="shared" ca="1" si="104"/>
        <v>0.7593546537119098</v>
      </c>
      <c r="CH74" s="3">
        <f t="shared" ca="1" si="105"/>
        <v>0.4602370773549434</v>
      </c>
      <c r="CI74" s="3">
        <f t="shared" ca="1" si="106"/>
        <v>0.3704113428486403</v>
      </c>
      <c r="CJ74" s="3">
        <f t="shared" ca="1" si="107"/>
        <v>1332</v>
      </c>
      <c r="CK74" s="3">
        <f t="shared" ca="1" si="108"/>
        <v>9.4885705709322912E-4</v>
      </c>
      <c r="CL74" s="3">
        <f t="shared" ca="1" si="109"/>
        <v>0</v>
      </c>
      <c r="CM74" s="3"/>
      <c r="CN74" s="1">
        <f t="shared" ca="1" si="110"/>
        <v>6.7488874332485187</v>
      </c>
      <c r="CO74" s="1">
        <f t="shared" ca="1" si="111"/>
        <v>0.40839200632508404</v>
      </c>
      <c r="CP74" s="1">
        <f t="shared" ca="1" si="112"/>
        <v>4</v>
      </c>
    </row>
    <row r="75" spans="2:94" x14ac:dyDescent="0.25">
      <c r="B75">
        <f t="shared" ca="1" si="57"/>
        <v>957</v>
      </c>
      <c r="C75">
        <f t="shared" ca="1" si="58"/>
        <v>13</v>
      </c>
      <c r="D75">
        <f t="shared" ca="1" si="59"/>
        <v>0.29309216939635341</v>
      </c>
      <c r="F75" s="1">
        <f t="shared" ca="1" si="60"/>
        <v>47</v>
      </c>
      <c r="G75" s="1">
        <f t="shared" ca="1" si="61"/>
        <v>2</v>
      </c>
      <c r="H75" s="1">
        <f t="shared" ca="1" si="62"/>
        <v>12</v>
      </c>
      <c r="I75" s="1"/>
      <c r="J75" s="1">
        <f t="shared" ca="1" si="63"/>
        <v>21</v>
      </c>
      <c r="K75" s="1">
        <f t="shared" ca="1" si="64"/>
        <v>1.2100240461341927</v>
      </c>
      <c r="L75" s="1">
        <f t="shared" ca="1" si="65"/>
        <v>31</v>
      </c>
      <c r="M75" s="1"/>
      <c r="N75" s="1">
        <f t="shared" ca="1" si="66"/>
        <v>100</v>
      </c>
      <c r="O75" s="1">
        <f t="shared" ca="1" si="67"/>
        <v>14</v>
      </c>
      <c r="P75" s="1"/>
      <c r="Q75" s="1">
        <f t="shared" ca="1" si="68"/>
        <v>1.846929204058618</v>
      </c>
      <c r="R75" s="1">
        <f t="shared" ca="1" si="69"/>
        <v>997</v>
      </c>
      <c r="S75" s="1"/>
      <c r="T75" s="1">
        <f t="shared" ca="1" si="70"/>
        <v>9.5698696285524507E-2</v>
      </c>
      <c r="U75" s="1">
        <f t="shared" ca="1" si="71"/>
        <v>276</v>
      </c>
      <c r="V75" s="1">
        <f t="shared" ca="1" si="72"/>
        <v>25</v>
      </c>
      <c r="W75" s="1"/>
      <c r="X75" s="1">
        <f t="shared" ca="1" si="73"/>
        <v>1.8621002102885548E-2</v>
      </c>
      <c r="Y75" s="1">
        <f t="shared" ca="1" si="74"/>
        <v>0.30622266790037761</v>
      </c>
      <c r="Z75" s="1">
        <f t="shared" ca="1" si="75"/>
        <v>371</v>
      </c>
      <c r="AB75" s="1">
        <f t="shared" ca="1" si="76"/>
        <v>0.49439980960545515</v>
      </c>
      <c r="AC75" s="1">
        <f t="shared" ca="1" si="77"/>
        <v>947</v>
      </c>
      <c r="AD75" s="1">
        <f t="shared" ca="1" si="78"/>
        <v>3.361258427848074E-3</v>
      </c>
      <c r="AE75" s="1"/>
      <c r="AF75" s="1">
        <f t="shared" ca="1" si="79"/>
        <v>0.68460707222315675</v>
      </c>
      <c r="AG75" s="1">
        <f t="shared" ca="1" si="80"/>
        <v>754</v>
      </c>
      <c r="AH75" s="1">
        <f t="shared" ca="1" si="81"/>
        <v>9.2306297843225953E-3</v>
      </c>
      <c r="AJ75" s="1">
        <f t="shared" ca="1" si="82"/>
        <v>0.80156012733378612</v>
      </c>
      <c r="AK75" s="1">
        <f t="shared" ca="1" si="83"/>
        <v>2.6975512994565549E-3</v>
      </c>
      <c r="AL75" s="1"/>
      <c r="AM75" s="1">
        <f t="shared" ca="1" si="84"/>
        <v>0.16054145355043536</v>
      </c>
      <c r="AN75" s="1">
        <f t="shared" ca="1" si="85"/>
        <v>12</v>
      </c>
      <c r="AO75" s="1">
        <f t="shared" ca="1" si="86"/>
        <v>15</v>
      </c>
      <c r="AQ75" s="1">
        <f t="shared" ca="1" si="87"/>
        <v>184</v>
      </c>
      <c r="AR75" s="1">
        <f t="shared" ca="1" si="88"/>
        <v>0</v>
      </c>
      <c r="AS75" s="1">
        <f t="shared" ca="1" si="89"/>
        <v>29</v>
      </c>
      <c r="AU75" s="1">
        <f t="shared" ca="1" si="90"/>
        <v>386</v>
      </c>
      <c r="AV75" s="1">
        <f t="shared" ca="1" si="91"/>
        <v>6</v>
      </c>
      <c r="AW75" s="1">
        <f t="shared" ca="1" si="92"/>
        <v>4.7168456857651121E-2</v>
      </c>
      <c r="AY75" s="1">
        <f t="shared" ca="1" si="93"/>
        <v>1.9474589925066748</v>
      </c>
      <c r="AZ75" s="1">
        <f t="shared" ca="1" si="94"/>
        <v>196</v>
      </c>
      <c r="BA75" s="1">
        <f t="shared" ca="1" si="95"/>
        <v>7.9269362560241106E-3</v>
      </c>
      <c r="BV75" s="1">
        <f t="shared" ca="1" si="96"/>
        <v>0.37455840664790985</v>
      </c>
      <c r="BW75" s="1">
        <f t="shared" ca="1" si="97"/>
        <v>266</v>
      </c>
      <c r="BX75" s="1">
        <f t="shared" ca="1" si="98"/>
        <v>8.664044556213845E-3</v>
      </c>
      <c r="BY75" s="1">
        <f t="shared" ca="1" si="99"/>
        <v>6.5189828797144134E-2</v>
      </c>
      <c r="BZ75" s="1">
        <f t="shared" ca="1" si="100"/>
        <v>0.72902727363849196</v>
      </c>
      <c r="CB75" s="1">
        <f t="shared" ca="1" si="101"/>
        <v>87</v>
      </c>
      <c r="CC75" s="1">
        <f t="shared" ca="1" si="102"/>
        <v>6</v>
      </c>
      <c r="CD75" s="1">
        <f t="shared" ca="1" si="103"/>
        <v>7.5810926771073414E-2</v>
      </c>
      <c r="CE75" s="1">
        <f t="shared" ca="1" si="104"/>
        <v>0.70101143755643835</v>
      </c>
      <c r="CF75" s="1">
        <f t="shared" ca="1" si="104"/>
        <v>0.88545852001577252</v>
      </c>
      <c r="CH75" s="3">
        <f t="shared" ca="1" si="105"/>
        <v>0.83831854755043211</v>
      </c>
      <c r="CI75" s="3">
        <f t="shared" ca="1" si="106"/>
        <v>0.98541941398952537</v>
      </c>
      <c r="CJ75" s="3">
        <f t="shared" ca="1" si="107"/>
        <v>1947</v>
      </c>
      <c r="CK75" s="3">
        <f t="shared" ca="1" si="108"/>
        <v>2.8473352803278355E-3</v>
      </c>
      <c r="CL75" s="3">
        <f t="shared" ca="1" si="109"/>
        <v>0</v>
      </c>
      <c r="CM75" s="3"/>
      <c r="CN75" s="1">
        <f t="shared" ca="1" si="110"/>
        <v>3.56613238363754</v>
      </c>
      <c r="CO75" s="1">
        <f t="shared" ca="1" si="111"/>
        <v>0.27938306176701039</v>
      </c>
      <c r="CP75" s="1">
        <f t="shared" ca="1" si="112"/>
        <v>3</v>
      </c>
    </row>
    <row r="76" spans="2:94" x14ac:dyDescent="0.25">
      <c r="B76">
        <f t="shared" ca="1" si="57"/>
        <v>132</v>
      </c>
      <c r="C76">
        <f t="shared" ca="1" si="58"/>
        <v>8</v>
      </c>
      <c r="D76">
        <f t="shared" ca="1" si="59"/>
        <v>6.0686392486878869E-2</v>
      </c>
      <c r="F76" s="1">
        <f t="shared" ca="1" si="60"/>
        <v>5</v>
      </c>
      <c r="G76" s="1">
        <f t="shared" ca="1" si="61"/>
        <v>2</v>
      </c>
      <c r="H76" s="1">
        <f t="shared" ca="1" si="62"/>
        <v>11</v>
      </c>
      <c r="I76" s="1"/>
      <c r="J76" s="1">
        <f t="shared" ca="1" si="63"/>
        <v>4</v>
      </c>
      <c r="K76" s="1">
        <f t="shared" ca="1" si="64"/>
        <v>1.940810875219247</v>
      </c>
      <c r="L76" s="1">
        <f t="shared" ca="1" si="65"/>
        <v>9</v>
      </c>
      <c r="M76" s="1"/>
      <c r="N76" s="1">
        <f t="shared" ca="1" si="66"/>
        <v>650</v>
      </c>
      <c r="O76" s="1">
        <f t="shared" ca="1" si="67"/>
        <v>23</v>
      </c>
      <c r="P76" s="1"/>
      <c r="Q76" s="1">
        <f t="shared" ca="1" si="68"/>
        <v>0.83124587889889512</v>
      </c>
      <c r="R76" s="1">
        <f t="shared" ca="1" si="69"/>
        <v>1019</v>
      </c>
      <c r="S76" s="1"/>
      <c r="T76" s="1">
        <f t="shared" ca="1" si="70"/>
        <v>0.18392877715432684</v>
      </c>
      <c r="U76" s="1">
        <f t="shared" ca="1" si="71"/>
        <v>101</v>
      </c>
      <c r="V76" s="1">
        <f t="shared" ca="1" si="72"/>
        <v>45</v>
      </c>
      <c r="W76" s="1"/>
      <c r="X76" s="1">
        <f t="shared" ca="1" si="73"/>
        <v>2.6435565044371829</v>
      </c>
      <c r="Y76" s="1">
        <f t="shared" ca="1" si="74"/>
        <v>0.83841807570668669</v>
      </c>
      <c r="Z76" s="1">
        <f t="shared" ca="1" si="75"/>
        <v>182</v>
      </c>
      <c r="AB76" s="1">
        <f t="shared" ca="1" si="76"/>
        <v>0.77097410073945849</v>
      </c>
      <c r="AC76" s="1">
        <f t="shared" ca="1" si="77"/>
        <v>266</v>
      </c>
      <c r="AD76" s="1">
        <f t="shared" ca="1" si="78"/>
        <v>1.0257722519473468E-3</v>
      </c>
      <c r="AE76" s="1"/>
      <c r="AF76" s="1">
        <f t="shared" ca="1" si="79"/>
        <v>0.58269654970509144</v>
      </c>
      <c r="AG76" s="1">
        <f t="shared" ca="1" si="80"/>
        <v>638</v>
      </c>
      <c r="AH76" s="1">
        <f t="shared" ca="1" si="81"/>
        <v>7.6176801369127675E-3</v>
      </c>
      <c r="AJ76" s="1">
        <f t="shared" ca="1" si="82"/>
        <v>0.13694570487011171</v>
      </c>
      <c r="AK76" s="1">
        <f t="shared" ca="1" si="83"/>
        <v>2.0634125638475034E-4</v>
      </c>
      <c r="AL76" s="1"/>
      <c r="AM76" s="1">
        <f t="shared" ca="1" si="84"/>
        <v>0.13751250591046577</v>
      </c>
      <c r="AN76" s="1">
        <f t="shared" ca="1" si="85"/>
        <v>15</v>
      </c>
      <c r="AO76" s="1">
        <f t="shared" ca="1" si="86"/>
        <v>11</v>
      </c>
      <c r="AQ76" s="1">
        <f t="shared" ca="1" si="87"/>
        <v>125</v>
      </c>
      <c r="AR76" s="1">
        <f t="shared" ca="1" si="88"/>
        <v>4</v>
      </c>
      <c r="AS76" s="1">
        <f t="shared" ca="1" si="89"/>
        <v>14</v>
      </c>
      <c r="AU76" s="1">
        <f t="shared" ca="1" si="90"/>
        <v>155</v>
      </c>
      <c r="AV76" s="1">
        <f t="shared" ca="1" si="91"/>
        <v>3</v>
      </c>
      <c r="AW76" s="1">
        <f t="shared" ca="1" si="92"/>
        <v>4.6725710393500236E-2</v>
      </c>
      <c r="AY76" s="1">
        <f t="shared" ca="1" si="93"/>
        <v>1.3009046144632093</v>
      </c>
      <c r="AZ76" s="1">
        <f t="shared" ca="1" si="94"/>
        <v>421</v>
      </c>
      <c r="BA76" s="1">
        <f t="shared" ca="1" si="95"/>
        <v>8.7921541130380858E-3</v>
      </c>
      <c r="BV76" s="1">
        <f t="shared" ca="1" si="96"/>
        <v>0.60220149238798215</v>
      </c>
      <c r="BW76" s="1">
        <f t="shared" ca="1" si="97"/>
        <v>270</v>
      </c>
      <c r="BX76" s="1">
        <f t="shared" ca="1" si="98"/>
        <v>6.9482328156815513E-3</v>
      </c>
      <c r="BY76" s="1">
        <f t="shared" ca="1" si="99"/>
        <v>9.967965636792768E-2</v>
      </c>
      <c r="BZ76" s="1">
        <f t="shared" ca="1" si="100"/>
        <v>9.8360421644947071E-2</v>
      </c>
      <c r="CB76" s="1">
        <f t="shared" ca="1" si="101"/>
        <v>66</v>
      </c>
      <c r="CC76" s="1">
        <f t="shared" ca="1" si="102"/>
        <v>5</v>
      </c>
      <c r="CD76" s="1">
        <f t="shared" ca="1" si="103"/>
        <v>0.17410224251730272</v>
      </c>
      <c r="CE76" s="1">
        <f t="shared" ca="1" si="104"/>
        <v>0.81245026452258795</v>
      </c>
      <c r="CF76" s="1">
        <f t="shared" ca="1" si="104"/>
        <v>0.77175223317479169</v>
      </c>
      <c r="CH76" s="3">
        <f t="shared" ca="1" si="105"/>
        <v>0.7792887175750558</v>
      </c>
      <c r="CI76" s="3">
        <f t="shared" ca="1" si="106"/>
        <v>0.84380897862142124</v>
      </c>
      <c r="CJ76" s="3">
        <f t="shared" ca="1" si="107"/>
        <v>1315</v>
      </c>
      <c r="CK76" s="3">
        <f t="shared" ca="1" si="108"/>
        <v>7.9287393652021851E-3</v>
      </c>
      <c r="CL76" s="3">
        <f t="shared" ca="1" si="109"/>
        <v>0</v>
      </c>
      <c r="CM76" s="3"/>
      <c r="CN76" s="1">
        <f t="shared" ca="1" si="110"/>
        <v>9.5052630588447098</v>
      </c>
      <c r="CO76" s="1">
        <f t="shared" ca="1" si="111"/>
        <v>2.4218629291122128E-2</v>
      </c>
      <c r="CP76" s="1">
        <f t="shared" ca="1" si="112"/>
        <v>1</v>
      </c>
    </row>
    <row r="77" spans="2:94" x14ac:dyDescent="0.25">
      <c r="B77">
        <f t="shared" ca="1" si="57"/>
        <v>80</v>
      </c>
      <c r="C77">
        <f t="shared" ca="1" si="58"/>
        <v>7</v>
      </c>
      <c r="D77">
        <f t="shared" ca="1" si="59"/>
        <v>6.5982653416876119E-2</v>
      </c>
      <c r="F77" s="1">
        <f t="shared" ca="1" si="60"/>
        <v>8</v>
      </c>
      <c r="G77" s="1">
        <f t="shared" ca="1" si="61"/>
        <v>15</v>
      </c>
      <c r="H77" s="1">
        <f t="shared" ca="1" si="62"/>
        <v>13</v>
      </c>
      <c r="I77" s="1"/>
      <c r="J77" s="1">
        <f t="shared" ca="1" si="63"/>
        <v>31</v>
      </c>
      <c r="K77" s="1">
        <f t="shared" ca="1" si="64"/>
        <v>1.1907161160290614</v>
      </c>
      <c r="L77" s="1">
        <f t="shared" ca="1" si="65"/>
        <v>16</v>
      </c>
      <c r="M77" s="1"/>
      <c r="N77" s="1">
        <f t="shared" ca="1" si="66"/>
        <v>791</v>
      </c>
      <c r="O77" s="1">
        <f t="shared" ca="1" si="67"/>
        <v>11</v>
      </c>
      <c r="P77" s="1"/>
      <c r="Q77" s="1">
        <f t="shared" ca="1" si="68"/>
        <v>0.86114830840538548</v>
      </c>
      <c r="R77" s="1">
        <f t="shared" ca="1" si="69"/>
        <v>539</v>
      </c>
      <c r="S77" s="1"/>
      <c r="T77" s="1">
        <f t="shared" ca="1" si="70"/>
        <v>7.9443695705577522E-2</v>
      </c>
      <c r="U77" s="1">
        <f t="shared" ca="1" si="71"/>
        <v>329</v>
      </c>
      <c r="V77" s="1">
        <f t="shared" ca="1" si="72"/>
        <v>10</v>
      </c>
      <c r="W77" s="1"/>
      <c r="X77" s="1">
        <f t="shared" ca="1" si="73"/>
        <v>5.5245634711920212E-2</v>
      </c>
      <c r="Y77" s="1">
        <f t="shared" ca="1" si="74"/>
        <v>7.5242547040389558E-3</v>
      </c>
      <c r="Z77" s="1">
        <f t="shared" ca="1" si="75"/>
        <v>1864</v>
      </c>
      <c r="AB77" s="1">
        <f t="shared" ca="1" si="76"/>
        <v>0.58945774807488671</v>
      </c>
      <c r="AC77" s="1">
        <f t="shared" ca="1" si="77"/>
        <v>780</v>
      </c>
      <c r="AD77" s="1">
        <f t="shared" ca="1" si="78"/>
        <v>3.4407518516505072E-3</v>
      </c>
      <c r="AE77" s="1"/>
      <c r="AF77" s="1">
        <f t="shared" ca="1" si="79"/>
        <v>0.68875232889727112</v>
      </c>
      <c r="AG77" s="1">
        <f t="shared" ca="1" si="80"/>
        <v>199</v>
      </c>
      <c r="AH77" s="1">
        <f t="shared" ca="1" si="81"/>
        <v>3.5781301270289864E-3</v>
      </c>
      <c r="AJ77" s="1">
        <f t="shared" ca="1" si="82"/>
        <v>0.69098425607644465</v>
      </c>
      <c r="AK77" s="1">
        <f t="shared" ca="1" si="83"/>
        <v>7.8902740859476701E-3</v>
      </c>
      <c r="AL77" s="1"/>
      <c r="AM77" s="1">
        <f t="shared" ca="1" si="84"/>
        <v>0.17568289040264462</v>
      </c>
      <c r="AN77" s="1">
        <f t="shared" ca="1" si="85"/>
        <v>72</v>
      </c>
      <c r="AO77" s="1">
        <f t="shared" ca="1" si="86"/>
        <v>15</v>
      </c>
      <c r="AQ77" s="1">
        <f t="shared" ca="1" si="87"/>
        <v>68</v>
      </c>
      <c r="AR77" s="1">
        <f t="shared" ca="1" si="88"/>
        <v>1</v>
      </c>
      <c r="AS77" s="1">
        <f t="shared" ca="1" si="89"/>
        <v>93</v>
      </c>
      <c r="AU77" s="1">
        <f t="shared" ca="1" si="90"/>
        <v>149</v>
      </c>
      <c r="AV77" s="1">
        <f t="shared" ca="1" si="91"/>
        <v>10</v>
      </c>
      <c r="AW77" s="1">
        <f t="shared" ca="1" si="92"/>
        <v>9.3188017796672726E-2</v>
      </c>
      <c r="AY77" s="1">
        <f t="shared" ca="1" si="93"/>
        <v>1.3377604328851147</v>
      </c>
      <c r="AZ77" s="1">
        <f t="shared" ca="1" si="94"/>
        <v>332</v>
      </c>
      <c r="BA77" s="1">
        <f t="shared" ca="1" si="95"/>
        <v>2.3585796347674768E-3</v>
      </c>
      <c r="BV77" s="1">
        <f t="shared" ca="1" si="96"/>
        <v>0.95529829818919154</v>
      </c>
      <c r="BW77" s="1">
        <f t="shared" ca="1" si="97"/>
        <v>282</v>
      </c>
      <c r="BX77" s="1">
        <f t="shared" ca="1" si="98"/>
        <v>3.5642766553318638E-3</v>
      </c>
      <c r="BY77" s="1">
        <f t="shared" ca="1" si="99"/>
        <v>3.3514891479614325E-2</v>
      </c>
      <c r="BZ77" s="1">
        <f t="shared" ca="1" si="100"/>
        <v>0.61624733856875746</v>
      </c>
      <c r="CB77" s="1">
        <f t="shared" ca="1" si="101"/>
        <v>437</v>
      </c>
      <c r="CC77" s="1">
        <f t="shared" ca="1" si="102"/>
        <v>6</v>
      </c>
      <c r="CD77" s="1">
        <f t="shared" ca="1" si="103"/>
        <v>0.28937757764666799</v>
      </c>
      <c r="CE77" s="1">
        <f t="shared" ca="1" si="104"/>
        <v>0.96713901535000313</v>
      </c>
      <c r="CF77" s="1">
        <f t="shared" ca="1" si="104"/>
        <v>0.52923202247410728</v>
      </c>
      <c r="CH77" s="3">
        <f t="shared" ca="1" si="105"/>
        <v>0.25496423809983404</v>
      </c>
      <c r="CI77" s="3">
        <f t="shared" ca="1" si="106"/>
        <v>0.53651217712816368</v>
      </c>
      <c r="CJ77" s="3">
        <f t="shared" ca="1" si="107"/>
        <v>1218</v>
      </c>
      <c r="CK77" s="3">
        <f t="shared" ca="1" si="108"/>
        <v>1.7014017616346548E-3</v>
      </c>
      <c r="CL77" s="3">
        <f t="shared" ca="1" si="109"/>
        <v>0</v>
      </c>
      <c r="CM77" s="3"/>
      <c r="CN77" s="1">
        <f t="shared" ca="1" si="110"/>
        <v>12.153947406353437</v>
      </c>
      <c r="CO77" s="1">
        <f t="shared" ca="1" si="111"/>
        <v>3.7657864649119847E-2</v>
      </c>
      <c r="CP77" s="1">
        <f t="shared" ca="1" si="112"/>
        <v>1</v>
      </c>
    </row>
    <row r="78" spans="2:94" x14ac:dyDescent="0.25">
      <c r="B78">
        <f t="shared" ca="1" si="57"/>
        <v>49</v>
      </c>
      <c r="C78">
        <f t="shared" ca="1" si="58"/>
        <v>39</v>
      </c>
      <c r="D78">
        <f t="shared" ca="1" si="59"/>
        <v>0.27857674737567933</v>
      </c>
      <c r="F78" s="1">
        <f t="shared" ca="1" si="60"/>
        <v>35</v>
      </c>
      <c r="G78" s="1">
        <f t="shared" ca="1" si="61"/>
        <v>30</v>
      </c>
      <c r="H78" s="1">
        <f t="shared" ca="1" si="62"/>
        <v>12</v>
      </c>
      <c r="I78" s="1"/>
      <c r="J78" s="1">
        <f t="shared" ca="1" si="63"/>
        <v>31</v>
      </c>
      <c r="K78" s="1">
        <f t="shared" ca="1" si="64"/>
        <v>2.9245812350110354</v>
      </c>
      <c r="L78" s="1">
        <f t="shared" ca="1" si="65"/>
        <v>21</v>
      </c>
      <c r="M78" s="1"/>
      <c r="N78" s="1">
        <f t="shared" ca="1" si="66"/>
        <v>141</v>
      </c>
      <c r="O78" s="1">
        <f t="shared" ca="1" si="67"/>
        <v>48</v>
      </c>
      <c r="P78" s="1"/>
      <c r="Q78" s="1">
        <f t="shared" ca="1" si="68"/>
        <v>1.5396441861720089</v>
      </c>
      <c r="R78" s="1">
        <f t="shared" ca="1" si="69"/>
        <v>227</v>
      </c>
      <c r="S78" s="1"/>
      <c r="T78" s="1">
        <f t="shared" ca="1" si="70"/>
        <v>3.4851235030076574E-2</v>
      </c>
      <c r="U78" s="1">
        <f t="shared" ca="1" si="71"/>
        <v>298</v>
      </c>
      <c r="V78" s="1">
        <f t="shared" ca="1" si="72"/>
        <v>7</v>
      </c>
      <c r="W78" s="1"/>
      <c r="X78" s="1">
        <f t="shared" ca="1" si="73"/>
        <v>9.769016401284647</v>
      </c>
      <c r="Y78" s="1">
        <f t="shared" ca="1" si="74"/>
        <v>0.14747249889912334</v>
      </c>
      <c r="Z78" s="1">
        <f t="shared" ca="1" si="75"/>
        <v>1008</v>
      </c>
      <c r="AB78" s="1">
        <f t="shared" ca="1" si="76"/>
        <v>0.37985987433952778</v>
      </c>
      <c r="AC78" s="1">
        <f t="shared" ca="1" si="77"/>
        <v>452</v>
      </c>
      <c r="AD78" s="1">
        <f t="shared" ca="1" si="78"/>
        <v>4.5090388374131015E-3</v>
      </c>
      <c r="AE78" s="1"/>
      <c r="AF78" s="1">
        <f t="shared" ca="1" si="79"/>
        <v>0.86335615898760432</v>
      </c>
      <c r="AG78" s="1">
        <f t="shared" ca="1" si="80"/>
        <v>510</v>
      </c>
      <c r="AH78" s="1">
        <f t="shared" ca="1" si="81"/>
        <v>2.5409531743170871E-3</v>
      </c>
      <c r="AJ78" s="1">
        <f t="shared" ca="1" si="82"/>
        <v>0.12636700609650409</v>
      </c>
      <c r="AK78" s="1">
        <f t="shared" ca="1" si="83"/>
        <v>7.1266166061256407E-3</v>
      </c>
      <c r="AL78" s="1"/>
      <c r="AM78" s="1">
        <f t="shared" ca="1" si="84"/>
        <v>0.16181356888364504</v>
      </c>
      <c r="AN78" s="1">
        <f t="shared" ca="1" si="85"/>
        <v>13</v>
      </c>
      <c r="AO78" s="1">
        <f t="shared" ca="1" si="86"/>
        <v>11</v>
      </c>
      <c r="AQ78" s="1">
        <f t="shared" ca="1" si="87"/>
        <v>69</v>
      </c>
      <c r="AR78" s="1">
        <f t="shared" ca="1" si="88"/>
        <v>4</v>
      </c>
      <c r="AS78" s="1">
        <f t="shared" ca="1" si="89"/>
        <v>18</v>
      </c>
      <c r="AU78" s="1">
        <f t="shared" ca="1" si="90"/>
        <v>335</v>
      </c>
      <c r="AV78" s="1">
        <f t="shared" ca="1" si="91"/>
        <v>6</v>
      </c>
      <c r="AW78" s="1">
        <f t="shared" ca="1" si="92"/>
        <v>9.350601264351438E-2</v>
      </c>
      <c r="AY78" s="1">
        <f t="shared" ca="1" si="93"/>
        <v>1.6250486606934476</v>
      </c>
      <c r="AZ78" s="1">
        <f t="shared" ca="1" si="94"/>
        <v>352</v>
      </c>
      <c r="BA78" s="1">
        <f t="shared" ca="1" si="95"/>
        <v>6.1825477672725095E-3</v>
      </c>
      <c r="BV78" s="1">
        <f t="shared" ca="1" si="96"/>
        <v>2.1082770857495225E-2</v>
      </c>
      <c r="BW78" s="1">
        <f t="shared" ca="1" si="97"/>
        <v>869</v>
      </c>
      <c r="BX78" s="1">
        <f t="shared" ca="1" si="98"/>
        <v>1.3312607840568829E-3</v>
      </c>
      <c r="BY78" s="1">
        <f t="shared" ca="1" si="99"/>
        <v>2.4724676801870085E-2</v>
      </c>
      <c r="BZ78" s="1">
        <f t="shared" ca="1" si="100"/>
        <v>0.60146500789758672</v>
      </c>
      <c r="CB78" s="1">
        <f t="shared" ca="1" si="101"/>
        <v>388</v>
      </c>
      <c r="CC78" s="1">
        <f t="shared" ca="1" si="102"/>
        <v>4</v>
      </c>
      <c r="CD78" s="1">
        <f t="shared" ca="1" si="103"/>
        <v>0.29190308224734202</v>
      </c>
      <c r="CE78" s="1">
        <f t="shared" ca="1" si="104"/>
        <v>0.70014552682822062</v>
      </c>
      <c r="CF78" s="1">
        <f t="shared" ca="1" si="104"/>
        <v>0.55674802883853447</v>
      </c>
      <c r="CH78" s="3">
        <f t="shared" ca="1" si="105"/>
        <v>0.51150074518812061</v>
      </c>
      <c r="CI78" s="3">
        <f t="shared" ca="1" si="106"/>
        <v>0.60247166442014211</v>
      </c>
      <c r="CJ78" s="3">
        <f t="shared" ca="1" si="107"/>
        <v>1422</v>
      </c>
      <c r="CK78" s="3">
        <f t="shared" ca="1" si="108"/>
        <v>6.1164578998283998E-3</v>
      </c>
      <c r="CL78" s="3">
        <f t="shared" ca="1" si="109"/>
        <v>1</v>
      </c>
      <c r="CM78" s="3"/>
      <c r="CN78" s="1">
        <f t="shared" ca="1" si="110"/>
        <v>15.640966997104989</v>
      </c>
      <c r="CO78" s="1">
        <f t="shared" ca="1" si="111"/>
        <v>0.48175194887682471</v>
      </c>
      <c r="CP78" s="1">
        <f t="shared" ca="1" si="112"/>
        <v>3</v>
      </c>
    </row>
    <row r="79" spans="2:94" x14ac:dyDescent="0.25">
      <c r="B79">
        <f t="shared" ca="1" si="57"/>
        <v>241</v>
      </c>
      <c r="C79">
        <f t="shared" ca="1" si="58"/>
        <v>20</v>
      </c>
      <c r="D79">
        <f t="shared" ca="1" si="59"/>
        <v>0.16821728232715233</v>
      </c>
      <c r="F79" s="1">
        <f t="shared" ca="1" si="60"/>
        <v>16</v>
      </c>
      <c r="G79" s="1">
        <f t="shared" ca="1" si="61"/>
        <v>6</v>
      </c>
      <c r="H79" s="1">
        <f t="shared" ca="1" si="62"/>
        <v>10</v>
      </c>
      <c r="I79" s="1"/>
      <c r="J79" s="1">
        <f t="shared" ca="1" si="63"/>
        <v>13</v>
      </c>
      <c r="K79" s="1">
        <f t="shared" ca="1" si="64"/>
        <v>1.6460316959724195</v>
      </c>
      <c r="L79" s="1">
        <f t="shared" ca="1" si="65"/>
        <v>22</v>
      </c>
      <c r="M79" s="1"/>
      <c r="N79" s="1">
        <f t="shared" ca="1" si="66"/>
        <v>703</v>
      </c>
      <c r="O79" s="1">
        <f t="shared" ca="1" si="67"/>
        <v>16</v>
      </c>
      <c r="P79" s="1"/>
      <c r="Q79" s="1">
        <f t="shared" ca="1" si="68"/>
        <v>2.1006101748728714</v>
      </c>
      <c r="R79" s="1">
        <f t="shared" ca="1" si="69"/>
        <v>383</v>
      </c>
      <c r="S79" s="1"/>
      <c r="T79" s="1">
        <f t="shared" ca="1" si="70"/>
        <v>2.4374776811646005E-2</v>
      </c>
      <c r="U79" s="1">
        <f t="shared" ca="1" si="71"/>
        <v>431</v>
      </c>
      <c r="V79" s="1">
        <f t="shared" ca="1" si="72"/>
        <v>51</v>
      </c>
      <c r="W79" s="1"/>
      <c r="X79" s="1">
        <f t="shared" ca="1" si="73"/>
        <v>1.6250206007946317</v>
      </c>
      <c r="Y79" s="1">
        <f t="shared" ca="1" si="74"/>
        <v>0.13755407870461825</v>
      </c>
      <c r="Z79" s="1">
        <f t="shared" ca="1" si="75"/>
        <v>855</v>
      </c>
      <c r="AB79" s="1">
        <f t="shared" ca="1" si="76"/>
        <v>0.95131663988910387</v>
      </c>
      <c r="AC79" s="1">
        <f t="shared" ca="1" si="77"/>
        <v>873</v>
      </c>
      <c r="AD79" s="1">
        <f t="shared" ca="1" si="78"/>
        <v>8.5575714382799643E-3</v>
      </c>
      <c r="AE79" s="1"/>
      <c r="AF79" s="1">
        <f t="shared" ca="1" si="79"/>
        <v>0.6025780227358547</v>
      </c>
      <c r="AG79" s="1">
        <f t="shared" ca="1" si="80"/>
        <v>518</v>
      </c>
      <c r="AH79" s="1">
        <f t="shared" ca="1" si="81"/>
        <v>6.6943829923799226E-3</v>
      </c>
      <c r="AJ79" s="1">
        <f t="shared" ca="1" si="82"/>
        <v>2.6718953364592402E-2</v>
      </c>
      <c r="AK79" s="1">
        <f t="shared" ca="1" si="83"/>
        <v>8.9851445379994215E-3</v>
      </c>
      <c r="AL79" s="1"/>
      <c r="AM79" s="1">
        <f t="shared" ca="1" si="84"/>
        <v>2.7049788935392484E-2</v>
      </c>
      <c r="AN79" s="1">
        <f t="shared" ca="1" si="85"/>
        <v>31</v>
      </c>
      <c r="AO79" s="1">
        <f t="shared" ca="1" si="86"/>
        <v>9</v>
      </c>
      <c r="AQ79" s="1">
        <f t="shared" ca="1" si="87"/>
        <v>95</v>
      </c>
      <c r="AR79" s="1">
        <f t="shared" ca="1" si="88"/>
        <v>9</v>
      </c>
      <c r="AS79" s="1">
        <f t="shared" ca="1" si="89"/>
        <v>85</v>
      </c>
      <c r="AU79" s="1">
        <f t="shared" ca="1" si="90"/>
        <v>133</v>
      </c>
      <c r="AV79" s="1">
        <f t="shared" ca="1" si="91"/>
        <v>5</v>
      </c>
      <c r="AW79" s="1">
        <f t="shared" ca="1" si="92"/>
        <v>0.1690673498105916</v>
      </c>
      <c r="AY79" s="1">
        <f t="shared" ca="1" si="93"/>
        <v>1.5341684612760895</v>
      </c>
      <c r="AZ79" s="1">
        <f t="shared" ca="1" si="94"/>
        <v>461</v>
      </c>
      <c r="BA79" s="1">
        <f t="shared" ca="1" si="95"/>
        <v>4.0343551952852479E-3</v>
      </c>
      <c r="BV79" s="1">
        <f t="shared" ca="1" si="96"/>
        <v>8.8387998594514697E-2</v>
      </c>
      <c r="BW79" s="1">
        <f t="shared" ca="1" si="97"/>
        <v>379</v>
      </c>
      <c r="BX79" s="1">
        <f t="shared" ca="1" si="98"/>
        <v>8.0165419075758637E-3</v>
      </c>
      <c r="BY79" s="1">
        <f t="shared" ca="1" si="99"/>
        <v>8.1744946422896939E-2</v>
      </c>
      <c r="BZ79" s="1">
        <f t="shared" ca="1" si="100"/>
        <v>0.25359748180542452</v>
      </c>
      <c r="CB79" s="1">
        <f t="shared" ca="1" si="101"/>
        <v>354</v>
      </c>
      <c r="CC79" s="1">
        <f t="shared" ca="1" si="102"/>
        <v>5</v>
      </c>
      <c r="CD79" s="1">
        <f t="shared" ca="1" si="103"/>
        <v>0.12274224222285149</v>
      </c>
      <c r="CE79" s="1">
        <f t="shared" ca="1" si="104"/>
        <v>0.64985801373076502</v>
      </c>
      <c r="CF79" s="1">
        <f t="shared" ca="1" si="104"/>
        <v>0.93073293396010248</v>
      </c>
      <c r="CH79" s="3">
        <f t="shared" ca="1" si="105"/>
        <v>4.6068789649869935E-2</v>
      </c>
      <c r="CI79" s="3">
        <f t="shared" ca="1" si="106"/>
        <v>0.73283170605754666</v>
      </c>
      <c r="CJ79" s="3">
        <f t="shared" ca="1" si="107"/>
        <v>1861</v>
      </c>
      <c r="CK79" s="3">
        <f t="shared" ca="1" si="108"/>
        <v>2.1821554234937117E-3</v>
      </c>
      <c r="CL79" s="3">
        <f t="shared" ca="1" si="109"/>
        <v>1</v>
      </c>
      <c r="CM79" s="3"/>
      <c r="CN79" s="1">
        <f t="shared" ca="1" si="110"/>
        <v>4.2847715780954312</v>
      </c>
      <c r="CO79" s="1">
        <f t="shared" ca="1" si="111"/>
        <v>9.4204337923794526E-2</v>
      </c>
      <c r="CP79" s="1">
        <f t="shared" ca="1" si="112"/>
        <v>4</v>
      </c>
    </row>
    <row r="80" spans="2:94" x14ac:dyDescent="0.25">
      <c r="B80">
        <f t="shared" ca="1" si="57"/>
        <v>703</v>
      </c>
      <c r="C80">
        <f t="shared" ca="1" si="58"/>
        <v>15</v>
      </c>
      <c r="D80">
        <f t="shared" ca="1" si="59"/>
        <v>0.21189164865468882</v>
      </c>
      <c r="F80" s="1">
        <f t="shared" ca="1" si="60"/>
        <v>47</v>
      </c>
      <c r="G80" s="1">
        <f t="shared" ca="1" si="61"/>
        <v>9</v>
      </c>
      <c r="H80" s="1">
        <f t="shared" ca="1" si="62"/>
        <v>9</v>
      </c>
      <c r="I80" s="1"/>
      <c r="J80" s="1">
        <f t="shared" ca="1" si="63"/>
        <v>1</v>
      </c>
      <c r="K80" s="1">
        <f t="shared" ca="1" si="64"/>
        <v>2.4319141361536185</v>
      </c>
      <c r="L80" s="1">
        <f t="shared" ca="1" si="65"/>
        <v>2</v>
      </c>
      <c r="M80" s="1"/>
      <c r="N80" s="1">
        <f t="shared" ca="1" si="66"/>
        <v>581</v>
      </c>
      <c r="O80" s="1">
        <f t="shared" ca="1" si="67"/>
        <v>52</v>
      </c>
      <c r="P80" s="1"/>
      <c r="Q80" s="1">
        <f t="shared" ca="1" si="68"/>
        <v>0.61138303757445367</v>
      </c>
      <c r="R80" s="1">
        <f t="shared" ca="1" si="69"/>
        <v>1170</v>
      </c>
      <c r="S80" s="1"/>
      <c r="T80" s="1">
        <f t="shared" ca="1" si="70"/>
        <v>2.2262467008444271E-2</v>
      </c>
      <c r="U80" s="1">
        <f t="shared" ca="1" si="71"/>
        <v>296</v>
      </c>
      <c r="V80" s="1">
        <f t="shared" ca="1" si="72"/>
        <v>38</v>
      </c>
      <c r="W80" s="1"/>
      <c r="X80" s="1">
        <f t="shared" ca="1" si="73"/>
        <v>9.3728245156446715</v>
      </c>
      <c r="Y80" s="1">
        <f t="shared" ca="1" si="74"/>
        <v>0.23584570527287727</v>
      </c>
      <c r="Z80" s="1">
        <f t="shared" ca="1" si="75"/>
        <v>602</v>
      </c>
      <c r="AB80" s="1">
        <f t="shared" ca="1" si="76"/>
        <v>4.521021765399149E-2</v>
      </c>
      <c r="AC80" s="1">
        <f t="shared" ca="1" si="77"/>
        <v>898</v>
      </c>
      <c r="AD80" s="1">
        <f t="shared" ca="1" si="78"/>
        <v>8.2846382881586154E-3</v>
      </c>
      <c r="AE80" s="1"/>
      <c r="AF80" s="1">
        <f t="shared" ca="1" si="79"/>
        <v>0.85155810926253561</v>
      </c>
      <c r="AG80" s="1">
        <f t="shared" ca="1" si="80"/>
        <v>595</v>
      </c>
      <c r="AH80" s="1">
        <f t="shared" ca="1" si="81"/>
        <v>7.7135217259664676E-3</v>
      </c>
      <c r="AJ80" s="1">
        <f t="shared" ca="1" si="82"/>
        <v>0.41542865954704522</v>
      </c>
      <c r="AK80" s="1">
        <f t="shared" ca="1" si="83"/>
        <v>2.7099008567355162E-3</v>
      </c>
      <c r="AL80" s="1"/>
      <c r="AM80" s="1">
        <f t="shared" ca="1" si="84"/>
        <v>0.19359925793568578</v>
      </c>
      <c r="AN80" s="1">
        <f t="shared" ca="1" si="85"/>
        <v>51</v>
      </c>
      <c r="AO80" s="1">
        <f t="shared" ca="1" si="86"/>
        <v>10</v>
      </c>
      <c r="AQ80" s="1">
        <f t="shared" ca="1" si="87"/>
        <v>78</v>
      </c>
      <c r="AR80" s="1">
        <f t="shared" ca="1" si="88"/>
        <v>3</v>
      </c>
      <c r="AS80" s="1">
        <f t="shared" ca="1" si="89"/>
        <v>30</v>
      </c>
      <c r="AU80" s="1">
        <f t="shared" ca="1" si="90"/>
        <v>76</v>
      </c>
      <c r="AV80" s="1">
        <f t="shared" ca="1" si="91"/>
        <v>5</v>
      </c>
      <c r="AW80" s="1">
        <f t="shared" ca="1" si="92"/>
        <v>5.039014849052291E-2</v>
      </c>
      <c r="AY80" s="1">
        <f t="shared" ca="1" si="93"/>
        <v>1.7769317278998633</v>
      </c>
      <c r="AZ80" s="1">
        <f t="shared" ca="1" si="94"/>
        <v>230</v>
      </c>
      <c r="BA80" s="1">
        <f t="shared" ca="1" si="95"/>
        <v>9.1591529819851775E-4</v>
      </c>
      <c r="BV80" s="1">
        <f t="shared" ca="1" si="96"/>
        <v>0.71903882270756336</v>
      </c>
      <c r="BW80" s="1">
        <f t="shared" ca="1" si="97"/>
        <v>923</v>
      </c>
      <c r="BX80" s="1">
        <f t="shared" ca="1" si="98"/>
        <v>8.193211764658084E-3</v>
      </c>
      <c r="BY80" s="1">
        <f t="shared" ca="1" si="99"/>
        <v>7.1164506518710771E-2</v>
      </c>
      <c r="BZ80" s="1">
        <f t="shared" ca="1" si="100"/>
        <v>0.85790487261371751</v>
      </c>
      <c r="CB80" s="1">
        <f t="shared" ca="1" si="101"/>
        <v>189</v>
      </c>
      <c r="CC80" s="1">
        <f t="shared" ca="1" si="102"/>
        <v>4</v>
      </c>
      <c r="CD80" s="1">
        <f t="shared" ca="1" si="103"/>
        <v>0.13791006007673243</v>
      </c>
      <c r="CE80" s="1">
        <f t="shared" ca="1" si="104"/>
        <v>0.87049825701361727</v>
      </c>
      <c r="CF80" s="1">
        <f t="shared" ca="1" si="104"/>
        <v>0.92158333659832081</v>
      </c>
      <c r="CH80" s="3">
        <f t="shared" ca="1" si="105"/>
        <v>0.56473247288523276</v>
      </c>
      <c r="CI80" s="3">
        <f t="shared" ca="1" si="106"/>
        <v>0.94653456413076997</v>
      </c>
      <c r="CJ80" s="3">
        <f t="shared" ca="1" si="107"/>
        <v>299</v>
      </c>
      <c r="CK80" s="3">
        <f t="shared" ca="1" si="108"/>
        <v>5.7907073738653466E-3</v>
      </c>
      <c r="CL80" s="3">
        <f t="shared" ca="1" si="109"/>
        <v>1</v>
      </c>
      <c r="CM80" s="3"/>
      <c r="CN80" s="1">
        <f t="shared" ca="1" si="110"/>
        <v>2.3694610309222743</v>
      </c>
      <c r="CO80" s="1">
        <f t="shared" ca="1" si="111"/>
        <v>6.0355404011625632E-2</v>
      </c>
      <c r="CP80" s="1">
        <f t="shared" ca="1" si="112"/>
        <v>5</v>
      </c>
    </row>
    <row r="81" spans="2:94" x14ac:dyDescent="0.25">
      <c r="B81">
        <f t="shared" ca="1" si="57"/>
        <v>788</v>
      </c>
      <c r="C81">
        <f t="shared" ca="1" si="58"/>
        <v>32</v>
      </c>
      <c r="D81">
        <f t="shared" ca="1" si="59"/>
        <v>0.1857687515842005</v>
      </c>
      <c r="F81" s="1">
        <f t="shared" ca="1" si="60"/>
        <v>8</v>
      </c>
      <c r="G81" s="1">
        <f t="shared" ca="1" si="61"/>
        <v>8</v>
      </c>
      <c r="H81" s="1">
        <f t="shared" ca="1" si="62"/>
        <v>11</v>
      </c>
      <c r="I81" s="1"/>
      <c r="J81" s="1">
        <f t="shared" ca="1" si="63"/>
        <v>13</v>
      </c>
      <c r="K81" s="1">
        <f t="shared" ca="1" si="64"/>
        <v>2.2029381788582114</v>
      </c>
      <c r="L81" s="1">
        <f t="shared" ca="1" si="65"/>
        <v>24</v>
      </c>
      <c r="M81" s="1"/>
      <c r="N81" s="1">
        <f t="shared" ca="1" si="66"/>
        <v>150</v>
      </c>
      <c r="O81" s="1">
        <f t="shared" ca="1" si="67"/>
        <v>17</v>
      </c>
      <c r="P81" s="1"/>
      <c r="Q81" s="1">
        <f t="shared" ca="1" si="68"/>
        <v>1.888661382972546</v>
      </c>
      <c r="R81" s="1">
        <f t="shared" ca="1" si="69"/>
        <v>231</v>
      </c>
      <c r="S81" s="1"/>
      <c r="T81" s="1">
        <f t="shared" ca="1" si="70"/>
        <v>0.11337257745244909</v>
      </c>
      <c r="U81" s="1">
        <f t="shared" ca="1" si="71"/>
        <v>57</v>
      </c>
      <c r="V81" s="1">
        <f t="shared" ca="1" si="72"/>
        <v>50</v>
      </c>
      <c r="W81" s="1"/>
      <c r="X81" s="1">
        <f t="shared" ca="1" si="73"/>
        <v>9.4695635349404554</v>
      </c>
      <c r="Y81" s="1">
        <f t="shared" ca="1" si="74"/>
        <v>0.68801737854420797</v>
      </c>
      <c r="Z81" s="1">
        <f t="shared" ca="1" si="75"/>
        <v>1809</v>
      </c>
      <c r="AB81" s="1">
        <f t="shared" ca="1" si="76"/>
        <v>0.70486787809812901</v>
      </c>
      <c r="AC81" s="1">
        <f t="shared" ca="1" si="77"/>
        <v>937</v>
      </c>
      <c r="AD81" s="1">
        <f t="shared" ca="1" si="78"/>
        <v>9.4455678995169923E-3</v>
      </c>
      <c r="AE81" s="1"/>
      <c r="AF81" s="1">
        <f t="shared" ca="1" si="79"/>
        <v>0.4522659910532949</v>
      </c>
      <c r="AG81" s="1">
        <f t="shared" ca="1" si="80"/>
        <v>623</v>
      </c>
      <c r="AH81" s="1">
        <f t="shared" ca="1" si="81"/>
        <v>1.7590135107534751E-3</v>
      </c>
      <c r="AJ81" s="1">
        <f t="shared" ca="1" si="82"/>
        <v>0.81069555991566311</v>
      </c>
      <c r="AK81" s="1">
        <f t="shared" ca="1" si="83"/>
        <v>7.954514577872546E-3</v>
      </c>
      <c r="AL81" s="1"/>
      <c r="AM81" s="1">
        <f t="shared" ca="1" si="84"/>
        <v>1.4402638745540916E-2</v>
      </c>
      <c r="AN81" s="1">
        <f t="shared" ca="1" si="85"/>
        <v>24</v>
      </c>
      <c r="AO81" s="1">
        <f t="shared" ca="1" si="86"/>
        <v>20</v>
      </c>
      <c r="AQ81" s="1">
        <f t="shared" ca="1" si="87"/>
        <v>144</v>
      </c>
      <c r="AR81" s="1">
        <f t="shared" ca="1" si="88"/>
        <v>9</v>
      </c>
      <c r="AS81" s="1">
        <f t="shared" ca="1" si="89"/>
        <v>72</v>
      </c>
      <c r="AU81" s="1">
        <f t="shared" ca="1" si="90"/>
        <v>203</v>
      </c>
      <c r="AV81" s="1">
        <f t="shared" ca="1" si="91"/>
        <v>8</v>
      </c>
      <c r="AW81" s="1">
        <f t="shared" ca="1" si="92"/>
        <v>0.14629078459048481</v>
      </c>
      <c r="AY81" s="1">
        <f t="shared" ca="1" si="93"/>
        <v>1.5849480469140846</v>
      </c>
      <c r="AZ81" s="1">
        <f t="shared" ca="1" si="94"/>
        <v>130</v>
      </c>
      <c r="BA81" s="1">
        <f t="shared" ca="1" si="95"/>
        <v>2.932839129405188E-3</v>
      </c>
      <c r="BV81" s="1">
        <f t="shared" ca="1" si="96"/>
        <v>0.38870147315371778</v>
      </c>
      <c r="BW81" s="1">
        <f t="shared" ca="1" si="97"/>
        <v>603</v>
      </c>
      <c r="BX81" s="1">
        <f t="shared" ca="1" si="98"/>
        <v>9.2670426113076864E-3</v>
      </c>
      <c r="BY81" s="1">
        <f t="shared" ca="1" si="99"/>
        <v>7.3011794805351457E-2</v>
      </c>
      <c r="BZ81" s="1">
        <f t="shared" ca="1" si="100"/>
        <v>0.20349075357466284</v>
      </c>
      <c r="CB81" s="1">
        <f t="shared" ca="1" si="101"/>
        <v>315</v>
      </c>
      <c r="CC81" s="1">
        <f t="shared" ca="1" si="102"/>
        <v>7</v>
      </c>
      <c r="CD81" s="1">
        <f t="shared" ca="1" si="103"/>
        <v>0.19694776682869419</v>
      </c>
      <c r="CE81" s="1">
        <f t="shared" ca="1" si="104"/>
        <v>0.75329853671365998</v>
      </c>
      <c r="CF81" s="1">
        <f t="shared" ca="1" si="104"/>
        <v>0.65442799259358786</v>
      </c>
      <c r="CH81" s="3">
        <f t="shared" ca="1" si="105"/>
        <v>0.15155126106121172</v>
      </c>
      <c r="CI81" s="3">
        <f t="shared" ca="1" si="106"/>
        <v>0.73736987185930747</v>
      </c>
      <c r="CJ81" s="3">
        <f t="shared" ca="1" si="107"/>
        <v>1428</v>
      </c>
      <c r="CK81" s="3">
        <f t="shared" ca="1" si="108"/>
        <v>8.846411727176982E-3</v>
      </c>
      <c r="CL81" s="3">
        <f t="shared" ca="1" si="109"/>
        <v>0</v>
      </c>
      <c r="CM81" s="3"/>
      <c r="CN81" s="1">
        <f t="shared" ca="1" si="110"/>
        <v>1.2246375152505111</v>
      </c>
      <c r="CO81" s="1">
        <f t="shared" ca="1" si="111"/>
        <v>0.2837888813817645</v>
      </c>
      <c r="CP81" s="1">
        <f t="shared" ca="1" si="112"/>
        <v>2</v>
      </c>
    </row>
    <row r="82" spans="2:94" x14ac:dyDescent="0.25">
      <c r="B82">
        <f t="shared" ca="1" si="57"/>
        <v>210</v>
      </c>
      <c r="C82">
        <f t="shared" ca="1" si="58"/>
        <v>51</v>
      </c>
      <c r="D82">
        <f t="shared" ca="1" si="59"/>
        <v>0.22589219373756328</v>
      </c>
      <c r="F82" s="1">
        <f t="shared" ca="1" si="60"/>
        <v>16</v>
      </c>
      <c r="G82" s="1">
        <f t="shared" ca="1" si="61"/>
        <v>22</v>
      </c>
      <c r="H82" s="1">
        <f t="shared" ca="1" si="62"/>
        <v>4</v>
      </c>
      <c r="I82" s="1"/>
      <c r="J82" s="1">
        <f t="shared" ca="1" si="63"/>
        <v>28</v>
      </c>
      <c r="K82" s="1">
        <f t="shared" ca="1" si="64"/>
        <v>2.4118427682656192</v>
      </c>
      <c r="L82" s="1">
        <f t="shared" ca="1" si="65"/>
        <v>13</v>
      </c>
      <c r="M82" s="1"/>
      <c r="N82" s="1">
        <f t="shared" ca="1" si="66"/>
        <v>265</v>
      </c>
      <c r="O82" s="1">
        <f t="shared" ca="1" si="67"/>
        <v>40</v>
      </c>
      <c r="P82" s="1"/>
      <c r="Q82" s="1">
        <f t="shared" ca="1" si="68"/>
        <v>3.5497542715686743</v>
      </c>
      <c r="R82" s="1">
        <f t="shared" ca="1" si="69"/>
        <v>786</v>
      </c>
      <c r="S82" s="1"/>
      <c r="T82" s="1">
        <f t="shared" ca="1" si="70"/>
        <v>0.14999376672889439</v>
      </c>
      <c r="U82" s="1">
        <f t="shared" ca="1" si="71"/>
        <v>227</v>
      </c>
      <c r="V82" s="1">
        <f t="shared" ca="1" si="72"/>
        <v>49</v>
      </c>
      <c r="W82" s="1"/>
      <c r="X82" s="1">
        <f t="shared" ca="1" si="73"/>
        <v>3.3945594026256605</v>
      </c>
      <c r="Y82" s="1">
        <f t="shared" ca="1" si="74"/>
        <v>0.48711125051486898</v>
      </c>
      <c r="Z82" s="1">
        <f t="shared" ca="1" si="75"/>
        <v>231</v>
      </c>
      <c r="AB82" s="1">
        <f t="shared" ca="1" si="76"/>
        <v>0.47897841311205303</v>
      </c>
      <c r="AC82" s="1">
        <f t="shared" ca="1" si="77"/>
        <v>458</v>
      </c>
      <c r="AD82" s="1">
        <f t="shared" ca="1" si="78"/>
        <v>8.1097490403153755E-3</v>
      </c>
      <c r="AE82" s="1"/>
      <c r="AF82" s="1">
        <f t="shared" ca="1" si="79"/>
        <v>0.85337810053739016</v>
      </c>
      <c r="AG82" s="1">
        <f t="shared" ca="1" si="80"/>
        <v>781</v>
      </c>
      <c r="AH82" s="1">
        <f t="shared" ca="1" si="81"/>
        <v>1.8007094734165884E-3</v>
      </c>
      <c r="AJ82" s="1">
        <f t="shared" ca="1" si="82"/>
        <v>0.4555561994189482</v>
      </c>
      <c r="AK82" s="1">
        <f t="shared" ca="1" si="83"/>
        <v>2.1398556465159254E-3</v>
      </c>
      <c r="AL82" s="1"/>
      <c r="AM82" s="1">
        <f t="shared" ca="1" si="84"/>
        <v>1.482713788276422E-2</v>
      </c>
      <c r="AN82" s="1">
        <f t="shared" ca="1" si="85"/>
        <v>40</v>
      </c>
      <c r="AO82" s="1">
        <f t="shared" ca="1" si="86"/>
        <v>17</v>
      </c>
      <c r="AQ82" s="1">
        <f t="shared" ca="1" si="87"/>
        <v>86</v>
      </c>
      <c r="AR82" s="1">
        <f t="shared" ca="1" si="88"/>
        <v>3</v>
      </c>
      <c r="AS82" s="1">
        <f t="shared" ca="1" si="89"/>
        <v>31</v>
      </c>
      <c r="AU82" s="1">
        <f t="shared" ca="1" si="90"/>
        <v>210</v>
      </c>
      <c r="AV82" s="1">
        <f t="shared" ca="1" si="91"/>
        <v>7</v>
      </c>
      <c r="AW82" s="1">
        <f t="shared" ca="1" si="92"/>
        <v>9.9180190499282075E-2</v>
      </c>
      <c r="AY82" s="1">
        <f t="shared" ca="1" si="93"/>
        <v>1.4935700029017616</v>
      </c>
      <c r="AZ82" s="1">
        <f t="shared" ca="1" si="94"/>
        <v>477</v>
      </c>
      <c r="BA82" s="1">
        <f t="shared" ca="1" si="95"/>
        <v>7.7450545127628993E-3</v>
      </c>
      <c r="BV82" s="1">
        <f t="shared" ca="1" si="96"/>
        <v>0.22376292949927895</v>
      </c>
      <c r="BW82" s="1">
        <f t="shared" ca="1" si="97"/>
        <v>241</v>
      </c>
      <c r="BX82" s="1">
        <f t="shared" ca="1" si="98"/>
        <v>8.8221071228200415E-3</v>
      </c>
      <c r="BY82" s="1">
        <f t="shared" ca="1" si="99"/>
        <v>4.8462867737118769E-2</v>
      </c>
      <c r="BZ82" s="1">
        <f t="shared" ca="1" si="100"/>
        <v>0.82968268160471625</v>
      </c>
      <c r="CB82" s="1">
        <f t="shared" ca="1" si="101"/>
        <v>85</v>
      </c>
      <c r="CC82" s="1">
        <f t="shared" ca="1" si="102"/>
        <v>9</v>
      </c>
      <c r="CD82" s="1">
        <f t="shared" ca="1" si="103"/>
        <v>9.9427175169341797E-2</v>
      </c>
      <c r="CE82" s="1">
        <f t="shared" ca="1" si="104"/>
        <v>0.78883738048548602</v>
      </c>
      <c r="CF82" s="1">
        <f t="shared" ca="1" si="104"/>
        <v>0.77960838838814195</v>
      </c>
      <c r="CH82" s="3">
        <f t="shared" ca="1" si="105"/>
        <v>0.94003904687042006</v>
      </c>
      <c r="CI82" s="3">
        <f t="shared" ca="1" si="106"/>
        <v>0.95401614219783215</v>
      </c>
      <c r="CJ82" s="3">
        <f t="shared" ca="1" si="107"/>
        <v>1635</v>
      </c>
      <c r="CK82" s="3">
        <f t="shared" ca="1" si="108"/>
        <v>7.2461031604931087E-3</v>
      </c>
      <c r="CL82" s="3">
        <f t="shared" ca="1" si="109"/>
        <v>0</v>
      </c>
      <c r="CM82" s="3"/>
      <c r="CN82" s="1">
        <f t="shared" ca="1" si="110"/>
        <v>8.4485554671593999</v>
      </c>
      <c r="CO82" s="1">
        <f t="shared" ca="1" si="111"/>
        <v>0.11249918268320577</v>
      </c>
      <c r="CP82" s="1">
        <f t="shared" ca="1" si="112"/>
        <v>5</v>
      </c>
    </row>
    <row r="83" spans="2:94" x14ac:dyDescent="0.25">
      <c r="B83">
        <f t="shared" ca="1" si="57"/>
        <v>311</v>
      </c>
      <c r="C83">
        <f t="shared" ca="1" si="58"/>
        <v>11</v>
      </c>
      <c r="D83">
        <f t="shared" ca="1" si="59"/>
        <v>1.8939279350789644E-2</v>
      </c>
      <c r="F83" s="1">
        <f t="shared" ca="1" si="60"/>
        <v>4</v>
      </c>
      <c r="G83" s="1">
        <f t="shared" ca="1" si="61"/>
        <v>18</v>
      </c>
      <c r="H83" s="1">
        <f t="shared" ca="1" si="62"/>
        <v>1</v>
      </c>
      <c r="I83" s="1"/>
      <c r="J83" s="1">
        <f t="shared" ca="1" si="63"/>
        <v>17</v>
      </c>
      <c r="K83" s="1">
        <f t="shared" ca="1" si="64"/>
        <v>2.7337254739282759</v>
      </c>
      <c r="L83" s="1">
        <f t="shared" ca="1" si="65"/>
        <v>2</v>
      </c>
      <c r="M83" s="1"/>
      <c r="N83" s="1">
        <f t="shared" ca="1" si="66"/>
        <v>643</v>
      </c>
      <c r="O83" s="1">
        <f t="shared" ca="1" si="67"/>
        <v>12</v>
      </c>
      <c r="P83" s="1"/>
      <c r="Q83" s="1">
        <f t="shared" ca="1" si="68"/>
        <v>1.2106367146727093</v>
      </c>
      <c r="R83" s="1">
        <f t="shared" ca="1" si="69"/>
        <v>718</v>
      </c>
      <c r="S83" s="1"/>
      <c r="T83" s="1">
        <f t="shared" ca="1" si="70"/>
        <v>0.16455798223031409</v>
      </c>
      <c r="U83" s="1">
        <f t="shared" ca="1" si="71"/>
        <v>164</v>
      </c>
      <c r="V83" s="1">
        <f t="shared" ca="1" si="72"/>
        <v>38</v>
      </c>
      <c r="W83" s="1"/>
      <c r="X83" s="1">
        <f t="shared" ca="1" si="73"/>
        <v>4.5447596201461815</v>
      </c>
      <c r="Y83" s="1">
        <f t="shared" ca="1" si="74"/>
        <v>0.85913461119753376</v>
      </c>
      <c r="Z83" s="1">
        <f t="shared" ca="1" si="75"/>
        <v>1740</v>
      </c>
      <c r="AB83" s="1">
        <f t="shared" ca="1" si="76"/>
        <v>0.46434325074492139</v>
      </c>
      <c r="AC83" s="1">
        <f t="shared" ca="1" si="77"/>
        <v>572</v>
      </c>
      <c r="AD83" s="1">
        <f t="shared" ca="1" si="78"/>
        <v>6.6420404374261978E-3</v>
      </c>
      <c r="AE83" s="1"/>
      <c r="AF83" s="1">
        <f t="shared" ca="1" si="79"/>
        <v>0.66523051939182987</v>
      </c>
      <c r="AG83" s="1">
        <f t="shared" ca="1" si="80"/>
        <v>138</v>
      </c>
      <c r="AH83" s="1">
        <f t="shared" ca="1" si="81"/>
        <v>9.210279012709684E-3</v>
      </c>
      <c r="AJ83" s="1">
        <f t="shared" ca="1" si="82"/>
        <v>0.99823794403425148</v>
      </c>
      <c r="AK83" s="1">
        <f t="shared" ca="1" si="83"/>
        <v>6.7071995161842651E-3</v>
      </c>
      <c r="AL83" s="1"/>
      <c r="AM83" s="1">
        <f t="shared" ca="1" si="84"/>
        <v>0.12941302565064475</v>
      </c>
      <c r="AN83" s="1">
        <f t="shared" ca="1" si="85"/>
        <v>32</v>
      </c>
      <c r="AO83" s="1">
        <f t="shared" ca="1" si="86"/>
        <v>1</v>
      </c>
      <c r="AQ83" s="1">
        <f t="shared" ca="1" si="87"/>
        <v>63</v>
      </c>
      <c r="AR83" s="1">
        <f t="shared" ca="1" si="88"/>
        <v>1</v>
      </c>
      <c r="AS83" s="1">
        <f t="shared" ca="1" si="89"/>
        <v>44</v>
      </c>
      <c r="AU83" s="1">
        <f t="shared" ca="1" si="90"/>
        <v>357</v>
      </c>
      <c r="AV83" s="1">
        <f t="shared" ca="1" si="91"/>
        <v>9</v>
      </c>
      <c r="AW83" s="1">
        <f t="shared" ca="1" si="92"/>
        <v>0.17255513308339007</v>
      </c>
      <c r="AY83" s="1">
        <f t="shared" ca="1" si="93"/>
        <v>1.3109845163337621</v>
      </c>
      <c r="AZ83" s="1">
        <f t="shared" ca="1" si="94"/>
        <v>130</v>
      </c>
      <c r="BA83" s="1">
        <f t="shared" ca="1" si="95"/>
        <v>9.1394717564809071E-3</v>
      </c>
      <c r="BV83" s="1">
        <f t="shared" ca="1" si="96"/>
        <v>0.87085211550166919</v>
      </c>
      <c r="BW83" s="1">
        <f t="shared" ca="1" si="97"/>
        <v>362</v>
      </c>
      <c r="BX83" s="1">
        <f t="shared" ca="1" si="98"/>
        <v>1.3592315268792106E-3</v>
      </c>
      <c r="BY83" s="1">
        <f t="shared" ca="1" si="99"/>
        <v>5.2592120833429463E-2</v>
      </c>
      <c r="BZ83" s="1">
        <f t="shared" ca="1" si="100"/>
        <v>8.5654840804060495E-2</v>
      </c>
      <c r="CB83" s="1">
        <f t="shared" ca="1" si="101"/>
        <v>132</v>
      </c>
      <c r="CC83" s="1">
        <f t="shared" ca="1" si="102"/>
        <v>6</v>
      </c>
      <c r="CD83" s="1">
        <f t="shared" ca="1" si="103"/>
        <v>0.21532718215458743</v>
      </c>
      <c r="CE83" s="1">
        <f t="shared" ca="1" si="104"/>
        <v>0.99560006929725109</v>
      </c>
      <c r="CF83" s="1">
        <f t="shared" ca="1" si="104"/>
        <v>0.62327043430065387</v>
      </c>
      <c r="CH83" s="3">
        <f t="shared" ca="1" si="105"/>
        <v>0.24335072033809493</v>
      </c>
      <c r="CI83" s="3">
        <f t="shared" ca="1" si="106"/>
        <v>0.83764337302423231</v>
      </c>
      <c r="CJ83" s="3">
        <f t="shared" ca="1" si="107"/>
        <v>1138</v>
      </c>
      <c r="CK83" s="3">
        <f t="shared" ca="1" si="108"/>
        <v>2.8288673542666717E-3</v>
      </c>
      <c r="CL83" s="3">
        <f t="shared" ca="1" si="109"/>
        <v>1</v>
      </c>
      <c r="CM83" s="3"/>
      <c r="CN83" s="1">
        <f t="shared" ca="1" si="110"/>
        <v>0.37438100884492864</v>
      </c>
      <c r="CO83" s="1">
        <f t="shared" ca="1" si="111"/>
        <v>0.16109359604051357</v>
      </c>
      <c r="CP83" s="1">
        <f t="shared" ca="1" si="112"/>
        <v>4</v>
      </c>
    </row>
    <row r="84" spans="2:94" x14ac:dyDescent="0.25">
      <c r="B84">
        <f t="shared" ca="1" si="57"/>
        <v>790</v>
      </c>
      <c r="C84">
        <f t="shared" ca="1" si="58"/>
        <v>45</v>
      </c>
      <c r="D84">
        <f t="shared" ca="1" si="59"/>
        <v>0.25555140126912351</v>
      </c>
      <c r="F84" s="1">
        <f t="shared" ca="1" si="60"/>
        <v>15</v>
      </c>
      <c r="G84" s="1">
        <f t="shared" ca="1" si="61"/>
        <v>23</v>
      </c>
      <c r="H84" s="1">
        <f t="shared" ca="1" si="62"/>
        <v>10</v>
      </c>
      <c r="I84" s="1"/>
      <c r="J84" s="1">
        <f t="shared" ca="1" si="63"/>
        <v>27</v>
      </c>
      <c r="K84" s="1">
        <f t="shared" ca="1" si="64"/>
        <v>2.0498231815752908</v>
      </c>
      <c r="L84" s="1">
        <f t="shared" ca="1" si="65"/>
        <v>20</v>
      </c>
      <c r="M84" s="1"/>
      <c r="N84" s="1">
        <f t="shared" ca="1" si="66"/>
        <v>738</v>
      </c>
      <c r="O84" s="1">
        <f t="shared" ca="1" si="67"/>
        <v>32</v>
      </c>
      <c r="P84" s="1"/>
      <c r="Q84" s="1">
        <f t="shared" ca="1" si="68"/>
        <v>3.760488155620231</v>
      </c>
      <c r="R84" s="1">
        <f t="shared" ca="1" si="69"/>
        <v>566</v>
      </c>
      <c r="S84" s="1"/>
      <c r="T84" s="1">
        <f t="shared" ca="1" si="70"/>
        <v>7.7870983339504832E-2</v>
      </c>
      <c r="U84" s="1">
        <f t="shared" ca="1" si="71"/>
        <v>328</v>
      </c>
      <c r="V84" s="1">
        <f t="shared" ca="1" si="72"/>
        <v>7</v>
      </c>
      <c r="W84" s="1"/>
      <c r="X84" s="1">
        <f t="shared" ca="1" si="73"/>
        <v>8.0944803456559438</v>
      </c>
      <c r="Y84" s="1">
        <f t="shared" ca="1" si="74"/>
        <v>2.2352876885962034E-2</v>
      </c>
      <c r="Z84" s="1">
        <f t="shared" ca="1" si="75"/>
        <v>1420</v>
      </c>
      <c r="AB84" s="1">
        <f t="shared" ca="1" si="76"/>
        <v>0.43817791434129283</v>
      </c>
      <c r="AC84" s="1">
        <f t="shared" ca="1" si="77"/>
        <v>430</v>
      </c>
      <c r="AD84" s="1">
        <f t="shared" ca="1" si="78"/>
        <v>6.9128737869373113E-3</v>
      </c>
      <c r="AE84" s="1"/>
      <c r="AF84" s="1">
        <f t="shared" ca="1" si="79"/>
        <v>0.51815556456488088</v>
      </c>
      <c r="AG84" s="1">
        <f t="shared" ca="1" si="80"/>
        <v>256</v>
      </c>
      <c r="AH84" s="1">
        <f t="shared" ca="1" si="81"/>
        <v>4.0465718913372615E-4</v>
      </c>
      <c r="AJ84" s="1">
        <f t="shared" ca="1" si="82"/>
        <v>0.26287051360865921</v>
      </c>
      <c r="AK84" s="1">
        <f t="shared" ca="1" si="83"/>
        <v>6.1064396888122494E-3</v>
      </c>
      <c r="AL84" s="1"/>
      <c r="AM84" s="1">
        <f t="shared" ca="1" si="84"/>
        <v>0.15228531094707037</v>
      </c>
      <c r="AN84" s="1">
        <f t="shared" ca="1" si="85"/>
        <v>56</v>
      </c>
      <c r="AO84" s="1">
        <f t="shared" ca="1" si="86"/>
        <v>10</v>
      </c>
      <c r="AQ84" s="1">
        <f t="shared" ca="1" si="87"/>
        <v>167</v>
      </c>
      <c r="AR84" s="1">
        <f t="shared" ca="1" si="88"/>
        <v>0</v>
      </c>
      <c r="AS84" s="1">
        <f t="shared" ca="1" si="89"/>
        <v>94</v>
      </c>
      <c r="AU84" s="1">
        <f t="shared" ca="1" si="90"/>
        <v>79</v>
      </c>
      <c r="AV84" s="1">
        <f t="shared" ca="1" si="91"/>
        <v>10</v>
      </c>
      <c r="AW84" s="1">
        <f t="shared" ca="1" si="92"/>
        <v>0.13724508155281001</v>
      </c>
      <c r="AY84" s="1">
        <f t="shared" ca="1" si="93"/>
        <v>1.9108414850558548</v>
      </c>
      <c r="AZ84" s="1">
        <f t="shared" ca="1" si="94"/>
        <v>324</v>
      </c>
      <c r="BA84" s="1">
        <f t="shared" ca="1" si="95"/>
        <v>6.7848820117461135E-3</v>
      </c>
      <c r="BV84" s="1">
        <f t="shared" ca="1" si="96"/>
        <v>0.32782076912510821</v>
      </c>
      <c r="BW84" s="1">
        <f t="shared" ca="1" si="97"/>
        <v>323</v>
      </c>
      <c r="BX84" s="1">
        <f t="shared" ca="1" si="98"/>
        <v>7.9261512637654654E-3</v>
      </c>
      <c r="BY84" s="1">
        <f t="shared" ca="1" si="99"/>
        <v>9.9365033144846626E-2</v>
      </c>
      <c r="BZ84" s="1">
        <f t="shared" ca="1" si="100"/>
        <v>1.3922570792726741E-2</v>
      </c>
      <c r="CB84" s="1">
        <f t="shared" ca="1" si="101"/>
        <v>270</v>
      </c>
      <c r="CC84" s="1">
        <f t="shared" ca="1" si="102"/>
        <v>9</v>
      </c>
      <c r="CD84" s="1">
        <f t="shared" ca="1" si="103"/>
        <v>0.14154988937042789</v>
      </c>
      <c r="CE84" s="1">
        <f t="shared" ca="1" si="104"/>
        <v>0.66943228211373684</v>
      </c>
      <c r="CF84" s="1">
        <f t="shared" ca="1" si="104"/>
        <v>0.65332153850801311</v>
      </c>
      <c r="CH84" s="3">
        <f t="shared" ca="1" si="105"/>
        <v>0.12233512525035471</v>
      </c>
      <c r="CI84" s="3">
        <f t="shared" ca="1" si="106"/>
        <v>0.10328877334114935</v>
      </c>
      <c r="CJ84" s="3">
        <f t="shared" ca="1" si="107"/>
        <v>788</v>
      </c>
      <c r="CK84" s="3">
        <f t="shared" ca="1" si="108"/>
        <v>4.8943363701215653E-3</v>
      </c>
      <c r="CL84" s="3">
        <f t="shared" ca="1" si="109"/>
        <v>1</v>
      </c>
      <c r="CM84" s="3"/>
      <c r="CN84" s="1">
        <f t="shared" ca="1" si="110"/>
        <v>16.881237001451233</v>
      </c>
      <c r="CO84" s="1">
        <f t="shared" ca="1" si="111"/>
        <v>0.26459113883851837</v>
      </c>
      <c r="CP84" s="1">
        <f t="shared" ca="1" si="112"/>
        <v>5</v>
      </c>
    </row>
    <row r="85" spans="2:94" x14ac:dyDescent="0.25">
      <c r="B85">
        <f t="shared" ca="1" si="57"/>
        <v>808</v>
      </c>
      <c r="C85">
        <f t="shared" ca="1" si="58"/>
        <v>16</v>
      </c>
      <c r="D85">
        <f t="shared" ca="1" si="59"/>
        <v>0.28583817632734798</v>
      </c>
      <c r="F85" s="1">
        <f t="shared" ca="1" si="60"/>
        <v>19</v>
      </c>
      <c r="G85" s="1">
        <f t="shared" ca="1" si="61"/>
        <v>17</v>
      </c>
      <c r="H85" s="1">
        <f t="shared" ca="1" si="62"/>
        <v>4</v>
      </c>
      <c r="I85" s="1"/>
      <c r="J85" s="1">
        <f t="shared" ca="1" si="63"/>
        <v>18</v>
      </c>
      <c r="K85" s="1">
        <f t="shared" ca="1" si="64"/>
        <v>1.6805387478172378</v>
      </c>
      <c r="L85" s="1">
        <f t="shared" ca="1" si="65"/>
        <v>14</v>
      </c>
      <c r="M85" s="1"/>
      <c r="N85" s="1">
        <f t="shared" ca="1" si="66"/>
        <v>795</v>
      </c>
      <c r="O85" s="1">
        <f t="shared" ca="1" si="67"/>
        <v>24</v>
      </c>
      <c r="P85" s="1"/>
      <c r="Q85" s="1">
        <f t="shared" ca="1" si="68"/>
        <v>1.9059535741069207</v>
      </c>
      <c r="R85" s="1">
        <f t="shared" ca="1" si="69"/>
        <v>631</v>
      </c>
      <c r="S85" s="1"/>
      <c r="T85" s="1">
        <f t="shared" ca="1" si="70"/>
        <v>8.7493321117368697E-2</v>
      </c>
      <c r="U85" s="1">
        <f t="shared" ca="1" si="71"/>
        <v>58</v>
      </c>
      <c r="V85" s="1">
        <f t="shared" ca="1" si="72"/>
        <v>41</v>
      </c>
      <c r="W85" s="1"/>
      <c r="X85" s="1">
        <f t="shared" ca="1" si="73"/>
        <v>5.2837842767597643</v>
      </c>
      <c r="Y85" s="1">
        <f t="shared" ca="1" si="74"/>
        <v>0.52128048201013044</v>
      </c>
      <c r="Z85" s="1">
        <f t="shared" ca="1" si="75"/>
        <v>1654</v>
      </c>
      <c r="AB85" s="1">
        <f t="shared" ca="1" si="76"/>
        <v>0.80358971563886528</v>
      </c>
      <c r="AC85" s="1">
        <f t="shared" ca="1" si="77"/>
        <v>250</v>
      </c>
      <c r="AD85" s="1">
        <f t="shared" ca="1" si="78"/>
        <v>3.0835892750924595E-3</v>
      </c>
      <c r="AE85" s="1"/>
      <c r="AF85" s="1">
        <f t="shared" ca="1" si="79"/>
        <v>0.48213040208624214</v>
      </c>
      <c r="AG85" s="1">
        <f t="shared" ca="1" si="80"/>
        <v>854</v>
      </c>
      <c r="AH85" s="1">
        <f t="shared" ca="1" si="81"/>
        <v>1.1929357264483132E-4</v>
      </c>
      <c r="AJ85" s="1">
        <f t="shared" ca="1" si="82"/>
        <v>0.40220486374432152</v>
      </c>
      <c r="AK85" s="1">
        <f t="shared" ca="1" si="83"/>
        <v>3.5063347908727612E-3</v>
      </c>
      <c r="AL85" s="1"/>
      <c r="AM85" s="1">
        <f t="shared" ca="1" si="84"/>
        <v>1.9551517525926983E-2</v>
      </c>
      <c r="AN85" s="1">
        <f t="shared" ca="1" si="85"/>
        <v>75</v>
      </c>
      <c r="AO85" s="1">
        <f t="shared" ca="1" si="86"/>
        <v>15</v>
      </c>
      <c r="AQ85" s="1">
        <f t="shared" ca="1" si="87"/>
        <v>15</v>
      </c>
      <c r="AR85" s="1">
        <f t="shared" ca="1" si="88"/>
        <v>6</v>
      </c>
      <c r="AS85" s="1">
        <f t="shared" ca="1" si="89"/>
        <v>7</v>
      </c>
      <c r="AU85" s="1">
        <f t="shared" ca="1" si="90"/>
        <v>89</v>
      </c>
      <c r="AV85" s="1">
        <f t="shared" ca="1" si="91"/>
        <v>2</v>
      </c>
      <c r="AW85" s="1">
        <f t="shared" ca="1" si="92"/>
        <v>6.6313086055660178E-2</v>
      </c>
      <c r="AY85" s="1">
        <f t="shared" ca="1" si="93"/>
        <v>1.1141503281721317</v>
      </c>
      <c r="AZ85" s="1">
        <f t="shared" ca="1" si="94"/>
        <v>493</v>
      </c>
      <c r="BA85" s="1">
        <f t="shared" ca="1" si="95"/>
        <v>2.2264050287203703E-4</v>
      </c>
      <c r="BV85" s="1">
        <f t="shared" ca="1" si="96"/>
        <v>0.77566271153165134</v>
      </c>
      <c r="BW85" s="1">
        <f t="shared" ca="1" si="97"/>
        <v>804</v>
      </c>
      <c r="BX85" s="1">
        <f t="shared" ca="1" si="98"/>
        <v>2.4614906822952413E-3</v>
      </c>
      <c r="BY85" s="1">
        <f t="shared" ca="1" si="99"/>
        <v>1.3119609291496481E-2</v>
      </c>
      <c r="BZ85" s="1">
        <f t="shared" ca="1" si="100"/>
        <v>0.87060682289539193</v>
      </c>
      <c r="CB85" s="1">
        <f t="shared" ca="1" si="101"/>
        <v>356</v>
      </c>
      <c r="CC85" s="1">
        <f t="shared" ca="1" si="102"/>
        <v>8</v>
      </c>
      <c r="CD85" s="1">
        <f t="shared" ca="1" si="103"/>
        <v>0.25357794915556575</v>
      </c>
      <c r="CE85" s="1">
        <f t="shared" ca="1" si="104"/>
        <v>0.53977494677065985</v>
      </c>
      <c r="CF85" s="1">
        <f t="shared" ca="1" si="104"/>
        <v>0.57569132203749163</v>
      </c>
      <c r="CH85" s="3">
        <f t="shared" ca="1" si="105"/>
        <v>0.99227621450774062</v>
      </c>
      <c r="CI85" s="3">
        <f t="shared" ca="1" si="106"/>
        <v>0.7785058029336146</v>
      </c>
      <c r="CJ85" s="3">
        <f t="shared" ca="1" si="107"/>
        <v>1838</v>
      </c>
      <c r="CK85" s="3">
        <f t="shared" ca="1" si="108"/>
        <v>2.9541308661763591E-3</v>
      </c>
      <c r="CL85" s="3">
        <f t="shared" ca="1" si="109"/>
        <v>1</v>
      </c>
      <c r="CM85" s="3"/>
      <c r="CN85" s="1">
        <f t="shared" ca="1" si="110"/>
        <v>10.067433769784575</v>
      </c>
      <c r="CO85" s="1">
        <f t="shared" ca="1" si="111"/>
        <v>4.4843510814828631E-2</v>
      </c>
      <c r="CP85" s="1">
        <f t="shared" ca="1" si="112"/>
        <v>3</v>
      </c>
    </row>
    <row r="86" spans="2:94" x14ac:dyDescent="0.25">
      <c r="B86">
        <f t="shared" ca="1" si="57"/>
        <v>497</v>
      </c>
      <c r="C86">
        <f t="shared" ca="1" si="58"/>
        <v>50</v>
      </c>
      <c r="D86">
        <f t="shared" ca="1" si="59"/>
        <v>8.4544523338147326E-2</v>
      </c>
      <c r="F86" s="1">
        <f t="shared" ca="1" si="60"/>
        <v>28</v>
      </c>
      <c r="G86" s="1">
        <f t="shared" ca="1" si="61"/>
        <v>5</v>
      </c>
      <c r="H86" s="1">
        <f t="shared" ca="1" si="62"/>
        <v>12</v>
      </c>
      <c r="I86" s="1"/>
      <c r="J86" s="1">
        <f t="shared" ca="1" si="63"/>
        <v>8</v>
      </c>
      <c r="K86" s="1">
        <f t="shared" ca="1" si="64"/>
        <v>1.3584827556489627</v>
      </c>
      <c r="L86" s="1">
        <f t="shared" ca="1" si="65"/>
        <v>28</v>
      </c>
      <c r="M86" s="1"/>
      <c r="N86" s="1">
        <f t="shared" ca="1" si="66"/>
        <v>668</v>
      </c>
      <c r="O86" s="1">
        <f t="shared" ca="1" si="67"/>
        <v>48</v>
      </c>
      <c r="P86" s="1"/>
      <c r="Q86" s="1">
        <f t="shared" ca="1" si="68"/>
        <v>1.2772343164840745</v>
      </c>
      <c r="R86" s="1">
        <f t="shared" ca="1" si="69"/>
        <v>1110</v>
      </c>
      <c r="S86" s="1"/>
      <c r="T86" s="1">
        <f t="shared" ca="1" si="70"/>
        <v>0.19201794288557755</v>
      </c>
      <c r="U86" s="1">
        <f t="shared" ca="1" si="71"/>
        <v>347</v>
      </c>
      <c r="V86" s="1">
        <f t="shared" ca="1" si="72"/>
        <v>3</v>
      </c>
      <c r="W86" s="1"/>
      <c r="X86" s="1">
        <f t="shared" ca="1" si="73"/>
        <v>9.5705340280161728</v>
      </c>
      <c r="Y86" s="1">
        <f t="shared" ca="1" si="74"/>
        <v>0.48069249385701429</v>
      </c>
      <c r="Z86" s="1">
        <f t="shared" ca="1" si="75"/>
        <v>1340</v>
      </c>
      <c r="AB86" s="1">
        <f t="shared" ca="1" si="76"/>
        <v>0.13242433684529117</v>
      </c>
      <c r="AC86" s="1">
        <f t="shared" ca="1" si="77"/>
        <v>417</v>
      </c>
      <c r="AD86" s="1">
        <f t="shared" ca="1" si="78"/>
        <v>2.4196423487477187E-3</v>
      </c>
      <c r="AE86" s="1"/>
      <c r="AF86" s="1">
        <f t="shared" ca="1" si="79"/>
        <v>0.33035998252636944</v>
      </c>
      <c r="AG86" s="1">
        <f t="shared" ca="1" si="80"/>
        <v>114</v>
      </c>
      <c r="AH86" s="1">
        <f t="shared" ca="1" si="81"/>
        <v>1.6730640302394201E-3</v>
      </c>
      <c r="AJ86" s="1">
        <f t="shared" ca="1" si="82"/>
        <v>0.74831099913500154</v>
      </c>
      <c r="AK86" s="1">
        <f t="shared" ca="1" si="83"/>
        <v>5.1268478390416932E-3</v>
      </c>
      <c r="AL86" s="1"/>
      <c r="AM86" s="1">
        <f t="shared" ca="1" si="84"/>
        <v>4.8153318427572818E-2</v>
      </c>
      <c r="AN86" s="1">
        <f t="shared" ca="1" si="85"/>
        <v>58</v>
      </c>
      <c r="AO86" s="1">
        <f t="shared" ca="1" si="86"/>
        <v>8</v>
      </c>
      <c r="AQ86" s="1">
        <f t="shared" ca="1" si="87"/>
        <v>154</v>
      </c>
      <c r="AR86" s="1">
        <f t="shared" ca="1" si="88"/>
        <v>5</v>
      </c>
      <c r="AS86" s="1">
        <f t="shared" ca="1" si="89"/>
        <v>75</v>
      </c>
      <c r="AU86" s="1">
        <f t="shared" ca="1" si="90"/>
        <v>392</v>
      </c>
      <c r="AV86" s="1">
        <f t="shared" ca="1" si="91"/>
        <v>4</v>
      </c>
      <c r="AW86" s="1">
        <f t="shared" ca="1" si="92"/>
        <v>0.15268786399666737</v>
      </c>
      <c r="AY86" s="1">
        <f t="shared" ca="1" si="93"/>
        <v>1.6410551672089995</v>
      </c>
      <c r="AZ86" s="1">
        <f t="shared" ca="1" si="94"/>
        <v>151</v>
      </c>
      <c r="BA86" s="1">
        <f t="shared" ca="1" si="95"/>
        <v>6.0743604930445739E-3</v>
      </c>
      <c r="BV86" s="1">
        <f t="shared" ca="1" si="96"/>
        <v>0.16872076982044606</v>
      </c>
      <c r="BW86" s="1">
        <f t="shared" ca="1" si="97"/>
        <v>821</v>
      </c>
      <c r="BX86" s="1">
        <f t="shared" ca="1" si="98"/>
        <v>9.0943620592586327E-3</v>
      </c>
      <c r="BY86" s="1">
        <f t="shared" ca="1" si="99"/>
        <v>5.5908370401495253E-2</v>
      </c>
      <c r="BZ86" s="1">
        <f t="shared" ca="1" si="100"/>
        <v>0.76549897650885002</v>
      </c>
      <c r="CB86" s="1">
        <f t="shared" ca="1" si="101"/>
        <v>274</v>
      </c>
      <c r="CC86" s="1">
        <f t="shared" ca="1" si="102"/>
        <v>9</v>
      </c>
      <c r="CD86" s="1">
        <f t="shared" ca="1" si="103"/>
        <v>0.24479974333848592</v>
      </c>
      <c r="CE86" s="1">
        <f t="shared" ca="1" si="104"/>
        <v>0.67970765743701578</v>
      </c>
      <c r="CF86" s="1">
        <f t="shared" ca="1" si="104"/>
        <v>0.84631516036510535</v>
      </c>
      <c r="CH86" s="3">
        <f t="shared" ca="1" si="105"/>
        <v>0.82755710888028189</v>
      </c>
      <c r="CI86" s="3">
        <f t="shared" ca="1" si="106"/>
        <v>0.59448696193064687</v>
      </c>
      <c r="CJ86" s="3">
        <f t="shared" ca="1" si="107"/>
        <v>867</v>
      </c>
      <c r="CK86" s="3">
        <f t="shared" ca="1" si="108"/>
        <v>1.7377427380858659E-3</v>
      </c>
      <c r="CL86" s="3">
        <f t="shared" ca="1" si="109"/>
        <v>0</v>
      </c>
      <c r="CM86" s="3"/>
      <c r="CN86" s="1">
        <f t="shared" ca="1" si="110"/>
        <v>15.660235988485393</v>
      </c>
      <c r="CO86" s="1">
        <f t="shared" ca="1" si="111"/>
        <v>0.35324330145309213</v>
      </c>
      <c r="CP86" s="1">
        <f t="shared" ca="1" si="112"/>
        <v>1</v>
      </c>
    </row>
    <row r="87" spans="2:94" x14ac:dyDescent="0.25">
      <c r="B87">
        <f t="shared" ca="1" si="57"/>
        <v>163</v>
      </c>
      <c r="C87">
        <f t="shared" ca="1" si="58"/>
        <v>46</v>
      </c>
      <c r="D87">
        <f t="shared" ca="1" si="59"/>
        <v>7.7558106673817045E-2</v>
      </c>
      <c r="F87" s="1">
        <f t="shared" ca="1" si="60"/>
        <v>28</v>
      </c>
      <c r="G87" s="1">
        <f t="shared" ca="1" si="61"/>
        <v>8</v>
      </c>
      <c r="H87" s="1">
        <f t="shared" ca="1" si="62"/>
        <v>8</v>
      </c>
      <c r="I87" s="1"/>
      <c r="J87" s="1">
        <f t="shared" ca="1" si="63"/>
        <v>39</v>
      </c>
      <c r="K87" s="1">
        <f t="shared" ca="1" si="64"/>
        <v>2.5289625748085376</v>
      </c>
      <c r="L87" s="1">
        <f t="shared" ca="1" si="65"/>
        <v>6</v>
      </c>
      <c r="M87" s="1"/>
      <c r="N87" s="1">
        <f t="shared" ca="1" si="66"/>
        <v>881</v>
      </c>
      <c r="O87" s="1">
        <f t="shared" ca="1" si="67"/>
        <v>9</v>
      </c>
      <c r="P87" s="1"/>
      <c r="Q87" s="1">
        <f t="shared" ca="1" si="68"/>
        <v>4.1456627777118555</v>
      </c>
      <c r="R87" s="1">
        <f t="shared" ca="1" si="69"/>
        <v>536</v>
      </c>
      <c r="S87" s="1"/>
      <c r="T87" s="1">
        <f t="shared" ca="1" si="70"/>
        <v>7.7638345184722679E-2</v>
      </c>
      <c r="U87" s="1">
        <f t="shared" ca="1" si="71"/>
        <v>74</v>
      </c>
      <c r="V87" s="1">
        <f t="shared" ca="1" si="72"/>
        <v>19</v>
      </c>
      <c r="W87" s="1"/>
      <c r="X87" s="1">
        <f t="shared" ca="1" si="73"/>
        <v>2.6502755617345262</v>
      </c>
      <c r="Y87" s="1">
        <f t="shared" ca="1" si="74"/>
        <v>0.30335063408139179</v>
      </c>
      <c r="Z87" s="1">
        <f t="shared" ca="1" si="75"/>
        <v>505</v>
      </c>
      <c r="AB87" s="1">
        <f t="shared" ca="1" si="76"/>
        <v>0.31980050223404383</v>
      </c>
      <c r="AC87" s="1">
        <f t="shared" ca="1" si="77"/>
        <v>460</v>
      </c>
      <c r="AD87" s="1">
        <f t="shared" ca="1" si="78"/>
        <v>5.5143583710523031E-3</v>
      </c>
      <c r="AE87" s="1"/>
      <c r="AF87" s="1">
        <f t="shared" ca="1" si="79"/>
        <v>0.55632575900798542</v>
      </c>
      <c r="AG87" s="1">
        <f t="shared" ca="1" si="80"/>
        <v>294</v>
      </c>
      <c r="AH87" s="1">
        <f t="shared" ca="1" si="81"/>
        <v>9.0401412600850106E-3</v>
      </c>
      <c r="AJ87" s="1">
        <f t="shared" ca="1" si="82"/>
        <v>0.31426814920388502</v>
      </c>
      <c r="AK87" s="1">
        <f t="shared" ca="1" si="83"/>
        <v>2.126262806196395E-4</v>
      </c>
      <c r="AL87" s="1"/>
      <c r="AM87" s="1">
        <f t="shared" ca="1" si="84"/>
        <v>4.6634625421350002E-2</v>
      </c>
      <c r="AN87" s="1">
        <f t="shared" ca="1" si="85"/>
        <v>62</v>
      </c>
      <c r="AO87" s="1">
        <f t="shared" ca="1" si="86"/>
        <v>15</v>
      </c>
      <c r="AQ87" s="1">
        <f t="shared" ca="1" si="87"/>
        <v>81</v>
      </c>
      <c r="AR87" s="1">
        <f t="shared" ca="1" si="88"/>
        <v>2</v>
      </c>
      <c r="AS87" s="1">
        <f t="shared" ca="1" si="89"/>
        <v>70</v>
      </c>
      <c r="AU87" s="1">
        <f t="shared" ca="1" si="90"/>
        <v>54</v>
      </c>
      <c r="AV87" s="1">
        <f t="shared" ca="1" si="91"/>
        <v>7</v>
      </c>
      <c r="AW87" s="1">
        <f t="shared" ca="1" si="92"/>
        <v>0.12238795900080304</v>
      </c>
      <c r="AY87" s="1">
        <f t="shared" ca="1" si="93"/>
        <v>1.2990454181310238</v>
      </c>
      <c r="AZ87" s="1">
        <f t="shared" ca="1" si="94"/>
        <v>179</v>
      </c>
      <c r="BA87" s="1">
        <f t="shared" ca="1" si="95"/>
        <v>3.5176416178260574E-3</v>
      </c>
      <c r="BV87" s="1">
        <f t="shared" ca="1" si="96"/>
        <v>0.76599777275461456</v>
      </c>
      <c r="BW87" s="1">
        <f t="shared" ca="1" si="97"/>
        <v>734</v>
      </c>
      <c r="BX87" s="1">
        <f t="shared" ca="1" si="98"/>
        <v>5.2464502900034975E-3</v>
      </c>
      <c r="BY87" s="1">
        <f t="shared" ca="1" si="99"/>
        <v>2.9937333708326113E-2</v>
      </c>
      <c r="BZ87" s="1">
        <f t="shared" ca="1" si="100"/>
        <v>0.89220552620329696</v>
      </c>
      <c r="CB87" s="1">
        <f t="shared" ca="1" si="101"/>
        <v>147</v>
      </c>
      <c r="CC87" s="1">
        <f t="shared" ca="1" si="102"/>
        <v>9</v>
      </c>
      <c r="CD87" s="1">
        <f t="shared" ca="1" si="103"/>
        <v>5.6832261659304113E-2</v>
      </c>
      <c r="CE87" s="1">
        <f t="shared" ca="1" si="104"/>
        <v>0.50355165920869127</v>
      </c>
      <c r="CF87" s="1">
        <f t="shared" ca="1" si="104"/>
        <v>0.53540697309939023</v>
      </c>
      <c r="CH87" s="3">
        <f t="shared" ca="1" si="105"/>
        <v>0.66721822749594673</v>
      </c>
      <c r="CI87" s="3">
        <f t="shared" ca="1" si="106"/>
        <v>0.12676644807215276</v>
      </c>
      <c r="CJ87" s="3">
        <f t="shared" ca="1" si="107"/>
        <v>136</v>
      </c>
      <c r="CK87" s="3">
        <f t="shared" ca="1" si="108"/>
        <v>5.0492407338214402E-3</v>
      </c>
      <c r="CL87" s="3">
        <f t="shared" ca="1" si="109"/>
        <v>0</v>
      </c>
      <c r="CM87" s="3"/>
      <c r="CN87" s="1">
        <f t="shared" ca="1" si="110"/>
        <v>1.2522201834141613</v>
      </c>
      <c r="CO87" s="1">
        <f t="shared" ca="1" si="111"/>
        <v>0.48304377463096326</v>
      </c>
      <c r="CP87" s="1">
        <f t="shared" ca="1" si="112"/>
        <v>1</v>
      </c>
    </row>
    <row r="88" spans="2:94" x14ac:dyDescent="0.25">
      <c r="B88">
        <f t="shared" ca="1" si="57"/>
        <v>420</v>
      </c>
      <c r="C88">
        <f t="shared" ca="1" si="58"/>
        <v>46</v>
      </c>
      <c r="D88">
        <f t="shared" ca="1" si="59"/>
        <v>4.9608815590575485E-2</v>
      </c>
      <c r="F88" s="1">
        <f t="shared" ca="1" si="60"/>
        <v>26</v>
      </c>
      <c r="G88" s="1">
        <f t="shared" ca="1" si="61"/>
        <v>20</v>
      </c>
      <c r="H88" s="1">
        <f t="shared" ca="1" si="62"/>
        <v>4</v>
      </c>
      <c r="I88" s="1"/>
      <c r="J88" s="1">
        <f t="shared" ca="1" si="63"/>
        <v>21</v>
      </c>
      <c r="K88" s="1">
        <f t="shared" ca="1" si="64"/>
        <v>1.8307717446742162</v>
      </c>
      <c r="L88" s="1">
        <f t="shared" ca="1" si="65"/>
        <v>15</v>
      </c>
      <c r="M88" s="1"/>
      <c r="N88" s="1">
        <f t="shared" ca="1" si="66"/>
        <v>212</v>
      </c>
      <c r="O88" s="1">
        <f t="shared" ca="1" si="67"/>
        <v>51</v>
      </c>
      <c r="P88" s="1"/>
      <c r="Q88" s="1">
        <f t="shared" ca="1" si="68"/>
        <v>2.2343975059689476</v>
      </c>
      <c r="R88" s="1">
        <f t="shared" ca="1" si="69"/>
        <v>380</v>
      </c>
      <c r="S88" s="1"/>
      <c r="T88" s="1">
        <f t="shared" ca="1" si="70"/>
        <v>0.10452416681937271</v>
      </c>
      <c r="U88" s="1">
        <f t="shared" ca="1" si="71"/>
        <v>105</v>
      </c>
      <c r="V88" s="1">
        <f t="shared" ca="1" si="72"/>
        <v>11</v>
      </c>
      <c r="W88" s="1"/>
      <c r="X88" s="1">
        <f t="shared" ca="1" si="73"/>
        <v>1.5670827440187896</v>
      </c>
      <c r="Y88" s="1">
        <f t="shared" ca="1" si="74"/>
        <v>0.85794241669894655</v>
      </c>
      <c r="Z88" s="1">
        <f t="shared" ca="1" si="75"/>
        <v>948</v>
      </c>
      <c r="AB88" s="1">
        <f t="shared" ca="1" si="76"/>
        <v>0.91479261626475161</v>
      </c>
      <c r="AC88" s="1">
        <f t="shared" ca="1" si="77"/>
        <v>522</v>
      </c>
      <c r="AD88" s="1">
        <f t="shared" ca="1" si="78"/>
        <v>5.5037575522369243E-3</v>
      </c>
      <c r="AE88" s="1"/>
      <c r="AF88" s="1">
        <f t="shared" ca="1" si="79"/>
        <v>0.34568636512418127</v>
      </c>
      <c r="AG88" s="1">
        <f t="shared" ca="1" si="80"/>
        <v>829</v>
      </c>
      <c r="AH88" s="1">
        <f t="shared" ca="1" si="81"/>
        <v>4.5787861103855444E-4</v>
      </c>
      <c r="AJ88" s="1">
        <f t="shared" ca="1" si="82"/>
        <v>0.89141084930847003</v>
      </c>
      <c r="AK88" s="1">
        <f t="shared" ca="1" si="83"/>
        <v>7.7734246621337221E-3</v>
      </c>
      <c r="AL88" s="1"/>
      <c r="AM88" s="1">
        <f t="shared" ca="1" si="84"/>
        <v>0.13669474992541628</v>
      </c>
      <c r="AN88" s="1">
        <f t="shared" ca="1" si="85"/>
        <v>79</v>
      </c>
      <c r="AO88" s="1">
        <f t="shared" ca="1" si="86"/>
        <v>14</v>
      </c>
      <c r="AQ88" s="1">
        <f t="shared" ca="1" si="87"/>
        <v>70</v>
      </c>
      <c r="AR88" s="1">
        <f t="shared" ca="1" si="88"/>
        <v>10</v>
      </c>
      <c r="AS88" s="1">
        <f t="shared" ca="1" si="89"/>
        <v>35</v>
      </c>
      <c r="AU88" s="1">
        <f t="shared" ca="1" si="90"/>
        <v>153</v>
      </c>
      <c r="AV88" s="1">
        <f t="shared" ca="1" si="91"/>
        <v>4</v>
      </c>
      <c r="AW88" s="1">
        <f t="shared" ca="1" si="92"/>
        <v>2.8831163551831268E-2</v>
      </c>
      <c r="AY88" s="1">
        <f t="shared" ca="1" si="93"/>
        <v>1.4186975900068712</v>
      </c>
      <c r="AZ88" s="1">
        <f t="shared" ca="1" si="94"/>
        <v>356</v>
      </c>
      <c r="BA88" s="1">
        <f t="shared" ca="1" si="95"/>
        <v>1.1980423033447606E-3</v>
      </c>
      <c r="BV88" s="1">
        <f t="shared" ca="1" si="96"/>
        <v>1.4624069675250527E-2</v>
      </c>
      <c r="BW88" s="1">
        <f t="shared" ca="1" si="97"/>
        <v>945</v>
      </c>
      <c r="BX88" s="1">
        <f t="shared" ca="1" si="98"/>
        <v>3.0737745193837112E-4</v>
      </c>
      <c r="BY88" s="1">
        <f t="shared" ca="1" si="99"/>
        <v>2.7020057296312075E-4</v>
      </c>
      <c r="BZ88" s="1">
        <f t="shared" ca="1" si="100"/>
        <v>0.3670001464132171</v>
      </c>
      <c r="CB88" s="1">
        <f t="shared" ca="1" si="101"/>
        <v>225</v>
      </c>
      <c r="CC88" s="1">
        <f t="shared" ca="1" si="102"/>
        <v>6</v>
      </c>
      <c r="CD88" s="1">
        <f t="shared" ca="1" si="103"/>
        <v>0.29522107101099576</v>
      </c>
      <c r="CE88" s="1">
        <f t="shared" ca="1" si="104"/>
        <v>0.87061036516186019</v>
      </c>
      <c r="CF88" s="1">
        <f t="shared" ca="1" si="104"/>
        <v>0.65277443056338991</v>
      </c>
      <c r="CH88" s="3">
        <f t="shared" ca="1" si="105"/>
        <v>0.38157799015251914</v>
      </c>
      <c r="CI88" s="3">
        <f t="shared" ca="1" si="106"/>
        <v>0.46438753507407499</v>
      </c>
      <c r="CJ88" s="3">
        <f t="shared" ca="1" si="107"/>
        <v>711</v>
      </c>
      <c r="CK88" s="3">
        <f t="shared" ca="1" si="108"/>
        <v>3.2769259532760557E-3</v>
      </c>
      <c r="CL88" s="3">
        <f t="shared" ca="1" si="109"/>
        <v>0</v>
      </c>
      <c r="CM88" s="3"/>
      <c r="CN88" s="1">
        <f t="shared" ca="1" si="110"/>
        <v>12.014999285677964</v>
      </c>
      <c r="CO88" s="1">
        <f t="shared" ca="1" si="111"/>
        <v>0.18410675606331225</v>
      </c>
      <c r="CP88" s="1">
        <f t="shared" ca="1" si="112"/>
        <v>4</v>
      </c>
    </row>
    <row r="89" spans="2:94" x14ac:dyDescent="0.25">
      <c r="B89">
        <f t="shared" ca="1" si="57"/>
        <v>612</v>
      </c>
      <c r="C89">
        <f t="shared" ca="1" si="58"/>
        <v>43</v>
      </c>
      <c r="D89">
        <f t="shared" ca="1" si="59"/>
        <v>0.13212308659826938</v>
      </c>
      <c r="F89" s="1">
        <f t="shared" ca="1" si="60"/>
        <v>19</v>
      </c>
      <c r="G89" s="1">
        <f t="shared" ca="1" si="61"/>
        <v>26</v>
      </c>
      <c r="H89" s="1">
        <f t="shared" ca="1" si="62"/>
        <v>8</v>
      </c>
      <c r="I89" s="1"/>
      <c r="J89" s="1">
        <f t="shared" ca="1" si="63"/>
        <v>7</v>
      </c>
      <c r="K89" s="1">
        <f t="shared" ca="1" si="64"/>
        <v>2.5140847428680404</v>
      </c>
      <c r="L89" s="1">
        <f t="shared" ca="1" si="65"/>
        <v>14</v>
      </c>
      <c r="M89" s="1"/>
      <c r="N89" s="1">
        <f t="shared" ca="1" si="66"/>
        <v>779</v>
      </c>
      <c r="O89" s="1">
        <f t="shared" ca="1" si="67"/>
        <v>21</v>
      </c>
      <c r="P89" s="1"/>
      <c r="Q89" s="1">
        <f t="shared" ca="1" si="68"/>
        <v>1.1821961975211577</v>
      </c>
      <c r="R89" s="1">
        <f t="shared" ca="1" si="69"/>
        <v>202</v>
      </c>
      <c r="S89" s="1"/>
      <c r="T89" s="1">
        <f t="shared" ca="1" si="70"/>
        <v>3.5593683215487323E-2</v>
      </c>
      <c r="U89" s="1">
        <f t="shared" ca="1" si="71"/>
        <v>358</v>
      </c>
      <c r="V89" s="1">
        <f t="shared" ca="1" si="72"/>
        <v>10</v>
      </c>
      <c r="W89" s="1"/>
      <c r="X89" s="1">
        <f t="shared" ca="1" si="73"/>
        <v>7.4789727953876879</v>
      </c>
      <c r="Y89" s="1">
        <f t="shared" ca="1" si="74"/>
        <v>0.38398351897771099</v>
      </c>
      <c r="Z89" s="1">
        <f t="shared" ca="1" si="75"/>
        <v>776</v>
      </c>
      <c r="AB89" s="1">
        <f t="shared" ca="1" si="76"/>
        <v>9.0949307858655487E-2</v>
      </c>
      <c r="AC89" s="1">
        <f t="shared" ca="1" si="77"/>
        <v>589</v>
      </c>
      <c r="AD89" s="1">
        <f t="shared" ca="1" si="78"/>
        <v>2.7196285444421537E-3</v>
      </c>
      <c r="AE89" s="1"/>
      <c r="AF89" s="1">
        <f t="shared" ca="1" si="79"/>
        <v>0.22565997893950823</v>
      </c>
      <c r="AG89" s="1">
        <f t="shared" ca="1" si="80"/>
        <v>429</v>
      </c>
      <c r="AH89" s="1">
        <f t="shared" ca="1" si="81"/>
        <v>4.1545794527403689E-3</v>
      </c>
      <c r="AJ89" s="1">
        <f t="shared" ca="1" si="82"/>
        <v>0.5491318459091441</v>
      </c>
      <c r="AK89" s="1">
        <f t="shared" ca="1" si="83"/>
        <v>4.0617220572536474E-3</v>
      </c>
      <c r="AL89" s="1"/>
      <c r="AM89" s="1">
        <f t="shared" ca="1" si="84"/>
        <v>0.12901319670651629</v>
      </c>
      <c r="AN89" s="1">
        <f t="shared" ca="1" si="85"/>
        <v>27</v>
      </c>
      <c r="AO89" s="1">
        <f t="shared" ca="1" si="86"/>
        <v>17</v>
      </c>
      <c r="AQ89" s="1">
        <f t="shared" ca="1" si="87"/>
        <v>58</v>
      </c>
      <c r="AR89" s="1">
        <f t="shared" ca="1" si="88"/>
        <v>1</v>
      </c>
      <c r="AS89" s="1">
        <f t="shared" ca="1" si="89"/>
        <v>71</v>
      </c>
      <c r="AU89" s="1">
        <f t="shared" ca="1" si="90"/>
        <v>314</v>
      </c>
      <c r="AV89" s="1">
        <f t="shared" ca="1" si="91"/>
        <v>5</v>
      </c>
      <c r="AW89" s="1">
        <f t="shared" ca="1" si="92"/>
        <v>0.13029036324310442</v>
      </c>
      <c r="AY89" s="1">
        <f t="shared" ca="1" si="93"/>
        <v>1.4437199318030449</v>
      </c>
      <c r="AZ89" s="1">
        <f t="shared" ca="1" si="94"/>
        <v>374</v>
      </c>
      <c r="BA89" s="1">
        <f t="shared" ca="1" si="95"/>
        <v>5.5001229623227871E-3</v>
      </c>
      <c r="BV89" s="1">
        <f t="shared" ca="1" si="96"/>
        <v>0.45634424272233914</v>
      </c>
      <c r="BW89" s="1">
        <f t="shared" ca="1" si="97"/>
        <v>179</v>
      </c>
      <c r="BX89" s="1">
        <f t="shared" ca="1" si="98"/>
        <v>7.4799940339901963E-3</v>
      </c>
      <c r="BY89" s="1">
        <f t="shared" ca="1" si="99"/>
        <v>9.9676370570657563E-2</v>
      </c>
      <c r="BZ89" s="1">
        <f t="shared" ca="1" si="100"/>
        <v>0.24458504652603941</v>
      </c>
      <c r="CB89" s="1">
        <f t="shared" ca="1" si="101"/>
        <v>67</v>
      </c>
      <c r="CC89" s="1">
        <f t="shared" ca="1" si="102"/>
        <v>9</v>
      </c>
      <c r="CD89" s="1">
        <f t="shared" ca="1" si="103"/>
        <v>3.4713394104327125E-2</v>
      </c>
      <c r="CE89" s="1">
        <f t="shared" ca="1" si="104"/>
        <v>0.58215408045646466</v>
      </c>
      <c r="CF89" s="1">
        <f t="shared" ca="1" si="104"/>
        <v>0.84862446717300222</v>
      </c>
      <c r="CH89" s="3">
        <f t="shared" ca="1" si="105"/>
        <v>7.3056835313939431E-2</v>
      </c>
      <c r="CI89" s="3">
        <f t="shared" ca="1" si="106"/>
        <v>0.2583904854880204</v>
      </c>
      <c r="CJ89" s="3">
        <f t="shared" ca="1" si="107"/>
        <v>1198</v>
      </c>
      <c r="CK89" s="3">
        <f t="shared" ca="1" si="108"/>
        <v>7.2705717340090358E-3</v>
      </c>
      <c r="CL89" s="3">
        <f t="shared" ca="1" si="109"/>
        <v>1</v>
      </c>
      <c r="CM89" s="3"/>
      <c r="CN89" s="1">
        <f t="shared" ca="1" si="110"/>
        <v>1.1493323663229138</v>
      </c>
      <c r="CO89" s="1">
        <f t="shared" ca="1" si="111"/>
        <v>0.28831847179312936</v>
      </c>
      <c r="CP89" s="1">
        <f t="shared" ca="1" si="112"/>
        <v>4</v>
      </c>
    </row>
    <row r="90" spans="2:94" x14ac:dyDescent="0.25">
      <c r="B90">
        <f t="shared" ca="1" si="57"/>
        <v>885</v>
      </c>
      <c r="C90">
        <f t="shared" ca="1" si="58"/>
        <v>22</v>
      </c>
      <c r="D90">
        <f t="shared" ca="1" si="59"/>
        <v>8.0205460708062726E-2</v>
      </c>
      <c r="F90" s="1">
        <f t="shared" ca="1" si="60"/>
        <v>48</v>
      </c>
      <c r="G90" s="1">
        <f t="shared" ca="1" si="61"/>
        <v>29</v>
      </c>
      <c r="H90" s="1">
        <f t="shared" ca="1" si="62"/>
        <v>6</v>
      </c>
      <c r="I90" s="1"/>
      <c r="J90" s="1">
        <f t="shared" ca="1" si="63"/>
        <v>16</v>
      </c>
      <c r="K90" s="1">
        <f t="shared" ca="1" si="64"/>
        <v>1.4322780359622522</v>
      </c>
      <c r="L90" s="1">
        <f t="shared" ca="1" si="65"/>
        <v>10</v>
      </c>
      <c r="M90" s="1"/>
      <c r="N90" s="1">
        <f t="shared" ca="1" si="66"/>
        <v>848</v>
      </c>
      <c r="O90" s="1">
        <f t="shared" ca="1" si="67"/>
        <v>23</v>
      </c>
      <c r="P90" s="1"/>
      <c r="Q90" s="1">
        <f t="shared" ca="1" si="68"/>
        <v>0.53949073321515884</v>
      </c>
      <c r="R90" s="1">
        <f t="shared" ca="1" si="69"/>
        <v>724</v>
      </c>
      <c r="S90" s="1"/>
      <c r="T90" s="1">
        <f t="shared" ca="1" si="70"/>
        <v>0.10448397338543125</v>
      </c>
      <c r="U90" s="1">
        <f t="shared" ca="1" si="71"/>
        <v>186</v>
      </c>
      <c r="V90" s="1">
        <f t="shared" ca="1" si="72"/>
        <v>36</v>
      </c>
      <c r="W90" s="1"/>
      <c r="X90" s="1">
        <f t="shared" ca="1" si="73"/>
        <v>6.9042383770687028</v>
      </c>
      <c r="Y90" s="1">
        <f t="shared" ca="1" si="74"/>
        <v>0.89988247813733013</v>
      </c>
      <c r="Z90" s="1">
        <f t="shared" ca="1" si="75"/>
        <v>1882</v>
      </c>
      <c r="AB90" s="1">
        <f t="shared" ca="1" si="76"/>
        <v>0.98919791771535259</v>
      </c>
      <c r="AC90" s="1">
        <f t="shared" ca="1" si="77"/>
        <v>240</v>
      </c>
      <c r="AD90" s="1">
        <f t="shared" ca="1" si="78"/>
        <v>2.4497628377089988E-3</v>
      </c>
      <c r="AE90" s="1"/>
      <c r="AF90" s="1">
        <f t="shared" ca="1" si="79"/>
        <v>0.30324204816803146</v>
      </c>
      <c r="AG90" s="1">
        <f t="shared" ca="1" si="80"/>
        <v>614</v>
      </c>
      <c r="AH90" s="1">
        <f t="shared" ca="1" si="81"/>
        <v>5.6962032111196933E-3</v>
      </c>
      <c r="AJ90" s="1">
        <f t="shared" ca="1" si="82"/>
        <v>8.4507428844736943E-2</v>
      </c>
      <c r="AK90" s="1">
        <f t="shared" ca="1" si="83"/>
        <v>7.9788299613871311E-3</v>
      </c>
      <c r="AL90" s="1"/>
      <c r="AM90" s="1">
        <f t="shared" ca="1" si="84"/>
        <v>0.19045809107749193</v>
      </c>
      <c r="AN90" s="1">
        <f t="shared" ca="1" si="85"/>
        <v>13</v>
      </c>
      <c r="AO90" s="1">
        <f t="shared" ca="1" si="86"/>
        <v>0</v>
      </c>
      <c r="AQ90" s="1">
        <f t="shared" ca="1" si="87"/>
        <v>138</v>
      </c>
      <c r="AR90" s="1">
        <f t="shared" ca="1" si="88"/>
        <v>4</v>
      </c>
      <c r="AS90" s="1">
        <f t="shared" ca="1" si="89"/>
        <v>12</v>
      </c>
      <c r="AU90" s="1">
        <f t="shared" ca="1" si="90"/>
        <v>325</v>
      </c>
      <c r="AV90" s="1">
        <f t="shared" ca="1" si="91"/>
        <v>10</v>
      </c>
      <c r="AW90" s="1">
        <f t="shared" ca="1" si="92"/>
        <v>9.8589967886020813E-2</v>
      </c>
      <c r="AY90" s="1">
        <f t="shared" ca="1" si="93"/>
        <v>1.8702900611546105</v>
      </c>
      <c r="AZ90" s="1">
        <f t="shared" ca="1" si="94"/>
        <v>52</v>
      </c>
      <c r="BA90" s="1">
        <f t="shared" ca="1" si="95"/>
        <v>3.3436916918215026E-3</v>
      </c>
      <c r="BV90" s="1">
        <f t="shared" ca="1" si="96"/>
        <v>0.21912537824801373</v>
      </c>
      <c r="BW90" s="1">
        <f t="shared" ca="1" si="97"/>
        <v>578</v>
      </c>
      <c r="BX90" s="1">
        <f t="shared" ca="1" si="98"/>
        <v>3.0552626107050417E-3</v>
      </c>
      <c r="BY90" s="1">
        <f t="shared" ca="1" si="99"/>
        <v>8.7503374859029634E-2</v>
      </c>
      <c r="BZ90" s="1">
        <f t="shared" ca="1" si="100"/>
        <v>0.34618690189581258</v>
      </c>
      <c r="CB90" s="1">
        <f t="shared" ca="1" si="101"/>
        <v>449</v>
      </c>
      <c r="CC90" s="1">
        <f t="shared" ca="1" si="102"/>
        <v>10</v>
      </c>
      <c r="CD90" s="1">
        <f t="shared" ca="1" si="103"/>
        <v>0.19593438187843099</v>
      </c>
      <c r="CE90" s="1">
        <f t="shared" ca="1" si="104"/>
        <v>0.785889453606327</v>
      </c>
      <c r="CF90" s="1">
        <f t="shared" ca="1" si="104"/>
        <v>0.94491010916761331</v>
      </c>
      <c r="CH90" s="3">
        <f t="shared" ca="1" si="105"/>
        <v>0.67092346679220038</v>
      </c>
      <c r="CI90" s="3">
        <f t="shared" ca="1" si="106"/>
        <v>0.3126242083973666</v>
      </c>
      <c r="CJ90" s="3">
        <f t="shared" ca="1" si="107"/>
        <v>547</v>
      </c>
      <c r="CK90" s="3">
        <f t="shared" ca="1" si="108"/>
        <v>8.4049529107415206E-3</v>
      </c>
      <c r="CL90" s="3">
        <f t="shared" ca="1" si="109"/>
        <v>0</v>
      </c>
      <c r="CM90" s="3"/>
      <c r="CN90" s="1">
        <f t="shared" ca="1" si="110"/>
        <v>18.980595806090609</v>
      </c>
      <c r="CO90" s="1">
        <f t="shared" ca="1" si="111"/>
        <v>0.43247239328952752</v>
      </c>
      <c r="CP90" s="1">
        <f t="shared" ca="1" si="112"/>
        <v>1</v>
      </c>
    </row>
    <row r="91" spans="2:94" x14ac:dyDescent="0.25">
      <c r="B91">
        <f t="shared" ca="1" si="57"/>
        <v>930</v>
      </c>
      <c r="C91">
        <f t="shared" ca="1" si="58"/>
        <v>9</v>
      </c>
      <c r="D91">
        <f t="shared" ca="1" si="59"/>
        <v>5.5021647322855943E-2</v>
      </c>
      <c r="F91" s="1">
        <f t="shared" ca="1" si="60"/>
        <v>22</v>
      </c>
      <c r="G91" s="1">
        <f t="shared" ca="1" si="61"/>
        <v>21</v>
      </c>
      <c r="H91" s="1">
        <f t="shared" ca="1" si="62"/>
        <v>15</v>
      </c>
      <c r="I91" s="1"/>
      <c r="J91" s="1">
        <f t="shared" ca="1" si="63"/>
        <v>34</v>
      </c>
      <c r="K91" s="1">
        <f t="shared" ca="1" si="64"/>
        <v>2.8051811724744695</v>
      </c>
      <c r="L91" s="1">
        <f t="shared" ca="1" si="65"/>
        <v>26</v>
      </c>
      <c r="M91" s="1"/>
      <c r="N91" s="1">
        <f t="shared" ca="1" si="66"/>
        <v>639</v>
      </c>
      <c r="O91" s="1">
        <f t="shared" ca="1" si="67"/>
        <v>37</v>
      </c>
      <c r="P91" s="1"/>
      <c r="Q91" s="1">
        <f t="shared" ca="1" si="68"/>
        <v>1.1884378513592662</v>
      </c>
      <c r="R91" s="1">
        <f t="shared" ca="1" si="69"/>
        <v>421</v>
      </c>
      <c r="S91" s="1"/>
      <c r="T91" s="1">
        <f t="shared" ca="1" si="70"/>
        <v>7.9762081064616977E-2</v>
      </c>
      <c r="U91" s="1">
        <f t="shared" ca="1" si="71"/>
        <v>80</v>
      </c>
      <c r="V91" s="1">
        <f t="shared" ca="1" si="72"/>
        <v>18</v>
      </c>
      <c r="W91" s="1"/>
      <c r="X91" s="1">
        <f t="shared" ca="1" si="73"/>
        <v>5.3373129042453602</v>
      </c>
      <c r="Y91" s="1">
        <f t="shared" ca="1" si="74"/>
        <v>0.23251933902026992</v>
      </c>
      <c r="Z91" s="1">
        <f t="shared" ca="1" si="75"/>
        <v>646</v>
      </c>
      <c r="AB91" s="1">
        <f t="shared" ca="1" si="76"/>
        <v>8.0182147048592362E-2</v>
      </c>
      <c r="AC91" s="1">
        <f t="shared" ca="1" si="77"/>
        <v>663</v>
      </c>
      <c r="AD91" s="1">
        <f t="shared" ca="1" si="78"/>
        <v>1.6095347143668178E-3</v>
      </c>
      <c r="AE91" s="1"/>
      <c r="AF91" s="1">
        <f t="shared" ca="1" si="79"/>
        <v>0.2009790593339619</v>
      </c>
      <c r="AG91" s="1">
        <f t="shared" ca="1" si="80"/>
        <v>586</v>
      </c>
      <c r="AH91" s="1">
        <f t="shared" ca="1" si="81"/>
        <v>3.308434519694925E-3</v>
      </c>
      <c r="AJ91" s="1">
        <f t="shared" ca="1" si="82"/>
        <v>0.72354314379963669</v>
      </c>
      <c r="AK91" s="1">
        <f t="shared" ca="1" si="83"/>
        <v>3.436361924998656E-3</v>
      </c>
      <c r="AL91" s="1"/>
      <c r="AM91" s="1">
        <f t="shared" ca="1" si="84"/>
        <v>2.3508111628811539E-2</v>
      </c>
      <c r="AN91" s="1">
        <f t="shared" ca="1" si="85"/>
        <v>35</v>
      </c>
      <c r="AO91" s="1">
        <f t="shared" ca="1" si="86"/>
        <v>9</v>
      </c>
      <c r="AQ91" s="1">
        <f t="shared" ca="1" si="87"/>
        <v>119</v>
      </c>
      <c r="AR91" s="1">
        <f t="shared" ca="1" si="88"/>
        <v>7</v>
      </c>
      <c r="AS91" s="1">
        <f t="shared" ca="1" si="89"/>
        <v>31</v>
      </c>
      <c r="AU91" s="1">
        <f t="shared" ca="1" si="90"/>
        <v>336</v>
      </c>
      <c r="AV91" s="1">
        <f t="shared" ca="1" si="91"/>
        <v>5</v>
      </c>
      <c r="AW91" s="1">
        <f t="shared" ca="1" si="92"/>
        <v>8.779482712037609E-2</v>
      </c>
      <c r="AY91" s="1">
        <f t="shared" ca="1" si="93"/>
        <v>1.5953575963307691</v>
      </c>
      <c r="AZ91" s="1">
        <f t="shared" ca="1" si="94"/>
        <v>59</v>
      </c>
      <c r="BA91" s="1">
        <f t="shared" ca="1" si="95"/>
        <v>3.2077391966416169E-3</v>
      </c>
      <c r="BV91" s="1">
        <f t="shared" ca="1" si="96"/>
        <v>0.17700525125102742</v>
      </c>
      <c r="BW91" s="1">
        <f t="shared" ca="1" si="97"/>
        <v>794</v>
      </c>
      <c r="BX91" s="1">
        <f t="shared" ca="1" si="98"/>
        <v>6.4198086232845064E-3</v>
      </c>
      <c r="BY91" s="1">
        <f t="shared" ca="1" si="99"/>
        <v>5.2697008522355863E-2</v>
      </c>
      <c r="BZ91" s="1">
        <f t="shared" ca="1" si="100"/>
        <v>0.52858926934956896</v>
      </c>
      <c r="CB91" s="1">
        <f t="shared" ca="1" si="101"/>
        <v>182</v>
      </c>
      <c r="CC91" s="1">
        <f t="shared" ca="1" si="102"/>
        <v>7</v>
      </c>
      <c r="CD91" s="1">
        <f t="shared" ca="1" si="103"/>
        <v>0.18095871172476186</v>
      </c>
      <c r="CE91" s="1">
        <f t="shared" ca="1" si="104"/>
        <v>0.94383383195720794</v>
      </c>
      <c r="CF91" s="1">
        <f t="shared" ca="1" si="104"/>
        <v>0.92855559195933157</v>
      </c>
      <c r="CH91" s="3">
        <f t="shared" ca="1" si="105"/>
        <v>0.38303521328292522</v>
      </c>
      <c r="CI91" s="3">
        <f t="shared" ca="1" si="106"/>
        <v>0.60192180274437079</v>
      </c>
      <c r="CJ91" s="3">
        <f t="shared" ca="1" si="107"/>
        <v>1380</v>
      </c>
      <c r="CK91" s="3">
        <f t="shared" ca="1" si="108"/>
        <v>9.696926539743609E-3</v>
      </c>
      <c r="CL91" s="3">
        <f t="shared" ca="1" si="109"/>
        <v>0</v>
      </c>
      <c r="CM91" s="3"/>
      <c r="CN91" s="1">
        <f t="shared" ca="1" si="110"/>
        <v>14.91135280062695</v>
      </c>
      <c r="CO91" s="1">
        <f t="shared" ca="1" si="111"/>
        <v>0.28316004117904298</v>
      </c>
      <c r="CP91" s="1">
        <f t="shared" ca="1" si="112"/>
        <v>2</v>
      </c>
    </row>
    <row r="92" spans="2:94" x14ac:dyDescent="0.25">
      <c r="B92">
        <f t="shared" ca="1" si="57"/>
        <v>663</v>
      </c>
      <c r="C92">
        <f t="shared" ca="1" si="58"/>
        <v>49</v>
      </c>
      <c r="D92">
        <f t="shared" ca="1" si="59"/>
        <v>0.27818577681515788</v>
      </c>
      <c r="F92" s="1">
        <f t="shared" ca="1" si="60"/>
        <v>22</v>
      </c>
      <c r="G92" s="1">
        <f t="shared" ca="1" si="61"/>
        <v>21</v>
      </c>
      <c r="H92" s="1">
        <f t="shared" ca="1" si="62"/>
        <v>11</v>
      </c>
      <c r="I92" s="1"/>
      <c r="J92" s="1">
        <f t="shared" ca="1" si="63"/>
        <v>19</v>
      </c>
      <c r="K92" s="1">
        <f t="shared" ca="1" si="64"/>
        <v>2.2951006040998325</v>
      </c>
      <c r="L92" s="1">
        <f t="shared" ca="1" si="65"/>
        <v>28</v>
      </c>
      <c r="M92" s="1"/>
      <c r="N92" s="1">
        <f t="shared" ca="1" si="66"/>
        <v>730</v>
      </c>
      <c r="O92" s="1">
        <f t="shared" ca="1" si="67"/>
        <v>14</v>
      </c>
      <c r="P92" s="1"/>
      <c r="Q92" s="1">
        <f t="shared" ca="1" si="68"/>
        <v>3.0795793179746442</v>
      </c>
      <c r="R92" s="1">
        <f t="shared" ca="1" si="69"/>
        <v>1048</v>
      </c>
      <c r="S92" s="1"/>
      <c r="T92" s="1">
        <f t="shared" ca="1" si="70"/>
        <v>0.1422295979961182</v>
      </c>
      <c r="U92" s="1">
        <f t="shared" ca="1" si="71"/>
        <v>131</v>
      </c>
      <c r="V92" s="1">
        <f t="shared" ca="1" si="72"/>
        <v>48</v>
      </c>
      <c r="W92" s="1"/>
      <c r="X92" s="1">
        <f t="shared" ca="1" si="73"/>
        <v>6.6248890632061483</v>
      </c>
      <c r="Y92" s="1">
        <f t="shared" ca="1" si="74"/>
        <v>0.85303777156778282</v>
      </c>
      <c r="Z92" s="1">
        <f t="shared" ca="1" si="75"/>
        <v>137</v>
      </c>
      <c r="AB92" s="1">
        <f t="shared" ca="1" si="76"/>
        <v>0.90700322902333352</v>
      </c>
      <c r="AC92" s="1">
        <f t="shared" ca="1" si="77"/>
        <v>155</v>
      </c>
      <c r="AD92" s="1">
        <f t="shared" ca="1" si="78"/>
        <v>1.8524749345702443E-3</v>
      </c>
      <c r="AE92" s="1"/>
      <c r="AF92" s="1">
        <f t="shared" ca="1" si="79"/>
        <v>0.1563886394242732</v>
      </c>
      <c r="AG92" s="1">
        <f t="shared" ca="1" si="80"/>
        <v>532</v>
      </c>
      <c r="AH92" s="1">
        <f t="shared" ca="1" si="81"/>
        <v>7.7845385231584468E-3</v>
      </c>
      <c r="AJ92" s="1">
        <f t="shared" ca="1" si="82"/>
        <v>0.87435386624173428</v>
      </c>
      <c r="AK92" s="1">
        <f t="shared" ca="1" si="83"/>
        <v>2.3276665384973482E-3</v>
      </c>
      <c r="AL92" s="1"/>
      <c r="AM92" s="1">
        <f t="shared" ca="1" si="84"/>
        <v>8.4188710471936767E-2</v>
      </c>
      <c r="AN92" s="1">
        <f t="shared" ca="1" si="85"/>
        <v>55</v>
      </c>
      <c r="AO92" s="1">
        <f t="shared" ca="1" si="86"/>
        <v>0</v>
      </c>
      <c r="AQ92" s="1">
        <f t="shared" ca="1" si="87"/>
        <v>26</v>
      </c>
      <c r="AR92" s="1">
        <f t="shared" ca="1" si="88"/>
        <v>7</v>
      </c>
      <c r="AS92" s="1">
        <f t="shared" ca="1" si="89"/>
        <v>94</v>
      </c>
      <c r="AU92" s="1">
        <f t="shared" ca="1" si="90"/>
        <v>158</v>
      </c>
      <c r="AV92" s="1">
        <f t="shared" ca="1" si="91"/>
        <v>9</v>
      </c>
      <c r="AW92" s="1">
        <f t="shared" ca="1" si="92"/>
        <v>0.10870939539594554</v>
      </c>
      <c r="AY92" s="1">
        <f t="shared" ca="1" si="93"/>
        <v>1.5624906948637216</v>
      </c>
      <c r="AZ92" s="1">
        <f t="shared" ca="1" si="94"/>
        <v>216</v>
      </c>
      <c r="BA92" s="1">
        <f t="shared" ca="1" si="95"/>
        <v>6.54326200618628E-3</v>
      </c>
      <c r="BV92" s="1">
        <f t="shared" ca="1" si="96"/>
        <v>0.87227678959995947</v>
      </c>
      <c r="BW92" s="1">
        <f t="shared" ca="1" si="97"/>
        <v>1000</v>
      </c>
      <c r="BX92" s="1">
        <f t="shared" ca="1" si="98"/>
        <v>1.0926089588486599E-3</v>
      </c>
      <c r="BY92" s="1">
        <f t="shared" ca="1" si="99"/>
        <v>6.9797417366279771E-2</v>
      </c>
      <c r="BZ92" s="1">
        <f t="shared" ca="1" si="100"/>
        <v>0.57643192054607417</v>
      </c>
      <c r="CB92" s="1">
        <f t="shared" ca="1" si="101"/>
        <v>352</v>
      </c>
      <c r="CC92" s="1">
        <f t="shared" ca="1" si="102"/>
        <v>5</v>
      </c>
      <c r="CD92" s="1">
        <f t="shared" ca="1" si="103"/>
        <v>0.29864498930490802</v>
      </c>
      <c r="CE92" s="1">
        <f t="shared" ca="1" si="104"/>
        <v>0.97672731996869588</v>
      </c>
      <c r="CF92" s="1">
        <f t="shared" ca="1" si="104"/>
        <v>0.88556762048872428</v>
      </c>
      <c r="CH92" s="3">
        <f t="shared" ca="1" si="105"/>
        <v>0.17362434277696021</v>
      </c>
      <c r="CI92" s="3">
        <f t="shared" ca="1" si="106"/>
        <v>0.12661575266239924</v>
      </c>
      <c r="CJ92" s="3">
        <f t="shared" ca="1" si="107"/>
        <v>1410</v>
      </c>
      <c r="CK92" s="3">
        <f t="shared" ca="1" si="108"/>
        <v>1.9934852266186068E-3</v>
      </c>
      <c r="CL92" s="3">
        <f t="shared" ca="1" si="109"/>
        <v>1</v>
      </c>
      <c r="CM92" s="3"/>
      <c r="CN92" s="1">
        <f t="shared" ca="1" si="110"/>
        <v>19.06663510215898</v>
      </c>
      <c r="CO92" s="1">
        <f t="shared" ca="1" si="111"/>
        <v>6.9108589280785129E-2</v>
      </c>
      <c r="CP92" s="1">
        <f t="shared" ca="1" si="112"/>
        <v>3</v>
      </c>
    </row>
    <row r="93" spans="2:94" x14ac:dyDescent="0.25">
      <c r="B93">
        <f t="shared" ca="1" si="57"/>
        <v>207</v>
      </c>
      <c r="C93">
        <f t="shared" ca="1" si="58"/>
        <v>7</v>
      </c>
      <c r="D93">
        <f t="shared" ca="1" si="59"/>
        <v>0.23107033426248913</v>
      </c>
      <c r="F93" s="1">
        <f t="shared" ca="1" si="60"/>
        <v>32</v>
      </c>
      <c r="G93" s="1">
        <f t="shared" ca="1" si="61"/>
        <v>13</v>
      </c>
      <c r="H93" s="1">
        <f t="shared" ca="1" si="62"/>
        <v>3</v>
      </c>
      <c r="I93" s="1"/>
      <c r="J93" s="1">
        <f t="shared" ca="1" si="63"/>
        <v>20</v>
      </c>
      <c r="K93" s="1">
        <f t="shared" ca="1" si="64"/>
        <v>1.7507186176621197</v>
      </c>
      <c r="L93" s="1">
        <f t="shared" ca="1" si="65"/>
        <v>29</v>
      </c>
      <c r="M93" s="1"/>
      <c r="N93" s="1">
        <f t="shared" ca="1" si="66"/>
        <v>25</v>
      </c>
      <c r="O93" s="1">
        <f t="shared" ca="1" si="67"/>
        <v>11</v>
      </c>
      <c r="P93" s="1"/>
      <c r="Q93" s="1">
        <f t="shared" ca="1" si="68"/>
        <v>4.0574999718586184</v>
      </c>
      <c r="R93" s="1">
        <f t="shared" ca="1" si="69"/>
        <v>993</v>
      </c>
      <c r="S93" s="1"/>
      <c r="T93" s="1">
        <f t="shared" ca="1" si="70"/>
        <v>0.14851588637371774</v>
      </c>
      <c r="U93" s="1">
        <f t="shared" ca="1" si="71"/>
        <v>292</v>
      </c>
      <c r="V93" s="1">
        <f t="shared" ca="1" si="72"/>
        <v>12</v>
      </c>
      <c r="W93" s="1"/>
      <c r="X93" s="1">
        <f t="shared" ca="1" si="73"/>
        <v>3.3096700879324468</v>
      </c>
      <c r="Y93" s="1">
        <f t="shared" ca="1" si="74"/>
        <v>0.3690228936680614</v>
      </c>
      <c r="Z93" s="1">
        <f t="shared" ca="1" si="75"/>
        <v>1145</v>
      </c>
      <c r="AB93" s="1">
        <f t="shared" ca="1" si="76"/>
        <v>0.76427945669219621</v>
      </c>
      <c r="AC93" s="1">
        <f t="shared" ca="1" si="77"/>
        <v>463</v>
      </c>
      <c r="AD93" s="1">
        <f t="shared" ca="1" si="78"/>
        <v>1.9716333620885954E-4</v>
      </c>
      <c r="AE93" s="1"/>
      <c r="AF93" s="1">
        <f t="shared" ca="1" si="79"/>
        <v>0.16325115673087537</v>
      </c>
      <c r="AG93" s="1">
        <f t="shared" ca="1" si="80"/>
        <v>587</v>
      </c>
      <c r="AH93" s="1">
        <f t="shared" ca="1" si="81"/>
        <v>1.759283795323843E-3</v>
      </c>
      <c r="AJ93" s="1">
        <f t="shared" ca="1" si="82"/>
        <v>0.67653512741053101</v>
      </c>
      <c r="AK93" s="1">
        <f t="shared" ca="1" si="83"/>
        <v>5.1886484724436204E-3</v>
      </c>
      <c r="AL93" s="1"/>
      <c r="AM93" s="1">
        <f t="shared" ca="1" si="84"/>
        <v>3.9537431067574735E-2</v>
      </c>
      <c r="AN93" s="1">
        <f t="shared" ca="1" si="85"/>
        <v>60</v>
      </c>
      <c r="AO93" s="1">
        <f t="shared" ca="1" si="86"/>
        <v>9</v>
      </c>
      <c r="AQ93" s="1">
        <f t="shared" ca="1" si="87"/>
        <v>79</v>
      </c>
      <c r="AR93" s="1">
        <f t="shared" ca="1" si="88"/>
        <v>9</v>
      </c>
      <c r="AS93" s="1">
        <f t="shared" ca="1" si="89"/>
        <v>100</v>
      </c>
      <c r="AU93" s="1">
        <f t="shared" ca="1" si="90"/>
        <v>68</v>
      </c>
      <c r="AV93" s="1">
        <f t="shared" ca="1" si="91"/>
        <v>9</v>
      </c>
      <c r="AW93" s="1">
        <f t="shared" ca="1" si="92"/>
        <v>0.19507812121950199</v>
      </c>
      <c r="AY93" s="1">
        <f t="shared" ca="1" si="93"/>
        <v>1.9371930452084554</v>
      </c>
      <c r="AZ93" s="1">
        <f t="shared" ca="1" si="94"/>
        <v>344</v>
      </c>
      <c r="BA93" s="1">
        <f t="shared" ca="1" si="95"/>
        <v>6.4309494237206333E-3</v>
      </c>
      <c r="BV93" s="1">
        <f t="shared" ca="1" si="96"/>
        <v>0.90569904298874337</v>
      </c>
      <c r="BW93" s="1">
        <f t="shared" ca="1" si="97"/>
        <v>392</v>
      </c>
      <c r="BX93" s="1">
        <f t="shared" ca="1" si="98"/>
        <v>5.0885691679056246E-3</v>
      </c>
      <c r="BY93" s="1">
        <f t="shared" ca="1" si="99"/>
        <v>9.3005651712851273E-2</v>
      </c>
      <c r="BZ93" s="1">
        <f t="shared" ca="1" si="100"/>
        <v>0.30447544069141042</v>
      </c>
      <c r="CB93" s="1">
        <f t="shared" ca="1" si="101"/>
        <v>321</v>
      </c>
      <c r="CC93" s="1">
        <f t="shared" ca="1" si="102"/>
        <v>9</v>
      </c>
      <c r="CD93" s="1">
        <f t="shared" ca="1" si="103"/>
        <v>0.27725156146793584</v>
      </c>
      <c r="CE93" s="1">
        <f t="shared" ca="1" si="104"/>
        <v>0.95616114097552773</v>
      </c>
      <c r="CF93" s="1">
        <f t="shared" ca="1" si="104"/>
        <v>0.69513000717860374</v>
      </c>
      <c r="CH93" s="3">
        <f t="shared" ca="1" si="105"/>
        <v>0.90324360803595138</v>
      </c>
      <c r="CI93" s="3">
        <f t="shared" ca="1" si="106"/>
        <v>0.27277820065137592</v>
      </c>
      <c r="CJ93" s="3">
        <f t="shared" ca="1" si="107"/>
        <v>680</v>
      </c>
      <c r="CK93" s="3">
        <f t="shared" ca="1" si="108"/>
        <v>6.8221080096759982E-3</v>
      </c>
      <c r="CL93" s="3">
        <f t="shared" ca="1" si="109"/>
        <v>0</v>
      </c>
      <c r="CM93" s="3"/>
      <c r="CN93" s="1">
        <f t="shared" ca="1" si="110"/>
        <v>11.23209658013919</v>
      </c>
      <c r="CO93" s="1">
        <f t="shared" ca="1" si="111"/>
        <v>0.36807468836010826</v>
      </c>
      <c r="CP93" s="1">
        <f t="shared" ca="1" si="112"/>
        <v>3</v>
      </c>
    </row>
    <row r="94" spans="2:94" x14ac:dyDescent="0.25">
      <c r="B94">
        <f t="shared" ca="1" si="57"/>
        <v>783</v>
      </c>
      <c r="C94">
        <f t="shared" ca="1" si="58"/>
        <v>32</v>
      </c>
      <c r="D94">
        <f t="shared" ca="1" si="59"/>
        <v>2.8187619273166459E-2</v>
      </c>
      <c r="F94" s="1">
        <f t="shared" ca="1" si="60"/>
        <v>43</v>
      </c>
      <c r="G94" s="1">
        <f t="shared" ca="1" si="61"/>
        <v>20</v>
      </c>
      <c r="H94" s="1">
        <f t="shared" ca="1" si="62"/>
        <v>7</v>
      </c>
      <c r="I94" s="1"/>
      <c r="J94" s="1">
        <f t="shared" ca="1" si="63"/>
        <v>5</v>
      </c>
      <c r="K94" s="1">
        <f t="shared" ca="1" si="64"/>
        <v>2.5935048587464973</v>
      </c>
      <c r="L94" s="1">
        <f t="shared" ca="1" si="65"/>
        <v>31</v>
      </c>
      <c r="M94" s="1"/>
      <c r="N94" s="1">
        <f t="shared" ca="1" si="66"/>
        <v>766</v>
      </c>
      <c r="O94" s="1">
        <f t="shared" ca="1" si="67"/>
        <v>20</v>
      </c>
      <c r="P94" s="1"/>
      <c r="Q94" s="1">
        <f t="shared" ca="1" si="68"/>
        <v>4.8266806344150366</v>
      </c>
      <c r="R94" s="1">
        <f t="shared" ca="1" si="69"/>
        <v>727</v>
      </c>
      <c r="S94" s="1"/>
      <c r="T94" s="1">
        <f t="shared" ca="1" si="70"/>
        <v>0.15244230121482163</v>
      </c>
      <c r="U94" s="1">
        <f t="shared" ca="1" si="71"/>
        <v>318</v>
      </c>
      <c r="V94" s="1">
        <f t="shared" ca="1" si="72"/>
        <v>4</v>
      </c>
      <c r="W94" s="1"/>
      <c r="X94" s="1">
        <f t="shared" ca="1" si="73"/>
        <v>6.4041765710052854</v>
      </c>
      <c r="Y94" s="1">
        <f t="shared" ca="1" si="74"/>
        <v>7.0164190103639973E-2</v>
      </c>
      <c r="Z94" s="1">
        <f t="shared" ca="1" si="75"/>
        <v>1967</v>
      </c>
      <c r="AB94" s="1">
        <f t="shared" ca="1" si="76"/>
        <v>0.32975932927113649</v>
      </c>
      <c r="AC94" s="1">
        <f t="shared" ca="1" si="77"/>
        <v>555</v>
      </c>
      <c r="AD94" s="1">
        <f t="shared" ca="1" si="78"/>
        <v>7.6308866636090582E-3</v>
      </c>
      <c r="AE94" s="1"/>
      <c r="AF94" s="1">
        <f t="shared" ca="1" si="79"/>
        <v>0.43005463427363233</v>
      </c>
      <c r="AG94" s="1">
        <f t="shared" ca="1" si="80"/>
        <v>214</v>
      </c>
      <c r="AH94" s="1">
        <f t="shared" ca="1" si="81"/>
        <v>4.5100289686591469E-3</v>
      </c>
      <c r="AJ94" s="1">
        <f t="shared" ca="1" si="82"/>
        <v>0.54598910248633181</v>
      </c>
      <c r="AK94" s="1">
        <f t="shared" ca="1" si="83"/>
        <v>1.7738891497768167E-3</v>
      </c>
      <c r="AL94" s="1"/>
      <c r="AM94" s="1">
        <f t="shared" ca="1" si="84"/>
        <v>0.14346418340179776</v>
      </c>
      <c r="AN94" s="1">
        <f t="shared" ca="1" si="85"/>
        <v>25</v>
      </c>
      <c r="AO94" s="1">
        <f t="shared" ca="1" si="86"/>
        <v>13</v>
      </c>
      <c r="AQ94" s="1">
        <f t="shared" ca="1" si="87"/>
        <v>152</v>
      </c>
      <c r="AR94" s="1">
        <f t="shared" ca="1" si="88"/>
        <v>6</v>
      </c>
      <c r="AS94" s="1">
        <f t="shared" ca="1" si="89"/>
        <v>41</v>
      </c>
      <c r="AU94" s="1">
        <f t="shared" ca="1" si="90"/>
        <v>125</v>
      </c>
      <c r="AV94" s="1">
        <f t="shared" ca="1" si="91"/>
        <v>3</v>
      </c>
      <c r="AW94" s="1">
        <f t="shared" ca="1" si="92"/>
        <v>0.16626011108936856</v>
      </c>
      <c r="AY94" s="1">
        <f t="shared" ca="1" si="93"/>
        <v>1.2791069801896677</v>
      </c>
      <c r="AZ94" s="1">
        <f t="shared" ca="1" si="94"/>
        <v>375</v>
      </c>
      <c r="BA94" s="1">
        <f t="shared" ca="1" si="95"/>
        <v>8.4418520271328321E-3</v>
      </c>
      <c r="BV94" s="1">
        <f t="shared" ca="1" si="96"/>
        <v>0.37805279192926544</v>
      </c>
      <c r="BW94" s="1">
        <f t="shared" ca="1" si="97"/>
        <v>126</v>
      </c>
      <c r="BX94" s="1">
        <f t="shared" ca="1" si="98"/>
        <v>3.5770119623836382E-3</v>
      </c>
      <c r="BY94" s="1">
        <f t="shared" ca="1" si="99"/>
        <v>4.55083998947435E-2</v>
      </c>
      <c r="BZ94" s="1">
        <f t="shared" ca="1" si="100"/>
        <v>0.14794464580059807</v>
      </c>
      <c r="CB94" s="1">
        <f t="shared" ca="1" si="101"/>
        <v>391</v>
      </c>
      <c r="CC94" s="1">
        <f t="shared" ca="1" si="102"/>
        <v>12</v>
      </c>
      <c r="CD94" s="1">
        <f t="shared" ca="1" si="103"/>
        <v>0.26822848085850942</v>
      </c>
      <c r="CE94" s="1">
        <f t="shared" ca="1" si="104"/>
        <v>0.68604582204054787</v>
      </c>
      <c r="CF94" s="1">
        <f t="shared" ca="1" si="104"/>
        <v>0.81266576676320945</v>
      </c>
      <c r="CH94" s="3">
        <f t="shared" ca="1" si="105"/>
        <v>8.8830274413381344E-2</v>
      </c>
      <c r="CI94" s="3">
        <f t="shared" ca="1" si="106"/>
        <v>0.66767117905041951</v>
      </c>
      <c r="CJ94" s="3">
        <f t="shared" ca="1" si="107"/>
        <v>1976</v>
      </c>
      <c r="CK94" s="3">
        <f t="shared" ca="1" si="108"/>
        <v>6.2943956858613568E-3</v>
      </c>
      <c r="CL94" s="3">
        <f t="shared" ca="1" si="109"/>
        <v>0</v>
      </c>
      <c r="CM94" s="3"/>
      <c r="CN94" s="1">
        <f t="shared" ca="1" si="110"/>
        <v>5.9276146074534335</v>
      </c>
      <c r="CO94" s="1">
        <f t="shared" ca="1" si="111"/>
        <v>3.5274956569199142E-2</v>
      </c>
      <c r="CP94" s="1">
        <f t="shared" ca="1" si="112"/>
        <v>5</v>
      </c>
    </row>
    <row r="95" spans="2:94" x14ac:dyDescent="0.25">
      <c r="B95">
        <f t="shared" ca="1" si="57"/>
        <v>239</v>
      </c>
      <c r="C95">
        <f t="shared" ca="1" si="58"/>
        <v>15</v>
      </c>
      <c r="D95">
        <f t="shared" ca="1" si="59"/>
        <v>0.23129399405806522</v>
      </c>
      <c r="F95" s="1">
        <f t="shared" ca="1" si="60"/>
        <v>21</v>
      </c>
      <c r="G95" s="1">
        <f t="shared" ca="1" si="61"/>
        <v>19</v>
      </c>
      <c r="H95" s="1">
        <f t="shared" ca="1" si="62"/>
        <v>6</v>
      </c>
      <c r="I95" s="1"/>
      <c r="J95" s="1">
        <f t="shared" ca="1" si="63"/>
        <v>4</v>
      </c>
      <c r="K95" s="1">
        <f t="shared" ca="1" si="64"/>
        <v>1.9033593457879323</v>
      </c>
      <c r="L95" s="1">
        <f t="shared" ca="1" si="65"/>
        <v>17</v>
      </c>
      <c r="M95" s="1"/>
      <c r="N95" s="1">
        <f t="shared" ca="1" si="66"/>
        <v>507</v>
      </c>
      <c r="O95" s="1">
        <f t="shared" ca="1" si="67"/>
        <v>9</v>
      </c>
      <c r="P95" s="1"/>
      <c r="Q95" s="1">
        <f t="shared" ca="1" si="68"/>
        <v>4.4643910452975746</v>
      </c>
      <c r="R95" s="1">
        <f t="shared" ca="1" si="69"/>
        <v>405</v>
      </c>
      <c r="S95" s="1"/>
      <c r="T95" s="1">
        <f t="shared" ca="1" si="70"/>
        <v>0.18036867575669338</v>
      </c>
      <c r="U95" s="1">
        <f t="shared" ca="1" si="71"/>
        <v>354</v>
      </c>
      <c r="V95" s="1">
        <f t="shared" ca="1" si="72"/>
        <v>19</v>
      </c>
      <c r="W95" s="1"/>
      <c r="X95" s="1">
        <f t="shared" ca="1" si="73"/>
        <v>8.5121883360061101</v>
      </c>
      <c r="Y95" s="1">
        <f t="shared" ca="1" si="74"/>
        <v>0.35071777470256693</v>
      </c>
      <c r="Z95" s="1">
        <f t="shared" ca="1" si="75"/>
        <v>1452</v>
      </c>
      <c r="AB95" s="1">
        <f t="shared" ca="1" si="76"/>
        <v>0.68040342802415155</v>
      </c>
      <c r="AC95" s="1">
        <f t="shared" ca="1" si="77"/>
        <v>895</v>
      </c>
      <c r="AD95" s="1">
        <f t="shared" ca="1" si="78"/>
        <v>1.7922467778218709E-3</v>
      </c>
      <c r="AE95" s="1"/>
      <c r="AF95" s="1">
        <f t="shared" ca="1" si="79"/>
        <v>0.70213058602482226</v>
      </c>
      <c r="AG95" s="1">
        <f t="shared" ca="1" si="80"/>
        <v>754</v>
      </c>
      <c r="AH95" s="1">
        <f t="shared" ca="1" si="81"/>
        <v>3.3009826943549915E-3</v>
      </c>
      <c r="AJ95" s="1">
        <f t="shared" ca="1" si="82"/>
        <v>0.83600415542091255</v>
      </c>
      <c r="AK95" s="1">
        <f t="shared" ca="1" si="83"/>
        <v>6.2657925585285282E-3</v>
      </c>
      <c r="AL95" s="1"/>
      <c r="AM95" s="1">
        <f t="shared" ca="1" si="84"/>
        <v>0.18262893375465405</v>
      </c>
      <c r="AN95" s="1">
        <f t="shared" ca="1" si="85"/>
        <v>41</v>
      </c>
      <c r="AO95" s="1">
        <f t="shared" ca="1" si="86"/>
        <v>2</v>
      </c>
      <c r="AQ95" s="1">
        <f t="shared" ca="1" si="87"/>
        <v>64</v>
      </c>
      <c r="AR95" s="1">
        <f t="shared" ca="1" si="88"/>
        <v>6</v>
      </c>
      <c r="AS95" s="1">
        <f t="shared" ca="1" si="89"/>
        <v>8</v>
      </c>
      <c r="AU95" s="1">
        <f t="shared" ca="1" si="90"/>
        <v>252</v>
      </c>
      <c r="AV95" s="1">
        <f t="shared" ca="1" si="91"/>
        <v>4</v>
      </c>
      <c r="AW95" s="1">
        <f t="shared" ca="1" si="92"/>
        <v>5.9602445715536821E-2</v>
      </c>
      <c r="AY95" s="1">
        <f t="shared" ca="1" si="93"/>
        <v>1.1326234293641408</v>
      </c>
      <c r="AZ95" s="1">
        <f t="shared" ca="1" si="94"/>
        <v>166</v>
      </c>
      <c r="BA95" s="1">
        <f t="shared" ca="1" si="95"/>
        <v>5.7568177178420141E-3</v>
      </c>
      <c r="BV95" s="1">
        <f t="shared" ca="1" si="96"/>
        <v>9.4557576386119405E-2</v>
      </c>
      <c r="BW95" s="1">
        <f t="shared" ca="1" si="97"/>
        <v>889</v>
      </c>
      <c r="BX95" s="1">
        <f t="shared" ca="1" si="98"/>
        <v>7.8678179189694795E-3</v>
      </c>
      <c r="BY95" s="1">
        <f t="shared" ca="1" si="99"/>
        <v>4.9234590732144506E-2</v>
      </c>
      <c r="BZ95" s="1">
        <f t="shared" ca="1" si="100"/>
        <v>0.60681571196265494</v>
      </c>
      <c r="CB95" s="1">
        <f t="shared" ca="1" si="101"/>
        <v>384</v>
      </c>
      <c r="CC95" s="1">
        <f t="shared" ca="1" si="102"/>
        <v>3</v>
      </c>
      <c r="CD95" s="1">
        <f t="shared" ca="1" si="103"/>
        <v>0.23490378204446305</v>
      </c>
      <c r="CE95" s="1">
        <f t="shared" ca="1" si="104"/>
        <v>0.70802721096505539</v>
      </c>
      <c r="CF95" s="1">
        <f t="shared" ca="1" si="104"/>
        <v>0.93779722643905195</v>
      </c>
      <c r="CH95" s="3">
        <f t="shared" ca="1" si="105"/>
        <v>0.77547403879920129</v>
      </c>
      <c r="CI95" s="3">
        <f t="shared" ca="1" si="106"/>
        <v>0.17259732872439151</v>
      </c>
      <c r="CJ95" s="3">
        <f t="shared" ca="1" si="107"/>
        <v>775</v>
      </c>
      <c r="CK95" s="3">
        <f t="shared" ca="1" si="108"/>
        <v>8.6416801350576479E-3</v>
      </c>
      <c r="CL95" s="3">
        <f t="shared" ca="1" si="109"/>
        <v>1</v>
      </c>
      <c r="CM95" s="3"/>
      <c r="CN95" s="1">
        <f t="shared" ca="1" si="110"/>
        <v>15.545029235686988</v>
      </c>
      <c r="CO95" s="1">
        <f t="shared" ca="1" si="111"/>
        <v>8.8513093194735243E-2</v>
      </c>
      <c r="CP95" s="1">
        <f t="shared" ca="1" si="112"/>
        <v>5</v>
      </c>
    </row>
    <row r="96" spans="2:94" x14ac:dyDescent="0.25">
      <c r="B96">
        <f t="shared" ca="1" si="57"/>
        <v>838</v>
      </c>
      <c r="C96">
        <f t="shared" ca="1" si="58"/>
        <v>7</v>
      </c>
      <c r="D96">
        <f t="shared" ca="1" si="59"/>
        <v>1.4978723260992498E-2</v>
      </c>
      <c r="F96" s="1">
        <f t="shared" ca="1" si="60"/>
        <v>6</v>
      </c>
      <c r="G96" s="1">
        <f t="shared" ca="1" si="61"/>
        <v>18</v>
      </c>
      <c r="H96" s="1">
        <f t="shared" ca="1" si="62"/>
        <v>3</v>
      </c>
      <c r="I96" s="1"/>
      <c r="J96" s="1">
        <f t="shared" ca="1" si="63"/>
        <v>28</v>
      </c>
      <c r="K96" s="1">
        <f t="shared" ca="1" si="64"/>
        <v>2.9619726539398461</v>
      </c>
      <c r="L96" s="1">
        <f t="shared" ca="1" si="65"/>
        <v>27</v>
      </c>
      <c r="M96" s="1"/>
      <c r="N96" s="1">
        <f t="shared" ca="1" si="66"/>
        <v>604</v>
      </c>
      <c r="O96" s="1">
        <f t="shared" ca="1" si="67"/>
        <v>39</v>
      </c>
      <c r="P96" s="1"/>
      <c r="Q96" s="1">
        <f t="shared" ca="1" si="68"/>
        <v>0.75137714918630916</v>
      </c>
      <c r="R96" s="1">
        <f t="shared" ca="1" si="69"/>
        <v>400</v>
      </c>
      <c r="S96" s="1"/>
      <c r="T96" s="1">
        <f t="shared" ca="1" si="70"/>
        <v>3.1366474238881399E-2</v>
      </c>
      <c r="U96" s="1">
        <f t="shared" ca="1" si="71"/>
        <v>319</v>
      </c>
      <c r="V96" s="1">
        <f t="shared" ca="1" si="72"/>
        <v>24</v>
      </c>
      <c r="W96" s="1"/>
      <c r="X96" s="1">
        <f t="shared" ca="1" si="73"/>
        <v>4.4164042173193936</v>
      </c>
      <c r="Y96" s="1">
        <f t="shared" ca="1" si="74"/>
        <v>0.35766676757833687</v>
      </c>
      <c r="Z96" s="1">
        <f t="shared" ca="1" si="75"/>
        <v>685</v>
      </c>
      <c r="AB96" s="1">
        <f t="shared" ca="1" si="76"/>
        <v>7.964468416635187E-2</v>
      </c>
      <c r="AC96" s="1">
        <f t="shared" ca="1" si="77"/>
        <v>657</v>
      </c>
      <c r="AD96" s="1">
        <f t="shared" ca="1" si="78"/>
        <v>9.6341216415458241E-3</v>
      </c>
      <c r="AE96" s="1"/>
      <c r="AF96" s="1">
        <f t="shared" ca="1" si="79"/>
        <v>0.75781647381172901</v>
      </c>
      <c r="AG96" s="1">
        <f t="shared" ca="1" si="80"/>
        <v>903</v>
      </c>
      <c r="AH96" s="1">
        <f t="shared" ca="1" si="81"/>
        <v>6.388760852800256E-3</v>
      </c>
      <c r="AJ96" s="1">
        <f t="shared" ca="1" si="82"/>
        <v>0.80166957336030265</v>
      </c>
      <c r="AK96" s="1">
        <f t="shared" ca="1" si="83"/>
        <v>5.5553355761527627E-5</v>
      </c>
      <c r="AL96" s="1"/>
      <c r="AM96" s="1">
        <f t="shared" ca="1" si="84"/>
        <v>8.8087639180087746E-2</v>
      </c>
      <c r="AN96" s="1">
        <f t="shared" ca="1" si="85"/>
        <v>30</v>
      </c>
      <c r="AO96" s="1">
        <f t="shared" ca="1" si="86"/>
        <v>10</v>
      </c>
      <c r="AQ96" s="1">
        <f t="shared" ca="1" si="87"/>
        <v>113</v>
      </c>
      <c r="AR96" s="1">
        <f t="shared" ca="1" si="88"/>
        <v>3</v>
      </c>
      <c r="AS96" s="1">
        <f t="shared" ca="1" si="89"/>
        <v>37</v>
      </c>
      <c r="AU96" s="1">
        <f t="shared" ca="1" si="90"/>
        <v>58</v>
      </c>
      <c r="AV96" s="1">
        <f t="shared" ca="1" si="91"/>
        <v>8</v>
      </c>
      <c r="AW96" s="1">
        <f t="shared" ca="1" si="92"/>
        <v>2.0111690755924505E-2</v>
      </c>
      <c r="AY96" s="1">
        <f t="shared" ca="1" si="93"/>
        <v>1.4863524427552572</v>
      </c>
      <c r="AZ96" s="1">
        <f t="shared" ca="1" si="94"/>
        <v>475</v>
      </c>
      <c r="BA96" s="1">
        <f t="shared" ca="1" si="95"/>
        <v>2.1697765711186224E-3</v>
      </c>
      <c r="BV96" s="1">
        <f t="shared" ca="1" si="96"/>
        <v>0.10217849171974404</v>
      </c>
      <c r="BW96" s="1">
        <f t="shared" ca="1" si="97"/>
        <v>956</v>
      </c>
      <c r="BX96" s="1">
        <f t="shared" ca="1" si="98"/>
        <v>4.7210253802154898E-4</v>
      </c>
      <c r="BY96" s="1">
        <f t="shared" ca="1" si="99"/>
        <v>2.1916451258828178E-2</v>
      </c>
      <c r="BZ96" s="1">
        <f t="shared" ca="1" si="100"/>
        <v>0.30245293622606817</v>
      </c>
      <c r="CB96" s="1">
        <f t="shared" ca="1" si="101"/>
        <v>167</v>
      </c>
      <c r="CC96" s="1">
        <f t="shared" ca="1" si="102"/>
        <v>12</v>
      </c>
      <c r="CD96" s="1">
        <f t="shared" ca="1" si="103"/>
        <v>0.29605779688613104</v>
      </c>
      <c r="CE96" s="1">
        <f t="shared" ca="1" si="104"/>
        <v>0.78231537433449849</v>
      </c>
      <c r="CF96" s="1">
        <f t="shared" ca="1" si="104"/>
        <v>0.79256352319679158</v>
      </c>
      <c r="CH96" s="3">
        <f t="shared" ca="1" si="105"/>
        <v>0.52594779112981971</v>
      </c>
      <c r="CI96" s="3">
        <f t="shared" ca="1" si="106"/>
        <v>5.1659123242756518E-2</v>
      </c>
      <c r="CJ96" s="3">
        <f t="shared" ca="1" si="107"/>
        <v>1983</v>
      </c>
      <c r="CK96" s="3">
        <f t="shared" ca="1" si="108"/>
        <v>9.5835655460837828E-3</v>
      </c>
      <c r="CL96" s="3">
        <f t="shared" ca="1" si="109"/>
        <v>1</v>
      </c>
      <c r="CM96" s="3"/>
      <c r="CN96" s="1">
        <f t="shared" ca="1" si="110"/>
        <v>1.5400229933983089</v>
      </c>
      <c r="CO96" s="1">
        <f t="shared" ca="1" si="111"/>
        <v>0.47485680765595978</v>
      </c>
      <c r="CP96" s="1">
        <f t="shared" ca="1" si="112"/>
        <v>2</v>
      </c>
    </row>
    <row r="97" spans="2:94" x14ac:dyDescent="0.25">
      <c r="B97">
        <f t="shared" ca="1" si="57"/>
        <v>299</v>
      </c>
      <c r="C97">
        <f t="shared" ca="1" si="58"/>
        <v>24</v>
      </c>
      <c r="D97">
        <f t="shared" ca="1" si="59"/>
        <v>0.25590366182302676</v>
      </c>
      <c r="F97" s="1">
        <f t="shared" ca="1" si="60"/>
        <v>41</v>
      </c>
      <c r="G97" s="1">
        <f t="shared" ca="1" si="61"/>
        <v>2</v>
      </c>
      <c r="H97" s="1">
        <f t="shared" ca="1" si="62"/>
        <v>1</v>
      </c>
      <c r="I97" s="1"/>
      <c r="J97" s="1">
        <f t="shared" ca="1" si="63"/>
        <v>5</v>
      </c>
      <c r="K97" s="1">
        <f t="shared" ca="1" si="64"/>
        <v>2.3325391844068539</v>
      </c>
      <c r="L97" s="1">
        <f t="shared" ca="1" si="65"/>
        <v>15</v>
      </c>
      <c r="M97" s="1"/>
      <c r="N97" s="1">
        <f t="shared" ca="1" si="66"/>
        <v>711</v>
      </c>
      <c r="O97" s="1">
        <f t="shared" ca="1" si="67"/>
        <v>48</v>
      </c>
      <c r="P97" s="1"/>
      <c r="Q97" s="1">
        <f t="shared" ca="1" si="68"/>
        <v>1.2973298495221171</v>
      </c>
      <c r="R97" s="1">
        <f t="shared" ca="1" si="69"/>
        <v>861</v>
      </c>
      <c r="S97" s="1"/>
      <c r="T97" s="1">
        <f t="shared" ca="1" si="70"/>
        <v>0.10597827282073606</v>
      </c>
      <c r="U97" s="1">
        <f t="shared" ca="1" si="71"/>
        <v>442</v>
      </c>
      <c r="V97" s="1">
        <f t="shared" ca="1" si="72"/>
        <v>38</v>
      </c>
      <c r="W97" s="1"/>
      <c r="X97" s="1">
        <f t="shared" ca="1" si="73"/>
        <v>2.4252932043536521</v>
      </c>
      <c r="Y97" s="1">
        <f t="shared" ca="1" si="74"/>
        <v>0.43005470885726688</v>
      </c>
      <c r="Z97" s="1">
        <f t="shared" ca="1" si="75"/>
        <v>725</v>
      </c>
      <c r="AB97" s="1">
        <f t="shared" ca="1" si="76"/>
        <v>0.52853970399810257</v>
      </c>
      <c r="AC97" s="1">
        <f t="shared" ca="1" si="77"/>
        <v>219</v>
      </c>
      <c r="AD97" s="1">
        <f t="shared" ca="1" si="78"/>
        <v>1.7079248292463072E-3</v>
      </c>
      <c r="AE97" s="1"/>
      <c r="AF97" s="1">
        <f t="shared" ca="1" si="79"/>
        <v>0.13394712453081709</v>
      </c>
      <c r="AG97" s="1">
        <f t="shared" ca="1" si="80"/>
        <v>489</v>
      </c>
      <c r="AH97" s="1">
        <f t="shared" ca="1" si="81"/>
        <v>3.4165815334169041E-3</v>
      </c>
      <c r="AJ97" s="1">
        <f t="shared" ca="1" si="82"/>
        <v>5.6431756335200589E-2</v>
      </c>
      <c r="AK97" s="1">
        <f t="shared" ca="1" si="83"/>
        <v>9.827044380057515E-3</v>
      </c>
      <c r="AL97" s="1"/>
      <c r="AM97" s="1">
        <f t="shared" ca="1" si="84"/>
        <v>7.6164723749389401E-2</v>
      </c>
      <c r="AN97" s="1">
        <f t="shared" ca="1" si="85"/>
        <v>36</v>
      </c>
      <c r="AO97" s="1">
        <f t="shared" ca="1" si="86"/>
        <v>17</v>
      </c>
      <c r="AQ97" s="1">
        <f t="shared" ca="1" si="87"/>
        <v>27</v>
      </c>
      <c r="AR97" s="1">
        <f t="shared" ca="1" si="88"/>
        <v>2</v>
      </c>
      <c r="AS97" s="1">
        <f t="shared" ca="1" si="89"/>
        <v>11</v>
      </c>
      <c r="AU97" s="1">
        <f t="shared" ca="1" si="90"/>
        <v>95</v>
      </c>
      <c r="AV97" s="1">
        <f t="shared" ca="1" si="91"/>
        <v>7</v>
      </c>
      <c r="AW97" s="1">
        <f t="shared" ca="1" si="92"/>
        <v>0.18227052299613006</v>
      </c>
      <c r="AY97" s="1">
        <f t="shared" ca="1" si="93"/>
        <v>1.8987868299527269</v>
      </c>
      <c r="AZ97" s="1">
        <f t="shared" ca="1" si="94"/>
        <v>290</v>
      </c>
      <c r="BA97" s="1">
        <f t="shared" ca="1" si="95"/>
        <v>4.0779523964272254E-3</v>
      </c>
      <c r="BV97" s="1">
        <f t="shared" ca="1" si="96"/>
        <v>0.83989710003273699</v>
      </c>
      <c r="BW97" s="1">
        <f t="shared" ca="1" si="97"/>
        <v>906</v>
      </c>
      <c r="BX97" s="1">
        <f t="shared" ca="1" si="98"/>
        <v>9.6671428095293412E-3</v>
      </c>
      <c r="BY97" s="1">
        <f t="shared" ca="1" si="99"/>
        <v>4.4359907983885026E-2</v>
      </c>
      <c r="BZ97" s="1">
        <f t="shared" ca="1" si="100"/>
        <v>0.87220916791659853</v>
      </c>
      <c r="CB97" s="1">
        <f t="shared" ca="1" si="101"/>
        <v>309</v>
      </c>
      <c r="CC97" s="1">
        <f t="shared" ca="1" si="102"/>
        <v>13</v>
      </c>
      <c r="CD97" s="1">
        <f t="shared" ca="1" si="103"/>
        <v>0.18629279847246608</v>
      </c>
      <c r="CE97" s="1">
        <f t="shared" ca="1" si="104"/>
        <v>0.73336309208646644</v>
      </c>
      <c r="CF97" s="1">
        <f t="shared" ca="1" si="104"/>
        <v>0.6127745149492394</v>
      </c>
      <c r="CH97" s="3">
        <f t="shared" ca="1" si="105"/>
        <v>0.25081267634071625</v>
      </c>
      <c r="CI97" s="3">
        <f t="shared" ca="1" si="106"/>
        <v>0.98419929092123848</v>
      </c>
      <c r="CJ97" s="3">
        <f t="shared" ca="1" si="107"/>
        <v>1536</v>
      </c>
      <c r="CK97" s="3">
        <f t="shared" ca="1" si="108"/>
        <v>9.2375037928356264E-3</v>
      </c>
      <c r="CL97" s="3">
        <f t="shared" ca="1" si="109"/>
        <v>0</v>
      </c>
      <c r="CM97" s="3"/>
      <c r="CN97" s="1">
        <f t="shared" ca="1" si="110"/>
        <v>13.479019739074623</v>
      </c>
      <c r="CO97" s="1">
        <f t="shared" ca="1" si="111"/>
        <v>0.43031073130463288</v>
      </c>
      <c r="CP97" s="1">
        <f t="shared" ca="1" si="112"/>
        <v>4</v>
      </c>
    </row>
    <row r="98" spans="2:94" x14ac:dyDescent="0.25">
      <c r="B98">
        <f t="shared" ca="1" si="57"/>
        <v>629</v>
      </c>
      <c r="C98">
        <f t="shared" ca="1" si="58"/>
        <v>50</v>
      </c>
      <c r="D98">
        <f t="shared" ca="1" si="59"/>
        <v>0.29840802151110518</v>
      </c>
      <c r="F98" s="1">
        <f t="shared" ca="1" si="60"/>
        <v>50</v>
      </c>
      <c r="G98" s="1">
        <f t="shared" ca="1" si="61"/>
        <v>2</v>
      </c>
      <c r="H98" s="1">
        <f t="shared" ca="1" si="62"/>
        <v>9</v>
      </c>
      <c r="I98" s="1"/>
      <c r="J98" s="1">
        <f t="shared" ca="1" si="63"/>
        <v>19</v>
      </c>
      <c r="K98" s="1">
        <f t="shared" ca="1" si="64"/>
        <v>2.8689052258791934</v>
      </c>
      <c r="L98" s="1">
        <f t="shared" ca="1" si="65"/>
        <v>29</v>
      </c>
      <c r="M98" s="1"/>
      <c r="N98" s="1">
        <f t="shared" ca="1" si="66"/>
        <v>362</v>
      </c>
      <c r="O98" s="1">
        <f t="shared" ca="1" si="67"/>
        <v>39</v>
      </c>
      <c r="P98" s="1"/>
      <c r="Q98" s="1">
        <f t="shared" ca="1" si="68"/>
        <v>3.1945806128823953</v>
      </c>
      <c r="R98" s="1">
        <f t="shared" ca="1" si="69"/>
        <v>1082</v>
      </c>
      <c r="S98" s="1"/>
      <c r="T98" s="1">
        <f t="shared" ca="1" si="70"/>
        <v>9.1063454117551595E-2</v>
      </c>
      <c r="U98" s="1">
        <f t="shared" ca="1" si="71"/>
        <v>388</v>
      </c>
      <c r="V98" s="1">
        <f t="shared" ca="1" si="72"/>
        <v>11</v>
      </c>
      <c r="W98" s="1"/>
      <c r="X98" s="1">
        <f t="shared" ca="1" si="73"/>
        <v>4.6905696280184905</v>
      </c>
      <c r="Y98" s="1">
        <f t="shared" ca="1" si="74"/>
        <v>0.23662594709191262</v>
      </c>
      <c r="Z98" s="1">
        <f t="shared" ca="1" si="75"/>
        <v>1247</v>
      </c>
      <c r="AB98" s="1">
        <f t="shared" ca="1" si="76"/>
        <v>0.29332349108879452</v>
      </c>
      <c r="AC98" s="1">
        <f t="shared" ca="1" si="77"/>
        <v>507</v>
      </c>
      <c r="AD98" s="1">
        <f t="shared" ca="1" si="78"/>
        <v>7.47638110861775E-3</v>
      </c>
      <c r="AE98" s="1"/>
      <c r="AF98" s="1">
        <f t="shared" ca="1" si="79"/>
        <v>0.7842850456867434</v>
      </c>
      <c r="AG98" s="1">
        <f t="shared" ca="1" si="80"/>
        <v>581</v>
      </c>
      <c r="AH98" s="1">
        <f t="shared" ca="1" si="81"/>
        <v>4.8250496346934684E-3</v>
      </c>
      <c r="AJ98" s="1">
        <f t="shared" ca="1" si="82"/>
        <v>0.25230916529397829</v>
      </c>
      <c r="AK98" s="1">
        <f t="shared" ca="1" si="83"/>
        <v>7.1216147557201341E-3</v>
      </c>
      <c r="AL98" s="1"/>
      <c r="AM98" s="1">
        <f t="shared" ca="1" si="84"/>
        <v>0.17850891488991211</v>
      </c>
      <c r="AN98" s="1">
        <f t="shared" ca="1" si="85"/>
        <v>21</v>
      </c>
      <c r="AO98" s="1">
        <f t="shared" ca="1" si="86"/>
        <v>3</v>
      </c>
      <c r="AQ98" s="1">
        <f t="shared" ca="1" si="87"/>
        <v>94</v>
      </c>
      <c r="AR98" s="1">
        <f t="shared" ca="1" si="88"/>
        <v>4</v>
      </c>
      <c r="AS98" s="1">
        <f t="shared" ca="1" si="89"/>
        <v>25</v>
      </c>
      <c r="AU98" s="1">
        <f t="shared" ca="1" si="90"/>
        <v>175</v>
      </c>
      <c r="AV98" s="1">
        <f t="shared" ca="1" si="91"/>
        <v>9</v>
      </c>
      <c r="AW98" s="1">
        <f t="shared" ca="1" si="92"/>
        <v>0.11654977740548481</v>
      </c>
      <c r="AY98" s="1">
        <f t="shared" ca="1" si="93"/>
        <v>1.4574438451826088</v>
      </c>
      <c r="AZ98" s="1">
        <f t="shared" ca="1" si="94"/>
        <v>161</v>
      </c>
      <c r="BA98" s="1">
        <f t="shared" ca="1" si="95"/>
        <v>1.3296926066090464E-3</v>
      </c>
      <c r="BV98" s="1">
        <f t="shared" ca="1" si="96"/>
        <v>0.73317144952234214</v>
      </c>
      <c r="BW98" s="1">
        <f t="shared" ca="1" si="97"/>
        <v>725</v>
      </c>
      <c r="BX98" s="1">
        <f t="shared" ca="1" si="98"/>
        <v>6.1012957727552232E-3</v>
      </c>
      <c r="BY98" s="1">
        <f t="shared" ca="1" si="99"/>
        <v>6.3276528370502003E-2</v>
      </c>
      <c r="BZ98" s="1">
        <f t="shared" ca="1" si="100"/>
        <v>0.70867016598095278</v>
      </c>
      <c r="CB98" s="1">
        <f t="shared" ca="1" si="101"/>
        <v>80</v>
      </c>
      <c r="CC98" s="1">
        <f t="shared" ca="1" si="102"/>
        <v>14</v>
      </c>
      <c r="CD98" s="1">
        <f t="shared" ca="1" si="103"/>
        <v>0.26424816952875785</v>
      </c>
      <c r="CE98" s="1">
        <f t="shared" ca="1" si="104"/>
        <v>0.73046189169818976</v>
      </c>
      <c r="CF98" s="1">
        <f t="shared" ca="1" si="104"/>
        <v>0.88815853560650559</v>
      </c>
      <c r="CH98" s="3">
        <f t="shared" ca="1" si="105"/>
        <v>0.77918443815208582</v>
      </c>
      <c r="CI98" s="3">
        <f t="shared" ca="1" si="106"/>
        <v>0.98743628852555099</v>
      </c>
      <c r="CJ98" s="3">
        <f t="shared" ca="1" si="107"/>
        <v>1062</v>
      </c>
      <c r="CK98" s="3">
        <f t="shared" ca="1" si="108"/>
        <v>7.6180639020517315E-3</v>
      </c>
      <c r="CL98" s="3">
        <f t="shared" ca="1" si="109"/>
        <v>1</v>
      </c>
      <c r="CM98" s="3"/>
      <c r="CN98" s="1">
        <f t="shared" ca="1" si="110"/>
        <v>2.6384647240911394</v>
      </c>
      <c r="CO98" s="1">
        <f t="shared" ca="1" si="111"/>
        <v>0.28213496075980193</v>
      </c>
      <c r="CP98" s="1">
        <f t="shared" ca="1" si="112"/>
        <v>1</v>
      </c>
    </row>
    <row r="99" spans="2:94" x14ac:dyDescent="0.25">
      <c r="B99">
        <f t="shared" ca="1" si="57"/>
        <v>464</v>
      </c>
      <c r="C99">
        <f t="shared" ca="1" si="58"/>
        <v>22</v>
      </c>
      <c r="D99">
        <f t="shared" ca="1" si="59"/>
        <v>2.1367040218194466E-2</v>
      </c>
      <c r="F99" s="1">
        <f t="shared" ca="1" si="60"/>
        <v>3</v>
      </c>
      <c r="G99" s="1">
        <f t="shared" ca="1" si="61"/>
        <v>9</v>
      </c>
      <c r="H99" s="1">
        <f t="shared" ca="1" si="62"/>
        <v>6</v>
      </c>
      <c r="I99" s="1"/>
      <c r="J99" s="1">
        <f t="shared" ca="1" si="63"/>
        <v>11</v>
      </c>
      <c r="K99" s="1">
        <f t="shared" ca="1" si="64"/>
        <v>2.0807779470577241</v>
      </c>
      <c r="L99" s="1">
        <f t="shared" ca="1" si="65"/>
        <v>32</v>
      </c>
      <c r="M99" s="1"/>
      <c r="N99" s="1">
        <f t="shared" ca="1" si="66"/>
        <v>702</v>
      </c>
      <c r="O99" s="1">
        <f t="shared" ca="1" si="67"/>
        <v>13</v>
      </c>
      <c r="P99" s="1"/>
      <c r="Q99" s="1">
        <f t="shared" ca="1" si="68"/>
        <v>2.884297766068967</v>
      </c>
      <c r="R99" s="1">
        <f t="shared" ca="1" si="69"/>
        <v>358</v>
      </c>
      <c r="S99" s="1"/>
      <c r="T99" s="1">
        <f t="shared" ca="1" si="70"/>
        <v>0.16997160608448125</v>
      </c>
      <c r="U99" s="1">
        <f t="shared" ca="1" si="71"/>
        <v>246</v>
      </c>
      <c r="V99" s="1">
        <f t="shared" ca="1" si="72"/>
        <v>17</v>
      </c>
      <c r="W99" s="1"/>
      <c r="X99" s="1">
        <f t="shared" ca="1" si="73"/>
        <v>8.755097187976224</v>
      </c>
      <c r="Y99" s="1">
        <f t="shared" ca="1" si="74"/>
        <v>0.50211212225926161</v>
      </c>
      <c r="Z99" s="1">
        <f t="shared" ca="1" si="75"/>
        <v>1525</v>
      </c>
      <c r="AB99" s="1">
        <f t="shared" ca="1" si="76"/>
        <v>0.56586580231595751</v>
      </c>
      <c r="AC99" s="1">
        <f t="shared" ca="1" si="77"/>
        <v>113</v>
      </c>
      <c r="AD99" s="1">
        <f t="shared" ca="1" si="78"/>
        <v>8.5941621850443364E-3</v>
      </c>
      <c r="AE99" s="1"/>
      <c r="AF99" s="1">
        <f t="shared" ca="1" si="79"/>
        <v>0.87197321384106619</v>
      </c>
      <c r="AG99" s="1">
        <f t="shared" ca="1" si="80"/>
        <v>175</v>
      </c>
      <c r="AH99" s="1">
        <f t="shared" ca="1" si="81"/>
        <v>3.9487545153795E-3</v>
      </c>
      <c r="AJ99" s="1">
        <f t="shared" ca="1" si="82"/>
        <v>0.23701536944106749</v>
      </c>
      <c r="AK99" s="1">
        <f t="shared" ca="1" si="83"/>
        <v>1.3832617045321904E-3</v>
      </c>
      <c r="AL99" s="1"/>
      <c r="AM99" s="1">
        <f t="shared" ca="1" si="84"/>
        <v>7.8487758684819123E-2</v>
      </c>
      <c r="AN99" s="1">
        <f t="shared" ca="1" si="85"/>
        <v>38</v>
      </c>
      <c r="AO99" s="1">
        <f t="shared" ca="1" si="86"/>
        <v>17</v>
      </c>
      <c r="AQ99" s="1">
        <f t="shared" ca="1" si="87"/>
        <v>113</v>
      </c>
      <c r="AR99" s="1">
        <f t="shared" ca="1" si="88"/>
        <v>8</v>
      </c>
      <c r="AS99" s="1">
        <f t="shared" ca="1" si="89"/>
        <v>58</v>
      </c>
      <c r="AU99" s="1">
        <f t="shared" ca="1" si="90"/>
        <v>119</v>
      </c>
      <c r="AV99" s="1">
        <f t="shared" ca="1" si="91"/>
        <v>2</v>
      </c>
      <c r="AW99" s="1">
        <f t="shared" ca="1" si="92"/>
        <v>0.11259072072695679</v>
      </c>
      <c r="AY99" s="1">
        <f t="shared" ca="1" si="93"/>
        <v>1.5527578975010419</v>
      </c>
      <c r="AZ99" s="1">
        <f t="shared" ca="1" si="94"/>
        <v>104</v>
      </c>
      <c r="BA99" s="1">
        <f t="shared" ca="1" si="95"/>
        <v>5.1065024994204249E-3</v>
      </c>
      <c r="BV99" s="1">
        <f t="shared" ca="1" si="96"/>
        <v>0.82672832713259004</v>
      </c>
      <c r="BW99" s="1">
        <f t="shared" ca="1" si="97"/>
        <v>334</v>
      </c>
      <c r="BX99" s="1">
        <f t="shared" ca="1" si="98"/>
        <v>6.6707411352942442E-5</v>
      </c>
      <c r="BY99" s="1">
        <f t="shared" ca="1" si="99"/>
        <v>1.345695335288819E-2</v>
      </c>
      <c r="BZ99" s="1">
        <f t="shared" ca="1" si="100"/>
        <v>0.42211880012901126</v>
      </c>
      <c r="CB99" s="1">
        <f t="shared" ca="1" si="101"/>
        <v>468</v>
      </c>
      <c r="CC99" s="1">
        <f t="shared" ca="1" si="102"/>
        <v>15</v>
      </c>
      <c r="CD99" s="1">
        <f t="shared" ca="1" si="103"/>
        <v>8.4846245826243963E-2</v>
      </c>
      <c r="CE99" s="1">
        <f t="shared" ca="1" si="104"/>
        <v>0.77274202865792918</v>
      </c>
      <c r="CF99" s="1">
        <f t="shared" ca="1" si="104"/>
        <v>0.97747332044349178</v>
      </c>
      <c r="CH99" s="3">
        <f t="shared" ca="1" si="105"/>
        <v>0.26708265245808588</v>
      </c>
      <c r="CI99" s="3">
        <f t="shared" ca="1" si="106"/>
        <v>0.49659055363656185</v>
      </c>
      <c r="CJ99" s="3">
        <f t="shared" ca="1" si="107"/>
        <v>1835</v>
      </c>
      <c r="CK99" s="3">
        <f t="shared" ca="1" si="108"/>
        <v>7.8849349403301173E-3</v>
      </c>
      <c r="CL99" s="3">
        <f t="shared" ca="1" si="109"/>
        <v>1</v>
      </c>
      <c r="CM99" s="3"/>
      <c r="CN99" s="1">
        <f t="shared" ca="1" si="110"/>
        <v>14.556178726383564</v>
      </c>
      <c r="CO99" s="1">
        <f t="shared" ca="1" si="111"/>
        <v>2.6832988393248946E-2</v>
      </c>
      <c r="CP99" s="1">
        <f t="shared" ca="1" si="112"/>
        <v>3</v>
      </c>
    </row>
    <row r="100" spans="2:94" x14ac:dyDescent="0.25">
      <c r="B100">
        <f t="shared" ca="1" si="57"/>
        <v>473</v>
      </c>
      <c r="C100">
        <f t="shared" ca="1" si="58"/>
        <v>9</v>
      </c>
      <c r="D100">
        <f t="shared" ca="1" si="59"/>
        <v>0.24847489410376192</v>
      </c>
      <c r="F100" s="1">
        <f t="shared" ca="1" si="60"/>
        <v>41</v>
      </c>
      <c r="G100" s="1">
        <f t="shared" ca="1" si="61"/>
        <v>7</v>
      </c>
      <c r="H100" s="1">
        <f t="shared" ca="1" si="62"/>
        <v>6</v>
      </c>
      <c r="I100" s="1"/>
      <c r="J100" s="1">
        <f t="shared" ca="1" si="63"/>
        <v>28</v>
      </c>
      <c r="K100" s="1">
        <f t="shared" ca="1" si="64"/>
        <v>1.4772770690694321</v>
      </c>
      <c r="L100" s="1">
        <f t="shared" ca="1" si="65"/>
        <v>2</v>
      </c>
      <c r="M100" s="1"/>
      <c r="N100" s="1">
        <f t="shared" ca="1" si="66"/>
        <v>696</v>
      </c>
      <c r="O100" s="1">
        <f t="shared" ca="1" si="67"/>
        <v>26</v>
      </c>
      <c r="P100" s="1"/>
      <c r="Q100" s="1">
        <f t="shared" ca="1" si="68"/>
        <v>1.9551953658530166</v>
      </c>
      <c r="R100" s="1">
        <f t="shared" ca="1" si="69"/>
        <v>410</v>
      </c>
      <c r="S100" s="1"/>
      <c r="T100" s="1">
        <f t="shared" ca="1" si="70"/>
        <v>0.136790903165802</v>
      </c>
      <c r="U100" s="1">
        <f t="shared" ca="1" si="71"/>
        <v>269</v>
      </c>
      <c r="V100" s="1">
        <f t="shared" ca="1" si="72"/>
        <v>30</v>
      </c>
      <c r="W100" s="1"/>
      <c r="X100" s="1">
        <f t="shared" ca="1" si="73"/>
        <v>4.2261267820837167</v>
      </c>
      <c r="Y100" s="1">
        <f t="shared" ca="1" si="74"/>
        <v>0.17750147966018345</v>
      </c>
      <c r="Z100" s="1">
        <f t="shared" ca="1" si="75"/>
        <v>300</v>
      </c>
      <c r="AB100" s="1">
        <f t="shared" ca="1" si="76"/>
        <v>0.56871031002866013</v>
      </c>
      <c r="AC100" s="1">
        <f t="shared" ca="1" si="77"/>
        <v>282</v>
      </c>
      <c r="AD100" s="1">
        <f t="shared" ca="1" si="78"/>
        <v>3.3065941836992233E-4</v>
      </c>
      <c r="AE100" s="1"/>
      <c r="AF100" s="1">
        <f t="shared" ca="1" si="79"/>
        <v>0.73621027684541052</v>
      </c>
      <c r="AG100" s="1">
        <f t="shared" ca="1" si="80"/>
        <v>574</v>
      </c>
      <c r="AH100" s="1">
        <f t="shared" ca="1" si="81"/>
        <v>6.8334149217467209E-3</v>
      </c>
      <c r="AJ100" s="1">
        <f t="shared" ca="1" si="82"/>
        <v>0.15923515746064043</v>
      </c>
      <c r="AK100" s="1">
        <f t="shared" ca="1" si="83"/>
        <v>1.8755706354880255E-3</v>
      </c>
      <c r="AL100" s="1"/>
      <c r="AM100" s="1">
        <f t="shared" ca="1" si="84"/>
        <v>0.15990462356933061</v>
      </c>
      <c r="AN100" s="1">
        <f t="shared" ca="1" si="85"/>
        <v>78</v>
      </c>
      <c r="AO100" s="1">
        <f t="shared" ca="1" si="86"/>
        <v>5</v>
      </c>
      <c r="AQ100" s="1">
        <f t="shared" ca="1" si="87"/>
        <v>124</v>
      </c>
      <c r="AR100" s="1">
        <f t="shared" ca="1" si="88"/>
        <v>10</v>
      </c>
      <c r="AS100" s="1">
        <f t="shared" ca="1" si="89"/>
        <v>1</v>
      </c>
      <c r="AU100" s="1">
        <f t="shared" ca="1" si="90"/>
        <v>243</v>
      </c>
      <c r="AV100" s="1">
        <f t="shared" ca="1" si="91"/>
        <v>10</v>
      </c>
      <c r="AW100" s="1">
        <f t="shared" ca="1" si="92"/>
        <v>1.5648480573550692E-2</v>
      </c>
      <c r="AY100" s="1">
        <f t="shared" ca="1" si="93"/>
        <v>1.2657250472691741</v>
      </c>
      <c r="AZ100" s="1">
        <f t="shared" ca="1" si="94"/>
        <v>491</v>
      </c>
      <c r="BA100" s="1">
        <f t="shared" ca="1" si="95"/>
        <v>5.1004068510204061E-3</v>
      </c>
      <c r="BV100" s="1">
        <f t="shared" ca="1" si="96"/>
        <v>0.54036205179904817</v>
      </c>
      <c r="BW100" s="1">
        <f t="shared" ca="1" si="97"/>
        <v>662</v>
      </c>
      <c r="BX100" s="1">
        <f t="shared" ca="1" si="98"/>
        <v>9.1099348589051676E-3</v>
      </c>
      <c r="BY100" s="1">
        <f t="shared" ca="1" si="99"/>
        <v>9.2095879829826893E-2</v>
      </c>
      <c r="BZ100" s="1">
        <f t="shared" ca="1" si="100"/>
        <v>0.80747952555871305</v>
      </c>
      <c r="CB100" s="1">
        <f t="shared" ca="1" si="101"/>
        <v>103</v>
      </c>
      <c r="CC100" s="1">
        <f t="shared" ca="1" si="102"/>
        <v>9</v>
      </c>
      <c r="CD100" s="1">
        <f t="shared" ca="1" si="103"/>
        <v>0.2773996979352662</v>
      </c>
      <c r="CE100" s="1">
        <f t="shared" ref="CE100:CF131" ca="1" si="113">RAND()*(1-0.5)+0.5</f>
        <v>0.58019303856239213</v>
      </c>
      <c r="CF100" s="1">
        <f t="shared" ca="1" si="113"/>
        <v>0.91857454306687092</v>
      </c>
      <c r="CH100" s="3">
        <f t="shared" ca="1" si="105"/>
        <v>0.87760329087409938</v>
      </c>
      <c r="CI100" s="3">
        <f t="shared" ca="1" si="106"/>
        <v>0.44011182558213519</v>
      </c>
      <c r="CJ100" s="3">
        <f t="shared" ca="1" si="107"/>
        <v>1957</v>
      </c>
      <c r="CK100" s="3">
        <f t="shared" ca="1" si="108"/>
        <v>6.7050549679739772E-3</v>
      </c>
      <c r="CL100" s="3">
        <f t="shared" ca="1" si="109"/>
        <v>1</v>
      </c>
      <c r="CM100" s="3"/>
      <c r="CN100" s="1">
        <f t="shared" ca="1" si="110"/>
        <v>10.410089006144505</v>
      </c>
      <c r="CO100" s="1">
        <f t="shared" ca="1" si="111"/>
        <v>0.18883797284340262</v>
      </c>
      <c r="CP100" s="1">
        <f t="shared" ca="1" si="112"/>
        <v>2</v>
      </c>
    </row>
    <row r="101" spans="2:94" x14ac:dyDescent="0.25">
      <c r="B101">
        <f t="shared" ca="1" si="57"/>
        <v>930</v>
      </c>
      <c r="C101">
        <f t="shared" ca="1" si="58"/>
        <v>2</v>
      </c>
      <c r="D101">
        <f t="shared" ca="1" si="59"/>
        <v>0.12800446079349093</v>
      </c>
      <c r="F101" s="1">
        <f t="shared" ca="1" si="60"/>
        <v>52</v>
      </c>
      <c r="G101" s="1">
        <f t="shared" ca="1" si="61"/>
        <v>23</v>
      </c>
      <c r="H101" s="1">
        <f t="shared" ca="1" si="62"/>
        <v>10</v>
      </c>
      <c r="I101" s="1"/>
      <c r="J101" s="1">
        <f t="shared" ca="1" si="63"/>
        <v>18</v>
      </c>
      <c r="K101" s="1">
        <f t="shared" ca="1" si="64"/>
        <v>1.9462682579393082</v>
      </c>
      <c r="L101" s="1">
        <f t="shared" ca="1" si="65"/>
        <v>30</v>
      </c>
      <c r="M101" s="1"/>
      <c r="N101" s="1">
        <f t="shared" ca="1" si="66"/>
        <v>627</v>
      </c>
      <c r="O101" s="1">
        <f t="shared" ca="1" si="67"/>
        <v>47</v>
      </c>
      <c r="P101" s="1"/>
      <c r="Q101" s="1">
        <f t="shared" ca="1" si="68"/>
        <v>0.30849998893397129</v>
      </c>
      <c r="R101" s="1">
        <f t="shared" ca="1" si="69"/>
        <v>538</v>
      </c>
      <c r="S101" s="1"/>
      <c r="T101" s="1">
        <f t="shared" ca="1" si="70"/>
        <v>0.10712536318550873</v>
      </c>
      <c r="U101" s="1">
        <f t="shared" ca="1" si="71"/>
        <v>202</v>
      </c>
      <c r="V101" s="1">
        <f t="shared" ca="1" si="72"/>
        <v>42</v>
      </c>
      <c r="W101" s="1"/>
      <c r="X101" s="1">
        <f t="shared" ca="1" si="73"/>
        <v>5.2789733994766523</v>
      </c>
      <c r="Y101" s="1">
        <f t="shared" ca="1" si="74"/>
        <v>0.52695140398363782</v>
      </c>
      <c r="Z101" s="1">
        <f t="shared" ca="1" si="75"/>
        <v>802</v>
      </c>
      <c r="AB101" s="1">
        <f t="shared" ca="1" si="76"/>
        <v>0.87683225917208374</v>
      </c>
      <c r="AC101" s="1">
        <f t="shared" ca="1" si="77"/>
        <v>534</v>
      </c>
      <c r="AD101" s="1">
        <f t="shared" ca="1" si="78"/>
        <v>9.7588184307595572E-3</v>
      </c>
      <c r="AE101" s="1"/>
      <c r="AF101" s="1">
        <f t="shared" ca="1" si="79"/>
        <v>0.70683874841863115</v>
      </c>
      <c r="AG101" s="1">
        <f t="shared" ca="1" si="80"/>
        <v>268</v>
      </c>
      <c r="AH101" s="1">
        <f t="shared" ca="1" si="81"/>
        <v>4.8035984748316133E-3</v>
      </c>
      <c r="AJ101" s="1">
        <f t="shared" ca="1" si="82"/>
        <v>0.86926535612123934</v>
      </c>
      <c r="AK101" s="1">
        <f t="shared" ca="1" si="83"/>
        <v>6.5413122966588811E-3</v>
      </c>
      <c r="AL101" s="1"/>
      <c r="AM101" s="1">
        <f t="shared" ca="1" si="84"/>
        <v>8.8133919296130764E-2</v>
      </c>
      <c r="AN101" s="1">
        <f t="shared" ca="1" si="85"/>
        <v>66</v>
      </c>
      <c r="AO101" s="1">
        <f t="shared" ca="1" si="86"/>
        <v>4</v>
      </c>
      <c r="AQ101" s="1">
        <f t="shared" ca="1" si="87"/>
        <v>66</v>
      </c>
      <c r="AR101" s="1">
        <f t="shared" ca="1" si="88"/>
        <v>3</v>
      </c>
      <c r="AS101" s="1">
        <f t="shared" ca="1" si="89"/>
        <v>64</v>
      </c>
      <c r="AU101" s="1">
        <f t="shared" ca="1" si="90"/>
        <v>158</v>
      </c>
      <c r="AV101" s="1">
        <f t="shared" ca="1" si="91"/>
        <v>10</v>
      </c>
      <c r="AW101" s="1">
        <f t="shared" ca="1" si="92"/>
        <v>0.19480938845943957</v>
      </c>
      <c r="AY101" s="1">
        <f t="shared" ca="1" si="93"/>
        <v>1.7432266543310977</v>
      </c>
      <c r="AZ101" s="1">
        <f t="shared" ca="1" si="94"/>
        <v>371</v>
      </c>
      <c r="BA101" s="1">
        <f t="shared" ca="1" si="95"/>
        <v>7.25004260502728E-3</v>
      </c>
      <c r="BV101" s="1">
        <f t="shared" ca="1" si="96"/>
        <v>0.70173746132932324</v>
      </c>
      <c r="BW101" s="1">
        <f t="shared" ca="1" si="97"/>
        <v>110</v>
      </c>
      <c r="BX101" s="1">
        <f t="shared" ca="1" si="98"/>
        <v>4.4186866310952462E-3</v>
      </c>
      <c r="BY101" s="1">
        <f t="shared" ca="1" si="99"/>
        <v>8.4315981113884539E-2</v>
      </c>
      <c r="BZ101" s="1">
        <f t="shared" ca="1" si="100"/>
        <v>0.91213025394710001</v>
      </c>
      <c r="CB101" s="1">
        <f t="shared" ca="1" si="101"/>
        <v>128</v>
      </c>
      <c r="CC101" s="1">
        <f t="shared" ca="1" si="102"/>
        <v>3</v>
      </c>
      <c r="CD101" s="1">
        <f t="shared" ca="1" si="103"/>
        <v>4.5393772173631719E-2</v>
      </c>
      <c r="CE101" s="1">
        <f t="shared" ca="1" si="113"/>
        <v>0.82537152449739626</v>
      </c>
      <c r="CF101" s="1">
        <f t="shared" ca="1" si="113"/>
        <v>0.89275152652852086</v>
      </c>
      <c r="CH101" s="3">
        <f t="shared" ca="1" si="105"/>
        <v>0.22322266026248053</v>
      </c>
      <c r="CI101" s="3">
        <f t="shared" ca="1" si="106"/>
        <v>0.49301193473434995</v>
      </c>
      <c r="CJ101" s="3">
        <f t="shared" ca="1" si="107"/>
        <v>456</v>
      </c>
      <c r="CK101" s="3">
        <f t="shared" ca="1" si="108"/>
        <v>1.6761656150609807E-3</v>
      </c>
      <c r="CL101" s="3">
        <f t="shared" ca="1" si="109"/>
        <v>1</v>
      </c>
      <c r="CM101" s="3"/>
      <c r="CN101" s="1">
        <f t="shared" ca="1" si="110"/>
        <v>12.200591466630161</v>
      </c>
      <c r="CO101" s="1">
        <f t="shared" ca="1" si="111"/>
        <v>0.16552034600261153</v>
      </c>
      <c r="CP101" s="1">
        <f t="shared" ca="1" si="112"/>
        <v>1</v>
      </c>
    </row>
    <row r="102" spans="2:94" x14ac:dyDescent="0.25">
      <c r="B102">
        <f t="shared" ca="1" si="57"/>
        <v>806</v>
      </c>
      <c r="C102">
        <f t="shared" ca="1" si="58"/>
        <v>13</v>
      </c>
      <c r="D102">
        <f t="shared" ca="1" si="59"/>
        <v>0.11031594585941347</v>
      </c>
      <c r="F102" s="1">
        <f t="shared" ca="1" si="60"/>
        <v>27</v>
      </c>
      <c r="G102" s="1">
        <f t="shared" ca="1" si="61"/>
        <v>29</v>
      </c>
      <c r="H102" s="1">
        <f t="shared" ca="1" si="62"/>
        <v>11</v>
      </c>
      <c r="I102" s="1"/>
      <c r="J102" s="1">
        <f t="shared" ca="1" si="63"/>
        <v>2</v>
      </c>
      <c r="K102" s="1">
        <f t="shared" ca="1" si="64"/>
        <v>1.6053713219234402</v>
      </c>
      <c r="L102" s="1">
        <f t="shared" ca="1" si="65"/>
        <v>12</v>
      </c>
      <c r="M102" s="1"/>
      <c r="N102" s="1">
        <f t="shared" ca="1" si="66"/>
        <v>972</v>
      </c>
      <c r="O102" s="1">
        <f t="shared" ca="1" si="67"/>
        <v>42</v>
      </c>
      <c r="P102" s="1"/>
      <c r="Q102" s="1">
        <f t="shared" ca="1" si="68"/>
        <v>2.1917666008224423E-2</v>
      </c>
      <c r="R102" s="1">
        <f t="shared" ca="1" si="69"/>
        <v>811</v>
      </c>
      <c r="S102" s="1"/>
      <c r="T102" s="1">
        <f t="shared" ca="1" si="70"/>
        <v>1.7469836623901586E-2</v>
      </c>
      <c r="U102" s="1">
        <f t="shared" ca="1" si="71"/>
        <v>130</v>
      </c>
      <c r="V102" s="1">
        <f t="shared" ca="1" si="72"/>
        <v>23</v>
      </c>
      <c r="W102" s="1"/>
      <c r="X102" s="1">
        <f t="shared" ca="1" si="73"/>
        <v>6.082674094587219E-2</v>
      </c>
      <c r="Y102" s="1">
        <f t="shared" ca="1" si="74"/>
        <v>0.56954669220302789</v>
      </c>
      <c r="Z102" s="1">
        <f t="shared" ca="1" si="75"/>
        <v>1436</v>
      </c>
      <c r="AB102" s="1">
        <f t="shared" ca="1" si="76"/>
        <v>0.27787031819192487</v>
      </c>
      <c r="AC102" s="1">
        <f t="shared" ca="1" si="77"/>
        <v>826</v>
      </c>
      <c r="AD102" s="1">
        <f t="shared" ca="1" si="78"/>
        <v>1.2338264517601435E-3</v>
      </c>
      <c r="AE102" s="1"/>
      <c r="AF102" s="1">
        <f t="shared" ca="1" si="79"/>
        <v>0.32238945982849315</v>
      </c>
      <c r="AG102" s="1">
        <f t="shared" ca="1" si="80"/>
        <v>913</v>
      </c>
      <c r="AH102" s="1">
        <f t="shared" ca="1" si="81"/>
        <v>9.6620501273200453E-3</v>
      </c>
      <c r="AJ102" s="1">
        <f t="shared" ca="1" si="82"/>
        <v>0.33386468980376605</v>
      </c>
      <c r="AK102" s="1">
        <f t="shared" ca="1" si="83"/>
        <v>7.5171622067154E-3</v>
      </c>
      <c r="AL102" s="1"/>
      <c r="AM102" s="1">
        <f t="shared" ca="1" si="84"/>
        <v>6.8877028963658951E-2</v>
      </c>
      <c r="AN102" s="1">
        <f t="shared" ca="1" si="85"/>
        <v>40</v>
      </c>
      <c r="AO102" s="1">
        <f t="shared" ca="1" si="86"/>
        <v>4</v>
      </c>
      <c r="AQ102" s="1">
        <f t="shared" ca="1" si="87"/>
        <v>94</v>
      </c>
      <c r="AR102" s="1">
        <f t="shared" ca="1" si="88"/>
        <v>9</v>
      </c>
      <c r="AS102" s="1">
        <f t="shared" ca="1" si="89"/>
        <v>83</v>
      </c>
      <c r="AU102" s="1">
        <f t="shared" ca="1" si="90"/>
        <v>75</v>
      </c>
      <c r="AV102" s="1">
        <f t="shared" ca="1" si="91"/>
        <v>4</v>
      </c>
      <c r="AW102" s="1">
        <f t="shared" ca="1" si="92"/>
        <v>7.5311216417177862E-2</v>
      </c>
      <c r="AY102" s="1">
        <f t="shared" ca="1" si="93"/>
        <v>1.4714542995418052</v>
      </c>
      <c r="AZ102" s="1">
        <f t="shared" ca="1" si="94"/>
        <v>314</v>
      </c>
      <c r="BA102" s="1">
        <f t="shared" ca="1" si="95"/>
        <v>4.746759441881008E-3</v>
      </c>
      <c r="BV102" s="1">
        <f t="shared" ca="1" si="96"/>
        <v>0.65449533897957635</v>
      </c>
      <c r="BW102" s="1">
        <f t="shared" ca="1" si="97"/>
        <v>899</v>
      </c>
      <c r="BX102" s="1">
        <f t="shared" ca="1" si="98"/>
        <v>5.0430779079277278E-3</v>
      </c>
      <c r="BY102" s="1">
        <f t="shared" ca="1" si="99"/>
        <v>5.7567656469787253E-2</v>
      </c>
      <c r="BZ102" s="1">
        <f t="shared" ca="1" si="100"/>
        <v>0.60451251254401928</v>
      </c>
      <c r="CB102" s="1">
        <f t="shared" ca="1" si="101"/>
        <v>348</v>
      </c>
      <c r="CC102" s="1">
        <f t="shared" ca="1" si="102"/>
        <v>4</v>
      </c>
      <c r="CD102" s="1">
        <f t="shared" ca="1" si="103"/>
        <v>5.9312040713860169E-2</v>
      </c>
      <c r="CE102" s="1">
        <f t="shared" ca="1" si="113"/>
        <v>0.83515186537100339</v>
      </c>
      <c r="CF102" s="1">
        <f t="shared" ca="1" si="113"/>
        <v>0.89084099061508193</v>
      </c>
      <c r="CH102" s="3">
        <f t="shared" ca="1" si="105"/>
        <v>0.57796382195861995</v>
      </c>
      <c r="CI102" s="3">
        <f t="shared" ca="1" si="106"/>
        <v>0.61242045133531087</v>
      </c>
      <c r="CJ102" s="3">
        <f t="shared" ca="1" si="107"/>
        <v>1501</v>
      </c>
      <c r="CK102" s="3">
        <f t="shared" ca="1" si="108"/>
        <v>4.108950098352643E-3</v>
      </c>
      <c r="CL102" s="3">
        <f t="shared" ca="1" si="109"/>
        <v>1</v>
      </c>
      <c r="CM102" s="3"/>
      <c r="CN102" s="1">
        <f t="shared" ca="1" si="110"/>
        <v>18.518879160241426</v>
      </c>
      <c r="CO102" s="1">
        <f t="shared" ca="1" si="111"/>
        <v>0.12249941802878545</v>
      </c>
      <c r="CP102" s="1">
        <f t="shared" ca="1" si="112"/>
        <v>5</v>
      </c>
    </row>
    <row r="103" spans="2:94" x14ac:dyDescent="0.25">
      <c r="B103">
        <f t="shared" ca="1" si="57"/>
        <v>942</v>
      </c>
      <c r="C103">
        <f t="shared" ca="1" si="58"/>
        <v>37</v>
      </c>
      <c r="D103">
        <f t="shared" ca="1" si="59"/>
        <v>0.21872593979756988</v>
      </c>
      <c r="F103" s="1">
        <f t="shared" ca="1" si="60"/>
        <v>43</v>
      </c>
      <c r="G103" s="1">
        <f t="shared" ca="1" si="61"/>
        <v>21</v>
      </c>
      <c r="H103" s="1">
        <f t="shared" ca="1" si="62"/>
        <v>9</v>
      </c>
      <c r="I103" s="1"/>
      <c r="J103" s="1">
        <f t="shared" ca="1" si="63"/>
        <v>34</v>
      </c>
      <c r="K103" s="1">
        <f t="shared" ca="1" si="64"/>
        <v>1.8778060719462313</v>
      </c>
      <c r="L103" s="1">
        <f t="shared" ca="1" si="65"/>
        <v>12</v>
      </c>
      <c r="M103" s="1"/>
      <c r="N103" s="1">
        <f t="shared" ca="1" si="66"/>
        <v>627</v>
      </c>
      <c r="O103" s="1">
        <f t="shared" ca="1" si="67"/>
        <v>38</v>
      </c>
      <c r="P103" s="1"/>
      <c r="Q103" s="1">
        <f t="shared" ca="1" si="68"/>
        <v>1.2245684894980304</v>
      </c>
      <c r="R103" s="1">
        <f t="shared" ca="1" si="69"/>
        <v>341</v>
      </c>
      <c r="S103" s="1"/>
      <c r="T103" s="1">
        <f t="shared" ca="1" si="70"/>
        <v>0.14606126345225104</v>
      </c>
      <c r="U103" s="1">
        <f t="shared" ca="1" si="71"/>
        <v>222</v>
      </c>
      <c r="V103" s="1">
        <f t="shared" ca="1" si="72"/>
        <v>17</v>
      </c>
      <c r="W103" s="1"/>
      <c r="X103" s="1">
        <f t="shared" ca="1" si="73"/>
        <v>3.8443064778023248</v>
      </c>
      <c r="Y103" s="1">
        <f t="shared" ca="1" si="74"/>
        <v>0.46915791913129495</v>
      </c>
      <c r="Z103" s="1">
        <f t="shared" ca="1" si="75"/>
        <v>919</v>
      </c>
      <c r="AB103" s="1">
        <f t="shared" ca="1" si="76"/>
        <v>0.50435210992849067</v>
      </c>
      <c r="AC103" s="1">
        <f t="shared" ca="1" si="77"/>
        <v>155</v>
      </c>
      <c r="AD103" s="1">
        <f t="shared" ca="1" si="78"/>
        <v>3.4955416691416176E-3</v>
      </c>
      <c r="AE103" s="1"/>
      <c r="AF103" s="1">
        <f t="shared" ca="1" si="79"/>
        <v>0.6364085117227245</v>
      </c>
      <c r="AG103" s="1">
        <f t="shared" ca="1" si="80"/>
        <v>580</v>
      </c>
      <c r="AH103" s="1">
        <f t="shared" ca="1" si="81"/>
        <v>9.9146530528827197E-3</v>
      </c>
      <c r="AJ103" s="1">
        <f t="shared" ca="1" si="82"/>
        <v>5.4611545880331569E-2</v>
      </c>
      <c r="AK103" s="1">
        <f t="shared" ca="1" si="83"/>
        <v>4.1368484605306694E-3</v>
      </c>
      <c r="AL103" s="1"/>
      <c r="AM103" s="1">
        <f t="shared" ca="1" si="84"/>
        <v>5.1901479509011639E-2</v>
      </c>
      <c r="AN103" s="1">
        <f t="shared" ca="1" si="85"/>
        <v>49</v>
      </c>
      <c r="AO103" s="1">
        <f t="shared" ca="1" si="86"/>
        <v>3</v>
      </c>
      <c r="AQ103" s="1">
        <f t="shared" ca="1" si="87"/>
        <v>162</v>
      </c>
      <c r="AR103" s="1">
        <f t="shared" ca="1" si="88"/>
        <v>4</v>
      </c>
      <c r="AS103" s="1">
        <f t="shared" ca="1" si="89"/>
        <v>50</v>
      </c>
      <c r="AU103" s="1">
        <f t="shared" ca="1" si="90"/>
        <v>273</v>
      </c>
      <c r="AV103" s="1">
        <f t="shared" ca="1" si="91"/>
        <v>5</v>
      </c>
      <c r="AW103" s="1">
        <f t="shared" ca="1" si="92"/>
        <v>3.4025277670434922E-2</v>
      </c>
      <c r="AY103" s="1">
        <f t="shared" ca="1" si="93"/>
        <v>1.961481523202274</v>
      </c>
      <c r="AZ103" s="1">
        <f t="shared" ca="1" si="94"/>
        <v>389</v>
      </c>
      <c r="BA103" s="1">
        <f t="shared" ca="1" si="95"/>
        <v>9.3335334925180105E-3</v>
      </c>
      <c r="BV103" s="1">
        <f t="shared" ca="1" si="96"/>
        <v>6.8949262019454907E-2</v>
      </c>
      <c r="BW103" s="1">
        <f t="shared" ca="1" si="97"/>
        <v>330</v>
      </c>
      <c r="BX103" s="1">
        <f t="shared" ca="1" si="98"/>
        <v>9.8234222535543807E-3</v>
      </c>
      <c r="BY103" s="1">
        <f t="shared" ca="1" si="99"/>
        <v>1.08805913535042E-2</v>
      </c>
      <c r="BZ103" s="1">
        <f t="shared" ca="1" si="100"/>
        <v>0.28620405819132222</v>
      </c>
      <c r="CB103" s="1">
        <f t="shared" ca="1" si="101"/>
        <v>352</v>
      </c>
      <c r="CC103" s="1">
        <f t="shared" ca="1" si="102"/>
        <v>12</v>
      </c>
      <c r="CD103" s="1">
        <f t="shared" ca="1" si="103"/>
        <v>0.18042334767259607</v>
      </c>
      <c r="CE103" s="1">
        <f t="shared" ca="1" si="113"/>
        <v>0.76214529509576301</v>
      </c>
      <c r="CF103" s="1">
        <f t="shared" ca="1" si="113"/>
        <v>0.90134984051237443</v>
      </c>
      <c r="CH103" s="3">
        <f t="shared" ca="1" si="105"/>
        <v>0.41079343456237083</v>
      </c>
      <c r="CI103" s="3">
        <f t="shared" ca="1" si="106"/>
        <v>9.2080009344092675E-2</v>
      </c>
      <c r="CJ103" s="3">
        <f t="shared" ca="1" si="107"/>
        <v>1126</v>
      </c>
      <c r="CK103" s="3">
        <f t="shared" ca="1" si="108"/>
        <v>8.2313222570673636E-4</v>
      </c>
      <c r="CL103" s="3">
        <f t="shared" ca="1" si="109"/>
        <v>0</v>
      </c>
      <c r="CM103" s="3"/>
      <c r="CN103" s="1">
        <f t="shared" ca="1" si="110"/>
        <v>15.191278746398334</v>
      </c>
      <c r="CO103" s="1">
        <f t="shared" ca="1" si="111"/>
        <v>0.15321244064000983</v>
      </c>
      <c r="CP103" s="1">
        <f t="shared" ca="1" si="112"/>
        <v>3</v>
      </c>
    </row>
    <row r="104" spans="2:94" x14ac:dyDescent="0.25">
      <c r="B104">
        <f t="shared" ca="1" si="57"/>
        <v>758</v>
      </c>
      <c r="C104">
        <f t="shared" ca="1" si="58"/>
        <v>23</v>
      </c>
      <c r="D104">
        <f t="shared" ca="1" si="59"/>
        <v>0.24403784145532231</v>
      </c>
      <c r="F104" s="1">
        <f t="shared" ca="1" si="60"/>
        <v>25</v>
      </c>
      <c r="G104" s="1">
        <f t="shared" ca="1" si="61"/>
        <v>5</v>
      </c>
      <c r="H104" s="1">
        <f t="shared" ca="1" si="62"/>
        <v>10</v>
      </c>
      <c r="I104" s="1"/>
      <c r="J104" s="1">
        <f t="shared" ca="1" si="63"/>
        <v>2</v>
      </c>
      <c r="K104" s="1">
        <f t="shared" ca="1" si="64"/>
        <v>1.3365869918307578</v>
      </c>
      <c r="L104" s="1">
        <f t="shared" ca="1" si="65"/>
        <v>26</v>
      </c>
      <c r="M104" s="1"/>
      <c r="N104" s="1">
        <f t="shared" ca="1" si="66"/>
        <v>899</v>
      </c>
      <c r="O104" s="1">
        <f t="shared" ca="1" si="67"/>
        <v>22</v>
      </c>
      <c r="P104" s="1"/>
      <c r="Q104" s="1">
        <f t="shared" ca="1" si="68"/>
        <v>1.7556807170464004</v>
      </c>
      <c r="R104" s="1">
        <f t="shared" ca="1" si="69"/>
        <v>1199</v>
      </c>
      <c r="S104" s="1"/>
      <c r="T104" s="1">
        <f t="shared" ca="1" si="70"/>
        <v>4.4449134413596401E-2</v>
      </c>
      <c r="U104" s="1">
        <f t="shared" ca="1" si="71"/>
        <v>392</v>
      </c>
      <c r="V104" s="1">
        <f t="shared" ca="1" si="72"/>
        <v>33</v>
      </c>
      <c r="W104" s="1"/>
      <c r="X104" s="1">
        <f t="shared" ca="1" si="73"/>
        <v>3.5817978561333055</v>
      </c>
      <c r="Y104" s="1">
        <f t="shared" ca="1" si="74"/>
        <v>0.16875523103950232</v>
      </c>
      <c r="Z104" s="1">
        <f t="shared" ca="1" si="75"/>
        <v>305</v>
      </c>
      <c r="AB104" s="1">
        <f t="shared" ca="1" si="76"/>
        <v>9.7647579973963033E-2</v>
      </c>
      <c r="AC104" s="1">
        <f t="shared" ca="1" si="77"/>
        <v>594</v>
      </c>
      <c r="AD104" s="1">
        <f t="shared" ca="1" si="78"/>
        <v>3.0802280530834972E-3</v>
      </c>
      <c r="AE104" s="1"/>
      <c r="AF104" s="1">
        <f t="shared" ca="1" si="79"/>
        <v>0.2943919917546628</v>
      </c>
      <c r="AG104" s="1">
        <f t="shared" ca="1" si="80"/>
        <v>599</v>
      </c>
      <c r="AH104" s="1">
        <f t="shared" ca="1" si="81"/>
        <v>4.4457961888802163E-3</v>
      </c>
      <c r="AJ104" s="1">
        <f t="shared" ca="1" si="82"/>
        <v>0.49084848831627026</v>
      </c>
      <c r="AK104" s="1">
        <f t="shared" ca="1" si="83"/>
        <v>8.6531213944340477E-3</v>
      </c>
      <c r="AL104" s="1"/>
      <c r="AM104" s="1">
        <f t="shared" ca="1" si="84"/>
        <v>2.0785682528660414E-2</v>
      </c>
      <c r="AN104" s="1">
        <f t="shared" ca="1" si="85"/>
        <v>51</v>
      </c>
      <c r="AO104" s="1">
        <f t="shared" ca="1" si="86"/>
        <v>0</v>
      </c>
      <c r="AQ104" s="1">
        <f t="shared" ca="1" si="87"/>
        <v>179</v>
      </c>
      <c r="AR104" s="1">
        <f t="shared" ca="1" si="88"/>
        <v>3</v>
      </c>
      <c r="AS104" s="1">
        <f t="shared" ca="1" si="89"/>
        <v>57</v>
      </c>
      <c r="AU104" s="1">
        <f t="shared" ca="1" si="90"/>
        <v>337</v>
      </c>
      <c r="AV104" s="1">
        <f t="shared" ca="1" si="91"/>
        <v>8</v>
      </c>
      <c r="AW104" s="1">
        <f t="shared" ca="1" si="92"/>
        <v>9.1704356945233462E-2</v>
      </c>
      <c r="AY104" s="1">
        <f t="shared" ca="1" si="93"/>
        <v>1.9470207743517629</v>
      </c>
      <c r="AZ104" s="1">
        <f t="shared" ca="1" si="94"/>
        <v>283</v>
      </c>
      <c r="BA104" s="1">
        <f t="shared" ca="1" si="95"/>
        <v>1.8864729017936341E-3</v>
      </c>
      <c r="BV104" s="1">
        <f t="shared" ca="1" si="96"/>
        <v>0.1978972590281968</v>
      </c>
      <c r="BW104" s="1">
        <f t="shared" ca="1" si="97"/>
        <v>943</v>
      </c>
      <c r="BX104" s="1">
        <f t="shared" ca="1" si="98"/>
        <v>9.032755054208811E-3</v>
      </c>
      <c r="BY104" s="1">
        <f t="shared" ca="1" si="99"/>
        <v>4.7636322740380928E-3</v>
      </c>
      <c r="BZ104" s="1">
        <f t="shared" ca="1" si="100"/>
        <v>0.81891691637230346</v>
      </c>
      <c r="CB104" s="1">
        <f t="shared" ca="1" si="101"/>
        <v>56</v>
      </c>
      <c r="CC104" s="1">
        <f t="shared" ca="1" si="102"/>
        <v>9</v>
      </c>
      <c r="CD104" s="1">
        <f t="shared" ca="1" si="103"/>
        <v>0.26781664811488542</v>
      </c>
      <c r="CE104" s="1">
        <f t="shared" ca="1" si="113"/>
        <v>0.98901538999703209</v>
      </c>
      <c r="CF104" s="1">
        <f t="shared" ca="1" si="113"/>
        <v>0.80825092393564801</v>
      </c>
      <c r="CH104" s="3">
        <f t="shared" ca="1" si="105"/>
        <v>0.7043782376774278</v>
      </c>
      <c r="CI104" s="3">
        <f t="shared" ca="1" si="106"/>
        <v>0.74099911852529077</v>
      </c>
      <c r="CJ104" s="3">
        <f t="shared" ca="1" si="107"/>
        <v>1670</v>
      </c>
      <c r="CK104" s="3">
        <f t="shared" ca="1" si="108"/>
        <v>7.6698525275072397E-4</v>
      </c>
      <c r="CL104" s="3">
        <f t="shared" ca="1" si="109"/>
        <v>0</v>
      </c>
      <c r="CM104" s="3"/>
      <c r="CN104" s="1">
        <f t="shared" ca="1" si="110"/>
        <v>19.454085292493975</v>
      </c>
      <c r="CO104" s="1">
        <f t="shared" ca="1" si="111"/>
        <v>0.35127658314319143</v>
      </c>
      <c r="CP104" s="1">
        <f t="shared" ca="1" si="112"/>
        <v>4</v>
      </c>
    </row>
    <row r="105" spans="2:94" x14ac:dyDescent="0.25">
      <c r="B105">
        <f t="shared" ca="1" si="57"/>
        <v>87</v>
      </c>
      <c r="C105">
        <f t="shared" ca="1" si="58"/>
        <v>7</v>
      </c>
      <c r="D105">
        <f t="shared" ca="1" si="59"/>
        <v>0.26951330056056144</v>
      </c>
      <c r="F105" s="1">
        <f t="shared" ca="1" si="60"/>
        <v>18</v>
      </c>
      <c r="G105" s="1">
        <f t="shared" ca="1" si="61"/>
        <v>14</v>
      </c>
      <c r="H105" s="1">
        <f t="shared" ca="1" si="62"/>
        <v>14</v>
      </c>
      <c r="I105" s="1"/>
      <c r="J105" s="1">
        <f t="shared" ca="1" si="63"/>
        <v>34</v>
      </c>
      <c r="K105" s="1">
        <f t="shared" ca="1" si="64"/>
        <v>2.1814153773617808</v>
      </c>
      <c r="L105" s="1">
        <f t="shared" ca="1" si="65"/>
        <v>27</v>
      </c>
      <c r="M105" s="1"/>
      <c r="N105" s="1">
        <f t="shared" ca="1" si="66"/>
        <v>392</v>
      </c>
      <c r="O105" s="1">
        <f t="shared" ca="1" si="67"/>
        <v>37</v>
      </c>
      <c r="P105" s="1"/>
      <c r="Q105" s="1">
        <f t="shared" ca="1" si="68"/>
        <v>2.2118167704806333</v>
      </c>
      <c r="R105" s="1">
        <f t="shared" ca="1" si="69"/>
        <v>950</v>
      </c>
      <c r="S105" s="1"/>
      <c r="T105" s="1">
        <f t="shared" ca="1" si="70"/>
        <v>6.3283507587207286E-2</v>
      </c>
      <c r="U105" s="1">
        <f t="shared" ca="1" si="71"/>
        <v>273</v>
      </c>
      <c r="V105" s="1">
        <f t="shared" ca="1" si="72"/>
        <v>2</v>
      </c>
      <c r="W105" s="1"/>
      <c r="X105" s="1">
        <f t="shared" ca="1" si="73"/>
        <v>3.2387250307196132</v>
      </c>
      <c r="Y105" s="1">
        <f t="shared" ca="1" si="74"/>
        <v>0.83785536558545304</v>
      </c>
      <c r="Z105" s="1">
        <f t="shared" ca="1" si="75"/>
        <v>319</v>
      </c>
      <c r="AB105" s="1">
        <f t="shared" ca="1" si="76"/>
        <v>0.43974756331278825</v>
      </c>
      <c r="AC105" s="1">
        <f t="shared" ca="1" si="77"/>
        <v>351</v>
      </c>
      <c r="AD105" s="1">
        <f t="shared" ca="1" si="78"/>
        <v>6.0915037311190722E-3</v>
      </c>
      <c r="AE105" s="1"/>
      <c r="AF105" s="1">
        <f t="shared" ca="1" si="79"/>
        <v>0.29883855423629202</v>
      </c>
      <c r="AG105" s="1">
        <f t="shared" ca="1" si="80"/>
        <v>818</v>
      </c>
      <c r="AH105" s="1">
        <f t="shared" ca="1" si="81"/>
        <v>3.4111018764087452E-3</v>
      </c>
      <c r="AJ105" s="1">
        <f t="shared" ca="1" si="82"/>
        <v>0.10976502766158636</v>
      </c>
      <c r="AK105" s="1">
        <f t="shared" ca="1" si="83"/>
        <v>8.347525162596783E-3</v>
      </c>
      <c r="AL105" s="1"/>
      <c r="AM105" s="1">
        <f t="shared" ca="1" si="84"/>
        <v>0.17849685815673313</v>
      </c>
      <c r="AN105" s="1">
        <f t="shared" ca="1" si="85"/>
        <v>32</v>
      </c>
      <c r="AO105" s="1">
        <f t="shared" ca="1" si="86"/>
        <v>15</v>
      </c>
      <c r="AQ105" s="1">
        <f t="shared" ca="1" si="87"/>
        <v>31</v>
      </c>
      <c r="AR105" s="1">
        <f t="shared" ca="1" si="88"/>
        <v>6</v>
      </c>
      <c r="AS105" s="1">
        <f t="shared" ca="1" si="89"/>
        <v>56</v>
      </c>
      <c r="AU105" s="1">
        <f t="shared" ca="1" si="90"/>
        <v>108</v>
      </c>
      <c r="AV105" s="1">
        <f t="shared" ca="1" si="91"/>
        <v>8</v>
      </c>
      <c r="AW105" s="1">
        <f t="shared" ca="1" si="92"/>
        <v>0.1786501354547915</v>
      </c>
      <c r="AY105" s="1">
        <f t="shared" ca="1" si="93"/>
        <v>1.6350104568803503</v>
      </c>
      <c r="AZ105" s="1">
        <f t="shared" ca="1" si="94"/>
        <v>283</v>
      </c>
      <c r="BA105" s="1">
        <f t="shared" ca="1" si="95"/>
        <v>6.6308510499055277E-3</v>
      </c>
      <c r="BV105" s="1">
        <f t="shared" ca="1" si="96"/>
        <v>0.70599383637872204</v>
      </c>
      <c r="BW105" s="1">
        <f t="shared" ca="1" si="97"/>
        <v>544</v>
      </c>
      <c r="BX105" s="1">
        <f t="shared" ca="1" si="98"/>
        <v>5.2275858885158437E-4</v>
      </c>
      <c r="BY105" s="1">
        <f t="shared" ca="1" si="99"/>
        <v>1.4404102864958041E-3</v>
      </c>
      <c r="BZ105" s="1">
        <f t="shared" ca="1" si="100"/>
        <v>0.86327576446450827</v>
      </c>
      <c r="CB105" s="1">
        <f t="shared" ca="1" si="101"/>
        <v>462</v>
      </c>
      <c r="CC105" s="1">
        <f t="shared" ca="1" si="102"/>
        <v>11</v>
      </c>
      <c r="CD105" s="1">
        <f t="shared" ca="1" si="103"/>
        <v>0.26981579242040749</v>
      </c>
      <c r="CE105" s="1">
        <f t="shared" ca="1" si="113"/>
        <v>0.92597897786677885</v>
      </c>
      <c r="CF105" s="1">
        <f t="shared" ca="1" si="113"/>
        <v>0.86671181504198658</v>
      </c>
      <c r="CH105" s="3">
        <f t="shared" ca="1" si="105"/>
        <v>0.65957086881385152</v>
      </c>
      <c r="CI105" s="3">
        <f t="shared" ca="1" si="106"/>
        <v>0.61476419108484182</v>
      </c>
      <c r="CJ105" s="3">
        <f t="shared" ca="1" si="107"/>
        <v>398</v>
      </c>
      <c r="CK105" s="3">
        <f t="shared" ca="1" si="108"/>
        <v>2.1559543426399016E-3</v>
      </c>
      <c r="CL105" s="3">
        <f t="shared" ca="1" si="109"/>
        <v>1</v>
      </c>
      <c r="CM105" s="3"/>
      <c r="CN105" s="1">
        <f t="shared" ca="1" si="110"/>
        <v>4.1976289394106825</v>
      </c>
      <c r="CO105" s="1">
        <f t="shared" ca="1" si="111"/>
        <v>3.6234824606150254E-2</v>
      </c>
      <c r="CP105" s="1">
        <f t="shared" ca="1" si="112"/>
        <v>2</v>
      </c>
    </row>
    <row r="106" spans="2:94" x14ac:dyDescent="0.25">
      <c r="B106">
        <f t="shared" ca="1" si="57"/>
        <v>809</v>
      </c>
      <c r="C106">
        <f t="shared" ca="1" si="58"/>
        <v>51</v>
      </c>
      <c r="D106">
        <f t="shared" ca="1" si="59"/>
        <v>0.17951252421028882</v>
      </c>
      <c r="F106" s="1">
        <f t="shared" ca="1" si="60"/>
        <v>16</v>
      </c>
      <c r="G106" s="1">
        <f t="shared" ca="1" si="61"/>
        <v>12</v>
      </c>
      <c r="H106" s="1">
        <f t="shared" ca="1" si="62"/>
        <v>11</v>
      </c>
      <c r="I106" s="1"/>
      <c r="J106" s="1">
        <f t="shared" ca="1" si="63"/>
        <v>39</v>
      </c>
      <c r="K106" s="1">
        <f t="shared" ca="1" si="64"/>
        <v>1.2378380421111401</v>
      </c>
      <c r="L106" s="1">
        <f t="shared" ca="1" si="65"/>
        <v>26</v>
      </c>
      <c r="M106" s="1"/>
      <c r="N106" s="1">
        <f t="shared" ca="1" si="66"/>
        <v>600</v>
      </c>
      <c r="O106" s="1">
        <f t="shared" ca="1" si="67"/>
        <v>14</v>
      </c>
      <c r="P106" s="1"/>
      <c r="Q106" s="1">
        <f t="shared" ca="1" si="68"/>
        <v>1.1142843163261968</v>
      </c>
      <c r="R106" s="1">
        <f t="shared" ca="1" si="69"/>
        <v>765</v>
      </c>
      <c r="S106" s="1"/>
      <c r="T106" s="1">
        <f t="shared" ca="1" si="70"/>
        <v>8.3808938353106446E-2</v>
      </c>
      <c r="U106" s="1">
        <f t="shared" ca="1" si="71"/>
        <v>303</v>
      </c>
      <c r="V106" s="1">
        <f t="shared" ca="1" si="72"/>
        <v>26</v>
      </c>
      <c r="W106" s="1"/>
      <c r="X106" s="1">
        <f t="shared" ca="1" si="73"/>
        <v>4.0430427653359908</v>
      </c>
      <c r="Y106" s="1">
        <f t="shared" ca="1" si="74"/>
        <v>0.42293902047755039</v>
      </c>
      <c r="Z106" s="1">
        <f t="shared" ca="1" si="75"/>
        <v>1941</v>
      </c>
      <c r="AB106" s="1">
        <f t="shared" ca="1" si="76"/>
        <v>0.70430978135002276</v>
      </c>
      <c r="AC106" s="1">
        <f t="shared" ca="1" si="77"/>
        <v>477</v>
      </c>
      <c r="AD106" s="1">
        <f t="shared" ca="1" si="78"/>
        <v>2.2764681690290536E-3</v>
      </c>
      <c r="AE106" s="1"/>
      <c r="AF106" s="1">
        <f t="shared" ca="1" si="79"/>
        <v>0.25672945941404707</v>
      </c>
      <c r="AG106" s="1">
        <f t="shared" ca="1" si="80"/>
        <v>998</v>
      </c>
      <c r="AH106" s="1">
        <f t="shared" ca="1" si="81"/>
        <v>5.6915439744324092E-3</v>
      </c>
      <c r="AJ106" s="1">
        <f t="shared" ca="1" si="82"/>
        <v>7.5847575998885253E-3</v>
      </c>
      <c r="AK106" s="1">
        <f t="shared" ca="1" si="83"/>
        <v>4.4526832434932584E-3</v>
      </c>
      <c r="AL106" s="1"/>
      <c r="AM106" s="1">
        <f t="shared" ca="1" si="84"/>
        <v>2.8806596901385765E-2</v>
      </c>
      <c r="AN106" s="1">
        <f t="shared" ca="1" si="85"/>
        <v>54</v>
      </c>
      <c r="AO106" s="1">
        <f t="shared" ca="1" si="86"/>
        <v>18</v>
      </c>
      <c r="AQ106" s="1">
        <f t="shared" ca="1" si="87"/>
        <v>49</v>
      </c>
      <c r="AR106" s="1">
        <f t="shared" ca="1" si="88"/>
        <v>6</v>
      </c>
      <c r="AS106" s="1">
        <f t="shared" ca="1" si="89"/>
        <v>40</v>
      </c>
      <c r="AU106" s="1">
        <f t="shared" ca="1" si="90"/>
        <v>171</v>
      </c>
      <c r="AV106" s="1">
        <f t="shared" ca="1" si="91"/>
        <v>4</v>
      </c>
      <c r="AW106" s="1">
        <f t="shared" ca="1" si="92"/>
        <v>0.18983018219320882</v>
      </c>
      <c r="AY106" s="1">
        <f t="shared" ca="1" si="93"/>
        <v>1.6216009749818752</v>
      </c>
      <c r="AZ106" s="1">
        <f t="shared" ca="1" si="94"/>
        <v>492</v>
      </c>
      <c r="BA106" s="1">
        <f t="shared" ca="1" si="95"/>
        <v>3.0835498219666303E-3</v>
      </c>
      <c r="BV106" s="1">
        <f t="shared" ca="1" si="96"/>
        <v>2.5728717110096968E-2</v>
      </c>
      <c r="BW106" s="1">
        <f t="shared" ca="1" si="97"/>
        <v>616</v>
      </c>
      <c r="BX106" s="1">
        <f t="shared" ca="1" si="98"/>
        <v>8.4419493116172119E-3</v>
      </c>
      <c r="BY106" s="1">
        <f t="shared" ca="1" si="99"/>
        <v>8.0716409719149604E-2</v>
      </c>
      <c r="BZ106" s="1">
        <f t="shared" ca="1" si="100"/>
        <v>0.29330975009439242</v>
      </c>
      <c r="CB106" s="1">
        <f t="shared" ca="1" si="101"/>
        <v>115</v>
      </c>
      <c r="CC106" s="1">
        <f t="shared" ca="1" si="102"/>
        <v>11</v>
      </c>
      <c r="CD106" s="1">
        <f t="shared" ca="1" si="103"/>
        <v>0.11601461185498252</v>
      </c>
      <c r="CE106" s="1">
        <f t="shared" ca="1" si="113"/>
        <v>0.76979940991681317</v>
      </c>
      <c r="CF106" s="1">
        <f t="shared" ca="1" si="113"/>
        <v>0.85644269230744441</v>
      </c>
      <c r="CH106" s="3">
        <f t="shared" ca="1" si="105"/>
        <v>0.8041123620825763</v>
      </c>
      <c r="CI106" s="3">
        <f t="shared" ca="1" si="106"/>
        <v>0.6546783758718171</v>
      </c>
      <c r="CJ106" s="3">
        <f t="shared" ca="1" si="107"/>
        <v>1875</v>
      </c>
      <c r="CK106" s="3">
        <f t="shared" ca="1" si="108"/>
        <v>5.4593668720583364E-3</v>
      </c>
      <c r="CL106" s="3">
        <f t="shared" ca="1" si="109"/>
        <v>1</v>
      </c>
      <c r="CM106" s="3"/>
      <c r="CN106" s="1">
        <f t="shared" ca="1" si="110"/>
        <v>6.1443609866630666</v>
      </c>
      <c r="CO106" s="1">
        <f t="shared" ca="1" si="111"/>
        <v>0.42821145525798682</v>
      </c>
      <c r="CP106" s="1">
        <f t="shared" ca="1" si="112"/>
        <v>3</v>
      </c>
    </row>
    <row r="107" spans="2:94" x14ac:dyDescent="0.25">
      <c r="B107">
        <f t="shared" ca="1" si="57"/>
        <v>764</v>
      </c>
      <c r="C107">
        <f t="shared" ca="1" si="58"/>
        <v>2</v>
      </c>
      <c r="D107">
        <f t="shared" ca="1" si="59"/>
        <v>0.16908479432718304</v>
      </c>
      <c r="F107" s="1">
        <f t="shared" ca="1" si="60"/>
        <v>40</v>
      </c>
      <c r="G107" s="1">
        <f t="shared" ca="1" si="61"/>
        <v>22</v>
      </c>
      <c r="H107" s="1">
        <f t="shared" ca="1" si="62"/>
        <v>9</v>
      </c>
      <c r="I107" s="1"/>
      <c r="J107" s="1">
        <f t="shared" ca="1" si="63"/>
        <v>26</v>
      </c>
      <c r="K107" s="1">
        <f t="shared" ca="1" si="64"/>
        <v>2.0560415311349054</v>
      </c>
      <c r="L107" s="1">
        <f t="shared" ca="1" si="65"/>
        <v>11</v>
      </c>
      <c r="M107" s="1"/>
      <c r="N107" s="1">
        <f t="shared" ca="1" si="66"/>
        <v>873</v>
      </c>
      <c r="O107" s="1">
        <f t="shared" ca="1" si="67"/>
        <v>47</v>
      </c>
      <c r="P107" s="1"/>
      <c r="Q107" s="1">
        <f t="shared" ca="1" si="68"/>
        <v>2.9653257981951451</v>
      </c>
      <c r="R107" s="1">
        <f t="shared" ca="1" si="69"/>
        <v>640</v>
      </c>
      <c r="S107" s="1"/>
      <c r="T107" s="1">
        <f t="shared" ca="1" si="70"/>
        <v>1.6151416003756892E-2</v>
      </c>
      <c r="U107" s="1">
        <f t="shared" ca="1" si="71"/>
        <v>271</v>
      </c>
      <c r="V107" s="1">
        <f t="shared" ca="1" si="72"/>
        <v>51</v>
      </c>
      <c r="W107" s="1"/>
      <c r="X107" s="1">
        <f t="shared" ca="1" si="73"/>
        <v>4.1397086071123121</v>
      </c>
      <c r="Y107" s="1">
        <f t="shared" ca="1" si="74"/>
        <v>0.34034619868153732</v>
      </c>
      <c r="Z107" s="1">
        <f t="shared" ca="1" si="75"/>
        <v>1245</v>
      </c>
      <c r="AB107" s="1">
        <f t="shared" ca="1" si="76"/>
        <v>0.62766303719542471</v>
      </c>
      <c r="AC107" s="1">
        <f t="shared" ca="1" si="77"/>
        <v>943</v>
      </c>
      <c r="AD107" s="1">
        <f t="shared" ca="1" si="78"/>
        <v>1.1655759287689626E-3</v>
      </c>
      <c r="AE107" s="1"/>
      <c r="AF107" s="1">
        <f t="shared" ca="1" si="79"/>
        <v>0.13165646085509081</v>
      </c>
      <c r="AG107" s="1">
        <f t="shared" ca="1" si="80"/>
        <v>564</v>
      </c>
      <c r="AH107" s="1">
        <f t="shared" ca="1" si="81"/>
        <v>7.2500610928584947E-3</v>
      </c>
      <c r="AJ107" s="1">
        <f t="shared" ca="1" si="82"/>
        <v>0.10368321958651039</v>
      </c>
      <c r="AK107" s="1">
        <f t="shared" ca="1" si="83"/>
        <v>4.5095507733188449E-3</v>
      </c>
      <c r="AL107" s="1"/>
      <c r="AM107" s="1">
        <f t="shared" ca="1" si="84"/>
        <v>1.4785690240537556E-2</v>
      </c>
      <c r="AN107" s="1">
        <f t="shared" ca="1" si="85"/>
        <v>77</v>
      </c>
      <c r="AO107" s="1">
        <f t="shared" ca="1" si="86"/>
        <v>6</v>
      </c>
      <c r="AQ107" s="1">
        <f t="shared" ca="1" si="87"/>
        <v>173</v>
      </c>
      <c r="AR107" s="1">
        <f t="shared" ca="1" si="88"/>
        <v>10</v>
      </c>
      <c r="AS107" s="1">
        <f t="shared" ca="1" si="89"/>
        <v>3</v>
      </c>
      <c r="AU107" s="1">
        <f t="shared" ca="1" si="90"/>
        <v>315</v>
      </c>
      <c r="AV107" s="1">
        <f t="shared" ca="1" si="91"/>
        <v>3</v>
      </c>
      <c r="AW107" s="1">
        <f t="shared" ca="1" si="92"/>
        <v>0.15652244400476803</v>
      </c>
      <c r="AY107" s="1">
        <f t="shared" ca="1" si="93"/>
        <v>1.1474269490275273</v>
      </c>
      <c r="AZ107" s="1">
        <f t="shared" ca="1" si="94"/>
        <v>337</v>
      </c>
      <c r="BA107" s="1">
        <f t="shared" ca="1" si="95"/>
        <v>7.6732354283361413E-3</v>
      </c>
      <c r="BV107" s="1">
        <f t="shared" ca="1" si="96"/>
        <v>0.55848142280438107</v>
      </c>
      <c r="BW107" s="1">
        <f t="shared" ca="1" si="97"/>
        <v>944</v>
      </c>
      <c r="BX107" s="1">
        <f t="shared" ca="1" si="98"/>
        <v>1.5798564326995339E-4</v>
      </c>
      <c r="BY107" s="1">
        <f t="shared" ca="1" si="99"/>
        <v>4.652171545563405E-2</v>
      </c>
      <c r="BZ107" s="1">
        <f t="shared" ca="1" si="100"/>
        <v>0.90177611891657938</v>
      </c>
      <c r="CB107" s="1">
        <f t="shared" ca="1" si="101"/>
        <v>480</v>
      </c>
      <c r="CC107" s="1">
        <f t="shared" ca="1" si="102"/>
        <v>15</v>
      </c>
      <c r="CD107" s="1">
        <f t="shared" ca="1" si="103"/>
        <v>0.10082461403497806</v>
      </c>
      <c r="CE107" s="1">
        <f t="shared" ca="1" si="113"/>
        <v>0.62797739353759274</v>
      </c>
      <c r="CF107" s="1">
        <f t="shared" ca="1" si="113"/>
        <v>0.69394547686104335</v>
      </c>
      <c r="CH107" s="3">
        <f t="shared" ca="1" si="105"/>
        <v>0.26275152105007843</v>
      </c>
      <c r="CI107" s="3">
        <f t="shared" ca="1" si="106"/>
        <v>0.18715181073403467</v>
      </c>
      <c r="CJ107" s="3">
        <f t="shared" ca="1" si="107"/>
        <v>1193</v>
      </c>
      <c r="CK107" s="3">
        <f t="shared" ca="1" si="108"/>
        <v>9.165470562931953E-3</v>
      </c>
      <c r="CL107" s="3">
        <f t="shared" ca="1" si="109"/>
        <v>1</v>
      </c>
      <c r="CM107" s="3"/>
      <c r="CN107" s="1">
        <f t="shared" ca="1" si="110"/>
        <v>13.749784520942434</v>
      </c>
      <c r="CO107" s="1">
        <f t="shared" ca="1" si="111"/>
        <v>9.708597473257187E-2</v>
      </c>
      <c r="CP107" s="1">
        <f t="shared" ca="1" si="112"/>
        <v>2</v>
      </c>
    </row>
    <row r="108" spans="2:94" x14ac:dyDescent="0.25">
      <c r="B108">
        <f t="shared" ca="1" si="57"/>
        <v>158</v>
      </c>
      <c r="C108">
        <f t="shared" ca="1" si="58"/>
        <v>36</v>
      </c>
      <c r="D108">
        <f t="shared" ca="1" si="59"/>
        <v>0.28565437628174095</v>
      </c>
      <c r="F108" s="1">
        <f t="shared" ca="1" si="60"/>
        <v>32</v>
      </c>
      <c r="G108" s="1">
        <f t="shared" ca="1" si="61"/>
        <v>26</v>
      </c>
      <c r="H108" s="1">
        <f t="shared" ca="1" si="62"/>
        <v>4</v>
      </c>
      <c r="I108" s="1"/>
      <c r="J108" s="1">
        <f t="shared" ca="1" si="63"/>
        <v>13</v>
      </c>
      <c r="K108" s="1">
        <f t="shared" ca="1" si="64"/>
        <v>1.3745147893331708</v>
      </c>
      <c r="L108" s="1">
        <f t="shared" ca="1" si="65"/>
        <v>19</v>
      </c>
      <c r="M108" s="1"/>
      <c r="N108" s="1">
        <f t="shared" ca="1" si="66"/>
        <v>848</v>
      </c>
      <c r="O108" s="1">
        <f t="shared" ca="1" si="67"/>
        <v>45</v>
      </c>
      <c r="P108" s="1"/>
      <c r="Q108" s="1">
        <f t="shared" ca="1" si="68"/>
        <v>3.0259030810138343</v>
      </c>
      <c r="R108" s="1">
        <f t="shared" ca="1" si="69"/>
        <v>1025</v>
      </c>
      <c r="S108" s="1"/>
      <c r="T108" s="1">
        <f t="shared" ca="1" si="70"/>
        <v>0.16800684138474731</v>
      </c>
      <c r="U108" s="1">
        <f t="shared" ca="1" si="71"/>
        <v>166</v>
      </c>
      <c r="V108" s="1">
        <f t="shared" ca="1" si="72"/>
        <v>15</v>
      </c>
      <c r="W108" s="1"/>
      <c r="X108" s="1">
        <f t="shared" ca="1" si="73"/>
        <v>2.3143549101274972</v>
      </c>
      <c r="Y108" s="1">
        <f t="shared" ca="1" si="74"/>
        <v>0.33647958045081905</v>
      </c>
      <c r="Z108" s="1">
        <f t="shared" ca="1" si="75"/>
        <v>1121</v>
      </c>
      <c r="AB108" s="1">
        <f t="shared" ca="1" si="76"/>
        <v>0.31076053355255207</v>
      </c>
      <c r="AC108" s="1">
        <f t="shared" ca="1" si="77"/>
        <v>360</v>
      </c>
      <c r="AD108" s="1">
        <f t="shared" ca="1" si="78"/>
        <v>2.2224601278648705E-3</v>
      </c>
      <c r="AE108" s="1"/>
      <c r="AF108" s="1">
        <f t="shared" ca="1" si="79"/>
        <v>0.59870288720092668</v>
      </c>
      <c r="AG108" s="1">
        <f t="shared" ca="1" si="80"/>
        <v>358</v>
      </c>
      <c r="AH108" s="1">
        <f t="shared" ca="1" si="81"/>
        <v>9.840772749084856E-3</v>
      </c>
      <c r="AJ108" s="1">
        <f t="shared" ca="1" si="82"/>
        <v>0.24604041095253448</v>
      </c>
      <c r="AK108" s="1">
        <f t="shared" ca="1" si="83"/>
        <v>6.1498987373207002E-3</v>
      </c>
      <c r="AL108" s="1"/>
      <c r="AM108" s="1">
        <f t="shared" ca="1" si="84"/>
        <v>1.5108175063547412E-2</v>
      </c>
      <c r="AN108" s="1">
        <f t="shared" ca="1" si="85"/>
        <v>43</v>
      </c>
      <c r="AO108" s="1">
        <f t="shared" ca="1" si="86"/>
        <v>11</v>
      </c>
      <c r="AQ108" s="1">
        <f t="shared" ca="1" si="87"/>
        <v>24</v>
      </c>
      <c r="AR108" s="1">
        <f t="shared" ca="1" si="88"/>
        <v>6</v>
      </c>
      <c r="AS108" s="1">
        <f t="shared" ca="1" si="89"/>
        <v>91</v>
      </c>
      <c r="AU108" s="1">
        <f t="shared" ca="1" si="90"/>
        <v>159</v>
      </c>
      <c r="AV108" s="1">
        <f t="shared" ca="1" si="91"/>
        <v>7</v>
      </c>
      <c r="AW108" s="1">
        <f t="shared" ca="1" si="92"/>
        <v>0.14800427254730866</v>
      </c>
      <c r="AY108" s="1">
        <f t="shared" ca="1" si="93"/>
        <v>1.9092605339989528</v>
      </c>
      <c r="AZ108" s="1">
        <f t="shared" ca="1" si="94"/>
        <v>343</v>
      </c>
      <c r="BA108" s="1">
        <f t="shared" ca="1" si="95"/>
        <v>5.3052197016476982E-3</v>
      </c>
      <c r="BV108" s="1">
        <f t="shared" ca="1" si="96"/>
        <v>0.69434405710011216</v>
      </c>
      <c r="BW108" s="1">
        <f t="shared" ca="1" si="97"/>
        <v>198</v>
      </c>
      <c r="BX108" s="1">
        <f t="shared" ca="1" si="98"/>
        <v>3.2694681606292705E-3</v>
      </c>
      <c r="BY108" s="1">
        <f t="shared" ca="1" si="99"/>
        <v>8.0441339245507337E-2</v>
      </c>
      <c r="BZ108" s="1">
        <f t="shared" ca="1" si="100"/>
        <v>0.47513381041135327</v>
      </c>
      <c r="CB108" s="1">
        <f t="shared" ca="1" si="101"/>
        <v>468</v>
      </c>
      <c r="CC108" s="1">
        <f t="shared" ca="1" si="102"/>
        <v>6</v>
      </c>
      <c r="CD108" s="1">
        <f t="shared" ca="1" si="103"/>
        <v>0.19958543751926719</v>
      </c>
      <c r="CE108" s="1">
        <f t="shared" ca="1" si="113"/>
        <v>0.50722168195083128</v>
      </c>
      <c r="CF108" s="1">
        <f t="shared" ca="1" si="113"/>
        <v>0.91916453286980326</v>
      </c>
      <c r="CH108" s="3">
        <f t="shared" ca="1" si="105"/>
        <v>0.63076644550422012</v>
      </c>
      <c r="CI108" s="3">
        <f t="shared" ca="1" si="106"/>
        <v>3.0667340395746354E-2</v>
      </c>
      <c r="CJ108" s="3">
        <f t="shared" ca="1" si="107"/>
        <v>870</v>
      </c>
      <c r="CK108" s="3">
        <f t="shared" ca="1" si="108"/>
        <v>3.116371149630537E-4</v>
      </c>
      <c r="CL108" s="3">
        <f t="shared" ca="1" si="109"/>
        <v>0</v>
      </c>
      <c r="CM108" s="3"/>
      <c r="CN108" s="1">
        <f t="shared" ca="1" si="110"/>
        <v>6.2796242946646119</v>
      </c>
      <c r="CO108" s="1">
        <f t="shared" ca="1" si="111"/>
        <v>0.27934736285451317</v>
      </c>
      <c r="CP108" s="1">
        <f t="shared" ca="1" si="112"/>
        <v>4</v>
      </c>
    </row>
    <row r="109" spans="2:94" x14ac:dyDescent="0.25">
      <c r="B109">
        <f t="shared" ca="1" si="57"/>
        <v>460</v>
      </c>
      <c r="C109">
        <f t="shared" ca="1" si="58"/>
        <v>36</v>
      </c>
      <c r="D109">
        <f t="shared" ca="1" si="59"/>
        <v>3.0711790275353854E-2</v>
      </c>
      <c r="F109" s="1">
        <f t="shared" ca="1" si="60"/>
        <v>28</v>
      </c>
      <c r="G109" s="1">
        <f t="shared" ca="1" si="61"/>
        <v>4</v>
      </c>
      <c r="H109" s="1">
        <f t="shared" ca="1" si="62"/>
        <v>7</v>
      </c>
      <c r="I109" s="1"/>
      <c r="J109" s="1">
        <f t="shared" ca="1" si="63"/>
        <v>23</v>
      </c>
      <c r="K109" s="1">
        <f t="shared" ca="1" si="64"/>
        <v>1.7050454211953683</v>
      </c>
      <c r="L109" s="1">
        <f t="shared" ca="1" si="65"/>
        <v>18</v>
      </c>
      <c r="M109" s="1"/>
      <c r="N109" s="1">
        <f t="shared" ca="1" si="66"/>
        <v>224</v>
      </c>
      <c r="O109" s="1">
        <f t="shared" ca="1" si="67"/>
        <v>2</v>
      </c>
      <c r="P109" s="1"/>
      <c r="Q109" s="1">
        <f t="shared" ca="1" si="68"/>
        <v>3.9091646293391809</v>
      </c>
      <c r="R109" s="1">
        <f t="shared" ca="1" si="69"/>
        <v>802</v>
      </c>
      <c r="S109" s="1"/>
      <c r="T109" s="1">
        <f t="shared" ca="1" si="70"/>
        <v>0.17584137715378281</v>
      </c>
      <c r="U109" s="1">
        <f t="shared" ca="1" si="71"/>
        <v>56</v>
      </c>
      <c r="V109" s="1">
        <f t="shared" ca="1" si="72"/>
        <v>13</v>
      </c>
      <c r="W109" s="1"/>
      <c r="X109" s="1">
        <f t="shared" ca="1" si="73"/>
        <v>6.9075693445089454</v>
      </c>
      <c r="Y109" s="1">
        <f t="shared" ca="1" si="74"/>
        <v>0.30919389055166413</v>
      </c>
      <c r="Z109" s="1">
        <f t="shared" ca="1" si="75"/>
        <v>1643</v>
      </c>
      <c r="AB109" s="1">
        <f t="shared" ca="1" si="76"/>
        <v>0.36573432150628965</v>
      </c>
      <c r="AC109" s="1">
        <f t="shared" ca="1" si="77"/>
        <v>691</v>
      </c>
      <c r="AD109" s="1">
        <f t="shared" ca="1" si="78"/>
        <v>1.0146082006095452E-3</v>
      </c>
      <c r="AE109" s="1"/>
      <c r="AF109" s="1">
        <f t="shared" ca="1" si="79"/>
        <v>0.29328549369762824</v>
      </c>
      <c r="AG109" s="1">
        <f t="shared" ca="1" si="80"/>
        <v>782</v>
      </c>
      <c r="AH109" s="1">
        <f t="shared" ca="1" si="81"/>
        <v>4.3451703113560189E-3</v>
      </c>
      <c r="AJ109" s="1">
        <f t="shared" ca="1" si="82"/>
        <v>0.22030957013434427</v>
      </c>
      <c r="AK109" s="1">
        <f t="shared" ca="1" si="83"/>
        <v>7.9536164838077024E-3</v>
      </c>
      <c r="AL109" s="1"/>
      <c r="AM109" s="1">
        <f t="shared" ca="1" si="84"/>
        <v>0.15411752664833145</v>
      </c>
      <c r="AN109" s="1">
        <f t="shared" ca="1" si="85"/>
        <v>75</v>
      </c>
      <c r="AO109" s="1">
        <f t="shared" ca="1" si="86"/>
        <v>6</v>
      </c>
      <c r="AQ109" s="1">
        <f t="shared" ca="1" si="87"/>
        <v>151</v>
      </c>
      <c r="AR109" s="1">
        <f t="shared" ca="1" si="88"/>
        <v>8</v>
      </c>
      <c r="AS109" s="1">
        <f t="shared" ca="1" si="89"/>
        <v>85</v>
      </c>
      <c r="AU109" s="1">
        <f t="shared" ca="1" si="90"/>
        <v>63</v>
      </c>
      <c r="AV109" s="1">
        <f t="shared" ca="1" si="91"/>
        <v>10</v>
      </c>
      <c r="AW109" s="1">
        <f t="shared" ca="1" si="92"/>
        <v>7.8200964988634394E-2</v>
      </c>
      <c r="AY109" s="1">
        <f t="shared" ca="1" si="93"/>
        <v>1.1275947437644138</v>
      </c>
      <c r="AZ109" s="1">
        <f t="shared" ca="1" si="94"/>
        <v>219</v>
      </c>
      <c r="BA109" s="1">
        <f t="shared" ca="1" si="95"/>
        <v>6.6283347355060359E-3</v>
      </c>
      <c r="BV109" s="1">
        <f t="shared" ca="1" si="96"/>
        <v>0.95668374824871927</v>
      </c>
      <c r="BW109" s="1">
        <f t="shared" ca="1" si="97"/>
        <v>303</v>
      </c>
      <c r="BX109" s="1">
        <f t="shared" ca="1" si="98"/>
        <v>6.6894877277113756E-3</v>
      </c>
      <c r="BY109" s="1">
        <f t="shared" ca="1" si="99"/>
        <v>3.2119233429625409E-2</v>
      </c>
      <c r="BZ109" s="1">
        <f t="shared" ca="1" si="100"/>
        <v>0.49622683227562159</v>
      </c>
      <c r="CB109" s="1">
        <f t="shared" ca="1" si="101"/>
        <v>259</v>
      </c>
      <c r="CC109" s="1">
        <f t="shared" ca="1" si="102"/>
        <v>9</v>
      </c>
      <c r="CD109" s="1">
        <f t="shared" ca="1" si="103"/>
        <v>0.28110045968296971</v>
      </c>
      <c r="CE109" s="1">
        <f t="shared" ca="1" si="113"/>
        <v>0.69395400772465554</v>
      </c>
      <c r="CF109" s="1">
        <f t="shared" ca="1" si="113"/>
        <v>0.92135457578064162</v>
      </c>
      <c r="CH109" s="3">
        <f t="shared" ca="1" si="105"/>
        <v>0.36528782663079001</v>
      </c>
      <c r="CI109" s="3">
        <f t="shared" ca="1" si="106"/>
        <v>0.63441143737649863</v>
      </c>
      <c r="CJ109" s="3">
        <f t="shared" ca="1" si="107"/>
        <v>1191</v>
      </c>
      <c r="CK109" s="3">
        <f t="shared" ca="1" si="108"/>
        <v>5.9006982015501501E-3</v>
      </c>
      <c r="CL109" s="3">
        <f t="shared" ca="1" si="109"/>
        <v>1</v>
      </c>
      <c r="CM109" s="3"/>
      <c r="CN109" s="1">
        <f t="shared" ca="1" si="110"/>
        <v>15.439239047791389</v>
      </c>
      <c r="CO109" s="1">
        <f t="shared" ca="1" si="111"/>
        <v>0.22082579828313884</v>
      </c>
      <c r="CP109" s="1">
        <f t="shared" ca="1" si="112"/>
        <v>4</v>
      </c>
    </row>
    <row r="110" spans="2:94" x14ac:dyDescent="0.25">
      <c r="B110">
        <f t="shared" ca="1" si="57"/>
        <v>171</v>
      </c>
      <c r="C110">
        <f t="shared" ca="1" si="58"/>
        <v>25</v>
      </c>
      <c r="D110">
        <f t="shared" ca="1" si="59"/>
        <v>0.2257938056708817</v>
      </c>
      <c r="F110" s="1">
        <f t="shared" ca="1" si="60"/>
        <v>41</v>
      </c>
      <c r="G110" s="1">
        <f t="shared" ca="1" si="61"/>
        <v>8</v>
      </c>
      <c r="H110" s="1">
        <f t="shared" ca="1" si="62"/>
        <v>5</v>
      </c>
      <c r="I110" s="1"/>
      <c r="J110" s="1">
        <f t="shared" ca="1" si="63"/>
        <v>34</v>
      </c>
      <c r="K110" s="1">
        <f t="shared" ca="1" si="64"/>
        <v>2.6145722681378989</v>
      </c>
      <c r="L110" s="1">
        <f t="shared" ca="1" si="65"/>
        <v>22</v>
      </c>
      <c r="M110" s="1"/>
      <c r="N110" s="1">
        <f t="shared" ca="1" si="66"/>
        <v>881</v>
      </c>
      <c r="O110" s="1">
        <f t="shared" ca="1" si="67"/>
        <v>10</v>
      </c>
      <c r="P110" s="1"/>
      <c r="Q110" s="1">
        <f t="shared" ca="1" si="68"/>
        <v>1.5202208197795912</v>
      </c>
      <c r="R110" s="1">
        <f t="shared" ca="1" si="69"/>
        <v>1093</v>
      </c>
      <c r="S110" s="1"/>
      <c r="T110" s="1">
        <f t="shared" ca="1" si="70"/>
        <v>6.3179211955133915E-2</v>
      </c>
      <c r="U110" s="1">
        <f t="shared" ca="1" si="71"/>
        <v>286</v>
      </c>
      <c r="V110" s="1">
        <f t="shared" ca="1" si="72"/>
        <v>31</v>
      </c>
      <c r="W110" s="1"/>
      <c r="X110" s="1">
        <f t="shared" ca="1" si="73"/>
        <v>7.6820126971651373E-2</v>
      </c>
      <c r="Y110" s="1">
        <f t="shared" ca="1" si="74"/>
        <v>0.96289794652986227</v>
      </c>
      <c r="Z110" s="1">
        <f t="shared" ca="1" si="75"/>
        <v>467</v>
      </c>
      <c r="AB110" s="1">
        <f t="shared" ca="1" si="76"/>
        <v>0.40623535222232621</v>
      </c>
      <c r="AC110" s="1">
        <f t="shared" ca="1" si="77"/>
        <v>283</v>
      </c>
      <c r="AD110" s="1">
        <f t="shared" ca="1" si="78"/>
        <v>7.4780266310074915E-3</v>
      </c>
      <c r="AE110" s="1"/>
      <c r="AF110" s="1">
        <f t="shared" ca="1" si="79"/>
        <v>0.73294381512575491</v>
      </c>
      <c r="AG110" s="1">
        <f t="shared" ca="1" si="80"/>
        <v>421</v>
      </c>
      <c r="AH110" s="1">
        <f t="shared" ca="1" si="81"/>
        <v>3.7968228392460351E-3</v>
      </c>
      <c r="AJ110" s="1">
        <f t="shared" ca="1" si="82"/>
        <v>0.65092350717833403</v>
      </c>
      <c r="AK110" s="1">
        <f t="shared" ca="1" si="83"/>
        <v>7.4020719244013945E-3</v>
      </c>
      <c r="AL110" s="1"/>
      <c r="AM110" s="1">
        <f t="shared" ca="1" si="84"/>
        <v>9.225251584064878E-2</v>
      </c>
      <c r="AN110" s="1">
        <f t="shared" ca="1" si="85"/>
        <v>73</v>
      </c>
      <c r="AO110" s="1">
        <f t="shared" ca="1" si="86"/>
        <v>11</v>
      </c>
      <c r="AQ110" s="1">
        <f t="shared" ca="1" si="87"/>
        <v>64</v>
      </c>
      <c r="AR110" s="1">
        <f t="shared" ca="1" si="88"/>
        <v>5</v>
      </c>
      <c r="AS110" s="1">
        <f t="shared" ca="1" si="89"/>
        <v>87</v>
      </c>
      <c r="AU110" s="1">
        <f t="shared" ca="1" si="90"/>
        <v>311</v>
      </c>
      <c r="AV110" s="1">
        <f t="shared" ca="1" si="91"/>
        <v>2</v>
      </c>
      <c r="AW110" s="1">
        <f t="shared" ca="1" si="92"/>
        <v>0.11981742769704358</v>
      </c>
      <c r="AY110" s="1">
        <f t="shared" ca="1" si="93"/>
        <v>1.5137836402868563</v>
      </c>
      <c r="AZ110" s="1">
        <f t="shared" ca="1" si="94"/>
        <v>221</v>
      </c>
      <c r="BA110" s="1">
        <f t="shared" ca="1" si="95"/>
        <v>5.785022947775208E-3</v>
      </c>
      <c r="BV110" s="1">
        <f t="shared" ca="1" si="96"/>
        <v>0.46399356542732018</v>
      </c>
      <c r="BW110" s="1">
        <f t="shared" ca="1" si="97"/>
        <v>429</v>
      </c>
      <c r="BX110" s="1">
        <f t="shared" ca="1" si="98"/>
        <v>4.9501732497799524E-3</v>
      </c>
      <c r="BY110" s="1">
        <f t="shared" ca="1" si="99"/>
        <v>9.4941062761312672E-2</v>
      </c>
      <c r="BZ110" s="1">
        <f t="shared" ca="1" si="100"/>
        <v>0.79558750543991341</v>
      </c>
      <c r="CB110" s="1">
        <f t="shared" ca="1" si="101"/>
        <v>356</v>
      </c>
      <c r="CC110" s="1">
        <f t="shared" ca="1" si="102"/>
        <v>10</v>
      </c>
      <c r="CD110" s="1">
        <f t="shared" ca="1" si="103"/>
        <v>0.29326436573245729</v>
      </c>
      <c r="CE110" s="1">
        <f t="shared" ca="1" si="113"/>
        <v>0.84680182019204508</v>
      </c>
      <c r="CF110" s="1">
        <f t="shared" ca="1" si="113"/>
        <v>0.97963934936955999</v>
      </c>
      <c r="CH110" s="3">
        <f t="shared" ca="1" si="105"/>
        <v>0.1951567379144851</v>
      </c>
      <c r="CI110" s="3">
        <f t="shared" ca="1" si="106"/>
        <v>0.36531485817043086</v>
      </c>
      <c r="CJ110" s="3">
        <f t="shared" ca="1" si="107"/>
        <v>1168</v>
      </c>
      <c r="CK110" s="3">
        <f t="shared" ca="1" si="108"/>
        <v>9.705007535731067E-3</v>
      </c>
      <c r="CL110" s="3">
        <f t="shared" ca="1" si="109"/>
        <v>0</v>
      </c>
      <c r="CM110" s="3"/>
      <c r="CN110" s="1">
        <f t="shared" ca="1" si="110"/>
        <v>17.897400215787144</v>
      </c>
      <c r="CO110" s="1">
        <f t="shared" ca="1" si="111"/>
        <v>0.10989693402690186</v>
      </c>
      <c r="CP110" s="1">
        <f t="shared" ca="1" si="112"/>
        <v>3</v>
      </c>
    </row>
    <row r="111" spans="2:94" x14ac:dyDescent="0.25">
      <c r="B111">
        <f t="shared" ca="1" si="57"/>
        <v>934</v>
      </c>
      <c r="C111">
        <f t="shared" ca="1" si="58"/>
        <v>10</v>
      </c>
      <c r="D111">
        <f t="shared" ca="1" si="59"/>
        <v>4.7678520724046769E-2</v>
      </c>
      <c r="F111" s="1">
        <f t="shared" ca="1" si="60"/>
        <v>6</v>
      </c>
      <c r="G111" s="1">
        <f t="shared" ca="1" si="61"/>
        <v>21</v>
      </c>
      <c r="H111" s="1">
        <f t="shared" ca="1" si="62"/>
        <v>8</v>
      </c>
      <c r="I111" s="1"/>
      <c r="J111" s="1">
        <f t="shared" ca="1" si="63"/>
        <v>36</v>
      </c>
      <c r="K111" s="1">
        <f t="shared" ca="1" si="64"/>
        <v>2.9164064904672689</v>
      </c>
      <c r="L111" s="1">
        <f t="shared" ca="1" si="65"/>
        <v>10</v>
      </c>
      <c r="M111" s="1"/>
      <c r="N111" s="1">
        <f t="shared" ca="1" si="66"/>
        <v>576</v>
      </c>
      <c r="O111" s="1">
        <f t="shared" ca="1" si="67"/>
        <v>44</v>
      </c>
      <c r="P111" s="1"/>
      <c r="Q111" s="1">
        <f t="shared" ca="1" si="68"/>
        <v>0.34989815189402501</v>
      </c>
      <c r="R111" s="1">
        <f t="shared" ca="1" si="69"/>
        <v>533</v>
      </c>
      <c r="S111" s="1"/>
      <c r="T111" s="1">
        <f t="shared" ca="1" si="70"/>
        <v>0.13036668884859612</v>
      </c>
      <c r="U111" s="1">
        <f t="shared" ca="1" si="71"/>
        <v>62</v>
      </c>
      <c r="V111" s="1">
        <f t="shared" ca="1" si="72"/>
        <v>45</v>
      </c>
      <c r="W111" s="1"/>
      <c r="X111" s="1">
        <f t="shared" ca="1" si="73"/>
        <v>8.1495875452797524</v>
      </c>
      <c r="Y111" s="1">
        <f t="shared" ca="1" si="74"/>
        <v>0.89985884652332226</v>
      </c>
      <c r="Z111" s="1">
        <f t="shared" ca="1" si="75"/>
        <v>749</v>
      </c>
      <c r="AB111" s="1">
        <f t="shared" ca="1" si="76"/>
        <v>0.26719639023163189</v>
      </c>
      <c r="AC111" s="1">
        <f t="shared" ca="1" si="77"/>
        <v>521</v>
      </c>
      <c r="AD111" s="1">
        <f t="shared" ca="1" si="78"/>
        <v>2.6033077676251705E-3</v>
      </c>
      <c r="AE111" s="1"/>
      <c r="AF111" s="1">
        <f t="shared" ca="1" si="79"/>
        <v>0.12694636439412968</v>
      </c>
      <c r="AG111" s="1">
        <f t="shared" ca="1" si="80"/>
        <v>196</v>
      </c>
      <c r="AH111" s="1">
        <f t="shared" ca="1" si="81"/>
        <v>4.4643710562790378E-3</v>
      </c>
      <c r="AJ111" s="1">
        <f t="shared" ca="1" si="82"/>
        <v>0.95489783972707631</v>
      </c>
      <c r="AK111" s="1">
        <f t="shared" ca="1" si="83"/>
        <v>6.0695423172478068E-4</v>
      </c>
      <c r="AL111" s="1"/>
      <c r="AM111" s="1">
        <f t="shared" ca="1" si="84"/>
        <v>0.19559853783275297</v>
      </c>
      <c r="AN111" s="1">
        <f t="shared" ca="1" si="85"/>
        <v>18</v>
      </c>
      <c r="AO111" s="1">
        <f t="shared" ca="1" si="86"/>
        <v>16</v>
      </c>
      <c r="AQ111" s="1">
        <f t="shared" ca="1" si="87"/>
        <v>143</v>
      </c>
      <c r="AR111" s="1">
        <f t="shared" ca="1" si="88"/>
        <v>4</v>
      </c>
      <c r="AS111" s="1">
        <f t="shared" ca="1" si="89"/>
        <v>23</v>
      </c>
      <c r="AU111" s="1">
        <f t="shared" ca="1" si="90"/>
        <v>322</v>
      </c>
      <c r="AV111" s="1">
        <f t="shared" ca="1" si="91"/>
        <v>5</v>
      </c>
      <c r="AW111" s="1">
        <f t="shared" ca="1" si="92"/>
        <v>0.15111686015731807</v>
      </c>
      <c r="AY111" s="1">
        <f t="shared" ca="1" si="93"/>
        <v>1.6705762423639461</v>
      </c>
      <c r="AZ111" s="1">
        <f t="shared" ca="1" si="94"/>
        <v>130</v>
      </c>
      <c r="BA111" s="1">
        <f t="shared" ca="1" si="95"/>
        <v>9.7638083926715174E-3</v>
      </c>
      <c r="BV111" s="1">
        <f t="shared" ca="1" si="96"/>
        <v>0.48238378284275296</v>
      </c>
      <c r="BW111" s="1">
        <f t="shared" ca="1" si="97"/>
        <v>245</v>
      </c>
      <c r="BX111" s="1">
        <f t="shared" ca="1" si="98"/>
        <v>2.5450632699288637E-3</v>
      </c>
      <c r="BY111" s="1">
        <f t="shared" ca="1" si="99"/>
        <v>4.2919434430584921E-2</v>
      </c>
      <c r="BZ111" s="1">
        <f t="shared" ca="1" si="100"/>
        <v>0.84934939612192717</v>
      </c>
      <c r="CB111" s="1">
        <f t="shared" ca="1" si="101"/>
        <v>370</v>
      </c>
      <c r="CC111" s="1">
        <f t="shared" ca="1" si="102"/>
        <v>9</v>
      </c>
      <c r="CD111" s="1">
        <f t="shared" ca="1" si="103"/>
        <v>9.4481284526742412E-2</v>
      </c>
      <c r="CE111" s="1">
        <f t="shared" ca="1" si="113"/>
        <v>0.68262251170830957</v>
      </c>
      <c r="CF111" s="1">
        <f t="shared" ca="1" si="113"/>
        <v>0.51196261985473568</v>
      </c>
      <c r="CH111" s="3">
        <f t="shared" ca="1" si="105"/>
        <v>0.7090284762093606</v>
      </c>
      <c r="CI111" s="3">
        <f t="shared" ca="1" si="106"/>
        <v>0.83844456409473034</v>
      </c>
      <c r="CJ111" s="3">
        <f t="shared" ca="1" si="107"/>
        <v>1130</v>
      </c>
      <c r="CK111" s="3">
        <f t="shared" ca="1" si="108"/>
        <v>6.7142624440846219E-3</v>
      </c>
      <c r="CL111" s="3">
        <f t="shared" ca="1" si="109"/>
        <v>1</v>
      </c>
      <c r="CM111" s="3"/>
      <c r="CN111" s="1">
        <f t="shared" ca="1" si="110"/>
        <v>2.3181347403383787</v>
      </c>
      <c r="CO111" s="1">
        <f t="shared" ca="1" si="111"/>
        <v>0.44734631575890121</v>
      </c>
      <c r="CP111" s="1">
        <f t="shared" ca="1" si="112"/>
        <v>1</v>
      </c>
    </row>
    <row r="112" spans="2:94" x14ac:dyDescent="0.25">
      <c r="B112">
        <f t="shared" ca="1" si="57"/>
        <v>151</v>
      </c>
      <c r="C112">
        <f t="shared" ca="1" si="58"/>
        <v>50</v>
      </c>
      <c r="D112">
        <f t="shared" ca="1" si="59"/>
        <v>0.27792982016327006</v>
      </c>
      <c r="F112" s="1">
        <f t="shared" ca="1" si="60"/>
        <v>33</v>
      </c>
      <c r="G112" s="1">
        <f t="shared" ca="1" si="61"/>
        <v>2</v>
      </c>
      <c r="H112" s="1">
        <f t="shared" ca="1" si="62"/>
        <v>13</v>
      </c>
      <c r="I112" s="1"/>
      <c r="J112" s="1">
        <f t="shared" ca="1" si="63"/>
        <v>9</v>
      </c>
      <c r="K112" s="1">
        <f t="shared" ca="1" si="64"/>
        <v>1.5178823448011867</v>
      </c>
      <c r="L112" s="1">
        <f t="shared" ca="1" si="65"/>
        <v>11</v>
      </c>
      <c r="M112" s="1"/>
      <c r="N112" s="1">
        <f t="shared" ca="1" si="66"/>
        <v>664</v>
      </c>
      <c r="O112" s="1">
        <f t="shared" ca="1" si="67"/>
        <v>25</v>
      </c>
      <c r="P112" s="1"/>
      <c r="Q112" s="1">
        <f t="shared" ca="1" si="68"/>
        <v>0.67185763377632257</v>
      </c>
      <c r="R112" s="1">
        <f t="shared" ca="1" si="69"/>
        <v>792</v>
      </c>
      <c r="S112" s="1"/>
      <c r="T112" s="1">
        <f t="shared" ca="1" si="70"/>
        <v>0.16267828771393411</v>
      </c>
      <c r="U112" s="1">
        <f t="shared" ca="1" si="71"/>
        <v>179</v>
      </c>
      <c r="V112" s="1">
        <f t="shared" ca="1" si="72"/>
        <v>12</v>
      </c>
      <c r="W112" s="1"/>
      <c r="X112" s="1">
        <f t="shared" ca="1" si="73"/>
        <v>3.0666212602640583</v>
      </c>
      <c r="Y112" s="1">
        <f t="shared" ca="1" si="74"/>
        <v>0.23702613018747595</v>
      </c>
      <c r="Z112" s="1">
        <f t="shared" ca="1" si="75"/>
        <v>163</v>
      </c>
      <c r="AB112" s="1">
        <f t="shared" ca="1" si="76"/>
        <v>0.93330415568807323</v>
      </c>
      <c r="AC112" s="1">
        <f t="shared" ca="1" si="77"/>
        <v>488</v>
      </c>
      <c r="AD112" s="1">
        <f t="shared" ca="1" si="78"/>
        <v>7.2987288706096234E-4</v>
      </c>
      <c r="AE112" s="1"/>
      <c r="AF112" s="1">
        <f t="shared" ca="1" si="79"/>
        <v>0.7867751743150192</v>
      </c>
      <c r="AG112" s="1">
        <f t="shared" ca="1" si="80"/>
        <v>555</v>
      </c>
      <c r="AH112" s="1">
        <f t="shared" ca="1" si="81"/>
        <v>3.9392552795222023E-3</v>
      </c>
      <c r="AJ112" s="1">
        <f t="shared" ca="1" si="82"/>
        <v>0.14376206388231016</v>
      </c>
      <c r="AK112" s="1">
        <f t="shared" ca="1" si="83"/>
        <v>3.05472782338811E-3</v>
      </c>
      <c r="AL112" s="1"/>
      <c r="AM112" s="1">
        <f t="shared" ca="1" si="84"/>
        <v>2.3759640665094346E-2</v>
      </c>
      <c r="AN112" s="1">
        <f t="shared" ca="1" si="85"/>
        <v>54</v>
      </c>
      <c r="AO112" s="1">
        <f t="shared" ca="1" si="86"/>
        <v>14</v>
      </c>
      <c r="AQ112" s="1">
        <f t="shared" ca="1" si="87"/>
        <v>149</v>
      </c>
      <c r="AR112" s="1">
        <f t="shared" ca="1" si="88"/>
        <v>3</v>
      </c>
      <c r="AS112" s="1">
        <f t="shared" ca="1" si="89"/>
        <v>92</v>
      </c>
      <c r="AU112" s="1">
        <f t="shared" ca="1" si="90"/>
        <v>366</v>
      </c>
      <c r="AV112" s="1">
        <f t="shared" ca="1" si="91"/>
        <v>4</v>
      </c>
      <c r="AW112" s="1">
        <f t="shared" ca="1" si="92"/>
        <v>0.14639078678718287</v>
      </c>
      <c r="AY112" s="1">
        <f t="shared" ca="1" si="93"/>
        <v>1.7876132305240071</v>
      </c>
      <c r="AZ112" s="1">
        <f t="shared" ca="1" si="94"/>
        <v>301</v>
      </c>
      <c r="BA112" s="1">
        <f t="shared" ca="1" si="95"/>
        <v>7.5719579679765199E-3</v>
      </c>
      <c r="BV112" s="1">
        <f t="shared" ca="1" si="96"/>
        <v>0.62227657545184589</v>
      </c>
      <c r="BW112" s="1">
        <f t="shared" ca="1" si="97"/>
        <v>933</v>
      </c>
      <c r="BX112" s="1">
        <f t="shared" ca="1" si="98"/>
        <v>1.5640876299870684E-3</v>
      </c>
      <c r="BY112" s="1">
        <f t="shared" ca="1" si="99"/>
        <v>6.239324604534828E-2</v>
      </c>
      <c r="BZ112" s="1">
        <f t="shared" ca="1" si="100"/>
        <v>0.19277146306046355</v>
      </c>
      <c r="CB112" s="1">
        <f t="shared" ca="1" si="101"/>
        <v>329</v>
      </c>
      <c r="CC112" s="1">
        <f t="shared" ca="1" si="102"/>
        <v>11</v>
      </c>
      <c r="CD112" s="1">
        <f t="shared" ca="1" si="103"/>
        <v>0.11943589156108408</v>
      </c>
      <c r="CE112" s="1">
        <f t="shared" ca="1" si="113"/>
        <v>0.78830156421604491</v>
      </c>
      <c r="CF112" s="1">
        <f t="shared" ca="1" si="113"/>
        <v>0.84752901818067927</v>
      </c>
      <c r="CH112" s="3">
        <f t="shared" ca="1" si="105"/>
        <v>0.26346227120717719</v>
      </c>
      <c r="CI112" s="3">
        <f t="shared" ca="1" si="106"/>
        <v>0.31729757616838417</v>
      </c>
      <c r="CJ112" s="3">
        <f t="shared" ca="1" si="107"/>
        <v>1269</v>
      </c>
      <c r="CK112" s="3">
        <f t="shared" ca="1" si="108"/>
        <v>8.7344919752813926E-3</v>
      </c>
      <c r="CL112" s="3">
        <f t="shared" ca="1" si="109"/>
        <v>1</v>
      </c>
      <c r="CM112" s="3"/>
      <c r="CN112" s="1">
        <f t="shared" ca="1" si="110"/>
        <v>9.8316713843100807</v>
      </c>
      <c r="CO112" s="1">
        <f t="shared" ca="1" si="111"/>
        <v>0.24651221480416413</v>
      </c>
      <c r="CP112" s="1">
        <f t="shared" ca="1" si="112"/>
        <v>4</v>
      </c>
    </row>
    <row r="113" spans="2:94" x14ac:dyDescent="0.25">
      <c r="B113">
        <f t="shared" ca="1" si="57"/>
        <v>870</v>
      </c>
      <c r="C113">
        <f t="shared" ca="1" si="58"/>
        <v>13</v>
      </c>
      <c r="D113">
        <f t="shared" ca="1" si="59"/>
        <v>0.11932385526676972</v>
      </c>
      <c r="F113" s="1">
        <f t="shared" ca="1" si="60"/>
        <v>35</v>
      </c>
      <c r="G113" s="1">
        <f t="shared" ca="1" si="61"/>
        <v>21</v>
      </c>
      <c r="H113" s="1">
        <f t="shared" ca="1" si="62"/>
        <v>1</v>
      </c>
      <c r="I113" s="1"/>
      <c r="J113" s="1">
        <f t="shared" ca="1" si="63"/>
        <v>7</v>
      </c>
      <c r="K113" s="1">
        <f t="shared" ca="1" si="64"/>
        <v>1.9292596484837516</v>
      </c>
      <c r="L113" s="1">
        <f t="shared" ca="1" si="65"/>
        <v>33</v>
      </c>
      <c r="M113" s="1"/>
      <c r="N113" s="1">
        <f t="shared" ca="1" si="66"/>
        <v>466</v>
      </c>
      <c r="O113" s="1">
        <f t="shared" ca="1" si="67"/>
        <v>22</v>
      </c>
      <c r="P113" s="1"/>
      <c r="Q113" s="1">
        <f t="shared" ca="1" si="68"/>
        <v>1.7809021082037535</v>
      </c>
      <c r="R113" s="1">
        <f t="shared" ca="1" si="69"/>
        <v>1065</v>
      </c>
      <c r="S113" s="1"/>
      <c r="T113" s="1">
        <f t="shared" ca="1" si="70"/>
        <v>0.11722167922662687</v>
      </c>
      <c r="U113" s="1">
        <f t="shared" ca="1" si="71"/>
        <v>349</v>
      </c>
      <c r="V113" s="1">
        <f t="shared" ca="1" si="72"/>
        <v>36</v>
      </c>
      <c r="W113" s="1"/>
      <c r="X113" s="1">
        <f t="shared" ca="1" si="73"/>
        <v>8.4367135764167109</v>
      </c>
      <c r="Y113" s="1">
        <f t="shared" ca="1" si="74"/>
        <v>0.96974121837906668</v>
      </c>
      <c r="Z113" s="1">
        <f t="shared" ca="1" si="75"/>
        <v>1832</v>
      </c>
      <c r="AB113" s="1">
        <f t="shared" ca="1" si="76"/>
        <v>0.39652806636063342</v>
      </c>
      <c r="AC113" s="1">
        <f t="shared" ca="1" si="77"/>
        <v>528</v>
      </c>
      <c r="AD113" s="1">
        <f t="shared" ca="1" si="78"/>
        <v>1.3765501525679245E-3</v>
      </c>
      <c r="AE113" s="1"/>
      <c r="AF113" s="1">
        <f t="shared" ca="1" si="79"/>
        <v>0.63113212442063438</v>
      </c>
      <c r="AG113" s="1">
        <f t="shared" ca="1" si="80"/>
        <v>788</v>
      </c>
      <c r="AH113" s="1">
        <f t="shared" ca="1" si="81"/>
        <v>3.8326748758120395E-3</v>
      </c>
      <c r="AJ113" s="1">
        <f t="shared" ca="1" si="82"/>
        <v>0.99936109877078461</v>
      </c>
      <c r="AK113" s="1">
        <f t="shared" ca="1" si="83"/>
        <v>6.7198988425363716E-3</v>
      </c>
      <c r="AL113" s="1"/>
      <c r="AM113" s="1">
        <f t="shared" ca="1" si="84"/>
        <v>0.11974498893387157</v>
      </c>
      <c r="AN113" s="1">
        <f t="shared" ca="1" si="85"/>
        <v>25</v>
      </c>
      <c r="AO113" s="1">
        <f t="shared" ca="1" si="86"/>
        <v>2</v>
      </c>
      <c r="AQ113" s="1">
        <f t="shared" ca="1" si="87"/>
        <v>171</v>
      </c>
      <c r="AR113" s="1">
        <f t="shared" ca="1" si="88"/>
        <v>10</v>
      </c>
      <c r="AS113" s="1">
        <f t="shared" ca="1" si="89"/>
        <v>33</v>
      </c>
      <c r="AU113" s="1">
        <f t="shared" ca="1" si="90"/>
        <v>345</v>
      </c>
      <c r="AV113" s="1">
        <f t="shared" ca="1" si="91"/>
        <v>5</v>
      </c>
      <c r="AW113" s="1">
        <f t="shared" ca="1" si="92"/>
        <v>0.144493626552646</v>
      </c>
      <c r="AY113" s="1">
        <f t="shared" ca="1" si="93"/>
        <v>1.1465707639239544</v>
      </c>
      <c r="AZ113" s="1">
        <f t="shared" ca="1" si="94"/>
        <v>371</v>
      </c>
      <c r="BA113" s="1">
        <f t="shared" ca="1" si="95"/>
        <v>1.3784417095693102E-3</v>
      </c>
      <c r="BV113" s="1">
        <f t="shared" ca="1" si="96"/>
        <v>0.87872420504305093</v>
      </c>
      <c r="BW113" s="1">
        <f t="shared" ca="1" si="97"/>
        <v>158</v>
      </c>
      <c r="BX113" s="1">
        <f t="shared" ca="1" si="98"/>
        <v>7.3037370411318586E-3</v>
      </c>
      <c r="BY113" s="1">
        <f t="shared" ca="1" si="99"/>
        <v>8.2867844300329147E-2</v>
      </c>
      <c r="BZ113" s="1">
        <f t="shared" ca="1" si="100"/>
        <v>0.19788685714075049</v>
      </c>
      <c r="CB113" s="1">
        <f t="shared" ca="1" si="101"/>
        <v>312</v>
      </c>
      <c r="CC113" s="1">
        <f t="shared" ca="1" si="102"/>
        <v>13</v>
      </c>
      <c r="CD113" s="1">
        <f t="shared" ca="1" si="103"/>
        <v>6.7808968451046378E-2</v>
      </c>
      <c r="CE113" s="1">
        <f t="shared" ca="1" si="113"/>
        <v>0.88598346791131743</v>
      </c>
      <c r="CF113" s="1">
        <f t="shared" ca="1" si="113"/>
        <v>0.90866719309368127</v>
      </c>
      <c r="CH113" s="3">
        <f t="shared" ca="1" si="105"/>
        <v>0.89384672903224816</v>
      </c>
      <c r="CI113" s="3">
        <f t="shared" ca="1" si="106"/>
        <v>0.14913314238076808</v>
      </c>
      <c r="CJ113" s="3">
        <f t="shared" ca="1" si="107"/>
        <v>1435</v>
      </c>
      <c r="CK113" s="3">
        <f t="shared" ca="1" si="108"/>
        <v>3.9907429327049508E-3</v>
      </c>
      <c r="CL113" s="3">
        <f t="shared" ca="1" si="109"/>
        <v>0</v>
      </c>
      <c r="CM113" s="3"/>
      <c r="CN113" s="1">
        <f t="shared" ca="1" si="110"/>
        <v>0.71009171809842087</v>
      </c>
      <c r="CO113" s="1">
        <f t="shared" ca="1" si="111"/>
        <v>5.1887490574023788E-2</v>
      </c>
      <c r="CP113" s="1">
        <f t="shared" ca="1" si="112"/>
        <v>5</v>
      </c>
    </row>
    <row r="114" spans="2:94" x14ac:dyDescent="0.25">
      <c r="B114">
        <f t="shared" ca="1" si="57"/>
        <v>688</v>
      </c>
      <c r="C114">
        <f t="shared" ca="1" si="58"/>
        <v>31</v>
      </c>
      <c r="D114">
        <f t="shared" ca="1" si="59"/>
        <v>0.24353085657865825</v>
      </c>
      <c r="F114" s="1">
        <f t="shared" ca="1" si="60"/>
        <v>46</v>
      </c>
      <c r="G114" s="1">
        <f t="shared" ca="1" si="61"/>
        <v>4</v>
      </c>
      <c r="H114" s="1">
        <f t="shared" ca="1" si="62"/>
        <v>8</v>
      </c>
      <c r="I114" s="1"/>
      <c r="J114" s="1">
        <f t="shared" ca="1" si="63"/>
        <v>9</v>
      </c>
      <c r="K114" s="1">
        <f t="shared" ca="1" si="64"/>
        <v>2.973097714700375</v>
      </c>
      <c r="L114" s="1">
        <f t="shared" ca="1" si="65"/>
        <v>5</v>
      </c>
      <c r="M114" s="1"/>
      <c r="N114" s="1">
        <f t="shared" ca="1" si="66"/>
        <v>560</v>
      </c>
      <c r="O114" s="1">
        <f t="shared" ca="1" si="67"/>
        <v>47</v>
      </c>
      <c r="P114" s="1"/>
      <c r="Q114" s="1">
        <f t="shared" ca="1" si="68"/>
        <v>0.4687805629958674</v>
      </c>
      <c r="R114" s="1">
        <f t="shared" ca="1" si="69"/>
        <v>1113</v>
      </c>
      <c r="S114" s="1"/>
      <c r="T114" s="1">
        <f t="shared" ca="1" si="70"/>
        <v>2.543804951326082E-2</v>
      </c>
      <c r="U114" s="1">
        <f t="shared" ca="1" si="71"/>
        <v>397</v>
      </c>
      <c r="V114" s="1">
        <f t="shared" ca="1" si="72"/>
        <v>28</v>
      </c>
      <c r="W114" s="1"/>
      <c r="X114" s="1">
        <f t="shared" ca="1" si="73"/>
        <v>2.0718341695473015</v>
      </c>
      <c r="Y114" s="1">
        <f t="shared" ca="1" si="74"/>
        <v>0.60795306474100075</v>
      </c>
      <c r="Z114" s="1">
        <f t="shared" ca="1" si="75"/>
        <v>1705</v>
      </c>
      <c r="AB114" s="1">
        <f t="shared" ca="1" si="76"/>
        <v>0.81352386062283388</v>
      </c>
      <c r="AC114" s="1">
        <f t="shared" ca="1" si="77"/>
        <v>334</v>
      </c>
      <c r="AD114" s="1">
        <f t="shared" ca="1" si="78"/>
        <v>8.916145483830587E-3</v>
      </c>
      <c r="AE114" s="1"/>
      <c r="AF114" s="1">
        <f t="shared" ca="1" si="79"/>
        <v>0.35641861391610963</v>
      </c>
      <c r="AG114" s="1">
        <f t="shared" ca="1" si="80"/>
        <v>754</v>
      </c>
      <c r="AH114" s="1">
        <f t="shared" ca="1" si="81"/>
        <v>8.151997805181924E-3</v>
      </c>
      <c r="AJ114" s="1">
        <f t="shared" ca="1" si="82"/>
        <v>0.42284783177629914</v>
      </c>
      <c r="AK114" s="1">
        <f t="shared" ca="1" si="83"/>
        <v>1.7391874349617555E-4</v>
      </c>
      <c r="AL114" s="1"/>
      <c r="AM114" s="1">
        <f t="shared" ca="1" si="84"/>
        <v>9.6616766992258643E-2</v>
      </c>
      <c r="AN114" s="1">
        <f t="shared" ca="1" si="85"/>
        <v>67</v>
      </c>
      <c r="AO114" s="1">
        <f t="shared" ca="1" si="86"/>
        <v>0</v>
      </c>
      <c r="AQ114" s="1">
        <f t="shared" ca="1" si="87"/>
        <v>193</v>
      </c>
      <c r="AR114" s="1">
        <f t="shared" ca="1" si="88"/>
        <v>7</v>
      </c>
      <c r="AS114" s="1">
        <f t="shared" ca="1" si="89"/>
        <v>11</v>
      </c>
      <c r="AU114" s="1">
        <f t="shared" ca="1" si="90"/>
        <v>372</v>
      </c>
      <c r="AV114" s="1">
        <f t="shared" ca="1" si="91"/>
        <v>4</v>
      </c>
      <c r="AW114" s="1">
        <f t="shared" ca="1" si="92"/>
        <v>4.040499260310608E-2</v>
      </c>
      <c r="AY114" s="1">
        <f t="shared" ca="1" si="93"/>
        <v>1.5607701564034571</v>
      </c>
      <c r="AZ114" s="1">
        <f t="shared" ca="1" si="94"/>
        <v>290</v>
      </c>
      <c r="BA114" s="1">
        <f t="shared" ca="1" si="95"/>
        <v>3.7127392288821425E-3</v>
      </c>
      <c r="BV114" s="1">
        <f t="shared" ca="1" si="96"/>
        <v>0.84131432106831938</v>
      </c>
      <c r="BW114" s="1">
        <f t="shared" ca="1" si="97"/>
        <v>132</v>
      </c>
      <c r="BX114" s="1">
        <f t="shared" ca="1" si="98"/>
        <v>7.4861657092754738E-3</v>
      </c>
      <c r="BY114" s="1">
        <f t="shared" ca="1" si="99"/>
        <v>9.7113316361636726E-2</v>
      </c>
      <c r="BZ114" s="1">
        <f t="shared" ca="1" si="100"/>
        <v>3.1519341293065772E-2</v>
      </c>
      <c r="CB114" s="1">
        <f t="shared" ca="1" si="101"/>
        <v>379</v>
      </c>
      <c r="CC114" s="1">
        <f t="shared" ca="1" si="102"/>
        <v>4</v>
      </c>
      <c r="CD114" s="1">
        <f t="shared" ca="1" si="103"/>
        <v>0.29682135852562347</v>
      </c>
      <c r="CE114" s="1">
        <f t="shared" ca="1" si="113"/>
        <v>0.54157761117322023</v>
      </c>
      <c r="CF114" s="1">
        <f t="shared" ca="1" si="113"/>
        <v>0.8338192303088432</v>
      </c>
      <c r="CH114" s="3">
        <f t="shared" ca="1" si="105"/>
        <v>0.62128633779999776</v>
      </c>
      <c r="CI114" s="3">
        <f t="shared" ca="1" si="106"/>
        <v>0.97067997448580967</v>
      </c>
      <c r="CJ114" s="3">
        <f t="shared" ca="1" si="107"/>
        <v>775</v>
      </c>
      <c r="CK114" s="3">
        <f t="shared" ca="1" si="108"/>
        <v>6.6359452692146834E-3</v>
      </c>
      <c r="CL114" s="3">
        <f t="shared" ca="1" si="109"/>
        <v>0</v>
      </c>
      <c r="CM114" s="3"/>
      <c r="CN114" s="1">
        <f t="shared" ca="1" si="110"/>
        <v>14.171093929359301</v>
      </c>
      <c r="CO114" s="1">
        <f t="shared" ca="1" si="111"/>
        <v>0.27355171035178599</v>
      </c>
      <c r="CP114" s="1">
        <f t="shared" ca="1" si="112"/>
        <v>5</v>
      </c>
    </row>
    <row r="115" spans="2:94" x14ac:dyDescent="0.25">
      <c r="B115">
        <f t="shared" ca="1" si="57"/>
        <v>968</v>
      </c>
      <c r="C115">
        <f t="shared" ca="1" si="58"/>
        <v>9</v>
      </c>
      <c r="D115">
        <f t="shared" ca="1" si="59"/>
        <v>0.29055254078068282</v>
      </c>
      <c r="F115" s="1">
        <f t="shared" ca="1" si="60"/>
        <v>25</v>
      </c>
      <c r="G115" s="1">
        <f t="shared" ca="1" si="61"/>
        <v>9</v>
      </c>
      <c r="H115" s="1">
        <f t="shared" ca="1" si="62"/>
        <v>6</v>
      </c>
      <c r="I115" s="1"/>
      <c r="J115" s="1">
        <f t="shared" ca="1" si="63"/>
        <v>5</v>
      </c>
      <c r="K115" s="1">
        <f t="shared" ca="1" si="64"/>
        <v>1.028132452249521</v>
      </c>
      <c r="L115" s="1">
        <f t="shared" ca="1" si="65"/>
        <v>20</v>
      </c>
      <c r="M115" s="1"/>
      <c r="N115" s="1">
        <f t="shared" ca="1" si="66"/>
        <v>656</v>
      </c>
      <c r="O115" s="1">
        <f t="shared" ca="1" si="67"/>
        <v>19</v>
      </c>
      <c r="P115" s="1"/>
      <c r="Q115" s="1">
        <f t="shared" ca="1" si="68"/>
        <v>4.4503287560929934</v>
      </c>
      <c r="R115" s="1">
        <f t="shared" ca="1" si="69"/>
        <v>846</v>
      </c>
      <c r="S115" s="1"/>
      <c r="T115" s="1">
        <f t="shared" ca="1" si="70"/>
        <v>4.7358349295840298E-2</v>
      </c>
      <c r="U115" s="1">
        <f t="shared" ca="1" si="71"/>
        <v>390</v>
      </c>
      <c r="V115" s="1">
        <f t="shared" ca="1" si="72"/>
        <v>44</v>
      </c>
      <c r="W115" s="1"/>
      <c r="X115" s="1">
        <f t="shared" ca="1" si="73"/>
        <v>9.3270340146600343</v>
      </c>
      <c r="Y115" s="1">
        <f t="shared" ca="1" si="74"/>
        <v>0.94104319722539975</v>
      </c>
      <c r="Z115" s="1">
        <f t="shared" ca="1" si="75"/>
        <v>568</v>
      </c>
      <c r="AB115" s="1">
        <f t="shared" ca="1" si="76"/>
        <v>0.30266926564453261</v>
      </c>
      <c r="AC115" s="1">
        <f t="shared" ca="1" si="77"/>
        <v>663</v>
      </c>
      <c r="AD115" s="1">
        <f t="shared" ca="1" si="78"/>
        <v>9.6528184764235938E-3</v>
      </c>
      <c r="AE115" s="1"/>
      <c r="AF115" s="1">
        <f t="shared" ca="1" si="79"/>
        <v>0.32509505781739378</v>
      </c>
      <c r="AG115" s="1">
        <f t="shared" ca="1" si="80"/>
        <v>853</v>
      </c>
      <c r="AH115" s="1">
        <f t="shared" ca="1" si="81"/>
        <v>9.0685563786094998E-3</v>
      </c>
      <c r="AJ115" s="1">
        <f t="shared" ca="1" si="82"/>
        <v>0.8113493755902732</v>
      </c>
      <c r="AK115" s="1">
        <f t="shared" ca="1" si="83"/>
        <v>6.2001706211615706E-3</v>
      </c>
      <c r="AL115" s="1"/>
      <c r="AM115" s="1">
        <f t="shared" ca="1" si="84"/>
        <v>6.5497261889438441E-2</v>
      </c>
      <c r="AN115" s="1">
        <f t="shared" ca="1" si="85"/>
        <v>31</v>
      </c>
      <c r="AO115" s="1">
        <f t="shared" ca="1" si="86"/>
        <v>6</v>
      </c>
      <c r="AQ115" s="1">
        <f t="shared" ca="1" si="87"/>
        <v>102</v>
      </c>
      <c r="AR115" s="1">
        <f t="shared" ca="1" si="88"/>
        <v>6</v>
      </c>
      <c r="AS115" s="1">
        <f t="shared" ca="1" si="89"/>
        <v>57</v>
      </c>
      <c r="AU115" s="1">
        <f t="shared" ca="1" si="90"/>
        <v>395</v>
      </c>
      <c r="AV115" s="1">
        <f t="shared" ca="1" si="91"/>
        <v>6</v>
      </c>
      <c r="AW115" s="1">
        <f t="shared" ca="1" si="92"/>
        <v>0.19264188707083132</v>
      </c>
      <c r="AY115" s="1">
        <f t="shared" ca="1" si="93"/>
        <v>1.6804400444304068</v>
      </c>
      <c r="AZ115" s="1">
        <f t="shared" ca="1" si="94"/>
        <v>116</v>
      </c>
      <c r="BA115" s="1">
        <f t="shared" ca="1" si="95"/>
        <v>6.4475360636279764E-3</v>
      </c>
      <c r="BV115" s="1">
        <f t="shared" ca="1" si="96"/>
        <v>0.7281242839246419</v>
      </c>
      <c r="BW115" s="1">
        <f t="shared" ca="1" si="97"/>
        <v>729</v>
      </c>
      <c r="BX115" s="1">
        <f t="shared" ca="1" si="98"/>
        <v>5.491188456473734E-3</v>
      </c>
      <c r="BY115" s="1">
        <f t="shared" ca="1" si="99"/>
        <v>4.2424113392085551E-2</v>
      </c>
      <c r="BZ115" s="1">
        <f t="shared" ca="1" si="100"/>
        <v>0.97266410434628836</v>
      </c>
      <c r="CB115" s="1">
        <f t="shared" ca="1" si="101"/>
        <v>400</v>
      </c>
      <c r="CC115" s="1">
        <f t="shared" ca="1" si="102"/>
        <v>15</v>
      </c>
      <c r="CD115" s="1">
        <f t="shared" ca="1" si="103"/>
        <v>3.5840199312690398E-2</v>
      </c>
      <c r="CE115" s="1">
        <f t="shared" ca="1" si="113"/>
        <v>0.94752610447792329</v>
      </c>
      <c r="CF115" s="1">
        <f t="shared" ca="1" si="113"/>
        <v>0.79767611969540875</v>
      </c>
      <c r="CH115" s="3">
        <f t="shared" ca="1" si="105"/>
        <v>7.5485358665829866E-2</v>
      </c>
      <c r="CI115" s="3">
        <f t="shared" ca="1" si="106"/>
        <v>0.1952488522360448</v>
      </c>
      <c r="CJ115" s="3">
        <f t="shared" ca="1" si="107"/>
        <v>1584</v>
      </c>
      <c r="CK115" s="3">
        <f t="shared" ca="1" si="108"/>
        <v>8.7429525976717055E-3</v>
      </c>
      <c r="CL115" s="3">
        <f t="shared" ca="1" si="109"/>
        <v>1</v>
      </c>
      <c r="CM115" s="3"/>
      <c r="CN115" s="1">
        <f t="shared" ca="1" si="110"/>
        <v>5.198085385638052</v>
      </c>
      <c r="CO115" s="1">
        <f t="shared" ca="1" si="111"/>
        <v>0.37504338133103632</v>
      </c>
      <c r="CP115" s="1">
        <f t="shared" ca="1" si="112"/>
        <v>3</v>
      </c>
    </row>
    <row r="116" spans="2:94" x14ac:dyDescent="0.25">
      <c r="B116">
        <f t="shared" ca="1" si="57"/>
        <v>582</v>
      </c>
      <c r="C116">
        <f t="shared" ca="1" si="58"/>
        <v>44</v>
      </c>
      <c r="D116">
        <f t="shared" ca="1" si="59"/>
        <v>0.13223594906626399</v>
      </c>
      <c r="F116" s="1">
        <f t="shared" ca="1" si="60"/>
        <v>13</v>
      </c>
      <c r="G116" s="1">
        <f t="shared" ca="1" si="61"/>
        <v>14</v>
      </c>
      <c r="H116" s="1">
        <f t="shared" ca="1" si="62"/>
        <v>7</v>
      </c>
      <c r="I116" s="1"/>
      <c r="J116" s="1">
        <f t="shared" ca="1" si="63"/>
        <v>38</v>
      </c>
      <c r="K116" s="1">
        <f t="shared" ca="1" si="64"/>
        <v>1.6593301556023339</v>
      </c>
      <c r="L116" s="1">
        <f t="shared" ca="1" si="65"/>
        <v>17</v>
      </c>
      <c r="M116" s="1"/>
      <c r="N116" s="1">
        <f t="shared" ca="1" si="66"/>
        <v>256</v>
      </c>
      <c r="O116" s="1">
        <f t="shared" ca="1" si="67"/>
        <v>12</v>
      </c>
      <c r="P116" s="1"/>
      <c r="Q116" s="1">
        <f t="shared" ca="1" si="68"/>
        <v>1.2365777339254251</v>
      </c>
      <c r="R116" s="1">
        <f t="shared" ca="1" si="69"/>
        <v>201</v>
      </c>
      <c r="S116" s="1"/>
      <c r="T116" s="1">
        <f t="shared" ca="1" si="70"/>
        <v>0.11904011546247442</v>
      </c>
      <c r="U116" s="1">
        <f t="shared" ca="1" si="71"/>
        <v>375</v>
      </c>
      <c r="V116" s="1">
        <f t="shared" ca="1" si="72"/>
        <v>10</v>
      </c>
      <c r="W116" s="1"/>
      <c r="X116" s="1">
        <f t="shared" ca="1" si="73"/>
        <v>5.6006024873241635</v>
      </c>
      <c r="Y116" s="1">
        <f t="shared" ca="1" si="74"/>
        <v>0.17596187492453325</v>
      </c>
      <c r="Z116" s="1">
        <f t="shared" ca="1" si="75"/>
        <v>1641</v>
      </c>
      <c r="AB116" s="1">
        <f t="shared" ca="1" si="76"/>
        <v>0.19100589885122529</v>
      </c>
      <c r="AC116" s="1">
        <f t="shared" ca="1" si="77"/>
        <v>885</v>
      </c>
      <c r="AD116" s="1">
        <f t="shared" ca="1" si="78"/>
        <v>2.2172694534245709E-3</v>
      </c>
      <c r="AE116" s="1"/>
      <c r="AF116" s="1">
        <f t="shared" ca="1" si="79"/>
        <v>0.63763066977996163</v>
      </c>
      <c r="AG116" s="1">
        <f t="shared" ca="1" si="80"/>
        <v>954</v>
      </c>
      <c r="AH116" s="1">
        <f t="shared" ca="1" si="81"/>
        <v>1.2411611454858072E-3</v>
      </c>
      <c r="AJ116" s="1">
        <f t="shared" ca="1" si="82"/>
        <v>0.51753429185911748</v>
      </c>
      <c r="AK116" s="1">
        <f t="shared" ca="1" si="83"/>
        <v>2.917401149012355E-3</v>
      </c>
      <c r="AL116" s="1"/>
      <c r="AM116" s="1">
        <f t="shared" ca="1" si="84"/>
        <v>3.7114647726369653E-2</v>
      </c>
      <c r="AN116" s="1">
        <f t="shared" ca="1" si="85"/>
        <v>16</v>
      </c>
      <c r="AO116" s="1">
        <f t="shared" ca="1" si="86"/>
        <v>20</v>
      </c>
      <c r="AQ116" s="1">
        <f t="shared" ca="1" si="87"/>
        <v>29</v>
      </c>
      <c r="AR116" s="1">
        <f t="shared" ca="1" si="88"/>
        <v>4</v>
      </c>
      <c r="AS116" s="1">
        <f t="shared" ca="1" si="89"/>
        <v>79</v>
      </c>
      <c r="AU116" s="1">
        <f t="shared" ca="1" si="90"/>
        <v>254</v>
      </c>
      <c r="AV116" s="1">
        <f t="shared" ca="1" si="91"/>
        <v>8</v>
      </c>
      <c r="AW116" s="1">
        <f t="shared" ca="1" si="92"/>
        <v>8.6902526161953597E-2</v>
      </c>
      <c r="AY116" s="1">
        <f t="shared" ca="1" si="93"/>
        <v>1.1295979881057208</v>
      </c>
      <c r="AZ116" s="1">
        <f t="shared" ca="1" si="94"/>
        <v>470</v>
      </c>
      <c r="BA116" s="1">
        <f t="shared" ca="1" si="95"/>
        <v>8.7290022597380466E-3</v>
      </c>
      <c r="BV116" s="1">
        <f t="shared" ca="1" si="96"/>
        <v>0.99098443707084893</v>
      </c>
      <c r="BW116" s="1">
        <f t="shared" ca="1" si="97"/>
        <v>998</v>
      </c>
      <c r="BX116" s="1">
        <f t="shared" ca="1" si="98"/>
        <v>8.7612917738839526E-3</v>
      </c>
      <c r="BY116" s="1">
        <f t="shared" ca="1" si="99"/>
        <v>4.2208779476565032E-2</v>
      </c>
      <c r="BZ116" s="1">
        <f t="shared" ca="1" si="100"/>
        <v>0.42364506819173608</v>
      </c>
      <c r="CB116" s="1">
        <f t="shared" ca="1" si="101"/>
        <v>90</v>
      </c>
      <c r="CC116" s="1">
        <f t="shared" ca="1" si="102"/>
        <v>8</v>
      </c>
      <c r="CD116" s="1">
        <f t="shared" ca="1" si="103"/>
        <v>0.27287335107038591</v>
      </c>
      <c r="CE116" s="1">
        <f t="shared" ca="1" si="113"/>
        <v>0.78831276172053577</v>
      </c>
      <c r="CF116" s="1">
        <f t="shared" ca="1" si="113"/>
        <v>0.9534971728582583</v>
      </c>
      <c r="CH116" s="3">
        <f t="shared" ca="1" si="105"/>
        <v>0.91190648641626304</v>
      </c>
      <c r="CI116" s="3">
        <f t="shared" ca="1" si="106"/>
        <v>0.92924005352144468</v>
      </c>
      <c r="CJ116" s="3">
        <f t="shared" ca="1" si="107"/>
        <v>1049</v>
      </c>
      <c r="CK116" s="3">
        <f t="shared" ca="1" si="108"/>
        <v>9.3941030660115582E-3</v>
      </c>
      <c r="CL116" s="3">
        <f t="shared" ca="1" si="109"/>
        <v>1</v>
      </c>
      <c r="CM116" s="3"/>
      <c r="CN116" s="1">
        <f t="shared" ca="1" si="110"/>
        <v>2.6228572675806521</v>
      </c>
      <c r="CO116" s="1">
        <f t="shared" ca="1" si="111"/>
        <v>4.096641924567955E-2</v>
      </c>
      <c r="CP116" s="1">
        <f t="shared" ca="1" si="112"/>
        <v>3</v>
      </c>
    </row>
    <row r="117" spans="2:94" x14ac:dyDescent="0.25">
      <c r="B117">
        <f t="shared" ca="1" si="57"/>
        <v>986</v>
      </c>
      <c r="C117">
        <f t="shared" ca="1" si="58"/>
        <v>14</v>
      </c>
      <c r="D117">
        <f t="shared" ca="1" si="59"/>
        <v>0.25699906599136985</v>
      </c>
      <c r="F117" s="1">
        <f t="shared" ca="1" si="60"/>
        <v>40</v>
      </c>
      <c r="G117" s="1">
        <f t="shared" ca="1" si="61"/>
        <v>5</v>
      </c>
      <c r="H117" s="1">
        <f t="shared" ca="1" si="62"/>
        <v>9</v>
      </c>
      <c r="I117" s="1"/>
      <c r="J117" s="1">
        <f t="shared" ca="1" si="63"/>
        <v>39</v>
      </c>
      <c r="K117" s="1">
        <f t="shared" ca="1" si="64"/>
        <v>2.8921756796916887</v>
      </c>
      <c r="L117" s="1">
        <f t="shared" ca="1" si="65"/>
        <v>30</v>
      </c>
      <c r="M117" s="1"/>
      <c r="N117" s="1">
        <f t="shared" ca="1" si="66"/>
        <v>772</v>
      </c>
      <c r="O117" s="1">
        <f t="shared" ca="1" si="67"/>
        <v>8</v>
      </c>
      <c r="P117" s="1"/>
      <c r="Q117" s="1">
        <f t="shared" ca="1" si="68"/>
        <v>0.43569154874164207</v>
      </c>
      <c r="R117" s="1">
        <f t="shared" ca="1" si="69"/>
        <v>495</v>
      </c>
      <c r="S117" s="1"/>
      <c r="T117" s="1">
        <f t="shared" ca="1" si="70"/>
        <v>0.10490937144667502</v>
      </c>
      <c r="U117" s="1">
        <f t="shared" ca="1" si="71"/>
        <v>53</v>
      </c>
      <c r="V117" s="1">
        <f t="shared" ca="1" si="72"/>
        <v>48</v>
      </c>
      <c r="W117" s="1"/>
      <c r="X117" s="1">
        <f t="shared" ca="1" si="73"/>
        <v>1.218341556630266</v>
      </c>
      <c r="Y117" s="1">
        <f t="shared" ca="1" si="74"/>
        <v>0.17874246022346701</v>
      </c>
      <c r="Z117" s="1">
        <f t="shared" ca="1" si="75"/>
        <v>775</v>
      </c>
      <c r="AB117" s="1">
        <f t="shared" ca="1" si="76"/>
        <v>0.75662032070519969</v>
      </c>
      <c r="AC117" s="1">
        <f t="shared" ca="1" si="77"/>
        <v>359</v>
      </c>
      <c r="AD117" s="1">
        <f t="shared" ca="1" si="78"/>
        <v>2.6785178131033265E-3</v>
      </c>
      <c r="AE117" s="1"/>
      <c r="AF117" s="1">
        <f t="shared" ca="1" si="79"/>
        <v>0.22565940348280603</v>
      </c>
      <c r="AG117" s="1">
        <f t="shared" ca="1" si="80"/>
        <v>398</v>
      </c>
      <c r="AH117" s="1">
        <f t="shared" ca="1" si="81"/>
        <v>8.7698021666602326E-3</v>
      </c>
      <c r="AJ117" s="1">
        <f t="shared" ca="1" si="82"/>
        <v>8.0686231130350672E-2</v>
      </c>
      <c r="AK117" s="1">
        <f t="shared" ca="1" si="83"/>
        <v>9.025004220526647E-3</v>
      </c>
      <c r="AL117" s="1"/>
      <c r="AM117" s="1">
        <f t="shared" ca="1" si="84"/>
        <v>9.5163389515463756E-2</v>
      </c>
      <c r="AN117" s="1">
        <f t="shared" ca="1" si="85"/>
        <v>29</v>
      </c>
      <c r="AO117" s="1">
        <f t="shared" ca="1" si="86"/>
        <v>1</v>
      </c>
      <c r="AQ117" s="1">
        <f t="shared" ca="1" si="87"/>
        <v>102</v>
      </c>
      <c r="AR117" s="1">
        <f t="shared" ca="1" si="88"/>
        <v>8</v>
      </c>
      <c r="AS117" s="1">
        <f t="shared" ca="1" si="89"/>
        <v>19</v>
      </c>
      <c r="AU117" s="1">
        <f t="shared" ca="1" si="90"/>
        <v>139</v>
      </c>
      <c r="AV117" s="1">
        <f t="shared" ca="1" si="91"/>
        <v>6</v>
      </c>
      <c r="AW117" s="1">
        <f t="shared" ca="1" si="92"/>
        <v>0.10545279642868141</v>
      </c>
      <c r="AY117" s="1">
        <f t="shared" ca="1" si="93"/>
        <v>1.9115776036654664</v>
      </c>
      <c r="AZ117" s="1">
        <f t="shared" ca="1" si="94"/>
        <v>487</v>
      </c>
      <c r="BA117" s="1">
        <f t="shared" ca="1" si="95"/>
        <v>7.0315733012496972E-3</v>
      </c>
      <c r="BV117" s="1">
        <f t="shared" ca="1" si="96"/>
        <v>0.12646152369500133</v>
      </c>
      <c r="BW117" s="1">
        <f t="shared" ca="1" si="97"/>
        <v>448</v>
      </c>
      <c r="BX117" s="1">
        <f t="shared" ca="1" si="98"/>
        <v>4.3316878216415966E-3</v>
      </c>
      <c r="BY117" s="1">
        <f t="shared" ca="1" si="99"/>
        <v>3.2162982178181775E-2</v>
      </c>
      <c r="BZ117" s="1">
        <f t="shared" ca="1" si="100"/>
        <v>0.35609534640717144</v>
      </c>
      <c r="CB117" s="1">
        <f t="shared" ca="1" si="101"/>
        <v>214</v>
      </c>
      <c r="CC117" s="1">
        <f t="shared" ca="1" si="102"/>
        <v>5</v>
      </c>
      <c r="CD117" s="1">
        <f t="shared" ca="1" si="103"/>
        <v>0.11333787061418714</v>
      </c>
      <c r="CE117" s="1">
        <f t="shared" ca="1" si="113"/>
        <v>0.65102676594583775</v>
      </c>
      <c r="CF117" s="1">
        <f t="shared" ca="1" si="113"/>
        <v>0.72579517522493886</v>
      </c>
      <c r="CH117" s="3">
        <f t="shared" ca="1" si="105"/>
        <v>0.8220993655321519</v>
      </c>
      <c r="CI117" s="3">
        <f t="shared" ca="1" si="106"/>
        <v>0.81973981382594008</v>
      </c>
      <c r="CJ117" s="3">
        <f t="shared" ca="1" si="107"/>
        <v>1024</v>
      </c>
      <c r="CK117" s="3">
        <f t="shared" ca="1" si="108"/>
        <v>4.8199847632284919E-3</v>
      </c>
      <c r="CL117" s="3">
        <f t="shared" ca="1" si="109"/>
        <v>0</v>
      </c>
      <c r="CM117" s="3"/>
      <c r="CN117" s="1">
        <f t="shared" ca="1" si="110"/>
        <v>11.272973392381225</v>
      </c>
      <c r="CO117" s="1">
        <f t="shared" ca="1" si="111"/>
        <v>0.24564024547345187</v>
      </c>
      <c r="CP117" s="1">
        <f t="shared" ca="1" si="112"/>
        <v>5</v>
      </c>
    </row>
    <row r="118" spans="2:94" x14ac:dyDescent="0.25">
      <c r="B118">
        <f t="shared" ca="1" si="57"/>
        <v>268</v>
      </c>
      <c r="C118">
        <f t="shared" ca="1" si="58"/>
        <v>31</v>
      </c>
      <c r="D118">
        <f t="shared" ca="1" si="59"/>
        <v>0.21590563256671472</v>
      </c>
      <c r="F118" s="1">
        <f t="shared" ca="1" si="60"/>
        <v>5</v>
      </c>
      <c r="G118" s="1">
        <f t="shared" ca="1" si="61"/>
        <v>13</v>
      </c>
      <c r="H118" s="1">
        <f t="shared" ca="1" si="62"/>
        <v>12</v>
      </c>
      <c r="I118" s="1"/>
      <c r="J118" s="1">
        <f t="shared" ca="1" si="63"/>
        <v>19</v>
      </c>
      <c r="K118" s="1">
        <f t="shared" ca="1" si="64"/>
        <v>2.7143773693620155</v>
      </c>
      <c r="L118" s="1">
        <f t="shared" ca="1" si="65"/>
        <v>23</v>
      </c>
      <c r="M118" s="1"/>
      <c r="N118" s="1">
        <f t="shared" ca="1" si="66"/>
        <v>215</v>
      </c>
      <c r="O118" s="1">
        <f t="shared" ca="1" si="67"/>
        <v>23</v>
      </c>
      <c r="P118" s="1"/>
      <c r="Q118" s="1">
        <f t="shared" ca="1" si="68"/>
        <v>4.3924351701034183</v>
      </c>
      <c r="R118" s="1">
        <f t="shared" ca="1" si="69"/>
        <v>476</v>
      </c>
      <c r="S118" s="1"/>
      <c r="T118" s="1">
        <f t="shared" ca="1" si="70"/>
        <v>0.12867031456111597</v>
      </c>
      <c r="U118" s="1">
        <f t="shared" ca="1" si="71"/>
        <v>208</v>
      </c>
      <c r="V118" s="1">
        <f t="shared" ca="1" si="72"/>
        <v>29</v>
      </c>
      <c r="W118" s="1"/>
      <c r="X118" s="1">
        <f t="shared" ca="1" si="73"/>
        <v>8.3444810997224685</v>
      </c>
      <c r="Y118" s="1">
        <f t="shared" ca="1" si="74"/>
        <v>0.67938865558380712</v>
      </c>
      <c r="Z118" s="1">
        <f t="shared" ca="1" si="75"/>
        <v>643</v>
      </c>
      <c r="AB118" s="1">
        <f t="shared" ca="1" si="76"/>
        <v>0.12790333247846902</v>
      </c>
      <c r="AC118" s="1">
        <f t="shared" ca="1" si="77"/>
        <v>217</v>
      </c>
      <c r="AD118" s="1">
        <f t="shared" ca="1" si="78"/>
        <v>7.7432618522796084E-3</v>
      </c>
      <c r="AE118" s="1"/>
      <c r="AF118" s="1">
        <f t="shared" ca="1" si="79"/>
        <v>0.37407771297101777</v>
      </c>
      <c r="AG118" s="1">
        <f t="shared" ca="1" si="80"/>
        <v>789</v>
      </c>
      <c r="AH118" s="1">
        <f t="shared" ca="1" si="81"/>
        <v>7.0093184172730057E-3</v>
      </c>
      <c r="AJ118" s="1">
        <f t="shared" ca="1" si="82"/>
        <v>0.97758313099203298</v>
      </c>
      <c r="AK118" s="1">
        <f t="shared" ca="1" si="83"/>
        <v>7.7068551557937931E-3</v>
      </c>
      <c r="AL118" s="1"/>
      <c r="AM118" s="1">
        <f t="shared" ca="1" si="84"/>
        <v>8.5357766535663168E-2</v>
      </c>
      <c r="AN118" s="1">
        <f t="shared" ca="1" si="85"/>
        <v>20</v>
      </c>
      <c r="AO118" s="1">
        <f t="shared" ca="1" si="86"/>
        <v>13</v>
      </c>
      <c r="AQ118" s="1">
        <f t="shared" ca="1" si="87"/>
        <v>171</v>
      </c>
      <c r="AR118" s="1">
        <f t="shared" ca="1" si="88"/>
        <v>7</v>
      </c>
      <c r="AS118" s="1">
        <f t="shared" ca="1" si="89"/>
        <v>67</v>
      </c>
      <c r="AU118" s="1">
        <f t="shared" ca="1" si="90"/>
        <v>328</v>
      </c>
      <c r="AV118" s="1">
        <f t="shared" ca="1" si="91"/>
        <v>5</v>
      </c>
      <c r="AW118" s="1">
        <f t="shared" ca="1" si="92"/>
        <v>9.0553996871222106E-2</v>
      </c>
      <c r="AY118" s="1">
        <f t="shared" ca="1" si="93"/>
        <v>1.5019378443964064</v>
      </c>
      <c r="AZ118" s="1">
        <f t="shared" ca="1" si="94"/>
        <v>498</v>
      </c>
      <c r="BA118" s="1">
        <f t="shared" ca="1" si="95"/>
        <v>8.6417024109080726E-3</v>
      </c>
      <c r="BV118" s="1">
        <f t="shared" ca="1" si="96"/>
        <v>7.7660735061509972E-2</v>
      </c>
      <c r="BW118" s="1">
        <f t="shared" ca="1" si="97"/>
        <v>770</v>
      </c>
      <c r="BX118" s="1">
        <f t="shared" ca="1" si="98"/>
        <v>5.9908351594611803E-3</v>
      </c>
      <c r="BY118" s="1">
        <f t="shared" ca="1" si="99"/>
        <v>4.8534633066949703E-2</v>
      </c>
      <c r="BZ118" s="1">
        <f t="shared" ca="1" si="100"/>
        <v>0.86423912925645396</v>
      </c>
      <c r="CB118" s="1">
        <f t="shared" ca="1" si="101"/>
        <v>142</v>
      </c>
      <c r="CC118" s="1">
        <f t="shared" ca="1" si="102"/>
        <v>8</v>
      </c>
      <c r="CD118" s="1">
        <f t="shared" ca="1" si="103"/>
        <v>4.037094428998559E-2</v>
      </c>
      <c r="CE118" s="1">
        <f t="shared" ca="1" si="113"/>
        <v>0.55470071869060611</v>
      </c>
      <c r="CF118" s="1">
        <f t="shared" ca="1" si="113"/>
        <v>0.98105288756622344</v>
      </c>
      <c r="CH118" s="3">
        <f t="shared" ca="1" si="105"/>
        <v>0.65360021456648598</v>
      </c>
      <c r="CI118" s="3">
        <f t="shared" ca="1" si="106"/>
        <v>0.83149633715970539</v>
      </c>
      <c r="CJ118" s="3">
        <f t="shared" ca="1" si="107"/>
        <v>1576</v>
      </c>
      <c r="CK118" s="3">
        <f t="shared" ca="1" si="108"/>
        <v>2.7039688274168813E-3</v>
      </c>
      <c r="CL118" s="3">
        <f t="shared" ca="1" si="109"/>
        <v>0</v>
      </c>
      <c r="CM118" s="3"/>
      <c r="CN118" s="1">
        <f t="shared" ca="1" si="110"/>
        <v>1.6011420993624526</v>
      </c>
      <c r="CO118" s="1">
        <f t="shared" ca="1" si="111"/>
        <v>0.41437830655638241</v>
      </c>
      <c r="CP118" s="1">
        <f t="shared" ca="1" si="112"/>
        <v>1</v>
      </c>
    </row>
    <row r="119" spans="2:94" x14ac:dyDescent="0.25">
      <c r="B119">
        <f t="shared" ca="1" si="57"/>
        <v>59</v>
      </c>
      <c r="C119">
        <f t="shared" ca="1" si="58"/>
        <v>27</v>
      </c>
      <c r="D119">
        <f t="shared" ca="1" si="59"/>
        <v>4.0709977591883044E-2</v>
      </c>
      <c r="F119" s="1">
        <f t="shared" ca="1" si="60"/>
        <v>9</v>
      </c>
      <c r="G119" s="1">
        <f t="shared" ca="1" si="61"/>
        <v>22</v>
      </c>
      <c r="H119" s="1">
        <f t="shared" ca="1" si="62"/>
        <v>4</v>
      </c>
      <c r="I119" s="1"/>
      <c r="J119" s="1">
        <f t="shared" ca="1" si="63"/>
        <v>3</v>
      </c>
      <c r="K119" s="1">
        <f t="shared" ca="1" si="64"/>
        <v>2.1991666603982045</v>
      </c>
      <c r="L119" s="1">
        <f t="shared" ca="1" si="65"/>
        <v>9</v>
      </c>
      <c r="M119" s="1"/>
      <c r="N119" s="1">
        <f t="shared" ca="1" si="66"/>
        <v>44</v>
      </c>
      <c r="O119" s="1">
        <f t="shared" ca="1" si="67"/>
        <v>10</v>
      </c>
      <c r="P119" s="1"/>
      <c r="Q119" s="1">
        <f t="shared" ca="1" si="68"/>
        <v>1.7892253414580104</v>
      </c>
      <c r="R119" s="1">
        <f t="shared" ca="1" si="69"/>
        <v>932</v>
      </c>
      <c r="S119" s="1"/>
      <c r="T119" s="1">
        <f t="shared" ca="1" si="70"/>
        <v>0.13732862374905142</v>
      </c>
      <c r="U119" s="1">
        <f t="shared" ca="1" si="71"/>
        <v>259</v>
      </c>
      <c r="V119" s="1">
        <f t="shared" ca="1" si="72"/>
        <v>10</v>
      </c>
      <c r="W119" s="1"/>
      <c r="X119" s="1">
        <f t="shared" ca="1" si="73"/>
        <v>3.7590916781918116E-2</v>
      </c>
      <c r="Y119" s="1">
        <f t="shared" ca="1" si="74"/>
        <v>0.67186328527217964</v>
      </c>
      <c r="Z119" s="1">
        <f t="shared" ca="1" si="75"/>
        <v>807</v>
      </c>
      <c r="AB119" s="1">
        <f t="shared" ca="1" si="76"/>
        <v>0.43919664036341144</v>
      </c>
      <c r="AC119" s="1">
        <f t="shared" ca="1" si="77"/>
        <v>195</v>
      </c>
      <c r="AD119" s="1">
        <f t="shared" ca="1" si="78"/>
        <v>6.3156372579898715E-3</v>
      </c>
      <c r="AE119" s="1"/>
      <c r="AF119" s="1">
        <f t="shared" ca="1" si="79"/>
        <v>0.47941176732574931</v>
      </c>
      <c r="AG119" s="1">
        <f t="shared" ca="1" si="80"/>
        <v>338</v>
      </c>
      <c r="AH119" s="1">
        <f t="shared" ca="1" si="81"/>
        <v>2.6040249280305972E-3</v>
      </c>
      <c r="AJ119" s="1">
        <f t="shared" ca="1" si="82"/>
        <v>0.79940961149542211</v>
      </c>
      <c r="AK119" s="1">
        <f t="shared" ca="1" si="83"/>
        <v>5.1973307705440062E-3</v>
      </c>
      <c r="AL119" s="1"/>
      <c r="AM119" s="1">
        <f t="shared" ca="1" si="84"/>
        <v>4.7319892160458829E-2</v>
      </c>
      <c r="AN119" s="1">
        <f t="shared" ca="1" si="85"/>
        <v>46</v>
      </c>
      <c r="AO119" s="1">
        <f t="shared" ca="1" si="86"/>
        <v>12</v>
      </c>
      <c r="AQ119" s="1">
        <f t="shared" ca="1" si="87"/>
        <v>199</v>
      </c>
      <c r="AR119" s="1">
        <f t="shared" ca="1" si="88"/>
        <v>5</v>
      </c>
      <c r="AS119" s="1">
        <f t="shared" ca="1" si="89"/>
        <v>42</v>
      </c>
      <c r="AU119" s="1">
        <f t="shared" ca="1" si="90"/>
        <v>223</v>
      </c>
      <c r="AV119" s="1">
        <f t="shared" ca="1" si="91"/>
        <v>10</v>
      </c>
      <c r="AW119" s="1">
        <f t="shared" ca="1" si="92"/>
        <v>0.19229784485192097</v>
      </c>
      <c r="AY119" s="1">
        <f t="shared" ca="1" si="93"/>
        <v>1.5738591644271787</v>
      </c>
      <c r="AZ119" s="1">
        <f t="shared" ca="1" si="94"/>
        <v>141</v>
      </c>
      <c r="BA119" s="1">
        <f t="shared" ca="1" si="95"/>
        <v>2.8363188864977229E-3</v>
      </c>
      <c r="BV119" s="1">
        <f t="shared" ca="1" si="96"/>
        <v>0.64187312742894342</v>
      </c>
      <c r="BW119" s="1">
        <f t="shared" ca="1" si="97"/>
        <v>938</v>
      </c>
      <c r="BX119" s="1">
        <f t="shared" ca="1" si="98"/>
        <v>6.7744289047634437E-3</v>
      </c>
      <c r="BY119" s="1">
        <f t="shared" ca="1" si="99"/>
        <v>4.0259357770847434E-3</v>
      </c>
      <c r="BZ119" s="1">
        <f t="shared" ca="1" si="100"/>
        <v>0.96465498750013912</v>
      </c>
      <c r="CB119" s="1">
        <f t="shared" ca="1" si="101"/>
        <v>186</v>
      </c>
      <c r="CC119" s="1">
        <f t="shared" ca="1" si="102"/>
        <v>3</v>
      </c>
      <c r="CD119" s="1">
        <f t="shared" ca="1" si="103"/>
        <v>0.23773864012118295</v>
      </c>
      <c r="CE119" s="1">
        <f t="shared" ca="1" si="113"/>
        <v>0.73367597576888222</v>
      </c>
      <c r="CF119" s="1">
        <f t="shared" ca="1" si="113"/>
        <v>0.96292125680353546</v>
      </c>
      <c r="CH119" s="3">
        <f t="shared" ca="1" si="105"/>
        <v>0.178353886843129</v>
      </c>
      <c r="CI119" s="3">
        <f t="shared" ca="1" si="106"/>
        <v>0.74559393901066517</v>
      </c>
      <c r="CJ119" s="3">
        <f t="shared" ca="1" si="107"/>
        <v>508</v>
      </c>
      <c r="CK119" s="3">
        <f t="shared" ca="1" si="108"/>
        <v>9.8002333937059725E-3</v>
      </c>
      <c r="CL119" s="3">
        <f t="shared" ca="1" si="109"/>
        <v>1</v>
      </c>
      <c r="CM119" s="3"/>
      <c r="CN119" s="1">
        <f t="shared" ca="1" si="110"/>
        <v>6.8956588731276787</v>
      </c>
      <c r="CO119" s="1">
        <f t="shared" ca="1" si="111"/>
        <v>0.47552337151290991</v>
      </c>
      <c r="CP119" s="1">
        <f t="shared" ca="1" si="112"/>
        <v>1</v>
      </c>
    </row>
    <row r="120" spans="2:94" x14ac:dyDescent="0.25">
      <c r="B120">
        <f t="shared" ca="1" si="57"/>
        <v>535</v>
      </c>
      <c r="C120">
        <f t="shared" ca="1" si="58"/>
        <v>41</v>
      </c>
      <c r="D120">
        <f t="shared" ca="1" si="59"/>
        <v>0.24288973272676492</v>
      </c>
      <c r="F120" s="1">
        <f t="shared" ca="1" si="60"/>
        <v>3</v>
      </c>
      <c r="G120" s="1">
        <f t="shared" ca="1" si="61"/>
        <v>9</v>
      </c>
      <c r="H120" s="1">
        <f t="shared" ca="1" si="62"/>
        <v>13</v>
      </c>
      <c r="I120" s="1"/>
      <c r="J120" s="1">
        <f t="shared" ca="1" si="63"/>
        <v>5</v>
      </c>
      <c r="K120" s="1">
        <f t="shared" ca="1" si="64"/>
        <v>2.6542591543460397</v>
      </c>
      <c r="L120" s="1">
        <f t="shared" ca="1" si="65"/>
        <v>30</v>
      </c>
      <c r="M120" s="1"/>
      <c r="N120" s="1">
        <f t="shared" ca="1" si="66"/>
        <v>720</v>
      </c>
      <c r="O120" s="1">
        <f t="shared" ca="1" si="67"/>
        <v>29</v>
      </c>
      <c r="P120" s="1"/>
      <c r="Q120" s="1">
        <f t="shared" ca="1" si="68"/>
        <v>2.497574730398763</v>
      </c>
      <c r="R120" s="1">
        <f t="shared" ca="1" si="69"/>
        <v>442</v>
      </c>
      <c r="S120" s="1"/>
      <c r="T120" s="1">
        <f t="shared" ca="1" si="70"/>
        <v>0.10418004003010438</v>
      </c>
      <c r="U120" s="1">
        <f t="shared" ca="1" si="71"/>
        <v>395</v>
      </c>
      <c r="V120" s="1">
        <f t="shared" ca="1" si="72"/>
        <v>12</v>
      </c>
      <c r="W120" s="1"/>
      <c r="X120" s="1">
        <f t="shared" ca="1" si="73"/>
        <v>4.4080901148867735</v>
      </c>
      <c r="Y120" s="1">
        <f t="shared" ca="1" si="74"/>
        <v>0.14347422747921981</v>
      </c>
      <c r="Z120" s="1">
        <f t="shared" ca="1" si="75"/>
        <v>1187</v>
      </c>
      <c r="AB120" s="1">
        <f t="shared" ca="1" si="76"/>
        <v>0.87828390660089262</v>
      </c>
      <c r="AC120" s="1">
        <f t="shared" ca="1" si="77"/>
        <v>161</v>
      </c>
      <c r="AD120" s="1">
        <f t="shared" ca="1" si="78"/>
        <v>4.431450563687666E-3</v>
      </c>
      <c r="AE120" s="1"/>
      <c r="AF120" s="1">
        <f t="shared" ca="1" si="79"/>
        <v>0.20441461632114966</v>
      </c>
      <c r="AG120" s="1">
        <f t="shared" ca="1" si="80"/>
        <v>850</v>
      </c>
      <c r="AH120" s="1">
        <f t="shared" ca="1" si="81"/>
        <v>4.989447689589149E-3</v>
      </c>
      <c r="AJ120" s="1">
        <f t="shared" ca="1" si="82"/>
        <v>0.93951296283844821</v>
      </c>
      <c r="AK120" s="1">
        <f t="shared" ca="1" si="83"/>
        <v>4.6919001377966766E-3</v>
      </c>
      <c r="AL120" s="1"/>
      <c r="AM120" s="1">
        <f t="shared" ca="1" si="84"/>
        <v>0.1392296394138455</v>
      </c>
      <c r="AN120" s="1">
        <f t="shared" ca="1" si="85"/>
        <v>51</v>
      </c>
      <c r="AO120" s="1">
        <f t="shared" ca="1" si="86"/>
        <v>18</v>
      </c>
      <c r="AQ120" s="1">
        <f t="shared" ca="1" si="87"/>
        <v>98</v>
      </c>
      <c r="AR120" s="1">
        <f t="shared" ca="1" si="88"/>
        <v>5</v>
      </c>
      <c r="AS120" s="1">
        <f t="shared" ca="1" si="89"/>
        <v>16</v>
      </c>
      <c r="AU120" s="1">
        <f t="shared" ca="1" si="90"/>
        <v>323</v>
      </c>
      <c r="AV120" s="1">
        <f t="shared" ca="1" si="91"/>
        <v>10</v>
      </c>
      <c r="AW120" s="1">
        <f t="shared" ca="1" si="92"/>
        <v>1.0996780014329844E-2</v>
      </c>
      <c r="AY120" s="1">
        <f t="shared" ca="1" si="93"/>
        <v>1.6501806404803903</v>
      </c>
      <c r="AZ120" s="1">
        <f t="shared" ca="1" si="94"/>
        <v>456</v>
      </c>
      <c r="BA120" s="1">
        <f t="shared" ca="1" si="95"/>
        <v>7.3410612998072132E-3</v>
      </c>
      <c r="BV120" s="1">
        <f t="shared" ca="1" si="96"/>
        <v>0.73003173001668875</v>
      </c>
      <c r="BW120" s="1">
        <f t="shared" ca="1" si="97"/>
        <v>525</v>
      </c>
      <c r="BX120" s="1">
        <f t="shared" ca="1" si="98"/>
        <v>6.9277912933169324E-3</v>
      </c>
      <c r="BY120" s="1">
        <f t="shared" ca="1" si="99"/>
        <v>2.4366381318569347E-3</v>
      </c>
      <c r="BZ120" s="1">
        <f t="shared" ca="1" si="100"/>
        <v>0.68553426501777959</v>
      </c>
      <c r="CB120" s="1">
        <f t="shared" ca="1" si="101"/>
        <v>114</v>
      </c>
      <c r="CC120" s="1">
        <f t="shared" ca="1" si="102"/>
        <v>3</v>
      </c>
      <c r="CD120" s="1">
        <f t="shared" ca="1" si="103"/>
        <v>0.20628398953892488</v>
      </c>
      <c r="CE120" s="1">
        <f t="shared" ca="1" si="113"/>
        <v>0.61791782327668632</v>
      </c>
      <c r="CF120" s="1">
        <f t="shared" ca="1" si="113"/>
        <v>0.82253872165387798</v>
      </c>
      <c r="CH120" s="3">
        <f t="shared" ca="1" si="105"/>
        <v>0.93379420560601911</v>
      </c>
      <c r="CI120" s="3">
        <f t="shared" ca="1" si="106"/>
        <v>0.49064929760155152</v>
      </c>
      <c r="CJ120" s="3">
        <f t="shared" ca="1" si="107"/>
        <v>948</v>
      </c>
      <c r="CK120" s="3">
        <f t="shared" ca="1" si="108"/>
        <v>8.3316198863200019E-3</v>
      </c>
      <c r="CL120" s="3">
        <f t="shared" ca="1" si="109"/>
        <v>1</v>
      </c>
      <c r="CM120" s="3"/>
      <c r="CN120" s="1">
        <f t="shared" ca="1" si="110"/>
        <v>0.24161923055356871</v>
      </c>
      <c r="CO120" s="1">
        <f t="shared" ca="1" si="111"/>
        <v>0.34825456437533697</v>
      </c>
      <c r="CP120" s="1">
        <f t="shared" ca="1" si="112"/>
        <v>4</v>
      </c>
    </row>
    <row r="121" spans="2:94" x14ac:dyDescent="0.25">
      <c r="B121">
        <f t="shared" ca="1" si="57"/>
        <v>902</v>
      </c>
      <c r="C121">
        <f t="shared" ca="1" si="58"/>
        <v>7</v>
      </c>
      <c r="D121">
        <f t="shared" ca="1" si="59"/>
        <v>0.1857173671253024</v>
      </c>
      <c r="F121" s="1">
        <f t="shared" ca="1" si="60"/>
        <v>32</v>
      </c>
      <c r="G121" s="1">
        <f t="shared" ca="1" si="61"/>
        <v>4</v>
      </c>
      <c r="H121" s="1">
        <f t="shared" ca="1" si="62"/>
        <v>3</v>
      </c>
      <c r="I121" s="1"/>
      <c r="J121" s="1">
        <f t="shared" ca="1" si="63"/>
        <v>26</v>
      </c>
      <c r="K121" s="1">
        <f t="shared" ca="1" si="64"/>
        <v>2.6859651007610914</v>
      </c>
      <c r="L121" s="1">
        <f t="shared" ca="1" si="65"/>
        <v>3</v>
      </c>
      <c r="M121" s="1"/>
      <c r="N121" s="1">
        <f t="shared" ca="1" si="66"/>
        <v>919</v>
      </c>
      <c r="O121" s="1">
        <f t="shared" ca="1" si="67"/>
        <v>9</v>
      </c>
      <c r="P121" s="1"/>
      <c r="Q121" s="1">
        <f t="shared" ca="1" si="68"/>
        <v>3.2820269920601088</v>
      </c>
      <c r="R121" s="1">
        <f t="shared" ca="1" si="69"/>
        <v>956</v>
      </c>
      <c r="S121" s="1"/>
      <c r="T121" s="1">
        <f t="shared" ca="1" si="70"/>
        <v>0.16300228594036023</v>
      </c>
      <c r="U121" s="1">
        <f t="shared" ca="1" si="71"/>
        <v>276</v>
      </c>
      <c r="V121" s="1">
        <f t="shared" ca="1" si="72"/>
        <v>52</v>
      </c>
      <c r="W121" s="1"/>
      <c r="X121" s="1">
        <f t="shared" ca="1" si="73"/>
        <v>1.7566106275580136</v>
      </c>
      <c r="Y121" s="1">
        <f t="shared" ca="1" si="74"/>
        <v>0.83014994101383632</v>
      </c>
      <c r="Z121" s="1">
        <f t="shared" ca="1" si="75"/>
        <v>1676</v>
      </c>
      <c r="AB121" s="1">
        <f t="shared" ca="1" si="76"/>
        <v>0.37340374247838759</v>
      </c>
      <c r="AC121" s="1">
        <f t="shared" ca="1" si="77"/>
        <v>420</v>
      </c>
      <c r="AD121" s="1">
        <f t="shared" ca="1" si="78"/>
        <v>5.261581555686152E-3</v>
      </c>
      <c r="AE121" s="1"/>
      <c r="AF121" s="1">
        <f t="shared" ca="1" si="79"/>
        <v>0.49487833066602915</v>
      </c>
      <c r="AG121" s="1">
        <f t="shared" ca="1" si="80"/>
        <v>866</v>
      </c>
      <c r="AH121" s="1">
        <f t="shared" ca="1" si="81"/>
        <v>1.2833772050845043E-3</v>
      </c>
      <c r="AJ121" s="1">
        <f t="shared" ca="1" si="82"/>
        <v>0.56391675931608276</v>
      </c>
      <c r="AK121" s="1">
        <f t="shared" ca="1" si="83"/>
        <v>3.1222682840951416E-3</v>
      </c>
      <c r="AL121" s="1"/>
      <c r="AM121" s="1">
        <f t="shared" ca="1" si="84"/>
        <v>9.0423463025647036E-2</v>
      </c>
      <c r="AN121" s="1">
        <f t="shared" ca="1" si="85"/>
        <v>66</v>
      </c>
      <c r="AO121" s="1">
        <f t="shared" ca="1" si="86"/>
        <v>-1</v>
      </c>
      <c r="AQ121" s="1">
        <f t="shared" ca="1" si="87"/>
        <v>157</v>
      </c>
      <c r="AR121" s="1">
        <f t="shared" ca="1" si="88"/>
        <v>7</v>
      </c>
      <c r="AS121" s="1">
        <f t="shared" ca="1" si="89"/>
        <v>38</v>
      </c>
      <c r="AU121" s="1">
        <f t="shared" ca="1" si="90"/>
        <v>99</v>
      </c>
      <c r="AV121" s="1">
        <f t="shared" ca="1" si="91"/>
        <v>9</v>
      </c>
      <c r="AW121" s="1">
        <f t="shared" ca="1" si="92"/>
        <v>0.18035396157092656</v>
      </c>
      <c r="AY121" s="1">
        <f t="shared" ca="1" si="93"/>
        <v>1.6922001586246163</v>
      </c>
      <c r="AZ121" s="1">
        <f t="shared" ca="1" si="94"/>
        <v>430</v>
      </c>
      <c r="BA121" s="1">
        <f t="shared" ca="1" si="95"/>
        <v>4.7529743189086678E-3</v>
      </c>
      <c r="BV121" s="1">
        <f t="shared" ca="1" si="96"/>
        <v>0.67787873838717838</v>
      </c>
      <c r="BW121" s="1">
        <f t="shared" ca="1" si="97"/>
        <v>663</v>
      </c>
      <c r="BX121" s="1">
        <f t="shared" ca="1" si="98"/>
        <v>9.1266019191139081E-3</v>
      </c>
      <c r="BY121" s="1">
        <f t="shared" ca="1" si="99"/>
        <v>2.8562629338026533E-3</v>
      </c>
      <c r="BZ121" s="1">
        <f t="shared" ca="1" si="100"/>
        <v>0.91344482140230665</v>
      </c>
      <c r="CB121" s="1">
        <f t="shared" ca="1" si="101"/>
        <v>219</v>
      </c>
      <c r="CC121" s="1">
        <f t="shared" ca="1" si="102"/>
        <v>15</v>
      </c>
      <c r="CD121" s="1">
        <f t="shared" ca="1" si="103"/>
        <v>0.15935849864214269</v>
      </c>
      <c r="CE121" s="1">
        <f t="shared" ca="1" si="113"/>
        <v>0.52212291082072793</v>
      </c>
      <c r="CF121" s="1">
        <f t="shared" ca="1" si="113"/>
        <v>0.96964103271738056</v>
      </c>
      <c r="CH121" s="3">
        <f t="shared" ca="1" si="105"/>
        <v>0.81414800973249579</v>
      </c>
      <c r="CI121" s="3">
        <f t="shared" ca="1" si="106"/>
        <v>0.34005053531211282</v>
      </c>
      <c r="CJ121" s="3">
        <f t="shared" ca="1" si="107"/>
        <v>1167</v>
      </c>
      <c r="CK121" s="3">
        <f t="shared" ca="1" si="108"/>
        <v>9.5709100409456082E-3</v>
      </c>
      <c r="CL121" s="3">
        <f t="shared" ca="1" si="109"/>
        <v>0</v>
      </c>
      <c r="CM121" s="3"/>
      <c r="CN121" s="1">
        <f t="shared" ca="1" si="110"/>
        <v>18.765799685328975</v>
      </c>
      <c r="CO121" s="1">
        <f t="shared" ca="1" si="111"/>
        <v>0.27503754721115442</v>
      </c>
      <c r="CP121" s="1">
        <f t="shared" ca="1" si="112"/>
        <v>1</v>
      </c>
    </row>
    <row r="122" spans="2:94" x14ac:dyDescent="0.25">
      <c r="B122">
        <f t="shared" ca="1" si="57"/>
        <v>363</v>
      </c>
      <c r="C122">
        <f t="shared" ca="1" si="58"/>
        <v>21</v>
      </c>
      <c r="D122">
        <f t="shared" ca="1" si="59"/>
        <v>0.14714213740423837</v>
      </c>
      <c r="F122" s="1">
        <f t="shared" ca="1" si="60"/>
        <v>42</v>
      </c>
      <c r="G122" s="1">
        <f t="shared" ca="1" si="61"/>
        <v>25</v>
      </c>
      <c r="H122" s="1">
        <f t="shared" ca="1" si="62"/>
        <v>11</v>
      </c>
      <c r="I122" s="1"/>
      <c r="J122" s="1">
        <f t="shared" ca="1" si="63"/>
        <v>15</v>
      </c>
      <c r="K122" s="1">
        <f t="shared" ca="1" si="64"/>
        <v>2.0595751003488489</v>
      </c>
      <c r="L122" s="1">
        <f t="shared" ca="1" si="65"/>
        <v>22</v>
      </c>
      <c r="M122" s="1"/>
      <c r="N122" s="1">
        <f t="shared" ca="1" si="66"/>
        <v>622</v>
      </c>
      <c r="O122" s="1">
        <f t="shared" ca="1" si="67"/>
        <v>5</v>
      </c>
      <c r="P122" s="1"/>
      <c r="Q122" s="1">
        <f t="shared" ca="1" si="68"/>
        <v>4.9117017402575307</v>
      </c>
      <c r="R122" s="1">
        <f t="shared" ca="1" si="69"/>
        <v>293</v>
      </c>
      <c r="S122" s="1"/>
      <c r="T122" s="1">
        <f t="shared" ca="1" si="70"/>
        <v>0.14274168373189716</v>
      </c>
      <c r="U122" s="1">
        <f t="shared" ca="1" si="71"/>
        <v>374</v>
      </c>
      <c r="V122" s="1">
        <f t="shared" ca="1" si="72"/>
        <v>17</v>
      </c>
      <c r="W122" s="1"/>
      <c r="X122" s="1">
        <f t="shared" ca="1" si="73"/>
        <v>0.56205841030519688</v>
      </c>
      <c r="Y122" s="1">
        <f t="shared" ca="1" si="74"/>
        <v>0.5476547388211167</v>
      </c>
      <c r="Z122" s="1">
        <f t="shared" ca="1" si="75"/>
        <v>1305</v>
      </c>
      <c r="AB122" s="1">
        <f t="shared" ca="1" si="76"/>
        <v>0.2425537826341097</v>
      </c>
      <c r="AC122" s="1">
        <f t="shared" ca="1" si="77"/>
        <v>104</v>
      </c>
      <c r="AD122" s="1">
        <f t="shared" ca="1" si="78"/>
        <v>1.5226537978329498E-3</v>
      </c>
      <c r="AE122" s="1"/>
      <c r="AF122" s="1">
        <f t="shared" ca="1" si="79"/>
        <v>0.49987093535381066</v>
      </c>
      <c r="AG122" s="1">
        <f t="shared" ca="1" si="80"/>
        <v>195</v>
      </c>
      <c r="AH122" s="1">
        <f t="shared" ca="1" si="81"/>
        <v>1.3897099096132639E-3</v>
      </c>
      <c r="AJ122" s="1">
        <f t="shared" ca="1" si="82"/>
        <v>1.4296246519920119E-2</v>
      </c>
      <c r="AK122" s="1">
        <f t="shared" ca="1" si="83"/>
        <v>6.2888530083133566E-3</v>
      </c>
      <c r="AL122" s="1"/>
      <c r="AM122" s="1">
        <f t="shared" ca="1" si="84"/>
        <v>9.4939457579371805E-2</v>
      </c>
      <c r="AN122" s="1">
        <f t="shared" ca="1" si="85"/>
        <v>11</v>
      </c>
      <c r="AO122" s="1">
        <f t="shared" ca="1" si="86"/>
        <v>10</v>
      </c>
      <c r="AQ122" s="1">
        <f t="shared" ca="1" si="87"/>
        <v>117</v>
      </c>
      <c r="AR122" s="1">
        <f t="shared" ca="1" si="88"/>
        <v>7</v>
      </c>
      <c r="AS122" s="1">
        <f t="shared" ca="1" si="89"/>
        <v>25</v>
      </c>
      <c r="AU122" s="1">
        <f t="shared" ca="1" si="90"/>
        <v>170</v>
      </c>
      <c r="AV122" s="1">
        <f t="shared" ca="1" si="91"/>
        <v>9</v>
      </c>
      <c r="AW122" s="1">
        <f t="shared" ca="1" si="92"/>
        <v>1.0796863021755008E-2</v>
      </c>
      <c r="AY122" s="1">
        <f t="shared" ca="1" si="93"/>
        <v>1.4918495765095396</v>
      </c>
      <c r="AZ122" s="1">
        <f t="shared" ca="1" si="94"/>
        <v>237</v>
      </c>
      <c r="BA122" s="1">
        <f t="shared" ca="1" si="95"/>
        <v>5.116241298532347E-3</v>
      </c>
      <c r="BV122" s="1">
        <f t="shared" ca="1" si="96"/>
        <v>0.76219490206690443</v>
      </c>
      <c r="BW122" s="1">
        <f t="shared" ca="1" si="97"/>
        <v>587</v>
      </c>
      <c r="BX122" s="1">
        <f t="shared" ca="1" si="98"/>
        <v>6.0616648799386979E-3</v>
      </c>
      <c r="BY122" s="1">
        <f t="shared" ca="1" si="99"/>
        <v>5.5374886702801909E-3</v>
      </c>
      <c r="BZ122" s="1">
        <f t="shared" ca="1" si="100"/>
        <v>0.91183343312573906</v>
      </c>
      <c r="CB122" s="1">
        <f t="shared" ca="1" si="101"/>
        <v>240</v>
      </c>
      <c r="CC122" s="1">
        <f t="shared" ca="1" si="102"/>
        <v>12</v>
      </c>
      <c r="CD122" s="1">
        <f t="shared" ca="1" si="103"/>
        <v>0.19396795856468887</v>
      </c>
      <c r="CE122" s="1">
        <f t="shared" ca="1" si="113"/>
        <v>0.69164881059947403</v>
      </c>
      <c r="CF122" s="1">
        <f t="shared" ca="1" si="113"/>
        <v>0.61167850191620188</v>
      </c>
      <c r="CH122" s="3">
        <f t="shared" ca="1" si="105"/>
        <v>0.64087255285022604</v>
      </c>
      <c r="CI122" s="3">
        <f t="shared" ca="1" si="106"/>
        <v>0.7882341862575708</v>
      </c>
      <c r="CJ122" s="3">
        <f t="shared" ca="1" si="107"/>
        <v>1675</v>
      </c>
      <c r="CK122" s="3">
        <f t="shared" ca="1" si="108"/>
        <v>7.9875756567411214E-4</v>
      </c>
      <c r="CL122" s="3">
        <f t="shared" ca="1" si="109"/>
        <v>1</v>
      </c>
      <c r="CM122" s="3"/>
      <c r="CN122" s="1">
        <f t="shared" ca="1" si="110"/>
        <v>6.3751032322237249</v>
      </c>
      <c r="CO122" s="1">
        <f t="shared" ca="1" si="111"/>
        <v>0.46520268562480921</v>
      </c>
      <c r="CP122" s="1">
        <f t="shared" ca="1" si="112"/>
        <v>5</v>
      </c>
    </row>
    <row r="123" spans="2:94" x14ac:dyDescent="0.25">
      <c r="B123">
        <f t="shared" ca="1" si="57"/>
        <v>275</v>
      </c>
      <c r="C123">
        <f t="shared" ca="1" si="58"/>
        <v>27</v>
      </c>
      <c r="D123">
        <f t="shared" ca="1" si="59"/>
        <v>0.11050844327861156</v>
      </c>
      <c r="F123" s="1">
        <f t="shared" ca="1" si="60"/>
        <v>43</v>
      </c>
      <c r="G123" s="1">
        <f t="shared" ca="1" si="61"/>
        <v>20</v>
      </c>
      <c r="H123" s="1">
        <f t="shared" ca="1" si="62"/>
        <v>9</v>
      </c>
      <c r="I123" s="1"/>
      <c r="J123" s="1">
        <f t="shared" ca="1" si="63"/>
        <v>15</v>
      </c>
      <c r="K123" s="1">
        <f t="shared" ca="1" si="64"/>
        <v>2.4380744598695241</v>
      </c>
      <c r="L123" s="1">
        <f t="shared" ca="1" si="65"/>
        <v>12</v>
      </c>
      <c r="M123" s="1"/>
      <c r="N123" s="1">
        <f t="shared" ca="1" si="66"/>
        <v>862</v>
      </c>
      <c r="O123" s="1">
        <f t="shared" ca="1" si="67"/>
        <v>15</v>
      </c>
      <c r="P123" s="1"/>
      <c r="Q123" s="1">
        <f t="shared" ca="1" si="68"/>
        <v>0.84611323892259982</v>
      </c>
      <c r="R123" s="1">
        <f t="shared" ca="1" si="69"/>
        <v>493</v>
      </c>
      <c r="S123" s="1"/>
      <c r="T123" s="1">
        <f t="shared" ca="1" si="70"/>
        <v>0.19414234429083116</v>
      </c>
      <c r="U123" s="1">
        <f t="shared" ca="1" si="71"/>
        <v>395</v>
      </c>
      <c r="V123" s="1">
        <f t="shared" ca="1" si="72"/>
        <v>43</v>
      </c>
      <c r="W123" s="1"/>
      <c r="X123" s="1">
        <f t="shared" ca="1" si="73"/>
        <v>9.1023017886751045</v>
      </c>
      <c r="Y123" s="1">
        <f t="shared" ca="1" si="74"/>
        <v>0.49887847810462349</v>
      </c>
      <c r="Z123" s="1">
        <f t="shared" ca="1" si="75"/>
        <v>1667</v>
      </c>
      <c r="AB123" s="1">
        <f t="shared" ca="1" si="76"/>
        <v>0.36866649331279128</v>
      </c>
      <c r="AC123" s="1">
        <f t="shared" ca="1" si="77"/>
        <v>981</v>
      </c>
      <c r="AD123" s="1">
        <f t="shared" ca="1" si="78"/>
        <v>1.864223672984741E-3</v>
      </c>
      <c r="AE123" s="1"/>
      <c r="AF123" s="1">
        <f t="shared" ca="1" si="79"/>
        <v>0.54947132877337801</v>
      </c>
      <c r="AG123" s="1">
        <f t="shared" ca="1" si="80"/>
        <v>618</v>
      </c>
      <c r="AH123" s="1">
        <f t="shared" ca="1" si="81"/>
        <v>8.0445260170808781E-3</v>
      </c>
      <c r="AJ123" s="1">
        <f t="shared" ca="1" si="82"/>
        <v>0.5145969760991822</v>
      </c>
      <c r="AK123" s="1">
        <f t="shared" ca="1" si="83"/>
        <v>8.3818917644613352E-3</v>
      </c>
      <c r="AL123" s="1"/>
      <c r="AM123" s="1">
        <f t="shared" ca="1" si="84"/>
        <v>4.7790777955278259E-2</v>
      </c>
      <c r="AN123" s="1">
        <f t="shared" ca="1" si="85"/>
        <v>15</v>
      </c>
      <c r="AO123" s="1">
        <f t="shared" ca="1" si="86"/>
        <v>9</v>
      </c>
      <c r="AQ123" s="1">
        <f t="shared" ca="1" si="87"/>
        <v>91</v>
      </c>
      <c r="AR123" s="1">
        <f t="shared" ca="1" si="88"/>
        <v>3</v>
      </c>
      <c r="AS123" s="1">
        <f t="shared" ca="1" si="89"/>
        <v>88</v>
      </c>
      <c r="AU123" s="1">
        <f t="shared" ca="1" si="90"/>
        <v>294</v>
      </c>
      <c r="AV123" s="1">
        <f t="shared" ca="1" si="91"/>
        <v>3</v>
      </c>
      <c r="AW123" s="1">
        <f t="shared" ca="1" si="92"/>
        <v>0.13353645496102254</v>
      </c>
      <c r="AY123" s="1">
        <f t="shared" ca="1" si="93"/>
        <v>1.8381831592483635</v>
      </c>
      <c r="AZ123" s="1">
        <f t="shared" ca="1" si="94"/>
        <v>484</v>
      </c>
      <c r="BA123" s="1">
        <f t="shared" ca="1" si="95"/>
        <v>4.794080944591256E-3</v>
      </c>
      <c r="BV123" s="1">
        <f t="shared" ca="1" si="96"/>
        <v>0.86997224233093495</v>
      </c>
      <c r="BW123" s="1">
        <f t="shared" ca="1" si="97"/>
        <v>995</v>
      </c>
      <c r="BX123" s="1">
        <f t="shared" ca="1" si="98"/>
        <v>6.4426472538164359E-3</v>
      </c>
      <c r="BY123" s="1">
        <f t="shared" ca="1" si="99"/>
        <v>6.5619586589148224E-2</v>
      </c>
      <c r="BZ123" s="1">
        <f t="shared" ca="1" si="100"/>
        <v>0.15894447040373305</v>
      </c>
      <c r="CB123" s="1">
        <f t="shared" ca="1" si="101"/>
        <v>194</v>
      </c>
      <c r="CC123" s="1">
        <f t="shared" ca="1" si="102"/>
        <v>3</v>
      </c>
      <c r="CD123" s="1">
        <f t="shared" ca="1" si="103"/>
        <v>7.3128941281094526E-2</v>
      </c>
      <c r="CE123" s="1">
        <f t="shared" ca="1" si="113"/>
        <v>0.52395703651034309</v>
      </c>
      <c r="CF123" s="1">
        <f t="shared" ca="1" si="113"/>
        <v>0.54939223219738986</v>
      </c>
      <c r="CH123" s="3">
        <f t="shared" ca="1" si="105"/>
        <v>6.5521928641632074E-2</v>
      </c>
      <c r="CI123" s="3">
        <f t="shared" ca="1" si="106"/>
        <v>0.77202669597566542</v>
      </c>
      <c r="CJ123" s="3">
        <f t="shared" ca="1" si="107"/>
        <v>1314</v>
      </c>
      <c r="CK123" s="3">
        <f t="shared" ca="1" si="108"/>
        <v>1.6925022895335612E-3</v>
      </c>
      <c r="CL123" s="3">
        <f t="shared" ca="1" si="109"/>
        <v>1</v>
      </c>
      <c r="CM123" s="3"/>
      <c r="CN123" s="1">
        <f t="shared" ca="1" si="110"/>
        <v>15.162540191692219</v>
      </c>
      <c r="CO123" s="1">
        <f t="shared" ca="1" si="111"/>
        <v>0.47233202945818631</v>
      </c>
      <c r="CP123" s="1">
        <f t="shared" ca="1" si="112"/>
        <v>5</v>
      </c>
    </row>
    <row r="124" spans="2:94" x14ac:dyDescent="0.25">
      <c r="B124">
        <f t="shared" ca="1" si="57"/>
        <v>882</v>
      </c>
      <c r="C124">
        <f t="shared" ca="1" si="58"/>
        <v>13</v>
      </c>
      <c r="D124">
        <f t="shared" ca="1" si="59"/>
        <v>0.1971864166535662</v>
      </c>
      <c r="F124" s="1">
        <f t="shared" ca="1" si="60"/>
        <v>51</v>
      </c>
      <c r="G124" s="1">
        <f t="shared" ca="1" si="61"/>
        <v>29</v>
      </c>
      <c r="H124" s="1">
        <f t="shared" ca="1" si="62"/>
        <v>14</v>
      </c>
      <c r="I124" s="1"/>
      <c r="J124" s="1">
        <f t="shared" ca="1" si="63"/>
        <v>11</v>
      </c>
      <c r="K124" s="1">
        <f t="shared" ca="1" si="64"/>
        <v>2.3342662213181748</v>
      </c>
      <c r="L124" s="1">
        <f t="shared" ca="1" si="65"/>
        <v>5</v>
      </c>
      <c r="M124" s="1"/>
      <c r="N124" s="1">
        <f t="shared" ca="1" si="66"/>
        <v>695</v>
      </c>
      <c r="O124" s="1">
        <f t="shared" ca="1" si="67"/>
        <v>5</v>
      </c>
      <c r="P124" s="1"/>
      <c r="Q124" s="1">
        <f t="shared" ca="1" si="68"/>
        <v>4.5311043695245621</v>
      </c>
      <c r="R124" s="1">
        <f t="shared" ca="1" si="69"/>
        <v>553</v>
      </c>
      <c r="S124" s="1"/>
      <c r="T124" s="1">
        <f t="shared" ca="1" si="70"/>
        <v>0.12243019542230275</v>
      </c>
      <c r="U124" s="1">
        <f t="shared" ca="1" si="71"/>
        <v>59</v>
      </c>
      <c r="V124" s="1">
        <f t="shared" ca="1" si="72"/>
        <v>15</v>
      </c>
      <c r="W124" s="1"/>
      <c r="X124" s="1">
        <f t="shared" ca="1" si="73"/>
        <v>5.6626970254233742</v>
      </c>
      <c r="Y124" s="1">
        <f t="shared" ca="1" si="74"/>
        <v>0.77648946316651568</v>
      </c>
      <c r="Z124" s="1">
        <f t="shared" ca="1" si="75"/>
        <v>323</v>
      </c>
      <c r="AB124" s="1">
        <f t="shared" ca="1" si="76"/>
        <v>0.8655925643793837</v>
      </c>
      <c r="AC124" s="1">
        <f t="shared" ca="1" si="77"/>
        <v>846</v>
      </c>
      <c r="AD124" s="1">
        <f t="shared" ca="1" si="78"/>
        <v>8.8630421200090511E-3</v>
      </c>
      <c r="AE124" s="1"/>
      <c r="AF124" s="1">
        <f t="shared" ca="1" si="79"/>
        <v>0.62777657536571696</v>
      </c>
      <c r="AG124" s="1">
        <f t="shared" ca="1" si="80"/>
        <v>313</v>
      </c>
      <c r="AH124" s="1">
        <f t="shared" ca="1" si="81"/>
        <v>1.6405933672347024E-3</v>
      </c>
      <c r="AJ124" s="1">
        <f t="shared" ca="1" si="82"/>
        <v>0.25929819185270542</v>
      </c>
      <c r="AK124" s="1">
        <f t="shared" ca="1" si="83"/>
        <v>5.6702319878868855E-3</v>
      </c>
      <c r="AL124" s="1"/>
      <c r="AM124" s="1">
        <f t="shared" ca="1" si="84"/>
        <v>0.12294429377690543</v>
      </c>
      <c r="AN124" s="1">
        <f t="shared" ca="1" si="85"/>
        <v>55</v>
      </c>
      <c r="AO124" s="1">
        <f t="shared" ca="1" si="86"/>
        <v>12</v>
      </c>
      <c r="AQ124" s="1">
        <f t="shared" ca="1" si="87"/>
        <v>140</v>
      </c>
      <c r="AR124" s="1">
        <f t="shared" ca="1" si="88"/>
        <v>7</v>
      </c>
      <c r="AS124" s="1">
        <f t="shared" ca="1" si="89"/>
        <v>27</v>
      </c>
      <c r="AU124" s="1">
        <f t="shared" ca="1" si="90"/>
        <v>132</v>
      </c>
      <c r="AV124" s="1">
        <f t="shared" ca="1" si="91"/>
        <v>6</v>
      </c>
      <c r="AW124" s="1">
        <f t="shared" ca="1" si="92"/>
        <v>3.9926490870325473E-2</v>
      </c>
      <c r="AY124" s="1">
        <f t="shared" ca="1" si="93"/>
        <v>1.1928623096908177</v>
      </c>
      <c r="AZ124" s="1">
        <f t="shared" ca="1" si="94"/>
        <v>416</v>
      </c>
      <c r="BA124" s="1">
        <f t="shared" ca="1" si="95"/>
        <v>8.7724498080431843E-3</v>
      </c>
      <c r="BV124" s="1">
        <f t="shared" ca="1" si="96"/>
        <v>0.22383611104316342</v>
      </c>
      <c r="BW124" s="1">
        <f t="shared" ca="1" si="97"/>
        <v>114</v>
      </c>
      <c r="BX124" s="1">
        <f t="shared" ca="1" si="98"/>
        <v>6.7028561440789069E-3</v>
      </c>
      <c r="BY124" s="1">
        <f t="shared" ca="1" si="99"/>
        <v>5.4370770879471092E-2</v>
      </c>
      <c r="BZ124" s="1">
        <f t="shared" ca="1" si="100"/>
        <v>0.88197365305854392</v>
      </c>
      <c r="CB124" s="1">
        <f t="shared" ca="1" si="101"/>
        <v>361</v>
      </c>
      <c r="CC124" s="1">
        <f t="shared" ca="1" si="102"/>
        <v>4</v>
      </c>
      <c r="CD124" s="1">
        <f t="shared" ca="1" si="103"/>
        <v>3.8480258618958534E-2</v>
      </c>
      <c r="CE124" s="1">
        <f t="shared" ca="1" si="113"/>
        <v>0.84631929768474845</v>
      </c>
      <c r="CF124" s="1">
        <f t="shared" ca="1" si="113"/>
        <v>0.86221052377207608</v>
      </c>
      <c r="CH124" s="3">
        <f t="shared" ca="1" si="105"/>
        <v>0.22804398992113697</v>
      </c>
      <c r="CI124" s="3">
        <f t="shared" ca="1" si="106"/>
        <v>0.86880861723930003</v>
      </c>
      <c r="CJ124" s="3">
        <f t="shared" ca="1" si="107"/>
        <v>1487</v>
      </c>
      <c r="CK124" s="3">
        <f t="shared" ca="1" si="108"/>
        <v>4.3381294473275323E-3</v>
      </c>
      <c r="CL124" s="3">
        <f t="shared" ca="1" si="109"/>
        <v>0</v>
      </c>
      <c r="CM124" s="3"/>
      <c r="CN124" s="1">
        <f t="shared" ca="1" si="110"/>
        <v>16.141598377210428</v>
      </c>
      <c r="CO124" s="1">
        <f t="shared" ca="1" si="111"/>
        <v>0.29430206896380162</v>
      </c>
      <c r="CP124" s="1">
        <f t="shared" ca="1" si="112"/>
        <v>2</v>
      </c>
    </row>
    <row r="125" spans="2:94" x14ac:dyDescent="0.25">
      <c r="B125">
        <f t="shared" ca="1" si="57"/>
        <v>28</v>
      </c>
      <c r="C125">
        <f t="shared" ca="1" si="58"/>
        <v>28</v>
      </c>
      <c r="D125">
        <f t="shared" ca="1" si="59"/>
        <v>0.24013672805246777</v>
      </c>
      <c r="F125" s="1">
        <f t="shared" ca="1" si="60"/>
        <v>26</v>
      </c>
      <c r="G125" s="1">
        <f t="shared" ca="1" si="61"/>
        <v>7</v>
      </c>
      <c r="H125" s="1">
        <f t="shared" ca="1" si="62"/>
        <v>7</v>
      </c>
      <c r="I125" s="1"/>
      <c r="J125" s="1">
        <f t="shared" ca="1" si="63"/>
        <v>3</v>
      </c>
      <c r="K125" s="1">
        <f t="shared" ca="1" si="64"/>
        <v>2.4880734451968829</v>
      </c>
      <c r="L125" s="1">
        <f t="shared" ca="1" si="65"/>
        <v>10</v>
      </c>
      <c r="M125" s="1"/>
      <c r="N125" s="1">
        <f t="shared" ca="1" si="66"/>
        <v>826</v>
      </c>
      <c r="O125" s="1">
        <f t="shared" ca="1" si="67"/>
        <v>33</v>
      </c>
      <c r="P125" s="1"/>
      <c r="Q125" s="1">
        <f t="shared" ca="1" si="68"/>
        <v>0.92323316146393564</v>
      </c>
      <c r="R125" s="1">
        <f t="shared" ca="1" si="69"/>
        <v>774</v>
      </c>
      <c r="S125" s="1"/>
      <c r="T125" s="1">
        <f t="shared" ca="1" si="70"/>
        <v>0.1887433092132329</v>
      </c>
      <c r="U125" s="1">
        <f t="shared" ca="1" si="71"/>
        <v>218</v>
      </c>
      <c r="V125" s="1">
        <f t="shared" ca="1" si="72"/>
        <v>28</v>
      </c>
      <c r="W125" s="1"/>
      <c r="X125" s="1">
        <f t="shared" ca="1" si="73"/>
        <v>7.1626503973886757E-2</v>
      </c>
      <c r="Y125" s="1">
        <f t="shared" ca="1" si="74"/>
        <v>0.36002488030536312</v>
      </c>
      <c r="Z125" s="1">
        <f t="shared" ca="1" si="75"/>
        <v>1822</v>
      </c>
      <c r="AB125" s="1">
        <f t="shared" ca="1" si="76"/>
        <v>0.15282849776352989</v>
      </c>
      <c r="AC125" s="1">
        <f t="shared" ca="1" si="77"/>
        <v>429</v>
      </c>
      <c r="AD125" s="1">
        <f t="shared" ca="1" si="78"/>
        <v>6.6483153168479178E-3</v>
      </c>
      <c r="AE125" s="1"/>
      <c r="AF125" s="1">
        <f t="shared" ca="1" si="79"/>
        <v>0.1427810077151242</v>
      </c>
      <c r="AG125" s="1">
        <f t="shared" ca="1" si="80"/>
        <v>626</v>
      </c>
      <c r="AH125" s="1">
        <f t="shared" ca="1" si="81"/>
        <v>1.2214917742459687E-3</v>
      </c>
      <c r="AJ125" s="1">
        <f t="shared" ca="1" si="82"/>
        <v>0.27295880443939702</v>
      </c>
      <c r="AK125" s="1">
        <f t="shared" ca="1" si="83"/>
        <v>3.8316705264301057E-4</v>
      </c>
      <c r="AL125" s="1"/>
      <c r="AM125" s="1">
        <f t="shared" ca="1" si="84"/>
        <v>0.18222068274815581</v>
      </c>
      <c r="AN125" s="1">
        <f t="shared" ca="1" si="85"/>
        <v>69</v>
      </c>
      <c r="AO125" s="1">
        <f t="shared" ca="1" si="86"/>
        <v>8</v>
      </c>
      <c r="AQ125" s="1">
        <f t="shared" ca="1" si="87"/>
        <v>87</v>
      </c>
      <c r="AR125" s="1">
        <f t="shared" ca="1" si="88"/>
        <v>2</v>
      </c>
      <c r="AS125" s="1">
        <f t="shared" ca="1" si="89"/>
        <v>72</v>
      </c>
      <c r="AU125" s="1">
        <f t="shared" ca="1" si="90"/>
        <v>234</v>
      </c>
      <c r="AV125" s="1">
        <f t="shared" ca="1" si="91"/>
        <v>8</v>
      </c>
      <c r="AW125" s="1">
        <f t="shared" ca="1" si="92"/>
        <v>0.16615528939160382</v>
      </c>
      <c r="AY125" s="1">
        <f t="shared" ca="1" si="93"/>
        <v>1.8454306366528477</v>
      </c>
      <c r="AZ125" s="1">
        <f t="shared" ca="1" si="94"/>
        <v>143</v>
      </c>
      <c r="BA125" s="1">
        <f t="shared" ca="1" si="95"/>
        <v>1.6555821570914387E-3</v>
      </c>
      <c r="BV125" s="1">
        <f t="shared" ca="1" si="96"/>
        <v>0.99504239187757015</v>
      </c>
      <c r="BW125" s="1">
        <f t="shared" ca="1" si="97"/>
        <v>749</v>
      </c>
      <c r="BX125" s="1">
        <f t="shared" ca="1" si="98"/>
        <v>2.1090551566521271E-4</v>
      </c>
      <c r="BY125" s="1">
        <f t="shared" ca="1" si="99"/>
        <v>6.3038410925756017E-2</v>
      </c>
      <c r="BZ125" s="1">
        <f t="shared" ca="1" si="100"/>
        <v>0.45237281366624948</v>
      </c>
      <c r="CB125" s="1">
        <f t="shared" ca="1" si="101"/>
        <v>297</v>
      </c>
      <c r="CC125" s="1">
        <f t="shared" ca="1" si="102"/>
        <v>13</v>
      </c>
      <c r="CD125" s="1">
        <f t="shared" ca="1" si="103"/>
        <v>0.10928280736885233</v>
      </c>
      <c r="CE125" s="1">
        <f t="shared" ca="1" si="113"/>
        <v>0.80088274666930537</v>
      </c>
      <c r="CF125" s="1">
        <f t="shared" ca="1" si="113"/>
        <v>0.83517954470367406</v>
      </c>
      <c r="CH125" s="3">
        <f t="shared" ca="1" si="105"/>
        <v>0.7321522299508525</v>
      </c>
      <c r="CI125" s="3">
        <f t="shared" ca="1" si="106"/>
        <v>0.62760654659225357</v>
      </c>
      <c r="CJ125" s="3">
        <f t="shared" ca="1" si="107"/>
        <v>507</v>
      </c>
      <c r="CK125" s="3">
        <f t="shared" ca="1" si="108"/>
        <v>6.3717672917183452E-3</v>
      </c>
      <c r="CL125" s="3">
        <f t="shared" ca="1" si="109"/>
        <v>0</v>
      </c>
      <c r="CM125" s="3"/>
      <c r="CN125" s="1">
        <f t="shared" ca="1" si="110"/>
        <v>1.2141267224587151</v>
      </c>
      <c r="CO125" s="1">
        <f t="shared" ca="1" si="111"/>
        <v>0.26751873375811114</v>
      </c>
      <c r="CP125" s="1">
        <f t="shared" ca="1" si="112"/>
        <v>2</v>
      </c>
    </row>
    <row r="126" spans="2:94" x14ac:dyDescent="0.25">
      <c r="B126">
        <f t="shared" ca="1" si="57"/>
        <v>836</v>
      </c>
      <c r="C126">
        <f t="shared" ca="1" si="58"/>
        <v>4</v>
      </c>
      <c r="D126">
        <f t="shared" ca="1" si="59"/>
        <v>0.21689027897848961</v>
      </c>
      <c r="F126" s="1">
        <f t="shared" ca="1" si="60"/>
        <v>29</v>
      </c>
      <c r="G126" s="1">
        <f t="shared" ca="1" si="61"/>
        <v>13</v>
      </c>
      <c r="H126" s="1">
        <f t="shared" ca="1" si="62"/>
        <v>1</v>
      </c>
      <c r="I126" s="1"/>
      <c r="J126" s="1">
        <f t="shared" ca="1" si="63"/>
        <v>14</v>
      </c>
      <c r="K126" s="1">
        <f t="shared" ca="1" si="64"/>
        <v>1.3954500771974501</v>
      </c>
      <c r="L126" s="1">
        <f t="shared" ca="1" si="65"/>
        <v>25</v>
      </c>
      <c r="M126" s="1"/>
      <c r="N126" s="1">
        <f t="shared" ca="1" si="66"/>
        <v>787</v>
      </c>
      <c r="O126" s="1">
        <f t="shared" ca="1" si="67"/>
        <v>48</v>
      </c>
      <c r="P126" s="1"/>
      <c r="Q126" s="1">
        <f t="shared" ca="1" si="68"/>
        <v>3.7402203700233443</v>
      </c>
      <c r="R126" s="1">
        <f t="shared" ca="1" si="69"/>
        <v>333</v>
      </c>
      <c r="S126" s="1"/>
      <c r="T126" s="1">
        <f t="shared" ca="1" si="70"/>
        <v>0.17960176515624968</v>
      </c>
      <c r="U126" s="1">
        <f t="shared" ca="1" si="71"/>
        <v>191</v>
      </c>
      <c r="V126" s="1">
        <f t="shared" ca="1" si="72"/>
        <v>33</v>
      </c>
      <c r="W126" s="1"/>
      <c r="X126" s="1">
        <f t="shared" ca="1" si="73"/>
        <v>2.6063473259996162</v>
      </c>
      <c r="Y126" s="1">
        <f t="shared" ca="1" si="74"/>
        <v>0.57069257641476112</v>
      </c>
      <c r="Z126" s="1">
        <f t="shared" ca="1" si="75"/>
        <v>1625</v>
      </c>
      <c r="AB126" s="1">
        <f t="shared" ca="1" si="76"/>
        <v>0.7105161734136396</v>
      </c>
      <c r="AC126" s="1">
        <f t="shared" ca="1" si="77"/>
        <v>942</v>
      </c>
      <c r="AD126" s="1">
        <f t="shared" ca="1" si="78"/>
        <v>3.0429385586632409E-3</v>
      </c>
      <c r="AE126" s="1"/>
      <c r="AF126" s="1">
        <f t="shared" ca="1" si="79"/>
        <v>0.78291714680015667</v>
      </c>
      <c r="AG126" s="1">
        <f t="shared" ca="1" si="80"/>
        <v>943</v>
      </c>
      <c r="AH126" s="1">
        <f t="shared" ca="1" si="81"/>
        <v>4.5374399887571472E-3</v>
      </c>
      <c r="AJ126" s="1">
        <f t="shared" ca="1" si="82"/>
        <v>0.34537597153752753</v>
      </c>
      <c r="AK126" s="1">
        <f t="shared" ca="1" si="83"/>
        <v>1.0003969165794278E-3</v>
      </c>
      <c r="AL126" s="1"/>
      <c r="AM126" s="1">
        <f t="shared" ca="1" si="84"/>
        <v>0.13876362483983673</v>
      </c>
      <c r="AN126" s="1">
        <f t="shared" ca="1" si="85"/>
        <v>35</v>
      </c>
      <c r="AO126" s="1">
        <f t="shared" ca="1" si="86"/>
        <v>19</v>
      </c>
      <c r="AQ126" s="1">
        <f t="shared" ca="1" si="87"/>
        <v>78</v>
      </c>
      <c r="AR126" s="1">
        <f t="shared" ca="1" si="88"/>
        <v>9</v>
      </c>
      <c r="AS126" s="1">
        <f t="shared" ca="1" si="89"/>
        <v>91</v>
      </c>
      <c r="AU126" s="1">
        <f t="shared" ca="1" si="90"/>
        <v>137</v>
      </c>
      <c r="AV126" s="1">
        <f t="shared" ca="1" si="91"/>
        <v>6</v>
      </c>
      <c r="AW126" s="1">
        <f t="shared" ca="1" si="92"/>
        <v>0.1283181918457304</v>
      </c>
      <c r="AY126" s="1">
        <f t="shared" ca="1" si="93"/>
        <v>1.6311250041990175</v>
      </c>
      <c r="AZ126" s="1">
        <f t="shared" ca="1" si="94"/>
        <v>135</v>
      </c>
      <c r="BA126" s="1">
        <f t="shared" ca="1" si="95"/>
        <v>7.0661392484236132E-3</v>
      </c>
      <c r="BV126" s="1">
        <f t="shared" ca="1" si="96"/>
        <v>0.85972098876298952</v>
      </c>
      <c r="BW126" s="1">
        <f t="shared" ca="1" si="97"/>
        <v>252</v>
      </c>
      <c r="BX126" s="1">
        <f t="shared" ca="1" si="98"/>
        <v>8.3043134204239377E-3</v>
      </c>
      <c r="BY126" s="1">
        <f t="shared" ca="1" si="99"/>
        <v>8.8491564438023182E-3</v>
      </c>
      <c r="BZ126" s="1">
        <f t="shared" ca="1" si="100"/>
        <v>0.44555139535611044</v>
      </c>
      <c r="CB126" s="1">
        <f t="shared" ca="1" si="101"/>
        <v>495</v>
      </c>
      <c r="CC126" s="1">
        <f t="shared" ca="1" si="102"/>
        <v>9</v>
      </c>
      <c r="CD126" s="1">
        <f t="shared" ca="1" si="103"/>
        <v>0.12571405847168482</v>
      </c>
      <c r="CE126" s="1">
        <f t="shared" ca="1" si="113"/>
        <v>0.541003537937225</v>
      </c>
      <c r="CF126" s="1">
        <f t="shared" ca="1" si="113"/>
        <v>0.87378984613373367</v>
      </c>
      <c r="CH126" s="3">
        <f t="shared" ca="1" si="105"/>
        <v>0.70576340459485454</v>
      </c>
      <c r="CI126" s="3">
        <f t="shared" ca="1" si="106"/>
        <v>0.69345582282618801</v>
      </c>
      <c r="CJ126" s="3">
        <f t="shared" ca="1" si="107"/>
        <v>1450</v>
      </c>
      <c r="CK126" s="3">
        <f t="shared" ca="1" si="108"/>
        <v>5.0433594903036066E-3</v>
      </c>
      <c r="CL126" s="3">
        <f t="shared" ca="1" si="109"/>
        <v>1</v>
      </c>
      <c r="CM126" s="3"/>
      <c r="CN126" s="1">
        <f t="shared" ca="1" si="110"/>
        <v>16.842960145442184</v>
      </c>
      <c r="CO126" s="1">
        <f t="shared" ca="1" si="111"/>
        <v>0.28244809953150229</v>
      </c>
      <c r="CP126" s="1">
        <f t="shared" ca="1" si="112"/>
        <v>5</v>
      </c>
    </row>
    <row r="127" spans="2:94" x14ac:dyDescent="0.25">
      <c r="B127">
        <f t="shared" ca="1" si="57"/>
        <v>870</v>
      </c>
      <c r="C127">
        <f t="shared" ca="1" si="58"/>
        <v>4</v>
      </c>
      <c r="D127">
        <f t="shared" ca="1" si="59"/>
        <v>1.7653020652070368E-2</v>
      </c>
      <c r="F127" s="1">
        <f t="shared" ca="1" si="60"/>
        <v>35</v>
      </c>
      <c r="G127" s="1">
        <f t="shared" ca="1" si="61"/>
        <v>17</v>
      </c>
      <c r="H127" s="1">
        <f t="shared" ca="1" si="62"/>
        <v>11</v>
      </c>
      <c r="I127" s="1"/>
      <c r="J127" s="1">
        <f t="shared" ca="1" si="63"/>
        <v>14</v>
      </c>
      <c r="K127" s="1">
        <f t="shared" ca="1" si="64"/>
        <v>1.9475760469069716</v>
      </c>
      <c r="L127" s="1">
        <f t="shared" ca="1" si="65"/>
        <v>27</v>
      </c>
      <c r="M127" s="1"/>
      <c r="N127" s="1">
        <f t="shared" ca="1" si="66"/>
        <v>982</v>
      </c>
      <c r="O127" s="1">
        <f t="shared" ca="1" si="67"/>
        <v>10</v>
      </c>
      <c r="P127" s="1"/>
      <c r="Q127" s="1">
        <f t="shared" ca="1" si="68"/>
        <v>2.064308915510106</v>
      </c>
      <c r="R127" s="1">
        <f t="shared" ca="1" si="69"/>
        <v>714</v>
      </c>
      <c r="S127" s="1"/>
      <c r="T127" s="1">
        <f t="shared" ca="1" si="70"/>
        <v>0.19656349586622035</v>
      </c>
      <c r="U127" s="1">
        <f t="shared" ca="1" si="71"/>
        <v>227</v>
      </c>
      <c r="V127" s="1">
        <f t="shared" ca="1" si="72"/>
        <v>4</v>
      </c>
      <c r="W127" s="1"/>
      <c r="X127" s="1">
        <f t="shared" ca="1" si="73"/>
        <v>9.8052110973119664</v>
      </c>
      <c r="Y127" s="1">
        <f t="shared" ca="1" si="74"/>
        <v>0.61352502769542583</v>
      </c>
      <c r="Z127" s="1">
        <f t="shared" ca="1" si="75"/>
        <v>287</v>
      </c>
      <c r="AB127" s="1">
        <f t="shared" ca="1" si="76"/>
        <v>0.50972448886908672</v>
      </c>
      <c r="AC127" s="1">
        <f t="shared" ca="1" si="77"/>
        <v>701</v>
      </c>
      <c r="AD127" s="1">
        <f t="shared" ca="1" si="78"/>
        <v>6.6260701216714858E-3</v>
      </c>
      <c r="AE127" s="1"/>
      <c r="AF127" s="1">
        <f t="shared" ca="1" si="79"/>
        <v>0.60898079024582263</v>
      </c>
      <c r="AG127" s="1">
        <f t="shared" ca="1" si="80"/>
        <v>758</v>
      </c>
      <c r="AH127" s="1">
        <f t="shared" ca="1" si="81"/>
        <v>4.6060262359449902E-3</v>
      </c>
      <c r="AJ127" s="1">
        <f t="shared" ca="1" si="82"/>
        <v>0.89438130793448578</v>
      </c>
      <c r="AK127" s="1">
        <f t="shared" ca="1" si="83"/>
        <v>3.9670065750188237E-3</v>
      </c>
      <c r="AL127" s="1"/>
      <c r="AM127" s="1">
        <f t="shared" ca="1" si="84"/>
        <v>0.107370807930358</v>
      </c>
      <c r="AN127" s="1">
        <f t="shared" ca="1" si="85"/>
        <v>29</v>
      </c>
      <c r="AO127" s="1">
        <f t="shared" ca="1" si="86"/>
        <v>2</v>
      </c>
      <c r="AQ127" s="1">
        <f t="shared" ca="1" si="87"/>
        <v>74</v>
      </c>
      <c r="AR127" s="1">
        <f t="shared" ca="1" si="88"/>
        <v>8</v>
      </c>
      <c r="AS127" s="1">
        <f t="shared" ca="1" si="89"/>
        <v>6</v>
      </c>
      <c r="AU127" s="1">
        <f t="shared" ca="1" si="90"/>
        <v>50</v>
      </c>
      <c r="AV127" s="1">
        <f t="shared" ca="1" si="91"/>
        <v>5</v>
      </c>
      <c r="AW127" s="1">
        <f t="shared" ca="1" si="92"/>
        <v>0.14400775534750287</v>
      </c>
      <c r="AY127" s="1">
        <f t="shared" ca="1" si="93"/>
        <v>1.7304044530533487</v>
      </c>
      <c r="AZ127" s="1">
        <f t="shared" ca="1" si="94"/>
        <v>188</v>
      </c>
      <c r="BA127" s="1">
        <f t="shared" ca="1" si="95"/>
        <v>1.7227027879582455E-3</v>
      </c>
      <c r="BV127" s="1">
        <f t="shared" ca="1" si="96"/>
        <v>0.50494179749304502</v>
      </c>
      <c r="BW127" s="1">
        <f t="shared" ca="1" si="97"/>
        <v>509</v>
      </c>
      <c r="BX127" s="1">
        <f t="shared" ca="1" si="98"/>
        <v>7.4541310312617745E-3</v>
      </c>
      <c r="BY127" s="1">
        <f t="shared" ca="1" si="99"/>
        <v>5.4648088229071183E-2</v>
      </c>
      <c r="BZ127" s="1">
        <f t="shared" ca="1" si="100"/>
        <v>0.65929338773406854</v>
      </c>
      <c r="CB127" s="1">
        <f t="shared" ca="1" si="101"/>
        <v>407</v>
      </c>
      <c r="CC127" s="1">
        <f t="shared" ca="1" si="102"/>
        <v>11</v>
      </c>
      <c r="CD127" s="1">
        <f t="shared" ca="1" si="103"/>
        <v>0.17636420260909882</v>
      </c>
      <c r="CE127" s="1">
        <f t="shared" ca="1" si="113"/>
        <v>0.96753725220699671</v>
      </c>
      <c r="CF127" s="1">
        <f t="shared" ca="1" si="113"/>
        <v>0.90165966422792754</v>
      </c>
      <c r="CH127" s="3">
        <f t="shared" ca="1" si="105"/>
        <v>5.883371792439078E-2</v>
      </c>
      <c r="CI127" s="3">
        <f t="shared" ca="1" si="106"/>
        <v>4.4743384183988266E-2</v>
      </c>
      <c r="CJ127" s="3">
        <f t="shared" ca="1" si="107"/>
        <v>650</v>
      </c>
      <c r="CK127" s="3">
        <f t="shared" ca="1" si="108"/>
        <v>3.9784496934275023E-3</v>
      </c>
      <c r="CL127" s="3">
        <f t="shared" ca="1" si="109"/>
        <v>0</v>
      </c>
      <c r="CM127" s="3"/>
      <c r="CN127" s="1">
        <f t="shared" ca="1" si="110"/>
        <v>13.698977771788821</v>
      </c>
      <c r="CO127" s="1">
        <f t="shared" ca="1" si="111"/>
        <v>2.8847062752918075E-2</v>
      </c>
      <c r="CP127" s="1">
        <f t="shared" ca="1" si="112"/>
        <v>1</v>
      </c>
    </row>
    <row r="128" spans="2:94" x14ac:dyDescent="0.25">
      <c r="B128">
        <f t="shared" ca="1" si="57"/>
        <v>738</v>
      </c>
      <c r="C128">
        <f t="shared" ca="1" si="58"/>
        <v>43</v>
      </c>
      <c r="D128">
        <f t="shared" ca="1" si="59"/>
        <v>0.13066394740703544</v>
      </c>
      <c r="F128" s="1">
        <f t="shared" ca="1" si="60"/>
        <v>42</v>
      </c>
      <c r="G128" s="1">
        <f t="shared" ca="1" si="61"/>
        <v>5</v>
      </c>
      <c r="H128" s="1">
        <f t="shared" ca="1" si="62"/>
        <v>12</v>
      </c>
      <c r="I128" s="1"/>
      <c r="J128" s="1">
        <f t="shared" ca="1" si="63"/>
        <v>24</v>
      </c>
      <c r="K128" s="1">
        <f t="shared" ca="1" si="64"/>
        <v>2.0021743882043816</v>
      </c>
      <c r="L128" s="1">
        <f t="shared" ca="1" si="65"/>
        <v>23</v>
      </c>
      <c r="M128" s="1"/>
      <c r="N128" s="1">
        <f t="shared" ca="1" si="66"/>
        <v>190</v>
      </c>
      <c r="O128" s="1">
        <f t="shared" ca="1" si="67"/>
        <v>39</v>
      </c>
      <c r="P128" s="1"/>
      <c r="Q128" s="1">
        <f t="shared" ca="1" si="68"/>
        <v>3.5043271201325719</v>
      </c>
      <c r="R128" s="1">
        <f t="shared" ca="1" si="69"/>
        <v>699</v>
      </c>
      <c r="S128" s="1"/>
      <c r="T128" s="1">
        <f t="shared" ca="1" si="70"/>
        <v>0.16122640938438776</v>
      </c>
      <c r="U128" s="1">
        <f t="shared" ca="1" si="71"/>
        <v>236</v>
      </c>
      <c r="V128" s="1">
        <f t="shared" ca="1" si="72"/>
        <v>21</v>
      </c>
      <c r="W128" s="1"/>
      <c r="X128" s="1">
        <f t="shared" ca="1" si="73"/>
        <v>2.5356755428393813</v>
      </c>
      <c r="Y128" s="1">
        <f t="shared" ca="1" si="74"/>
        <v>0.37931868004829633</v>
      </c>
      <c r="Z128" s="1">
        <f t="shared" ca="1" si="75"/>
        <v>955</v>
      </c>
      <c r="AB128" s="1">
        <f t="shared" ca="1" si="76"/>
        <v>0.49149906995574716</v>
      </c>
      <c r="AC128" s="1">
        <f t="shared" ca="1" si="77"/>
        <v>237</v>
      </c>
      <c r="AD128" s="1">
        <f t="shared" ca="1" si="78"/>
        <v>7.5837131765607866E-3</v>
      </c>
      <c r="AE128" s="1"/>
      <c r="AF128" s="1">
        <f t="shared" ca="1" si="79"/>
        <v>0.36029693971217835</v>
      </c>
      <c r="AG128" s="1">
        <f t="shared" ca="1" si="80"/>
        <v>322</v>
      </c>
      <c r="AH128" s="1">
        <f t="shared" ca="1" si="81"/>
        <v>8.8663728518803882E-3</v>
      </c>
      <c r="AJ128" s="1">
        <f t="shared" ca="1" si="82"/>
        <v>0.99910307574931612</v>
      </c>
      <c r="AK128" s="1">
        <f t="shared" ca="1" si="83"/>
        <v>8.9205889399381691E-3</v>
      </c>
      <c r="AL128" s="1"/>
      <c r="AM128" s="1">
        <f t="shared" ca="1" si="84"/>
        <v>1.7072426890926414E-2</v>
      </c>
      <c r="AN128" s="1">
        <f t="shared" ca="1" si="85"/>
        <v>72</v>
      </c>
      <c r="AO128" s="1">
        <f t="shared" ca="1" si="86"/>
        <v>11</v>
      </c>
      <c r="AQ128" s="1">
        <f t="shared" ca="1" si="87"/>
        <v>183</v>
      </c>
      <c r="AR128" s="1">
        <f t="shared" ca="1" si="88"/>
        <v>0</v>
      </c>
      <c r="AS128" s="1">
        <f t="shared" ca="1" si="89"/>
        <v>4</v>
      </c>
      <c r="AU128" s="1">
        <f t="shared" ca="1" si="90"/>
        <v>83</v>
      </c>
      <c r="AV128" s="1">
        <f t="shared" ca="1" si="91"/>
        <v>3</v>
      </c>
      <c r="AW128" s="1">
        <f t="shared" ca="1" si="92"/>
        <v>6.8820877615063961E-2</v>
      </c>
      <c r="AY128" s="1">
        <f t="shared" ca="1" si="93"/>
        <v>1.4592654243863257</v>
      </c>
      <c r="AZ128" s="1">
        <f t="shared" ca="1" si="94"/>
        <v>435</v>
      </c>
      <c r="BA128" s="1">
        <f t="shared" ca="1" si="95"/>
        <v>9.1694598815042754E-3</v>
      </c>
      <c r="BV128" s="1">
        <f t="shared" ca="1" si="96"/>
        <v>0.73129007089082199</v>
      </c>
      <c r="BW128" s="1">
        <f t="shared" ca="1" si="97"/>
        <v>233</v>
      </c>
      <c r="BX128" s="1">
        <f t="shared" ca="1" si="98"/>
        <v>4.8701985145853527E-3</v>
      </c>
      <c r="BY128" s="1">
        <f t="shared" ca="1" si="99"/>
        <v>7.0114693846010046E-2</v>
      </c>
      <c r="BZ128" s="1">
        <f t="shared" ca="1" si="100"/>
        <v>0.20149624667981414</v>
      </c>
      <c r="CB128" s="1">
        <f t="shared" ca="1" si="101"/>
        <v>136</v>
      </c>
      <c r="CC128" s="1">
        <f t="shared" ca="1" si="102"/>
        <v>7</v>
      </c>
      <c r="CD128" s="1">
        <f t="shared" ca="1" si="103"/>
        <v>6.0255928689590184E-2</v>
      </c>
      <c r="CE128" s="1">
        <f t="shared" ca="1" si="113"/>
        <v>0.84425256087376255</v>
      </c>
      <c r="CF128" s="1">
        <f t="shared" ca="1" si="113"/>
        <v>0.897579699379629</v>
      </c>
      <c r="CH128" s="3">
        <f t="shared" ca="1" si="105"/>
        <v>0.23626574917159734</v>
      </c>
      <c r="CI128" s="3">
        <f t="shared" ca="1" si="106"/>
        <v>0.87600266098873403</v>
      </c>
      <c r="CJ128" s="3">
        <f t="shared" ca="1" si="107"/>
        <v>460</v>
      </c>
      <c r="CK128" s="3">
        <f t="shared" ca="1" si="108"/>
        <v>7.9686767250260193E-3</v>
      </c>
      <c r="CL128" s="3">
        <f t="shared" ca="1" si="109"/>
        <v>0</v>
      </c>
      <c r="CM128" s="3"/>
      <c r="CN128" s="1">
        <f t="shared" ca="1" si="110"/>
        <v>18.161158233017172</v>
      </c>
      <c r="CO128" s="1">
        <f t="shared" ca="1" si="111"/>
        <v>0.1554832919396506</v>
      </c>
      <c r="CP128" s="1">
        <f t="shared" ca="1" si="112"/>
        <v>3</v>
      </c>
    </row>
    <row r="129" spans="2:94" x14ac:dyDescent="0.25">
      <c r="B129">
        <f t="shared" ca="1" si="57"/>
        <v>250</v>
      </c>
      <c r="C129">
        <f t="shared" ca="1" si="58"/>
        <v>2</v>
      </c>
      <c r="D129">
        <f t="shared" ca="1" si="59"/>
        <v>0.17431005906935132</v>
      </c>
      <c r="F129" s="1">
        <f t="shared" ca="1" si="60"/>
        <v>3</v>
      </c>
      <c r="G129" s="1">
        <f t="shared" ca="1" si="61"/>
        <v>28</v>
      </c>
      <c r="H129" s="1">
        <f t="shared" ca="1" si="62"/>
        <v>5</v>
      </c>
      <c r="I129" s="1"/>
      <c r="J129" s="1">
        <f t="shared" ca="1" si="63"/>
        <v>27</v>
      </c>
      <c r="K129" s="1">
        <f t="shared" ca="1" si="64"/>
        <v>1.9670517372045146</v>
      </c>
      <c r="L129" s="1">
        <f t="shared" ca="1" si="65"/>
        <v>34</v>
      </c>
      <c r="M129" s="1"/>
      <c r="N129" s="1">
        <f t="shared" ca="1" si="66"/>
        <v>182</v>
      </c>
      <c r="O129" s="1">
        <f t="shared" ca="1" si="67"/>
        <v>11</v>
      </c>
      <c r="P129" s="1"/>
      <c r="Q129" s="1">
        <f t="shared" ca="1" si="68"/>
        <v>2.114802336184217</v>
      </c>
      <c r="R129" s="1">
        <f t="shared" ca="1" si="69"/>
        <v>720</v>
      </c>
      <c r="S129" s="1"/>
      <c r="T129" s="1">
        <f t="shared" ca="1" si="70"/>
        <v>0.14853725666690223</v>
      </c>
      <c r="U129" s="1">
        <f t="shared" ca="1" si="71"/>
        <v>410</v>
      </c>
      <c r="V129" s="1">
        <f t="shared" ca="1" si="72"/>
        <v>15</v>
      </c>
      <c r="W129" s="1"/>
      <c r="X129" s="1">
        <f t="shared" ca="1" si="73"/>
        <v>3.6718833867778646</v>
      </c>
      <c r="Y129" s="1">
        <f t="shared" ca="1" si="74"/>
        <v>0.42082679148914409</v>
      </c>
      <c r="Z129" s="1">
        <f t="shared" ca="1" si="75"/>
        <v>350</v>
      </c>
      <c r="AB129" s="1">
        <f t="shared" ca="1" si="76"/>
        <v>0.61060628079085977</v>
      </c>
      <c r="AC129" s="1">
        <f t="shared" ca="1" si="77"/>
        <v>225</v>
      </c>
      <c r="AD129" s="1">
        <f t="shared" ca="1" si="78"/>
        <v>6.665173112694457E-4</v>
      </c>
      <c r="AE129" s="1"/>
      <c r="AF129" s="1">
        <f t="shared" ca="1" si="79"/>
        <v>0.3582401593413419</v>
      </c>
      <c r="AG129" s="1">
        <f t="shared" ca="1" si="80"/>
        <v>392</v>
      </c>
      <c r="AH129" s="1">
        <f t="shared" ca="1" si="81"/>
        <v>5.8348430411359854E-3</v>
      </c>
      <c r="AJ129" s="1">
        <f t="shared" ca="1" si="82"/>
        <v>0.93817892087136723</v>
      </c>
      <c r="AK129" s="1">
        <f t="shared" ca="1" si="83"/>
        <v>8.0173645859089107E-3</v>
      </c>
      <c r="AL129" s="1"/>
      <c r="AM129" s="1">
        <f t="shared" ca="1" si="84"/>
        <v>4.9475366111741213E-2</v>
      </c>
      <c r="AN129" s="1">
        <f t="shared" ca="1" si="85"/>
        <v>38</v>
      </c>
      <c r="AO129" s="1">
        <f t="shared" ca="1" si="86"/>
        <v>-1</v>
      </c>
      <c r="AQ129" s="1">
        <f t="shared" ca="1" si="87"/>
        <v>170</v>
      </c>
      <c r="AR129" s="1">
        <f t="shared" ca="1" si="88"/>
        <v>7</v>
      </c>
      <c r="AS129" s="1">
        <f t="shared" ca="1" si="89"/>
        <v>23</v>
      </c>
      <c r="AU129" s="1">
        <f t="shared" ca="1" si="90"/>
        <v>219</v>
      </c>
      <c r="AV129" s="1">
        <f t="shared" ca="1" si="91"/>
        <v>10</v>
      </c>
      <c r="AW129" s="1">
        <f t="shared" ca="1" si="92"/>
        <v>0.13554567149271743</v>
      </c>
      <c r="AY129" s="1">
        <f t="shared" ca="1" si="93"/>
        <v>1.2460796747247367</v>
      </c>
      <c r="AZ129" s="1">
        <f t="shared" ca="1" si="94"/>
        <v>444</v>
      </c>
      <c r="BA129" s="1">
        <f t="shared" ca="1" si="95"/>
        <v>4.8411325002404469E-3</v>
      </c>
      <c r="BV129" s="1">
        <f t="shared" ca="1" si="96"/>
        <v>8.3516501073944885E-2</v>
      </c>
      <c r="BW129" s="1">
        <f t="shared" ca="1" si="97"/>
        <v>160</v>
      </c>
      <c r="BX129" s="1">
        <f t="shared" ca="1" si="98"/>
        <v>4.2263965094245428E-3</v>
      </c>
      <c r="BY129" s="1">
        <f t="shared" ca="1" si="99"/>
        <v>2.9937674153814892E-2</v>
      </c>
      <c r="BZ129" s="1">
        <f t="shared" ca="1" si="100"/>
        <v>0.22943387671296411</v>
      </c>
      <c r="CB129" s="1">
        <f t="shared" ca="1" si="101"/>
        <v>490</v>
      </c>
      <c r="CC129" s="1">
        <f t="shared" ca="1" si="102"/>
        <v>9</v>
      </c>
      <c r="CD129" s="1">
        <f t="shared" ca="1" si="103"/>
        <v>0.27327969395607238</v>
      </c>
      <c r="CE129" s="1">
        <f t="shared" ca="1" si="113"/>
        <v>0.80869641761829247</v>
      </c>
      <c r="CF129" s="1">
        <f t="shared" ca="1" si="113"/>
        <v>0.59234083088772549</v>
      </c>
      <c r="CH129" s="3">
        <f t="shared" ca="1" si="105"/>
        <v>0.72698055180434751</v>
      </c>
      <c r="CI129" s="3">
        <f t="shared" ca="1" si="106"/>
        <v>0.47333055283112596</v>
      </c>
      <c r="CJ129" s="3">
        <f t="shared" ca="1" si="107"/>
        <v>473</v>
      </c>
      <c r="CK129" s="3">
        <f t="shared" ca="1" si="108"/>
        <v>5.9297657072319796E-3</v>
      </c>
      <c r="CL129" s="3">
        <f t="shared" ca="1" si="109"/>
        <v>1</v>
      </c>
      <c r="CM129" s="3"/>
      <c r="CN129" s="1">
        <f t="shared" ca="1" si="110"/>
        <v>19.631776427159714</v>
      </c>
      <c r="CO129" s="1">
        <f t="shared" ca="1" si="111"/>
        <v>5.5375311027707305E-2</v>
      </c>
      <c r="CP129" s="1">
        <f t="shared" ca="1" si="112"/>
        <v>3</v>
      </c>
    </row>
    <row r="130" spans="2:94" x14ac:dyDescent="0.25">
      <c r="B130">
        <f t="shared" ca="1" si="57"/>
        <v>203</v>
      </c>
      <c r="C130">
        <f t="shared" ca="1" si="58"/>
        <v>8</v>
      </c>
      <c r="D130">
        <f t="shared" ca="1" si="59"/>
        <v>0.24398824991733545</v>
      </c>
      <c r="F130" s="1">
        <f t="shared" ca="1" si="60"/>
        <v>33</v>
      </c>
      <c r="G130" s="1">
        <f t="shared" ca="1" si="61"/>
        <v>11</v>
      </c>
      <c r="H130" s="1">
        <f t="shared" ca="1" si="62"/>
        <v>3</v>
      </c>
      <c r="I130" s="1"/>
      <c r="J130" s="1">
        <f t="shared" ca="1" si="63"/>
        <v>17</v>
      </c>
      <c r="K130" s="1">
        <f t="shared" ca="1" si="64"/>
        <v>2.7460005947029833</v>
      </c>
      <c r="L130" s="1">
        <f t="shared" ca="1" si="65"/>
        <v>35</v>
      </c>
      <c r="M130" s="1"/>
      <c r="N130" s="1">
        <f t="shared" ca="1" si="66"/>
        <v>810</v>
      </c>
      <c r="O130" s="1">
        <f t="shared" ca="1" si="67"/>
        <v>29</v>
      </c>
      <c r="P130" s="1"/>
      <c r="Q130" s="1">
        <f t="shared" ca="1" si="68"/>
        <v>3.858271715411743</v>
      </c>
      <c r="R130" s="1">
        <f t="shared" ca="1" si="69"/>
        <v>1024</v>
      </c>
      <c r="S130" s="1"/>
      <c r="T130" s="1">
        <f t="shared" ca="1" si="70"/>
        <v>0.19666964569180032</v>
      </c>
      <c r="U130" s="1">
        <f t="shared" ca="1" si="71"/>
        <v>122</v>
      </c>
      <c r="V130" s="1">
        <f t="shared" ca="1" si="72"/>
        <v>24</v>
      </c>
      <c r="W130" s="1"/>
      <c r="X130" s="1">
        <f t="shared" ca="1" si="73"/>
        <v>2.3990674037122495</v>
      </c>
      <c r="Y130" s="1">
        <f t="shared" ca="1" si="74"/>
        <v>0.55745539560063606</v>
      </c>
      <c r="Z130" s="1">
        <f t="shared" ca="1" si="75"/>
        <v>216</v>
      </c>
      <c r="AB130" s="1">
        <f t="shared" ca="1" si="76"/>
        <v>0.96332363298699275</v>
      </c>
      <c r="AC130" s="1">
        <f t="shared" ca="1" si="77"/>
        <v>342</v>
      </c>
      <c r="AD130" s="1">
        <f t="shared" ca="1" si="78"/>
        <v>6.2258776712640048E-3</v>
      </c>
      <c r="AE130" s="1"/>
      <c r="AF130" s="1">
        <f t="shared" ca="1" si="79"/>
        <v>0.2351706558965006</v>
      </c>
      <c r="AG130" s="1">
        <f t="shared" ca="1" si="80"/>
        <v>343</v>
      </c>
      <c r="AH130" s="1">
        <f t="shared" ca="1" si="81"/>
        <v>5.0803894609964427E-3</v>
      </c>
      <c r="AJ130" s="1">
        <f t="shared" ca="1" si="82"/>
        <v>0.82856084599944524</v>
      </c>
      <c r="AK130" s="1">
        <f t="shared" ca="1" si="83"/>
        <v>7.0622472360128341E-3</v>
      </c>
      <c r="AL130" s="1"/>
      <c r="AM130" s="1">
        <f t="shared" ca="1" si="84"/>
        <v>0.18753359168512265</v>
      </c>
      <c r="AN130" s="1">
        <f t="shared" ca="1" si="85"/>
        <v>23</v>
      </c>
      <c r="AO130" s="1">
        <f t="shared" ca="1" si="86"/>
        <v>14</v>
      </c>
      <c r="AQ130" s="1">
        <f t="shared" ca="1" si="87"/>
        <v>37</v>
      </c>
      <c r="AR130" s="1">
        <f t="shared" ca="1" si="88"/>
        <v>0</v>
      </c>
      <c r="AS130" s="1">
        <f t="shared" ca="1" si="89"/>
        <v>15</v>
      </c>
      <c r="AU130" s="1">
        <f t="shared" ca="1" si="90"/>
        <v>114</v>
      </c>
      <c r="AV130" s="1">
        <f t="shared" ca="1" si="91"/>
        <v>5</v>
      </c>
      <c r="AW130" s="1">
        <f t="shared" ca="1" si="92"/>
        <v>0.12240168728821026</v>
      </c>
      <c r="AY130" s="1">
        <f t="shared" ca="1" si="93"/>
        <v>1.6745288767270508</v>
      </c>
      <c r="AZ130" s="1">
        <f t="shared" ca="1" si="94"/>
        <v>133</v>
      </c>
      <c r="BA130" s="1">
        <f t="shared" ca="1" si="95"/>
        <v>6.1300120222028106E-3</v>
      </c>
      <c r="BV130" s="1">
        <f t="shared" ca="1" si="96"/>
        <v>0.75794657737371618</v>
      </c>
      <c r="BW130" s="1">
        <f t="shared" ca="1" si="97"/>
        <v>199</v>
      </c>
      <c r="BX130" s="1">
        <f t="shared" ca="1" si="98"/>
        <v>3.6960252459912542E-3</v>
      </c>
      <c r="BY130" s="1">
        <f t="shared" ca="1" si="99"/>
        <v>2.9598438382044394E-2</v>
      </c>
      <c r="BZ130" s="1">
        <f t="shared" ca="1" si="100"/>
        <v>0.30802657815127121</v>
      </c>
      <c r="CB130" s="1">
        <f t="shared" ca="1" si="101"/>
        <v>254</v>
      </c>
      <c r="CC130" s="1">
        <f t="shared" ca="1" si="102"/>
        <v>15</v>
      </c>
      <c r="CD130" s="1">
        <f t="shared" ca="1" si="103"/>
        <v>0.13957942969757769</v>
      </c>
      <c r="CE130" s="1">
        <f t="shared" ca="1" si="113"/>
        <v>0.6527521375721701</v>
      </c>
      <c r="CF130" s="1">
        <f t="shared" ca="1" si="113"/>
        <v>0.99593120002341573</v>
      </c>
      <c r="CH130" s="3">
        <f t="shared" ca="1" si="105"/>
        <v>4.4411289535061141E-2</v>
      </c>
      <c r="CI130" s="3">
        <f t="shared" ca="1" si="106"/>
        <v>0.27195526302494127</v>
      </c>
      <c r="CJ130" s="3">
        <f t="shared" ca="1" si="107"/>
        <v>1643</v>
      </c>
      <c r="CK130" s="3">
        <f t="shared" ca="1" si="108"/>
        <v>5.8015717465121569E-3</v>
      </c>
      <c r="CL130" s="3">
        <f t="shared" ca="1" si="109"/>
        <v>0</v>
      </c>
      <c r="CM130" s="3"/>
      <c r="CN130" s="1">
        <f t="shared" ca="1" si="110"/>
        <v>2.4382805454712773</v>
      </c>
      <c r="CO130" s="1">
        <f t="shared" ca="1" si="111"/>
        <v>0.45247587220104357</v>
      </c>
      <c r="CP130" s="1">
        <f t="shared" ca="1" si="112"/>
        <v>3</v>
      </c>
    </row>
    <row r="131" spans="2:94" x14ac:dyDescent="0.25">
      <c r="B131">
        <f t="shared" ca="1" si="57"/>
        <v>536</v>
      </c>
      <c r="C131">
        <f t="shared" ca="1" si="58"/>
        <v>47</v>
      </c>
      <c r="D131">
        <f t="shared" ca="1" si="59"/>
        <v>5.9326027621240507E-2</v>
      </c>
      <c r="F131" s="1">
        <f t="shared" ca="1" si="60"/>
        <v>33</v>
      </c>
      <c r="G131" s="1">
        <f t="shared" ca="1" si="61"/>
        <v>3</v>
      </c>
      <c r="H131" s="1">
        <f t="shared" ca="1" si="62"/>
        <v>13</v>
      </c>
      <c r="I131" s="1"/>
      <c r="J131" s="1">
        <f t="shared" ca="1" si="63"/>
        <v>23</v>
      </c>
      <c r="K131" s="1">
        <f t="shared" ca="1" si="64"/>
        <v>2.3439916600183341</v>
      </c>
      <c r="L131" s="1">
        <f t="shared" ca="1" si="65"/>
        <v>24</v>
      </c>
      <c r="M131" s="1"/>
      <c r="N131" s="1">
        <f t="shared" ca="1" si="66"/>
        <v>961</v>
      </c>
      <c r="O131" s="1">
        <f t="shared" ca="1" si="67"/>
        <v>20</v>
      </c>
      <c r="P131" s="1"/>
      <c r="Q131" s="1">
        <f t="shared" ca="1" si="68"/>
        <v>2.0591959037454646</v>
      </c>
      <c r="R131" s="1">
        <f t="shared" ca="1" si="69"/>
        <v>844</v>
      </c>
      <c r="S131" s="1"/>
      <c r="T131" s="1">
        <f t="shared" ca="1" si="70"/>
        <v>0.17116783396698104</v>
      </c>
      <c r="U131" s="1">
        <f t="shared" ca="1" si="71"/>
        <v>227</v>
      </c>
      <c r="V131" s="1">
        <f t="shared" ca="1" si="72"/>
        <v>49</v>
      </c>
      <c r="W131" s="1"/>
      <c r="X131" s="1">
        <f t="shared" ca="1" si="73"/>
        <v>0.17915072090582868</v>
      </c>
      <c r="Y131" s="1">
        <f t="shared" ca="1" si="74"/>
        <v>0.28346475295369189</v>
      </c>
      <c r="Z131" s="1">
        <f t="shared" ca="1" si="75"/>
        <v>1244</v>
      </c>
      <c r="AB131" s="1">
        <f t="shared" ca="1" si="76"/>
        <v>0.97106340845127748</v>
      </c>
      <c r="AC131" s="1">
        <f t="shared" ca="1" si="77"/>
        <v>533</v>
      </c>
      <c r="AD131" s="1">
        <f t="shared" ca="1" si="78"/>
        <v>1.5409505021139528E-3</v>
      </c>
      <c r="AE131" s="1"/>
      <c r="AF131" s="1">
        <f t="shared" ca="1" si="79"/>
        <v>0.78424049772134719</v>
      </c>
      <c r="AG131" s="1">
        <f t="shared" ca="1" si="80"/>
        <v>846</v>
      </c>
      <c r="AH131" s="1">
        <f t="shared" ca="1" si="81"/>
        <v>2.9586117450623299E-3</v>
      </c>
      <c r="AJ131" s="1">
        <f t="shared" ca="1" si="82"/>
        <v>0.2551357914263801</v>
      </c>
      <c r="AK131" s="1">
        <f t="shared" ca="1" si="83"/>
        <v>4.9022503223545193E-3</v>
      </c>
      <c r="AL131" s="1"/>
      <c r="AM131" s="1">
        <f t="shared" ca="1" si="84"/>
        <v>6.5073711598596762E-2</v>
      </c>
      <c r="AN131" s="1">
        <f t="shared" ca="1" si="85"/>
        <v>19</v>
      </c>
      <c r="AO131" s="1">
        <f t="shared" ca="1" si="86"/>
        <v>12</v>
      </c>
      <c r="AQ131" s="1">
        <f t="shared" ca="1" si="87"/>
        <v>45</v>
      </c>
      <c r="AR131" s="1">
        <f t="shared" ca="1" si="88"/>
        <v>10</v>
      </c>
      <c r="AS131" s="1">
        <f t="shared" ca="1" si="89"/>
        <v>4</v>
      </c>
      <c r="AU131" s="1">
        <f t="shared" ca="1" si="90"/>
        <v>229</v>
      </c>
      <c r="AV131" s="1">
        <f t="shared" ca="1" si="91"/>
        <v>10</v>
      </c>
      <c r="AW131" s="1">
        <f t="shared" ca="1" si="92"/>
        <v>0.16168987602547025</v>
      </c>
      <c r="AY131" s="1">
        <f t="shared" ca="1" si="93"/>
        <v>1.6145782809921185</v>
      </c>
      <c r="AZ131" s="1">
        <f t="shared" ca="1" si="94"/>
        <v>242</v>
      </c>
      <c r="BA131" s="1">
        <f t="shared" ca="1" si="95"/>
        <v>4.7826402805481216E-4</v>
      </c>
      <c r="BV131" s="1">
        <f t="shared" ca="1" si="96"/>
        <v>0.18591003997836719</v>
      </c>
      <c r="BW131" s="1">
        <f t="shared" ca="1" si="97"/>
        <v>923</v>
      </c>
      <c r="BX131" s="1">
        <f t="shared" ca="1" si="98"/>
        <v>2.6035304604469286E-3</v>
      </c>
      <c r="BY131" s="1">
        <f t="shared" ca="1" si="99"/>
        <v>9.2327008848179529E-2</v>
      </c>
      <c r="BZ131" s="1">
        <f t="shared" ca="1" si="100"/>
        <v>0.31408724815400668</v>
      </c>
      <c r="CB131" s="1">
        <f t="shared" ca="1" si="101"/>
        <v>383</v>
      </c>
      <c r="CC131" s="1">
        <f t="shared" ca="1" si="102"/>
        <v>8</v>
      </c>
      <c r="CD131" s="1">
        <f t="shared" ca="1" si="103"/>
        <v>0.15184571165391175</v>
      </c>
      <c r="CE131" s="1">
        <f t="shared" ca="1" si="113"/>
        <v>0.74838453117808146</v>
      </c>
      <c r="CF131" s="1">
        <f t="shared" ca="1" si="113"/>
        <v>0.87381040817083577</v>
      </c>
      <c r="CH131" s="3">
        <f t="shared" ca="1" si="105"/>
        <v>0.60249415150517505</v>
      </c>
      <c r="CI131" s="3">
        <f t="shared" ca="1" si="106"/>
        <v>2.8333195429121626E-2</v>
      </c>
      <c r="CJ131" s="3">
        <f t="shared" ca="1" si="107"/>
        <v>1295</v>
      </c>
      <c r="CK131" s="3">
        <f t="shared" ca="1" si="108"/>
        <v>4.3466183912077424E-3</v>
      </c>
      <c r="CL131" s="3">
        <f t="shared" ca="1" si="109"/>
        <v>0</v>
      </c>
      <c r="CM131" s="3"/>
      <c r="CN131" s="1">
        <f t="shared" ca="1" si="110"/>
        <v>11.922066749902759</v>
      </c>
      <c r="CO131" s="1">
        <f t="shared" ca="1" si="111"/>
        <v>2.2913342168661921E-2</v>
      </c>
      <c r="CP131" s="1">
        <f t="shared" ca="1" si="112"/>
        <v>5</v>
      </c>
    </row>
    <row r="132" spans="2:94" x14ac:dyDescent="0.25">
      <c r="B132">
        <f t="shared" ref="B132:B195" ca="1" si="114">RANDBETWEEN(15,1000)</f>
        <v>979</v>
      </c>
      <c r="C132">
        <f t="shared" ref="C132:C195" ca="1" si="115">RANDBETWEEN(2,52)</f>
        <v>25</v>
      </c>
      <c r="D132">
        <f t="shared" ref="D132:D195" ca="1" si="116">RAND()*(0.3-0.01)+0.01</f>
        <v>0.10973551853199448</v>
      </c>
      <c r="F132" s="1">
        <f t="shared" ref="F132:F195" ca="1" si="117">RANDBETWEEN(2,52)</f>
        <v>36</v>
      </c>
      <c r="G132" s="1">
        <f t="shared" ref="G132:G195" ca="1" si="118">RANDBETWEEN(2,30)</f>
        <v>28</v>
      </c>
      <c r="H132" s="1">
        <f t="shared" ref="H132:H195" ca="1" si="119">RANDBETWEEN(1,15)</f>
        <v>11</v>
      </c>
      <c r="I132" s="1"/>
      <c r="J132" s="1">
        <f t="shared" ref="J132:J195" ca="1" si="120">RANDBETWEEN(1,39)</f>
        <v>4</v>
      </c>
      <c r="K132" s="1">
        <f t="shared" ref="K132:K195" ca="1" si="121">RAND()*(3-1)+1</f>
        <v>1.7432444511388592</v>
      </c>
      <c r="L132" s="1">
        <f t="shared" ref="L132:L195" ca="1" si="122">RANDBETWEEN(2,35)</f>
        <v>30</v>
      </c>
      <c r="M132" s="1"/>
      <c r="N132" s="1">
        <f t="shared" ref="N132:N195" ca="1" si="123">RANDBETWEEN(15,1000)</f>
        <v>333</v>
      </c>
      <c r="O132" s="1">
        <f t="shared" ref="O132:O195" ca="1" si="124">RANDBETWEEN(2,52)</f>
        <v>34</v>
      </c>
      <c r="P132" s="1"/>
      <c r="Q132" s="1">
        <f t="shared" ref="Q132:Q195" ca="1" si="125">RAND()*(5-0.01)+0.01</f>
        <v>1.1113352464649802</v>
      </c>
      <c r="R132" s="1">
        <f t="shared" ref="R132:R195" ca="1" si="126">RANDBETWEEN(200,1200)</f>
        <v>716</v>
      </c>
      <c r="S132" s="1"/>
      <c r="T132" s="1">
        <f t="shared" ref="T132:T195" ca="1" si="127">RAND()*(0.2-0.01)+0.01</f>
        <v>0.16657107332813784</v>
      </c>
      <c r="U132" s="1">
        <f t="shared" ref="U132:U195" ca="1" si="128">RANDBETWEEN(50,450)</f>
        <v>389</v>
      </c>
      <c r="V132" s="1">
        <f t="shared" ref="V132:V195" ca="1" si="129">RANDBETWEEN(2,52)</f>
        <v>31</v>
      </c>
      <c r="W132" s="1"/>
      <c r="X132" s="1">
        <f t="shared" ref="X132:X195" ca="1" si="130">RAND()*(10-0.01)+0.01</f>
        <v>1.7462152212981359</v>
      </c>
      <c r="Y132" s="1">
        <f t="shared" ref="Y132:Y195" ca="1" si="131">RAND()*(1-0.0001)+0.0001</f>
        <v>0.94035332985671016</v>
      </c>
      <c r="Z132" s="1">
        <f t="shared" ref="Z132:Z195" ca="1" si="132">RANDBETWEEN(100,2000)</f>
        <v>1018</v>
      </c>
      <c r="AB132" s="1">
        <f t="shared" ref="AB132:AB195" ca="1" si="133">RAND()*(1-0.0001)+0.0001</f>
        <v>0.66554649871561777</v>
      </c>
      <c r="AC132" s="1">
        <f t="shared" ref="AC132:AC195" ca="1" si="134">RANDBETWEEN(100,1000)</f>
        <v>926</v>
      </c>
      <c r="AD132" s="1">
        <f t="shared" ref="AD132:AD195" ca="1" si="135">RAND()*(0.01-0.00001)+0.00001</f>
        <v>7.1477239195893317E-3</v>
      </c>
      <c r="AE132" s="1"/>
      <c r="AF132" s="1">
        <f t="shared" ref="AF132:AF195" ca="1" si="136">RAND()*(0.9-0.1)+0.1</f>
        <v>0.4176544746716937</v>
      </c>
      <c r="AG132" s="1">
        <f t="shared" ref="AG132:AG195" ca="1" si="137">RANDBETWEEN(100,1000)</f>
        <v>895</v>
      </c>
      <c r="AH132" s="1">
        <f t="shared" ref="AH132:AH195" ca="1" si="138">RAND()*(0.01-0.00001)+0.00001</f>
        <v>4.7783502959449706E-3</v>
      </c>
      <c r="AJ132" s="1">
        <f t="shared" ref="AJ132:AJ195" ca="1" si="139">RAND()*(1-0)+0</f>
        <v>0.9880344707067138</v>
      </c>
      <c r="AK132" s="1">
        <f t="shared" ref="AK132:AK195" ca="1" si="140">RAND()*(0.01-0.00001)+0.00001</f>
        <v>9.3041121120399535E-3</v>
      </c>
      <c r="AL132" s="1"/>
      <c r="AM132" s="1">
        <f t="shared" ref="AM132:AM195" ca="1" si="141">RAND()*(0.2-0.005)+0.005</f>
        <v>6.4253484539902803E-2</v>
      </c>
      <c r="AN132" s="1">
        <f t="shared" ref="AN132:AN195" ca="1" si="142">RANDBETWEEN(10,80)</f>
        <v>79</v>
      </c>
      <c r="AO132" s="1">
        <f t="shared" ref="AO132:AO195" ca="1" si="143">RANDBETWEEN(-1,20)</f>
        <v>4</v>
      </c>
      <c r="AQ132" s="1">
        <f t="shared" ref="AQ132:AQ195" ca="1" si="144">RANDBETWEEN(10,200)</f>
        <v>77</v>
      </c>
      <c r="AR132" s="1">
        <f t="shared" ref="AR132:AR195" ca="1" si="145">RANDBETWEEN(0,10)</f>
        <v>8</v>
      </c>
      <c r="AS132" s="1">
        <f t="shared" ref="AS132:AS195" ca="1" si="146">RANDBETWEEN(1,100)</f>
        <v>42</v>
      </c>
      <c r="AU132" s="1">
        <f t="shared" ref="AU132:AU195" ca="1" si="147">RANDBETWEEN(50,400)</f>
        <v>313</v>
      </c>
      <c r="AV132" s="1">
        <f t="shared" ref="AV132:AV195" ca="1" si="148">RANDBETWEEN(2,10)</f>
        <v>4</v>
      </c>
      <c r="AW132" s="1">
        <f t="shared" ref="AW132:AW195" ca="1" si="149">RAND()*(0.2-0.01)+0.01</f>
        <v>0.14241569931487358</v>
      </c>
      <c r="AY132" s="1">
        <f t="shared" ref="AY132:AY195" ca="1" si="150">RAND()*(2-1.1)+1.1</f>
        <v>1.6938957331200561</v>
      </c>
      <c r="AZ132" s="1">
        <f t="shared" ref="AZ132:AZ195" ca="1" si="151">RANDBETWEEN(50,500)</f>
        <v>354</v>
      </c>
      <c r="BA132" s="1">
        <f t="shared" ref="BA132:BA195" ca="1" si="152">RAND()*(0.01-0.00001)+0.00001</f>
        <v>8.9299179607965715E-3</v>
      </c>
      <c r="BV132" s="1">
        <f t="shared" ref="BV132:BV195" ca="1" si="153">RAND()*(1-0.0001)+0.0001</f>
        <v>0.94267006186078361</v>
      </c>
      <c r="BW132" s="1">
        <f t="shared" ref="BW132:BW195" ca="1" si="154">RANDBETWEEN(100,1000)</f>
        <v>387</v>
      </c>
      <c r="BX132" s="1">
        <f t="shared" ref="BX132:BX195" ca="1" si="155">RAND()*(0.01-0.00001)+0.00001</f>
        <v>4.3873701399083642E-3</v>
      </c>
      <c r="BY132" s="1">
        <f t="shared" ref="BY132:BY195" ca="1" si="156">RAND()*(0.1-0.0001)+0.0001</f>
        <v>3.479175124555197E-2</v>
      </c>
      <c r="BZ132" s="1">
        <f t="shared" ref="BZ132:BZ195" ca="1" si="157">RAND()*(1-0)+0</f>
        <v>0.11892964709835929</v>
      </c>
      <c r="CB132" s="1">
        <f t="shared" ref="CB132:CB195" ca="1" si="158">RANDBETWEEN(50,500)</f>
        <v>109</v>
      </c>
      <c r="CC132" s="1">
        <f t="shared" ref="CC132:CC195" ca="1" si="159">RANDBETWEEN(3,15)</f>
        <v>10</v>
      </c>
      <c r="CD132" s="1">
        <f t="shared" ref="CD132:CD195" ca="1" si="160">RAND()*(0.3-0.01)+0.01</f>
        <v>2.6942309038557481E-2</v>
      </c>
      <c r="CE132" s="1">
        <f t="shared" ref="CE132:CF163" ca="1" si="161">RAND()*(1-0.5)+0.5</f>
        <v>0.81446683745111992</v>
      </c>
      <c r="CF132" s="1">
        <f t="shared" ca="1" si="161"/>
        <v>0.55579597875245967</v>
      </c>
      <c r="CH132" s="3">
        <f t="shared" ref="CH132:CH195" ca="1" si="162">RAND()*(1-0.0001)+0.0001</f>
        <v>0.1502663314616047</v>
      </c>
      <c r="CI132" s="3">
        <f t="shared" ref="CI132:CI195" ca="1" si="163">RAND()*(0.99-0.01)+0.01</f>
        <v>3.4043308826899904E-2</v>
      </c>
      <c r="CJ132" s="3">
        <f t="shared" ref="CJ132:CJ195" ca="1" si="164">RANDBETWEEN(100,2000)</f>
        <v>1353</v>
      </c>
      <c r="CK132" s="3">
        <f t="shared" ref="CK132:CK195" ca="1" si="165">RAND()*(0.01-0.000001)+0.000001</f>
        <v>1.0188902918983118E-5</v>
      </c>
      <c r="CL132" s="3">
        <f t="shared" ref="CL132:CL195" ca="1" si="166">RANDBETWEEN(0,1)</f>
        <v>1</v>
      </c>
      <c r="CM132" s="3"/>
      <c r="CN132" s="1">
        <f t="shared" ref="CN132:CN195" ca="1" si="167">RAND()*(20-0.1)+0.1</f>
        <v>3.0367836172172087</v>
      </c>
      <c r="CO132" s="1">
        <f t="shared" ref="CO132:CO195" ca="1" si="168">RAND()*(0.5-0.001)+0.001</f>
        <v>0.11460016577936097</v>
      </c>
      <c r="CP132" s="1">
        <f t="shared" ref="CP132:CP195" ca="1" si="169">RANDBETWEEN(1,5)</f>
        <v>1</v>
      </c>
    </row>
    <row r="133" spans="2:94" x14ac:dyDescent="0.25">
      <c r="B133">
        <f t="shared" ca="1" si="114"/>
        <v>501</v>
      </c>
      <c r="C133">
        <f t="shared" ca="1" si="115"/>
        <v>13</v>
      </c>
      <c r="D133">
        <f t="shared" ca="1" si="116"/>
        <v>0.18788532772808056</v>
      </c>
      <c r="F133" s="1">
        <f t="shared" ca="1" si="117"/>
        <v>39</v>
      </c>
      <c r="G133" s="1">
        <f t="shared" ca="1" si="118"/>
        <v>12</v>
      </c>
      <c r="H133" s="1">
        <f t="shared" ca="1" si="119"/>
        <v>5</v>
      </c>
      <c r="I133" s="1"/>
      <c r="J133" s="1">
        <f t="shared" ca="1" si="120"/>
        <v>14</v>
      </c>
      <c r="K133" s="1">
        <f t="shared" ca="1" si="121"/>
        <v>2.1073029803439014</v>
      </c>
      <c r="L133" s="1">
        <f t="shared" ca="1" si="122"/>
        <v>21</v>
      </c>
      <c r="M133" s="1"/>
      <c r="N133" s="1">
        <f t="shared" ca="1" si="123"/>
        <v>861</v>
      </c>
      <c r="O133" s="1">
        <f t="shared" ca="1" si="124"/>
        <v>18</v>
      </c>
      <c r="P133" s="1"/>
      <c r="Q133" s="1">
        <f t="shared" ca="1" si="125"/>
        <v>3.4691302276435985</v>
      </c>
      <c r="R133" s="1">
        <f t="shared" ca="1" si="126"/>
        <v>728</v>
      </c>
      <c r="S133" s="1"/>
      <c r="T133" s="1">
        <f t="shared" ca="1" si="127"/>
        <v>4.1896413073884059E-2</v>
      </c>
      <c r="U133" s="1">
        <f t="shared" ca="1" si="128"/>
        <v>62</v>
      </c>
      <c r="V133" s="1">
        <f t="shared" ca="1" si="129"/>
        <v>18</v>
      </c>
      <c r="W133" s="1"/>
      <c r="X133" s="1">
        <f t="shared" ca="1" si="130"/>
        <v>6.5097505990953479</v>
      </c>
      <c r="Y133" s="1">
        <f t="shared" ca="1" si="131"/>
        <v>0.86152158217803065</v>
      </c>
      <c r="Z133" s="1">
        <f t="shared" ca="1" si="132"/>
        <v>812</v>
      </c>
      <c r="AB133" s="1">
        <f t="shared" ca="1" si="133"/>
        <v>0.59027958057566432</v>
      </c>
      <c r="AC133" s="1">
        <f t="shared" ca="1" si="134"/>
        <v>888</v>
      </c>
      <c r="AD133" s="1">
        <f t="shared" ca="1" si="135"/>
        <v>2.4631917246474913E-3</v>
      </c>
      <c r="AE133" s="1"/>
      <c r="AF133" s="1">
        <f t="shared" ca="1" si="136"/>
        <v>0.21271925150689111</v>
      </c>
      <c r="AG133" s="1">
        <f t="shared" ca="1" si="137"/>
        <v>726</v>
      </c>
      <c r="AH133" s="1">
        <f t="shared" ca="1" si="138"/>
        <v>7.3878281224617369E-3</v>
      </c>
      <c r="AJ133" s="1">
        <f t="shared" ca="1" si="139"/>
        <v>0.64162311514570458</v>
      </c>
      <c r="AK133" s="1">
        <f t="shared" ca="1" si="140"/>
        <v>1.2744520662078937E-3</v>
      </c>
      <c r="AL133" s="1"/>
      <c r="AM133" s="1">
        <f t="shared" ca="1" si="141"/>
        <v>6.0713895411255693E-2</v>
      </c>
      <c r="AN133" s="1">
        <f t="shared" ca="1" si="142"/>
        <v>75</v>
      </c>
      <c r="AO133" s="1">
        <f t="shared" ca="1" si="143"/>
        <v>20</v>
      </c>
      <c r="AQ133" s="1">
        <f t="shared" ca="1" si="144"/>
        <v>189</v>
      </c>
      <c r="AR133" s="1">
        <f t="shared" ca="1" si="145"/>
        <v>1</v>
      </c>
      <c r="AS133" s="1">
        <f t="shared" ca="1" si="146"/>
        <v>17</v>
      </c>
      <c r="AU133" s="1">
        <f t="shared" ca="1" si="147"/>
        <v>312</v>
      </c>
      <c r="AV133" s="1">
        <f t="shared" ca="1" si="148"/>
        <v>7</v>
      </c>
      <c r="AW133" s="1">
        <f t="shared" ca="1" si="149"/>
        <v>0.17415728728758828</v>
      </c>
      <c r="AY133" s="1">
        <f t="shared" ca="1" si="150"/>
        <v>1.7111256157161439</v>
      </c>
      <c r="AZ133" s="1">
        <f t="shared" ca="1" si="151"/>
        <v>286</v>
      </c>
      <c r="BA133" s="1">
        <f t="shared" ca="1" si="152"/>
        <v>4.2833758565633028E-3</v>
      </c>
      <c r="BV133" s="1">
        <f t="shared" ca="1" si="153"/>
        <v>0.98229176612072444</v>
      </c>
      <c r="BW133" s="1">
        <f t="shared" ca="1" si="154"/>
        <v>423</v>
      </c>
      <c r="BX133" s="1">
        <f t="shared" ca="1" si="155"/>
        <v>1.6787299317689332E-3</v>
      </c>
      <c r="BY133" s="1">
        <f t="shared" ca="1" si="156"/>
        <v>7.2951526666778205E-2</v>
      </c>
      <c r="BZ133" s="1">
        <f t="shared" ca="1" si="157"/>
        <v>0.26603704372890546</v>
      </c>
      <c r="CB133" s="1">
        <f t="shared" ca="1" si="158"/>
        <v>332</v>
      </c>
      <c r="CC133" s="1">
        <f t="shared" ca="1" si="159"/>
        <v>15</v>
      </c>
      <c r="CD133" s="1">
        <f t="shared" ca="1" si="160"/>
        <v>0.27402110998314888</v>
      </c>
      <c r="CE133" s="1">
        <f t="shared" ca="1" si="161"/>
        <v>0.62406972314869713</v>
      </c>
      <c r="CF133" s="1">
        <f t="shared" ca="1" si="161"/>
        <v>0.90087770888310748</v>
      </c>
      <c r="CH133" s="3">
        <f t="shared" ca="1" si="162"/>
        <v>0.16113501277996334</v>
      </c>
      <c r="CI133" s="3">
        <f t="shared" ca="1" si="163"/>
        <v>0.46338494134708269</v>
      </c>
      <c r="CJ133" s="3">
        <f t="shared" ca="1" si="164"/>
        <v>1257</v>
      </c>
      <c r="CK133" s="3">
        <f t="shared" ca="1" si="165"/>
        <v>7.5822183174130359E-3</v>
      </c>
      <c r="CL133" s="3">
        <f t="shared" ca="1" si="166"/>
        <v>1</v>
      </c>
      <c r="CM133" s="3"/>
      <c r="CN133" s="1">
        <f t="shared" ca="1" si="167"/>
        <v>7.699377310878746</v>
      </c>
      <c r="CO133" s="1">
        <f t="shared" ca="1" si="168"/>
        <v>0.37806745875367281</v>
      </c>
      <c r="CP133" s="1">
        <f t="shared" ca="1" si="169"/>
        <v>2</v>
      </c>
    </row>
    <row r="134" spans="2:94" x14ac:dyDescent="0.25">
      <c r="B134">
        <f t="shared" ca="1" si="114"/>
        <v>790</v>
      </c>
      <c r="C134">
        <f t="shared" ca="1" si="115"/>
        <v>47</v>
      </c>
      <c r="D134">
        <f t="shared" ca="1" si="116"/>
        <v>0.2255578208333609</v>
      </c>
      <c r="F134" s="1">
        <f t="shared" ca="1" si="117"/>
        <v>45</v>
      </c>
      <c r="G134" s="1">
        <f t="shared" ca="1" si="118"/>
        <v>30</v>
      </c>
      <c r="H134" s="1">
        <f t="shared" ca="1" si="119"/>
        <v>2</v>
      </c>
      <c r="I134" s="1"/>
      <c r="J134" s="1">
        <f t="shared" ca="1" si="120"/>
        <v>3</v>
      </c>
      <c r="K134" s="1">
        <f t="shared" ca="1" si="121"/>
        <v>1.9944101117487747</v>
      </c>
      <c r="L134" s="1">
        <f t="shared" ca="1" si="122"/>
        <v>6</v>
      </c>
      <c r="M134" s="1"/>
      <c r="N134" s="1">
        <f t="shared" ca="1" si="123"/>
        <v>614</v>
      </c>
      <c r="O134" s="1">
        <f t="shared" ca="1" si="124"/>
        <v>25</v>
      </c>
      <c r="P134" s="1"/>
      <c r="Q134" s="1">
        <f t="shared" ca="1" si="125"/>
        <v>4.4514146183420005</v>
      </c>
      <c r="R134" s="1">
        <f t="shared" ca="1" si="126"/>
        <v>739</v>
      </c>
      <c r="S134" s="1"/>
      <c r="T134" s="1">
        <f t="shared" ca="1" si="127"/>
        <v>1.5176460057724859E-2</v>
      </c>
      <c r="U134" s="1">
        <f t="shared" ca="1" si="128"/>
        <v>157</v>
      </c>
      <c r="V134" s="1">
        <f t="shared" ca="1" si="129"/>
        <v>32</v>
      </c>
      <c r="W134" s="1"/>
      <c r="X134" s="1">
        <f t="shared" ca="1" si="130"/>
        <v>0.20781578133410678</v>
      </c>
      <c r="Y134" s="1">
        <f t="shared" ca="1" si="131"/>
        <v>0.6292756783138419</v>
      </c>
      <c r="Z134" s="1">
        <f t="shared" ca="1" si="132"/>
        <v>1411</v>
      </c>
      <c r="AB134" s="1">
        <f t="shared" ca="1" si="133"/>
        <v>0.78101298760933924</v>
      </c>
      <c r="AC134" s="1">
        <f t="shared" ca="1" si="134"/>
        <v>455</v>
      </c>
      <c r="AD134" s="1">
        <f t="shared" ca="1" si="135"/>
        <v>8.0972065130539648E-3</v>
      </c>
      <c r="AE134" s="1"/>
      <c r="AF134" s="1">
        <f t="shared" ca="1" si="136"/>
        <v>0.32345806178365522</v>
      </c>
      <c r="AG134" s="1">
        <f t="shared" ca="1" si="137"/>
        <v>397</v>
      </c>
      <c r="AH134" s="1">
        <f t="shared" ca="1" si="138"/>
        <v>1.8090203526201546E-3</v>
      </c>
      <c r="AJ134" s="1">
        <f t="shared" ca="1" si="139"/>
        <v>0.81905331004950255</v>
      </c>
      <c r="AK134" s="1">
        <f t="shared" ca="1" si="140"/>
        <v>7.4436244430004074E-3</v>
      </c>
      <c r="AL134" s="1"/>
      <c r="AM134" s="1">
        <f t="shared" ca="1" si="141"/>
        <v>0.16359909152591418</v>
      </c>
      <c r="AN134" s="1">
        <f t="shared" ca="1" si="142"/>
        <v>66</v>
      </c>
      <c r="AO134" s="1">
        <f t="shared" ca="1" si="143"/>
        <v>-1</v>
      </c>
      <c r="AQ134" s="1">
        <f t="shared" ca="1" si="144"/>
        <v>122</v>
      </c>
      <c r="AR134" s="1">
        <f t="shared" ca="1" si="145"/>
        <v>0</v>
      </c>
      <c r="AS134" s="1">
        <f t="shared" ca="1" si="146"/>
        <v>85</v>
      </c>
      <c r="AU134" s="1">
        <f t="shared" ca="1" si="147"/>
        <v>203</v>
      </c>
      <c r="AV134" s="1">
        <f t="shared" ca="1" si="148"/>
        <v>5</v>
      </c>
      <c r="AW134" s="1">
        <f t="shared" ca="1" si="149"/>
        <v>0.144307160026101</v>
      </c>
      <c r="AY134" s="1">
        <f t="shared" ca="1" si="150"/>
        <v>1.7756338216292011</v>
      </c>
      <c r="AZ134" s="1">
        <f t="shared" ca="1" si="151"/>
        <v>173</v>
      </c>
      <c r="BA134" s="1">
        <f t="shared" ca="1" si="152"/>
        <v>9.9263841714309214E-3</v>
      </c>
      <c r="BV134" s="1">
        <f t="shared" ca="1" si="153"/>
        <v>0.98214782691514635</v>
      </c>
      <c r="BW134" s="1">
        <f t="shared" ca="1" si="154"/>
        <v>478</v>
      </c>
      <c r="BX134" s="1">
        <f t="shared" ca="1" si="155"/>
        <v>8.72538220334243E-4</v>
      </c>
      <c r="BY134" s="1">
        <f t="shared" ca="1" si="156"/>
        <v>6.7510840224636215E-2</v>
      </c>
      <c r="BZ134" s="1">
        <f t="shared" ca="1" si="157"/>
        <v>9.1280091327012869E-2</v>
      </c>
      <c r="CB134" s="1">
        <f t="shared" ca="1" si="158"/>
        <v>327</v>
      </c>
      <c r="CC134" s="1">
        <f t="shared" ca="1" si="159"/>
        <v>8</v>
      </c>
      <c r="CD134" s="1">
        <f t="shared" ca="1" si="160"/>
        <v>0.13026621788281018</v>
      </c>
      <c r="CE134" s="1">
        <f t="shared" ca="1" si="161"/>
        <v>0.57227695487461938</v>
      </c>
      <c r="CF134" s="1">
        <f t="shared" ca="1" si="161"/>
        <v>0.96757897706221319</v>
      </c>
      <c r="CH134" s="3">
        <f t="shared" ca="1" si="162"/>
        <v>0.77029684088604067</v>
      </c>
      <c r="CI134" s="3">
        <f t="shared" ca="1" si="163"/>
        <v>0.91218759338072608</v>
      </c>
      <c r="CJ134" s="3">
        <f t="shared" ca="1" si="164"/>
        <v>1276</v>
      </c>
      <c r="CK134" s="3">
        <f t="shared" ca="1" si="165"/>
        <v>3.6029943894479768E-4</v>
      </c>
      <c r="CL134" s="3">
        <f t="shared" ca="1" si="166"/>
        <v>0</v>
      </c>
      <c r="CM134" s="3"/>
      <c r="CN134" s="1">
        <f t="shared" ca="1" si="167"/>
        <v>17.684801541753767</v>
      </c>
      <c r="CO134" s="1">
        <f t="shared" ca="1" si="168"/>
        <v>0.40413722299029636</v>
      </c>
      <c r="CP134" s="1">
        <f t="shared" ca="1" si="169"/>
        <v>5</v>
      </c>
    </row>
    <row r="135" spans="2:94" x14ac:dyDescent="0.25">
      <c r="B135">
        <f t="shared" ca="1" si="114"/>
        <v>274</v>
      </c>
      <c r="C135">
        <f t="shared" ca="1" si="115"/>
        <v>25</v>
      </c>
      <c r="D135">
        <f t="shared" ca="1" si="116"/>
        <v>0.20088412453969062</v>
      </c>
      <c r="F135" s="1">
        <f t="shared" ca="1" si="117"/>
        <v>20</v>
      </c>
      <c r="G135" s="1">
        <f t="shared" ca="1" si="118"/>
        <v>21</v>
      </c>
      <c r="H135" s="1">
        <f t="shared" ca="1" si="119"/>
        <v>13</v>
      </c>
      <c r="I135" s="1"/>
      <c r="J135" s="1">
        <f t="shared" ca="1" si="120"/>
        <v>31</v>
      </c>
      <c r="K135" s="1">
        <f t="shared" ca="1" si="121"/>
        <v>1.856645286033151</v>
      </c>
      <c r="L135" s="1">
        <f t="shared" ca="1" si="122"/>
        <v>27</v>
      </c>
      <c r="M135" s="1"/>
      <c r="N135" s="1">
        <f t="shared" ca="1" si="123"/>
        <v>785</v>
      </c>
      <c r="O135" s="1">
        <f t="shared" ca="1" si="124"/>
        <v>32</v>
      </c>
      <c r="P135" s="1"/>
      <c r="Q135" s="1">
        <f t="shared" ca="1" si="125"/>
        <v>3.0690216781833435</v>
      </c>
      <c r="R135" s="1">
        <f t="shared" ca="1" si="126"/>
        <v>451</v>
      </c>
      <c r="S135" s="1"/>
      <c r="T135" s="1">
        <f t="shared" ca="1" si="127"/>
        <v>3.2993876568746909E-2</v>
      </c>
      <c r="U135" s="1">
        <f t="shared" ca="1" si="128"/>
        <v>346</v>
      </c>
      <c r="V135" s="1">
        <f t="shared" ca="1" si="129"/>
        <v>25</v>
      </c>
      <c r="W135" s="1"/>
      <c r="X135" s="1">
        <f t="shared" ca="1" si="130"/>
        <v>1.0838607019087951</v>
      </c>
      <c r="Y135" s="1">
        <f t="shared" ca="1" si="131"/>
        <v>0.97131428264174868</v>
      </c>
      <c r="Z135" s="1">
        <f t="shared" ca="1" si="132"/>
        <v>1128</v>
      </c>
      <c r="AB135" s="1">
        <f t="shared" ca="1" si="133"/>
        <v>0.79932027011922235</v>
      </c>
      <c r="AC135" s="1">
        <f t="shared" ca="1" si="134"/>
        <v>708</v>
      </c>
      <c r="AD135" s="1">
        <f t="shared" ca="1" si="135"/>
        <v>8.5088863149510247E-4</v>
      </c>
      <c r="AE135" s="1"/>
      <c r="AF135" s="1">
        <f t="shared" ca="1" si="136"/>
        <v>0.64941032900270435</v>
      </c>
      <c r="AG135" s="1">
        <f t="shared" ca="1" si="137"/>
        <v>156</v>
      </c>
      <c r="AH135" s="1">
        <f t="shared" ca="1" si="138"/>
        <v>8.6879394355480321E-3</v>
      </c>
      <c r="AJ135" s="1">
        <f t="shared" ca="1" si="139"/>
        <v>0.83227146141609565</v>
      </c>
      <c r="AK135" s="1">
        <f t="shared" ca="1" si="140"/>
        <v>2.221780246191555E-3</v>
      </c>
      <c r="AL135" s="1"/>
      <c r="AM135" s="1">
        <f t="shared" ca="1" si="141"/>
        <v>1.3031092726579825E-2</v>
      </c>
      <c r="AN135" s="1">
        <f t="shared" ca="1" si="142"/>
        <v>72</v>
      </c>
      <c r="AO135" s="1">
        <f t="shared" ca="1" si="143"/>
        <v>13</v>
      </c>
      <c r="AQ135" s="1">
        <f t="shared" ca="1" si="144"/>
        <v>132</v>
      </c>
      <c r="AR135" s="1">
        <f t="shared" ca="1" si="145"/>
        <v>4</v>
      </c>
      <c r="AS135" s="1">
        <f t="shared" ca="1" si="146"/>
        <v>73</v>
      </c>
      <c r="AU135" s="1">
        <f t="shared" ca="1" si="147"/>
        <v>189</v>
      </c>
      <c r="AV135" s="1">
        <f t="shared" ca="1" si="148"/>
        <v>2</v>
      </c>
      <c r="AW135" s="1">
        <f t="shared" ca="1" si="149"/>
        <v>0.18523689178334518</v>
      </c>
      <c r="AY135" s="1">
        <f t="shared" ca="1" si="150"/>
        <v>1.2406663157730815</v>
      </c>
      <c r="AZ135" s="1">
        <f t="shared" ca="1" si="151"/>
        <v>476</v>
      </c>
      <c r="BA135" s="1">
        <f t="shared" ca="1" si="152"/>
        <v>9.2237790005776053E-3</v>
      </c>
      <c r="BV135" s="1">
        <f t="shared" ca="1" si="153"/>
        <v>0.53608674296991621</v>
      </c>
      <c r="BW135" s="1">
        <f t="shared" ca="1" si="154"/>
        <v>451</v>
      </c>
      <c r="BX135" s="1">
        <f t="shared" ca="1" si="155"/>
        <v>2.9914601877635795E-3</v>
      </c>
      <c r="BY135" s="1">
        <f t="shared" ca="1" si="156"/>
        <v>7.2551631921129442E-2</v>
      </c>
      <c r="BZ135" s="1">
        <f t="shared" ca="1" si="157"/>
        <v>5.7248246622252696E-2</v>
      </c>
      <c r="CB135" s="1">
        <f t="shared" ca="1" si="158"/>
        <v>154</v>
      </c>
      <c r="CC135" s="1">
        <f t="shared" ca="1" si="159"/>
        <v>15</v>
      </c>
      <c r="CD135" s="1">
        <f t="shared" ca="1" si="160"/>
        <v>0.10558390913024264</v>
      </c>
      <c r="CE135" s="1">
        <f t="shared" ca="1" si="161"/>
        <v>0.92908603425077252</v>
      </c>
      <c r="CF135" s="1">
        <f t="shared" ca="1" si="161"/>
        <v>0.98156949892432033</v>
      </c>
      <c r="CH135" s="3">
        <f t="shared" ca="1" si="162"/>
        <v>0.5214161807960852</v>
      </c>
      <c r="CI135" s="3">
        <f t="shared" ca="1" si="163"/>
        <v>0.18610857228655622</v>
      </c>
      <c r="CJ135" s="3">
        <f t="shared" ca="1" si="164"/>
        <v>506</v>
      </c>
      <c r="CK135" s="3">
        <f t="shared" ca="1" si="165"/>
        <v>7.7289757051430966E-3</v>
      </c>
      <c r="CL135" s="3">
        <f t="shared" ca="1" si="166"/>
        <v>0</v>
      </c>
      <c r="CM135" s="3"/>
      <c r="CN135" s="1">
        <f t="shared" ca="1" si="167"/>
        <v>0.21840549769955397</v>
      </c>
      <c r="CO135" s="1">
        <f t="shared" ca="1" si="168"/>
        <v>0.24063900465483792</v>
      </c>
      <c r="CP135" s="1">
        <f t="shared" ca="1" si="169"/>
        <v>3</v>
      </c>
    </row>
    <row r="136" spans="2:94" x14ac:dyDescent="0.25">
      <c r="B136">
        <f t="shared" ca="1" si="114"/>
        <v>727</v>
      </c>
      <c r="C136">
        <f t="shared" ca="1" si="115"/>
        <v>44</v>
      </c>
      <c r="D136">
        <f t="shared" ca="1" si="116"/>
        <v>0.27051440390665277</v>
      </c>
      <c r="F136" s="1">
        <f t="shared" ca="1" si="117"/>
        <v>48</v>
      </c>
      <c r="G136" s="1">
        <f t="shared" ca="1" si="118"/>
        <v>23</v>
      </c>
      <c r="H136" s="1">
        <f t="shared" ca="1" si="119"/>
        <v>7</v>
      </c>
      <c r="I136" s="1"/>
      <c r="J136" s="1">
        <f t="shared" ca="1" si="120"/>
        <v>13</v>
      </c>
      <c r="K136" s="1">
        <f t="shared" ca="1" si="121"/>
        <v>1.9563994262582249</v>
      </c>
      <c r="L136" s="1">
        <f t="shared" ca="1" si="122"/>
        <v>33</v>
      </c>
      <c r="M136" s="1"/>
      <c r="N136" s="1">
        <f t="shared" ca="1" si="123"/>
        <v>340</v>
      </c>
      <c r="O136" s="1">
        <f t="shared" ca="1" si="124"/>
        <v>5</v>
      </c>
      <c r="P136" s="1"/>
      <c r="Q136" s="1">
        <f t="shared" ca="1" si="125"/>
        <v>2.6339748019261036</v>
      </c>
      <c r="R136" s="1">
        <f t="shared" ca="1" si="126"/>
        <v>615</v>
      </c>
      <c r="S136" s="1"/>
      <c r="T136" s="1">
        <f t="shared" ca="1" si="127"/>
        <v>0.15657566702585124</v>
      </c>
      <c r="U136" s="1">
        <f t="shared" ca="1" si="128"/>
        <v>139</v>
      </c>
      <c r="V136" s="1">
        <f t="shared" ca="1" si="129"/>
        <v>35</v>
      </c>
      <c r="W136" s="1"/>
      <c r="X136" s="1">
        <f t="shared" ca="1" si="130"/>
        <v>6.3798669177751455</v>
      </c>
      <c r="Y136" s="1">
        <f t="shared" ca="1" si="131"/>
        <v>0.99398398572588631</v>
      </c>
      <c r="Z136" s="1">
        <f t="shared" ca="1" si="132"/>
        <v>1607</v>
      </c>
      <c r="AB136" s="1">
        <f t="shared" ca="1" si="133"/>
        <v>0.15944591211850553</v>
      </c>
      <c r="AC136" s="1">
        <f t="shared" ca="1" si="134"/>
        <v>881</v>
      </c>
      <c r="AD136" s="1">
        <f t="shared" ca="1" si="135"/>
        <v>4.3154927713063796E-3</v>
      </c>
      <c r="AE136" s="1"/>
      <c r="AF136" s="1">
        <f t="shared" ca="1" si="136"/>
        <v>0.5217660168074767</v>
      </c>
      <c r="AG136" s="1">
        <f t="shared" ca="1" si="137"/>
        <v>161</v>
      </c>
      <c r="AH136" s="1">
        <f t="shared" ca="1" si="138"/>
        <v>9.1249923529179069E-3</v>
      </c>
      <c r="AJ136" s="1">
        <f t="shared" ca="1" si="139"/>
        <v>0.18533960667209848</v>
      </c>
      <c r="AK136" s="1">
        <f t="shared" ca="1" si="140"/>
        <v>7.8894020563671178E-3</v>
      </c>
      <c r="AL136" s="1"/>
      <c r="AM136" s="1">
        <f t="shared" ca="1" si="141"/>
        <v>0.16509815142484763</v>
      </c>
      <c r="AN136" s="1">
        <f t="shared" ca="1" si="142"/>
        <v>29</v>
      </c>
      <c r="AO136" s="1">
        <f t="shared" ca="1" si="143"/>
        <v>16</v>
      </c>
      <c r="AQ136" s="1">
        <f t="shared" ca="1" si="144"/>
        <v>148</v>
      </c>
      <c r="AR136" s="1">
        <f t="shared" ca="1" si="145"/>
        <v>3</v>
      </c>
      <c r="AS136" s="1">
        <f t="shared" ca="1" si="146"/>
        <v>72</v>
      </c>
      <c r="AU136" s="1">
        <f t="shared" ca="1" si="147"/>
        <v>284</v>
      </c>
      <c r="AV136" s="1">
        <f t="shared" ca="1" si="148"/>
        <v>10</v>
      </c>
      <c r="AW136" s="1">
        <f t="shared" ca="1" si="149"/>
        <v>0.14646474616882088</v>
      </c>
      <c r="AY136" s="1">
        <f t="shared" ca="1" si="150"/>
        <v>1.178497317614007</v>
      </c>
      <c r="AZ136" s="1">
        <f t="shared" ca="1" si="151"/>
        <v>93</v>
      </c>
      <c r="BA136" s="1">
        <f t="shared" ca="1" si="152"/>
        <v>4.8454431824940854E-3</v>
      </c>
      <c r="BV136" s="1">
        <f t="shared" ca="1" si="153"/>
        <v>0.87269522712520553</v>
      </c>
      <c r="BW136" s="1">
        <f t="shared" ca="1" si="154"/>
        <v>973</v>
      </c>
      <c r="BX136" s="1">
        <f t="shared" ca="1" si="155"/>
        <v>6.1391111900275649E-3</v>
      </c>
      <c r="BY136" s="1">
        <f t="shared" ca="1" si="156"/>
        <v>5.1492622845594666E-2</v>
      </c>
      <c r="BZ136" s="1">
        <f t="shared" ca="1" si="157"/>
        <v>0.75174184183154846</v>
      </c>
      <c r="CB136" s="1">
        <f t="shared" ca="1" si="158"/>
        <v>185</v>
      </c>
      <c r="CC136" s="1">
        <f t="shared" ca="1" si="159"/>
        <v>15</v>
      </c>
      <c r="CD136" s="1">
        <f t="shared" ca="1" si="160"/>
        <v>0.2940095101529025</v>
      </c>
      <c r="CE136" s="1">
        <f t="shared" ca="1" si="161"/>
        <v>0.90173608614148681</v>
      </c>
      <c r="CF136" s="1">
        <f t="shared" ca="1" si="161"/>
        <v>0.86057277270640786</v>
      </c>
      <c r="CH136" s="3">
        <f t="shared" ca="1" si="162"/>
        <v>0.19479356040870996</v>
      </c>
      <c r="CI136" s="3">
        <f t="shared" ca="1" si="163"/>
        <v>0.21845164209635121</v>
      </c>
      <c r="CJ136" s="3">
        <f t="shared" ca="1" si="164"/>
        <v>634</v>
      </c>
      <c r="CK136" s="3">
        <f t="shared" ca="1" si="165"/>
        <v>8.2592357945647371E-3</v>
      </c>
      <c r="CL136" s="3">
        <f t="shared" ca="1" si="166"/>
        <v>0</v>
      </c>
      <c r="CM136" s="3"/>
      <c r="CN136" s="1">
        <f t="shared" ca="1" si="167"/>
        <v>1.7587018339015108</v>
      </c>
      <c r="CO136" s="1">
        <f t="shared" ca="1" si="168"/>
        <v>5.8771487427099464E-2</v>
      </c>
      <c r="CP136" s="1">
        <f t="shared" ca="1" si="169"/>
        <v>3</v>
      </c>
    </row>
    <row r="137" spans="2:94" x14ac:dyDescent="0.25">
      <c r="B137">
        <f t="shared" ca="1" si="114"/>
        <v>34</v>
      </c>
      <c r="C137">
        <f t="shared" ca="1" si="115"/>
        <v>27</v>
      </c>
      <c r="D137">
        <f t="shared" ca="1" si="116"/>
        <v>9.9108089275959779E-2</v>
      </c>
      <c r="F137" s="1">
        <f t="shared" ca="1" si="117"/>
        <v>7</v>
      </c>
      <c r="G137" s="1">
        <f t="shared" ca="1" si="118"/>
        <v>15</v>
      </c>
      <c r="H137" s="1">
        <f t="shared" ca="1" si="119"/>
        <v>13</v>
      </c>
      <c r="I137" s="1"/>
      <c r="J137" s="1">
        <f t="shared" ca="1" si="120"/>
        <v>18</v>
      </c>
      <c r="K137" s="1">
        <f t="shared" ca="1" si="121"/>
        <v>2.0003875568523375</v>
      </c>
      <c r="L137" s="1">
        <f t="shared" ca="1" si="122"/>
        <v>32</v>
      </c>
      <c r="M137" s="1"/>
      <c r="N137" s="1">
        <f t="shared" ca="1" si="123"/>
        <v>541</v>
      </c>
      <c r="O137" s="1">
        <f t="shared" ca="1" si="124"/>
        <v>7</v>
      </c>
      <c r="P137" s="1"/>
      <c r="Q137" s="1">
        <f t="shared" ca="1" si="125"/>
        <v>4.3948720542457202</v>
      </c>
      <c r="R137" s="1">
        <f t="shared" ca="1" si="126"/>
        <v>540</v>
      </c>
      <c r="S137" s="1"/>
      <c r="T137" s="1">
        <f t="shared" ca="1" si="127"/>
        <v>6.9018433039288882E-2</v>
      </c>
      <c r="U137" s="1">
        <f t="shared" ca="1" si="128"/>
        <v>118</v>
      </c>
      <c r="V137" s="1">
        <f t="shared" ca="1" si="129"/>
        <v>32</v>
      </c>
      <c r="W137" s="1"/>
      <c r="X137" s="1">
        <f t="shared" ca="1" si="130"/>
        <v>5.4914724903743206</v>
      </c>
      <c r="Y137" s="1">
        <f t="shared" ca="1" si="131"/>
        <v>0.26278059256887126</v>
      </c>
      <c r="Z137" s="1">
        <f t="shared" ca="1" si="132"/>
        <v>684</v>
      </c>
      <c r="AB137" s="1">
        <f t="shared" ca="1" si="133"/>
        <v>0.58733070326714631</v>
      </c>
      <c r="AC137" s="1">
        <f t="shared" ca="1" si="134"/>
        <v>203</v>
      </c>
      <c r="AD137" s="1">
        <f t="shared" ca="1" si="135"/>
        <v>7.6073287280264534E-4</v>
      </c>
      <c r="AE137" s="1"/>
      <c r="AF137" s="1">
        <f t="shared" ca="1" si="136"/>
        <v>0.35200924395859035</v>
      </c>
      <c r="AG137" s="1">
        <f t="shared" ca="1" si="137"/>
        <v>645</v>
      </c>
      <c r="AH137" s="1">
        <f t="shared" ca="1" si="138"/>
        <v>9.3522722935758945E-3</v>
      </c>
      <c r="AJ137" s="1">
        <f t="shared" ca="1" si="139"/>
        <v>0.11344614036729195</v>
      </c>
      <c r="AK137" s="1">
        <f t="shared" ca="1" si="140"/>
        <v>2.6966502145068382E-3</v>
      </c>
      <c r="AL137" s="1"/>
      <c r="AM137" s="1">
        <f t="shared" ca="1" si="141"/>
        <v>2.5014932162107265E-2</v>
      </c>
      <c r="AN137" s="1">
        <f t="shared" ca="1" si="142"/>
        <v>37</v>
      </c>
      <c r="AO137" s="1">
        <f t="shared" ca="1" si="143"/>
        <v>3</v>
      </c>
      <c r="AQ137" s="1">
        <f t="shared" ca="1" si="144"/>
        <v>115</v>
      </c>
      <c r="AR137" s="1">
        <f t="shared" ca="1" si="145"/>
        <v>5</v>
      </c>
      <c r="AS137" s="1">
        <f t="shared" ca="1" si="146"/>
        <v>35</v>
      </c>
      <c r="AU137" s="1">
        <f t="shared" ca="1" si="147"/>
        <v>68</v>
      </c>
      <c r="AV137" s="1">
        <f t="shared" ca="1" si="148"/>
        <v>9</v>
      </c>
      <c r="AW137" s="1">
        <f t="shared" ca="1" si="149"/>
        <v>9.690751794981925E-2</v>
      </c>
      <c r="AY137" s="1">
        <f t="shared" ca="1" si="150"/>
        <v>1.3922308056098058</v>
      </c>
      <c r="AZ137" s="1">
        <f t="shared" ca="1" si="151"/>
        <v>290</v>
      </c>
      <c r="BA137" s="1">
        <f t="shared" ca="1" si="152"/>
        <v>2.9057982647721827E-4</v>
      </c>
      <c r="BV137" s="1">
        <f t="shared" ca="1" si="153"/>
        <v>0.81692962712834361</v>
      </c>
      <c r="BW137" s="1">
        <f t="shared" ca="1" si="154"/>
        <v>651</v>
      </c>
      <c r="BX137" s="1">
        <f t="shared" ca="1" si="155"/>
        <v>3.6317108213239932E-4</v>
      </c>
      <c r="BY137" s="1">
        <f t="shared" ca="1" si="156"/>
        <v>6.3890724554110101E-2</v>
      </c>
      <c r="BZ137" s="1">
        <f t="shared" ca="1" si="157"/>
        <v>0.64182515302217191</v>
      </c>
      <c r="CB137" s="1">
        <f t="shared" ca="1" si="158"/>
        <v>264</v>
      </c>
      <c r="CC137" s="1">
        <f t="shared" ca="1" si="159"/>
        <v>5</v>
      </c>
      <c r="CD137" s="1">
        <f t="shared" ca="1" si="160"/>
        <v>5.2781745782159106E-2</v>
      </c>
      <c r="CE137" s="1">
        <f t="shared" ca="1" si="161"/>
        <v>0.69574020216169719</v>
      </c>
      <c r="CF137" s="1">
        <f t="shared" ca="1" si="161"/>
        <v>0.59116707593696549</v>
      </c>
      <c r="CH137" s="3">
        <f t="shared" ca="1" si="162"/>
        <v>0.87342711255243644</v>
      </c>
      <c r="CI137" s="3">
        <f t="shared" ca="1" si="163"/>
        <v>0.97119388119296524</v>
      </c>
      <c r="CJ137" s="3">
        <f t="shared" ca="1" si="164"/>
        <v>849</v>
      </c>
      <c r="CK137" s="3">
        <f t="shared" ca="1" si="165"/>
        <v>3.5466185312375614E-3</v>
      </c>
      <c r="CL137" s="3">
        <f t="shared" ca="1" si="166"/>
        <v>1</v>
      </c>
      <c r="CM137" s="3"/>
      <c r="CN137" s="1">
        <f t="shared" ca="1" si="167"/>
        <v>6.8350217484124478</v>
      </c>
      <c r="CO137" s="1">
        <f t="shared" ca="1" si="168"/>
        <v>0.20375559811342067</v>
      </c>
      <c r="CP137" s="1">
        <f t="shared" ca="1" si="169"/>
        <v>2</v>
      </c>
    </row>
    <row r="138" spans="2:94" x14ac:dyDescent="0.25">
      <c r="B138">
        <f t="shared" ca="1" si="114"/>
        <v>17</v>
      </c>
      <c r="C138">
        <f t="shared" ca="1" si="115"/>
        <v>36</v>
      </c>
      <c r="D138">
        <f t="shared" ca="1" si="116"/>
        <v>0.20658051660082238</v>
      </c>
      <c r="F138" s="1">
        <f t="shared" ca="1" si="117"/>
        <v>20</v>
      </c>
      <c r="G138" s="1">
        <f t="shared" ca="1" si="118"/>
        <v>26</v>
      </c>
      <c r="H138" s="1">
        <f t="shared" ca="1" si="119"/>
        <v>4</v>
      </c>
      <c r="I138" s="1"/>
      <c r="J138" s="1">
        <f t="shared" ca="1" si="120"/>
        <v>18</v>
      </c>
      <c r="K138" s="1">
        <f t="shared" ca="1" si="121"/>
        <v>1.3675183448111039</v>
      </c>
      <c r="L138" s="1">
        <f t="shared" ca="1" si="122"/>
        <v>30</v>
      </c>
      <c r="M138" s="1"/>
      <c r="N138" s="1">
        <f t="shared" ca="1" si="123"/>
        <v>794</v>
      </c>
      <c r="O138" s="1">
        <f t="shared" ca="1" si="124"/>
        <v>3</v>
      </c>
      <c r="P138" s="1"/>
      <c r="Q138" s="1">
        <f t="shared" ca="1" si="125"/>
        <v>1.2418412908467245</v>
      </c>
      <c r="R138" s="1">
        <f t="shared" ca="1" si="126"/>
        <v>557</v>
      </c>
      <c r="S138" s="1"/>
      <c r="T138" s="1">
        <f t="shared" ca="1" si="127"/>
        <v>0.18805737931412958</v>
      </c>
      <c r="U138" s="1">
        <f t="shared" ca="1" si="128"/>
        <v>377</v>
      </c>
      <c r="V138" s="1">
        <f t="shared" ca="1" si="129"/>
        <v>51</v>
      </c>
      <c r="W138" s="1"/>
      <c r="X138" s="1">
        <f t="shared" ca="1" si="130"/>
        <v>0.77604153075760618</v>
      </c>
      <c r="Y138" s="1">
        <f t="shared" ca="1" si="131"/>
        <v>0.21454877735596772</v>
      </c>
      <c r="Z138" s="1">
        <f t="shared" ca="1" si="132"/>
        <v>1073</v>
      </c>
      <c r="AB138" s="1">
        <f t="shared" ca="1" si="133"/>
        <v>0.41172119839108634</v>
      </c>
      <c r="AC138" s="1">
        <f t="shared" ca="1" si="134"/>
        <v>671</v>
      </c>
      <c r="AD138" s="1">
        <f t="shared" ca="1" si="135"/>
        <v>8.9683629893157306E-3</v>
      </c>
      <c r="AE138" s="1"/>
      <c r="AF138" s="1">
        <f t="shared" ca="1" si="136"/>
        <v>0.80320170036246352</v>
      </c>
      <c r="AG138" s="1">
        <f t="shared" ca="1" si="137"/>
        <v>397</v>
      </c>
      <c r="AH138" s="1">
        <f t="shared" ca="1" si="138"/>
        <v>7.9753446629022545E-3</v>
      </c>
      <c r="AJ138" s="1">
        <f t="shared" ca="1" si="139"/>
        <v>0.22994104732384568</v>
      </c>
      <c r="AK138" s="1">
        <f t="shared" ca="1" si="140"/>
        <v>3.0570859052240973E-3</v>
      </c>
      <c r="AL138" s="1"/>
      <c r="AM138" s="1">
        <f t="shared" ca="1" si="141"/>
        <v>3.4115419891798109E-2</v>
      </c>
      <c r="AN138" s="1">
        <f t="shared" ca="1" si="142"/>
        <v>32</v>
      </c>
      <c r="AO138" s="1">
        <f t="shared" ca="1" si="143"/>
        <v>4</v>
      </c>
      <c r="AQ138" s="1">
        <f t="shared" ca="1" si="144"/>
        <v>49</v>
      </c>
      <c r="AR138" s="1">
        <f t="shared" ca="1" si="145"/>
        <v>10</v>
      </c>
      <c r="AS138" s="1">
        <f t="shared" ca="1" si="146"/>
        <v>71</v>
      </c>
      <c r="AU138" s="1">
        <f t="shared" ca="1" si="147"/>
        <v>276</v>
      </c>
      <c r="AV138" s="1">
        <f t="shared" ca="1" si="148"/>
        <v>9</v>
      </c>
      <c r="AW138" s="1">
        <f t="shared" ca="1" si="149"/>
        <v>0.19712388458663879</v>
      </c>
      <c r="AY138" s="1">
        <f t="shared" ca="1" si="150"/>
        <v>1.5136787911249927</v>
      </c>
      <c r="AZ138" s="1">
        <f t="shared" ca="1" si="151"/>
        <v>84</v>
      </c>
      <c r="BA138" s="1">
        <f t="shared" ca="1" si="152"/>
        <v>6.4069126464532788E-3</v>
      </c>
      <c r="BV138" s="1">
        <f t="shared" ca="1" si="153"/>
        <v>0.3134916707324597</v>
      </c>
      <c r="BW138" s="1">
        <f t="shared" ca="1" si="154"/>
        <v>607</v>
      </c>
      <c r="BX138" s="1">
        <f t="shared" ca="1" si="155"/>
        <v>1.529064318037641E-3</v>
      </c>
      <c r="BY138" s="1">
        <f t="shared" ca="1" si="156"/>
        <v>1.9600812408056552E-3</v>
      </c>
      <c r="BZ138" s="1">
        <f t="shared" ca="1" si="157"/>
        <v>0.46439593343434193</v>
      </c>
      <c r="CB138" s="1">
        <f t="shared" ca="1" si="158"/>
        <v>326</v>
      </c>
      <c r="CC138" s="1">
        <f t="shared" ca="1" si="159"/>
        <v>7</v>
      </c>
      <c r="CD138" s="1">
        <f t="shared" ca="1" si="160"/>
        <v>0.15955869161150324</v>
      </c>
      <c r="CE138" s="1">
        <f t="shared" ca="1" si="161"/>
        <v>0.65822910749182773</v>
      </c>
      <c r="CF138" s="1">
        <f t="shared" ca="1" si="161"/>
        <v>0.68826865525514269</v>
      </c>
      <c r="CH138" s="3">
        <f t="shared" ca="1" si="162"/>
        <v>0.7961664818156845</v>
      </c>
      <c r="CI138" s="3">
        <f t="shared" ca="1" si="163"/>
        <v>7.5050667930847026E-2</v>
      </c>
      <c r="CJ138" s="3">
        <f t="shared" ca="1" si="164"/>
        <v>878</v>
      </c>
      <c r="CK138" s="3">
        <f t="shared" ca="1" si="165"/>
        <v>3.2258258437704323E-3</v>
      </c>
      <c r="CL138" s="3">
        <f t="shared" ca="1" si="166"/>
        <v>1</v>
      </c>
      <c r="CM138" s="3"/>
      <c r="CN138" s="1">
        <f t="shared" ca="1" si="167"/>
        <v>1.074581559037868</v>
      </c>
      <c r="CO138" s="1">
        <f t="shared" ca="1" si="168"/>
        <v>0.30565342908378124</v>
      </c>
      <c r="CP138" s="1">
        <f t="shared" ca="1" si="169"/>
        <v>2</v>
      </c>
    </row>
    <row r="139" spans="2:94" x14ac:dyDescent="0.25">
      <c r="B139">
        <f t="shared" ca="1" si="114"/>
        <v>560</v>
      </c>
      <c r="C139">
        <f t="shared" ca="1" si="115"/>
        <v>46</v>
      </c>
      <c r="D139">
        <f t="shared" ca="1" si="116"/>
        <v>7.8385321662199178E-2</v>
      </c>
      <c r="F139" s="1">
        <f t="shared" ca="1" si="117"/>
        <v>9</v>
      </c>
      <c r="G139" s="1">
        <f t="shared" ca="1" si="118"/>
        <v>18</v>
      </c>
      <c r="H139" s="1">
        <f t="shared" ca="1" si="119"/>
        <v>9</v>
      </c>
      <c r="I139" s="1"/>
      <c r="J139" s="1">
        <f t="shared" ca="1" si="120"/>
        <v>36</v>
      </c>
      <c r="K139" s="1">
        <f t="shared" ca="1" si="121"/>
        <v>2.1664193661737396</v>
      </c>
      <c r="L139" s="1">
        <f t="shared" ca="1" si="122"/>
        <v>19</v>
      </c>
      <c r="M139" s="1"/>
      <c r="N139" s="1">
        <f t="shared" ca="1" si="123"/>
        <v>790</v>
      </c>
      <c r="O139" s="1">
        <f t="shared" ca="1" si="124"/>
        <v>49</v>
      </c>
      <c r="P139" s="1"/>
      <c r="Q139" s="1">
        <f t="shared" ca="1" si="125"/>
        <v>1.087197673027599</v>
      </c>
      <c r="R139" s="1">
        <f t="shared" ca="1" si="126"/>
        <v>423</v>
      </c>
      <c r="S139" s="1"/>
      <c r="T139" s="1">
        <f t="shared" ca="1" si="127"/>
        <v>2.7114363160129759E-2</v>
      </c>
      <c r="U139" s="1">
        <f t="shared" ca="1" si="128"/>
        <v>281</v>
      </c>
      <c r="V139" s="1">
        <f t="shared" ca="1" si="129"/>
        <v>29</v>
      </c>
      <c r="W139" s="1"/>
      <c r="X139" s="1">
        <f t="shared" ca="1" si="130"/>
        <v>3.8950716493585715</v>
      </c>
      <c r="Y139" s="1">
        <f t="shared" ca="1" si="131"/>
        <v>0.51839473447410467</v>
      </c>
      <c r="Z139" s="1">
        <f t="shared" ca="1" si="132"/>
        <v>859</v>
      </c>
      <c r="AB139" s="1">
        <f t="shared" ca="1" si="133"/>
        <v>0.94541843056406583</v>
      </c>
      <c r="AC139" s="1">
        <f t="shared" ca="1" si="134"/>
        <v>620</v>
      </c>
      <c r="AD139" s="1">
        <f t="shared" ca="1" si="135"/>
        <v>1.7886252439142196E-3</v>
      </c>
      <c r="AE139" s="1"/>
      <c r="AF139" s="1">
        <f t="shared" ca="1" si="136"/>
        <v>0.30334930565780249</v>
      </c>
      <c r="AG139" s="1">
        <f t="shared" ca="1" si="137"/>
        <v>734</v>
      </c>
      <c r="AH139" s="1">
        <f t="shared" ca="1" si="138"/>
        <v>7.584068306519233E-3</v>
      </c>
      <c r="AJ139" s="1">
        <f t="shared" ca="1" si="139"/>
        <v>0.95938735279938148</v>
      </c>
      <c r="AK139" s="1">
        <f t="shared" ca="1" si="140"/>
        <v>9.5532289404220271E-3</v>
      </c>
      <c r="AL139" s="1"/>
      <c r="AM139" s="1">
        <f t="shared" ca="1" si="141"/>
        <v>8.3377782406573141E-3</v>
      </c>
      <c r="AN139" s="1">
        <f t="shared" ca="1" si="142"/>
        <v>50</v>
      </c>
      <c r="AO139" s="1">
        <f t="shared" ca="1" si="143"/>
        <v>7</v>
      </c>
      <c r="AQ139" s="1">
        <f t="shared" ca="1" si="144"/>
        <v>174</v>
      </c>
      <c r="AR139" s="1">
        <f t="shared" ca="1" si="145"/>
        <v>0</v>
      </c>
      <c r="AS139" s="1">
        <f t="shared" ca="1" si="146"/>
        <v>97</v>
      </c>
      <c r="AU139" s="1">
        <f t="shared" ca="1" si="147"/>
        <v>321</v>
      </c>
      <c r="AV139" s="1">
        <f t="shared" ca="1" si="148"/>
        <v>6</v>
      </c>
      <c r="AW139" s="1">
        <f t="shared" ca="1" si="149"/>
        <v>0.10268086262566924</v>
      </c>
      <c r="AY139" s="1">
        <f t="shared" ca="1" si="150"/>
        <v>1.2637466652498315</v>
      </c>
      <c r="AZ139" s="1">
        <f t="shared" ca="1" si="151"/>
        <v>81</v>
      </c>
      <c r="BA139" s="1">
        <f t="shared" ca="1" si="152"/>
        <v>7.5481220818822735E-3</v>
      </c>
      <c r="BV139" s="1">
        <f t="shared" ca="1" si="153"/>
        <v>4.2877050207358755E-2</v>
      </c>
      <c r="BW139" s="1">
        <f t="shared" ca="1" si="154"/>
        <v>564</v>
      </c>
      <c r="BX139" s="1">
        <f t="shared" ca="1" si="155"/>
        <v>5.4786636753561832E-3</v>
      </c>
      <c r="BY139" s="1">
        <f t="shared" ca="1" si="156"/>
        <v>7.8064721264894804E-2</v>
      </c>
      <c r="BZ139" s="1">
        <f t="shared" ca="1" si="157"/>
        <v>0.12090514026606625</v>
      </c>
      <c r="CB139" s="1">
        <f t="shared" ca="1" si="158"/>
        <v>131</v>
      </c>
      <c r="CC139" s="1">
        <f t="shared" ca="1" si="159"/>
        <v>3</v>
      </c>
      <c r="CD139" s="1">
        <f t="shared" ca="1" si="160"/>
        <v>0.29435499301792967</v>
      </c>
      <c r="CE139" s="1">
        <f t="shared" ca="1" si="161"/>
        <v>0.89681739576787511</v>
      </c>
      <c r="CF139" s="1">
        <f t="shared" ca="1" si="161"/>
        <v>0.80346308459448479</v>
      </c>
      <c r="CH139" s="3">
        <f t="shared" ca="1" si="162"/>
        <v>0.75865360629504441</v>
      </c>
      <c r="CI139" s="3">
        <f t="shared" ca="1" si="163"/>
        <v>0.78404382404387574</v>
      </c>
      <c r="CJ139" s="3">
        <f t="shared" ca="1" si="164"/>
        <v>1672</v>
      </c>
      <c r="CK139" s="3">
        <f t="shared" ca="1" si="165"/>
        <v>4.493408751345622E-3</v>
      </c>
      <c r="CL139" s="3">
        <f t="shared" ca="1" si="166"/>
        <v>0</v>
      </c>
      <c r="CM139" s="3"/>
      <c r="CN139" s="1">
        <f t="shared" ca="1" si="167"/>
        <v>7.0635916308548925</v>
      </c>
      <c r="CO139" s="1">
        <f t="shared" ca="1" si="168"/>
        <v>0.10826522271340334</v>
      </c>
      <c r="CP139" s="1">
        <f t="shared" ca="1" si="169"/>
        <v>4</v>
      </c>
    </row>
    <row r="140" spans="2:94" x14ac:dyDescent="0.25">
      <c r="B140">
        <f t="shared" ca="1" si="114"/>
        <v>888</v>
      </c>
      <c r="C140">
        <f t="shared" ca="1" si="115"/>
        <v>34</v>
      </c>
      <c r="D140">
        <f t="shared" ca="1" si="116"/>
        <v>0.11499833564643019</v>
      </c>
      <c r="F140" s="1">
        <f t="shared" ca="1" si="117"/>
        <v>20</v>
      </c>
      <c r="G140" s="1">
        <f t="shared" ca="1" si="118"/>
        <v>29</v>
      </c>
      <c r="H140" s="1">
        <f t="shared" ca="1" si="119"/>
        <v>10</v>
      </c>
      <c r="I140" s="1"/>
      <c r="J140" s="1">
        <f t="shared" ca="1" si="120"/>
        <v>31</v>
      </c>
      <c r="K140" s="1">
        <f t="shared" ca="1" si="121"/>
        <v>2.5081384965249205</v>
      </c>
      <c r="L140" s="1">
        <f t="shared" ca="1" si="122"/>
        <v>10</v>
      </c>
      <c r="M140" s="1"/>
      <c r="N140" s="1">
        <f t="shared" ca="1" si="123"/>
        <v>430</v>
      </c>
      <c r="O140" s="1">
        <f t="shared" ca="1" si="124"/>
        <v>46</v>
      </c>
      <c r="P140" s="1"/>
      <c r="Q140" s="1">
        <f t="shared" ca="1" si="125"/>
        <v>4.0149230189934313</v>
      </c>
      <c r="R140" s="1">
        <f t="shared" ca="1" si="126"/>
        <v>309</v>
      </c>
      <c r="S140" s="1"/>
      <c r="T140" s="1">
        <f t="shared" ca="1" si="127"/>
        <v>3.5174729536857408E-2</v>
      </c>
      <c r="U140" s="1">
        <f t="shared" ca="1" si="128"/>
        <v>368</v>
      </c>
      <c r="V140" s="1">
        <f t="shared" ca="1" si="129"/>
        <v>12</v>
      </c>
      <c r="W140" s="1"/>
      <c r="X140" s="1">
        <f t="shared" ca="1" si="130"/>
        <v>0.58488676663718553</v>
      </c>
      <c r="Y140" s="1">
        <f t="shared" ca="1" si="131"/>
        <v>0.72710673271209347</v>
      </c>
      <c r="Z140" s="1">
        <f t="shared" ca="1" si="132"/>
        <v>898</v>
      </c>
      <c r="AB140" s="1">
        <f t="shared" ca="1" si="133"/>
        <v>0.68861788827557058</v>
      </c>
      <c r="AC140" s="1">
        <f t="shared" ca="1" si="134"/>
        <v>436</v>
      </c>
      <c r="AD140" s="1">
        <f t="shared" ca="1" si="135"/>
        <v>1.8521257224416942E-3</v>
      </c>
      <c r="AE140" s="1"/>
      <c r="AF140" s="1">
        <f t="shared" ca="1" si="136"/>
        <v>0.87620609238763147</v>
      </c>
      <c r="AG140" s="1">
        <f t="shared" ca="1" si="137"/>
        <v>545</v>
      </c>
      <c r="AH140" s="1">
        <f t="shared" ca="1" si="138"/>
        <v>5.0443988944184909E-3</v>
      </c>
      <c r="AJ140" s="1">
        <f t="shared" ca="1" si="139"/>
        <v>0.75177850698323911</v>
      </c>
      <c r="AK140" s="1">
        <f t="shared" ca="1" si="140"/>
        <v>5.9456312913483637E-3</v>
      </c>
      <c r="AL140" s="1"/>
      <c r="AM140" s="1">
        <f t="shared" ca="1" si="141"/>
        <v>7.2049088028315139E-2</v>
      </c>
      <c r="AN140" s="1">
        <f t="shared" ca="1" si="142"/>
        <v>28</v>
      </c>
      <c r="AO140" s="1">
        <f t="shared" ca="1" si="143"/>
        <v>0</v>
      </c>
      <c r="AQ140" s="1">
        <f t="shared" ca="1" si="144"/>
        <v>120</v>
      </c>
      <c r="AR140" s="1">
        <f t="shared" ca="1" si="145"/>
        <v>6</v>
      </c>
      <c r="AS140" s="1">
        <f t="shared" ca="1" si="146"/>
        <v>56</v>
      </c>
      <c r="AU140" s="1">
        <f t="shared" ca="1" si="147"/>
        <v>103</v>
      </c>
      <c r="AV140" s="1">
        <f t="shared" ca="1" si="148"/>
        <v>8</v>
      </c>
      <c r="AW140" s="1">
        <f t="shared" ca="1" si="149"/>
        <v>0.19772013053999893</v>
      </c>
      <c r="AY140" s="1">
        <f t="shared" ca="1" si="150"/>
        <v>1.5461021315522649</v>
      </c>
      <c r="AZ140" s="1">
        <f t="shared" ca="1" si="151"/>
        <v>264</v>
      </c>
      <c r="BA140" s="1">
        <f t="shared" ca="1" si="152"/>
        <v>2.3718373504030949E-3</v>
      </c>
      <c r="BV140" s="1">
        <f t="shared" ca="1" si="153"/>
        <v>0.47103391585472509</v>
      </c>
      <c r="BW140" s="1">
        <f t="shared" ca="1" si="154"/>
        <v>405</v>
      </c>
      <c r="BX140" s="1">
        <f t="shared" ca="1" si="155"/>
        <v>6.6098805067077186E-3</v>
      </c>
      <c r="BY140" s="1">
        <f t="shared" ca="1" si="156"/>
        <v>1.8366595098004656E-2</v>
      </c>
      <c r="BZ140" s="1">
        <f t="shared" ca="1" si="157"/>
        <v>0.42671901241638832</v>
      </c>
      <c r="CB140" s="1">
        <f t="shared" ca="1" si="158"/>
        <v>432</v>
      </c>
      <c r="CC140" s="1">
        <f t="shared" ca="1" si="159"/>
        <v>3</v>
      </c>
      <c r="CD140" s="1">
        <f t="shared" ca="1" si="160"/>
        <v>0.21496281130475145</v>
      </c>
      <c r="CE140" s="1">
        <f t="shared" ca="1" si="161"/>
        <v>0.70185396081270146</v>
      </c>
      <c r="CF140" s="1">
        <f t="shared" ca="1" si="161"/>
        <v>0.54497059117390501</v>
      </c>
      <c r="CH140" s="3">
        <f t="shared" ca="1" si="162"/>
        <v>0.25724628148249318</v>
      </c>
      <c r="CI140" s="3">
        <f t="shared" ca="1" si="163"/>
        <v>0.17994933126980955</v>
      </c>
      <c r="CJ140" s="3">
        <f t="shared" ca="1" si="164"/>
        <v>1326</v>
      </c>
      <c r="CK140" s="3">
        <f t="shared" ca="1" si="165"/>
        <v>3.6984549320655058E-3</v>
      </c>
      <c r="CL140" s="3">
        <f t="shared" ca="1" si="166"/>
        <v>1</v>
      </c>
      <c r="CM140" s="3"/>
      <c r="CN140" s="1">
        <f t="shared" ca="1" si="167"/>
        <v>5.6888487544140105</v>
      </c>
      <c r="CO140" s="1">
        <f t="shared" ca="1" si="168"/>
        <v>0.43018444245529314</v>
      </c>
      <c r="CP140" s="1">
        <f t="shared" ca="1" si="169"/>
        <v>2</v>
      </c>
    </row>
    <row r="141" spans="2:94" x14ac:dyDescent="0.25">
      <c r="B141">
        <f t="shared" ca="1" si="114"/>
        <v>759</v>
      </c>
      <c r="C141">
        <f t="shared" ca="1" si="115"/>
        <v>34</v>
      </c>
      <c r="D141">
        <f t="shared" ca="1" si="116"/>
        <v>8.4031553964288547E-2</v>
      </c>
      <c r="F141" s="1">
        <f t="shared" ca="1" si="117"/>
        <v>33</v>
      </c>
      <c r="G141" s="1">
        <f t="shared" ca="1" si="118"/>
        <v>16</v>
      </c>
      <c r="H141" s="1">
        <f t="shared" ca="1" si="119"/>
        <v>14</v>
      </c>
      <c r="I141" s="1"/>
      <c r="J141" s="1">
        <f t="shared" ca="1" si="120"/>
        <v>2</v>
      </c>
      <c r="K141" s="1">
        <f t="shared" ca="1" si="121"/>
        <v>2.4350807604493423</v>
      </c>
      <c r="L141" s="1">
        <f t="shared" ca="1" si="122"/>
        <v>19</v>
      </c>
      <c r="M141" s="1"/>
      <c r="N141" s="1">
        <f t="shared" ca="1" si="123"/>
        <v>834</v>
      </c>
      <c r="O141" s="1">
        <f t="shared" ca="1" si="124"/>
        <v>49</v>
      </c>
      <c r="P141" s="1"/>
      <c r="Q141" s="1">
        <f t="shared" ca="1" si="125"/>
        <v>1.7728482151833509</v>
      </c>
      <c r="R141" s="1">
        <f t="shared" ca="1" si="126"/>
        <v>757</v>
      </c>
      <c r="S141" s="1"/>
      <c r="T141" s="1">
        <f t="shared" ca="1" si="127"/>
        <v>8.3379846114653322E-2</v>
      </c>
      <c r="U141" s="1">
        <f t="shared" ca="1" si="128"/>
        <v>185</v>
      </c>
      <c r="V141" s="1">
        <f t="shared" ca="1" si="129"/>
        <v>31</v>
      </c>
      <c r="W141" s="1"/>
      <c r="X141" s="1">
        <f t="shared" ca="1" si="130"/>
        <v>4.567211840827178</v>
      </c>
      <c r="Y141" s="1">
        <f t="shared" ca="1" si="131"/>
        <v>0.40712175475567036</v>
      </c>
      <c r="Z141" s="1">
        <f t="shared" ca="1" si="132"/>
        <v>918</v>
      </c>
      <c r="AB141" s="1">
        <f t="shared" ca="1" si="133"/>
        <v>0.14382145728082543</v>
      </c>
      <c r="AC141" s="1">
        <f t="shared" ca="1" si="134"/>
        <v>332</v>
      </c>
      <c r="AD141" s="1">
        <f t="shared" ca="1" si="135"/>
        <v>7.2936733958940906E-3</v>
      </c>
      <c r="AE141" s="1"/>
      <c r="AF141" s="1">
        <f t="shared" ca="1" si="136"/>
        <v>0.10069569095545364</v>
      </c>
      <c r="AG141" s="1">
        <f t="shared" ca="1" si="137"/>
        <v>485</v>
      </c>
      <c r="AH141" s="1">
        <f t="shared" ca="1" si="138"/>
        <v>4.5549212166737657E-3</v>
      </c>
      <c r="AJ141" s="1">
        <f t="shared" ca="1" si="139"/>
        <v>0.82938614157735002</v>
      </c>
      <c r="AK141" s="1">
        <f t="shared" ca="1" si="140"/>
        <v>6.6829453915701539E-3</v>
      </c>
      <c r="AL141" s="1"/>
      <c r="AM141" s="1">
        <f t="shared" ca="1" si="141"/>
        <v>0.19582368784950605</v>
      </c>
      <c r="AN141" s="1">
        <f t="shared" ca="1" si="142"/>
        <v>29</v>
      </c>
      <c r="AO141" s="1">
        <f t="shared" ca="1" si="143"/>
        <v>0</v>
      </c>
      <c r="AQ141" s="1">
        <f t="shared" ca="1" si="144"/>
        <v>170</v>
      </c>
      <c r="AR141" s="1">
        <f t="shared" ca="1" si="145"/>
        <v>5</v>
      </c>
      <c r="AS141" s="1">
        <f t="shared" ca="1" si="146"/>
        <v>71</v>
      </c>
      <c r="AU141" s="1">
        <f t="shared" ca="1" si="147"/>
        <v>336</v>
      </c>
      <c r="AV141" s="1">
        <f t="shared" ca="1" si="148"/>
        <v>8</v>
      </c>
      <c r="AW141" s="1">
        <f t="shared" ca="1" si="149"/>
        <v>7.6927067208916081E-2</v>
      </c>
      <c r="AY141" s="1">
        <f t="shared" ca="1" si="150"/>
        <v>1.3558239398806449</v>
      </c>
      <c r="AZ141" s="1">
        <f t="shared" ca="1" si="151"/>
        <v>307</v>
      </c>
      <c r="BA141" s="1">
        <f t="shared" ca="1" si="152"/>
        <v>5.0344605397569246E-4</v>
      </c>
      <c r="BV141" s="1">
        <f t="shared" ca="1" si="153"/>
        <v>0.78445584916091371</v>
      </c>
      <c r="BW141" s="1">
        <f t="shared" ca="1" si="154"/>
        <v>569</v>
      </c>
      <c r="BX141" s="1">
        <f t="shared" ca="1" si="155"/>
        <v>2.708242665761168E-3</v>
      </c>
      <c r="BY141" s="1">
        <f t="shared" ca="1" si="156"/>
        <v>8.3006227070321723E-2</v>
      </c>
      <c r="BZ141" s="1">
        <f t="shared" ca="1" si="157"/>
        <v>5.3845636458359936E-2</v>
      </c>
      <c r="CB141" s="1">
        <f t="shared" ca="1" si="158"/>
        <v>387</v>
      </c>
      <c r="CC141" s="1">
        <f t="shared" ca="1" si="159"/>
        <v>6</v>
      </c>
      <c r="CD141" s="1">
        <f t="shared" ca="1" si="160"/>
        <v>0.27278992786869943</v>
      </c>
      <c r="CE141" s="1">
        <f t="shared" ca="1" si="161"/>
        <v>0.94721462141126755</v>
      </c>
      <c r="CF141" s="1">
        <f t="shared" ca="1" si="161"/>
        <v>0.76412922935231986</v>
      </c>
      <c r="CH141" s="3">
        <f t="shared" ca="1" si="162"/>
        <v>0.25777146849332044</v>
      </c>
      <c r="CI141" s="3">
        <f t="shared" ca="1" si="163"/>
        <v>0.88868487012701036</v>
      </c>
      <c r="CJ141" s="3">
        <f t="shared" ca="1" si="164"/>
        <v>587</v>
      </c>
      <c r="CK141" s="3">
        <f t="shared" ca="1" si="165"/>
        <v>3.7633444218665448E-3</v>
      </c>
      <c r="CL141" s="3">
        <f t="shared" ca="1" si="166"/>
        <v>0</v>
      </c>
      <c r="CM141" s="3"/>
      <c r="CN141" s="1">
        <f t="shared" ca="1" si="167"/>
        <v>5.2820282054367045</v>
      </c>
      <c r="CO141" s="1">
        <f t="shared" ca="1" si="168"/>
        <v>0.25591241826122779</v>
      </c>
      <c r="CP141" s="1">
        <f t="shared" ca="1" si="169"/>
        <v>4</v>
      </c>
    </row>
    <row r="142" spans="2:94" x14ac:dyDescent="0.25">
      <c r="B142">
        <f t="shared" ca="1" si="114"/>
        <v>231</v>
      </c>
      <c r="C142">
        <f t="shared" ca="1" si="115"/>
        <v>28</v>
      </c>
      <c r="D142">
        <f t="shared" ca="1" si="116"/>
        <v>0.26286732201201773</v>
      </c>
      <c r="F142" s="1">
        <f t="shared" ca="1" si="117"/>
        <v>2</v>
      </c>
      <c r="G142" s="1">
        <f t="shared" ca="1" si="118"/>
        <v>30</v>
      </c>
      <c r="H142" s="1">
        <f t="shared" ca="1" si="119"/>
        <v>13</v>
      </c>
      <c r="I142" s="1"/>
      <c r="J142" s="1">
        <f t="shared" ca="1" si="120"/>
        <v>25</v>
      </c>
      <c r="K142" s="1">
        <f t="shared" ca="1" si="121"/>
        <v>2.312882208422006</v>
      </c>
      <c r="L142" s="1">
        <f t="shared" ca="1" si="122"/>
        <v>14</v>
      </c>
      <c r="M142" s="1"/>
      <c r="N142" s="1">
        <f t="shared" ca="1" si="123"/>
        <v>969</v>
      </c>
      <c r="O142" s="1">
        <f t="shared" ca="1" si="124"/>
        <v>42</v>
      </c>
      <c r="P142" s="1"/>
      <c r="Q142" s="1">
        <f t="shared" ca="1" si="125"/>
        <v>1.8844657358311139</v>
      </c>
      <c r="R142" s="1">
        <f t="shared" ca="1" si="126"/>
        <v>719</v>
      </c>
      <c r="S142" s="1"/>
      <c r="T142" s="1">
        <f t="shared" ca="1" si="127"/>
        <v>1.1841386351127059E-2</v>
      </c>
      <c r="U142" s="1">
        <f t="shared" ca="1" si="128"/>
        <v>156</v>
      </c>
      <c r="V142" s="1">
        <f t="shared" ca="1" si="129"/>
        <v>24</v>
      </c>
      <c r="W142" s="1"/>
      <c r="X142" s="1">
        <f t="shared" ca="1" si="130"/>
        <v>5.5212055732052887</v>
      </c>
      <c r="Y142" s="1">
        <f t="shared" ca="1" si="131"/>
        <v>0.44140828054295622</v>
      </c>
      <c r="Z142" s="1">
        <f t="shared" ca="1" si="132"/>
        <v>1780</v>
      </c>
      <c r="AB142" s="1">
        <f t="shared" ca="1" si="133"/>
        <v>0.54203209664550223</v>
      </c>
      <c r="AC142" s="1">
        <f t="shared" ca="1" si="134"/>
        <v>436</v>
      </c>
      <c r="AD142" s="1">
        <f t="shared" ca="1" si="135"/>
        <v>7.7154227340899264E-3</v>
      </c>
      <c r="AE142" s="1"/>
      <c r="AF142" s="1">
        <f t="shared" ca="1" si="136"/>
        <v>0.73653655141056251</v>
      </c>
      <c r="AG142" s="1">
        <f t="shared" ca="1" si="137"/>
        <v>981</v>
      </c>
      <c r="AH142" s="1">
        <f t="shared" ca="1" si="138"/>
        <v>6.0388314910519436E-3</v>
      </c>
      <c r="AJ142" s="1">
        <f t="shared" ca="1" si="139"/>
        <v>3.746535143847507E-2</v>
      </c>
      <c r="AK142" s="1">
        <f t="shared" ca="1" si="140"/>
        <v>2.37974820238343E-3</v>
      </c>
      <c r="AL142" s="1"/>
      <c r="AM142" s="1">
        <f t="shared" ca="1" si="141"/>
        <v>0.1301784796811325</v>
      </c>
      <c r="AN142" s="1">
        <f t="shared" ca="1" si="142"/>
        <v>71</v>
      </c>
      <c r="AO142" s="1">
        <f t="shared" ca="1" si="143"/>
        <v>9</v>
      </c>
      <c r="AQ142" s="1">
        <f t="shared" ca="1" si="144"/>
        <v>192</v>
      </c>
      <c r="AR142" s="1">
        <f t="shared" ca="1" si="145"/>
        <v>2</v>
      </c>
      <c r="AS142" s="1">
        <f t="shared" ca="1" si="146"/>
        <v>91</v>
      </c>
      <c r="AU142" s="1">
        <f t="shared" ca="1" si="147"/>
        <v>131</v>
      </c>
      <c r="AV142" s="1">
        <f t="shared" ca="1" si="148"/>
        <v>7</v>
      </c>
      <c r="AW142" s="1">
        <f t="shared" ca="1" si="149"/>
        <v>9.4382098112600066E-2</v>
      </c>
      <c r="AY142" s="1">
        <f t="shared" ca="1" si="150"/>
        <v>1.2199440104810393</v>
      </c>
      <c r="AZ142" s="1">
        <f t="shared" ca="1" si="151"/>
        <v>211</v>
      </c>
      <c r="BA142" s="1">
        <f t="shared" ca="1" si="152"/>
        <v>2.9800798089844398E-3</v>
      </c>
      <c r="BV142" s="1">
        <f t="shared" ca="1" si="153"/>
        <v>0.17411708311121943</v>
      </c>
      <c r="BW142" s="1">
        <f t="shared" ca="1" si="154"/>
        <v>101</v>
      </c>
      <c r="BX142" s="1">
        <f t="shared" ca="1" si="155"/>
        <v>6.1575506596462425E-3</v>
      </c>
      <c r="BY142" s="1">
        <f t="shared" ca="1" si="156"/>
        <v>8.309352774536527E-2</v>
      </c>
      <c r="BZ142" s="1">
        <f t="shared" ca="1" si="157"/>
        <v>0.41059208162279281</v>
      </c>
      <c r="CB142" s="1">
        <f t="shared" ca="1" si="158"/>
        <v>222</v>
      </c>
      <c r="CC142" s="1">
        <f t="shared" ca="1" si="159"/>
        <v>13</v>
      </c>
      <c r="CD142" s="1">
        <f t="shared" ca="1" si="160"/>
        <v>0.15997377317050071</v>
      </c>
      <c r="CE142" s="1">
        <f t="shared" ca="1" si="161"/>
        <v>0.71156990364496431</v>
      </c>
      <c r="CF142" s="1">
        <f t="shared" ca="1" si="161"/>
        <v>0.804109992805361</v>
      </c>
      <c r="CH142" s="3">
        <f t="shared" ca="1" si="162"/>
        <v>0.42597795933240118</v>
      </c>
      <c r="CI142" s="3">
        <f t="shared" ca="1" si="163"/>
        <v>0.51162231153381976</v>
      </c>
      <c r="CJ142" s="3">
        <f t="shared" ca="1" si="164"/>
        <v>1374</v>
      </c>
      <c r="CK142" s="3">
        <f t="shared" ca="1" si="165"/>
        <v>1.5581872163632079E-3</v>
      </c>
      <c r="CL142" s="3">
        <f t="shared" ca="1" si="166"/>
        <v>1</v>
      </c>
      <c r="CM142" s="3"/>
      <c r="CN142" s="1">
        <f t="shared" ca="1" si="167"/>
        <v>16.297025837696427</v>
      </c>
      <c r="CO142" s="1">
        <f t="shared" ca="1" si="168"/>
        <v>0.34891098358398726</v>
      </c>
      <c r="CP142" s="1">
        <f t="shared" ca="1" si="169"/>
        <v>2</v>
      </c>
    </row>
    <row r="143" spans="2:94" x14ac:dyDescent="0.25">
      <c r="B143">
        <f t="shared" ca="1" si="114"/>
        <v>227</v>
      </c>
      <c r="C143">
        <f t="shared" ca="1" si="115"/>
        <v>46</v>
      </c>
      <c r="D143">
        <f t="shared" ca="1" si="116"/>
        <v>0.14478346404470052</v>
      </c>
      <c r="F143" s="1">
        <f t="shared" ca="1" si="117"/>
        <v>11</v>
      </c>
      <c r="G143" s="1">
        <f t="shared" ca="1" si="118"/>
        <v>3</v>
      </c>
      <c r="H143" s="1">
        <f t="shared" ca="1" si="119"/>
        <v>12</v>
      </c>
      <c r="I143" s="1"/>
      <c r="J143" s="1">
        <f t="shared" ca="1" si="120"/>
        <v>15</v>
      </c>
      <c r="K143" s="1">
        <f t="shared" ca="1" si="121"/>
        <v>2.1738700823514678</v>
      </c>
      <c r="L143" s="1">
        <f t="shared" ca="1" si="122"/>
        <v>24</v>
      </c>
      <c r="M143" s="1"/>
      <c r="N143" s="1">
        <f t="shared" ca="1" si="123"/>
        <v>820</v>
      </c>
      <c r="O143" s="1">
        <f t="shared" ca="1" si="124"/>
        <v>45</v>
      </c>
      <c r="P143" s="1"/>
      <c r="Q143" s="1">
        <f t="shared" ca="1" si="125"/>
        <v>2.6266303427331539</v>
      </c>
      <c r="R143" s="1">
        <f t="shared" ca="1" si="126"/>
        <v>341</v>
      </c>
      <c r="S143" s="1"/>
      <c r="T143" s="1">
        <f t="shared" ca="1" si="127"/>
        <v>0.15596592270569939</v>
      </c>
      <c r="U143" s="1">
        <f t="shared" ca="1" si="128"/>
        <v>186</v>
      </c>
      <c r="V143" s="1">
        <f t="shared" ca="1" si="129"/>
        <v>10</v>
      </c>
      <c r="W143" s="1"/>
      <c r="X143" s="1">
        <f t="shared" ca="1" si="130"/>
        <v>6.2640857340197647</v>
      </c>
      <c r="Y143" s="1">
        <f t="shared" ca="1" si="131"/>
        <v>0.3260119715009665</v>
      </c>
      <c r="Z143" s="1">
        <f t="shared" ca="1" si="132"/>
        <v>1650</v>
      </c>
      <c r="AB143" s="1">
        <f t="shared" ca="1" si="133"/>
        <v>0.98639951494289935</v>
      </c>
      <c r="AC143" s="1">
        <f t="shared" ca="1" si="134"/>
        <v>554</v>
      </c>
      <c r="AD143" s="1">
        <f t="shared" ca="1" si="135"/>
        <v>1.0920689246613196E-3</v>
      </c>
      <c r="AE143" s="1"/>
      <c r="AF143" s="1">
        <f t="shared" ca="1" si="136"/>
        <v>0.58103132639511534</v>
      </c>
      <c r="AG143" s="1">
        <f t="shared" ca="1" si="137"/>
        <v>822</v>
      </c>
      <c r="AH143" s="1">
        <f t="shared" ca="1" si="138"/>
        <v>1.0066340991924318E-3</v>
      </c>
      <c r="AJ143" s="1">
        <f t="shared" ca="1" si="139"/>
        <v>0.61845783401195786</v>
      </c>
      <c r="AK143" s="1">
        <f t="shared" ca="1" si="140"/>
        <v>3.2769364850431834E-3</v>
      </c>
      <c r="AL143" s="1"/>
      <c r="AM143" s="1">
        <f t="shared" ca="1" si="141"/>
        <v>0.18895652829556456</v>
      </c>
      <c r="AN143" s="1">
        <f t="shared" ca="1" si="142"/>
        <v>38</v>
      </c>
      <c r="AO143" s="1">
        <f t="shared" ca="1" si="143"/>
        <v>9</v>
      </c>
      <c r="AQ143" s="1">
        <f t="shared" ca="1" si="144"/>
        <v>180</v>
      </c>
      <c r="AR143" s="1">
        <f t="shared" ca="1" si="145"/>
        <v>1</v>
      </c>
      <c r="AS143" s="1">
        <f t="shared" ca="1" si="146"/>
        <v>36</v>
      </c>
      <c r="AU143" s="1">
        <f t="shared" ca="1" si="147"/>
        <v>148</v>
      </c>
      <c r="AV143" s="1">
        <f t="shared" ca="1" si="148"/>
        <v>10</v>
      </c>
      <c r="AW143" s="1">
        <f t="shared" ca="1" si="149"/>
        <v>3.6311659428434243E-2</v>
      </c>
      <c r="AY143" s="1">
        <f t="shared" ca="1" si="150"/>
        <v>1.9793216261395705</v>
      </c>
      <c r="AZ143" s="1">
        <f t="shared" ca="1" si="151"/>
        <v>360</v>
      </c>
      <c r="BA143" s="1">
        <f t="shared" ca="1" si="152"/>
        <v>4.1745787610950403E-3</v>
      </c>
      <c r="BV143" s="1">
        <f t="shared" ca="1" si="153"/>
        <v>0.89906119706478915</v>
      </c>
      <c r="BW143" s="1">
        <f t="shared" ca="1" si="154"/>
        <v>248</v>
      </c>
      <c r="BX143" s="1">
        <f t="shared" ca="1" si="155"/>
        <v>6.1181014313870094E-3</v>
      </c>
      <c r="BY143" s="1">
        <f t="shared" ca="1" si="156"/>
        <v>5.3314429568269407E-2</v>
      </c>
      <c r="BZ143" s="1">
        <f t="shared" ca="1" si="157"/>
        <v>0.33522832620101894</v>
      </c>
      <c r="CB143" s="1">
        <f t="shared" ca="1" si="158"/>
        <v>421</v>
      </c>
      <c r="CC143" s="1">
        <f t="shared" ca="1" si="159"/>
        <v>8</v>
      </c>
      <c r="CD143" s="1">
        <f t="shared" ca="1" si="160"/>
        <v>2.0006443353732174E-2</v>
      </c>
      <c r="CE143" s="1">
        <f t="shared" ca="1" si="161"/>
        <v>0.58999681432191198</v>
      </c>
      <c r="CF143" s="1">
        <f t="shared" ca="1" si="161"/>
        <v>0.77816443487869746</v>
      </c>
      <c r="CH143" s="3">
        <f t="shared" ca="1" si="162"/>
        <v>0.66516910431643816</v>
      </c>
      <c r="CI143" s="3">
        <f t="shared" ca="1" si="163"/>
        <v>0.6846356065917869</v>
      </c>
      <c r="CJ143" s="3">
        <f t="shared" ca="1" si="164"/>
        <v>1963</v>
      </c>
      <c r="CK143" s="3">
        <f t="shared" ca="1" si="165"/>
        <v>5.1487786472804564E-3</v>
      </c>
      <c r="CL143" s="3">
        <f t="shared" ca="1" si="166"/>
        <v>1</v>
      </c>
      <c r="CM143" s="3"/>
      <c r="CN143" s="1">
        <f t="shared" ca="1" si="167"/>
        <v>0.72409056461102739</v>
      </c>
      <c r="CO143" s="1">
        <f t="shared" ca="1" si="168"/>
        <v>3.5407055091266147E-2</v>
      </c>
      <c r="CP143" s="1">
        <f t="shared" ca="1" si="169"/>
        <v>2</v>
      </c>
    </row>
    <row r="144" spans="2:94" x14ac:dyDescent="0.25">
      <c r="B144">
        <f t="shared" ca="1" si="114"/>
        <v>235</v>
      </c>
      <c r="C144">
        <f t="shared" ca="1" si="115"/>
        <v>24</v>
      </c>
      <c r="D144">
        <f t="shared" ca="1" si="116"/>
        <v>0.15914141355974906</v>
      </c>
      <c r="F144" s="1">
        <f t="shared" ca="1" si="117"/>
        <v>17</v>
      </c>
      <c r="G144" s="1">
        <f t="shared" ca="1" si="118"/>
        <v>18</v>
      </c>
      <c r="H144" s="1">
        <f t="shared" ca="1" si="119"/>
        <v>1</v>
      </c>
      <c r="I144" s="1"/>
      <c r="J144" s="1">
        <f t="shared" ca="1" si="120"/>
        <v>22</v>
      </c>
      <c r="K144" s="1">
        <f t="shared" ca="1" si="121"/>
        <v>2.0915461968884586</v>
      </c>
      <c r="L144" s="1">
        <f t="shared" ca="1" si="122"/>
        <v>33</v>
      </c>
      <c r="M144" s="1"/>
      <c r="N144" s="1">
        <f t="shared" ca="1" si="123"/>
        <v>316</v>
      </c>
      <c r="O144" s="1">
        <f t="shared" ca="1" si="124"/>
        <v>30</v>
      </c>
      <c r="P144" s="1"/>
      <c r="Q144" s="1">
        <f t="shared" ca="1" si="125"/>
        <v>1.4805525822751016</v>
      </c>
      <c r="R144" s="1">
        <f t="shared" ca="1" si="126"/>
        <v>274</v>
      </c>
      <c r="S144" s="1"/>
      <c r="T144" s="1">
        <f t="shared" ca="1" si="127"/>
        <v>5.2692268511793469E-2</v>
      </c>
      <c r="U144" s="1">
        <f t="shared" ca="1" si="128"/>
        <v>292</v>
      </c>
      <c r="V144" s="1">
        <f t="shared" ca="1" si="129"/>
        <v>19</v>
      </c>
      <c r="W144" s="1"/>
      <c r="X144" s="1">
        <f t="shared" ca="1" si="130"/>
        <v>1.539827225836407</v>
      </c>
      <c r="Y144" s="1">
        <f t="shared" ca="1" si="131"/>
        <v>0.14910354764700709</v>
      </c>
      <c r="Z144" s="1">
        <f t="shared" ca="1" si="132"/>
        <v>843</v>
      </c>
      <c r="AB144" s="1">
        <f t="shared" ca="1" si="133"/>
        <v>3.6244138628618534E-2</v>
      </c>
      <c r="AC144" s="1">
        <f t="shared" ca="1" si="134"/>
        <v>357</v>
      </c>
      <c r="AD144" s="1">
        <f t="shared" ca="1" si="135"/>
        <v>2.1442772634378375E-3</v>
      </c>
      <c r="AE144" s="1"/>
      <c r="AF144" s="1">
        <f t="shared" ca="1" si="136"/>
        <v>0.80973882383562124</v>
      </c>
      <c r="AG144" s="1">
        <f t="shared" ca="1" si="137"/>
        <v>372</v>
      </c>
      <c r="AH144" s="1">
        <f t="shared" ca="1" si="138"/>
        <v>8.8877344920467588E-3</v>
      </c>
      <c r="AJ144" s="1">
        <f t="shared" ca="1" si="139"/>
        <v>0.69518952484975749</v>
      </c>
      <c r="AK144" s="1">
        <f t="shared" ca="1" si="140"/>
        <v>1.1600786827607981E-3</v>
      </c>
      <c r="AL144" s="1"/>
      <c r="AM144" s="1">
        <f t="shared" ca="1" si="141"/>
        <v>6.2698985414213246E-2</v>
      </c>
      <c r="AN144" s="1">
        <f t="shared" ca="1" si="142"/>
        <v>40</v>
      </c>
      <c r="AO144" s="1">
        <f t="shared" ca="1" si="143"/>
        <v>8</v>
      </c>
      <c r="AQ144" s="1">
        <f t="shared" ca="1" si="144"/>
        <v>14</v>
      </c>
      <c r="AR144" s="1">
        <f t="shared" ca="1" si="145"/>
        <v>4</v>
      </c>
      <c r="AS144" s="1">
        <f t="shared" ca="1" si="146"/>
        <v>20</v>
      </c>
      <c r="AU144" s="1">
        <f t="shared" ca="1" si="147"/>
        <v>57</v>
      </c>
      <c r="AV144" s="1">
        <f t="shared" ca="1" si="148"/>
        <v>2</v>
      </c>
      <c r="AW144" s="1">
        <f t="shared" ca="1" si="149"/>
        <v>0.17559369633182006</v>
      </c>
      <c r="AY144" s="1">
        <f t="shared" ca="1" si="150"/>
        <v>1.3223367603945861</v>
      </c>
      <c r="AZ144" s="1">
        <f t="shared" ca="1" si="151"/>
        <v>434</v>
      </c>
      <c r="BA144" s="1">
        <f t="shared" ca="1" si="152"/>
        <v>9.3352461622640253E-3</v>
      </c>
      <c r="BV144" s="1">
        <f t="shared" ca="1" si="153"/>
        <v>0.64191618853783827</v>
      </c>
      <c r="BW144" s="1">
        <f t="shared" ca="1" si="154"/>
        <v>467</v>
      </c>
      <c r="BX144" s="1">
        <f t="shared" ca="1" si="155"/>
        <v>2.0658124734580989E-3</v>
      </c>
      <c r="BY144" s="1">
        <f t="shared" ca="1" si="156"/>
        <v>5.2088631522150576E-2</v>
      </c>
      <c r="BZ144" s="1">
        <f t="shared" ca="1" si="157"/>
        <v>0.73784458248291418</v>
      </c>
      <c r="CB144" s="1">
        <f t="shared" ca="1" si="158"/>
        <v>284</v>
      </c>
      <c r="CC144" s="1">
        <f t="shared" ca="1" si="159"/>
        <v>4</v>
      </c>
      <c r="CD144" s="1">
        <f t="shared" ca="1" si="160"/>
        <v>0.25249553842561606</v>
      </c>
      <c r="CE144" s="1">
        <f t="shared" ca="1" si="161"/>
        <v>0.76724739138851028</v>
      </c>
      <c r="CF144" s="1">
        <f t="shared" ca="1" si="161"/>
        <v>0.56155385030240312</v>
      </c>
      <c r="CH144" s="3">
        <f t="shared" ca="1" si="162"/>
        <v>0.92866417878787177</v>
      </c>
      <c r="CI144" s="3">
        <f t="shared" ca="1" si="163"/>
        <v>0.21869621504120576</v>
      </c>
      <c r="CJ144" s="3">
        <f t="shared" ca="1" si="164"/>
        <v>837</v>
      </c>
      <c r="CK144" s="3">
        <f t="shared" ca="1" si="165"/>
        <v>7.8327556254428003E-3</v>
      </c>
      <c r="CL144" s="3">
        <f t="shared" ca="1" si="166"/>
        <v>1</v>
      </c>
      <c r="CM144" s="3"/>
      <c r="CN144" s="1">
        <f t="shared" ca="1" si="167"/>
        <v>19.962755023727404</v>
      </c>
      <c r="CO144" s="1">
        <f t="shared" ca="1" si="168"/>
        <v>0.46845382862415147</v>
      </c>
      <c r="CP144" s="1">
        <f t="shared" ca="1" si="169"/>
        <v>4</v>
      </c>
    </row>
    <row r="145" spans="2:94" x14ac:dyDescent="0.25">
      <c r="B145">
        <f t="shared" ca="1" si="114"/>
        <v>990</v>
      </c>
      <c r="C145">
        <f t="shared" ca="1" si="115"/>
        <v>11</v>
      </c>
      <c r="D145">
        <f t="shared" ca="1" si="116"/>
        <v>0.28439627003387702</v>
      </c>
      <c r="F145" s="1">
        <f t="shared" ca="1" si="117"/>
        <v>7</v>
      </c>
      <c r="G145" s="1">
        <f t="shared" ca="1" si="118"/>
        <v>4</v>
      </c>
      <c r="H145" s="1">
        <f t="shared" ca="1" si="119"/>
        <v>2</v>
      </c>
      <c r="I145" s="1"/>
      <c r="J145" s="1">
        <f t="shared" ca="1" si="120"/>
        <v>29</v>
      </c>
      <c r="K145" s="1">
        <f t="shared" ca="1" si="121"/>
        <v>1.3575225137253444</v>
      </c>
      <c r="L145" s="1">
        <f t="shared" ca="1" si="122"/>
        <v>28</v>
      </c>
      <c r="M145" s="1"/>
      <c r="N145" s="1">
        <f t="shared" ca="1" si="123"/>
        <v>326</v>
      </c>
      <c r="O145" s="1">
        <f t="shared" ca="1" si="124"/>
        <v>11</v>
      </c>
      <c r="P145" s="1"/>
      <c r="Q145" s="1">
        <f t="shared" ca="1" si="125"/>
        <v>3.0222131506023842</v>
      </c>
      <c r="R145" s="1">
        <f t="shared" ca="1" si="126"/>
        <v>1175</v>
      </c>
      <c r="S145" s="1"/>
      <c r="T145" s="1">
        <f t="shared" ca="1" si="127"/>
        <v>1.1653108594751365E-2</v>
      </c>
      <c r="U145" s="1">
        <f t="shared" ca="1" si="128"/>
        <v>387</v>
      </c>
      <c r="V145" s="1">
        <f t="shared" ca="1" si="129"/>
        <v>40</v>
      </c>
      <c r="W145" s="1"/>
      <c r="X145" s="1">
        <f t="shared" ca="1" si="130"/>
        <v>3.378579378718646</v>
      </c>
      <c r="Y145" s="1">
        <f t="shared" ca="1" si="131"/>
        <v>0.21947626389034597</v>
      </c>
      <c r="Z145" s="1">
        <f t="shared" ca="1" si="132"/>
        <v>1845</v>
      </c>
      <c r="AB145" s="1">
        <f t="shared" ca="1" si="133"/>
        <v>0.18268444455651742</v>
      </c>
      <c r="AC145" s="1">
        <f t="shared" ca="1" si="134"/>
        <v>282</v>
      </c>
      <c r="AD145" s="1">
        <f t="shared" ca="1" si="135"/>
        <v>2.5655737879970116E-3</v>
      </c>
      <c r="AE145" s="1"/>
      <c r="AF145" s="1">
        <f t="shared" ca="1" si="136"/>
        <v>0.85081567369409583</v>
      </c>
      <c r="AG145" s="1">
        <f t="shared" ca="1" si="137"/>
        <v>243</v>
      </c>
      <c r="AH145" s="1">
        <f t="shared" ca="1" si="138"/>
        <v>1.5446527284019198E-3</v>
      </c>
      <c r="AJ145" s="1">
        <f t="shared" ca="1" si="139"/>
        <v>0.55685544792352759</v>
      </c>
      <c r="AK145" s="1">
        <f t="shared" ca="1" si="140"/>
        <v>9.7601783521476509E-3</v>
      </c>
      <c r="AL145" s="1"/>
      <c r="AM145" s="1">
        <f t="shared" ca="1" si="141"/>
        <v>6.1258048313259948E-2</v>
      </c>
      <c r="AN145" s="1">
        <f t="shared" ca="1" si="142"/>
        <v>65</v>
      </c>
      <c r="AO145" s="1">
        <f t="shared" ca="1" si="143"/>
        <v>3</v>
      </c>
      <c r="AQ145" s="1">
        <f t="shared" ca="1" si="144"/>
        <v>130</v>
      </c>
      <c r="AR145" s="1">
        <f t="shared" ca="1" si="145"/>
        <v>3</v>
      </c>
      <c r="AS145" s="1">
        <f t="shared" ca="1" si="146"/>
        <v>92</v>
      </c>
      <c r="AU145" s="1">
        <f t="shared" ca="1" si="147"/>
        <v>121</v>
      </c>
      <c r="AV145" s="1">
        <f t="shared" ca="1" si="148"/>
        <v>8</v>
      </c>
      <c r="AW145" s="1">
        <f t="shared" ca="1" si="149"/>
        <v>5.2969763446916791E-2</v>
      </c>
      <c r="AY145" s="1">
        <f t="shared" ca="1" si="150"/>
        <v>1.2913645658851314</v>
      </c>
      <c r="AZ145" s="1">
        <f t="shared" ca="1" si="151"/>
        <v>226</v>
      </c>
      <c r="BA145" s="1">
        <f t="shared" ca="1" si="152"/>
        <v>8.6550833001546226E-3</v>
      </c>
      <c r="BV145" s="1">
        <f t="shared" ca="1" si="153"/>
        <v>0.42904231086125666</v>
      </c>
      <c r="BW145" s="1">
        <f t="shared" ca="1" si="154"/>
        <v>218</v>
      </c>
      <c r="BX145" s="1">
        <f t="shared" ca="1" si="155"/>
        <v>2.5077373798783505E-3</v>
      </c>
      <c r="BY145" s="1">
        <f t="shared" ca="1" si="156"/>
        <v>4.5533063781638884E-2</v>
      </c>
      <c r="BZ145" s="1">
        <f t="shared" ca="1" si="157"/>
        <v>6.7924029681033837E-2</v>
      </c>
      <c r="CB145" s="1">
        <f t="shared" ca="1" si="158"/>
        <v>173</v>
      </c>
      <c r="CC145" s="1">
        <f t="shared" ca="1" si="159"/>
        <v>12</v>
      </c>
      <c r="CD145" s="1">
        <f t="shared" ca="1" si="160"/>
        <v>0.19104029646503651</v>
      </c>
      <c r="CE145" s="1">
        <f t="shared" ca="1" si="161"/>
        <v>0.68530696990891204</v>
      </c>
      <c r="CF145" s="1">
        <f t="shared" ca="1" si="161"/>
        <v>0.57056831908362948</v>
      </c>
      <c r="CH145" s="3">
        <f t="shared" ca="1" si="162"/>
        <v>0.71868022451382685</v>
      </c>
      <c r="CI145" s="3">
        <f t="shared" ca="1" si="163"/>
        <v>0.66662627157209953</v>
      </c>
      <c r="CJ145" s="3">
        <f t="shared" ca="1" si="164"/>
        <v>1383</v>
      </c>
      <c r="CK145" s="3">
        <f t="shared" ca="1" si="165"/>
        <v>4.4207629867948775E-3</v>
      </c>
      <c r="CL145" s="3">
        <f t="shared" ca="1" si="166"/>
        <v>0</v>
      </c>
      <c r="CM145" s="3"/>
      <c r="CN145" s="1">
        <f t="shared" ca="1" si="167"/>
        <v>10.691031408996974</v>
      </c>
      <c r="CO145" s="1">
        <f t="shared" ca="1" si="168"/>
        <v>0.35643385526165211</v>
      </c>
      <c r="CP145" s="1">
        <f t="shared" ca="1" si="169"/>
        <v>2</v>
      </c>
    </row>
    <row r="146" spans="2:94" x14ac:dyDescent="0.25">
      <c r="B146">
        <f t="shared" ca="1" si="114"/>
        <v>616</v>
      </c>
      <c r="C146">
        <f t="shared" ca="1" si="115"/>
        <v>44</v>
      </c>
      <c r="D146">
        <f t="shared" ca="1" si="116"/>
        <v>0.16279424129884457</v>
      </c>
      <c r="F146" s="1">
        <f t="shared" ca="1" si="117"/>
        <v>28</v>
      </c>
      <c r="G146" s="1">
        <f t="shared" ca="1" si="118"/>
        <v>13</v>
      </c>
      <c r="H146" s="1">
        <f t="shared" ca="1" si="119"/>
        <v>12</v>
      </c>
      <c r="I146" s="1"/>
      <c r="J146" s="1">
        <f t="shared" ca="1" si="120"/>
        <v>9</v>
      </c>
      <c r="K146" s="1">
        <f t="shared" ca="1" si="121"/>
        <v>2.0851220143845319</v>
      </c>
      <c r="L146" s="1">
        <f t="shared" ca="1" si="122"/>
        <v>30</v>
      </c>
      <c r="M146" s="1"/>
      <c r="N146" s="1">
        <f t="shared" ca="1" si="123"/>
        <v>758</v>
      </c>
      <c r="O146" s="1">
        <f t="shared" ca="1" si="124"/>
        <v>18</v>
      </c>
      <c r="P146" s="1"/>
      <c r="Q146" s="1">
        <f t="shared" ca="1" si="125"/>
        <v>1.0276484491139282</v>
      </c>
      <c r="R146" s="1">
        <f t="shared" ca="1" si="126"/>
        <v>454</v>
      </c>
      <c r="S146" s="1"/>
      <c r="T146" s="1">
        <f t="shared" ca="1" si="127"/>
        <v>0.10314999299084168</v>
      </c>
      <c r="U146" s="1">
        <f t="shared" ca="1" si="128"/>
        <v>386</v>
      </c>
      <c r="V146" s="1">
        <f t="shared" ca="1" si="129"/>
        <v>37</v>
      </c>
      <c r="W146" s="1"/>
      <c r="X146" s="1">
        <f t="shared" ca="1" si="130"/>
        <v>9.8280546166599354</v>
      </c>
      <c r="Y146" s="1">
        <f t="shared" ca="1" si="131"/>
        <v>0.92601188362267006</v>
      </c>
      <c r="Z146" s="1">
        <f t="shared" ca="1" si="132"/>
        <v>645</v>
      </c>
      <c r="AB146" s="1">
        <f t="shared" ca="1" si="133"/>
        <v>0.34967011646494173</v>
      </c>
      <c r="AC146" s="1">
        <f t="shared" ca="1" si="134"/>
        <v>917</v>
      </c>
      <c r="AD146" s="1">
        <f t="shared" ca="1" si="135"/>
        <v>7.5687087492361414E-3</v>
      </c>
      <c r="AE146" s="1"/>
      <c r="AF146" s="1">
        <f t="shared" ca="1" si="136"/>
        <v>0.62834966774471623</v>
      </c>
      <c r="AG146" s="1">
        <f t="shared" ca="1" si="137"/>
        <v>761</v>
      </c>
      <c r="AH146" s="1">
        <f t="shared" ca="1" si="138"/>
        <v>9.9924910425792293E-3</v>
      </c>
      <c r="AJ146" s="1">
        <f t="shared" ca="1" si="139"/>
        <v>0.21206324402993082</v>
      </c>
      <c r="AK146" s="1">
        <f t="shared" ca="1" si="140"/>
        <v>7.7512129199122648E-3</v>
      </c>
      <c r="AL146" s="1"/>
      <c r="AM146" s="1">
        <f t="shared" ca="1" si="141"/>
        <v>6.9392384513643449E-2</v>
      </c>
      <c r="AN146" s="1">
        <f t="shared" ca="1" si="142"/>
        <v>19</v>
      </c>
      <c r="AO146" s="1">
        <f t="shared" ca="1" si="143"/>
        <v>15</v>
      </c>
      <c r="AQ146" s="1">
        <f t="shared" ca="1" si="144"/>
        <v>167</v>
      </c>
      <c r="AR146" s="1">
        <f t="shared" ca="1" si="145"/>
        <v>9</v>
      </c>
      <c r="AS146" s="1">
        <f t="shared" ca="1" si="146"/>
        <v>62</v>
      </c>
      <c r="AU146" s="1">
        <f t="shared" ca="1" si="147"/>
        <v>237</v>
      </c>
      <c r="AV146" s="1">
        <f t="shared" ca="1" si="148"/>
        <v>5</v>
      </c>
      <c r="AW146" s="1">
        <f t="shared" ca="1" si="149"/>
        <v>0.13419969795275202</v>
      </c>
      <c r="AY146" s="1">
        <f t="shared" ca="1" si="150"/>
        <v>1.1176728159178348</v>
      </c>
      <c r="AZ146" s="1">
        <f t="shared" ca="1" si="151"/>
        <v>91</v>
      </c>
      <c r="BA146" s="1">
        <f t="shared" ca="1" si="152"/>
        <v>4.8020210187902064E-3</v>
      </c>
      <c r="BV146" s="1">
        <f t="shared" ca="1" si="153"/>
        <v>0.23499021062594164</v>
      </c>
      <c r="BW146" s="1">
        <f t="shared" ca="1" si="154"/>
        <v>644</v>
      </c>
      <c r="BX146" s="1">
        <f t="shared" ca="1" si="155"/>
        <v>9.41485944736754E-3</v>
      </c>
      <c r="BY146" s="1">
        <f t="shared" ca="1" si="156"/>
        <v>7.0054950831435592E-2</v>
      </c>
      <c r="BZ146" s="1">
        <f t="shared" ca="1" si="157"/>
        <v>0.80509597708858904</v>
      </c>
      <c r="CB146" s="1">
        <f t="shared" ca="1" si="158"/>
        <v>230</v>
      </c>
      <c r="CC146" s="1">
        <f t="shared" ca="1" si="159"/>
        <v>7</v>
      </c>
      <c r="CD146" s="1">
        <f t="shared" ca="1" si="160"/>
        <v>0.15710332450176351</v>
      </c>
      <c r="CE146" s="1">
        <f t="shared" ca="1" si="161"/>
        <v>0.55368277226791884</v>
      </c>
      <c r="CF146" s="1">
        <f t="shared" ca="1" si="161"/>
        <v>0.51491817618835756</v>
      </c>
      <c r="CH146" s="3">
        <f t="shared" ca="1" si="162"/>
        <v>0.12310430848052749</v>
      </c>
      <c r="CI146" s="3">
        <f t="shared" ca="1" si="163"/>
        <v>0.59807080826388359</v>
      </c>
      <c r="CJ146" s="3">
        <f t="shared" ca="1" si="164"/>
        <v>1964</v>
      </c>
      <c r="CK146" s="3">
        <f t="shared" ca="1" si="165"/>
        <v>8.7822246339011416E-3</v>
      </c>
      <c r="CL146" s="3">
        <f t="shared" ca="1" si="166"/>
        <v>1</v>
      </c>
      <c r="CM146" s="3"/>
      <c r="CN146" s="1">
        <f t="shared" ca="1" si="167"/>
        <v>17.809661538053</v>
      </c>
      <c r="CO146" s="1">
        <f t="shared" ca="1" si="168"/>
        <v>0.27962586575199772</v>
      </c>
      <c r="CP146" s="1">
        <f t="shared" ca="1" si="169"/>
        <v>2</v>
      </c>
    </row>
    <row r="147" spans="2:94" x14ac:dyDescent="0.25">
      <c r="B147">
        <f t="shared" ca="1" si="114"/>
        <v>124</v>
      </c>
      <c r="C147">
        <f t="shared" ca="1" si="115"/>
        <v>37</v>
      </c>
      <c r="D147">
        <f t="shared" ca="1" si="116"/>
        <v>0.21924009690384136</v>
      </c>
      <c r="F147" s="1">
        <f t="shared" ca="1" si="117"/>
        <v>43</v>
      </c>
      <c r="G147" s="1">
        <f t="shared" ca="1" si="118"/>
        <v>11</v>
      </c>
      <c r="H147" s="1">
        <f t="shared" ca="1" si="119"/>
        <v>13</v>
      </c>
      <c r="I147" s="1"/>
      <c r="J147" s="1">
        <f t="shared" ca="1" si="120"/>
        <v>21</v>
      </c>
      <c r="K147" s="1">
        <f t="shared" ca="1" si="121"/>
        <v>1.2215335777722278</v>
      </c>
      <c r="L147" s="1">
        <f t="shared" ca="1" si="122"/>
        <v>20</v>
      </c>
      <c r="M147" s="1"/>
      <c r="N147" s="1">
        <f t="shared" ca="1" si="123"/>
        <v>373</v>
      </c>
      <c r="O147" s="1">
        <f t="shared" ca="1" si="124"/>
        <v>12</v>
      </c>
      <c r="P147" s="1"/>
      <c r="Q147" s="1">
        <f t="shared" ca="1" si="125"/>
        <v>4.0971208980554792</v>
      </c>
      <c r="R147" s="1">
        <f t="shared" ca="1" si="126"/>
        <v>858</v>
      </c>
      <c r="S147" s="1"/>
      <c r="T147" s="1">
        <f t="shared" ca="1" si="127"/>
        <v>5.7148853516096693E-2</v>
      </c>
      <c r="U147" s="1">
        <f t="shared" ca="1" si="128"/>
        <v>383</v>
      </c>
      <c r="V147" s="1">
        <f t="shared" ca="1" si="129"/>
        <v>8</v>
      </c>
      <c r="W147" s="1"/>
      <c r="X147" s="1">
        <f t="shared" ca="1" si="130"/>
        <v>4.1545889779854006</v>
      </c>
      <c r="Y147" s="1">
        <f t="shared" ca="1" si="131"/>
        <v>0.23310714167267413</v>
      </c>
      <c r="Z147" s="1">
        <f t="shared" ca="1" si="132"/>
        <v>1974</v>
      </c>
      <c r="AB147" s="1">
        <f t="shared" ca="1" si="133"/>
        <v>0.32095902531914511</v>
      </c>
      <c r="AC147" s="1">
        <f t="shared" ca="1" si="134"/>
        <v>446</v>
      </c>
      <c r="AD147" s="1">
        <f t="shared" ca="1" si="135"/>
        <v>2.3239774697167426E-3</v>
      </c>
      <c r="AE147" s="1"/>
      <c r="AF147" s="1">
        <f t="shared" ca="1" si="136"/>
        <v>0.39518969945979066</v>
      </c>
      <c r="AG147" s="1">
        <f t="shared" ca="1" si="137"/>
        <v>117</v>
      </c>
      <c r="AH147" s="1">
        <f t="shared" ca="1" si="138"/>
        <v>3.2747821028628345E-3</v>
      </c>
      <c r="AJ147" s="1">
        <f t="shared" ca="1" si="139"/>
        <v>0.13886192303636335</v>
      </c>
      <c r="AK147" s="1">
        <f t="shared" ca="1" si="140"/>
        <v>5.6439330639879081E-3</v>
      </c>
      <c r="AL147" s="1"/>
      <c r="AM147" s="1">
        <f t="shared" ca="1" si="141"/>
        <v>0.14210801864652778</v>
      </c>
      <c r="AN147" s="1">
        <f t="shared" ca="1" si="142"/>
        <v>33</v>
      </c>
      <c r="AO147" s="1">
        <f t="shared" ca="1" si="143"/>
        <v>1</v>
      </c>
      <c r="AQ147" s="1">
        <f t="shared" ca="1" si="144"/>
        <v>112</v>
      </c>
      <c r="AR147" s="1">
        <f t="shared" ca="1" si="145"/>
        <v>2</v>
      </c>
      <c r="AS147" s="1">
        <f t="shared" ca="1" si="146"/>
        <v>68</v>
      </c>
      <c r="AU147" s="1">
        <f t="shared" ca="1" si="147"/>
        <v>237</v>
      </c>
      <c r="AV147" s="1">
        <f t="shared" ca="1" si="148"/>
        <v>8</v>
      </c>
      <c r="AW147" s="1">
        <f t="shared" ca="1" si="149"/>
        <v>0.11789620417002786</v>
      </c>
      <c r="AY147" s="1">
        <f t="shared" ca="1" si="150"/>
        <v>1.2133388199178727</v>
      </c>
      <c r="AZ147" s="1">
        <f t="shared" ca="1" si="151"/>
        <v>379</v>
      </c>
      <c r="BA147" s="1">
        <f t="shared" ca="1" si="152"/>
        <v>8.5109133774548505E-3</v>
      </c>
      <c r="BV147" s="1">
        <f t="shared" ca="1" si="153"/>
        <v>0.44110839073422109</v>
      </c>
      <c r="BW147" s="1">
        <f t="shared" ca="1" si="154"/>
        <v>776</v>
      </c>
      <c r="BX147" s="1">
        <f t="shared" ca="1" si="155"/>
        <v>2.6296495239737146E-3</v>
      </c>
      <c r="BY147" s="1">
        <f t="shared" ca="1" si="156"/>
        <v>9.2109980612545786E-2</v>
      </c>
      <c r="BZ147" s="1">
        <f t="shared" ca="1" si="157"/>
        <v>7.2075561026271773E-2</v>
      </c>
      <c r="CB147" s="1">
        <f t="shared" ca="1" si="158"/>
        <v>414</v>
      </c>
      <c r="CC147" s="1">
        <f t="shared" ca="1" si="159"/>
        <v>7</v>
      </c>
      <c r="CD147" s="1">
        <f t="shared" ca="1" si="160"/>
        <v>0.1350121076026935</v>
      </c>
      <c r="CE147" s="1">
        <f t="shared" ca="1" si="161"/>
        <v>0.91924455982050324</v>
      </c>
      <c r="CF147" s="1">
        <f t="shared" ca="1" si="161"/>
        <v>0.92798875064192843</v>
      </c>
      <c r="CH147" s="3">
        <f t="shared" ca="1" si="162"/>
        <v>0.75621099056803298</v>
      </c>
      <c r="CI147" s="3">
        <f t="shared" ca="1" si="163"/>
        <v>0.67472926559244473</v>
      </c>
      <c r="CJ147" s="3">
        <f t="shared" ca="1" si="164"/>
        <v>1253</v>
      </c>
      <c r="CK147" s="3">
        <f t="shared" ca="1" si="165"/>
        <v>7.5763594745091234E-3</v>
      </c>
      <c r="CL147" s="3">
        <f t="shared" ca="1" si="166"/>
        <v>1</v>
      </c>
      <c r="CM147" s="3"/>
      <c r="CN147" s="1">
        <f t="shared" ca="1" si="167"/>
        <v>17.633055776918422</v>
      </c>
      <c r="CO147" s="1">
        <f t="shared" ca="1" si="168"/>
        <v>0.42355253700061385</v>
      </c>
      <c r="CP147" s="1">
        <f t="shared" ca="1" si="169"/>
        <v>2</v>
      </c>
    </row>
    <row r="148" spans="2:94" x14ac:dyDescent="0.25">
      <c r="B148">
        <f t="shared" ca="1" si="114"/>
        <v>587</v>
      </c>
      <c r="C148">
        <f t="shared" ca="1" si="115"/>
        <v>34</v>
      </c>
      <c r="D148">
        <f t="shared" ca="1" si="116"/>
        <v>0.19972986403128887</v>
      </c>
      <c r="F148" s="1">
        <f t="shared" ca="1" si="117"/>
        <v>33</v>
      </c>
      <c r="G148" s="1">
        <f t="shared" ca="1" si="118"/>
        <v>16</v>
      </c>
      <c r="H148" s="1">
        <f t="shared" ca="1" si="119"/>
        <v>4</v>
      </c>
      <c r="I148" s="1"/>
      <c r="J148" s="1">
        <f t="shared" ca="1" si="120"/>
        <v>9</v>
      </c>
      <c r="K148" s="1">
        <f t="shared" ca="1" si="121"/>
        <v>2.2240488789485466</v>
      </c>
      <c r="L148" s="1">
        <f t="shared" ca="1" si="122"/>
        <v>33</v>
      </c>
      <c r="M148" s="1"/>
      <c r="N148" s="1">
        <f t="shared" ca="1" si="123"/>
        <v>110</v>
      </c>
      <c r="O148" s="1">
        <f t="shared" ca="1" si="124"/>
        <v>41</v>
      </c>
      <c r="P148" s="1"/>
      <c r="Q148" s="1">
        <f t="shared" ca="1" si="125"/>
        <v>0.47358638635379247</v>
      </c>
      <c r="R148" s="1">
        <f t="shared" ca="1" si="126"/>
        <v>806</v>
      </c>
      <c r="S148" s="1"/>
      <c r="T148" s="1">
        <f t="shared" ca="1" si="127"/>
        <v>4.005934287757066E-2</v>
      </c>
      <c r="U148" s="1">
        <f t="shared" ca="1" si="128"/>
        <v>426</v>
      </c>
      <c r="V148" s="1">
        <f t="shared" ca="1" si="129"/>
        <v>3</v>
      </c>
      <c r="W148" s="1"/>
      <c r="X148" s="1">
        <f t="shared" ca="1" si="130"/>
        <v>0.10834323422927686</v>
      </c>
      <c r="Y148" s="1">
        <f t="shared" ca="1" si="131"/>
        <v>0.97784502096257475</v>
      </c>
      <c r="Z148" s="1">
        <f t="shared" ca="1" si="132"/>
        <v>785</v>
      </c>
      <c r="AB148" s="1">
        <f t="shared" ca="1" si="133"/>
        <v>0.12931637565044904</v>
      </c>
      <c r="AC148" s="1">
        <f t="shared" ca="1" si="134"/>
        <v>904</v>
      </c>
      <c r="AD148" s="1">
        <f t="shared" ca="1" si="135"/>
        <v>1.8727190577908571E-3</v>
      </c>
      <c r="AE148" s="1"/>
      <c r="AF148" s="1">
        <f t="shared" ca="1" si="136"/>
        <v>0.16279538513071062</v>
      </c>
      <c r="AG148" s="1">
        <f t="shared" ca="1" si="137"/>
        <v>657</v>
      </c>
      <c r="AH148" s="1">
        <f t="shared" ca="1" si="138"/>
        <v>6.68474678431421E-3</v>
      </c>
      <c r="AJ148" s="1">
        <f t="shared" ca="1" si="139"/>
        <v>0.1534282184399044</v>
      </c>
      <c r="AK148" s="1">
        <f t="shared" ca="1" si="140"/>
        <v>2.2786722681983232E-3</v>
      </c>
      <c r="AL148" s="1"/>
      <c r="AM148" s="1">
        <f t="shared" ca="1" si="141"/>
        <v>0.10422019751898483</v>
      </c>
      <c r="AN148" s="1">
        <f t="shared" ca="1" si="142"/>
        <v>59</v>
      </c>
      <c r="AO148" s="1">
        <f t="shared" ca="1" si="143"/>
        <v>-1</v>
      </c>
      <c r="AQ148" s="1">
        <f t="shared" ca="1" si="144"/>
        <v>132</v>
      </c>
      <c r="AR148" s="1">
        <f t="shared" ca="1" si="145"/>
        <v>7</v>
      </c>
      <c r="AS148" s="1">
        <f t="shared" ca="1" si="146"/>
        <v>35</v>
      </c>
      <c r="AU148" s="1">
        <f t="shared" ca="1" si="147"/>
        <v>180</v>
      </c>
      <c r="AV148" s="1">
        <f t="shared" ca="1" si="148"/>
        <v>8</v>
      </c>
      <c r="AW148" s="1">
        <f t="shared" ca="1" si="149"/>
        <v>0.16524427976959205</v>
      </c>
      <c r="AY148" s="1">
        <f t="shared" ca="1" si="150"/>
        <v>1.6539744573861104</v>
      </c>
      <c r="AZ148" s="1">
        <f t="shared" ca="1" si="151"/>
        <v>198</v>
      </c>
      <c r="BA148" s="1">
        <f t="shared" ca="1" si="152"/>
        <v>5.5113321424542219E-3</v>
      </c>
      <c r="BV148" s="1">
        <f t="shared" ca="1" si="153"/>
        <v>0.24842933225466132</v>
      </c>
      <c r="BW148" s="1">
        <f t="shared" ca="1" si="154"/>
        <v>277</v>
      </c>
      <c r="BX148" s="1">
        <f t="shared" ca="1" si="155"/>
        <v>5.3663029568882378E-3</v>
      </c>
      <c r="BY148" s="1">
        <f t="shared" ca="1" si="156"/>
        <v>8.6751212178522191E-2</v>
      </c>
      <c r="BZ148" s="1">
        <f t="shared" ca="1" si="157"/>
        <v>0.71904372320641741</v>
      </c>
      <c r="CB148" s="1">
        <f t="shared" ca="1" si="158"/>
        <v>300</v>
      </c>
      <c r="CC148" s="1">
        <f t="shared" ca="1" si="159"/>
        <v>15</v>
      </c>
      <c r="CD148" s="1">
        <f t="shared" ca="1" si="160"/>
        <v>3.7584483995077279E-2</v>
      </c>
      <c r="CE148" s="1">
        <f t="shared" ca="1" si="161"/>
        <v>0.60147616476031618</v>
      </c>
      <c r="CF148" s="1">
        <f t="shared" ca="1" si="161"/>
        <v>0.97215706502029686</v>
      </c>
      <c r="CH148" s="3">
        <f t="shared" ca="1" si="162"/>
        <v>6.8311209469587145E-2</v>
      </c>
      <c r="CI148" s="3">
        <f t="shared" ca="1" si="163"/>
        <v>0.3943331633096302</v>
      </c>
      <c r="CJ148" s="3">
        <f t="shared" ca="1" si="164"/>
        <v>1827</v>
      </c>
      <c r="CK148" s="3">
        <f t="shared" ca="1" si="165"/>
        <v>6.103212834748472E-3</v>
      </c>
      <c r="CL148" s="3">
        <f t="shared" ca="1" si="166"/>
        <v>1</v>
      </c>
      <c r="CM148" s="3"/>
      <c r="CN148" s="1">
        <f t="shared" ca="1" si="167"/>
        <v>1.5418022661841784</v>
      </c>
      <c r="CO148" s="1">
        <f t="shared" ca="1" si="168"/>
        <v>0.18808965931347618</v>
      </c>
      <c r="CP148" s="1">
        <f t="shared" ca="1" si="169"/>
        <v>4</v>
      </c>
    </row>
    <row r="149" spans="2:94" x14ac:dyDescent="0.25">
      <c r="B149">
        <f t="shared" ca="1" si="114"/>
        <v>592</v>
      </c>
      <c r="C149">
        <f t="shared" ca="1" si="115"/>
        <v>3</v>
      </c>
      <c r="D149">
        <f t="shared" ca="1" si="116"/>
        <v>3.2586321302207566E-2</v>
      </c>
      <c r="F149" s="1">
        <f t="shared" ca="1" si="117"/>
        <v>14</v>
      </c>
      <c r="G149" s="1">
        <f t="shared" ca="1" si="118"/>
        <v>13</v>
      </c>
      <c r="H149" s="1">
        <f t="shared" ca="1" si="119"/>
        <v>2</v>
      </c>
      <c r="I149" s="1"/>
      <c r="J149" s="1">
        <f t="shared" ca="1" si="120"/>
        <v>7</v>
      </c>
      <c r="K149" s="1">
        <f t="shared" ca="1" si="121"/>
        <v>1.3806717961772472</v>
      </c>
      <c r="L149" s="1">
        <f t="shared" ca="1" si="122"/>
        <v>21</v>
      </c>
      <c r="M149" s="1"/>
      <c r="N149" s="1">
        <f t="shared" ca="1" si="123"/>
        <v>195</v>
      </c>
      <c r="O149" s="1">
        <f t="shared" ca="1" si="124"/>
        <v>28</v>
      </c>
      <c r="P149" s="1"/>
      <c r="Q149" s="1">
        <f t="shared" ca="1" si="125"/>
        <v>0.34410512909882285</v>
      </c>
      <c r="R149" s="1">
        <f t="shared" ca="1" si="126"/>
        <v>1167</v>
      </c>
      <c r="S149" s="1"/>
      <c r="T149" s="1">
        <f t="shared" ca="1" si="127"/>
        <v>0.19427670498520327</v>
      </c>
      <c r="U149" s="1">
        <f t="shared" ca="1" si="128"/>
        <v>327</v>
      </c>
      <c r="V149" s="1">
        <f t="shared" ca="1" si="129"/>
        <v>15</v>
      </c>
      <c r="W149" s="1"/>
      <c r="X149" s="1">
        <f t="shared" ca="1" si="130"/>
        <v>7.8489618161673755</v>
      </c>
      <c r="Y149" s="1">
        <f t="shared" ca="1" si="131"/>
        <v>0.206359094229006</v>
      </c>
      <c r="Z149" s="1">
        <f t="shared" ca="1" si="132"/>
        <v>1690</v>
      </c>
      <c r="AB149" s="1">
        <f t="shared" ca="1" si="133"/>
        <v>0.36840092949001141</v>
      </c>
      <c r="AC149" s="1">
        <f t="shared" ca="1" si="134"/>
        <v>613</v>
      </c>
      <c r="AD149" s="1">
        <f t="shared" ca="1" si="135"/>
        <v>5.5283870843369992E-3</v>
      </c>
      <c r="AE149" s="1"/>
      <c r="AF149" s="1">
        <f t="shared" ca="1" si="136"/>
        <v>0.10496921253001608</v>
      </c>
      <c r="AG149" s="1">
        <f t="shared" ca="1" si="137"/>
        <v>508</v>
      </c>
      <c r="AH149" s="1">
        <f t="shared" ca="1" si="138"/>
        <v>8.3970254617747863E-5</v>
      </c>
      <c r="AJ149" s="1">
        <f t="shared" ca="1" si="139"/>
        <v>0.55487604618389541</v>
      </c>
      <c r="AK149" s="1">
        <f t="shared" ca="1" si="140"/>
        <v>7.6101322466977745E-3</v>
      </c>
      <c r="AL149" s="1"/>
      <c r="AM149" s="1">
        <f t="shared" ca="1" si="141"/>
        <v>6.0589862727860176E-2</v>
      </c>
      <c r="AN149" s="1">
        <f t="shared" ca="1" si="142"/>
        <v>24</v>
      </c>
      <c r="AO149" s="1">
        <f t="shared" ca="1" si="143"/>
        <v>10</v>
      </c>
      <c r="AQ149" s="1">
        <f t="shared" ca="1" si="144"/>
        <v>104</v>
      </c>
      <c r="AR149" s="1">
        <f t="shared" ca="1" si="145"/>
        <v>7</v>
      </c>
      <c r="AS149" s="1">
        <f t="shared" ca="1" si="146"/>
        <v>48</v>
      </c>
      <c r="AU149" s="1">
        <f t="shared" ca="1" si="147"/>
        <v>250</v>
      </c>
      <c r="AV149" s="1">
        <f t="shared" ca="1" si="148"/>
        <v>8</v>
      </c>
      <c r="AW149" s="1">
        <f t="shared" ca="1" si="149"/>
        <v>8.3687669025228423E-2</v>
      </c>
      <c r="AY149" s="1">
        <f t="shared" ca="1" si="150"/>
        <v>1.772657688951075</v>
      </c>
      <c r="AZ149" s="1">
        <f t="shared" ca="1" si="151"/>
        <v>232</v>
      </c>
      <c r="BA149" s="1">
        <f t="shared" ca="1" si="152"/>
        <v>4.6547859591913971E-3</v>
      </c>
      <c r="BV149" s="1">
        <f t="shared" ca="1" si="153"/>
        <v>0.84921259671246119</v>
      </c>
      <c r="BW149" s="1">
        <f t="shared" ca="1" si="154"/>
        <v>343</v>
      </c>
      <c r="BX149" s="1">
        <f t="shared" ca="1" si="155"/>
        <v>5.0966522614891829E-3</v>
      </c>
      <c r="BY149" s="1">
        <f t="shared" ca="1" si="156"/>
        <v>8.9031645999463213E-2</v>
      </c>
      <c r="BZ149" s="1">
        <f t="shared" ca="1" si="157"/>
        <v>0.75256917695539594</v>
      </c>
      <c r="CB149" s="1">
        <f t="shared" ca="1" si="158"/>
        <v>275</v>
      </c>
      <c r="CC149" s="1">
        <f t="shared" ca="1" si="159"/>
        <v>13</v>
      </c>
      <c r="CD149" s="1">
        <f t="shared" ca="1" si="160"/>
        <v>0.27826423228032993</v>
      </c>
      <c r="CE149" s="1">
        <f t="shared" ca="1" si="161"/>
        <v>0.78918390754702017</v>
      </c>
      <c r="CF149" s="1">
        <f t="shared" ca="1" si="161"/>
        <v>0.91836504636337002</v>
      </c>
      <c r="CH149" s="3">
        <f t="shared" ca="1" si="162"/>
        <v>0.64288946010949011</v>
      </c>
      <c r="CI149" s="3">
        <f t="shared" ca="1" si="163"/>
        <v>0.57277513640571398</v>
      </c>
      <c r="CJ149" s="3">
        <f t="shared" ca="1" si="164"/>
        <v>254</v>
      </c>
      <c r="CK149" s="3">
        <f t="shared" ca="1" si="165"/>
        <v>6.4456704744304495E-3</v>
      </c>
      <c r="CL149" s="3">
        <f t="shared" ca="1" si="166"/>
        <v>1</v>
      </c>
      <c r="CM149" s="3"/>
      <c r="CN149" s="1">
        <f t="shared" ca="1" si="167"/>
        <v>10.125950429632027</v>
      </c>
      <c r="CO149" s="1">
        <f t="shared" ca="1" si="168"/>
        <v>0.41546606063223757</v>
      </c>
      <c r="CP149" s="1">
        <f t="shared" ca="1" si="169"/>
        <v>4</v>
      </c>
    </row>
    <row r="150" spans="2:94" x14ac:dyDescent="0.25">
      <c r="B150">
        <f t="shared" ca="1" si="114"/>
        <v>219</v>
      </c>
      <c r="C150">
        <f t="shared" ca="1" si="115"/>
        <v>39</v>
      </c>
      <c r="D150">
        <f t="shared" ca="1" si="116"/>
        <v>6.6028418961102911E-2</v>
      </c>
      <c r="F150" s="1">
        <f t="shared" ca="1" si="117"/>
        <v>48</v>
      </c>
      <c r="G150" s="1">
        <f t="shared" ca="1" si="118"/>
        <v>9</v>
      </c>
      <c r="H150" s="1">
        <f t="shared" ca="1" si="119"/>
        <v>3</v>
      </c>
      <c r="I150" s="1"/>
      <c r="J150" s="1">
        <f t="shared" ca="1" si="120"/>
        <v>1</v>
      </c>
      <c r="K150" s="1">
        <f t="shared" ca="1" si="121"/>
        <v>2.2136285292461682</v>
      </c>
      <c r="L150" s="1">
        <f t="shared" ca="1" si="122"/>
        <v>17</v>
      </c>
      <c r="M150" s="1"/>
      <c r="N150" s="1">
        <f t="shared" ca="1" si="123"/>
        <v>882</v>
      </c>
      <c r="O150" s="1">
        <f t="shared" ca="1" si="124"/>
        <v>40</v>
      </c>
      <c r="P150" s="1"/>
      <c r="Q150" s="1">
        <f t="shared" ca="1" si="125"/>
        <v>3.1726495778184831</v>
      </c>
      <c r="R150" s="1">
        <f t="shared" ca="1" si="126"/>
        <v>550</v>
      </c>
      <c r="S150" s="1"/>
      <c r="T150" s="1">
        <f t="shared" ca="1" si="127"/>
        <v>4.4213288382635503E-2</v>
      </c>
      <c r="U150" s="1">
        <f t="shared" ca="1" si="128"/>
        <v>384</v>
      </c>
      <c r="V150" s="1">
        <f t="shared" ca="1" si="129"/>
        <v>25</v>
      </c>
      <c r="W150" s="1"/>
      <c r="X150" s="1">
        <f t="shared" ca="1" si="130"/>
        <v>6.559805577942571</v>
      </c>
      <c r="Y150" s="1">
        <f t="shared" ca="1" si="131"/>
        <v>6.410921090831749E-2</v>
      </c>
      <c r="Z150" s="1">
        <f t="shared" ca="1" si="132"/>
        <v>1079</v>
      </c>
      <c r="AB150" s="1">
        <f t="shared" ca="1" si="133"/>
        <v>0.78069697002692695</v>
      </c>
      <c r="AC150" s="1">
        <f t="shared" ca="1" si="134"/>
        <v>390</v>
      </c>
      <c r="AD150" s="1">
        <f t="shared" ca="1" si="135"/>
        <v>8.2466208330315132E-3</v>
      </c>
      <c r="AE150" s="1"/>
      <c r="AF150" s="1">
        <f t="shared" ca="1" si="136"/>
        <v>0.69042398140157935</v>
      </c>
      <c r="AG150" s="1">
        <f t="shared" ca="1" si="137"/>
        <v>358</v>
      </c>
      <c r="AH150" s="1">
        <f t="shared" ca="1" si="138"/>
        <v>2.389446358939559E-3</v>
      </c>
      <c r="AJ150" s="1">
        <f t="shared" ca="1" si="139"/>
        <v>0.57321969675369733</v>
      </c>
      <c r="AK150" s="1">
        <f t="shared" ca="1" si="140"/>
        <v>3.0150578776670244E-3</v>
      </c>
      <c r="AL150" s="1"/>
      <c r="AM150" s="1">
        <f t="shared" ca="1" si="141"/>
        <v>2.7796905942060003E-2</v>
      </c>
      <c r="AN150" s="1">
        <f t="shared" ca="1" si="142"/>
        <v>24</v>
      </c>
      <c r="AO150" s="1">
        <f t="shared" ca="1" si="143"/>
        <v>13</v>
      </c>
      <c r="AQ150" s="1">
        <f t="shared" ca="1" si="144"/>
        <v>172</v>
      </c>
      <c r="AR150" s="1">
        <f t="shared" ca="1" si="145"/>
        <v>4</v>
      </c>
      <c r="AS150" s="1">
        <f t="shared" ca="1" si="146"/>
        <v>20</v>
      </c>
      <c r="AU150" s="1">
        <f t="shared" ca="1" si="147"/>
        <v>110</v>
      </c>
      <c r="AV150" s="1">
        <f t="shared" ca="1" si="148"/>
        <v>8</v>
      </c>
      <c r="AW150" s="1">
        <f t="shared" ca="1" si="149"/>
        <v>8.6026196964574822E-2</v>
      </c>
      <c r="AY150" s="1">
        <f t="shared" ca="1" si="150"/>
        <v>1.5656324293836172</v>
      </c>
      <c r="AZ150" s="1">
        <f t="shared" ca="1" si="151"/>
        <v>168</v>
      </c>
      <c r="BA150" s="1">
        <f t="shared" ca="1" si="152"/>
        <v>4.5017582703640686E-3</v>
      </c>
      <c r="BV150" s="1">
        <f t="shared" ca="1" si="153"/>
        <v>0.92345064755228101</v>
      </c>
      <c r="BW150" s="1">
        <f t="shared" ca="1" si="154"/>
        <v>859</v>
      </c>
      <c r="BX150" s="1">
        <f t="shared" ca="1" si="155"/>
        <v>3.2615141285029453E-3</v>
      </c>
      <c r="BY150" s="1">
        <f t="shared" ca="1" si="156"/>
        <v>1.3510612460959203E-2</v>
      </c>
      <c r="BZ150" s="1">
        <f t="shared" ca="1" si="157"/>
        <v>0.67305253586024782</v>
      </c>
      <c r="CB150" s="1">
        <f t="shared" ca="1" si="158"/>
        <v>458</v>
      </c>
      <c r="CC150" s="1">
        <f t="shared" ca="1" si="159"/>
        <v>13</v>
      </c>
      <c r="CD150" s="1">
        <f t="shared" ca="1" si="160"/>
        <v>0.11864391684613675</v>
      </c>
      <c r="CE150" s="1">
        <f t="shared" ca="1" si="161"/>
        <v>0.65001047290104874</v>
      </c>
      <c r="CF150" s="1">
        <f t="shared" ca="1" si="161"/>
        <v>0.71364782148334005</v>
      </c>
      <c r="CH150" s="3">
        <f t="shared" ca="1" si="162"/>
        <v>0.97855356264814353</v>
      </c>
      <c r="CI150" s="3">
        <f t="shared" ca="1" si="163"/>
        <v>0.21598974154977321</v>
      </c>
      <c r="CJ150" s="3">
        <f t="shared" ca="1" si="164"/>
        <v>1035</v>
      </c>
      <c r="CK150" s="3">
        <f t="shared" ca="1" si="165"/>
        <v>5.917790111543096E-3</v>
      </c>
      <c r="CL150" s="3">
        <f t="shared" ca="1" si="166"/>
        <v>1</v>
      </c>
      <c r="CM150" s="3"/>
      <c r="CN150" s="1">
        <f t="shared" ca="1" si="167"/>
        <v>10.134481876875023</v>
      </c>
      <c r="CO150" s="1">
        <f t="shared" ca="1" si="168"/>
        <v>0.15794578243925037</v>
      </c>
      <c r="CP150" s="1">
        <f t="shared" ca="1" si="169"/>
        <v>2</v>
      </c>
    </row>
    <row r="151" spans="2:94" x14ac:dyDescent="0.25">
      <c r="B151">
        <f t="shared" ca="1" si="114"/>
        <v>367</v>
      </c>
      <c r="C151">
        <f t="shared" ca="1" si="115"/>
        <v>26</v>
      </c>
      <c r="D151">
        <f t="shared" ca="1" si="116"/>
        <v>5.8398239727557366E-2</v>
      </c>
      <c r="F151" s="1">
        <f t="shared" ca="1" si="117"/>
        <v>17</v>
      </c>
      <c r="G151" s="1">
        <f t="shared" ca="1" si="118"/>
        <v>21</v>
      </c>
      <c r="H151" s="1">
        <f t="shared" ca="1" si="119"/>
        <v>8</v>
      </c>
      <c r="I151" s="1"/>
      <c r="J151" s="1">
        <f t="shared" ca="1" si="120"/>
        <v>2</v>
      </c>
      <c r="K151" s="1">
        <f t="shared" ca="1" si="121"/>
        <v>2.1087129024305478</v>
      </c>
      <c r="L151" s="1">
        <f t="shared" ca="1" si="122"/>
        <v>6</v>
      </c>
      <c r="M151" s="1"/>
      <c r="N151" s="1">
        <f t="shared" ca="1" si="123"/>
        <v>741</v>
      </c>
      <c r="O151" s="1">
        <f t="shared" ca="1" si="124"/>
        <v>30</v>
      </c>
      <c r="P151" s="1"/>
      <c r="Q151" s="1">
        <f t="shared" ca="1" si="125"/>
        <v>3.13602456314407</v>
      </c>
      <c r="R151" s="1">
        <f t="shared" ca="1" si="126"/>
        <v>1198</v>
      </c>
      <c r="S151" s="1"/>
      <c r="T151" s="1">
        <f t="shared" ca="1" si="127"/>
        <v>0.17797028566089199</v>
      </c>
      <c r="U151" s="1">
        <f t="shared" ca="1" si="128"/>
        <v>127</v>
      </c>
      <c r="V151" s="1">
        <f t="shared" ca="1" si="129"/>
        <v>51</v>
      </c>
      <c r="W151" s="1"/>
      <c r="X151" s="1">
        <f t="shared" ca="1" si="130"/>
        <v>7.8889069257632585</v>
      </c>
      <c r="Y151" s="1">
        <f t="shared" ca="1" si="131"/>
        <v>0.27675988081413677</v>
      </c>
      <c r="Z151" s="1">
        <f t="shared" ca="1" si="132"/>
        <v>835</v>
      </c>
      <c r="AB151" s="1">
        <f t="shared" ca="1" si="133"/>
        <v>0.97749453894411076</v>
      </c>
      <c r="AC151" s="1">
        <f t="shared" ca="1" si="134"/>
        <v>655</v>
      </c>
      <c r="AD151" s="1">
        <f t="shared" ca="1" si="135"/>
        <v>7.8462400851737751E-3</v>
      </c>
      <c r="AE151" s="1"/>
      <c r="AF151" s="1">
        <f t="shared" ca="1" si="136"/>
        <v>0.60141114512182725</v>
      </c>
      <c r="AG151" s="1">
        <f t="shared" ca="1" si="137"/>
        <v>201</v>
      </c>
      <c r="AH151" s="1">
        <f t="shared" ca="1" si="138"/>
        <v>1.5861236285597319E-3</v>
      </c>
      <c r="AJ151" s="1">
        <f t="shared" ca="1" si="139"/>
        <v>0.26692874020346991</v>
      </c>
      <c r="AK151" s="1">
        <f t="shared" ca="1" si="140"/>
        <v>8.3364334202541031E-3</v>
      </c>
      <c r="AL151" s="1"/>
      <c r="AM151" s="1">
        <f t="shared" ca="1" si="141"/>
        <v>0.11924696867542729</v>
      </c>
      <c r="AN151" s="1">
        <f t="shared" ca="1" si="142"/>
        <v>19</v>
      </c>
      <c r="AO151" s="1">
        <f t="shared" ca="1" si="143"/>
        <v>12</v>
      </c>
      <c r="AQ151" s="1">
        <f t="shared" ca="1" si="144"/>
        <v>139</v>
      </c>
      <c r="AR151" s="1">
        <f t="shared" ca="1" si="145"/>
        <v>3</v>
      </c>
      <c r="AS151" s="1">
        <f t="shared" ca="1" si="146"/>
        <v>98</v>
      </c>
      <c r="AU151" s="1">
        <f t="shared" ca="1" si="147"/>
        <v>125</v>
      </c>
      <c r="AV151" s="1">
        <f t="shared" ca="1" si="148"/>
        <v>5</v>
      </c>
      <c r="AW151" s="1">
        <f t="shared" ca="1" si="149"/>
        <v>6.3462978459132152E-2</v>
      </c>
      <c r="AY151" s="1">
        <f t="shared" ca="1" si="150"/>
        <v>1.7413586839582085</v>
      </c>
      <c r="AZ151" s="1">
        <f t="shared" ca="1" si="151"/>
        <v>252</v>
      </c>
      <c r="BA151" s="1">
        <f t="shared" ca="1" si="152"/>
        <v>7.5171547610767362E-3</v>
      </c>
      <c r="BV151" s="1">
        <f t="shared" ca="1" si="153"/>
        <v>0.7725564353488088</v>
      </c>
      <c r="BW151" s="1">
        <f t="shared" ca="1" si="154"/>
        <v>426</v>
      </c>
      <c r="BX151" s="1">
        <f t="shared" ca="1" si="155"/>
        <v>9.4815271084154444E-4</v>
      </c>
      <c r="BY151" s="1">
        <f t="shared" ca="1" si="156"/>
        <v>8.2235560695376103E-2</v>
      </c>
      <c r="BZ151" s="1">
        <f t="shared" ca="1" si="157"/>
        <v>0.84497209938677642</v>
      </c>
      <c r="CB151" s="1">
        <f t="shared" ca="1" si="158"/>
        <v>180</v>
      </c>
      <c r="CC151" s="1">
        <f t="shared" ca="1" si="159"/>
        <v>8</v>
      </c>
      <c r="CD151" s="1">
        <f t="shared" ca="1" si="160"/>
        <v>0.27877954354105727</v>
      </c>
      <c r="CE151" s="1">
        <f t="shared" ca="1" si="161"/>
        <v>0.65702420108095039</v>
      </c>
      <c r="CF151" s="1">
        <f t="shared" ca="1" si="161"/>
        <v>0.64047583126910645</v>
      </c>
      <c r="CH151" s="3">
        <f t="shared" ca="1" si="162"/>
        <v>0.75521087331752002</v>
      </c>
      <c r="CI151" s="3">
        <f t="shared" ca="1" si="163"/>
        <v>0.53297004240737289</v>
      </c>
      <c r="CJ151" s="3">
        <f t="shared" ca="1" si="164"/>
        <v>455</v>
      </c>
      <c r="CK151" s="3">
        <f t="shared" ca="1" si="165"/>
        <v>5.7157697793058394E-3</v>
      </c>
      <c r="CL151" s="3">
        <f t="shared" ca="1" si="166"/>
        <v>0</v>
      </c>
      <c r="CM151" s="3"/>
      <c r="CN151" s="1">
        <f t="shared" ca="1" si="167"/>
        <v>11.814999790713566</v>
      </c>
      <c r="CO151" s="1">
        <f t="shared" ca="1" si="168"/>
        <v>0.3571040572321556</v>
      </c>
      <c r="CP151" s="1">
        <f t="shared" ca="1" si="169"/>
        <v>1</v>
      </c>
    </row>
    <row r="152" spans="2:94" x14ac:dyDescent="0.25">
      <c r="B152">
        <f t="shared" ca="1" si="114"/>
        <v>264</v>
      </c>
      <c r="C152">
        <f t="shared" ca="1" si="115"/>
        <v>12</v>
      </c>
      <c r="D152">
        <f t="shared" ca="1" si="116"/>
        <v>7.2112192520248405E-2</v>
      </c>
      <c r="F152" s="1">
        <f t="shared" ca="1" si="117"/>
        <v>29</v>
      </c>
      <c r="G152" s="1">
        <f t="shared" ca="1" si="118"/>
        <v>22</v>
      </c>
      <c r="H152" s="1">
        <f t="shared" ca="1" si="119"/>
        <v>1</v>
      </c>
      <c r="I152" s="1"/>
      <c r="J152" s="1">
        <f t="shared" ca="1" si="120"/>
        <v>22</v>
      </c>
      <c r="K152" s="1">
        <f t="shared" ca="1" si="121"/>
        <v>2.3044477911657459</v>
      </c>
      <c r="L152" s="1">
        <f t="shared" ca="1" si="122"/>
        <v>11</v>
      </c>
      <c r="M152" s="1"/>
      <c r="N152" s="1">
        <f t="shared" ca="1" si="123"/>
        <v>451</v>
      </c>
      <c r="O152" s="1">
        <f t="shared" ca="1" si="124"/>
        <v>17</v>
      </c>
      <c r="P152" s="1"/>
      <c r="Q152" s="1">
        <f t="shared" ca="1" si="125"/>
        <v>4.6739243622667637</v>
      </c>
      <c r="R152" s="1">
        <f t="shared" ca="1" si="126"/>
        <v>558</v>
      </c>
      <c r="S152" s="1"/>
      <c r="T152" s="1">
        <f t="shared" ca="1" si="127"/>
        <v>0.19854495423258103</v>
      </c>
      <c r="U152" s="1">
        <f t="shared" ca="1" si="128"/>
        <v>94</v>
      </c>
      <c r="V152" s="1">
        <f t="shared" ca="1" si="129"/>
        <v>42</v>
      </c>
      <c r="W152" s="1"/>
      <c r="X152" s="1">
        <f t="shared" ca="1" si="130"/>
        <v>4.4141763108381182</v>
      </c>
      <c r="Y152" s="1">
        <f t="shared" ca="1" si="131"/>
        <v>0.3862171428763515</v>
      </c>
      <c r="Z152" s="1">
        <f t="shared" ca="1" si="132"/>
        <v>530</v>
      </c>
      <c r="AB152" s="1">
        <f t="shared" ca="1" si="133"/>
        <v>0.97933643690212313</v>
      </c>
      <c r="AC152" s="1">
        <f t="shared" ca="1" si="134"/>
        <v>523</v>
      </c>
      <c r="AD152" s="1">
        <f t="shared" ca="1" si="135"/>
        <v>3.4547685552570092E-3</v>
      </c>
      <c r="AE152" s="1"/>
      <c r="AF152" s="1">
        <f t="shared" ca="1" si="136"/>
        <v>0.84523867658528384</v>
      </c>
      <c r="AG152" s="1">
        <f t="shared" ca="1" si="137"/>
        <v>155</v>
      </c>
      <c r="AH152" s="1">
        <f t="shared" ca="1" si="138"/>
        <v>3.850299278579856E-3</v>
      </c>
      <c r="AJ152" s="1">
        <f t="shared" ca="1" si="139"/>
        <v>0.51137453324113491</v>
      </c>
      <c r="AK152" s="1">
        <f t="shared" ca="1" si="140"/>
        <v>7.7533737836404321E-3</v>
      </c>
      <c r="AL152" s="1"/>
      <c r="AM152" s="1">
        <f t="shared" ca="1" si="141"/>
        <v>0.15581443674582082</v>
      </c>
      <c r="AN152" s="1">
        <f t="shared" ca="1" si="142"/>
        <v>14</v>
      </c>
      <c r="AO152" s="1">
        <f t="shared" ca="1" si="143"/>
        <v>2</v>
      </c>
      <c r="AQ152" s="1">
        <f t="shared" ca="1" si="144"/>
        <v>41</v>
      </c>
      <c r="AR152" s="1">
        <f t="shared" ca="1" si="145"/>
        <v>10</v>
      </c>
      <c r="AS152" s="1">
        <f t="shared" ca="1" si="146"/>
        <v>95</v>
      </c>
      <c r="AU152" s="1">
        <f t="shared" ca="1" si="147"/>
        <v>238</v>
      </c>
      <c r="AV152" s="1">
        <f t="shared" ca="1" si="148"/>
        <v>4</v>
      </c>
      <c r="AW152" s="1">
        <f t="shared" ca="1" si="149"/>
        <v>2.9345384134919793E-2</v>
      </c>
      <c r="AY152" s="1">
        <f t="shared" ca="1" si="150"/>
        <v>1.3336367576079386</v>
      </c>
      <c r="AZ152" s="1">
        <f t="shared" ca="1" si="151"/>
        <v>464</v>
      </c>
      <c r="BA152" s="1">
        <f t="shared" ca="1" si="152"/>
        <v>5.0736871115422437E-3</v>
      </c>
      <c r="BV152" s="1">
        <f t="shared" ca="1" si="153"/>
        <v>0.25708866038051176</v>
      </c>
      <c r="BW152" s="1">
        <f t="shared" ca="1" si="154"/>
        <v>158</v>
      </c>
      <c r="BX152" s="1">
        <f t="shared" ca="1" si="155"/>
        <v>9.2256952102963176E-3</v>
      </c>
      <c r="BY152" s="1">
        <f t="shared" ca="1" si="156"/>
        <v>8.2336111200837142E-2</v>
      </c>
      <c r="BZ152" s="1">
        <f t="shared" ca="1" si="157"/>
        <v>0.76290663513455592</v>
      </c>
      <c r="CB152" s="1">
        <f t="shared" ca="1" si="158"/>
        <v>348</v>
      </c>
      <c r="CC152" s="1">
        <f t="shared" ca="1" si="159"/>
        <v>9</v>
      </c>
      <c r="CD152" s="1">
        <f t="shared" ca="1" si="160"/>
        <v>0.27594387500802803</v>
      </c>
      <c r="CE152" s="1">
        <f t="shared" ca="1" si="161"/>
        <v>0.60673327248054343</v>
      </c>
      <c r="CF152" s="1">
        <f t="shared" ca="1" si="161"/>
        <v>0.86734728154553253</v>
      </c>
      <c r="CH152" s="3">
        <f t="shared" ca="1" si="162"/>
        <v>0.28658809277472758</v>
      </c>
      <c r="CI152" s="3">
        <f t="shared" ca="1" si="163"/>
        <v>0.364206602162987</v>
      </c>
      <c r="CJ152" s="3">
        <f t="shared" ca="1" si="164"/>
        <v>1294</v>
      </c>
      <c r="CK152" s="3">
        <f t="shared" ca="1" si="165"/>
        <v>5.5664068897444763E-3</v>
      </c>
      <c r="CL152" s="3">
        <f t="shared" ca="1" si="166"/>
        <v>0</v>
      </c>
      <c r="CM152" s="3"/>
      <c r="CN152" s="1">
        <f t="shared" ca="1" si="167"/>
        <v>2.2545037435086432</v>
      </c>
      <c r="CO152" s="1">
        <f t="shared" ca="1" si="168"/>
        <v>0.15218337159396808</v>
      </c>
      <c r="CP152" s="1">
        <f t="shared" ca="1" si="169"/>
        <v>1</v>
      </c>
    </row>
    <row r="153" spans="2:94" x14ac:dyDescent="0.25">
      <c r="B153">
        <f t="shared" ca="1" si="114"/>
        <v>565</v>
      </c>
      <c r="C153">
        <f t="shared" ca="1" si="115"/>
        <v>5</v>
      </c>
      <c r="D153">
        <f t="shared" ca="1" si="116"/>
        <v>0.21291117229547013</v>
      </c>
      <c r="F153" s="1">
        <f t="shared" ca="1" si="117"/>
        <v>52</v>
      </c>
      <c r="G153" s="1">
        <f t="shared" ca="1" si="118"/>
        <v>24</v>
      </c>
      <c r="H153" s="1">
        <f t="shared" ca="1" si="119"/>
        <v>14</v>
      </c>
      <c r="I153" s="1"/>
      <c r="J153" s="1">
        <f t="shared" ca="1" si="120"/>
        <v>14</v>
      </c>
      <c r="K153" s="1">
        <f t="shared" ca="1" si="121"/>
        <v>1.359462693917465</v>
      </c>
      <c r="L153" s="1">
        <f t="shared" ca="1" si="122"/>
        <v>30</v>
      </c>
      <c r="M153" s="1"/>
      <c r="N153" s="1">
        <f t="shared" ca="1" si="123"/>
        <v>29</v>
      </c>
      <c r="O153" s="1">
        <f t="shared" ca="1" si="124"/>
        <v>20</v>
      </c>
      <c r="P153" s="1"/>
      <c r="Q153" s="1">
        <f t="shared" ca="1" si="125"/>
        <v>0.67387945347047884</v>
      </c>
      <c r="R153" s="1">
        <f t="shared" ca="1" si="126"/>
        <v>593</v>
      </c>
      <c r="S153" s="1"/>
      <c r="T153" s="1">
        <f t="shared" ca="1" si="127"/>
        <v>0.15535817973715446</v>
      </c>
      <c r="U153" s="1">
        <f t="shared" ca="1" si="128"/>
        <v>355</v>
      </c>
      <c r="V153" s="1">
        <f t="shared" ca="1" si="129"/>
        <v>44</v>
      </c>
      <c r="W153" s="1"/>
      <c r="X153" s="1">
        <f t="shared" ca="1" si="130"/>
        <v>4.7975439603145391</v>
      </c>
      <c r="Y153" s="1">
        <f t="shared" ca="1" si="131"/>
        <v>0.41794970287153843</v>
      </c>
      <c r="Z153" s="1">
        <f t="shared" ca="1" si="132"/>
        <v>1059</v>
      </c>
      <c r="AB153" s="1">
        <f t="shared" ca="1" si="133"/>
        <v>0.6364083830256605</v>
      </c>
      <c r="AC153" s="1">
        <f t="shared" ca="1" si="134"/>
        <v>147</v>
      </c>
      <c r="AD153" s="1">
        <f t="shared" ca="1" si="135"/>
        <v>9.6583488745185016E-3</v>
      </c>
      <c r="AE153" s="1"/>
      <c r="AF153" s="1">
        <f t="shared" ca="1" si="136"/>
        <v>0.12417788114434912</v>
      </c>
      <c r="AG153" s="1">
        <f t="shared" ca="1" si="137"/>
        <v>401</v>
      </c>
      <c r="AH153" s="1">
        <f t="shared" ca="1" si="138"/>
        <v>6.9396659984729287E-3</v>
      </c>
      <c r="AJ153" s="1">
        <f t="shared" ca="1" si="139"/>
        <v>0.69546688772036391</v>
      </c>
      <c r="AK153" s="1">
        <f t="shared" ca="1" si="140"/>
        <v>5.4495701646602359E-3</v>
      </c>
      <c r="AL153" s="1"/>
      <c r="AM153" s="1">
        <f t="shared" ca="1" si="141"/>
        <v>9.9272243331225155E-2</v>
      </c>
      <c r="AN153" s="1">
        <f t="shared" ca="1" si="142"/>
        <v>80</v>
      </c>
      <c r="AO153" s="1">
        <f t="shared" ca="1" si="143"/>
        <v>11</v>
      </c>
      <c r="AQ153" s="1">
        <f t="shared" ca="1" si="144"/>
        <v>140</v>
      </c>
      <c r="AR153" s="1">
        <f t="shared" ca="1" si="145"/>
        <v>7</v>
      </c>
      <c r="AS153" s="1">
        <f t="shared" ca="1" si="146"/>
        <v>5</v>
      </c>
      <c r="AU153" s="1">
        <f t="shared" ca="1" si="147"/>
        <v>204</v>
      </c>
      <c r="AV153" s="1">
        <f t="shared" ca="1" si="148"/>
        <v>10</v>
      </c>
      <c r="AW153" s="1">
        <f t="shared" ca="1" si="149"/>
        <v>0.13941837668212936</v>
      </c>
      <c r="AY153" s="1">
        <f t="shared" ca="1" si="150"/>
        <v>1.4765625563806866</v>
      </c>
      <c r="AZ153" s="1">
        <f t="shared" ca="1" si="151"/>
        <v>191</v>
      </c>
      <c r="BA153" s="1">
        <f t="shared" ca="1" si="152"/>
        <v>8.4862669862513212E-3</v>
      </c>
      <c r="BV153" s="1">
        <f t="shared" ca="1" si="153"/>
        <v>0.73323125087359331</v>
      </c>
      <c r="BW153" s="1">
        <f t="shared" ca="1" si="154"/>
        <v>789</v>
      </c>
      <c r="BX153" s="1">
        <f t="shared" ca="1" si="155"/>
        <v>8.8211343656721102E-3</v>
      </c>
      <c r="BY153" s="1">
        <f t="shared" ca="1" si="156"/>
        <v>7.5615466993343271E-3</v>
      </c>
      <c r="BZ153" s="1">
        <f t="shared" ca="1" si="157"/>
        <v>0.29284870622783854</v>
      </c>
      <c r="CB153" s="1">
        <f t="shared" ca="1" si="158"/>
        <v>223</v>
      </c>
      <c r="CC153" s="1">
        <f t="shared" ca="1" si="159"/>
        <v>6</v>
      </c>
      <c r="CD153" s="1">
        <f t="shared" ca="1" si="160"/>
        <v>1.1463805019280036E-2</v>
      </c>
      <c r="CE153" s="1">
        <f t="shared" ca="1" si="161"/>
        <v>0.6931196234475514</v>
      </c>
      <c r="CF153" s="1">
        <f t="shared" ca="1" si="161"/>
        <v>0.8410668090300093</v>
      </c>
      <c r="CH153" s="3">
        <f t="shared" ca="1" si="162"/>
        <v>1.9098739111089884E-2</v>
      </c>
      <c r="CI153" s="3">
        <f t="shared" ca="1" si="163"/>
        <v>0.87762952546128303</v>
      </c>
      <c r="CJ153" s="3">
        <f t="shared" ca="1" si="164"/>
        <v>1432</v>
      </c>
      <c r="CK153" s="3">
        <f t="shared" ca="1" si="165"/>
        <v>1.3569071404746548E-3</v>
      </c>
      <c r="CL153" s="3">
        <f t="shared" ca="1" si="166"/>
        <v>1</v>
      </c>
      <c r="CM153" s="3"/>
      <c r="CN153" s="1">
        <f t="shared" ca="1" si="167"/>
        <v>1.8869149879074048</v>
      </c>
      <c r="CO153" s="1">
        <f t="shared" ca="1" si="168"/>
        <v>0.3212775948299425</v>
      </c>
      <c r="CP153" s="1">
        <f t="shared" ca="1" si="169"/>
        <v>2</v>
      </c>
    </row>
    <row r="154" spans="2:94" x14ac:dyDescent="0.25">
      <c r="B154">
        <f t="shared" ca="1" si="114"/>
        <v>686</v>
      </c>
      <c r="C154">
        <f t="shared" ca="1" si="115"/>
        <v>27</v>
      </c>
      <c r="D154">
        <f t="shared" ca="1" si="116"/>
        <v>0.12559107386129112</v>
      </c>
      <c r="F154" s="1">
        <f t="shared" ca="1" si="117"/>
        <v>40</v>
      </c>
      <c r="G154" s="1">
        <f t="shared" ca="1" si="118"/>
        <v>24</v>
      </c>
      <c r="H154" s="1">
        <f t="shared" ca="1" si="119"/>
        <v>6</v>
      </c>
      <c r="I154" s="1"/>
      <c r="J154" s="1">
        <f t="shared" ca="1" si="120"/>
        <v>33</v>
      </c>
      <c r="K154" s="1">
        <f t="shared" ca="1" si="121"/>
        <v>1.4938559332197257</v>
      </c>
      <c r="L154" s="1">
        <f t="shared" ca="1" si="122"/>
        <v>10</v>
      </c>
      <c r="M154" s="1"/>
      <c r="N154" s="1">
        <f t="shared" ca="1" si="123"/>
        <v>786</v>
      </c>
      <c r="O154" s="1">
        <f t="shared" ca="1" si="124"/>
        <v>13</v>
      </c>
      <c r="P154" s="1"/>
      <c r="Q154" s="1">
        <f t="shared" ca="1" si="125"/>
        <v>4.0236765126347134</v>
      </c>
      <c r="R154" s="1">
        <f t="shared" ca="1" si="126"/>
        <v>1139</v>
      </c>
      <c r="S154" s="1"/>
      <c r="T154" s="1">
        <f t="shared" ca="1" si="127"/>
        <v>6.8850473596706874E-2</v>
      </c>
      <c r="U154" s="1">
        <f t="shared" ca="1" si="128"/>
        <v>233</v>
      </c>
      <c r="V154" s="1">
        <f t="shared" ca="1" si="129"/>
        <v>46</v>
      </c>
      <c r="W154" s="1"/>
      <c r="X154" s="1">
        <f t="shared" ca="1" si="130"/>
        <v>5.0363955382579695</v>
      </c>
      <c r="Y154" s="1">
        <f t="shared" ca="1" si="131"/>
        <v>0.5143687437009522</v>
      </c>
      <c r="Z154" s="1">
        <f t="shared" ca="1" si="132"/>
        <v>945</v>
      </c>
      <c r="AB154" s="1">
        <f t="shared" ca="1" si="133"/>
        <v>0.6022047041101487</v>
      </c>
      <c r="AC154" s="1">
        <f t="shared" ca="1" si="134"/>
        <v>122</v>
      </c>
      <c r="AD154" s="1">
        <f t="shared" ca="1" si="135"/>
        <v>8.6586909455702958E-3</v>
      </c>
      <c r="AE154" s="1"/>
      <c r="AF154" s="1">
        <f t="shared" ca="1" si="136"/>
        <v>0.65524587984436999</v>
      </c>
      <c r="AG154" s="1">
        <f t="shared" ca="1" si="137"/>
        <v>361</v>
      </c>
      <c r="AH154" s="1">
        <f t="shared" ca="1" si="138"/>
        <v>1.5740244968392115E-3</v>
      </c>
      <c r="AJ154" s="1">
        <f t="shared" ca="1" si="139"/>
        <v>0.33011320981503744</v>
      </c>
      <c r="AK154" s="1">
        <f t="shared" ca="1" si="140"/>
        <v>7.8680457989277978E-3</v>
      </c>
      <c r="AL154" s="1"/>
      <c r="AM154" s="1">
        <f t="shared" ca="1" si="141"/>
        <v>0.16663797534661975</v>
      </c>
      <c r="AN154" s="1">
        <f t="shared" ca="1" si="142"/>
        <v>63</v>
      </c>
      <c r="AO154" s="1">
        <f t="shared" ca="1" si="143"/>
        <v>17</v>
      </c>
      <c r="AQ154" s="1">
        <f t="shared" ca="1" si="144"/>
        <v>77</v>
      </c>
      <c r="AR154" s="1">
        <f t="shared" ca="1" si="145"/>
        <v>10</v>
      </c>
      <c r="AS154" s="1">
        <f t="shared" ca="1" si="146"/>
        <v>67</v>
      </c>
      <c r="AU154" s="1">
        <f t="shared" ca="1" si="147"/>
        <v>204</v>
      </c>
      <c r="AV154" s="1">
        <f t="shared" ca="1" si="148"/>
        <v>7</v>
      </c>
      <c r="AW154" s="1">
        <f t="shared" ca="1" si="149"/>
        <v>5.3928858277527615E-2</v>
      </c>
      <c r="AY154" s="1">
        <f t="shared" ca="1" si="150"/>
        <v>1.2778538702338715</v>
      </c>
      <c r="AZ154" s="1">
        <f t="shared" ca="1" si="151"/>
        <v>312</v>
      </c>
      <c r="BA154" s="1">
        <f t="shared" ca="1" si="152"/>
        <v>2.7327987295237377E-3</v>
      </c>
      <c r="BV154" s="1">
        <f t="shared" ca="1" si="153"/>
        <v>6.7040535459937378E-2</v>
      </c>
      <c r="BW154" s="1">
        <f t="shared" ca="1" si="154"/>
        <v>904</v>
      </c>
      <c r="BX154" s="1">
        <f t="shared" ca="1" si="155"/>
        <v>2.0102863749066151E-4</v>
      </c>
      <c r="BY154" s="1">
        <f t="shared" ca="1" si="156"/>
        <v>6.1177896482202239E-2</v>
      </c>
      <c r="BZ154" s="1">
        <f t="shared" ca="1" si="157"/>
        <v>0.79040024639710771</v>
      </c>
      <c r="CB154" s="1">
        <f t="shared" ca="1" si="158"/>
        <v>324</v>
      </c>
      <c r="CC154" s="1">
        <f t="shared" ca="1" si="159"/>
        <v>5</v>
      </c>
      <c r="CD154" s="1">
        <f t="shared" ca="1" si="160"/>
        <v>0.20995010873247485</v>
      </c>
      <c r="CE154" s="1">
        <f t="shared" ca="1" si="161"/>
        <v>0.57838497040503822</v>
      </c>
      <c r="CF154" s="1">
        <f t="shared" ca="1" si="161"/>
        <v>0.93066851075773727</v>
      </c>
      <c r="CH154" s="3">
        <f t="shared" ca="1" si="162"/>
        <v>0.4665292989785631</v>
      </c>
      <c r="CI154" s="3">
        <f t="shared" ca="1" si="163"/>
        <v>0.82839123334966436</v>
      </c>
      <c r="CJ154" s="3">
        <f t="shared" ca="1" si="164"/>
        <v>1865</v>
      </c>
      <c r="CK154" s="3">
        <f t="shared" ca="1" si="165"/>
        <v>7.8598797128564797E-5</v>
      </c>
      <c r="CL154" s="3">
        <f t="shared" ca="1" si="166"/>
        <v>1</v>
      </c>
      <c r="CM154" s="3"/>
      <c r="CN154" s="1">
        <f t="shared" ca="1" si="167"/>
        <v>15.718904243132371</v>
      </c>
      <c r="CO154" s="1">
        <f t="shared" ca="1" si="168"/>
        <v>0.12113970710375919</v>
      </c>
      <c r="CP154" s="1">
        <f t="shared" ca="1" si="169"/>
        <v>4</v>
      </c>
    </row>
    <row r="155" spans="2:94" x14ac:dyDescent="0.25">
      <c r="B155">
        <f t="shared" ca="1" si="114"/>
        <v>691</v>
      </c>
      <c r="C155">
        <f t="shared" ca="1" si="115"/>
        <v>7</v>
      </c>
      <c r="D155">
        <f t="shared" ca="1" si="116"/>
        <v>0.22137515180853656</v>
      </c>
      <c r="F155" s="1">
        <f t="shared" ca="1" si="117"/>
        <v>27</v>
      </c>
      <c r="G155" s="1">
        <f t="shared" ca="1" si="118"/>
        <v>29</v>
      </c>
      <c r="H155" s="1">
        <f t="shared" ca="1" si="119"/>
        <v>14</v>
      </c>
      <c r="I155" s="1"/>
      <c r="J155" s="1">
        <f t="shared" ca="1" si="120"/>
        <v>25</v>
      </c>
      <c r="K155" s="1">
        <f t="shared" ca="1" si="121"/>
        <v>2.4347604936248648</v>
      </c>
      <c r="L155" s="1">
        <f t="shared" ca="1" si="122"/>
        <v>5</v>
      </c>
      <c r="M155" s="1"/>
      <c r="N155" s="1">
        <f t="shared" ca="1" si="123"/>
        <v>260</v>
      </c>
      <c r="O155" s="1">
        <f t="shared" ca="1" si="124"/>
        <v>22</v>
      </c>
      <c r="P155" s="1"/>
      <c r="Q155" s="1">
        <f t="shared" ca="1" si="125"/>
        <v>2.5026763096976561</v>
      </c>
      <c r="R155" s="1">
        <f t="shared" ca="1" si="126"/>
        <v>209</v>
      </c>
      <c r="S155" s="1"/>
      <c r="T155" s="1">
        <f t="shared" ca="1" si="127"/>
        <v>0.18582873570005146</v>
      </c>
      <c r="U155" s="1">
        <f t="shared" ca="1" si="128"/>
        <v>118</v>
      </c>
      <c r="V155" s="1">
        <f t="shared" ca="1" si="129"/>
        <v>7</v>
      </c>
      <c r="W155" s="1"/>
      <c r="X155" s="1">
        <f t="shared" ca="1" si="130"/>
        <v>3.0851582257587191</v>
      </c>
      <c r="Y155" s="1">
        <f t="shared" ca="1" si="131"/>
        <v>2.0364911030551321E-2</v>
      </c>
      <c r="Z155" s="1">
        <f t="shared" ca="1" si="132"/>
        <v>826</v>
      </c>
      <c r="AB155" s="1">
        <f t="shared" ca="1" si="133"/>
        <v>0.45134260898833262</v>
      </c>
      <c r="AC155" s="1">
        <f t="shared" ca="1" si="134"/>
        <v>181</v>
      </c>
      <c r="AD155" s="1">
        <f t="shared" ca="1" si="135"/>
        <v>7.1515612545327437E-3</v>
      </c>
      <c r="AE155" s="1"/>
      <c r="AF155" s="1">
        <f t="shared" ca="1" si="136"/>
        <v>0.84849855085553805</v>
      </c>
      <c r="AG155" s="1">
        <f t="shared" ca="1" si="137"/>
        <v>243</v>
      </c>
      <c r="AH155" s="1">
        <f t="shared" ca="1" si="138"/>
        <v>7.5401914360699309E-3</v>
      </c>
      <c r="AJ155" s="1">
        <f t="shared" ca="1" si="139"/>
        <v>0.45356954000605609</v>
      </c>
      <c r="AK155" s="1">
        <f t="shared" ca="1" si="140"/>
        <v>4.2372479915539184E-3</v>
      </c>
      <c r="AL155" s="1"/>
      <c r="AM155" s="1">
        <f t="shared" ca="1" si="141"/>
        <v>0.1396429557002796</v>
      </c>
      <c r="AN155" s="1">
        <f t="shared" ca="1" si="142"/>
        <v>38</v>
      </c>
      <c r="AO155" s="1">
        <f t="shared" ca="1" si="143"/>
        <v>18</v>
      </c>
      <c r="AQ155" s="1">
        <f t="shared" ca="1" si="144"/>
        <v>96</v>
      </c>
      <c r="AR155" s="1">
        <f t="shared" ca="1" si="145"/>
        <v>3</v>
      </c>
      <c r="AS155" s="1">
        <f t="shared" ca="1" si="146"/>
        <v>59</v>
      </c>
      <c r="AU155" s="1">
        <f t="shared" ca="1" si="147"/>
        <v>233</v>
      </c>
      <c r="AV155" s="1">
        <f t="shared" ca="1" si="148"/>
        <v>2</v>
      </c>
      <c r="AW155" s="1">
        <f t="shared" ca="1" si="149"/>
        <v>6.6793753475468398E-2</v>
      </c>
      <c r="AY155" s="1">
        <f t="shared" ca="1" si="150"/>
        <v>1.8119312882968499</v>
      </c>
      <c r="AZ155" s="1">
        <f t="shared" ca="1" si="151"/>
        <v>398</v>
      </c>
      <c r="BA155" s="1">
        <f t="shared" ca="1" si="152"/>
        <v>1.6410865973846885E-3</v>
      </c>
      <c r="BV155" s="1">
        <f t="shared" ca="1" si="153"/>
        <v>0.66785565835192517</v>
      </c>
      <c r="BW155" s="1">
        <f t="shared" ca="1" si="154"/>
        <v>921</v>
      </c>
      <c r="BX155" s="1">
        <f t="shared" ca="1" si="155"/>
        <v>6.4409472078239731E-3</v>
      </c>
      <c r="BY155" s="1">
        <f t="shared" ca="1" si="156"/>
        <v>4.6967350824427982E-2</v>
      </c>
      <c r="BZ155" s="1">
        <f t="shared" ca="1" si="157"/>
        <v>0.12925486391296259</v>
      </c>
      <c r="CB155" s="1">
        <f t="shared" ca="1" si="158"/>
        <v>50</v>
      </c>
      <c r="CC155" s="1">
        <f t="shared" ca="1" si="159"/>
        <v>12</v>
      </c>
      <c r="CD155" s="1">
        <f t="shared" ca="1" si="160"/>
        <v>0.1325192721499307</v>
      </c>
      <c r="CE155" s="1">
        <f t="shared" ca="1" si="161"/>
        <v>0.8152190510068047</v>
      </c>
      <c r="CF155" s="1">
        <f t="shared" ca="1" si="161"/>
        <v>0.87259808414074169</v>
      </c>
      <c r="CH155" s="3">
        <f t="shared" ca="1" si="162"/>
        <v>0.36056632974177311</v>
      </c>
      <c r="CI155" s="3">
        <f t="shared" ca="1" si="163"/>
        <v>0.84005689960574104</v>
      </c>
      <c r="CJ155" s="3">
        <f t="shared" ca="1" si="164"/>
        <v>496</v>
      </c>
      <c r="CK155" s="3">
        <f t="shared" ca="1" si="165"/>
        <v>7.8140634578829377E-3</v>
      </c>
      <c r="CL155" s="3">
        <f t="shared" ca="1" si="166"/>
        <v>0</v>
      </c>
      <c r="CM155" s="3"/>
      <c r="CN155" s="1">
        <f t="shared" ca="1" si="167"/>
        <v>1.2741398266496242</v>
      </c>
      <c r="CO155" s="1">
        <f t="shared" ca="1" si="168"/>
        <v>0.26636527410840216</v>
      </c>
      <c r="CP155" s="1">
        <f t="shared" ca="1" si="169"/>
        <v>3</v>
      </c>
    </row>
    <row r="156" spans="2:94" x14ac:dyDescent="0.25">
      <c r="B156">
        <f t="shared" ca="1" si="114"/>
        <v>925</v>
      </c>
      <c r="C156">
        <f t="shared" ca="1" si="115"/>
        <v>34</v>
      </c>
      <c r="D156">
        <f t="shared" ca="1" si="116"/>
        <v>0.15472490717778858</v>
      </c>
      <c r="F156" s="1">
        <f t="shared" ca="1" si="117"/>
        <v>42</v>
      </c>
      <c r="G156" s="1">
        <f t="shared" ca="1" si="118"/>
        <v>19</v>
      </c>
      <c r="H156" s="1">
        <f t="shared" ca="1" si="119"/>
        <v>15</v>
      </c>
      <c r="I156" s="1"/>
      <c r="J156" s="1">
        <f t="shared" ca="1" si="120"/>
        <v>15</v>
      </c>
      <c r="K156" s="1">
        <f t="shared" ca="1" si="121"/>
        <v>1.1160647534935275</v>
      </c>
      <c r="L156" s="1">
        <f t="shared" ca="1" si="122"/>
        <v>24</v>
      </c>
      <c r="M156" s="1"/>
      <c r="N156" s="1">
        <f t="shared" ca="1" si="123"/>
        <v>433</v>
      </c>
      <c r="O156" s="1">
        <f t="shared" ca="1" si="124"/>
        <v>47</v>
      </c>
      <c r="P156" s="1"/>
      <c r="Q156" s="1">
        <f t="shared" ca="1" si="125"/>
        <v>4.5493099259540672</v>
      </c>
      <c r="R156" s="1">
        <f t="shared" ca="1" si="126"/>
        <v>278</v>
      </c>
      <c r="S156" s="1"/>
      <c r="T156" s="1">
        <f t="shared" ca="1" si="127"/>
        <v>9.0714864947744139E-2</v>
      </c>
      <c r="U156" s="1">
        <f t="shared" ca="1" si="128"/>
        <v>360</v>
      </c>
      <c r="V156" s="1">
        <f t="shared" ca="1" si="129"/>
        <v>37</v>
      </c>
      <c r="W156" s="1"/>
      <c r="X156" s="1">
        <f t="shared" ca="1" si="130"/>
        <v>2.7348417563137311</v>
      </c>
      <c r="Y156" s="1">
        <f t="shared" ca="1" si="131"/>
        <v>0.42936207303501572</v>
      </c>
      <c r="Z156" s="1">
        <f t="shared" ca="1" si="132"/>
        <v>1912</v>
      </c>
      <c r="AB156" s="1">
        <f t="shared" ca="1" si="133"/>
        <v>0.89987520261198095</v>
      </c>
      <c r="AC156" s="1">
        <f t="shared" ca="1" si="134"/>
        <v>749</v>
      </c>
      <c r="AD156" s="1">
        <f t="shared" ca="1" si="135"/>
        <v>6.7111455493287899E-3</v>
      </c>
      <c r="AE156" s="1"/>
      <c r="AF156" s="1">
        <f t="shared" ca="1" si="136"/>
        <v>0.69862505264644781</v>
      </c>
      <c r="AG156" s="1">
        <f t="shared" ca="1" si="137"/>
        <v>526</v>
      </c>
      <c r="AH156" s="1">
        <f t="shared" ca="1" si="138"/>
        <v>3.9473834057875308E-3</v>
      </c>
      <c r="AJ156" s="1">
        <f t="shared" ca="1" si="139"/>
        <v>0.90988931087855218</v>
      </c>
      <c r="AK156" s="1">
        <f t="shared" ca="1" si="140"/>
        <v>6.1684298058768267E-3</v>
      </c>
      <c r="AL156" s="1"/>
      <c r="AM156" s="1">
        <f t="shared" ca="1" si="141"/>
        <v>0.14804983352763329</v>
      </c>
      <c r="AN156" s="1">
        <f t="shared" ca="1" si="142"/>
        <v>54</v>
      </c>
      <c r="AO156" s="1">
        <f t="shared" ca="1" si="143"/>
        <v>4</v>
      </c>
      <c r="AQ156" s="1">
        <f t="shared" ca="1" si="144"/>
        <v>58</v>
      </c>
      <c r="AR156" s="1">
        <f t="shared" ca="1" si="145"/>
        <v>3</v>
      </c>
      <c r="AS156" s="1">
        <f t="shared" ca="1" si="146"/>
        <v>46</v>
      </c>
      <c r="AU156" s="1">
        <f t="shared" ca="1" si="147"/>
        <v>129</v>
      </c>
      <c r="AV156" s="1">
        <f t="shared" ca="1" si="148"/>
        <v>2</v>
      </c>
      <c r="AW156" s="1">
        <f t="shared" ca="1" si="149"/>
        <v>6.040061484196653E-2</v>
      </c>
      <c r="AY156" s="1">
        <f t="shared" ca="1" si="150"/>
        <v>1.4116575464534991</v>
      </c>
      <c r="AZ156" s="1">
        <f t="shared" ca="1" si="151"/>
        <v>338</v>
      </c>
      <c r="BA156" s="1">
        <f t="shared" ca="1" si="152"/>
        <v>4.6341320869270472E-3</v>
      </c>
      <c r="BV156" s="1">
        <f t="shared" ca="1" si="153"/>
        <v>0.55773867509072772</v>
      </c>
      <c r="BW156" s="1">
        <f t="shared" ca="1" si="154"/>
        <v>685</v>
      </c>
      <c r="BX156" s="1">
        <f t="shared" ca="1" si="155"/>
        <v>6.5790146645934534E-3</v>
      </c>
      <c r="BY156" s="1">
        <f t="shared" ca="1" si="156"/>
        <v>9.3205209755443649E-2</v>
      </c>
      <c r="BZ156" s="1">
        <f t="shared" ca="1" si="157"/>
        <v>0.50352163662878846</v>
      </c>
      <c r="CB156" s="1">
        <f t="shared" ca="1" si="158"/>
        <v>372</v>
      </c>
      <c r="CC156" s="1">
        <f t="shared" ca="1" si="159"/>
        <v>5</v>
      </c>
      <c r="CD156" s="1">
        <f t="shared" ca="1" si="160"/>
        <v>0.13023992855928929</v>
      </c>
      <c r="CE156" s="1">
        <f t="shared" ca="1" si="161"/>
        <v>0.95219800438117397</v>
      </c>
      <c r="CF156" s="1">
        <f t="shared" ca="1" si="161"/>
        <v>0.93806151399032278</v>
      </c>
      <c r="CH156" s="3">
        <f t="shared" ca="1" si="162"/>
        <v>0.5204878991545363</v>
      </c>
      <c r="CI156" s="3">
        <f t="shared" ca="1" si="163"/>
        <v>0.44215395142668057</v>
      </c>
      <c r="CJ156" s="3">
        <f t="shared" ca="1" si="164"/>
        <v>324</v>
      </c>
      <c r="CK156" s="3">
        <f t="shared" ca="1" si="165"/>
        <v>1.8215944859063509E-3</v>
      </c>
      <c r="CL156" s="3">
        <f t="shared" ca="1" si="166"/>
        <v>1</v>
      </c>
      <c r="CM156" s="3"/>
      <c r="CN156" s="1">
        <f t="shared" ca="1" si="167"/>
        <v>5.7486555576957503</v>
      </c>
      <c r="CO156" s="1">
        <f t="shared" ca="1" si="168"/>
        <v>8.0317338591204934E-2</v>
      </c>
      <c r="CP156" s="1">
        <f t="shared" ca="1" si="169"/>
        <v>3</v>
      </c>
    </row>
    <row r="157" spans="2:94" x14ac:dyDescent="0.25">
      <c r="B157">
        <f t="shared" ca="1" si="114"/>
        <v>675</v>
      </c>
      <c r="C157">
        <f t="shared" ca="1" si="115"/>
        <v>44</v>
      </c>
      <c r="D157">
        <f t="shared" ca="1" si="116"/>
        <v>0.25704735327805428</v>
      </c>
      <c r="F157" s="1">
        <f t="shared" ca="1" si="117"/>
        <v>40</v>
      </c>
      <c r="G157" s="1">
        <f t="shared" ca="1" si="118"/>
        <v>9</v>
      </c>
      <c r="H157" s="1">
        <f t="shared" ca="1" si="119"/>
        <v>15</v>
      </c>
      <c r="I157" s="1"/>
      <c r="J157" s="1">
        <f t="shared" ca="1" si="120"/>
        <v>11</v>
      </c>
      <c r="K157" s="1">
        <f t="shared" ca="1" si="121"/>
        <v>1.4397717011303846</v>
      </c>
      <c r="L157" s="1">
        <f t="shared" ca="1" si="122"/>
        <v>8</v>
      </c>
      <c r="M157" s="1"/>
      <c r="N157" s="1">
        <f t="shared" ca="1" si="123"/>
        <v>424</v>
      </c>
      <c r="O157" s="1">
        <f t="shared" ca="1" si="124"/>
        <v>11</v>
      </c>
      <c r="P157" s="1"/>
      <c r="Q157" s="1">
        <f t="shared" ca="1" si="125"/>
        <v>2.5101452249474518</v>
      </c>
      <c r="R157" s="1">
        <f t="shared" ca="1" si="126"/>
        <v>1049</v>
      </c>
      <c r="S157" s="1"/>
      <c r="T157" s="1">
        <f t="shared" ca="1" si="127"/>
        <v>0.10893112800859857</v>
      </c>
      <c r="U157" s="1">
        <f t="shared" ca="1" si="128"/>
        <v>448</v>
      </c>
      <c r="V157" s="1">
        <f t="shared" ca="1" si="129"/>
        <v>42</v>
      </c>
      <c r="W157" s="1"/>
      <c r="X157" s="1">
        <f t="shared" ca="1" si="130"/>
        <v>3.3198253490792764</v>
      </c>
      <c r="Y157" s="1">
        <f t="shared" ca="1" si="131"/>
        <v>0.10648140849370848</v>
      </c>
      <c r="Z157" s="1">
        <f t="shared" ca="1" si="132"/>
        <v>526</v>
      </c>
      <c r="AB157" s="1">
        <f t="shared" ca="1" si="133"/>
        <v>0.29044799060472731</v>
      </c>
      <c r="AC157" s="1">
        <f t="shared" ca="1" si="134"/>
        <v>694</v>
      </c>
      <c r="AD157" s="1">
        <f t="shared" ca="1" si="135"/>
        <v>6.8495877574487121E-3</v>
      </c>
      <c r="AE157" s="1"/>
      <c r="AF157" s="1">
        <f t="shared" ca="1" si="136"/>
        <v>0.37419107980333943</v>
      </c>
      <c r="AG157" s="1">
        <f t="shared" ca="1" si="137"/>
        <v>198</v>
      </c>
      <c r="AH157" s="1">
        <f t="shared" ca="1" si="138"/>
        <v>2.7351446794118411E-3</v>
      </c>
      <c r="AJ157" s="1">
        <f t="shared" ca="1" si="139"/>
        <v>0.8354538822103611</v>
      </c>
      <c r="AK157" s="1">
        <f t="shared" ca="1" si="140"/>
        <v>9.0743684613217301E-3</v>
      </c>
      <c r="AL157" s="1"/>
      <c r="AM157" s="1">
        <f t="shared" ca="1" si="141"/>
        <v>6.3457049173027219E-2</v>
      </c>
      <c r="AN157" s="1">
        <f t="shared" ca="1" si="142"/>
        <v>19</v>
      </c>
      <c r="AO157" s="1">
        <f t="shared" ca="1" si="143"/>
        <v>19</v>
      </c>
      <c r="AQ157" s="1">
        <f t="shared" ca="1" si="144"/>
        <v>136</v>
      </c>
      <c r="AR157" s="1">
        <f t="shared" ca="1" si="145"/>
        <v>9</v>
      </c>
      <c r="AS157" s="1">
        <f t="shared" ca="1" si="146"/>
        <v>52</v>
      </c>
      <c r="AU157" s="1">
        <f t="shared" ca="1" si="147"/>
        <v>135</v>
      </c>
      <c r="AV157" s="1">
        <f t="shared" ca="1" si="148"/>
        <v>8</v>
      </c>
      <c r="AW157" s="1">
        <f t="shared" ca="1" si="149"/>
        <v>0.10489313513725092</v>
      </c>
      <c r="AY157" s="1">
        <f t="shared" ca="1" si="150"/>
        <v>1.8466230023871875</v>
      </c>
      <c r="AZ157" s="1">
        <f t="shared" ca="1" si="151"/>
        <v>157</v>
      </c>
      <c r="BA157" s="1">
        <f t="shared" ca="1" si="152"/>
        <v>7.0376665271584891E-4</v>
      </c>
      <c r="BV157" s="1">
        <f t="shared" ca="1" si="153"/>
        <v>0.69299318535892407</v>
      </c>
      <c r="BW157" s="1">
        <f t="shared" ca="1" si="154"/>
        <v>103</v>
      </c>
      <c r="BX157" s="1">
        <f t="shared" ca="1" si="155"/>
        <v>2.9936072588734553E-3</v>
      </c>
      <c r="BY157" s="1">
        <f t="shared" ca="1" si="156"/>
        <v>1.3563358588125954E-3</v>
      </c>
      <c r="BZ157" s="1">
        <f t="shared" ca="1" si="157"/>
        <v>0.14437136871780021</v>
      </c>
      <c r="CB157" s="1">
        <f t="shared" ca="1" si="158"/>
        <v>206</v>
      </c>
      <c r="CC157" s="1">
        <f t="shared" ca="1" si="159"/>
        <v>14</v>
      </c>
      <c r="CD157" s="1">
        <f t="shared" ca="1" si="160"/>
        <v>0.26501069606346961</v>
      </c>
      <c r="CE157" s="1">
        <f t="shared" ca="1" si="161"/>
        <v>0.96142779974607206</v>
      </c>
      <c r="CF157" s="1">
        <f t="shared" ca="1" si="161"/>
        <v>0.54570927383901036</v>
      </c>
      <c r="CH157" s="3">
        <f t="shared" ca="1" si="162"/>
        <v>0.26808725308513021</v>
      </c>
      <c r="CI157" s="3">
        <f t="shared" ca="1" si="163"/>
        <v>0.88317246278918027</v>
      </c>
      <c r="CJ157" s="3">
        <f t="shared" ca="1" si="164"/>
        <v>843</v>
      </c>
      <c r="CK157" s="3">
        <f t="shared" ca="1" si="165"/>
        <v>2.2285175815454205E-3</v>
      </c>
      <c r="CL157" s="3">
        <f t="shared" ca="1" si="166"/>
        <v>1</v>
      </c>
      <c r="CM157" s="3"/>
      <c r="CN157" s="1">
        <f t="shared" ca="1" si="167"/>
        <v>18.872847717013052</v>
      </c>
      <c r="CO157" s="1">
        <f t="shared" ca="1" si="168"/>
        <v>0.13245590378853137</v>
      </c>
      <c r="CP157" s="1">
        <f t="shared" ca="1" si="169"/>
        <v>3</v>
      </c>
    </row>
    <row r="158" spans="2:94" x14ac:dyDescent="0.25">
      <c r="B158">
        <f t="shared" ca="1" si="114"/>
        <v>494</v>
      </c>
      <c r="C158">
        <f t="shared" ca="1" si="115"/>
        <v>50</v>
      </c>
      <c r="D158">
        <f t="shared" ca="1" si="116"/>
        <v>0.1163767790798695</v>
      </c>
      <c r="F158" s="1">
        <f t="shared" ca="1" si="117"/>
        <v>18</v>
      </c>
      <c r="G158" s="1">
        <f t="shared" ca="1" si="118"/>
        <v>4</v>
      </c>
      <c r="H158" s="1">
        <f t="shared" ca="1" si="119"/>
        <v>13</v>
      </c>
      <c r="I158" s="1"/>
      <c r="J158" s="1">
        <f t="shared" ca="1" si="120"/>
        <v>14</v>
      </c>
      <c r="K158" s="1">
        <f t="shared" ca="1" si="121"/>
        <v>1.4540466428690177</v>
      </c>
      <c r="L158" s="1">
        <f t="shared" ca="1" si="122"/>
        <v>7</v>
      </c>
      <c r="M158" s="1"/>
      <c r="N158" s="1">
        <f t="shared" ca="1" si="123"/>
        <v>80</v>
      </c>
      <c r="O158" s="1">
        <f t="shared" ca="1" si="124"/>
        <v>48</v>
      </c>
      <c r="P158" s="1"/>
      <c r="Q158" s="1">
        <f t="shared" ca="1" si="125"/>
        <v>3.5173074258243036</v>
      </c>
      <c r="R158" s="1">
        <f t="shared" ca="1" si="126"/>
        <v>223</v>
      </c>
      <c r="S158" s="1"/>
      <c r="T158" s="1">
        <f t="shared" ca="1" si="127"/>
        <v>0.15660006892657669</v>
      </c>
      <c r="U158" s="1">
        <f t="shared" ca="1" si="128"/>
        <v>427</v>
      </c>
      <c r="V158" s="1">
        <f t="shared" ca="1" si="129"/>
        <v>32</v>
      </c>
      <c r="W158" s="1"/>
      <c r="X158" s="1">
        <f t="shared" ca="1" si="130"/>
        <v>3.1586640882730403</v>
      </c>
      <c r="Y158" s="1">
        <f t="shared" ca="1" si="131"/>
        <v>0.11675624340372662</v>
      </c>
      <c r="Z158" s="1">
        <f t="shared" ca="1" si="132"/>
        <v>1187</v>
      </c>
      <c r="AB158" s="1">
        <f t="shared" ca="1" si="133"/>
        <v>0.82974217717596344</v>
      </c>
      <c r="AC158" s="1">
        <f t="shared" ca="1" si="134"/>
        <v>820</v>
      </c>
      <c r="AD158" s="1">
        <f t="shared" ca="1" si="135"/>
        <v>2.4500900409233353E-3</v>
      </c>
      <c r="AE158" s="1"/>
      <c r="AF158" s="1">
        <f t="shared" ca="1" si="136"/>
        <v>0.33282516612350466</v>
      </c>
      <c r="AG158" s="1">
        <f t="shared" ca="1" si="137"/>
        <v>565</v>
      </c>
      <c r="AH158" s="1">
        <f t="shared" ca="1" si="138"/>
        <v>5.5011228218748319E-3</v>
      </c>
      <c r="AJ158" s="1">
        <f t="shared" ca="1" si="139"/>
        <v>0.41385134707996241</v>
      </c>
      <c r="AK158" s="1">
        <f t="shared" ca="1" si="140"/>
        <v>7.5701572126537055E-3</v>
      </c>
      <c r="AL158" s="1"/>
      <c r="AM158" s="1">
        <f t="shared" ca="1" si="141"/>
        <v>0.19852758814965107</v>
      </c>
      <c r="AN158" s="1">
        <f t="shared" ca="1" si="142"/>
        <v>53</v>
      </c>
      <c r="AO158" s="1">
        <f t="shared" ca="1" si="143"/>
        <v>1</v>
      </c>
      <c r="AQ158" s="1">
        <f t="shared" ca="1" si="144"/>
        <v>52</v>
      </c>
      <c r="AR158" s="1">
        <f t="shared" ca="1" si="145"/>
        <v>1</v>
      </c>
      <c r="AS158" s="1">
        <f t="shared" ca="1" si="146"/>
        <v>8</v>
      </c>
      <c r="AU158" s="1">
        <f t="shared" ca="1" si="147"/>
        <v>394</v>
      </c>
      <c r="AV158" s="1">
        <f t="shared" ca="1" si="148"/>
        <v>9</v>
      </c>
      <c r="AW158" s="1">
        <f t="shared" ca="1" si="149"/>
        <v>0.14021781565909705</v>
      </c>
      <c r="AY158" s="1">
        <f t="shared" ca="1" si="150"/>
        <v>1.6952508010231884</v>
      </c>
      <c r="AZ158" s="1">
        <f t="shared" ca="1" si="151"/>
        <v>111</v>
      </c>
      <c r="BA158" s="1">
        <f t="shared" ca="1" si="152"/>
        <v>8.1717923491336983E-3</v>
      </c>
      <c r="BV158" s="1">
        <f t="shared" ca="1" si="153"/>
        <v>0.83004680234093986</v>
      </c>
      <c r="BW158" s="1">
        <f t="shared" ca="1" si="154"/>
        <v>228</v>
      </c>
      <c r="BX158" s="1">
        <f t="shared" ca="1" si="155"/>
        <v>3.4971252984774808E-3</v>
      </c>
      <c r="BY158" s="1">
        <f t="shared" ca="1" si="156"/>
        <v>3.605067311956893E-2</v>
      </c>
      <c r="BZ158" s="1">
        <f t="shared" ca="1" si="157"/>
        <v>0.39118071374571917</v>
      </c>
      <c r="CB158" s="1">
        <f t="shared" ca="1" si="158"/>
        <v>84</v>
      </c>
      <c r="CC158" s="1">
        <f t="shared" ca="1" si="159"/>
        <v>8</v>
      </c>
      <c r="CD158" s="1">
        <f t="shared" ca="1" si="160"/>
        <v>0.23328411072568747</v>
      </c>
      <c r="CE158" s="1">
        <f t="shared" ca="1" si="161"/>
        <v>0.56461955540991338</v>
      </c>
      <c r="CF158" s="1">
        <f t="shared" ca="1" si="161"/>
        <v>0.8721109156072846</v>
      </c>
      <c r="CH158" s="3">
        <f t="shared" ca="1" si="162"/>
        <v>0.77301348233342859</v>
      </c>
      <c r="CI158" s="3">
        <f t="shared" ca="1" si="163"/>
        <v>2.3174148295931112E-2</v>
      </c>
      <c r="CJ158" s="3">
        <f t="shared" ca="1" si="164"/>
        <v>427</v>
      </c>
      <c r="CK158" s="3">
        <f t="shared" ca="1" si="165"/>
        <v>8.2245648792081578E-5</v>
      </c>
      <c r="CL158" s="3">
        <f t="shared" ca="1" si="166"/>
        <v>0</v>
      </c>
      <c r="CM158" s="3"/>
      <c r="CN158" s="1">
        <f t="shared" ca="1" si="167"/>
        <v>10.42054699196221</v>
      </c>
      <c r="CO158" s="1">
        <f t="shared" ca="1" si="168"/>
        <v>8.168137974340646E-2</v>
      </c>
      <c r="CP158" s="1">
        <f t="shared" ca="1" si="169"/>
        <v>3</v>
      </c>
    </row>
    <row r="159" spans="2:94" x14ac:dyDescent="0.25">
      <c r="B159">
        <f t="shared" ca="1" si="114"/>
        <v>182</v>
      </c>
      <c r="C159">
        <f t="shared" ca="1" si="115"/>
        <v>7</v>
      </c>
      <c r="D159">
        <f t="shared" ca="1" si="116"/>
        <v>0.19139497734420868</v>
      </c>
      <c r="F159" s="1">
        <f t="shared" ca="1" si="117"/>
        <v>48</v>
      </c>
      <c r="G159" s="1">
        <f t="shared" ca="1" si="118"/>
        <v>18</v>
      </c>
      <c r="H159" s="1">
        <f t="shared" ca="1" si="119"/>
        <v>7</v>
      </c>
      <c r="I159" s="1"/>
      <c r="J159" s="1">
        <f t="shared" ca="1" si="120"/>
        <v>33</v>
      </c>
      <c r="K159" s="1">
        <f t="shared" ca="1" si="121"/>
        <v>2.7123255386936682</v>
      </c>
      <c r="L159" s="1">
        <f t="shared" ca="1" si="122"/>
        <v>4</v>
      </c>
      <c r="M159" s="1"/>
      <c r="N159" s="1">
        <f t="shared" ca="1" si="123"/>
        <v>593</v>
      </c>
      <c r="O159" s="1">
        <f t="shared" ca="1" si="124"/>
        <v>4</v>
      </c>
      <c r="P159" s="1"/>
      <c r="Q159" s="1">
        <f t="shared" ca="1" si="125"/>
        <v>3.3286359499731106</v>
      </c>
      <c r="R159" s="1">
        <f t="shared" ca="1" si="126"/>
        <v>557</v>
      </c>
      <c r="S159" s="1"/>
      <c r="T159" s="1">
        <f t="shared" ca="1" si="127"/>
        <v>0.11169762637435809</v>
      </c>
      <c r="U159" s="1">
        <f t="shared" ca="1" si="128"/>
        <v>285</v>
      </c>
      <c r="V159" s="1">
        <f t="shared" ca="1" si="129"/>
        <v>14</v>
      </c>
      <c r="W159" s="1"/>
      <c r="X159" s="1">
        <f t="shared" ca="1" si="130"/>
        <v>4.0763254754070957</v>
      </c>
      <c r="Y159" s="1">
        <f t="shared" ca="1" si="131"/>
        <v>0.67011181644652595</v>
      </c>
      <c r="Z159" s="1">
        <f t="shared" ca="1" si="132"/>
        <v>1565</v>
      </c>
      <c r="AB159" s="1">
        <f t="shared" ca="1" si="133"/>
        <v>0.3388487256572224</v>
      </c>
      <c r="AC159" s="1">
        <f t="shared" ca="1" si="134"/>
        <v>726</v>
      </c>
      <c r="AD159" s="1">
        <f t="shared" ca="1" si="135"/>
        <v>1.4754849729714907E-3</v>
      </c>
      <c r="AE159" s="1"/>
      <c r="AF159" s="1">
        <f t="shared" ca="1" si="136"/>
        <v>0.12677893757324776</v>
      </c>
      <c r="AG159" s="1">
        <f t="shared" ca="1" si="137"/>
        <v>397</v>
      </c>
      <c r="AH159" s="1">
        <f t="shared" ca="1" si="138"/>
        <v>3.6720757693731415E-3</v>
      </c>
      <c r="AJ159" s="1">
        <f t="shared" ca="1" si="139"/>
        <v>0.50945846342901735</v>
      </c>
      <c r="AK159" s="1">
        <f t="shared" ca="1" si="140"/>
        <v>5.4700280303413736E-3</v>
      </c>
      <c r="AL159" s="1"/>
      <c r="AM159" s="1">
        <f t="shared" ca="1" si="141"/>
        <v>5.448504731299119E-2</v>
      </c>
      <c r="AN159" s="1">
        <f t="shared" ca="1" si="142"/>
        <v>66</v>
      </c>
      <c r="AO159" s="1">
        <f t="shared" ca="1" si="143"/>
        <v>10</v>
      </c>
      <c r="AQ159" s="1">
        <f t="shared" ca="1" si="144"/>
        <v>43</v>
      </c>
      <c r="AR159" s="1">
        <f t="shared" ca="1" si="145"/>
        <v>5</v>
      </c>
      <c r="AS159" s="1">
        <f t="shared" ca="1" si="146"/>
        <v>83</v>
      </c>
      <c r="AU159" s="1">
        <f t="shared" ca="1" si="147"/>
        <v>102</v>
      </c>
      <c r="AV159" s="1">
        <f t="shared" ca="1" si="148"/>
        <v>7</v>
      </c>
      <c r="AW159" s="1">
        <f t="shared" ca="1" si="149"/>
        <v>4.5246579409405754E-2</v>
      </c>
      <c r="AY159" s="1">
        <f t="shared" ca="1" si="150"/>
        <v>1.4767835383991859</v>
      </c>
      <c r="AZ159" s="1">
        <f t="shared" ca="1" si="151"/>
        <v>265</v>
      </c>
      <c r="BA159" s="1">
        <f t="shared" ca="1" si="152"/>
        <v>8.344126785217414E-3</v>
      </c>
      <c r="BV159" s="1">
        <f t="shared" ca="1" si="153"/>
        <v>0.49592342011225771</v>
      </c>
      <c r="BW159" s="1">
        <f t="shared" ca="1" si="154"/>
        <v>405</v>
      </c>
      <c r="BX159" s="1">
        <f t="shared" ca="1" si="155"/>
        <v>2.0142032730042694E-3</v>
      </c>
      <c r="BY159" s="1">
        <f t="shared" ca="1" si="156"/>
        <v>5.5800633926787434E-2</v>
      </c>
      <c r="BZ159" s="1">
        <f t="shared" ca="1" si="157"/>
        <v>0.37317585541056464</v>
      </c>
      <c r="CB159" s="1">
        <f t="shared" ca="1" si="158"/>
        <v>236</v>
      </c>
      <c r="CC159" s="1">
        <f t="shared" ca="1" si="159"/>
        <v>4</v>
      </c>
      <c r="CD159" s="1">
        <f t="shared" ca="1" si="160"/>
        <v>0.11487538314060193</v>
      </c>
      <c r="CE159" s="1">
        <f t="shared" ca="1" si="161"/>
        <v>0.97155398299572449</v>
      </c>
      <c r="CF159" s="1">
        <f t="shared" ca="1" si="161"/>
        <v>0.87450924950081288</v>
      </c>
      <c r="CH159" s="3">
        <f t="shared" ca="1" si="162"/>
        <v>0.78001511337491258</v>
      </c>
      <c r="CI159" s="3">
        <f t="shared" ca="1" si="163"/>
        <v>0.41015602569985082</v>
      </c>
      <c r="CJ159" s="3">
        <f t="shared" ca="1" si="164"/>
        <v>1275</v>
      </c>
      <c r="CK159" s="3">
        <f t="shared" ca="1" si="165"/>
        <v>3.2442246096981956E-3</v>
      </c>
      <c r="CL159" s="3">
        <f t="shared" ca="1" si="166"/>
        <v>0</v>
      </c>
      <c r="CM159" s="3"/>
      <c r="CN159" s="1">
        <f t="shared" ca="1" si="167"/>
        <v>3.0489689832621392</v>
      </c>
      <c r="CO159" s="1">
        <f t="shared" ca="1" si="168"/>
        <v>0.31646917237220018</v>
      </c>
      <c r="CP159" s="1">
        <f t="shared" ca="1" si="169"/>
        <v>1</v>
      </c>
    </row>
    <row r="160" spans="2:94" x14ac:dyDescent="0.25">
      <c r="B160">
        <f t="shared" ca="1" si="114"/>
        <v>446</v>
      </c>
      <c r="C160">
        <f t="shared" ca="1" si="115"/>
        <v>21</v>
      </c>
      <c r="D160">
        <f t="shared" ca="1" si="116"/>
        <v>3.430184501280318E-2</v>
      </c>
      <c r="F160" s="1">
        <f t="shared" ca="1" si="117"/>
        <v>44</v>
      </c>
      <c r="G160" s="1">
        <f t="shared" ca="1" si="118"/>
        <v>26</v>
      </c>
      <c r="H160" s="1">
        <f t="shared" ca="1" si="119"/>
        <v>13</v>
      </c>
      <c r="I160" s="1"/>
      <c r="J160" s="1">
        <f t="shared" ca="1" si="120"/>
        <v>27</v>
      </c>
      <c r="K160" s="1">
        <f t="shared" ca="1" si="121"/>
        <v>1.9163031632045082</v>
      </c>
      <c r="L160" s="1">
        <f t="shared" ca="1" si="122"/>
        <v>10</v>
      </c>
      <c r="M160" s="1"/>
      <c r="N160" s="1">
        <f t="shared" ca="1" si="123"/>
        <v>383</v>
      </c>
      <c r="O160" s="1">
        <f t="shared" ca="1" si="124"/>
        <v>4</v>
      </c>
      <c r="P160" s="1"/>
      <c r="Q160" s="1">
        <f t="shared" ca="1" si="125"/>
        <v>1.208731121650152</v>
      </c>
      <c r="R160" s="1">
        <f t="shared" ca="1" si="126"/>
        <v>429</v>
      </c>
      <c r="S160" s="1"/>
      <c r="T160" s="1">
        <f t="shared" ca="1" si="127"/>
        <v>0.13725429371224077</v>
      </c>
      <c r="U160" s="1">
        <f t="shared" ca="1" si="128"/>
        <v>384</v>
      </c>
      <c r="V160" s="1">
        <f t="shared" ca="1" si="129"/>
        <v>15</v>
      </c>
      <c r="W160" s="1"/>
      <c r="X160" s="1">
        <f t="shared" ca="1" si="130"/>
        <v>1.2768347354924761</v>
      </c>
      <c r="Y160" s="1">
        <f t="shared" ca="1" si="131"/>
        <v>0.18628688802868482</v>
      </c>
      <c r="Z160" s="1">
        <f t="shared" ca="1" si="132"/>
        <v>282</v>
      </c>
      <c r="AB160" s="1">
        <f t="shared" ca="1" si="133"/>
        <v>0.67535679734423593</v>
      </c>
      <c r="AC160" s="1">
        <f t="shared" ca="1" si="134"/>
        <v>599</v>
      </c>
      <c r="AD160" s="1">
        <f t="shared" ca="1" si="135"/>
        <v>6.1341309485268827E-3</v>
      </c>
      <c r="AE160" s="1"/>
      <c r="AF160" s="1">
        <f t="shared" ca="1" si="136"/>
        <v>0.33641925377943582</v>
      </c>
      <c r="AG160" s="1">
        <f t="shared" ca="1" si="137"/>
        <v>146</v>
      </c>
      <c r="AH160" s="1">
        <f t="shared" ca="1" si="138"/>
        <v>3.8535737176549406E-3</v>
      </c>
      <c r="AJ160" s="1">
        <f t="shared" ca="1" si="139"/>
        <v>0.25063408611874316</v>
      </c>
      <c r="AK160" s="1">
        <f t="shared" ca="1" si="140"/>
        <v>7.7790390176750868E-3</v>
      </c>
      <c r="AL160" s="1"/>
      <c r="AM160" s="1">
        <f t="shared" ca="1" si="141"/>
        <v>6.5912993633081673E-2</v>
      </c>
      <c r="AN160" s="1">
        <f t="shared" ca="1" si="142"/>
        <v>14</v>
      </c>
      <c r="AO160" s="1">
        <f t="shared" ca="1" si="143"/>
        <v>-1</v>
      </c>
      <c r="AQ160" s="1">
        <f t="shared" ca="1" si="144"/>
        <v>134</v>
      </c>
      <c r="AR160" s="1">
        <f t="shared" ca="1" si="145"/>
        <v>5</v>
      </c>
      <c r="AS160" s="1">
        <f t="shared" ca="1" si="146"/>
        <v>91</v>
      </c>
      <c r="AU160" s="1">
        <f t="shared" ca="1" si="147"/>
        <v>193</v>
      </c>
      <c r="AV160" s="1">
        <f t="shared" ca="1" si="148"/>
        <v>7</v>
      </c>
      <c r="AW160" s="1">
        <f t="shared" ca="1" si="149"/>
        <v>3.2219608437609161E-2</v>
      </c>
      <c r="AY160" s="1">
        <f t="shared" ca="1" si="150"/>
        <v>1.2454993137886166</v>
      </c>
      <c r="AZ160" s="1">
        <f t="shared" ca="1" si="151"/>
        <v>341</v>
      </c>
      <c r="BA160" s="1">
        <f t="shared" ca="1" si="152"/>
        <v>1.3890337556652851E-3</v>
      </c>
      <c r="BV160" s="1">
        <f t="shared" ca="1" si="153"/>
        <v>0.36530464111878391</v>
      </c>
      <c r="BW160" s="1">
        <f t="shared" ca="1" si="154"/>
        <v>414</v>
      </c>
      <c r="BX160" s="1">
        <f t="shared" ca="1" si="155"/>
        <v>5.6921843116031576E-3</v>
      </c>
      <c r="BY160" s="1">
        <f t="shared" ca="1" si="156"/>
        <v>3.1303521553913884E-3</v>
      </c>
      <c r="BZ160" s="1">
        <f t="shared" ca="1" si="157"/>
        <v>0.4028605049983649</v>
      </c>
      <c r="CB160" s="1">
        <f t="shared" ca="1" si="158"/>
        <v>95</v>
      </c>
      <c r="CC160" s="1">
        <f t="shared" ca="1" si="159"/>
        <v>12</v>
      </c>
      <c r="CD160" s="1">
        <f t="shared" ca="1" si="160"/>
        <v>2.2174058334334633E-2</v>
      </c>
      <c r="CE160" s="1">
        <f t="shared" ca="1" si="161"/>
        <v>0.9144379322530507</v>
      </c>
      <c r="CF160" s="1">
        <f t="shared" ca="1" si="161"/>
        <v>0.57918639103096503</v>
      </c>
      <c r="CH160" s="3">
        <f t="shared" ca="1" si="162"/>
        <v>0.20592363291549173</v>
      </c>
      <c r="CI160" s="3">
        <f t="shared" ca="1" si="163"/>
        <v>0.85436797333862635</v>
      </c>
      <c r="CJ160" s="3">
        <f t="shared" ca="1" si="164"/>
        <v>1948</v>
      </c>
      <c r="CK160" s="3">
        <f t="shared" ca="1" si="165"/>
        <v>5.8570132529908614E-5</v>
      </c>
      <c r="CL160" s="3">
        <f t="shared" ca="1" si="166"/>
        <v>0</v>
      </c>
      <c r="CM160" s="3"/>
      <c r="CN160" s="1">
        <f t="shared" ca="1" si="167"/>
        <v>8.6084142536719916</v>
      </c>
      <c r="CO160" s="1">
        <f t="shared" ca="1" si="168"/>
        <v>2.8127537401874535E-2</v>
      </c>
      <c r="CP160" s="1">
        <f t="shared" ca="1" si="169"/>
        <v>5</v>
      </c>
    </row>
    <row r="161" spans="2:94" x14ac:dyDescent="0.25">
      <c r="B161">
        <f t="shared" ca="1" si="114"/>
        <v>848</v>
      </c>
      <c r="C161">
        <f t="shared" ca="1" si="115"/>
        <v>49</v>
      </c>
      <c r="D161">
        <f t="shared" ca="1" si="116"/>
        <v>4.7341124534627715E-2</v>
      </c>
      <c r="F161" s="1">
        <f t="shared" ca="1" si="117"/>
        <v>32</v>
      </c>
      <c r="G161" s="1">
        <f t="shared" ca="1" si="118"/>
        <v>11</v>
      </c>
      <c r="H161" s="1">
        <f t="shared" ca="1" si="119"/>
        <v>10</v>
      </c>
      <c r="I161" s="1"/>
      <c r="J161" s="1">
        <f t="shared" ca="1" si="120"/>
        <v>35</v>
      </c>
      <c r="K161" s="1">
        <f t="shared" ca="1" si="121"/>
        <v>1.3629094954425578</v>
      </c>
      <c r="L161" s="1">
        <f t="shared" ca="1" si="122"/>
        <v>25</v>
      </c>
      <c r="M161" s="1"/>
      <c r="N161" s="1">
        <f t="shared" ca="1" si="123"/>
        <v>27</v>
      </c>
      <c r="O161" s="1">
        <f t="shared" ca="1" si="124"/>
        <v>11</v>
      </c>
      <c r="P161" s="1"/>
      <c r="Q161" s="1">
        <f t="shared" ca="1" si="125"/>
        <v>0.54513394736228582</v>
      </c>
      <c r="R161" s="1">
        <f t="shared" ca="1" si="126"/>
        <v>476</v>
      </c>
      <c r="S161" s="1"/>
      <c r="T161" s="1">
        <f t="shared" ca="1" si="127"/>
        <v>5.5144005261102934E-2</v>
      </c>
      <c r="U161" s="1">
        <f t="shared" ca="1" si="128"/>
        <v>221</v>
      </c>
      <c r="V161" s="1">
        <f t="shared" ca="1" si="129"/>
        <v>51</v>
      </c>
      <c r="W161" s="1"/>
      <c r="X161" s="1">
        <f t="shared" ca="1" si="130"/>
        <v>4.0683835070300614</v>
      </c>
      <c r="Y161" s="1">
        <f t="shared" ca="1" si="131"/>
        <v>0.84104277990616838</v>
      </c>
      <c r="Z161" s="1">
        <f t="shared" ca="1" si="132"/>
        <v>992</v>
      </c>
      <c r="AB161" s="1">
        <f t="shared" ca="1" si="133"/>
        <v>0.27627361011795754</v>
      </c>
      <c r="AC161" s="1">
        <f t="shared" ca="1" si="134"/>
        <v>948</v>
      </c>
      <c r="AD161" s="1">
        <f t="shared" ca="1" si="135"/>
        <v>9.2242239417828879E-3</v>
      </c>
      <c r="AE161" s="1"/>
      <c r="AF161" s="1">
        <f t="shared" ca="1" si="136"/>
        <v>0.8213127098827292</v>
      </c>
      <c r="AG161" s="1">
        <f t="shared" ca="1" si="137"/>
        <v>957</v>
      </c>
      <c r="AH161" s="1">
        <f t="shared" ca="1" si="138"/>
        <v>8.745574030592394E-3</v>
      </c>
      <c r="AJ161" s="1">
        <f t="shared" ca="1" si="139"/>
        <v>0.53957464490914842</v>
      </c>
      <c r="AK161" s="1">
        <f t="shared" ca="1" si="140"/>
        <v>9.019729869083986E-3</v>
      </c>
      <c r="AL161" s="1"/>
      <c r="AM161" s="1">
        <f t="shared" ca="1" si="141"/>
        <v>0.10450141953244646</v>
      </c>
      <c r="AN161" s="1">
        <f t="shared" ca="1" si="142"/>
        <v>61</v>
      </c>
      <c r="AO161" s="1">
        <f t="shared" ca="1" si="143"/>
        <v>10</v>
      </c>
      <c r="AQ161" s="1">
        <f t="shared" ca="1" si="144"/>
        <v>148</v>
      </c>
      <c r="AR161" s="1">
        <f t="shared" ca="1" si="145"/>
        <v>10</v>
      </c>
      <c r="AS161" s="1">
        <f t="shared" ca="1" si="146"/>
        <v>58</v>
      </c>
      <c r="AU161" s="1">
        <f t="shared" ca="1" si="147"/>
        <v>116</v>
      </c>
      <c r="AV161" s="1">
        <f t="shared" ca="1" si="148"/>
        <v>3</v>
      </c>
      <c r="AW161" s="1">
        <f t="shared" ca="1" si="149"/>
        <v>0.18428178158794992</v>
      </c>
      <c r="AY161" s="1">
        <f t="shared" ca="1" si="150"/>
        <v>1.2968504451701333</v>
      </c>
      <c r="AZ161" s="1">
        <f t="shared" ca="1" si="151"/>
        <v>462</v>
      </c>
      <c r="BA161" s="1">
        <f t="shared" ca="1" si="152"/>
        <v>5.4749951523737905E-3</v>
      </c>
      <c r="BV161" s="1">
        <f t="shared" ca="1" si="153"/>
        <v>0.11677136385044003</v>
      </c>
      <c r="BW161" s="1">
        <f t="shared" ca="1" si="154"/>
        <v>400</v>
      </c>
      <c r="BX161" s="1">
        <f t="shared" ca="1" si="155"/>
        <v>1.2143835537569458E-3</v>
      </c>
      <c r="BY161" s="1">
        <f t="shared" ca="1" si="156"/>
        <v>3.2585780083649422E-2</v>
      </c>
      <c r="BZ161" s="1">
        <f t="shared" ca="1" si="157"/>
        <v>0.48549614581833611</v>
      </c>
      <c r="CB161" s="1">
        <f t="shared" ca="1" si="158"/>
        <v>368</v>
      </c>
      <c r="CC161" s="1">
        <f t="shared" ca="1" si="159"/>
        <v>15</v>
      </c>
      <c r="CD161" s="1">
        <f t="shared" ca="1" si="160"/>
        <v>0.15019337869375499</v>
      </c>
      <c r="CE161" s="1">
        <f t="shared" ca="1" si="161"/>
        <v>0.64593223668129884</v>
      </c>
      <c r="CF161" s="1">
        <f t="shared" ca="1" si="161"/>
        <v>0.97712524456427685</v>
      </c>
      <c r="CH161" s="3">
        <f t="shared" ca="1" si="162"/>
        <v>0.8899053290130704</v>
      </c>
      <c r="CI161" s="3">
        <f t="shared" ca="1" si="163"/>
        <v>8.4234032128975331E-2</v>
      </c>
      <c r="CJ161" s="3">
        <f t="shared" ca="1" si="164"/>
        <v>621</v>
      </c>
      <c r="CK161" s="3">
        <f t="shared" ca="1" si="165"/>
        <v>1.891797510930959E-3</v>
      </c>
      <c r="CL161" s="3">
        <f t="shared" ca="1" si="166"/>
        <v>0</v>
      </c>
      <c r="CM161" s="3"/>
      <c r="CN161" s="1">
        <f t="shared" ca="1" si="167"/>
        <v>14.406623165194528</v>
      </c>
      <c r="CO161" s="1">
        <f t="shared" ca="1" si="168"/>
        <v>0.18700743838978218</v>
      </c>
      <c r="CP161" s="1">
        <f t="shared" ca="1" si="169"/>
        <v>4</v>
      </c>
    </row>
    <row r="162" spans="2:94" x14ac:dyDescent="0.25">
      <c r="B162">
        <f t="shared" ca="1" si="114"/>
        <v>535</v>
      </c>
      <c r="C162">
        <f t="shared" ca="1" si="115"/>
        <v>43</v>
      </c>
      <c r="D162">
        <f t="shared" ca="1" si="116"/>
        <v>0.12654037083785918</v>
      </c>
      <c r="F162" s="1">
        <f t="shared" ca="1" si="117"/>
        <v>20</v>
      </c>
      <c r="G162" s="1">
        <f t="shared" ca="1" si="118"/>
        <v>26</v>
      </c>
      <c r="H162" s="1">
        <f t="shared" ca="1" si="119"/>
        <v>3</v>
      </c>
      <c r="I162" s="1"/>
      <c r="J162" s="1">
        <f t="shared" ca="1" si="120"/>
        <v>24</v>
      </c>
      <c r="K162" s="1">
        <f t="shared" ca="1" si="121"/>
        <v>2.1328038735624464</v>
      </c>
      <c r="L162" s="1">
        <f t="shared" ca="1" si="122"/>
        <v>19</v>
      </c>
      <c r="M162" s="1"/>
      <c r="N162" s="1">
        <f t="shared" ca="1" si="123"/>
        <v>875</v>
      </c>
      <c r="O162" s="1">
        <f t="shared" ca="1" si="124"/>
        <v>31</v>
      </c>
      <c r="P162" s="1"/>
      <c r="Q162" s="1">
        <f t="shared" ca="1" si="125"/>
        <v>1.5916376200299382</v>
      </c>
      <c r="R162" s="1">
        <f t="shared" ca="1" si="126"/>
        <v>497</v>
      </c>
      <c r="S162" s="1"/>
      <c r="T162" s="1">
        <f t="shared" ca="1" si="127"/>
        <v>0.12257869622052783</v>
      </c>
      <c r="U162" s="1">
        <f t="shared" ca="1" si="128"/>
        <v>400</v>
      </c>
      <c r="V162" s="1">
        <f t="shared" ca="1" si="129"/>
        <v>39</v>
      </c>
      <c r="W162" s="1"/>
      <c r="X162" s="1">
        <f t="shared" ca="1" si="130"/>
        <v>8.9292478776642543</v>
      </c>
      <c r="Y162" s="1">
        <f t="shared" ca="1" si="131"/>
        <v>0.87590609387255103</v>
      </c>
      <c r="Z162" s="1">
        <f t="shared" ca="1" si="132"/>
        <v>1504</v>
      </c>
      <c r="AB162" s="1">
        <f t="shared" ca="1" si="133"/>
        <v>0.29297116731579809</v>
      </c>
      <c r="AC162" s="1">
        <f t="shared" ca="1" si="134"/>
        <v>434</v>
      </c>
      <c r="AD162" s="1">
        <f t="shared" ca="1" si="135"/>
        <v>9.338949943468379E-3</v>
      </c>
      <c r="AE162" s="1"/>
      <c r="AF162" s="1">
        <f t="shared" ca="1" si="136"/>
        <v>0.14526033616873113</v>
      </c>
      <c r="AG162" s="1">
        <f t="shared" ca="1" si="137"/>
        <v>541</v>
      </c>
      <c r="AH162" s="1">
        <f t="shared" ca="1" si="138"/>
        <v>2.5867186148126882E-3</v>
      </c>
      <c r="AJ162" s="1">
        <f t="shared" ca="1" si="139"/>
        <v>0.38097952807501212</v>
      </c>
      <c r="AK162" s="1">
        <f t="shared" ca="1" si="140"/>
        <v>3.8943915856961566E-3</v>
      </c>
      <c r="AL162" s="1"/>
      <c r="AM162" s="1">
        <f t="shared" ca="1" si="141"/>
        <v>1.6819091260471021E-2</v>
      </c>
      <c r="AN162" s="1">
        <f t="shared" ca="1" si="142"/>
        <v>17</v>
      </c>
      <c r="AO162" s="1">
        <f t="shared" ca="1" si="143"/>
        <v>18</v>
      </c>
      <c r="AQ162" s="1">
        <f t="shared" ca="1" si="144"/>
        <v>198</v>
      </c>
      <c r="AR162" s="1">
        <f t="shared" ca="1" si="145"/>
        <v>8</v>
      </c>
      <c r="AS162" s="1">
        <f t="shared" ca="1" si="146"/>
        <v>68</v>
      </c>
      <c r="AU162" s="1">
        <f t="shared" ca="1" si="147"/>
        <v>285</v>
      </c>
      <c r="AV162" s="1">
        <f t="shared" ca="1" si="148"/>
        <v>9</v>
      </c>
      <c r="AW162" s="1">
        <f t="shared" ca="1" si="149"/>
        <v>0.12536299254531849</v>
      </c>
      <c r="AY162" s="1">
        <f t="shared" ca="1" si="150"/>
        <v>1.5952171668047643</v>
      </c>
      <c r="AZ162" s="1">
        <f t="shared" ca="1" si="151"/>
        <v>206</v>
      </c>
      <c r="BA162" s="1">
        <f t="shared" ca="1" si="152"/>
        <v>5.2802096422058216E-3</v>
      </c>
      <c r="BV162" s="1">
        <f t="shared" ca="1" si="153"/>
        <v>0.40590896217599914</v>
      </c>
      <c r="BW162" s="1">
        <f t="shared" ca="1" si="154"/>
        <v>203</v>
      </c>
      <c r="BX162" s="1">
        <f t="shared" ca="1" si="155"/>
        <v>7.1627435668785338E-3</v>
      </c>
      <c r="BY162" s="1">
        <f t="shared" ca="1" si="156"/>
        <v>1.7401107124826891E-2</v>
      </c>
      <c r="BZ162" s="1">
        <f t="shared" ca="1" si="157"/>
        <v>0.99384735795297241</v>
      </c>
      <c r="CB162" s="1">
        <f t="shared" ca="1" si="158"/>
        <v>292</v>
      </c>
      <c r="CC162" s="1">
        <f t="shared" ca="1" si="159"/>
        <v>9</v>
      </c>
      <c r="CD162" s="1">
        <f t="shared" ca="1" si="160"/>
        <v>0.11906786766109924</v>
      </c>
      <c r="CE162" s="1">
        <f t="shared" ca="1" si="161"/>
        <v>0.79509989194792641</v>
      </c>
      <c r="CF162" s="1">
        <f t="shared" ca="1" si="161"/>
        <v>0.77234321136434259</v>
      </c>
      <c r="CH162" s="3">
        <f t="shared" ca="1" si="162"/>
        <v>3.9136231064392929E-2</v>
      </c>
      <c r="CI162" s="3">
        <f t="shared" ca="1" si="163"/>
        <v>0.27069267037054329</v>
      </c>
      <c r="CJ162" s="3">
        <f t="shared" ca="1" si="164"/>
        <v>1003</v>
      </c>
      <c r="CK162" s="3">
        <f t="shared" ca="1" si="165"/>
        <v>1.9494785224391583E-3</v>
      </c>
      <c r="CL162" s="3">
        <f t="shared" ca="1" si="166"/>
        <v>1</v>
      </c>
      <c r="CM162" s="3"/>
      <c r="CN162" s="1">
        <f t="shared" ca="1" si="167"/>
        <v>2.3294708754596338</v>
      </c>
      <c r="CO162" s="1">
        <f t="shared" ca="1" si="168"/>
        <v>0.19241670521057957</v>
      </c>
      <c r="CP162" s="1">
        <f t="shared" ca="1" si="169"/>
        <v>4</v>
      </c>
    </row>
    <row r="163" spans="2:94" x14ac:dyDescent="0.25">
      <c r="B163">
        <f t="shared" ca="1" si="114"/>
        <v>995</v>
      </c>
      <c r="C163">
        <f t="shared" ca="1" si="115"/>
        <v>52</v>
      </c>
      <c r="D163">
        <f t="shared" ca="1" si="116"/>
        <v>2.9017495494387001E-2</v>
      </c>
      <c r="F163" s="1">
        <f t="shared" ca="1" si="117"/>
        <v>17</v>
      </c>
      <c r="G163" s="1">
        <f t="shared" ca="1" si="118"/>
        <v>24</v>
      </c>
      <c r="H163" s="1">
        <f t="shared" ca="1" si="119"/>
        <v>8</v>
      </c>
      <c r="I163" s="1"/>
      <c r="J163" s="1">
        <f t="shared" ca="1" si="120"/>
        <v>14</v>
      </c>
      <c r="K163" s="1">
        <f t="shared" ca="1" si="121"/>
        <v>2.2957213183575984</v>
      </c>
      <c r="L163" s="1">
        <f t="shared" ca="1" si="122"/>
        <v>26</v>
      </c>
      <c r="M163" s="1"/>
      <c r="N163" s="1">
        <f t="shared" ca="1" si="123"/>
        <v>745</v>
      </c>
      <c r="O163" s="1">
        <f t="shared" ca="1" si="124"/>
        <v>46</v>
      </c>
      <c r="P163" s="1"/>
      <c r="Q163" s="1">
        <f t="shared" ca="1" si="125"/>
        <v>2.882186994705167</v>
      </c>
      <c r="R163" s="1">
        <f t="shared" ca="1" si="126"/>
        <v>1005</v>
      </c>
      <c r="S163" s="1"/>
      <c r="T163" s="1">
        <f t="shared" ca="1" si="127"/>
        <v>0.10052516818498093</v>
      </c>
      <c r="U163" s="1">
        <f t="shared" ca="1" si="128"/>
        <v>387</v>
      </c>
      <c r="V163" s="1">
        <f t="shared" ca="1" si="129"/>
        <v>15</v>
      </c>
      <c r="W163" s="1"/>
      <c r="X163" s="1">
        <f t="shared" ca="1" si="130"/>
        <v>3.2627680197106761</v>
      </c>
      <c r="Y163" s="1">
        <f t="shared" ca="1" si="131"/>
        <v>0.84770226292829787</v>
      </c>
      <c r="Z163" s="1">
        <f t="shared" ca="1" si="132"/>
        <v>119</v>
      </c>
      <c r="AB163" s="1">
        <f t="shared" ca="1" si="133"/>
        <v>0.69305077540120186</v>
      </c>
      <c r="AC163" s="1">
        <f t="shared" ca="1" si="134"/>
        <v>373</v>
      </c>
      <c r="AD163" s="1">
        <f t="shared" ca="1" si="135"/>
        <v>2.5071517571713603E-4</v>
      </c>
      <c r="AE163" s="1"/>
      <c r="AF163" s="1">
        <f t="shared" ca="1" si="136"/>
        <v>0.19701993037777443</v>
      </c>
      <c r="AG163" s="1">
        <f t="shared" ca="1" si="137"/>
        <v>585</v>
      </c>
      <c r="AH163" s="1">
        <f t="shared" ca="1" si="138"/>
        <v>2.7424796462689211E-3</v>
      </c>
      <c r="AJ163" s="1">
        <f t="shared" ca="1" si="139"/>
        <v>5.7508498140872777E-2</v>
      </c>
      <c r="AK163" s="1">
        <f t="shared" ca="1" si="140"/>
        <v>4.7334122359464952E-3</v>
      </c>
      <c r="AL163" s="1"/>
      <c r="AM163" s="1">
        <f t="shared" ca="1" si="141"/>
        <v>8.163807253430691E-2</v>
      </c>
      <c r="AN163" s="1">
        <f t="shared" ca="1" si="142"/>
        <v>23</v>
      </c>
      <c r="AO163" s="1">
        <f t="shared" ca="1" si="143"/>
        <v>9</v>
      </c>
      <c r="AQ163" s="1">
        <f t="shared" ca="1" si="144"/>
        <v>71</v>
      </c>
      <c r="AR163" s="1">
        <f t="shared" ca="1" si="145"/>
        <v>4</v>
      </c>
      <c r="AS163" s="1">
        <f t="shared" ca="1" si="146"/>
        <v>74</v>
      </c>
      <c r="AU163" s="1">
        <f t="shared" ca="1" si="147"/>
        <v>382</v>
      </c>
      <c r="AV163" s="1">
        <f t="shared" ca="1" si="148"/>
        <v>8</v>
      </c>
      <c r="AW163" s="1">
        <f t="shared" ca="1" si="149"/>
        <v>0.10108634066258035</v>
      </c>
      <c r="AY163" s="1">
        <f t="shared" ca="1" si="150"/>
        <v>1.1932481792886809</v>
      </c>
      <c r="AZ163" s="1">
        <f t="shared" ca="1" si="151"/>
        <v>156</v>
      </c>
      <c r="BA163" s="1">
        <f t="shared" ca="1" si="152"/>
        <v>8.5252711636985747E-3</v>
      </c>
      <c r="BV163" s="1">
        <f t="shared" ca="1" si="153"/>
        <v>0.92912909433898561</v>
      </c>
      <c r="BW163" s="1">
        <f t="shared" ca="1" si="154"/>
        <v>318</v>
      </c>
      <c r="BX163" s="1">
        <f t="shared" ca="1" si="155"/>
        <v>5.9392425825270318E-3</v>
      </c>
      <c r="BY163" s="1">
        <f t="shared" ca="1" si="156"/>
        <v>9.9706756456044501E-3</v>
      </c>
      <c r="BZ163" s="1">
        <f t="shared" ca="1" si="157"/>
        <v>0.54353955026209322</v>
      </c>
      <c r="CB163" s="1">
        <f t="shared" ca="1" si="158"/>
        <v>370</v>
      </c>
      <c r="CC163" s="1">
        <f t="shared" ca="1" si="159"/>
        <v>13</v>
      </c>
      <c r="CD163" s="1">
        <f t="shared" ca="1" si="160"/>
        <v>0.17620268576782583</v>
      </c>
      <c r="CE163" s="1">
        <f t="shared" ca="1" si="161"/>
        <v>0.60123819668529621</v>
      </c>
      <c r="CF163" s="1">
        <f t="shared" ca="1" si="161"/>
        <v>0.84258545987281486</v>
      </c>
      <c r="CH163" s="3">
        <f t="shared" ca="1" si="162"/>
        <v>4.3731746085777026E-2</v>
      </c>
      <c r="CI163" s="3">
        <f t="shared" ca="1" si="163"/>
        <v>0.46680972229838325</v>
      </c>
      <c r="CJ163" s="3">
        <f t="shared" ca="1" si="164"/>
        <v>247</v>
      </c>
      <c r="CK163" s="3">
        <f t="shared" ca="1" si="165"/>
        <v>2.2321362562567346E-3</v>
      </c>
      <c r="CL163" s="3">
        <f t="shared" ca="1" si="166"/>
        <v>0</v>
      </c>
      <c r="CM163" s="3"/>
      <c r="CN163" s="1">
        <f t="shared" ca="1" si="167"/>
        <v>9.2571174790181203</v>
      </c>
      <c r="CO163" s="1">
        <f t="shared" ca="1" si="168"/>
        <v>0.16772468839013013</v>
      </c>
      <c r="CP163" s="1">
        <f t="shared" ca="1" si="169"/>
        <v>2</v>
      </c>
    </row>
    <row r="164" spans="2:94" x14ac:dyDescent="0.25">
      <c r="B164">
        <f t="shared" ca="1" si="114"/>
        <v>114</v>
      </c>
      <c r="C164">
        <f t="shared" ca="1" si="115"/>
        <v>33</v>
      </c>
      <c r="D164">
        <f t="shared" ca="1" si="116"/>
        <v>0.13076448713353189</v>
      </c>
      <c r="F164" s="1">
        <f t="shared" ca="1" si="117"/>
        <v>51</v>
      </c>
      <c r="G164" s="1">
        <f t="shared" ca="1" si="118"/>
        <v>19</v>
      </c>
      <c r="H164" s="1">
        <f t="shared" ca="1" si="119"/>
        <v>15</v>
      </c>
      <c r="I164" s="1"/>
      <c r="J164" s="1">
        <f t="shared" ca="1" si="120"/>
        <v>4</v>
      </c>
      <c r="K164" s="1">
        <f t="shared" ca="1" si="121"/>
        <v>1.7829659785044758</v>
      </c>
      <c r="L164" s="1">
        <f t="shared" ca="1" si="122"/>
        <v>2</v>
      </c>
      <c r="M164" s="1"/>
      <c r="N164" s="1">
        <f t="shared" ca="1" si="123"/>
        <v>282</v>
      </c>
      <c r="O164" s="1">
        <f t="shared" ca="1" si="124"/>
        <v>14</v>
      </c>
      <c r="P164" s="1"/>
      <c r="Q164" s="1">
        <f t="shared" ca="1" si="125"/>
        <v>1.4377325620510057</v>
      </c>
      <c r="R164" s="1">
        <f t="shared" ca="1" si="126"/>
        <v>563</v>
      </c>
      <c r="S164" s="1"/>
      <c r="T164" s="1">
        <f t="shared" ca="1" si="127"/>
        <v>0.10308682430488428</v>
      </c>
      <c r="U164" s="1">
        <f t="shared" ca="1" si="128"/>
        <v>361</v>
      </c>
      <c r="V164" s="1">
        <f t="shared" ca="1" si="129"/>
        <v>29</v>
      </c>
      <c r="W164" s="1"/>
      <c r="X164" s="1">
        <f t="shared" ca="1" si="130"/>
        <v>6.2369462129996887</v>
      </c>
      <c r="Y164" s="1">
        <f t="shared" ca="1" si="131"/>
        <v>0.66221675130103863</v>
      </c>
      <c r="Z164" s="1">
        <f t="shared" ca="1" si="132"/>
        <v>550</v>
      </c>
      <c r="AB164" s="1">
        <f t="shared" ca="1" si="133"/>
        <v>3.6320829032985766E-2</v>
      </c>
      <c r="AC164" s="1">
        <f t="shared" ca="1" si="134"/>
        <v>588</v>
      </c>
      <c r="AD164" s="1">
        <f t="shared" ca="1" si="135"/>
        <v>9.0875824162476547E-3</v>
      </c>
      <c r="AE164" s="1"/>
      <c r="AF164" s="1">
        <f t="shared" ca="1" si="136"/>
        <v>0.82880447963243831</v>
      </c>
      <c r="AG164" s="1">
        <f t="shared" ca="1" si="137"/>
        <v>122</v>
      </c>
      <c r="AH164" s="1">
        <f t="shared" ca="1" si="138"/>
        <v>9.7685302427375255E-3</v>
      </c>
      <c r="AJ164" s="1">
        <f t="shared" ca="1" si="139"/>
        <v>0.72278409908887309</v>
      </c>
      <c r="AK164" s="1">
        <f t="shared" ca="1" si="140"/>
        <v>4.2793569070896176E-3</v>
      </c>
      <c r="AL164" s="1"/>
      <c r="AM164" s="1">
        <f t="shared" ca="1" si="141"/>
        <v>0.18546467243051393</v>
      </c>
      <c r="AN164" s="1">
        <f t="shared" ca="1" si="142"/>
        <v>59</v>
      </c>
      <c r="AO164" s="1">
        <f t="shared" ca="1" si="143"/>
        <v>13</v>
      </c>
      <c r="AQ164" s="1">
        <f t="shared" ca="1" si="144"/>
        <v>107</v>
      </c>
      <c r="AR164" s="1">
        <f t="shared" ca="1" si="145"/>
        <v>5</v>
      </c>
      <c r="AS164" s="1">
        <f t="shared" ca="1" si="146"/>
        <v>15</v>
      </c>
      <c r="AU164" s="1">
        <f t="shared" ca="1" si="147"/>
        <v>388</v>
      </c>
      <c r="AV164" s="1">
        <f t="shared" ca="1" si="148"/>
        <v>2</v>
      </c>
      <c r="AW164" s="1">
        <f t="shared" ca="1" si="149"/>
        <v>0.17663791959551889</v>
      </c>
      <c r="AY164" s="1">
        <f t="shared" ca="1" si="150"/>
        <v>1.924998142952852</v>
      </c>
      <c r="AZ164" s="1">
        <f t="shared" ca="1" si="151"/>
        <v>282</v>
      </c>
      <c r="BA164" s="1">
        <f t="shared" ca="1" si="152"/>
        <v>3.0234807897570391E-3</v>
      </c>
      <c r="BV164" s="1">
        <f t="shared" ca="1" si="153"/>
        <v>0.79435809651464084</v>
      </c>
      <c r="BW164" s="1">
        <f t="shared" ca="1" si="154"/>
        <v>267</v>
      </c>
      <c r="BX164" s="1">
        <f t="shared" ca="1" si="155"/>
        <v>9.0844455095266726E-3</v>
      </c>
      <c r="BY164" s="1">
        <f t="shared" ca="1" si="156"/>
        <v>2.5083834154906441E-2</v>
      </c>
      <c r="BZ164" s="1">
        <f t="shared" ca="1" si="157"/>
        <v>0.11056898469348231</v>
      </c>
      <c r="CB164" s="1">
        <f t="shared" ca="1" si="158"/>
        <v>478</v>
      </c>
      <c r="CC164" s="1">
        <f t="shared" ca="1" si="159"/>
        <v>15</v>
      </c>
      <c r="CD164" s="1">
        <f t="shared" ca="1" si="160"/>
        <v>0.14098084672992081</v>
      </c>
      <c r="CE164" s="1">
        <f t="shared" ref="CE164:CF202" ca="1" si="170">RAND()*(1-0.5)+0.5</f>
        <v>0.9414235688769772</v>
      </c>
      <c r="CF164" s="1">
        <f t="shared" ca="1" si="170"/>
        <v>0.92803942350481572</v>
      </c>
      <c r="CH164" s="3">
        <f t="shared" ca="1" si="162"/>
        <v>0.59582591992405187</v>
      </c>
      <c r="CI164" s="3">
        <f t="shared" ca="1" si="163"/>
        <v>9.8733415255344195E-2</v>
      </c>
      <c r="CJ164" s="3">
        <f t="shared" ca="1" si="164"/>
        <v>849</v>
      </c>
      <c r="CK164" s="3">
        <f t="shared" ca="1" si="165"/>
        <v>6.4547228017872195E-3</v>
      </c>
      <c r="CL164" s="3">
        <f t="shared" ca="1" si="166"/>
        <v>1</v>
      </c>
      <c r="CM164" s="3"/>
      <c r="CN164" s="1">
        <f t="shared" ca="1" si="167"/>
        <v>4.2541537834061547</v>
      </c>
      <c r="CO164" s="1">
        <f t="shared" ca="1" si="168"/>
        <v>0.39042911708901051</v>
      </c>
      <c r="CP164" s="1">
        <f t="shared" ca="1" si="169"/>
        <v>5</v>
      </c>
    </row>
    <row r="165" spans="2:94" x14ac:dyDescent="0.25">
      <c r="B165">
        <f t="shared" ca="1" si="114"/>
        <v>146</v>
      </c>
      <c r="C165">
        <f t="shared" ca="1" si="115"/>
        <v>25</v>
      </c>
      <c r="D165">
        <f t="shared" ca="1" si="116"/>
        <v>3.7199923171152574E-2</v>
      </c>
      <c r="F165" s="1">
        <f t="shared" ca="1" si="117"/>
        <v>29</v>
      </c>
      <c r="G165" s="1">
        <f t="shared" ca="1" si="118"/>
        <v>19</v>
      </c>
      <c r="H165" s="1">
        <f t="shared" ca="1" si="119"/>
        <v>2</v>
      </c>
      <c r="I165" s="1"/>
      <c r="J165" s="1">
        <f t="shared" ca="1" si="120"/>
        <v>7</v>
      </c>
      <c r="K165" s="1">
        <f t="shared" ca="1" si="121"/>
        <v>1.9424488050793236</v>
      </c>
      <c r="L165" s="1">
        <f t="shared" ca="1" si="122"/>
        <v>16</v>
      </c>
      <c r="M165" s="1"/>
      <c r="N165" s="1">
        <f t="shared" ca="1" si="123"/>
        <v>988</v>
      </c>
      <c r="O165" s="1">
        <f t="shared" ca="1" si="124"/>
        <v>15</v>
      </c>
      <c r="P165" s="1"/>
      <c r="Q165" s="1">
        <f t="shared" ca="1" si="125"/>
        <v>4.6063350799787637</v>
      </c>
      <c r="R165" s="1">
        <f t="shared" ca="1" si="126"/>
        <v>1167</v>
      </c>
      <c r="S165" s="1"/>
      <c r="T165" s="1">
        <f t="shared" ca="1" si="127"/>
        <v>0.14499004079039879</v>
      </c>
      <c r="U165" s="1">
        <f t="shared" ca="1" si="128"/>
        <v>178</v>
      </c>
      <c r="V165" s="1">
        <f t="shared" ca="1" si="129"/>
        <v>12</v>
      </c>
      <c r="W165" s="1"/>
      <c r="X165" s="1">
        <f t="shared" ca="1" si="130"/>
        <v>6.6309928347320177</v>
      </c>
      <c r="Y165" s="1">
        <f t="shared" ca="1" si="131"/>
        <v>0.36840948411540625</v>
      </c>
      <c r="Z165" s="1">
        <f t="shared" ca="1" si="132"/>
        <v>941</v>
      </c>
      <c r="AB165" s="1">
        <f t="shared" ca="1" si="133"/>
        <v>0.65235457457201473</v>
      </c>
      <c r="AC165" s="1">
        <f t="shared" ca="1" si="134"/>
        <v>697</v>
      </c>
      <c r="AD165" s="1">
        <f t="shared" ca="1" si="135"/>
        <v>2.2721061720370615E-3</v>
      </c>
      <c r="AE165" s="1"/>
      <c r="AF165" s="1">
        <f t="shared" ca="1" si="136"/>
        <v>0.46485606809310676</v>
      </c>
      <c r="AG165" s="1">
        <f t="shared" ca="1" si="137"/>
        <v>374</v>
      </c>
      <c r="AH165" s="1">
        <f t="shared" ca="1" si="138"/>
        <v>6.1434399845506898E-3</v>
      </c>
      <c r="AJ165" s="1">
        <f t="shared" ca="1" si="139"/>
        <v>0.64498656024712764</v>
      </c>
      <c r="AK165" s="1">
        <f t="shared" ca="1" si="140"/>
        <v>8.9289209333304319E-3</v>
      </c>
      <c r="AL165" s="1"/>
      <c r="AM165" s="1">
        <f t="shared" ca="1" si="141"/>
        <v>0.14046860698608413</v>
      </c>
      <c r="AN165" s="1">
        <f t="shared" ca="1" si="142"/>
        <v>51</v>
      </c>
      <c r="AO165" s="1">
        <f t="shared" ca="1" si="143"/>
        <v>11</v>
      </c>
      <c r="AQ165" s="1">
        <f t="shared" ca="1" si="144"/>
        <v>144</v>
      </c>
      <c r="AR165" s="1">
        <f t="shared" ca="1" si="145"/>
        <v>3</v>
      </c>
      <c r="AS165" s="1">
        <f t="shared" ca="1" si="146"/>
        <v>39</v>
      </c>
      <c r="AU165" s="1">
        <f t="shared" ca="1" si="147"/>
        <v>55</v>
      </c>
      <c r="AV165" s="1">
        <f t="shared" ca="1" si="148"/>
        <v>6</v>
      </c>
      <c r="AW165" s="1">
        <f t="shared" ca="1" si="149"/>
        <v>6.7596133852923165E-2</v>
      </c>
      <c r="AY165" s="1">
        <f t="shared" ca="1" si="150"/>
        <v>1.4287515016208339</v>
      </c>
      <c r="AZ165" s="1">
        <f t="shared" ca="1" si="151"/>
        <v>187</v>
      </c>
      <c r="BA165" s="1">
        <f t="shared" ca="1" si="152"/>
        <v>2.4271423344328254E-3</v>
      </c>
      <c r="BV165" s="1">
        <f t="shared" ca="1" si="153"/>
        <v>0.53848122927446529</v>
      </c>
      <c r="BW165" s="1">
        <f t="shared" ca="1" si="154"/>
        <v>948</v>
      </c>
      <c r="BX165" s="1">
        <f t="shared" ca="1" si="155"/>
        <v>7.3955718634570299E-3</v>
      </c>
      <c r="BY165" s="1">
        <f t="shared" ca="1" si="156"/>
        <v>2.3397437748594135E-2</v>
      </c>
      <c r="BZ165" s="1">
        <f t="shared" ca="1" si="157"/>
        <v>0.91584101022643516</v>
      </c>
      <c r="CB165" s="1">
        <f t="shared" ca="1" si="158"/>
        <v>305</v>
      </c>
      <c r="CC165" s="1">
        <f t="shared" ca="1" si="159"/>
        <v>4</v>
      </c>
      <c r="CD165" s="1">
        <f t="shared" ca="1" si="160"/>
        <v>0.11342095125718381</v>
      </c>
      <c r="CE165" s="1">
        <f t="shared" ca="1" si="170"/>
        <v>0.77348862957199438</v>
      </c>
      <c r="CF165" s="1">
        <f t="shared" ca="1" si="170"/>
        <v>0.95214020200790062</v>
      </c>
      <c r="CH165" s="3">
        <f t="shared" ca="1" si="162"/>
        <v>0.28991892008481646</v>
      </c>
      <c r="CI165" s="3">
        <f t="shared" ca="1" si="163"/>
        <v>0.50881225942874808</v>
      </c>
      <c r="CJ165" s="3">
        <f t="shared" ca="1" si="164"/>
        <v>1178</v>
      </c>
      <c r="CK165" s="3">
        <f t="shared" ca="1" si="165"/>
        <v>3.0407366401199125E-4</v>
      </c>
      <c r="CL165" s="3">
        <f t="shared" ca="1" si="166"/>
        <v>1</v>
      </c>
      <c r="CM165" s="3"/>
      <c r="CN165" s="1">
        <f t="shared" ca="1" si="167"/>
        <v>5.264534996023281</v>
      </c>
      <c r="CO165" s="1">
        <f t="shared" ca="1" si="168"/>
        <v>0.39047181544002241</v>
      </c>
      <c r="CP165" s="1">
        <f t="shared" ca="1" si="169"/>
        <v>3</v>
      </c>
    </row>
    <row r="166" spans="2:94" x14ac:dyDescent="0.25">
      <c r="B166">
        <f t="shared" ca="1" si="114"/>
        <v>598</v>
      </c>
      <c r="C166">
        <f t="shared" ca="1" si="115"/>
        <v>35</v>
      </c>
      <c r="D166">
        <f t="shared" ca="1" si="116"/>
        <v>0.28615864052631396</v>
      </c>
      <c r="F166" s="1">
        <f t="shared" ca="1" si="117"/>
        <v>43</v>
      </c>
      <c r="G166" s="1">
        <f t="shared" ca="1" si="118"/>
        <v>20</v>
      </c>
      <c r="H166" s="1">
        <f t="shared" ca="1" si="119"/>
        <v>15</v>
      </c>
      <c r="I166" s="1"/>
      <c r="J166" s="1">
        <f t="shared" ca="1" si="120"/>
        <v>39</v>
      </c>
      <c r="K166" s="1">
        <f t="shared" ca="1" si="121"/>
        <v>1.1964222075378541</v>
      </c>
      <c r="L166" s="1">
        <f t="shared" ca="1" si="122"/>
        <v>2</v>
      </c>
      <c r="M166" s="1"/>
      <c r="N166" s="1">
        <f t="shared" ca="1" si="123"/>
        <v>76</v>
      </c>
      <c r="O166" s="1">
        <f t="shared" ca="1" si="124"/>
        <v>21</v>
      </c>
      <c r="P166" s="1"/>
      <c r="Q166" s="1">
        <f t="shared" ca="1" si="125"/>
        <v>0.352543505632746</v>
      </c>
      <c r="R166" s="1">
        <f t="shared" ca="1" si="126"/>
        <v>335</v>
      </c>
      <c r="S166" s="1"/>
      <c r="T166" s="1">
        <f t="shared" ca="1" si="127"/>
        <v>0.10213213787103734</v>
      </c>
      <c r="U166" s="1">
        <f t="shared" ca="1" si="128"/>
        <v>279</v>
      </c>
      <c r="V166" s="1">
        <f t="shared" ca="1" si="129"/>
        <v>27</v>
      </c>
      <c r="W166" s="1"/>
      <c r="X166" s="1">
        <f t="shared" ca="1" si="130"/>
        <v>9.8386317113581381</v>
      </c>
      <c r="Y166" s="1">
        <f t="shared" ca="1" si="131"/>
        <v>0.10431223549575758</v>
      </c>
      <c r="Z166" s="1">
        <f t="shared" ca="1" si="132"/>
        <v>197</v>
      </c>
      <c r="AB166" s="1">
        <f t="shared" ca="1" si="133"/>
        <v>0.75301911940799671</v>
      </c>
      <c r="AC166" s="1">
        <f t="shared" ca="1" si="134"/>
        <v>240</v>
      </c>
      <c r="AD166" s="1">
        <f t="shared" ca="1" si="135"/>
        <v>1.5714233969017406E-3</v>
      </c>
      <c r="AE166" s="1"/>
      <c r="AF166" s="1">
        <f t="shared" ca="1" si="136"/>
        <v>0.8010219289982492</v>
      </c>
      <c r="AG166" s="1">
        <f t="shared" ca="1" si="137"/>
        <v>518</v>
      </c>
      <c r="AH166" s="1">
        <f t="shared" ca="1" si="138"/>
        <v>1.2926903200162754E-3</v>
      </c>
      <c r="AJ166" s="1">
        <f t="shared" ca="1" si="139"/>
        <v>0.46749196235209833</v>
      </c>
      <c r="AK166" s="1">
        <f t="shared" ca="1" si="140"/>
        <v>3.9639248912704036E-3</v>
      </c>
      <c r="AL166" s="1"/>
      <c r="AM166" s="1">
        <f t="shared" ca="1" si="141"/>
        <v>0.10766282633244209</v>
      </c>
      <c r="AN166" s="1">
        <f t="shared" ca="1" si="142"/>
        <v>11</v>
      </c>
      <c r="AO166" s="1">
        <f t="shared" ca="1" si="143"/>
        <v>8</v>
      </c>
      <c r="AQ166" s="1">
        <f t="shared" ca="1" si="144"/>
        <v>100</v>
      </c>
      <c r="AR166" s="1">
        <f t="shared" ca="1" si="145"/>
        <v>4</v>
      </c>
      <c r="AS166" s="1">
        <f t="shared" ca="1" si="146"/>
        <v>17</v>
      </c>
      <c r="AU166" s="1">
        <f t="shared" ca="1" si="147"/>
        <v>228</v>
      </c>
      <c r="AV166" s="1">
        <f t="shared" ca="1" si="148"/>
        <v>9</v>
      </c>
      <c r="AW166" s="1">
        <f t="shared" ca="1" si="149"/>
        <v>7.7034422263769026E-2</v>
      </c>
      <c r="AY166" s="1">
        <f t="shared" ca="1" si="150"/>
        <v>1.3270948962623994</v>
      </c>
      <c r="AZ166" s="1">
        <f t="shared" ca="1" si="151"/>
        <v>194</v>
      </c>
      <c r="BA166" s="1">
        <f t="shared" ca="1" si="152"/>
        <v>7.7678001840963149E-4</v>
      </c>
      <c r="BV166" s="1">
        <f t="shared" ca="1" si="153"/>
        <v>0.61390368818200192</v>
      </c>
      <c r="BW166" s="1">
        <f t="shared" ca="1" si="154"/>
        <v>902</v>
      </c>
      <c r="BX166" s="1">
        <f t="shared" ca="1" si="155"/>
        <v>1.6199525363441237E-3</v>
      </c>
      <c r="BY166" s="1">
        <f t="shared" ca="1" si="156"/>
        <v>7.3532052152917415E-2</v>
      </c>
      <c r="BZ166" s="1">
        <f t="shared" ca="1" si="157"/>
        <v>0.99529582658382709</v>
      </c>
      <c r="CB166" s="1">
        <f t="shared" ca="1" si="158"/>
        <v>219</v>
      </c>
      <c r="CC166" s="1">
        <f t="shared" ca="1" si="159"/>
        <v>11</v>
      </c>
      <c r="CD166" s="1">
        <f t="shared" ca="1" si="160"/>
        <v>3.3374516398717746E-2</v>
      </c>
      <c r="CE166" s="1">
        <f t="shared" ca="1" si="170"/>
        <v>0.64774368366584223</v>
      </c>
      <c r="CF166" s="1">
        <f t="shared" ca="1" si="170"/>
        <v>0.70998236328600173</v>
      </c>
      <c r="CH166" s="3">
        <f t="shared" ca="1" si="162"/>
        <v>0.91915569430314026</v>
      </c>
      <c r="CI166" s="3">
        <f t="shared" ca="1" si="163"/>
        <v>0.30663043572545423</v>
      </c>
      <c r="CJ166" s="3">
        <f t="shared" ca="1" si="164"/>
        <v>1335</v>
      </c>
      <c r="CK166" s="3">
        <f t="shared" ca="1" si="165"/>
        <v>3.0447880044367237E-3</v>
      </c>
      <c r="CL166" s="3">
        <f t="shared" ca="1" si="166"/>
        <v>0</v>
      </c>
      <c r="CM166" s="3"/>
      <c r="CN166" s="1">
        <f t="shared" ca="1" si="167"/>
        <v>8.3651395715981973</v>
      </c>
      <c r="CO166" s="1">
        <f t="shared" ca="1" si="168"/>
        <v>0.4841716470756714</v>
      </c>
      <c r="CP166" s="1">
        <f t="shared" ca="1" si="169"/>
        <v>1</v>
      </c>
    </row>
    <row r="167" spans="2:94" x14ac:dyDescent="0.25">
      <c r="B167">
        <f t="shared" ca="1" si="114"/>
        <v>882</v>
      </c>
      <c r="C167">
        <f t="shared" ca="1" si="115"/>
        <v>11</v>
      </c>
      <c r="D167">
        <f t="shared" ca="1" si="116"/>
        <v>0.16092074948504492</v>
      </c>
      <c r="F167" s="1">
        <f t="shared" ca="1" si="117"/>
        <v>34</v>
      </c>
      <c r="G167" s="1">
        <f t="shared" ca="1" si="118"/>
        <v>4</v>
      </c>
      <c r="H167" s="1">
        <f t="shared" ca="1" si="119"/>
        <v>13</v>
      </c>
      <c r="I167" s="1"/>
      <c r="J167" s="1">
        <f t="shared" ca="1" si="120"/>
        <v>3</v>
      </c>
      <c r="K167" s="1">
        <f t="shared" ca="1" si="121"/>
        <v>2.1067432983624181</v>
      </c>
      <c r="L167" s="1">
        <f t="shared" ca="1" si="122"/>
        <v>16</v>
      </c>
      <c r="M167" s="1"/>
      <c r="N167" s="1">
        <f t="shared" ca="1" si="123"/>
        <v>801</v>
      </c>
      <c r="O167" s="1">
        <f t="shared" ca="1" si="124"/>
        <v>37</v>
      </c>
      <c r="P167" s="1"/>
      <c r="Q167" s="1">
        <f t="shared" ca="1" si="125"/>
        <v>3.7048376591995389</v>
      </c>
      <c r="R167" s="1">
        <f t="shared" ca="1" si="126"/>
        <v>590</v>
      </c>
      <c r="S167" s="1"/>
      <c r="T167" s="1">
        <f t="shared" ca="1" si="127"/>
        <v>1.2791347088907626E-2</v>
      </c>
      <c r="U167" s="1">
        <f t="shared" ca="1" si="128"/>
        <v>338</v>
      </c>
      <c r="V167" s="1">
        <f t="shared" ca="1" si="129"/>
        <v>43</v>
      </c>
      <c r="W167" s="1"/>
      <c r="X167" s="1">
        <f t="shared" ca="1" si="130"/>
        <v>6.4068041108730869</v>
      </c>
      <c r="Y167" s="1">
        <f t="shared" ca="1" si="131"/>
        <v>0.36433362246849077</v>
      </c>
      <c r="Z167" s="1">
        <f t="shared" ca="1" si="132"/>
        <v>1920</v>
      </c>
      <c r="AB167" s="1">
        <f t="shared" ca="1" si="133"/>
        <v>0.98266792757831445</v>
      </c>
      <c r="AC167" s="1">
        <f t="shared" ca="1" si="134"/>
        <v>869</v>
      </c>
      <c r="AD167" s="1">
        <f t="shared" ca="1" si="135"/>
        <v>4.1744541998396953E-3</v>
      </c>
      <c r="AE167" s="1"/>
      <c r="AF167" s="1">
        <f t="shared" ca="1" si="136"/>
        <v>0.61150153471398339</v>
      </c>
      <c r="AG167" s="1">
        <f t="shared" ca="1" si="137"/>
        <v>697</v>
      </c>
      <c r="AH167" s="1">
        <f t="shared" ca="1" si="138"/>
        <v>2.9346256517302056E-3</v>
      </c>
      <c r="AJ167" s="1">
        <f t="shared" ca="1" si="139"/>
        <v>0.91187458741192695</v>
      </c>
      <c r="AK167" s="1">
        <f t="shared" ca="1" si="140"/>
        <v>4.8819369630088965E-3</v>
      </c>
      <c r="AL167" s="1"/>
      <c r="AM167" s="1">
        <f t="shared" ca="1" si="141"/>
        <v>5.380467211596552E-2</v>
      </c>
      <c r="AN167" s="1">
        <f t="shared" ca="1" si="142"/>
        <v>18</v>
      </c>
      <c r="AO167" s="1">
        <f t="shared" ca="1" si="143"/>
        <v>4</v>
      </c>
      <c r="AQ167" s="1">
        <f t="shared" ca="1" si="144"/>
        <v>35</v>
      </c>
      <c r="AR167" s="1">
        <f t="shared" ca="1" si="145"/>
        <v>6</v>
      </c>
      <c r="AS167" s="1">
        <f t="shared" ca="1" si="146"/>
        <v>78</v>
      </c>
      <c r="AU167" s="1">
        <f t="shared" ca="1" si="147"/>
        <v>85</v>
      </c>
      <c r="AV167" s="1">
        <f t="shared" ca="1" si="148"/>
        <v>3</v>
      </c>
      <c r="AW167" s="1">
        <f t="shared" ca="1" si="149"/>
        <v>7.8165646041459355E-2</v>
      </c>
      <c r="AY167" s="1">
        <f t="shared" ca="1" si="150"/>
        <v>1.2807297274722695</v>
      </c>
      <c r="AZ167" s="1">
        <f t="shared" ca="1" si="151"/>
        <v>69</v>
      </c>
      <c r="BA167" s="1">
        <f t="shared" ca="1" si="152"/>
        <v>9.2657856491611089E-3</v>
      </c>
      <c r="BV167" s="1">
        <f t="shared" ca="1" si="153"/>
        <v>0.96461375429647356</v>
      </c>
      <c r="BW167" s="1">
        <f t="shared" ca="1" si="154"/>
        <v>332</v>
      </c>
      <c r="BX167" s="1">
        <f t="shared" ca="1" si="155"/>
        <v>8.6836346695428283E-3</v>
      </c>
      <c r="BY167" s="1">
        <f t="shared" ca="1" si="156"/>
        <v>2.3398037223079027E-2</v>
      </c>
      <c r="BZ167" s="1">
        <f t="shared" ca="1" si="157"/>
        <v>0.31648866150653721</v>
      </c>
      <c r="CB167" s="1">
        <f t="shared" ca="1" si="158"/>
        <v>274</v>
      </c>
      <c r="CC167" s="1">
        <f t="shared" ca="1" si="159"/>
        <v>5</v>
      </c>
      <c r="CD167" s="1">
        <f t="shared" ca="1" si="160"/>
        <v>1.7291410888275842E-2</v>
      </c>
      <c r="CE167" s="1">
        <f t="shared" ca="1" si="170"/>
        <v>0.5942459568447569</v>
      </c>
      <c r="CF167" s="1">
        <f t="shared" ca="1" si="170"/>
        <v>0.59721958039973067</v>
      </c>
      <c r="CH167" s="3">
        <f t="shared" ca="1" si="162"/>
        <v>0.6378136410366011</v>
      </c>
      <c r="CI167" s="3">
        <f t="shared" ca="1" si="163"/>
        <v>0.21672276338020796</v>
      </c>
      <c r="CJ167" s="3">
        <f t="shared" ca="1" si="164"/>
        <v>1801</v>
      </c>
      <c r="CK167" s="3">
        <f t="shared" ca="1" si="165"/>
        <v>4.2996876004167441E-3</v>
      </c>
      <c r="CL167" s="3">
        <f t="shared" ca="1" si="166"/>
        <v>1</v>
      </c>
      <c r="CM167" s="3"/>
      <c r="CN167" s="1">
        <f t="shared" ca="1" si="167"/>
        <v>6.4486860707388658</v>
      </c>
      <c r="CO167" s="1">
        <f t="shared" ca="1" si="168"/>
        <v>0.13903198930974556</v>
      </c>
      <c r="CP167" s="1">
        <f t="shared" ca="1" si="169"/>
        <v>4</v>
      </c>
    </row>
    <row r="168" spans="2:94" x14ac:dyDescent="0.25">
      <c r="B168">
        <f t="shared" ca="1" si="114"/>
        <v>864</v>
      </c>
      <c r="C168">
        <f t="shared" ca="1" si="115"/>
        <v>43</v>
      </c>
      <c r="D168">
        <f t="shared" ca="1" si="116"/>
        <v>0.26393416718699125</v>
      </c>
      <c r="F168" s="1">
        <f t="shared" ca="1" si="117"/>
        <v>37</v>
      </c>
      <c r="G168" s="1">
        <f t="shared" ca="1" si="118"/>
        <v>4</v>
      </c>
      <c r="H168" s="1">
        <f t="shared" ca="1" si="119"/>
        <v>2</v>
      </c>
      <c r="I168" s="1"/>
      <c r="J168" s="1">
        <f t="shared" ca="1" si="120"/>
        <v>33</v>
      </c>
      <c r="K168" s="1">
        <f t="shared" ca="1" si="121"/>
        <v>1.9872133040607447</v>
      </c>
      <c r="L168" s="1">
        <f t="shared" ca="1" si="122"/>
        <v>4</v>
      </c>
      <c r="M168" s="1"/>
      <c r="N168" s="1">
        <f t="shared" ca="1" si="123"/>
        <v>870</v>
      </c>
      <c r="O168" s="1">
        <f t="shared" ca="1" si="124"/>
        <v>37</v>
      </c>
      <c r="P168" s="1"/>
      <c r="Q168" s="1">
        <f t="shared" ca="1" si="125"/>
        <v>3.4009616510264564</v>
      </c>
      <c r="R168" s="1">
        <f t="shared" ca="1" si="126"/>
        <v>334</v>
      </c>
      <c r="S168" s="1"/>
      <c r="T168" s="1">
        <f t="shared" ca="1" si="127"/>
        <v>4.8923633039740538E-2</v>
      </c>
      <c r="U168" s="1">
        <f t="shared" ca="1" si="128"/>
        <v>180</v>
      </c>
      <c r="V168" s="1">
        <f t="shared" ca="1" si="129"/>
        <v>32</v>
      </c>
      <c r="W168" s="1"/>
      <c r="X168" s="1">
        <f t="shared" ca="1" si="130"/>
        <v>9.4543127530695052</v>
      </c>
      <c r="Y168" s="1">
        <f t="shared" ca="1" si="131"/>
        <v>0.83950632293994798</v>
      </c>
      <c r="Z168" s="1">
        <f t="shared" ca="1" si="132"/>
        <v>801</v>
      </c>
      <c r="AB168" s="1">
        <f t="shared" ca="1" si="133"/>
        <v>0.7127871633669568</v>
      </c>
      <c r="AC168" s="1">
        <f t="shared" ca="1" si="134"/>
        <v>808</v>
      </c>
      <c r="AD168" s="1">
        <f t="shared" ca="1" si="135"/>
        <v>6.0461657529186103E-3</v>
      </c>
      <c r="AE168" s="1"/>
      <c r="AF168" s="1">
        <f t="shared" ca="1" si="136"/>
        <v>0.19318895308642531</v>
      </c>
      <c r="AG168" s="1">
        <f t="shared" ca="1" si="137"/>
        <v>980</v>
      </c>
      <c r="AH168" s="1">
        <f t="shared" ca="1" si="138"/>
        <v>9.875934400330225E-3</v>
      </c>
      <c r="AJ168" s="1">
        <f t="shared" ca="1" si="139"/>
        <v>0.92936503380579416</v>
      </c>
      <c r="AK168" s="1">
        <f t="shared" ca="1" si="140"/>
        <v>6.6185765632407181E-3</v>
      </c>
      <c r="AL168" s="1"/>
      <c r="AM168" s="1">
        <f t="shared" ca="1" si="141"/>
        <v>8.6197079888445827E-2</v>
      </c>
      <c r="AN168" s="1">
        <f t="shared" ca="1" si="142"/>
        <v>45</v>
      </c>
      <c r="AO168" s="1">
        <f t="shared" ca="1" si="143"/>
        <v>17</v>
      </c>
      <c r="AQ168" s="1">
        <f t="shared" ca="1" si="144"/>
        <v>57</v>
      </c>
      <c r="AR168" s="1">
        <f t="shared" ca="1" si="145"/>
        <v>10</v>
      </c>
      <c r="AS168" s="1">
        <f t="shared" ca="1" si="146"/>
        <v>32</v>
      </c>
      <c r="AU168" s="1">
        <f t="shared" ca="1" si="147"/>
        <v>251</v>
      </c>
      <c r="AV168" s="1">
        <f t="shared" ca="1" si="148"/>
        <v>5</v>
      </c>
      <c r="AW168" s="1">
        <f t="shared" ca="1" si="149"/>
        <v>9.2944875873125096E-2</v>
      </c>
      <c r="AY168" s="1">
        <f t="shared" ca="1" si="150"/>
        <v>1.8479013321314002</v>
      </c>
      <c r="AZ168" s="1">
        <f t="shared" ca="1" si="151"/>
        <v>419</v>
      </c>
      <c r="BA168" s="1">
        <f t="shared" ca="1" si="152"/>
        <v>9.9637265020980758E-3</v>
      </c>
      <c r="BV168" s="1">
        <f t="shared" ca="1" si="153"/>
        <v>0.26248231403119043</v>
      </c>
      <c r="BW168" s="1">
        <f t="shared" ca="1" si="154"/>
        <v>270</v>
      </c>
      <c r="BX168" s="1">
        <f t="shared" ca="1" si="155"/>
        <v>5.8701989962684177E-3</v>
      </c>
      <c r="BY168" s="1">
        <f t="shared" ca="1" si="156"/>
        <v>9.9505945305416107E-2</v>
      </c>
      <c r="BZ168" s="1">
        <f t="shared" ca="1" si="157"/>
        <v>0.72578748093317091</v>
      </c>
      <c r="CB168" s="1">
        <f t="shared" ca="1" si="158"/>
        <v>300</v>
      </c>
      <c r="CC168" s="1">
        <f t="shared" ca="1" si="159"/>
        <v>13</v>
      </c>
      <c r="CD168" s="1">
        <f t="shared" ca="1" si="160"/>
        <v>0.11550089996834215</v>
      </c>
      <c r="CE168" s="1">
        <f t="shared" ca="1" si="170"/>
        <v>0.757801368290832</v>
      </c>
      <c r="CF168" s="1">
        <f t="shared" ca="1" si="170"/>
        <v>0.57524285351816062</v>
      </c>
      <c r="CH168" s="3">
        <f t="shared" ca="1" si="162"/>
        <v>0.87649568963208468</v>
      </c>
      <c r="CI168" s="3">
        <f t="shared" ca="1" si="163"/>
        <v>0.17398476957620823</v>
      </c>
      <c r="CJ168" s="3">
        <f t="shared" ca="1" si="164"/>
        <v>928</v>
      </c>
      <c r="CK168" s="3">
        <f t="shared" ca="1" si="165"/>
        <v>6.7991496708834564E-3</v>
      </c>
      <c r="CL168" s="3">
        <f t="shared" ca="1" si="166"/>
        <v>1</v>
      </c>
      <c r="CM168" s="3"/>
      <c r="CN168" s="1">
        <f t="shared" ca="1" si="167"/>
        <v>10.269529074626584</v>
      </c>
      <c r="CO168" s="1">
        <f t="shared" ca="1" si="168"/>
        <v>0.29471621740451237</v>
      </c>
      <c r="CP168" s="1">
        <f t="shared" ca="1" si="169"/>
        <v>2</v>
      </c>
    </row>
    <row r="169" spans="2:94" x14ac:dyDescent="0.25">
      <c r="B169">
        <f t="shared" ca="1" si="114"/>
        <v>933</v>
      </c>
      <c r="C169">
        <f t="shared" ca="1" si="115"/>
        <v>21</v>
      </c>
      <c r="D169">
        <f t="shared" ca="1" si="116"/>
        <v>0.28608838546461018</v>
      </c>
      <c r="F169" s="1">
        <f t="shared" ca="1" si="117"/>
        <v>24</v>
      </c>
      <c r="G169" s="1">
        <f t="shared" ca="1" si="118"/>
        <v>18</v>
      </c>
      <c r="H169" s="1">
        <f t="shared" ca="1" si="119"/>
        <v>4</v>
      </c>
      <c r="I169" s="1"/>
      <c r="J169" s="1">
        <f t="shared" ca="1" si="120"/>
        <v>16</v>
      </c>
      <c r="K169" s="1">
        <f t="shared" ca="1" si="121"/>
        <v>2.2452417570607044</v>
      </c>
      <c r="L169" s="1">
        <f t="shared" ca="1" si="122"/>
        <v>33</v>
      </c>
      <c r="M169" s="1"/>
      <c r="N169" s="1">
        <f t="shared" ca="1" si="123"/>
        <v>784</v>
      </c>
      <c r="O169" s="1">
        <f t="shared" ca="1" si="124"/>
        <v>28</v>
      </c>
      <c r="P169" s="1"/>
      <c r="Q169" s="1">
        <f t="shared" ca="1" si="125"/>
        <v>1.6101738548714524</v>
      </c>
      <c r="R169" s="1">
        <f t="shared" ca="1" si="126"/>
        <v>393</v>
      </c>
      <c r="S169" s="1"/>
      <c r="T169" s="1">
        <f t="shared" ca="1" si="127"/>
        <v>0.18625452825184891</v>
      </c>
      <c r="U169" s="1">
        <f t="shared" ca="1" si="128"/>
        <v>163</v>
      </c>
      <c r="V169" s="1">
        <f t="shared" ca="1" si="129"/>
        <v>31</v>
      </c>
      <c r="W169" s="1"/>
      <c r="X169" s="1">
        <f t="shared" ca="1" si="130"/>
        <v>1.831763964101724</v>
      </c>
      <c r="Y169" s="1">
        <f t="shared" ca="1" si="131"/>
        <v>0.67797093273368003</v>
      </c>
      <c r="Z169" s="1">
        <f t="shared" ca="1" si="132"/>
        <v>1688</v>
      </c>
      <c r="AB169" s="1">
        <f t="shared" ca="1" si="133"/>
        <v>0.27636486236315028</v>
      </c>
      <c r="AC169" s="1">
        <f t="shared" ca="1" si="134"/>
        <v>967</v>
      </c>
      <c r="AD169" s="1">
        <f t="shared" ca="1" si="135"/>
        <v>1.4924168557205666E-3</v>
      </c>
      <c r="AE169" s="1"/>
      <c r="AF169" s="1">
        <f t="shared" ca="1" si="136"/>
        <v>0.81570118801435354</v>
      </c>
      <c r="AG169" s="1">
        <f t="shared" ca="1" si="137"/>
        <v>620</v>
      </c>
      <c r="AH169" s="1">
        <f t="shared" ca="1" si="138"/>
        <v>6.5622288649582593E-3</v>
      </c>
      <c r="AJ169" s="1">
        <f t="shared" ca="1" si="139"/>
        <v>0.4363113314247421</v>
      </c>
      <c r="AK169" s="1">
        <f t="shared" ca="1" si="140"/>
        <v>6.7150847275070803E-3</v>
      </c>
      <c r="AL169" s="1"/>
      <c r="AM169" s="1">
        <f t="shared" ca="1" si="141"/>
        <v>8.6748084042057409E-3</v>
      </c>
      <c r="AN169" s="1">
        <f t="shared" ca="1" si="142"/>
        <v>75</v>
      </c>
      <c r="AO169" s="1">
        <f t="shared" ca="1" si="143"/>
        <v>0</v>
      </c>
      <c r="AQ169" s="1">
        <f t="shared" ca="1" si="144"/>
        <v>166</v>
      </c>
      <c r="AR169" s="1">
        <f t="shared" ca="1" si="145"/>
        <v>7</v>
      </c>
      <c r="AS169" s="1">
        <f t="shared" ca="1" si="146"/>
        <v>17</v>
      </c>
      <c r="AU169" s="1">
        <f t="shared" ca="1" si="147"/>
        <v>393</v>
      </c>
      <c r="AV169" s="1">
        <f t="shared" ca="1" si="148"/>
        <v>3</v>
      </c>
      <c r="AW169" s="1">
        <f t="shared" ca="1" si="149"/>
        <v>0.16394488872123586</v>
      </c>
      <c r="AY169" s="1">
        <f t="shared" ca="1" si="150"/>
        <v>1.8886415615607373</v>
      </c>
      <c r="AZ169" s="1">
        <f t="shared" ca="1" si="151"/>
        <v>167</v>
      </c>
      <c r="BA169" s="1">
        <f t="shared" ca="1" si="152"/>
        <v>7.4890256035697132E-3</v>
      </c>
      <c r="BV169" s="1">
        <f t="shared" ca="1" si="153"/>
        <v>8.8073983228543026E-2</v>
      </c>
      <c r="BW169" s="1">
        <f t="shared" ca="1" si="154"/>
        <v>819</v>
      </c>
      <c r="BX169" s="1">
        <f t="shared" ca="1" si="155"/>
        <v>9.5126148279079375E-3</v>
      </c>
      <c r="BY169" s="1">
        <f t="shared" ca="1" si="156"/>
        <v>1.1006517962647648E-2</v>
      </c>
      <c r="BZ169" s="1">
        <f t="shared" ca="1" si="157"/>
        <v>0.34204364784302788</v>
      </c>
      <c r="CB169" s="1">
        <f t="shared" ca="1" si="158"/>
        <v>142</v>
      </c>
      <c r="CC169" s="1">
        <f t="shared" ca="1" si="159"/>
        <v>6</v>
      </c>
      <c r="CD169" s="1">
        <f t="shared" ca="1" si="160"/>
        <v>0.2061993043717954</v>
      </c>
      <c r="CE169" s="1">
        <f t="shared" ca="1" si="170"/>
        <v>0.59716146368011525</v>
      </c>
      <c r="CF169" s="1">
        <f t="shared" ca="1" si="170"/>
        <v>0.71456274954919863</v>
      </c>
      <c r="CH169" s="3">
        <f t="shared" ca="1" si="162"/>
        <v>0.54761875666527482</v>
      </c>
      <c r="CI169" s="3">
        <f t="shared" ca="1" si="163"/>
        <v>0.72177431583455998</v>
      </c>
      <c r="CJ169" s="3">
        <f t="shared" ca="1" si="164"/>
        <v>348</v>
      </c>
      <c r="CK169" s="3">
        <f t="shared" ca="1" si="165"/>
        <v>9.9976488426048275E-3</v>
      </c>
      <c r="CL169" s="3">
        <f t="shared" ca="1" si="166"/>
        <v>1</v>
      </c>
      <c r="CM169" s="3"/>
      <c r="CN169" s="1">
        <f t="shared" ca="1" si="167"/>
        <v>15.466902453998008</v>
      </c>
      <c r="CO169" s="1">
        <f t="shared" ca="1" si="168"/>
        <v>0.47520156044991774</v>
      </c>
      <c r="CP169" s="1">
        <f t="shared" ca="1" si="169"/>
        <v>4</v>
      </c>
    </row>
    <row r="170" spans="2:94" x14ac:dyDescent="0.25">
      <c r="B170">
        <f t="shared" ca="1" si="114"/>
        <v>842</v>
      </c>
      <c r="C170">
        <f t="shared" ca="1" si="115"/>
        <v>18</v>
      </c>
      <c r="D170">
        <f t="shared" ca="1" si="116"/>
        <v>0.24326831522111608</v>
      </c>
      <c r="F170" s="1">
        <f t="shared" ca="1" si="117"/>
        <v>49</v>
      </c>
      <c r="G170" s="1">
        <f t="shared" ca="1" si="118"/>
        <v>27</v>
      </c>
      <c r="H170" s="1">
        <f t="shared" ca="1" si="119"/>
        <v>3</v>
      </c>
      <c r="I170" s="1"/>
      <c r="J170" s="1">
        <f t="shared" ca="1" si="120"/>
        <v>34</v>
      </c>
      <c r="K170" s="1">
        <f t="shared" ca="1" si="121"/>
        <v>2.514239137795709</v>
      </c>
      <c r="L170" s="1">
        <f t="shared" ca="1" si="122"/>
        <v>34</v>
      </c>
      <c r="M170" s="1"/>
      <c r="N170" s="1">
        <f t="shared" ca="1" si="123"/>
        <v>254</v>
      </c>
      <c r="O170" s="1">
        <f t="shared" ca="1" si="124"/>
        <v>31</v>
      </c>
      <c r="P170" s="1"/>
      <c r="Q170" s="1">
        <f t="shared" ca="1" si="125"/>
        <v>0.9121761773408521</v>
      </c>
      <c r="R170" s="1">
        <f t="shared" ca="1" si="126"/>
        <v>557</v>
      </c>
      <c r="S170" s="1"/>
      <c r="T170" s="1">
        <f t="shared" ca="1" si="127"/>
        <v>3.5102321706304035E-2</v>
      </c>
      <c r="U170" s="1">
        <f t="shared" ca="1" si="128"/>
        <v>71</v>
      </c>
      <c r="V170" s="1">
        <f t="shared" ca="1" si="129"/>
        <v>5</v>
      </c>
      <c r="W170" s="1"/>
      <c r="X170" s="1">
        <f t="shared" ca="1" si="130"/>
        <v>2.9757374272950829</v>
      </c>
      <c r="Y170" s="1">
        <f t="shared" ca="1" si="131"/>
        <v>0.52585358151702477</v>
      </c>
      <c r="Z170" s="1">
        <f t="shared" ca="1" si="132"/>
        <v>1817</v>
      </c>
      <c r="AB170" s="1">
        <f t="shared" ca="1" si="133"/>
        <v>0.17523879286795582</v>
      </c>
      <c r="AC170" s="1">
        <f t="shared" ca="1" si="134"/>
        <v>251</v>
      </c>
      <c r="AD170" s="1">
        <f t="shared" ca="1" si="135"/>
        <v>8.2545066430769302E-3</v>
      </c>
      <c r="AE170" s="1"/>
      <c r="AF170" s="1">
        <f t="shared" ca="1" si="136"/>
        <v>0.73171401729968832</v>
      </c>
      <c r="AG170" s="1">
        <f t="shared" ca="1" si="137"/>
        <v>175</v>
      </c>
      <c r="AH170" s="1">
        <f t="shared" ca="1" si="138"/>
        <v>8.2633006393927205E-3</v>
      </c>
      <c r="AJ170" s="1">
        <f t="shared" ca="1" si="139"/>
        <v>0.15713658792561014</v>
      </c>
      <c r="AK170" s="1">
        <f t="shared" ca="1" si="140"/>
        <v>2.7454330061570113E-3</v>
      </c>
      <c r="AL170" s="1"/>
      <c r="AM170" s="1">
        <f t="shared" ca="1" si="141"/>
        <v>0.15045499764686679</v>
      </c>
      <c r="AN170" s="1">
        <f t="shared" ca="1" si="142"/>
        <v>75</v>
      </c>
      <c r="AO170" s="1">
        <f t="shared" ca="1" si="143"/>
        <v>19</v>
      </c>
      <c r="AQ170" s="1">
        <f t="shared" ca="1" si="144"/>
        <v>105</v>
      </c>
      <c r="AR170" s="1">
        <f t="shared" ca="1" si="145"/>
        <v>10</v>
      </c>
      <c r="AS170" s="1">
        <f t="shared" ca="1" si="146"/>
        <v>70</v>
      </c>
      <c r="AU170" s="1">
        <f t="shared" ca="1" si="147"/>
        <v>226</v>
      </c>
      <c r="AV170" s="1">
        <f t="shared" ca="1" si="148"/>
        <v>7</v>
      </c>
      <c r="AW170" s="1">
        <f t="shared" ca="1" si="149"/>
        <v>1.9614779288288729E-2</v>
      </c>
      <c r="AY170" s="1">
        <f t="shared" ca="1" si="150"/>
        <v>1.8355794854289351</v>
      </c>
      <c r="AZ170" s="1">
        <f t="shared" ca="1" si="151"/>
        <v>133</v>
      </c>
      <c r="BA170" s="1">
        <f t="shared" ca="1" si="152"/>
        <v>5.6524710590431819E-3</v>
      </c>
      <c r="BV170" s="1">
        <f t="shared" ca="1" si="153"/>
        <v>1.6966215375389514E-2</v>
      </c>
      <c r="BW170" s="1">
        <f t="shared" ca="1" si="154"/>
        <v>994</v>
      </c>
      <c r="BX170" s="1">
        <f t="shared" ca="1" si="155"/>
        <v>9.8103393748370064E-3</v>
      </c>
      <c r="BY170" s="1">
        <f t="shared" ca="1" si="156"/>
        <v>8.1180730913848441E-3</v>
      </c>
      <c r="BZ170" s="1">
        <f t="shared" ca="1" si="157"/>
        <v>0.13539949025776976</v>
      </c>
      <c r="CB170" s="1">
        <f t="shared" ca="1" si="158"/>
        <v>60</v>
      </c>
      <c r="CC170" s="1">
        <f t="shared" ca="1" si="159"/>
        <v>14</v>
      </c>
      <c r="CD170" s="1">
        <f t="shared" ca="1" si="160"/>
        <v>5.1443401066290036E-2</v>
      </c>
      <c r="CE170" s="1">
        <f t="shared" ca="1" si="170"/>
        <v>0.87075965764127239</v>
      </c>
      <c r="CF170" s="1">
        <f t="shared" ca="1" si="170"/>
        <v>0.69214903584053489</v>
      </c>
      <c r="CH170" s="3">
        <f t="shared" ca="1" si="162"/>
        <v>0.30079720371882301</v>
      </c>
      <c r="CI170" s="3">
        <f t="shared" ca="1" si="163"/>
        <v>0.8019746689855054</v>
      </c>
      <c r="CJ170" s="3">
        <f t="shared" ca="1" si="164"/>
        <v>1067</v>
      </c>
      <c r="CK170" s="3">
        <f t="shared" ca="1" si="165"/>
        <v>1.0104045514242074E-3</v>
      </c>
      <c r="CL170" s="3">
        <f t="shared" ca="1" si="166"/>
        <v>1</v>
      </c>
      <c r="CM170" s="3"/>
      <c r="CN170" s="1">
        <f t="shared" ca="1" si="167"/>
        <v>12.143117273643032</v>
      </c>
      <c r="CO170" s="1">
        <f t="shared" ca="1" si="168"/>
        <v>0.15744048978951541</v>
      </c>
      <c r="CP170" s="1">
        <f t="shared" ca="1" si="169"/>
        <v>5</v>
      </c>
    </row>
    <row r="171" spans="2:94" x14ac:dyDescent="0.25">
      <c r="B171">
        <f t="shared" ca="1" si="114"/>
        <v>302</v>
      </c>
      <c r="C171">
        <f t="shared" ca="1" si="115"/>
        <v>8</v>
      </c>
      <c r="D171">
        <f t="shared" ca="1" si="116"/>
        <v>4.5153018485122591E-2</v>
      </c>
      <c r="F171" s="1">
        <f t="shared" ca="1" si="117"/>
        <v>39</v>
      </c>
      <c r="G171" s="1">
        <f t="shared" ca="1" si="118"/>
        <v>2</v>
      </c>
      <c r="H171" s="1">
        <f t="shared" ca="1" si="119"/>
        <v>14</v>
      </c>
      <c r="I171" s="1"/>
      <c r="J171" s="1">
        <f t="shared" ca="1" si="120"/>
        <v>37</v>
      </c>
      <c r="K171" s="1">
        <f t="shared" ca="1" si="121"/>
        <v>1.5267601899118757</v>
      </c>
      <c r="L171" s="1">
        <f t="shared" ca="1" si="122"/>
        <v>9</v>
      </c>
      <c r="M171" s="1"/>
      <c r="N171" s="1">
        <f t="shared" ca="1" si="123"/>
        <v>160</v>
      </c>
      <c r="O171" s="1">
        <f t="shared" ca="1" si="124"/>
        <v>4</v>
      </c>
      <c r="P171" s="1"/>
      <c r="Q171" s="1">
        <f t="shared" ca="1" si="125"/>
        <v>2.3222275987194654</v>
      </c>
      <c r="R171" s="1">
        <f t="shared" ca="1" si="126"/>
        <v>470</v>
      </c>
      <c r="S171" s="1"/>
      <c r="T171" s="1">
        <f t="shared" ca="1" si="127"/>
        <v>8.3227799595353716E-2</v>
      </c>
      <c r="U171" s="1">
        <f t="shared" ca="1" si="128"/>
        <v>327</v>
      </c>
      <c r="V171" s="1">
        <f t="shared" ca="1" si="129"/>
        <v>31</v>
      </c>
      <c r="W171" s="1"/>
      <c r="X171" s="1">
        <f t="shared" ca="1" si="130"/>
        <v>5.5344976667324319</v>
      </c>
      <c r="Y171" s="1">
        <f t="shared" ca="1" si="131"/>
        <v>0.36478124471867845</v>
      </c>
      <c r="Z171" s="1">
        <f t="shared" ca="1" si="132"/>
        <v>1858</v>
      </c>
      <c r="AB171" s="1">
        <f t="shared" ca="1" si="133"/>
        <v>0.67779458394787606</v>
      </c>
      <c r="AC171" s="1">
        <f t="shared" ca="1" si="134"/>
        <v>157</v>
      </c>
      <c r="AD171" s="1">
        <f t="shared" ca="1" si="135"/>
        <v>9.665191045357565E-3</v>
      </c>
      <c r="AE171" s="1"/>
      <c r="AF171" s="1">
        <f t="shared" ca="1" si="136"/>
        <v>0.56860117573070212</v>
      </c>
      <c r="AG171" s="1">
        <f t="shared" ca="1" si="137"/>
        <v>172</v>
      </c>
      <c r="AH171" s="1">
        <f t="shared" ca="1" si="138"/>
        <v>8.5981214725661245E-4</v>
      </c>
      <c r="AJ171" s="1">
        <f t="shared" ca="1" si="139"/>
        <v>0.87100552803219</v>
      </c>
      <c r="AK171" s="1">
        <f t="shared" ca="1" si="140"/>
        <v>8.607714416132119E-3</v>
      </c>
      <c r="AL171" s="1"/>
      <c r="AM171" s="1">
        <f t="shared" ca="1" si="141"/>
        <v>3.5187838718421911E-2</v>
      </c>
      <c r="AN171" s="1">
        <f t="shared" ca="1" si="142"/>
        <v>37</v>
      </c>
      <c r="AO171" s="1">
        <f t="shared" ca="1" si="143"/>
        <v>12</v>
      </c>
      <c r="AQ171" s="1">
        <f t="shared" ca="1" si="144"/>
        <v>87</v>
      </c>
      <c r="AR171" s="1">
        <f t="shared" ca="1" si="145"/>
        <v>1</v>
      </c>
      <c r="AS171" s="1">
        <f t="shared" ca="1" si="146"/>
        <v>22</v>
      </c>
      <c r="AU171" s="1">
        <f t="shared" ca="1" si="147"/>
        <v>253</v>
      </c>
      <c r="AV171" s="1">
        <f t="shared" ca="1" si="148"/>
        <v>8</v>
      </c>
      <c r="AW171" s="1">
        <f t="shared" ca="1" si="149"/>
        <v>2.0456867256266387E-2</v>
      </c>
      <c r="AY171" s="1">
        <f t="shared" ca="1" si="150"/>
        <v>1.8432678779919311</v>
      </c>
      <c r="AZ171" s="1">
        <f t="shared" ca="1" si="151"/>
        <v>75</v>
      </c>
      <c r="BA171" s="1">
        <f t="shared" ca="1" si="152"/>
        <v>9.6827313274943094E-3</v>
      </c>
      <c r="BV171" s="1">
        <f t="shared" ca="1" si="153"/>
        <v>0.76968340338033936</v>
      </c>
      <c r="BW171" s="1">
        <f t="shared" ca="1" si="154"/>
        <v>873</v>
      </c>
      <c r="BX171" s="1">
        <f t="shared" ca="1" si="155"/>
        <v>5.3311313229252094E-3</v>
      </c>
      <c r="BY171" s="1">
        <f t="shared" ca="1" si="156"/>
        <v>3.7414449933025423E-2</v>
      </c>
      <c r="BZ171" s="1">
        <f t="shared" ca="1" si="157"/>
        <v>2.4461442105756515E-2</v>
      </c>
      <c r="CB171" s="1">
        <f t="shared" ca="1" si="158"/>
        <v>197</v>
      </c>
      <c r="CC171" s="1">
        <f t="shared" ca="1" si="159"/>
        <v>12</v>
      </c>
      <c r="CD171" s="1">
        <f t="shared" ca="1" si="160"/>
        <v>0.24899388992090263</v>
      </c>
      <c r="CE171" s="1">
        <f t="shared" ca="1" si="170"/>
        <v>0.70668650710847292</v>
      </c>
      <c r="CF171" s="1">
        <f t="shared" ca="1" si="170"/>
        <v>0.95681507768752705</v>
      </c>
      <c r="CH171" s="3">
        <f t="shared" ca="1" si="162"/>
        <v>3.2889048032153978E-2</v>
      </c>
      <c r="CI171" s="3">
        <f t="shared" ca="1" si="163"/>
        <v>0.30158115135188485</v>
      </c>
      <c r="CJ171" s="3">
        <f t="shared" ca="1" si="164"/>
        <v>345</v>
      </c>
      <c r="CK171" s="3">
        <f t="shared" ca="1" si="165"/>
        <v>5.4631046194426238E-3</v>
      </c>
      <c r="CL171" s="3">
        <f t="shared" ca="1" si="166"/>
        <v>1</v>
      </c>
      <c r="CM171" s="3"/>
      <c r="CN171" s="1">
        <f t="shared" ca="1" si="167"/>
        <v>13.751534734803048</v>
      </c>
      <c r="CO171" s="1">
        <f t="shared" ca="1" si="168"/>
        <v>3.3982558732975385E-2</v>
      </c>
      <c r="CP171" s="1">
        <f t="shared" ca="1" si="169"/>
        <v>4</v>
      </c>
    </row>
    <row r="172" spans="2:94" x14ac:dyDescent="0.25">
      <c r="B172">
        <f t="shared" ca="1" si="114"/>
        <v>191</v>
      </c>
      <c r="C172">
        <f t="shared" ca="1" si="115"/>
        <v>41</v>
      </c>
      <c r="D172">
        <f t="shared" ca="1" si="116"/>
        <v>5.731386089269791E-2</v>
      </c>
      <c r="F172" s="1">
        <f t="shared" ca="1" si="117"/>
        <v>25</v>
      </c>
      <c r="G172" s="1">
        <f t="shared" ca="1" si="118"/>
        <v>12</v>
      </c>
      <c r="H172" s="1">
        <f t="shared" ca="1" si="119"/>
        <v>1</v>
      </c>
      <c r="I172" s="1"/>
      <c r="J172" s="1">
        <f t="shared" ca="1" si="120"/>
        <v>1</v>
      </c>
      <c r="K172" s="1">
        <f t="shared" ca="1" si="121"/>
        <v>2.7152634466994936</v>
      </c>
      <c r="L172" s="1">
        <f t="shared" ca="1" si="122"/>
        <v>14</v>
      </c>
      <c r="M172" s="1"/>
      <c r="N172" s="1">
        <f t="shared" ca="1" si="123"/>
        <v>772</v>
      </c>
      <c r="O172" s="1">
        <f t="shared" ca="1" si="124"/>
        <v>20</v>
      </c>
      <c r="P172" s="1"/>
      <c r="Q172" s="1">
        <f t="shared" ca="1" si="125"/>
        <v>0.73035816507229345</v>
      </c>
      <c r="R172" s="1">
        <f t="shared" ca="1" si="126"/>
        <v>470</v>
      </c>
      <c r="S172" s="1"/>
      <c r="T172" s="1">
        <f t="shared" ca="1" si="127"/>
        <v>0.19160301389869697</v>
      </c>
      <c r="U172" s="1">
        <f t="shared" ca="1" si="128"/>
        <v>299</v>
      </c>
      <c r="V172" s="1">
        <f t="shared" ca="1" si="129"/>
        <v>25</v>
      </c>
      <c r="W172" s="1"/>
      <c r="X172" s="1">
        <f t="shared" ca="1" si="130"/>
        <v>5.9299010778820778</v>
      </c>
      <c r="Y172" s="1">
        <f t="shared" ca="1" si="131"/>
        <v>0.37893063668462251</v>
      </c>
      <c r="Z172" s="1">
        <f t="shared" ca="1" si="132"/>
        <v>1831</v>
      </c>
      <c r="AB172" s="1">
        <f t="shared" ca="1" si="133"/>
        <v>0.68764236722180438</v>
      </c>
      <c r="AC172" s="1">
        <f t="shared" ca="1" si="134"/>
        <v>862</v>
      </c>
      <c r="AD172" s="1">
        <f t="shared" ca="1" si="135"/>
        <v>2.6958108886469536E-3</v>
      </c>
      <c r="AE172" s="1"/>
      <c r="AF172" s="1">
        <f t="shared" ca="1" si="136"/>
        <v>0.30399015783053984</v>
      </c>
      <c r="AG172" s="1">
        <f t="shared" ca="1" si="137"/>
        <v>874</v>
      </c>
      <c r="AH172" s="1">
        <f t="shared" ca="1" si="138"/>
        <v>4.2798220840258375E-3</v>
      </c>
      <c r="AJ172" s="1">
        <f t="shared" ca="1" si="139"/>
        <v>0.74168399569916277</v>
      </c>
      <c r="AK172" s="1">
        <f t="shared" ca="1" si="140"/>
        <v>5.2856036117605431E-3</v>
      </c>
      <c r="AL172" s="1"/>
      <c r="AM172" s="1">
        <f t="shared" ca="1" si="141"/>
        <v>0.15036689863801808</v>
      </c>
      <c r="AN172" s="1">
        <f t="shared" ca="1" si="142"/>
        <v>64</v>
      </c>
      <c r="AO172" s="1">
        <f t="shared" ca="1" si="143"/>
        <v>9</v>
      </c>
      <c r="AQ172" s="1">
        <f t="shared" ca="1" si="144"/>
        <v>70</v>
      </c>
      <c r="AR172" s="1">
        <f t="shared" ca="1" si="145"/>
        <v>3</v>
      </c>
      <c r="AS172" s="1">
        <f t="shared" ca="1" si="146"/>
        <v>36</v>
      </c>
      <c r="AU172" s="1">
        <f t="shared" ca="1" si="147"/>
        <v>160</v>
      </c>
      <c r="AV172" s="1">
        <f t="shared" ca="1" si="148"/>
        <v>5</v>
      </c>
      <c r="AW172" s="1">
        <f t="shared" ca="1" si="149"/>
        <v>0.16754095204771696</v>
      </c>
      <c r="AY172" s="1">
        <f t="shared" ca="1" si="150"/>
        <v>1.4848208689106102</v>
      </c>
      <c r="AZ172" s="1">
        <f t="shared" ca="1" si="151"/>
        <v>73</v>
      </c>
      <c r="BA172" s="1">
        <f t="shared" ca="1" si="152"/>
        <v>7.7867707711285223E-3</v>
      </c>
      <c r="BV172" s="1">
        <f t="shared" ca="1" si="153"/>
        <v>0.90302778589793253</v>
      </c>
      <c r="BW172" s="1">
        <f t="shared" ca="1" si="154"/>
        <v>771</v>
      </c>
      <c r="BX172" s="1">
        <f t="shared" ca="1" si="155"/>
        <v>9.2978758642567761E-3</v>
      </c>
      <c r="BY172" s="1">
        <f t="shared" ca="1" si="156"/>
        <v>9.0385465718487198E-2</v>
      </c>
      <c r="BZ172" s="1">
        <f t="shared" ca="1" si="157"/>
        <v>0.73159791310009803</v>
      </c>
      <c r="CB172" s="1">
        <f t="shared" ca="1" si="158"/>
        <v>187</v>
      </c>
      <c r="CC172" s="1">
        <f t="shared" ca="1" si="159"/>
        <v>12</v>
      </c>
      <c r="CD172" s="1">
        <f t="shared" ca="1" si="160"/>
        <v>0.17693996460591702</v>
      </c>
      <c r="CE172" s="1">
        <f t="shared" ca="1" si="170"/>
        <v>0.59544322659042281</v>
      </c>
      <c r="CF172" s="1">
        <f t="shared" ca="1" si="170"/>
        <v>0.81150908851645154</v>
      </c>
      <c r="CH172" s="3">
        <f t="shared" ca="1" si="162"/>
        <v>0.4079537322124891</v>
      </c>
      <c r="CI172" s="3">
        <f t="shared" ca="1" si="163"/>
        <v>8.8615165171193985E-2</v>
      </c>
      <c r="CJ172" s="3">
        <f t="shared" ca="1" si="164"/>
        <v>1268</v>
      </c>
      <c r="CK172" s="3">
        <f t="shared" ca="1" si="165"/>
        <v>8.185166615382539E-3</v>
      </c>
      <c r="CL172" s="3">
        <f t="shared" ca="1" si="166"/>
        <v>0</v>
      </c>
      <c r="CM172" s="3"/>
      <c r="CN172" s="1">
        <f t="shared" ca="1" si="167"/>
        <v>19.544459231013782</v>
      </c>
      <c r="CO172" s="1">
        <f t="shared" ca="1" si="168"/>
        <v>0.47213899116481645</v>
      </c>
      <c r="CP172" s="1">
        <f t="shared" ca="1" si="169"/>
        <v>2</v>
      </c>
    </row>
    <row r="173" spans="2:94" x14ac:dyDescent="0.25">
      <c r="B173">
        <f t="shared" ca="1" si="114"/>
        <v>95</v>
      </c>
      <c r="C173">
        <f t="shared" ca="1" si="115"/>
        <v>39</v>
      </c>
      <c r="D173">
        <f t="shared" ca="1" si="116"/>
        <v>5.9212967561627493E-2</v>
      </c>
      <c r="F173" s="1">
        <f t="shared" ca="1" si="117"/>
        <v>33</v>
      </c>
      <c r="G173" s="1">
        <f t="shared" ca="1" si="118"/>
        <v>17</v>
      </c>
      <c r="H173" s="1">
        <f t="shared" ca="1" si="119"/>
        <v>4</v>
      </c>
      <c r="I173" s="1"/>
      <c r="J173" s="1">
        <f t="shared" ca="1" si="120"/>
        <v>22</v>
      </c>
      <c r="K173" s="1">
        <f t="shared" ca="1" si="121"/>
        <v>1.1288414692865207</v>
      </c>
      <c r="L173" s="1">
        <f t="shared" ca="1" si="122"/>
        <v>17</v>
      </c>
      <c r="M173" s="1"/>
      <c r="N173" s="1">
        <f t="shared" ca="1" si="123"/>
        <v>870</v>
      </c>
      <c r="O173" s="1">
        <f t="shared" ca="1" si="124"/>
        <v>25</v>
      </c>
      <c r="P173" s="1"/>
      <c r="Q173" s="1">
        <f t="shared" ca="1" si="125"/>
        <v>1.6820806086358673</v>
      </c>
      <c r="R173" s="1">
        <f t="shared" ca="1" si="126"/>
        <v>1037</v>
      </c>
      <c r="S173" s="1"/>
      <c r="T173" s="1">
        <f t="shared" ca="1" si="127"/>
        <v>8.1364439553906501E-2</v>
      </c>
      <c r="U173" s="1">
        <f t="shared" ca="1" si="128"/>
        <v>441</v>
      </c>
      <c r="V173" s="1">
        <f t="shared" ca="1" si="129"/>
        <v>33</v>
      </c>
      <c r="W173" s="1"/>
      <c r="X173" s="1">
        <f t="shared" ca="1" si="130"/>
        <v>7.0591457833591891</v>
      </c>
      <c r="Y173" s="1">
        <f t="shared" ca="1" si="131"/>
        <v>0.10697887744080554</v>
      </c>
      <c r="Z173" s="1">
        <f t="shared" ca="1" si="132"/>
        <v>368</v>
      </c>
      <c r="AB173" s="1">
        <f t="shared" ca="1" si="133"/>
        <v>0.33972785451742227</v>
      </c>
      <c r="AC173" s="1">
        <f t="shared" ca="1" si="134"/>
        <v>200</v>
      </c>
      <c r="AD173" s="1">
        <f t="shared" ca="1" si="135"/>
        <v>8.176949139144735E-3</v>
      </c>
      <c r="AE173" s="1"/>
      <c r="AF173" s="1">
        <f t="shared" ca="1" si="136"/>
        <v>0.40019384474198227</v>
      </c>
      <c r="AG173" s="1">
        <f t="shared" ca="1" si="137"/>
        <v>176</v>
      </c>
      <c r="AH173" s="1">
        <f t="shared" ca="1" si="138"/>
        <v>5.6620251863010061E-3</v>
      </c>
      <c r="AJ173" s="1">
        <f t="shared" ca="1" si="139"/>
        <v>0.24981518397901725</v>
      </c>
      <c r="AK173" s="1">
        <f t="shared" ca="1" si="140"/>
        <v>4.4116677637635066E-3</v>
      </c>
      <c r="AL173" s="1"/>
      <c r="AM173" s="1">
        <f t="shared" ca="1" si="141"/>
        <v>6.8727969780015108E-2</v>
      </c>
      <c r="AN173" s="1">
        <f t="shared" ca="1" si="142"/>
        <v>17</v>
      </c>
      <c r="AO173" s="1">
        <f t="shared" ca="1" si="143"/>
        <v>3</v>
      </c>
      <c r="AQ173" s="1">
        <f t="shared" ca="1" si="144"/>
        <v>127</v>
      </c>
      <c r="AR173" s="1">
        <f t="shared" ca="1" si="145"/>
        <v>5</v>
      </c>
      <c r="AS173" s="1">
        <f t="shared" ca="1" si="146"/>
        <v>59</v>
      </c>
      <c r="AU173" s="1">
        <f t="shared" ca="1" si="147"/>
        <v>215</v>
      </c>
      <c r="AV173" s="1">
        <f t="shared" ca="1" si="148"/>
        <v>4</v>
      </c>
      <c r="AW173" s="1">
        <f t="shared" ca="1" si="149"/>
        <v>0.12541186068283405</v>
      </c>
      <c r="AY173" s="1">
        <f t="shared" ca="1" si="150"/>
        <v>1.2062259069960266</v>
      </c>
      <c r="AZ173" s="1">
        <f t="shared" ca="1" si="151"/>
        <v>483</v>
      </c>
      <c r="BA173" s="1">
        <f t="shared" ca="1" si="152"/>
        <v>9.0386353920741524E-3</v>
      </c>
      <c r="BV173" s="1">
        <f t="shared" ca="1" si="153"/>
        <v>0.90213919855162317</v>
      </c>
      <c r="BW173" s="1">
        <f t="shared" ca="1" si="154"/>
        <v>760</v>
      </c>
      <c r="BX173" s="1">
        <f t="shared" ca="1" si="155"/>
        <v>5.3578980697458504E-3</v>
      </c>
      <c r="BY173" s="1">
        <f t="shared" ca="1" si="156"/>
        <v>4.2049529371211182E-2</v>
      </c>
      <c r="BZ173" s="1">
        <f t="shared" ca="1" si="157"/>
        <v>0.59762893313630949</v>
      </c>
      <c r="CB173" s="1">
        <f t="shared" ca="1" si="158"/>
        <v>138</v>
      </c>
      <c r="CC173" s="1">
        <f t="shared" ca="1" si="159"/>
        <v>15</v>
      </c>
      <c r="CD173" s="1">
        <f t="shared" ca="1" si="160"/>
        <v>0.26668104541523702</v>
      </c>
      <c r="CE173" s="1">
        <f t="shared" ca="1" si="170"/>
        <v>0.71132380190675704</v>
      </c>
      <c r="CF173" s="1">
        <f t="shared" ca="1" si="170"/>
        <v>0.57683925856424345</v>
      </c>
      <c r="CH173" s="3">
        <f t="shared" ca="1" si="162"/>
        <v>2.5368042537214423E-2</v>
      </c>
      <c r="CI173" s="3">
        <f t="shared" ca="1" si="163"/>
        <v>0.30543930994410606</v>
      </c>
      <c r="CJ173" s="3">
        <f t="shared" ca="1" si="164"/>
        <v>1078</v>
      </c>
      <c r="CK173" s="3">
        <f t="shared" ca="1" si="165"/>
        <v>2.3661628177747752E-3</v>
      </c>
      <c r="CL173" s="3">
        <f t="shared" ca="1" si="166"/>
        <v>0</v>
      </c>
      <c r="CM173" s="3"/>
      <c r="CN173" s="1">
        <f t="shared" ca="1" si="167"/>
        <v>11.164826053523033</v>
      </c>
      <c r="CO173" s="1">
        <f t="shared" ca="1" si="168"/>
        <v>0.1431953123193892</v>
      </c>
      <c r="CP173" s="1">
        <f t="shared" ca="1" si="169"/>
        <v>2</v>
      </c>
    </row>
    <row r="174" spans="2:94" x14ac:dyDescent="0.25">
      <c r="B174">
        <f t="shared" ca="1" si="114"/>
        <v>694</v>
      </c>
      <c r="C174">
        <f t="shared" ca="1" si="115"/>
        <v>47</v>
      </c>
      <c r="D174">
        <f t="shared" ca="1" si="116"/>
        <v>0.15773657489256906</v>
      </c>
      <c r="F174" s="1">
        <f t="shared" ca="1" si="117"/>
        <v>43</v>
      </c>
      <c r="G174" s="1">
        <f t="shared" ca="1" si="118"/>
        <v>4</v>
      </c>
      <c r="H174" s="1">
        <f t="shared" ca="1" si="119"/>
        <v>5</v>
      </c>
      <c r="I174" s="1"/>
      <c r="J174" s="1">
        <f t="shared" ca="1" si="120"/>
        <v>20</v>
      </c>
      <c r="K174" s="1">
        <f t="shared" ca="1" si="121"/>
        <v>1.0525782518063123</v>
      </c>
      <c r="L174" s="1">
        <f t="shared" ca="1" si="122"/>
        <v>8</v>
      </c>
      <c r="M174" s="1"/>
      <c r="N174" s="1">
        <f t="shared" ca="1" si="123"/>
        <v>36</v>
      </c>
      <c r="O174" s="1">
        <f t="shared" ca="1" si="124"/>
        <v>22</v>
      </c>
      <c r="P174" s="1"/>
      <c r="Q174" s="1">
        <f t="shared" ca="1" si="125"/>
        <v>4.4753477548049849</v>
      </c>
      <c r="R174" s="1">
        <f t="shared" ca="1" si="126"/>
        <v>222</v>
      </c>
      <c r="S174" s="1"/>
      <c r="T174" s="1">
        <f t="shared" ca="1" si="127"/>
        <v>0.1582590969096257</v>
      </c>
      <c r="U174" s="1">
        <f t="shared" ca="1" si="128"/>
        <v>346</v>
      </c>
      <c r="V174" s="1">
        <f t="shared" ca="1" si="129"/>
        <v>32</v>
      </c>
      <c r="W174" s="1"/>
      <c r="X174" s="1">
        <f t="shared" ca="1" si="130"/>
        <v>7.066453120288843</v>
      </c>
      <c r="Y174" s="1">
        <f t="shared" ca="1" si="131"/>
        <v>0.47539123181115528</v>
      </c>
      <c r="Z174" s="1">
        <f t="shared" ca="1" si="132"/>
        <v>1353</v>
      </c>
      <c r="AB174" s="1">
        <f t="shared" ca="1" si="133"/>
        <v>0.93730950846561556</v>
      </c>
      <c r="AC174" s="1">
        <f t="shared" ca="1" si="134"/>
        <v>497</v>
      </c>
      <c r="AD174" s="1">
        <f t="shared" ca="1" si="135"/>
        <v>2.1912197957937403E-3</v>
      </c>
      <c r="AE174" s="1"/>
      <c r="AF174" s="1">
        <f t="shared" ca="1" si="136"/>
        <v>0.83248786989005108</v>
      </c>
      <c r="AG174" s="1">
        <f t="shared" ca="1" si="137"/>
        <v>562</v>
      </c>
      <c r="AH174" s="1">
        <f t="shared" ca="1" si="138"/>
        <v>8.7952980313262777E-4</v>
      </c>
      <c r="AJ174" s="1">
        <f t="shared" ca="1" si="139"/>
        <v>0.70517001509593791</v>
      </c>
      <c r="AK174" s="1">
        <f t="shared" ca="1" si="140"/>
        <v>5.8920950382970287E-3</v>
      </c>
      <c r="AL174" s="1"/>
      <c r="AM174" s="1">
        <f t="shared" ca="1" si="141"/>
        <v>2.044677279411377E-2</v>
      </c>
      <c r="AN174" s="1">
        <f t="shared" ca="1" si="142"/>
        <v>13</v>
      </c>
      <c r="AO174" s="1">
        <f t="shared" ca="1" si="143"/>
        <v>14</v>
      </c>
      <c r="AQ174" s="1">
        <f t="shared" ca="1" si="144"/>
        <v>73</v>
      </c>
      <c r="AR174" s="1">
        <f t="shared" ca="1" si="145"/>
        <v>3</v>
      </c>
      <c r="AS174" s="1">
        <f t="shared" ca="1" si="146"/>
        <v>69</v>
      </c>
      <c r="AU174" s="1">
        <f t="shared" ca="1" si="147"/>
        <v>52</v>
      </c>
      <c r="AV174" s="1">
        <f t="shared" ca="1" si="148"/>
        <v>9</v>
      </c>
      <c r="AW174" s="1">
        <f t="shared" ca="1" si="149"/>
        <v>6.8438859129407434E-2</v>
      </c>
      <c r="AY174" s="1">
        <f t="shared" ca="1" si="150"/>
        <v>1.5004329847570927</v>
      </c>
      <c r="AZ174" s="1">
        <f t="shared" ca="1" si="151"/>
        <v>492</v>
      </c>
      <c r="BA174" s="1">
        <f t="shared" ca="1" si="152"/>
        <v>3.9224548377785884E-3</v>
      </c>
      <c r="BV174" s="1">
        <f t="shared" ca="1" si="153"/>
        <v>8.4911571360223537E-2</v>
      </c>
      <c r="BW174" s="1">
        <f t="shared" ca="1" si="154"/>
        <v>674</v>
      </c>
      <c r="BX174" s="1">
        <f t="shared" ca="1" si="155"/>
        <v>9.0797180008109664E-3</v>
      </c>
      <c r="BY174" s="1">
        <f t="shared" ca="1" si="156"/>
        <v>5.5828976883210889E-2</v>
      </c>
      <c r="BZ174" s="1">
        <f t="shared" ca="1" si="157"/>
        <v>0.97269152470502396</v>
      </c>
      <c r="CB174" s="1">
        <f t="shared" ca="1" si="158"/>
        <v>389</v>
      </c>
      <c r="CC174" s="1">
        <f t="shared" ca="1" si="159"/>
        <v>15</v>
      </c>
      <c r="CD174" s="1">
        <f t="shared" ca="1" si="160"/>
        <v>0.15650639144377418</v>
      </c>
      <c r="CE174" s="1">
        <f t="shared" ca="1" si="170"/>
        <v>0.6561744978739763</v>
      </c>
      <c r="CF174" s="1">
        <f t="shared" ca="1" si="170"/>
        <v>0.93049405356518367</v>
      </c>
      <c r="CH174" s="3">
        <f t="shared" ca="1" si="162"/>
        <v>0.59224204739683939</v>
      </c>
      <c r="CI174" s="3">
        <f t="shared" ca="1" si="163"/>
        <v>0.75157764135242999</v>
      </c>
      <c r="CJ174" s="3">
        <f t="shared" ca="1" si="164"/>
        <v>1269</v>
      </c>
      <c r="CK174" s="3">
        <f t="shared" ca="1" si="165"/>
        <v>4.6292601825832199E-3</v>
      </c>
      <c r="CL174" s="3">
        <f t="shared" ca="1" si="166"/>
        <v>1</v>
      </c>
      <c r="CM174" s="3"/>
      <c r="CN174" s="1">
        <f t="shared" ca="1" si="167"/>
        <v>2.1126153003864863</v>
      </c>
      <c r="CO174" s="1">
        <f t="shared" ca="1" si="168"/>
        <v>0.31755137883387757</v>
      </c>
      <c r="CP174" s="1">
        <f t="shared" ca="1" si="169"/>
        <v>2</v>
      </c>
    </row>
    <row r="175" spans="2:94" x14ac:dyDescent="0.25">
      <c r="B175">
        <f t="shared" ca="1" si="114"/>
        <v>763</v>
      </c>
      <c r="C175">
        <f t="shared" ca="1" si="115"/>
        <v>5</v>
      </c>
      <c r="D175">
        <f t="shared" ca="1" si="116"/>
        <v>0.17772640770261261</v>
      </c>
      <c r="F175" s="1">
        <f t="shared" ca="1" si="117"/>
        <v>17</v>
      </c>
      <c r="G175" s="1">
        <f t="shared" ca="1" si="118"/>
        <v>16</v>
      </c>
      <c r="H175" s="1">
        <f t="shared" ca="1" si="119"/>
        <v>7</v>
      </c>
      <c r="I175" s="1"/>
      <c r="J175" s="1">
        <f t="shared" ca="1" si="120"/>
        <v>16</v>
      </c>
      <c r="K175" s="1">
        <f t="shared" ca="1" si="121"/>
        <v>1.7231063052709654</v>
      </c>
      <c r="L175" s="1">
        <f t="shared" ca="1" si="122"/>
        <v>12</v>
      </c>
      <c r="M175" s="1"/>
      <c r="N175" s="1">
        <f t="shared" ca="1" si="123"/>
        <v>384</v>
      </c>
      <c r="O175" s="1">
        <f t="shared" ca="1" si="124"/>
        <v>3</v>
      </c>
      <c r="P175" s="1"/>
      <c r="Q175" s="1">
        <f t="shared" ca="1" si="125"/>
        <v>3.1030702923154374</v>
      </c>
      <c r="R175" s="1">
        <f t="shared" ca="1" si="126"/>
        <v>302</v>
      </c>
      <c r="S175" s="1"/>
      <c r="T175" s="1">
        <f t="shared" ca="1" si="127"/>
        <v>1.8565624937159644E-2</v>
      </c>
      <c r="U175" s="1">
        <f t="shared" ca="1" si="128"/>
        <v>260</v>
      </c>
      <c r="V175" s="1">
        <f t="shared" ca="1" si="129"/>
        <v>48</v>
      </c>
      <c r="W175" s="1"/>
      <c r="X175" s="1">
        <f t="shared" ca="1" si="130"/>
        <v>0.28901096098641288</v>
      </c>
      <c r="Y175" s="1">
        <f t="shared" ca="1" si="131"/>
        <v>0.36695100180390938</v>
      </c>
      <c r="Z175" s="1">
        <f t="shared" ca="1" si="132"/>
        <v>1879</v>
      </c>
      <c r="AB175" s="1">
        <f t="shared" ca="1" si="133"/>
        <v>0.31844269674099451</v>
      </c>
      <c r="AC175" s="1">
        <f t="shared" ca="1" si="134"/>
        <v>578</v>
      </c>
      <c r="AD175" s="1">
        <f t="shared" ca="1" si="135"/>
        <v>5.4688984585321366E-3</v>
      </c>
      <c r="AE175" s="1"/>
      <c r="AF175" s="1">
        <f t="shared" ca="1" si="136"/>
        <v>0.73325578885679576</v>
      </c>
      <c r="AG175" s="1">
        <f t="shared" ca="1" si="137"/>
        <v>976</v>
      </c>
      <c r="AH175" s="1">
        <f t="shared" ca="1" si="138"/>
        <v>3.04647739263282E-4</v>
      </c>
      <c r="AJ175" s="1">
        <f t="shared" ca="1" si="139"/>
        <v>0.23654450885061495</v>
      </c>
      <c r="AK175" s="1">
        <f t="shared" ca="1" si="140"/>
        <v>8.6849906662484211E-3</v>
      </c>
      <c r="AL175" s="1"/>
      <c r="AM175" s="1">
        <f t="shared" ca="1" si="141"/>
        <v>0.19236516587531519</v>
      </c>
      <c r="AN175" s="1">
        <f t="shared" ca="1" si="142"/>
        <v>35</v>
      </c>
      <c r="AO175" s="1">
        <f t="shared" ca="1" si="143"/>
        <v>4</v>
      </c>
      <c r="AQ175" s="1">
        <f t="shared" ca="1" si="144"/>
        <v>67</v>
      </c>
      <c r="AR175" s="1">
        <f t="shared" ca="1" si="145"/>
        <v>5</v>
      </c>
      <c r="AS175" s="1">
        <f t="shared" ca="1" si="146"/>
        <v>4</v>
      </c>
      <c r="AU175" s="1">
        <f t="shared" ca="1" si="147"/>
        <v>64</v>
      </c>
      <c r="AV175" s="1">
        <f t="shared" ca="1" si="148"/>
        <v>4</v>
      </c>
      <c r="AW175" s="1">
        <f t="shared" ca="1" si="149"/>
        <v>0.15582403269265682</v>
      </c>
      <c r="AY175" s="1">
        <f t="shared" ca="1" si="150"/>
        <v>1.5899364142670389</v>
      </c>
      <c r="AZ175" s="1">
        <f t="shared" ca="1" si="151"/>
        <v>105</v>
      </c>
      <c r="BA175" s="1">
        <f t="shared" ca="1" si="152"/>
        <v>8.6623781349801641E-4</v>
      </c>
      <c r="BV175" s="1">
        <f t="shared" ca="1" si="153"/>
        <v>0.92853341360133412</v>
      </c>
      <c r="BW175" s="1">
        <f t="shared" ca="1" si="154"/>
        <v>531</v>
      </c>
      <c r="BX175" s="1">
        <f t="shared" ca="1" si="155"/>
        <v>5.5957321912636715E-3</v>
      </c>
      <c r="BY175" s="1">
        <f t="shared" ca="1" si="156"/>
        <v>4.883920872218895E-2</v>
      </c>
      <c r="BZ175" s="1">
        <f t="shared" ca="1" si="157"/>
        <v>0.37916127272176692</v>
      </c>
      <c r="CB175" s="1">
        <f t="shared" ca="1" si="158"/>
        <v>291</v>
      </c>
      <c r="CC175" s="1">
        <f t="shared" ca="1" si="159"/>
        <v>7</v>
      </c>
      <c r="CD175" s="1">
        <f t="shared" ca="1" si="160"/>
        <v>0.16164016330730765</v>
      </c>
      <c r="CE175" s="1">
        <f t="shared" ca="1" si="170"/>
        <v>0.52117065119180572</v>
      </c>
      <c r="CF175" s="1">
        <f t="shared" ca="1" si="170"/>
        <v>0.65861624357288739</v>
      </c>
      <c r="CH175" s="3">
        <f t="shared" ca="1" si="162"/>
        <v>0.50188069777383537</v>
      </c>
      <c r="CI175" s="3">
        <f t="shared" ca="1" si="163"/>
        <v>0.1211946097841167</v>
      </c>
      <c r="CJ175" s="3">
        <f t="shared" ca="1" si="164"/>
        <v>328</v>
      </c>
      <c r="CK175" s="3">
        <f t="shared" ca="1" si="165"/>
        <v>4.1409801715749745E-3</v>
      </c>
      <c r="CL175" s="3">
        <f t="shared" ca="1" si="166"/>
        <v>1</v>
      </c>
      <c r="CM175" s="3"/>
      <c r="CN175" s="1">
        <f t="shared" ca="1" si="167"/>
        <v>1.090275987408531</v>
      </c>
      <c r="CO175" s="1">
        <f t="shared" ca="1" si="168"/>
        <v>0.48175865933668616</v>
      </c>
      <c r="CP175" s="1">
        <f t="shared" ca="1" si="169"/>
        <v>4</v>
      </c>
    </row>
    <row r="176" spans="2:94" x14ac:dyDescent="0.25">
      <c r="B176">
        <f t="shared" ca="1" si="114"/>
        <v>157</v>
      </c>
      <c r="C176">
        <f t="shared" ca="1" si="115"/>
        <v>35</v>
      </c>
      <c r="D176">
        <f t="shared" ca="1" si="116"/>
        <v>0.27024145722033915</v>
      </c>
      <c r="F176" s="1">
        <f t="shared" ca="1" si="117"/>
        <v>28</v>
      </c>
      <c r="G176" s="1">
        <f t="shared" ca="1" si="118"/>
        <v>24</v>
      </c>
      <c r="H176" s="1">
        <f t="shared" ca="1" si="119"/>
        <v>10</v>
      </c>
      <c r="I176" s="1"/>
      <c r="J176" s="1">
        <f t="shared" ca="1" si="120"/>
        <v>28</v>
      </c>
      <c r="K176" s="1">
        <f t="shared" ca="1" si="121"/>
        <v>1.8575783165809185</v>
      </c>
      <c r="L176" s="1">
        <f t="shared" ca="1" si="122"/>
        <v>19</v>
      </c>
      <c r="M176" s="1"/>
      <c r="N176" s="1">
        <f t="shared" ca="1" si="123"/>
        <v>627</v>
      </c>
      <c r="O176" s="1">
        <f t="shared" ca="1" si="124"/>
        <v>32</v>
      </c>
      <c r="P176" s="1"/>
      <c r="Q176" s="1">
        <f t="shared" ca="1" si="125"/>
        <v>2.3265302314277299</v>
      </c>
      <c r="R176" s="1">
        <f t="shared" ca="1" si="126"/>
        <v>1097</v>
      </c>
      <c r="S176" s="1"/>
      <c r="T176" s="1">
        <f t="shared" ca="1" si="127"/>
        <v>0.10812445344600331</v>
      </c>
      <c r="U176" s="1">
        <f t="shared" ca="1" si="128"/>
        <v>216</v>
      </c>
      <c r="V176" s="1">
        <f t="shared" ca="1" si="129"/>
        <v>19</v>
      </c>
      <c r="W176" s="1"/>
      <c r="X176" s="1">
        <f t="shared" ca="1" si="130"/>
        <v>2.3092418787465272</v>
      </c>
      <c r="Y176" s="1">
        <f t="shared" ca="1" si="131"/>
        <v>0.71660989660901409</v>
      </c>
      <c r="Z176" s="1">
        <f t="shared" ca="1" si="132"/>
        <v>275</v>
      </c>
      <c r="AB176" s="1">
        <f t="shared" ca="1" si="133"/>
        <v>0.14528433574233135</v>
      </c>
      <c r="AC176" s="1">
        <f t="shared" ca="1" si="134"/>
        <v>396</v>
      </c>
      <c r="AD176" s="1">
        <f t="shared" ca="1" si="135"/>
        <v>8.5888515508797756E-3</v>
      </c>
      <c r="AE176" s="1"/>
      <c r="AF176" s="1">
        <f t="shared" ca="1" si="136"/>
        <v>0.20385002281128514</v>
      </c>
      <c r="AG176" s="1">
        <f t="shared" ca="1" si="137"/>
        <v>767</v>
      </c>
      <c r="AH176" s="1">
        <f t="shared" ca="1" si="138"/>
        <v>7.2824740474890966E-3</v>
      </c>
      <c r="AJ176" s="1">
        <f t="shared" ca="1" si="139"/>
        <v>9.4878175314665136E-2</v>
      </c>
      <c r="AK176" s="1">
        <f t="shared" ca="1" si="140"/>
        <v>4.4789904401437231E-3</v>
      </c>
      <c r="AL176" s="1"/>
      <c r="AM176" s="1">
        <f t="shared" ca="1" si="141"/>
        <v>0.18356991068743667</v>
      </c>
      <c r="AN176" s="1">
        <f t="shared" ca="1" si="142"/>
        <v>54</v>
      </c>
      <c r="AO176" s="1">
        <f t="shared" ca="1" si="143"/>
        <v>20</v>
      </c>
      <c r="AQ176" s="1">
        <f t="shared" ca="1" si="144"/>
        <v>129</v>
      </c>
      <c r="AR176" s="1">
        <f t="shared" ca="1" si="145"/>
        <v>7</v>
      </c>
      <c r="AS176" s="1">
        <f t="shared" ca="1" si="146"/>
        <v>8</v>
      </c>
      <c r="AU176" s="1">
        <f t="shared" ca="1" si="147"/>
        <v>338</v>
      </c>
      <c r="AV176" s="1">
        <f t="shared" ca="1" si="148"/>
        <v>7</v>
      </c>
      <c r="AW176" s="1">
        <f t="shared" ca="1" si="149"/>
        <v>0.16090343670231308</v>
      </c>
      <c r="AY176" s="1">
        <f t="shared" ca="1" si="150"/>
        <v>1.6243405295296971</v>
      </c>
      <c r="AZ176" s="1">
        <f t="shared" ca="1" si="151"/>
        <v>245</v>
      </c>
      <c r="BA176" s="1">
        <f t="shared" ca="1" si="152"/>
        <v>7.5977572967360794E-3</v>
      </c>
      <c r="BV176" s="1">
        <f t="shared" ca="1" si="153"/>
        <v>0.42123734001412372</v>
      </c>
      <c r="BW176" s="1">
        <f t="shared" ca="1" si="154"/>
        <v>198</v>
      </c>
      <c r="BX176" s="1">
        <f t="shared" ca="1" si="155"/>
        <v>3.2921414274364224E-3</v>
      </c>
      <c r="BY176" s="1">
        <f t="shared" ca="1" si="156"/>
        <v>4.9556329622194662E-3</v>
      </c>
      <c r="BZ176" s="1">
        <f t="shared" ca="1" si="157"/>
        <v>0.30367453964732716</v>
      </c>
      <c r="CB176" s="1">
        <f t="shared" ca="1" si="158"/>
        <v>129</v>
      </c>
      <c r="CC176" s="1">
        <f t="shared" ca="1" si="159"/>
        <v>10</v>
      </c>
      <c r="CD176" s="1">
        <f t="shared" ca="1" si="160"/>
        <v>0.10566080769929104</v>
      </c>
      <c r="CE176" s="1">
        <f t="shared" ca="1" si="170"/>
        <v>0.74217113468466367</v>
      </c>
      <c r="CF176" s="1">
        <f t="shared" ca="1" si="170"/>
        <v>0.82884006199592597</v>
      </c>
      <c r="CH176" s="3">
        <f t="shared" ca="1" si="162"/>
        <v>0.71655671157428391</v>
      </c>
      <c r="CI176" s="3">
        <f t="shared" ca="1" si="163"/>
        <v>0.52116330322667115</v>
      </c>
      <c r="CJ176" s="3">
        <f t="shared" ca="1" si="164"/>
        <v>1474</v>
      </c>
      <c r="CK176" s="3">
        <f t="shared" ca="1" si="165"/>
        <v>2.7026104587845596E-3</v>
      </c>
      <c r="CL176" s="3">
        <f t="shared" ca="1" si="166"/>
        <v>1</v>
      </c>
      <c r="CM176" s="3"/>
      <c r="CN176" s="1">
        <f t="shared" ca="1" si="167"/>
        <v>13.569895335345999</v>
      </c>
      <c r="CO176" s="1">
        <f t="shared" ca="1" si="168"/>
        <v>0.29204289382468818</v>
      </c>
      <c r="CP176" s="1">
        <f t="shared" ca="1" si="169"/>
        <v>5</v>
      </c>
    </row>
    <row r="177" spans="2:94" x14ac:dyDescent="0.25">
      <c r="B177">
        <f t="shared" ca="1" si="114"/>
        <v>252</v>
      </c>
      <c r="C177">
        <f t="shared" ca="1" si="115"/>
        <v>37</v>
      </c>
      <c r="D177">
        <f t="shared" ca="1" si="116"/>
        <v>0.27290488356726206</v>
      </c>
      <c r="F177" s="1">
        <f t="shared" ca="1" si="117"/>
        <v>40</v>
      </c>
      <c r="G177" s="1">
        <f t="shared" ca="1" si="118"/>
        <v>19</v>
      </c>
      <c r="H177" s="1">
        <f t="shared" ca="1" si="119"/>
        <v>13</v>
      </c>
      <c r="I177" s="1"/>
      <c r="J177" s="1">
        <f t="shared" ca="1" si="120"/>
        <v>9</v>
      </c>
      <c r="K177" s="1">
        <f t="shared" ca="1" si="121"/>
        <v>2.404566172183543</v>
      </c>
      <c r="L177" s="1">
        <f t="shared" ca="1" si="122"/>
        <v>15</v>
      </c>
      <c r="M177" s="1"/>
      <c r="N177" s="1">
        <f t="shared" ca="1" si="123"/>
        <v>888</v>
      </c>
      <c r="O177" s="1">
        <f t="shared" ca="1" si="124"/>
        <v>37</v>
      </c>
      <c r="P177" s="1"/>
      <c r="Q177" s="1">
        <f t="shared" ca="1" si="125"/>
        <v>2.3877424009041852</v>
      </c>
      <c r="R177" s="1">
        <f t="shared" ca="1" si="126"/>
        <v>1029</v>
      </c>
      <c r="S177" s="1"/>
      <c r="T177" s="1">
        <f t="shared" ca="1" si="127"/>
        <v>6.677548751386822E-2</v>
      </c>
      <c r="U177" s="1">
        <f t="shared" ca="1" si="128"/>
        <v>172</v>
      </c>
      <c r="V177" s="1">
        <f t="shared" ca="1" si="129"/>
        <v>23</v>
      </c>
      <c r="W177" s="1"/>
      <c r="X177" s="1">
        <f t="shared" ca="1" si="130"/>
        <v>0.34100255487987036</v>
      </c>
      <c r="Y177" s="1">
        <f t="shared" ca="1" si="131"/>
        <v>0.93052365136571191</v>
      </c>
      <c r="Z177" s="1">
        <f t="shared" ca="1" si="132"/>
        <v>401</v>
      </c>
      <c r="AB177" s="1">
        <f t="shared" ca="1" si="133"/>
        <v>0.1852824566979816</v>
      </c>
      <c r="AC177" s="1">
        <f t="shared" ca="1" si="134"/>
        <v>234</v>
      </c>
      <c r="AD177" s="1">
        <f t="shared" ca="1" si="135"/>
        <v>3.9678591591257297E-3</v>
      </c>
      <c r="AE177" s="1"/>
      <c r="AF177" s="1">
        <f t="shared" ca="1" si="136"/>
        <v>0.60647119496464241</v>
      </c>
      <c r="AG177" s="1">
        <f t="shared" ca="1" si="137"/>
        <v>183</v>
      </c>
      <c r="AH177" s="1">
        <f t="shared" ca="1" si="138"/>
        <v>2.4638944911499483E-3</v>
      </c>
      <c r="AJ177" s="1">
        <f t="shared" ca="1" si="139"/>
        <v>0.53660177624045391</v>
      </c>
      <c r="AK177" s="1">
        <f t="shared" ca="1" si="140"/>
        <v>5.7554015704883998E-3</v>
      </c>
      <c r="AL177" s="1"/>
      <c r="AM177" s="1">
        <f t="shared" ca="1" si="141"/>
        <v>0.13218475266542534</v>
      </c>
      <c r="AN177" s="1">
        <f t="shared" ca="1" si="142"/>
        <v>26</v>
      </c>
      <c r="AO177" s="1">
        <f t="shared" ca="1" si="143"/>
        <v>19</v>
      </c>
      <c r="AQ177" s="1">
        <f t="shared" ca="1" si="144"/>
        <v>68</v>
      </c>
      <c r="AR177" s="1">
        <f t="shared" ca="1" si="145"/>
        <v>6</v>
      </c>
      <c r="AS177" s="1">
        <f t="shared" ca="1" si="146"/>
        <v>92</v>
      </c>
      <c r="AU177" s="1">
        <f t="shared" ca="1" si="147"/>
        <v>348</v>
      </c>
      <c r="AV177" s="1">
        <f t="shared" ca="1" si="148"/>
        <v>5</v>
      </c>
      <c r="AW177" s="1">
        <f t="shared" ca="1" si="149"/>
        <v>2.6753966993196758E-2</v>
      </c>
      <c r="AY177" s="1">
        <f t="shared" ca="1" si="150"/>
        <v>1.2957310863748444</v>
      </c>
      <c r="AZ177" s="1">
        <f t="shared" ca="1" si="151"/>
        <v>224</v>
      </c>
      <c r="BA177" s="1">
        <f t="shared" ca="1" si="152"/>
        <v>7.4881965023181948E-3</v>
      </c>
      <c r="BV177" s="1">
        <f t="shared" ca="1" si="153"/>
        <v>0.58543209880021674</v>
      </c>
      <c r="BW177" s="1">
        <f t="shared" ca="1" si="154"/>
        <v>521</v>
      </c>
      <c r="BX177" s="1">
        <f t="shared" ca="1" si="155"/>
        <v>8.4677143150778383E-3</v>
      </c>
      <c r="BY177" s="1">
        <f t="shared" ca="1" si="156"/>
        <v>6.3846877793747037E-2</v>
      </c>
      <c r="BZ177" s="1">
        <f t="shared" ca="1" si="157"/>
        <v>0.63279672496933781</v>
      </c>
      <c r="CB177" s="1">
        <f t="shared" ca="1" si="158"/>
        <v>273</v>
      </c>
      <c r="CC177" s="1">
        <f t="shared" ca="1" si="159"/>
        <v>14</v>
      </c>
      <c r="CD177" s="1">
        <f t="shared" ca="1" si="160"/>
        <v>1.3302602013598791E-2</v>
      </c>
      <c r="CE177" s="1">
        <f t="shared" ca="1" si="170"/>
        <v>0.63351220633587912</v>
      </c>
      <c r="CF177" s="1">
        <f t="shared" ca="1" si="170"/>
        <v>0.82697102368090247</v>
      </c>
      <c r="CH177" s="3">
        <f t="shared" ca="1" si="162"/>
        <v>0.71094087920382754</v>
      </c>
      <c r="CI177" s="3">
        <f t="shared" ca="1" si="163"/>
        <v>0.9097390231934176</v>
      </c>
      <c r="CJ177" s="3">
        <f t="shared" ca="1" si="164"/>
        <v>1000</v>
      </c>
      <c r="CK177" s="3">
        <f t="shared" ca="1" si="165"/>
        <v>9.5964410615650576E-3</v>
      </c>
      <c r="CL177" s="3">
        <f t="shared" ca="1" si="166"/>
        <v>1</v>
      </c>
      <c r="CM177" s="3"/>
      <c r="CN177" s="1">
        <f t="shared" ca="1" si="167"/>
        <v>3.1120948734950926</v>
      </c>
      <c r="CO177" s="1">
        <f t="shared" ca="1" si="168"/>
        <v>7.8779817426917503E-2</v>
      </c>
      <c r="CP177" s="1">
        <f t="shared" ca="1" si="169"/>
        <v>3</v>
      </c>
    </row>
    <row r="178" spans="2:94" x14ac:dyDescent="0.25">
      <c r="B178">
        <f t="shared" ca="1" si="114"/>
        <v>789</v>
      </c>
      <c r="C178">
        <f t="shared" ca="1" si="115"/>
        <v>12</v>
      </c>
      <c r="D178">
        <f t="shared" ca="1" si="116"/>
        <v>0.24597379903985914</v>
      </c>
      <c r="F178" s="1">
        <f t="shared" ca="1" si="117"/>
        <v>15</v>
      </c>
      <c r="G178" s="1">
        <f t="shared" ca="1" si="118"/>
        <v>26</v>
      </c>
      <c r="H178" s="1">
        <f t="shared" ca="1" si="119"/>
        <v>5</v>
      </c>
      <c r="I178" s="1"/>
      <c r="J178" s="1">
        <f t="shared" ca="1" si="120"/>
        <v>39</v>
      </c>
      <c r="K178" s="1">
        <f t="shared" ca="1" si="121"/>
        <v>1.9776046670516425</v>
      </c>
      <c r="L178" s="1">
        <f t="shared" ca="1" si="122"/>
        <v>15</v>
      </c>
      <c r="M178" s="1"/>
      <c r="N178" s="1">
        <f t="shared" ca="1" si="123"/>
        <v>804</v>
      </c>
      <c r="O178" s="1">
        <f t="shared" ca="1" si="124"/>
        <v>47</v>
      </c>
      <c r="P178" s="1"/>
      <c r="Q178" s="1">
        <f t="shared" ca="1" si="125"/>
        <v>3.7383470801708563</v>
      </c>
      <c r="R178" s="1">
        <f t="shared" ca="1" si="126"/>
        <v>407</v>
      </c>
      <c r="S178" s="1"/>
      <c r="T178" s="1">
        <f t="shared" ca="1" si="127"/>
        <v>0.18639029187511477</v>
      </c>
      <c r="U178" s="1">
        <f t="shared" ca="1" si="128"/>
        <v>403</v>
      </c>
      <c r="V178" s="1">
        <f t="shared" ca="1" si="129"/>
        <v>37</v>
      </c>
      <c r="W178" s="1"/>
      <c r="X178" s="1">
        <f t="shared" ca="1" si="130"/>
        <v>3.1991352175621377</v>
      </c>
      <c r="Y178" s="1">
        <f t="shared" ca="1" si="131"/>
        <v>8.9927449032695936E-2</v>
      </c>
      <c r="Z178" s="1">
        <f t="shared" ca="1" si="132"/>
        <v>1612</v>
      </c>
      <c r="AB178" s="1">
        <f t="shared" ca="1" si="133"/>
        <v>0.46271230776989275</v>
      </c>
      <c r="AC178" s="1">
        <f t="shared" ca="1" si="134"/>
        <v>706</v>
      </c>
      <c r="AD178" s="1">
        <f t="shared" ca="1" si="135"/>
        <v>4.0259426280407481E-3</v>
      </c>
      <c r="AE178" s="1"/>
      <c r="AF178" s="1">
        <f t="shared" ca="1" si="136"/>
        <v>0.35290885116268678</v>
      </c>
      <c r="AG178" s="1">
        <f t="shared" ca="1" si="137"/>
        <v>506</v>
      </c>
      <c r="AH178" s="1">
        <f t="shared" ca="1" si="138"/>
        <v>3.1763388340376453E-3</v>
      </c>
      <c r="AJ178" s="1">
        <f t="shared" ca="1" si="139"/>
        <v>9.419597937287727E-2</v>
      </c>
      <c r="AK178" s="1">
        <f t="shared" ca="1" si="140"/>
        <v>6.7402434646195433E-3</v>
      </c>
      <c r="AL178" s="1"/>
      <c r="AM178" s="1">
        <f t="shared" ca="1" si="141"/>
        <v>0.13773591896508619</v>
      </c>
      <c r="AN178" s="1">
        <f t="shared" ca="1" si="142"/>
        <v>71</v>
      </c>
      <c r="AO178" s="1">
        <f t="shared" ca="1" si="143"/>
        <v>16</v>
      </c>
      <c r="AQ178" s="1">
        <f t="shared" ca="1" si="144"/>
        <v>187</v>
      </c>
      <c r="AR178" s="1">
        <f t="shared" ca="1" si="145"/>
        <v>8</v>
      </c>
      <c r="AS178" s="1">
        <f t="shared" ca="1" si="146"/>
        <v>38</v>
      </c>
      <c r="AU178" s="1">
        <f t="shared" ca="1" si="147"/>
        <v>210</v>
      </c>
      <c r="AV178" s="1">
        <f t="shared" ca="1" si="148"/>
        <v>8</v>
      </c>
      <c r="AW178" s="1">
        <f t="shared" ca="1" si="149"/>
        <v>0.10527624857777428</v>
      </c>
      <c r="AY178" s="1">
        <f t="shared" ca="1" si="150"/>
        <v>1.622525756304481</v>
      </c>
      <c r="AZ178" s="1">
        <f t="shared" ca="1" si="151"/>
        <v>293</v>
      </c>
      <c r="BA178" s="1">
        <f t="shared" ca="1" si="152"/>
        <v>8.0109686944086992E-3</v>
      </c>
      <c r="BV178" s="1">
        <f t="shared" ca="1" si="153"/>
        <v>0.51261517005595858</v>
      </c>
      <c r="BW178" s="1">
        <f t="shared" ca="1" si="154"/>
        <v>933</v>
      </c>
      <c r="BX178" s="1">
        <f t="shared" ca="1" si="155"/>
        <v>6.2283674149979425E-3</v>
      </c>
      <c r="BY178" s="1">
        <f t="shared" ca="1" si="156"/>
        <v>2.8238873024852819E-2</v>
      </c>
      <c r="BZ178" s="1">
        <f t="shared" ca="1" si="157"/>
        <v>0.13944426878487792</v>
      </c>
      <c r="CB178" s="1">
        <f t="shared" ca="1" si="158"/>
        <v>291</v>
      </c>
      <c r="CC178" s="1">
        <f t="shared" ca="1" si="159"/>
        <v>7</v>
      </c>
      <c r="CD178" s="1">
        <f t="shared" ca="1" si="160"/>
        <v>0.15822278866387784</v>
      </c>
      <c r="CE178" s="1">
        <f t="shared" ca="1" si="170"/>
        <v>0.98130568407079388</v>
      </c>
      <c r="CF178" s="1">
        <f t="shared" ca="1" si="170"/>
        <v>0.61546456636202573</v>
      </c>
      <c r="CH178" s="3">
        <f t="shared" ca="1" si="162"/>
        <v>0.61459646928400147</v>
      </c>
      <c r="CI178" s="3">
        <f t="shared" ca="1" si="163"/>
        <v>0.39425440612859419</v>
      </c>
      <c r="CJ178" s="3">
        <f t="shared" ca="1" si="164"/>
        <v>862</v>
      </c>
      <c r="CK178" s="3">
        <f t="shared" ca="1" si="165"/>
        <v>1.5480295733764037E-4</v>
      </c>
      <c r="CL178" s="3">
        <f t="shared" ca="1" si="166"/>
        <v>0</v>
      </c>
      <c r="CM178" s="3"/>
      <c r="CN178" s="1">
        <f t="shared" ca="1" si="167"/>
        <v>10.004691826638547</v>
      </c>
      <c r="CO178" s="1">
        <f t="shared" ca="1" si="168"/>
        <v>4.4609673945745332E-2</v>
      </c>
      <c r="CP178" s="1">
        <f t="shared" ca="1" si="169"/>
        <v>3</v>
      </c>
    </row>
    <row r="179" spans="2:94" x14ac:dyDescent="0.25">
      <c r="B179">
        <f t="shared" ca="1" si="114"/>
        <v>220</v>
      </c>
      <c r="C179">
        <f t="shared" ca="1" si="115"/>
        <v>43</v>
      </c>
      <c r="D179">
        <f t="shared" ca="1" si="116"/>
        <v>6.4504449612385023E-2</v>
      </c>
      <c r="F179" s="1">
        <f t="shared" ca="1" si="117"/>
        <v>4</v>
      </c>
      <c r="G179" s="1">
        <f t="shared" ca="1" si="118"/>
        <v>9</v>
      </c>
      <c r="H179" s="1">
        <f t="shared" ca="1" si="119"/>
        <v>8</v>
      </c>
      <c r="I179" s="1"/>
      <c r="J179" s="1">
        <f t="shared" ca="1" si="120"/>
        <v>13</v>
      </c>
      <c r="K179" s="1">
        <f t="shared" ca="1" si="121"/>
        <v>1.6534907175325309</v>
      </c>
      <c r="L179" s="1">
        <f t="shared" ca="1" si="122"/>
        <v>7</v>
      </c>
      <c r="M179" s="1"/>
      <c r="N179" s="1">
        <f t="shared" ca="1" si="123"/>
        <v>945</v>
      </c>
      <c r="O179" s="1">
        <f t="shared" ca="1" si="124"/>
        <v>26</v>
      </c>
      <c r="P179" s="1"/>
      <c r="Q179" s="1">
        <f t="shared" ca="1" si="125"/>
        <v>0.19801056200205219</v>
      </c>
      <c r="R179" s="1">
        <f t="shared" ca="1" si="126"/>
        <v>912</v>
      </c>
      <c r="S179" s="1"/>
      <c r="T179" s="1">
        <f t="shared" ca="1" si="127"/>
        <v>0.1100021314463016</v>
      </c>
      <c r="U179" s="1">
        <f t="shared" ca="1" si="128"/>
        <v>199</v>
      </c>
      <c r="V179" s="1">
        <f t="shared" ca="1" si="129"/>
        <v>21</v>
      </c>
      <c r="W179" s="1"/>
      <c r="X179" s="1">
        <f t="shared" ca="1" si="130"/>
        <v>9.932342215134895</v>
      </c>
      <c r="Y179" s="1">
        <f t="shared" ca="1" si="131"/>
        <v>0.25978065863341304</v>
      </c>
      <c r="Z179" s="1">
        <f t="shared" ca="1" si="132"/>
        <v>1986</v>
      </c>
      <c r="AB179" s="1">
        <f t="shared" ca="1" si="133"/>
        <v>0.68924608470918014</v>
      </c>
      <c r="AC179" s="1">
        <f t="shared" ca="1" si="134"/>
        <v>951</v>
      </c>
      <c r="AD179" s="1">
        <f t="shared" ca="1" si="135"/>
        <v>9.6904640319375283E-3</v>
      </c>
      <c r="AE179" s="1"/>
      <c r="AF179" s="1">
        <f t="shared" ca="1" si="136"/>
        <v>0.18764159513797934</v>
      </c>
      <c r="AG179" s="1">
        <f t="shared" ca="1" si="137"/>
        <v>924</v>
      </c>
      <c r="AH179" s="1">
        <f t="shared" ca="1" si="138"/>
        <v>6.2260708254613965E-3</v>
      </c>
      <c r="AJ179" s="1">
        <f t="shared" ca="1" si="139"/>
        <v>0.23623261526197548</v>
      </c>
      <c r="AK179" s="1">
        <f t="shared" ca="1" si="140"/>
        <v>7.3462251454230057E-3</v>
      </c>
      <c r="AL179" s="1"/>
      <c r="AM179" s="1">
        <f t="shared" ca="1" si="141"/>
        <v>0.13548992814670005</v>
      </c>
      <c r="AN179" s="1">
        <f t="shared" ca="1" si="142"/>
        <v>38</v>
      </c>
      <c r="AO179" s="1">
        <f t="shared" ca="1" si="143"/>
        <v>8</v>
      </c>
      <c r="AQ179" s="1">
        <f t="shared" ca="1" si="144"/>
        <v>195</v>
      </c>
      <c r="AR179" s="1">
        <f t="shared" ca="1" si="145"/>
        <v>5</v>
      </c>
      <c r="AS179" s="1">
        <f t="shared" ca="1" si="146"/>
        <v>87</v>
      </c>
      <c r="AU179" s="1">
        <f t="shared" ca="1" si="147"/>
        <v>339</v>
      </c>
      <c r="AV179" s="1">
        <f t="shared" ca="1" si="148"/>
        <v>8</v>
      </c>
      <c r="AW179" s="1">
        <f t="shared" ca="1" si="149"/>
        <v>0.14899412147192065</v>
      </c>
      <c r="AY179" s="1">
        <f t="shared" ca="1" si="150"/>
        <v>1.5416496896388541</v>
      </c>
      <c r="AZ179" s="1">
        <f t="shared" ca="1" si="151"/>
        <v>281</v>
      </c>
      <c r="BA179" s="1">
        <f t="shared" ca="1" si="152"/>
        <v>1.2626887436286878E-3</v>
      </c>
      <c r="BV179" s="1">
        <f t="shared" ca="1" si="153"/>
        <v>0.41473017932962758</v>
      </c>
      <c r="BW179" s="1">
        <f t="shared" ca="1" si="154"/>
        <v>406</v>
      </c>
      <c r="BX179" s="1">
        <f t="shared" ca="1" si="155"/>
        <v>9.3668121643076495E-3</v>
      </c>
      <c r="BY179" s="1">
        <f t="shared" ca="1" si="156"/>
        <v>5.1847712910035393E-3</v>
      </c>
      <c r="BZ179" s="1">
        <f t="shared" ca="1" si="157"/>
        <v>0.34034326783100277</v>
      </c>
      <c r="CB179" s="1">
        <f t="shared" ca="1" si="158"/>
        <v>447</v>
      </c>
      <c r="CC179" s="1">
        <f t="shared" ca="1" si="159"/>
        <v>3</v>
      </c>
      <c r="CD179" s="1">
        <f t="shared" ca="1" si="160"/>
        <v>3.0552278658429577E-2</v>
      </c>
      <c r="CE179" s="1">
        <f t="shared" ca="1" si="170"/>
        <v>0.87224641194165464</v>
      </c>
      <c r="CF179" s="1">
        <f t="shared" ca="1" si="170"/>
        <v>0.59584720089157683</v>
      </c>
      <c r="CH179" s="3">
        <f t="shared" ca="1" si="162"/>
        <v>0.19998852028301758</v>
      </c>
      <c r="CI179" s="3">
        <f t="shared" ca="1" si="163"/>
        <v>0.91200158715363144</v>
      </c>
      <c r="CJ179" s="3">
        <f t="shared" ca="1" si="164"/>
        <v>267</v>
      </c>
      <c r="CK179" s="3">
        <f t="shared" ca="1" si="165"/>
        <v>7.3185927956247688E-3</v>
      </c>
      <c r="CL179" s="3">
        <f t="shared" ca="1" si="166"/>
        <v>1</v>
      </c>
      <c r="CM179" s="3"/>
      <c r="CN179" s="1">
        <f t="shared" ca="1" si="167"/>
        <v>17.092023630809908</v>
      </c>
      <c r="CO179" s="1">
        <f t="shared" ca="1" si="168"/>
        <v>5.5700703304010106E-2</v>
      </c>
      <c r="CP179" s="1">
        <f t="shared" ca="1" si="169"/>
        <v>5</v>
      </c>
    </row>
    <row r="180" spans="2:94" x14ac:dyDescent="0.25">
      <c r="B180">
        <f t="shared" ca="1" si="114"/>
        <v>255</v>
      </c>
      <c r="C180">
        <f t="shared" ca="1" si="115"/>
        <v>37</v>
      </c>
      <c r="D180">
        <f t="shared" ca="1" si="116"/>
        <v>0.15257831272167027</v>
      </c>
      <c r="F180" s="1">
        <f t="shared" ca="1" si="117"/>
        <v>24</v>
      </c>
      <c r="G180" s="1">
        <f t="shared" ca="1" si="118"/>
        <v>14</v>
      </c>
      <c r="H180" s="1">
        <f t="shared" ca="1" si="119"/>
        <v>4</v>
      </c>
      <c r="I180" s="1"/>
      <c r="J180" s="1">
        <f t="shared" ca="1" si="120"/>
        <v>17</v>
      </c>
      <c r="K180" s="1">
        <f t="shared" ca="1" si="121"/>
        <v>1.9482987003855876</v>
      </c>
      <c r="L180" s="1">
        <f t="shared" ca="1" si="122"/>
        <v>33</v>
      </c>
      <c r="M180" s="1"/>
      <c r="N180" s="1">
        <f t="shared" ca="1" si="123"/>
        <v>861</v>
      </c>
      <c r="O180" s="1">
        <f t="shared" ca="1" si="124"/>
        <v>12</v>
      </c>
      <c r="P180" s="1"/>
      <c r="Q180" s="1">
        <f t="shared" ca="1" si="125"/>
        <v>0.78864068151658284</v>
      </c>
      <c r="R180" s="1">
        <f t="shared" ca="1" si="126"/>
        <v>776</v>
      </c>
      <c r="S180" s="1"/>
      <c r="T180" s="1">
        <f t="shared" ca="1" si="127"/>
        <v>6.502559222825198E-2</v>
      </c>
      <c r="U180" s="1">
        <f t="shared" ca="1" si="128"/>
        <v>85</v>
      </c>
      <c r="V180" s="1">
        <f t="shared" ca="1" si="129"/>
        <v>41</v>
      </c>
      <c r="W180" s="1"/>
      <c r="X180" s="1">
        <f t="shared" ca="1" si="130"/>
        <v>1.1373684235688621</v>
      </c>
      <c r="Y180" s="1">
        <f t="shared" ca="1" si="131"/>
        <v>0.34368200583595859</v>
      </c>
      <c r="Z180" s="1">
        <f t="shared" ca="1" si="132"/>
        <v>1092</v>
      </c>
      <c r="AB180" s="1">
        <f t="shared" ca="1" si="133"/>
        <v>0.47627193964391862</v>
      </c>
      <c r="AC180" s="1">
        <f t="shared" ca="1" si="134"/>
        <v>543</v>
      </c>
      <c r="AD180" s="1">
        <f t="shared" ca="1" si="135"/>
        <v>6.9873010065168023E-3</v>
      </c>
      <c r="AE180" s="1"/>
      <c r="AF180" s="1">
        <f t="shared" ca="1" si="136"/>
        <v>0.34684523967621966</v>
      </c>
      <c r="AG180" s="1">
        <f t="shared" ca="1" si="137"/>
        <v>501</v>
      </c>
      <c r="AH180" s="1">
        <f t="shared" ca="1" si="138"/>
        <v>7.8598455665156875E-3</v>
      </c>
      <c r="AJ180" s="1">
        <f t="shared" ca="1" si="139"/>
        <v>0.50153340341308095</v>
      </c>
      <c r="AK180" s="1">
        <f t="shared" ca="1" si="140"/>
        <v>5.8140097802861527E-3</v>
      </c>
      <c r="AL180" s="1"/>
      <c r="AM180" s="1">
        <f t="shared" ca="1" si="141"/>
        <v>0.10864887785682158</v>
      </c>
      <c r="AN180" s="1">
        <f t="shared" ca="1" si="142"/>
        <v>65</v>
      </c>
      <c r="AO180" s="1">
        <f t="shared" ca="1" si="143"/>
        <v>12</v>
      </c>
      <c r="AQ180" s="1">
        <f t="shared" ca="1" si="144"/>
        <v>141</v>
      </c>
      <c r="AR180" s="1">
        <f t="shared" ca="1" si="145"/>
        <v>10</v>
      </c>
      <c r="AS180" s="1">
        <f t="shared" ca="1" si="146"/>
        <v>16</v>
      </c>
      <c r="AU180" s="1">
        <f t="shared" ca="1" si="147"/>
        <v>369</v>
      </c>
      <c r="AV180" s="1">
        <f t="shared" ca="1" si="148"/>
        <v>10</v>
      </c>
      <c r="AW180" s="1">
        <f t="shared" ca="1" si="149"/>
        <v>8.5366176843150746E-2</v>
      </c>
      <c r="AY180" s="1">
        <f t="shared" ca="1" si="150"/>
        <v>1.3249601698393532</v>
      </c>
      <c r="AZ180" s="1">
        <f t="shared" ca="1" si="151"/>
        <v>497</v>
      </c>
      <c r="BA180" s="1">
        <f t="shared" ca="1" si="152"/>
        <v>9.2567373921727831E-3</v>
      </c>
      <c r="BV180" s="1">
        <f t="shared" ca="1" si="153"/>
        <v>0.29960342619090929</v>
      </c>
      <c r="BW180" s="1">
        <f t="shared" ca="1" si="154"/>
        <v>527</v>
      </c>
      <c r="BX180" s="1">
        <f t="shared" ca="1" si="155"/>
        <v>1.7297281167062836E-3</v>
      </c>
      <c r="BY180" s="1">
        <f t="shared" ca="1" si="156"/>
        <v>7.200209920033368E-3</v>
      </c>
      <c r="BZ180" s="1">
        <f t="shared" ca="1" si="157"/>
        <v>0.28636547323265282</v>
      </c>
      <c r="CB180" s="1">
        <f t="shared" ca="1" si="158"/>
        <v>410</v>
      </c>
      <c r="CC180" s="1">
        <f t="shared" ca="1" si="159"/>
        <v>7</v>
      </c>
      <c r="CD180" s="1">
        <f t="shared" ca="1" si="160"/>
        <v>4.4742841118786403E-2</v>
      </c>
      <c r="CE180" s="1">
        <f t="shared" ca="1" si="170"/>
        <v>0.75626769395822779</v>
      </c>
      <c r="CF180" s="1">
        <f t="shared" ca="1" si="170"/>
        <v>0.77560361250855459</v>
      </c>
      <c r="CH180" s="3">
        <f t="shared" ca="1" si="162"/>
        <v>0.6019076941960354</v>
      </c>
      <c r="CI180" s="3">
        <f t="shared" ca="1" si="163"/>
        <v>0.93507194394793625</v>
      </c>
      <c r="CJ180" s="3">
        <f t="shared" ca="1" si="164"/>
        <v>1757</v>
      </c>
      <c r="CK180" s="3">
        <f t="shared" ca="1" si="165"/>
        <v>2.3941436064739965E-3</v>
      </c>
      <c r="CL180" s="3">
        <f t="shared" ca="1" si="166"/>
        <v>0</v>
      </c>
      <c r="CM180" s="3"/>
      <c r="CN180" s="1">
        <f t="shared" ca="1" si="167"/>
        <v>7.5507919167345126</v>
      </c>
      <c r="CO180" s="1">
        <f t="shared" ca="1" si="168"/>
        <v>0.46654184331137816</v>
      </c>
      <c r="CP180" s="1">
        <f t="shared" ca="1" si="169"/>
        <v>4</v>
      </c>
    </row>
    <row r="181" spans="2:94" x14ac:dyDescent="0.25">
      <c r="B181">
        <f t="shared" ca="1" si="114"/>
        <v>444</v>
      </c>
      <c r="C181">
        <f t="shared" ca="1" si="115"/>
        <v>2</v>
      </c>
      <c r="D181">
        <f t="shared" ca="1" si="116"/>
        <v>1.1820658205720895E-2</v>
      </c>
      <c r="F181" s="1">
        <f t="shared" ca="1" si="117"/>
        <v>48</v>
      </c>
      <c r="G181" s="1">
        <f t="shared" ca="1" si="118"/>
        <v>26</v>
      </c>
      <c r="H181" s="1">
        <f t="shared" ca="1" si="119"/>
        <v>6</v>
      </c>
      <c r="I181" s="1"/>
      <c r="J181" s="1">
        <f t="shared" ca="1" si="120"/>
        <v>26</v>
      </c>
      <c r="K181" s="1">
        <f t="shared" ca="1" si="121"/>
        <v>1.5366439424808434</v>
      </c>
      <c r="L181" s="1">
        <f t="shared" ca="1" si="122"/>
        <v>21</v>
      </c>
      <c r="M181" s="1"/>
      <c r="N181" s="1">
        <f t="shared" ca="1" si="123"/>
        <v>338</v>
      </c>
      <c r="O181" s="1">
        <f t="shared" ca="1" si="124"/>
        <v>20</v>
      </c>
      <c r="P181" s="1"/>
      <c r="Q181" s="1">
        <f t="shared" ca="1" si="125"/>
        <v>1.4527024304282321</v>
      </c>
      <c r="R181" s="1">
        <f t="shared" ca="1" si="126"/>
        <v>228</v>
      </c>
      <c r="S181" s="1"/>
      <c r="T181" s="1">
        <f t="shared" ca="1" si="127"/>
        <v>0.19699306068983818</v>
      </c>
      <c r="U181" s="1">
        <f t="shared" ca="1" si="128"/>
        <v>443</v>
      </c>
      <c r="V181" s="1">
        <f t="shared" ca="1" si="129"/>
        <v>20</v>
      </c>
      <c r="W181" s="1"/>
      <c r="X181" s="1">
        <f t="shared" ca="1" si="130"/>
        <v>5.6055608289960324</v>
      </c>
      <c r="Y181" s="1">
        <f t="shared" ca="1" si="131"/>
        <v>0.22059744627461661</v>
      </c>
      <c r="Z181" s="1">
        <f t="shared" ca="1" si="132"/>
        <v>104</v>
      </c>
      <c r="AB181" s="1">
        <f t="shared" ca="1" si="133"/>
        <v>0.30105148204204779</v>
      </c>
      <c r="AC181" s="1">
        <f t="shared" ca="1" si="134"/>
        <v>133</v>
      </c>
      <c r="AD181" s="1">
        <f t="shared" ca="1" si="135"/>
        <v>8.0754535724293901E-3</v>
      </c>
      <c r="AE181" s="1"/>
      <c r="AF181" s="1">
        <f t="shared" ca="1" si="136"/>
        <v>0.65125198081549651</v>
      </c>
      <c r="AG181" s="1">
        <f t="shared" ca="1" si="137"/>
        <v>657</v>
      </c>
      <c r="AH181" s="1">
        <f t="shared" ca="1" si="138"/>
        <v>2.79817388542292E-3</v>
      </c>
      <c r="AJ181" s="1">
        <f t="shared" ca="1" si="139"/>
        <v>0.35646828261984653</v>
      </c>
      <c r="AK181" s="1">
        <f t="shared" ca="1" si="140"/>
        <v>8.5634297648632968E-3</v>
      </c>
      <c r="AL181" s="1"/>
      <c r="AM181" s="1">
        <f t="shared" ca="1" si="141"/>
        <v>1.2644702484850725E-2</v>
      </c>
      <c r="AN181" s="1">
        <f t="shared" ca="1" si="142"/>
        <v>22</v>
      </c>
      <c r="AO181" s="1">
        <f t="shared" ca="1" si="143"/>
        <v>1</v>
      </c>
      <c r="AQ181" s="1">
        <f t="shared" ca="1" si="144"/>
        <v>91</v>
      </c>
      <c r="AR181" s="1">
        <f t="shared" ca="1" si="145"/>
        <v>0</v>
      </c>
      <c r="AS181" s="1">
        <f t="shared" ca="1" si="146"/>
        <v>67</v>
      </c>
      <c r="AU181" s="1">
        <f t="shared" ca="1" si="147"/>
        <v>258</v>
      </c>
      <c r="AV181" s="1">
        <f t="shared" ca="1" si="148"/>
        <v>4</v>
      </c>
      <c r="AW181" s="1">
        <f t="shared" ca="1" si="149"/>
        <v>9.6935673553367158E-2</v>
      </c>
      <c r="AY181" s="1">
        <f t="shared" ca="1" si="150"/>
        <v>1.707411442240788</v>
      </c>
      <c r="AZ181" s="1">
        <f t="shared" ca="1" si="151"/>
        <v>216</v>
      </c>
      <c r="BA181" s="1">
        <f t="shared" ca="1" si="152"/>
        <v>5.8703392360243689E-3</v>
      </c>
      <c r="BV181" s="1">
        <f t="shared" ca="1" si="153"/>
        <v>0.81074677302524267</v>
      </c>
      <c r="BW181" s="1">
        <f t="shared" ca="1" si="154"/>
        <v>624</v>
      </c>
      <c r="BX181" s="1">
        <f t="shared" ca="1" si="155"/>
        <v>9.346398046256553E-3</v>
      </c>
      <c r="BY181" s="1">
        <f t="shared" ca="1" si="156"/>
        <v>4.133938023708422E-4</v>
      </c>
      <c r="BZ181" s="1">
        <f t="shared" ca="1" si="157"/>
        <v>0.41758885613268137</v>
      </c>
      <c r="CB181" s="1">
        <f t="shared" ca="1" si="158"/>
        <v>339</v>
      </c>
      <c r="CC181" s="1">
        <f t="shared" ca="1" si="159"/>
        <v>8</v>
      </c>
      <c r="CD181" s="1">
        <f t="shared" ca="1" si="160"/>
        <v>0.15057752576422875</v>
      </c>
      <c r="CE181" s="1">
        <f t="shared" ca="1" si="170"/>
        <v>0.80275809592109704</v>
      </c>
      <c r="CF181" s="1">
        <f t="shared" ca="1" si="170"/>
        <v>0.55760225751264003</v>
      </c>
      <c r="CH181" s="3">
        <f t="shared" ca="1" si="162"/>
        <v>0.49857911488311207</v>
      </c>
      <c r="CI181" s="3">
        <f t="shared" ca="1" si="163"/>
        <v>0.19800701846360855</v>
      </c>
      <c r="CJ181" s="3">
        <f t="shared" ca="1" si="164"/>
        <v>694</v>
      </c>
      <c r="CK181" s="3">
        <f t="shared" ca="1" si="165"/>
        <v>7.7665395888841899E-3</v>
      </c>
      <c r="CL181" s="3">
        <f t="shared" ca="1" si="166"/>
        <v>0</v>
      </c>
      <c r="CM181" s="3"/>
      <c r="CN181" s="1">
        <f t="shared" ca="1" si="167"/>
        <v>6.5205025637456719</v>
      </c>
      <c r="CO181" s="1">
        <f t="shared" ca="1" si="168"/>
        <v>0.4507419207734556</v>
      </c>
      <c r="CP181" s="1">
        <f t="shared" ca="1" si="169"/>
        <v>4</v>
      </c>
    </row>
    <row r="182" spans="2:94" x14ac:dyDescent="0.25">
      <c r="B182">
        <f t="shared" ca="1" si="114"/>
        <v>605</v>
      </c>
      <c r="C182">
        <f t="shared" ca="1" si="115"/>
        <v>19</v>
      </c>
      <c r="D182">
        <f t="shared" ca="1" si="116"/>
        <v>0.10405462669790155</v>
      </c>
      <c r="F182" s="1">
        <f t="shared" ca="1" si="117"/>
        <v>17</v>
      </c>
      <c r="G182" s="1">
        <f t="shared" ca="1" si="118"/>
        <v>4</v>
      </c>
      <c r="H182" s="1">
        <f t="shared" ca="1" si="119"/>
        <v>11</v>
      </c>
      <c r="I182" s="1"/>
      <c r="J182" s="1">
        <f t="shared" ca="1" si="120"/>
        <v>19</v>
      </c>
      <c r="K182" s="1">
        <f t="shared" ca="1" si="121"/>
        <v>1.8562687147949832</v>
      </c>
      <c r="L182" s="1">
        <f t="shared" ca="1" si="122"/>
        <v>17</v>
      </c>
      <c r="M182" s="1"/>
      <c r="N182" s="1">
        <f t="shared" ca="1" si="123"/>
        <v>162</v>
      </c>
      <c r="O182" s="1">
        <f t="shared" ca="1" si="124"/>
        <v>32</v>
      </c>
      <c r="P182" s="1"/>
      <c r="Q182" s="1">
        <f t="shared" ca="1" si="125"/>
        <v>2.6219823296534912</v>
      </c>
      <c r="R182" s="1">
        <f t="shared" ca="1" si="126"/>
        <v>696</v>
      </c>
      <c r="S182" s="1"/>
      <c r="T182" s="1">
        <f t="shared" ca="1" si="127"/>
        <v>0.11306808486324441</v>
      </c>
      <c r="U182" s="1">
        <f t="shared" ca="1" si="128"/>
        <v>159</v>
      </c>
      <c r="V182" s="1">
        <f t="shared" ca="1" si="129"/>
        <v>18</v>
      </c>
      <c r="W182" s="1"/>
      <c r="X182" s="1">
        <f t="shared" ca="1" si="130"/>
        <v>8.9826738512126134</v>
      </c>
      <c r="Y182" s="1">
        <f t="shared" ca="1" si="131"/>
        <v>0.48994552061567725</v>
      </c>
      <c r="Z182" s="1">
        <f t="shared" ca="1" si="132"/>
        <v>1256</v>
      </c>
      <c r="AB182" s="1">
        <f t="shared" ca="1" si="133"/>
        <v>0.25378223011839923</v>
      </c>
      <c r="AC182" s="1">
        <f t="shared" ca="1" si="134"/>
        <v>341</v>
      </c>
      <c r="AD182" s="1">
        <f t="shared" ca="1" si="135"/>
        <v>5.1409990418013179E-3</v>
      </c>
      <c r="AE182" s="1"/>
      <c r="AF182" s="1">
        <f t="shared" ca="1" si="136"/>
        <v>0.47514705237633803</v>
      </c>
      <c r="AG182" s="1">
        <f t="shared" ca="1" si="137"/>
        <v>160</v>
      </c>
      <c r="AH182" s="1">
        <f t="shared" ca="1" si="138"/>
        <v>9.0179797265115026E-3</v>
      </c>
      <c r="AJ182" s="1">
        <f t="shared" ca="1" si="139"/>
        <v>0.6819349264273814</v>
      </c>
      <c r="AK182" s="1">
        <f t="shared" ca="1" si="140"/>
        <v>3.135248165934803E-3</v>
      </c>
      <c r="AL182" s="1"/>
      <c r="AM182" s="1">
        <f t="shared" ca="1" si="141"/>
        <v>0.13882113416267125</v>
      </c>
      <c r="AN182" s="1">
        <f t="shared" ca="1" si="142"/>
        <v>41</v>
      </c>
      <c r="AO182" s="1">
        <f t="shared" ca="1" si="143"/>
        <v>17</v>
      </c>
      <c r="AQ182" s="1">
        <f t="shared" ca="1" si="144"/>
        <v>104</v>
      </c>
      <c r="AR182" s="1">
        <f t="shared" ca="1" si="145"/>
        <v>1</v>
      </c>
      <c r="AS182" s="1">
        <f t="shared" ca="1" si="146"/>
        <v>67</v>
      </c>
      <c r="AU182" s="1">
        <f t="shared" ca="1" si="147"/>
        <v>334</v>
      </c>
      <c r="AV182" s="1">
        <f t="shared" ca="1" si="148"/>
        <v>8</v>
      </c>
      <c r="AW182" s="1">
        <f t="shared" ca="1" si="149"/>
        <v>0.17703746726768704</v>
      </c>
      <c r="AY182" s="1">
        <f t="shared" ca="1" si="150"/>
        <v>1.57413264279887</v>
      </c>
      <c r="AZ182" s="1">
        <f t="shared" ca="1" si="151"/>
        <v>68</v>
      </c>
      <c r="BA182" s="1">
        <f t="shared" ca="1" si="152"/>
        <v>6.7721276468981463E-3</v>
      </c>
      <c r="BV182" s="1">
        <f t="shared" ca="1" si="153"/>
        <v>0.44961374851867114</v>
      </c>
      <c r="BW182" s="1">
        <f t="shared" ca="1" si="154"/>
        <v>683</v>
      </c>
      <c r="BX182" s="1">
        <f t="shared" ca="1" si="155"/>
        <v>7.7300362653284962E-3</v>
      </c>
      <c r="BY182" s="1">
        <f t="shared" ca="1" si="156"/>
        <v>8.3342696573818001E-3</v>
      </c>
      <c r="BZ182" s="1">
        <f t="shared" ca="1" si="157"/>
        <v>0.81341477615232904</v>
      </c>
      <c r="CB182" s="1">
        <f t="shared" ca="1" si="158"/>
        <v>147</v>
      </c>
      <c r="CC182" s="1">
        <f t="shared" ca="1" si="159"/>
        <v>3</v>
      </c>
      <c r="CD182" s="1">
        <f t="shared" ca="1" si="160"/>
        <v>0.24827353430143598</v>
      </c>
      <c r="CE182" s="1">
        <f t="shared" ca="1" si="170"/>
        <v>0.58401512871715022</v>
      </c>
      <c r="CF182" s="1">
        <f t="shared" ca="1" si="170"/>
        <v>0.59812306058837506</v>
      </c>
      <c r="CH182" s="3">
        <f t="shared" ca="1" si="162"/>
        <v>0.80159128721451534</v>
      </c>
      <c r="CI182" s="3">
        <f t="shared" ca="1" si="163"/>
        <v>0.18615752645613282</v>
      </c>
      <c r="CJ182" s="3">
        <f t="shared" ca="1" si="164"/>
        <v>1935</v>
      </c>
      <c r="CK182" s="3">
        <f t="shared" ca="1" si="165"/>
        <v>4.8598676406904325E-3</v>
      </c>
      <c r="CL182" s="3">
        <f t="shared" ca="1" si="166"/>
        <v>0</v>
      </c>
      <c r="CM182" s="3"/>
      <c r="CN182" s="1">
        <f t="shared" ca="1" si="167"/>
        <v>17.772122668110203</v>
      </c>
      <c r="CO182" s="1">
        <f t="shared" ca="1" si="168"/>
        <v>0.26151947300839246</v>
      </c>
      <c r="CP182" s="1">
        <f t="shared" ca="1" si="169"/>
        <v>2</v>
      </c>
    </row>
    <row r="183" spans="2:94" x14ac:dyDescent="0.25">
      <c r="B183">
        <f t="shared" ca="1" si="114"/>
        <v>580</v>
      </c>
      <c r="C183">
        <f t="shared" ca="1" si="115"/>
        <v>24</v>
      </c>
      <c r="D183">
        <f t="shared" ca="1" si="116"/>
        <v>8.0923805343787625E-2</v>
      </c>
      <c r="F183" s="1">
        <f t="shared" ca="1" si="117"/>
        <v>8</v>
      </c>
      <c r="G183" s="1">
        <f t="shared" ca="1" si="118"/>
        <v>20</v>
      </c>
      <c r="H183" s="1">
        <f t="shared" ca="1" si="119"/>
        <v>2</v>
      </c>
      <c r="I183" s="1"/>
      <c r="J183" s="1">
        <f t="shared" ca="1" si="120"/>
        <v>27</v>
      </c>
      <c r="K183" s="1">
        <f t="shared" ca="1" si="121"/>
        <v>2.0258118627250559</v>
      </c>
      <c r="L183" s="1">
        <f t="shared" ca="1" si="122"/>
        <v>34</v>
      </c>
      <c r="M183" s="1"/>
      <c r="N183" s="1">
        <f t="shared" ca="1" si="123"/>
        <v>792</v>
      </c>
      <c r="O183" s="1">
        <f t="shared" ca="1" si="124"/>
        <v>10</v>
      </c>
      <c r="P183" s="1"/>
      <c r="Q183" s="1">
        <f t="shared" ca="1" si="125"/>
        <v>2.5639233332972364</v>
      </c>
      <c r="R183" s="1">
        <f t="shared" ca="1" si="126"/>
        <v>921</v>
      </c>
      <c r="S183" s="1"/>
      <c r="T183" s="1">
        <f t="shared" ca="1" si="127"/>
        <v>0.11786565899373168</v>
      </c>
      <c r="U183" s="1">
        <f t="shared" ca="1" si="128"/>
        <v>199</v>
      </c>
      <c r="V183" s="1">
        <f t="shared" ca="1" si="129"/>
        <v>45</v>
      </c>
      <c r="W183" s="1"/>
      <c r="X183" s="1">
        <f t="shared" ca="1" si="130"/>
        <v>5.6958914456283711</v>
      </c>
      <c r="Y183" s="1">
        <f t="shared" ca="1" si="131"/>
        <v>0.72809755390197539</v>
      </c>
      <c r="Z183" s="1">
        <f t="shared" ca="1" si="132"/>
        <v>660</v>
      </c>
      <c r="AB183" s="1">
        <f t="shared" ca="1" si="133"/>
        <v>6.8687489717488462E-2</v>
      </c>
      <c r="AC183" s="1">
        <f t="shared" ca="1" si="134"/>
        <v>528</v>
      </c>
      <c r="AD183" s="1">
        <f t="shared" ca="1" si="135"/>
        <v>1.6683652833908104E-3</v>
      </c>
      <c r="AE183" s="1"/>
      <c r="AF183" s="1">
        <f t="shared" ca="1" si="136"/>
        <v>0.73359952498052505</v>
      </c>
      <c r="AG183" s="1">
        <f t="shared" ca="1" si="137"/>
        <v>628</v>
      </c>
      <c r="AH183" s="1">
        <f t="shared" ca="1" si="138"/>
        <v>6.2005893852044676E-3</v>
      </c>
      <c r="AJ183" s="1">
        <f t="shared" ca="1" si="139"/>
        <v>0.47182373529973975</v>
      </c>
      <c r="AK183" s="1">
        <f t="shared" ca="1" si="140"/>
        <v>2.1526631790655701E-3</v>
      </c>
      <c r="AL183" s="1"/>
      <c r="AM183" s="1">
        <f t="shared" ca="1" si="141"/>
        <v>9.534486990690709E-2</v>
      </c>
      <c r="AN183" s="1">
        <f t="shared" ca="1" si="142"/>
        <v>65</v>
      </c>
      <c r="AO183" s="1">
        <f t="shared" ca="1" si="143"/>
        <v>7</v>
      </c>
      <c r="AQ183" s="1">
        <f t="shared" ca="1" si="144"/>
        <v>160</v>
      </c>
      <c r="AR183" s="1">
        <f t="shared" ca="1" si="145"/>
        <v>7</v>
      </c>
      <c r="AS183" s="1">
        <f t="shared" ca="1" si="146"/>
        <v>1</v>
      </c>
      <c r="AU183" s="1">
        <f t="shared" ca="1" si="147"/>
        <v>114</v>
      </c>
      <c r="AV183" s="1">
        <f t="shared" ca="1" si="148"/>
        <v>9</v>
      </c>
      <c r="AW183" s="1">
        <f t="shared" ca="1" si="149"/>
        <v>0.17095953342150313</v>
      </c>
      <c r="AY183" s="1">
        <f t="shared" ca="1" si="150"/>
        <v>1.7217892125899907</v>
      </c>
      <c r="AZ183" s="1">
        <f t="shared" ca="1" si="151"/>
        <v>56</v>
      </c>
      <c r="BA183" s="1">
        <f t="shared" ca="1" si="152"/>
        <v>6.0028337938174414E-3</v>
      </c>
      <c r="BV183" s="1">
        <f t="shared" ca="1" si="153"/>
        <v>0.3803987311450413</v>
      </c>
      <c r="BW183" s="1">
        <f t="shared" ca="1" si="154"/>
        <v>501</v>
      </c>
      <c r="BX183" s="1">
        <f t="shared" ca="1" si="155"/>
        <v>6.7704314163359713E-3</v>
      </c>
      <c r="BY183" s="1">
        <f t="shared" ca="1" si="156"/>
        <v>3.4163538127712556E-2</v>
      </c>
      <c r="BZ183" s="1">
        <f t="shared" ca="1" si="157"/>
        <v>0.31743091690368797</v>
      </c>
      <c r="CB183" s="1">
        <f t="shared" ca="1" si="158"/>
        <v>160</v>
      </c>
      <c r="CC183" s="1">
        <f t="shared" ca="1" si="159"/>
        <v>4</v>
      </c>
      <c r="CD183" s="1">
        <f t="shared" ca="1" si="160"/>
        <v>0.26954944642782713</v>
      </c>
      <c r="CE183" s="1">
        <f t="shared" ca="1" si="170"/>
        <v>0.83747038020407694</v>
      </c>
      <c r="CF183" s="1">
        <f t="shared" ca="1" si="170"/>
        <v>0.67483776669660034</v>
      </c>
      <c r="CH183" s="3">
        <f t="shared" ca="1" si="162"/>
        <v>0.14485835999140961</v>
      </c>
      <c r="CI183" s="3">
        <f t="shared" ca="1" si="163"/>
        <v>0.51134652343530251</v>
      </c>
      <c r="CJ183" s="3">
        <f t="shared" ca="1" si="164"/>
        <v>100</v>
      </c>
      <c r="CK183" s="3">
        <f t="shared" ca="1" si="165"/>
        <v>9.9169422698491844E-3</v>
      </c>
      <c r="CL183" s="3">
        <f t="shared" ca="1" si="166"/>
        <v>0</v>
      </c>
      <c r="CM183" s="3"/>
      <c r="CN183" s="1">
        <f t="shared" ca="1" si="167"/>
        <v>13.520089078572836</v>
      </c>
      <c r="CO183" s="1">
        <f t="shared" ca="1" si="168"/>
        <v>0.19410980371699854</v>
      </c>
      <c r="CP183" s="1">
        <f t="shared" ca="1" si="169"/>
        <v>2</v>
      </c>
    </row>
    <row r="184" spans="2:94" x14ac:dyDescent="0.25">
      <c r="B184">
        <f t="shared" ca="1" si="114"/>
        <v>688</v>
      </c>
      <c r="C184">
        <f t="shared" ca="1" si="115"/>
        <v>39</v>
      </c>
      <c r="D184">
        <f t="shared" ca="1" si="116"/>
        <v>0.18483493496068593</v>
      </c>
      <c r="F184" s="1">
        <f t="shared" ca="1" si="117"/>
        <v>2</v>
      </c>
      <c r="G184" s="1">
        <f t="shared" ca="1" si="118"/>
        <v>17</v>
      </c>
      <c r="H184" s="1">
        <f t="shared" ca="1" si="119"/>
        <v>12</v>
      </c>
      <c r="I184" s="1"/>
      <c r="J184" s="1">
        <f t="shared" ca="1" si="120"/>
        <v>11</v>
      </c>
      <c r="K184" s="1">
        <f t="shared" ca="1" si="121"/>
        <v>2.7807636315353492</v>
      </c>
      <c r="L184" s="1">
        <f t="shared" ca="1" si="122"/>
        <v>13</v>
      </c>
      <c r="M184" s="1"/>
      <c r="N184" s="1">
        <f t="shared" ca="1" si="123"/>
        <v>369</v>
      </c>
      <c r="O184" s="1">
        <f t="shared" ca="1" si="124"/>
        <v>5</v>
      </c>
      <c r="P184" s="1"/>
      <c r="Q184" s="1">
        <f t="shared" ca="1" si="125"/>
        <v>3.4176373713568715</v>
      </c>
      <c r="R184" s="1">
        <f t="shared" ca="1" si="126"/>
        <v>404</v>
      </c>
      <c r="S184" s="1"/>
      <c r="T184" s="1">
        <f t="shared" ca="1" si="127"/>
        <v>0.1771817176304244</v>
      </c>
      <c r="U184" s="1">
        <f t="shared" ca="1" si="128"/>
        <v>160</v>
      </c>
      <c r="V184" s="1">
        <f t="shared" ca="1" si="129"/>
        <v>5</v>
      </c>
      <c r="W184" s="1"/>
      <c r="X184" s="1">
        <f t="shared" ca="1" si="130"/>
        <v>9.7736209648487211</v>
      </c>
      <c r="Y184" s="1">
        <f t="shared" ca="1" si="131"/>
        <v>0.8987714707384451</v>
      </c>
      <c r="Z184" s="1">
        <f t="shared" ca="1" si="132"/>
        <v>1693</v>
      </c>
      <c r="AB184" s="1">
        <f t="shared" ca="1" si="133"/>
        <v>0.24060076423445007</v>
      </c>
      <c r="AC184" s="1">
        <f t="shared" ca="1" si="134"/>
        <v>337</v>
      </c>
      <c r="AD184" s="1">
        <f t="shared" ca="1" si="135"/>
        <v>9.2578327404446766E-3</v>
      </c>
      <c r="AE184" s="1"/>
      <c r="AF184" s="1">
        <f t="shared" ca="1" si="136"/>
        <v>0.71905865435097693</v>
      </c>
      <c r="AG184" s="1">
        <f t="shared" ca="1" si="137"/>
        <v>539</v>
      </c>
      <c r="AH184" s="1">
        <f t="shared" ca="1" si="138"/>
        <v>1.5226038830133055E-3</v>
      </c>
      <c r="AJ184" s="1">
        <f t="shared" ca="1" si="139"/>
        <v>0.18448996545963892</v>
      </c>
      <c r="AK184" s="1">
        <f t="shared" ca="1" si="140"/>
        <v>8.9635619690807584E-4</v>
      </c>
      <c r="AL184" s="1"/>
      <c r="AM184" s="1">
        <f t="shared" ca="1" si="141"/>
        <v>0.13153224639060068</v>
      </c>
      <c r="AN184" s="1">
        <f t="shared" ca="1" si="142"/>
        <v>26</v>
      </c>
      <c r="AO184" s="1">
        <f t="shared" ca="1" si="143"/>
        <v>0</v>
      </c>
      <c r="AQ184" s="1">
        <f t="shared" ca="1" si="144"/>
        <v>181</v>
      </c>
      <c r="AR184" s="1">
        <f t="shared" ca="1" si="145"/>
        <v>10</v>
      </c>
      <c r="AS184" s="1">
        <f t="shared" ca="1" si="146"/>
        <v>64</v>
      </c>
      <c r="AU184" s="1">
        <f t="shared" ca="1" si="147"/>
        <v>170</v>
      </c>
      <c r="AV184" s="1">
        <f t="shared" ca="1" si="148"/>
        <v>9</v>
      </c>
      <c r="AW184" s="1">
        <f t="shared" ca="1" si="149"/>
        <v>6.1802375863413569E-2</v>
      </c>
      <c r="AY184" s="1">
        <f t="shared" ca="1" si="150"/>
        <v>1.8378313209470862</v>
      </c>
      <c r="AZ184" s="1">
        <f t="shared" ca="1" si="151"/>
        <v>63</v>
      </c>
      <c r="BA184" s="1">
        <f t="shared" ca="1" si="152"/>
        <v>7.3160048706190344E-3</v>
      </c>
      <c r="BV184" s="1">
        <f t="shared" ca="1" si="153"/>
        <v>0.99548861053870663</v>
      </c>
      <c r="BW184" s="1">
        <f t="shared" ca="1" si="154"/>
        <v>217</v>
      </c>
      <c r="BX184" s="1">
        <f t="shared" ca="1" si="155"/>
        <v>3.5465952271126139E-3</v>
      </c>
      <c r="BY184" s="1">
        <f t="shared" ca="1" si="156"/>
        <v>4.4658199043437444E-2</v>
      </c>
      <c r="BZ184" s="1">
        <f t="shared" ca="1" si="157"/>
        <v>8.5730305668608064E-2</v>
      </c>
      <c r="CB184" s="1">
        <f t="shared" ca="1" si="158"/>
        <v>158</v>
      </c>
      <c r="CC184" s="1">
        <f t="shared" ca="1" si="159"/>
        <v>4</v>
      </c>
      <c r="CD184" s="1">
        <f t="shared" ca="1" si="160"/>
        <v>5.3425737712556182E-2</v>
      </c>
      <c r="CE184" s="1">
        <f t="shared" ca="1" si="170"/>
        <v>0.97387640717112789</v>
      </c>
      <c r="CF184" s="1">
        <f t="shared" ca="1" si="170"/>
        <v>0.54346223375394664</v>
      </c>
      <c r="CH184" s="3">
        <f t="shared" ca="1" si="162"/>
        <v>0.45685430726839882</v>
      </c>
      <c r="CI184" s="3">
        <f t="shared" ca="1" si="163"/>
        <v>0.8146486981850698</v>
      </c>
      <c r="CJ184" s="3">
        <f t="shared" ca="1" si="164"/>
        <v>1126</v>
      </c>
      <c r="CK184" s="3">
        <f t="shared" ca="1" si="165"/>
        <v>1.1757627692657415E-3</v>
      </c>
      <c r="CL184" s="3">
        <f t="shared" ca="1" si="166"/>
        <v>1</v>
      </c>
      <c r="CM184" s="3"/>
      <c r="CN184" s="1">
        <f t="shared" ca="1" si="167"/>
        <v>0.28440527722256936</v>
      </c>
      <c r="CO184" s="1">
        <f t="shared" ca="1" si="168"/>
        <v>0.34225600391718375</v>
      </c>
      <c r="CP184" s="1">
        <f t="shared" ca="1" si="169"/>
        <v>2</v>
      </c>
    </row>
    <row r="185" spans="2:94" x14ac:dyDescent="0.25">
      <c r="B185">
        <f t="shared" ca="1" si="114"/>
        <v>221</v>
      </c>
      <c r="C185">
        <f t="shared" ca="1" si="115"/>
        <v>10</v>
      </c>
      <c r="D185">
        <f t="shared" ca="1" si="116"/>
        <v>0.15884467533574634</v>
      </c>
      <c r="F185" s="1">
        <f t="shared" ca="1" si="117"/>
        <v>52</v>
      </c>
      <c r="G185" s="1">
        <f t="shared" ca="1" si="118"/>
        <v>11</v>
      </c>
      <c r="H185" s="1">
        <f t="shared" ca="1" si="119"/>
        <v>9</v>
      </c>
      <c r="I185" s="1"/>
      <c r="J185" s="1">
        <f t="shared" ca="1" si="120"/>
        <v>26</v>
      </c>
      <c r="K185" s="1">
        <f t="shared" ca="1" si="121"/>
        <v>2.7999109957699924</v>
      </c>
      <c r="L185" s="1">
        <f t="shared" ca="1" si="122"/>
        <v>31</v>
      </c>
      <c r="M185" s="1"/>
      <c r="N185" s="1">
        <f t="shared" ca="1" si="123"/>
        <v>239</v>
      </c>
      <c r="O185" s="1">
        <f t="shared" ca="1" si="124"/>
        <v>24</v>
      </c>
      <c r="P185" s="1"/>
      <c r="Q185" s="1">
        <f t="shared" ca="1" si="125"/>
        <v>3.8769783003293861</v>
      </c>
      <c r="R185" s="1">
        <f t="shared" ca="1" si="126"/>
        <v>327</v>
      </c>
      <c r="S185" s="1"/>
      <c r="T185" s="1">
        <f t="shared" ca="1" si="127"/>
        <v>7.7644652179557211E-2</v>
      </c>
      <c r="U185" s="1">
        <f t="shared" ca="1" si="128"/>
        <v>368</v>
      </c>
      <c r="V185" s="1">
        <f t="shared" ca="1" si="129"/>
        <v>8</v>
      </c>
      <c r="W185" s="1"/>
      <c r="X185" s="1">
        <f t="shared" ca="1" si="130"/>
        <v>7.8611386526048443</v>
      </c>
      <c r="Y185" s="1">
        <f t="shared" ca="1" si="131"/>
        <v>0.5928077181698207</v>
      </c>
      <c r="Z185" s="1">
        <f t="shared" ca="1" si="132"/>
        <v>825</v>
      </c>
      <c r="AB185" s="1">
        <f t="shared" ca="1" si="133"/>
        <v>0.45746324323149662</v>
      </c>
      <c r="AC185" s="1">
        <f t="shared" ca="1" si="134"/>
        <v>840</v>
      </c>
      <c r="AD185" s="1">
        <f t="shared" ca="1" si="135"/>
        <v>5.957059377754997E-4</v>
      </c>
      <c r="AE185" s="1"/>
      <c r="AF185" s="1">
        <f t="shared" ca="1" si="136"/>
        <v>0.30117617836677535</v>
      </c>
      <c r="AG185" s="1">
        <f t="shared" ca="1" si="137"/>
        <v>769</v>
      </c>
      <c r="AH185" s="1">
        <f t="shared" ca="1" si="138"/>
        <v>1.2018716285698997E-3</v>
      </c>
      <c r="AJ185" s="1">
        <f t="shared" ca="1" si="139"/>
        <v>0.90989779273175686</v>
      </c>
      <c r="AK185" s="1">
        <f t="shared" ca="1" si="140"/>
        <v>8.3778487897801825E-3</v>
      </c>
      <c r="AL185" s="1"/>
      <c r="AM185" s="1">
        <f t="shared" ca="1" si="141"/>
        <v>0.1236827833989091</v>
      </c>
      <c r="AN185" s="1">
        <f t="shared" ca="1" si="142"/>
        <v>52</v>
      </c>
      <c r="AO185" s="1">
        <f t="shared" ca="1" si="143"/>
        <v>1</v>
      </c>
      <c r="AQ185" s="1">
        <f t="shared" ca="1" si="144"/>
        <v>95</v>
      </c>
      <c r="AR185" s="1">
        <f t="shared" ca="1" si="145"/>
        <v>4</v>
      </c>
      <c r="AS185" s="1">
        <f t="shared" ca="1" si="146"/>
        <v>13</v>
      </c>
      <c r="AU185" s="1">
        <f t="shared" ca="1" si="147"/>
        <v>277</v>
      </c>
      <c r="AV185" s="1">
        <f t="shared" ca="1" si="148"/>
        <v>7</v>
      </c>
      <c r="AW185" s="1">
        <f t="shared" ca="1" si="149"/>
        <v>0.19397874187006447</v>
      </c>
      <c r="AY185" s="1">
        <f t="shared" ca="1" si="150"/>
        <v>1.2722953518161757</v>
      </c>
      <c r="AZ185" s="1">
        <f t="shared" ca="1" si="151"/>
        <v>53</v>
      </c>
      <c r="BA185" s="1">
        <f t="shared" ca="1" si="152"/>
        <v>1.0970286874033221E-3</v>
      </c>
      <c r="BV185" s="1">
        <f t="shared" ca="1" si="153"/>
        <v>0.286966709209656</v>
      </c>
      <c r="BW185" s="1">
        <f t="shared" ca="1" si="154"/>
        <v>986</v>
      </c>
      <c r="BX185" s="1">
        <f t="shared" ca="1" si="155"/>
        <v>2.2139625276348709E-4</v>
      </c>
      <c r="BY185" s="1">
        <f t="shared" ca="1" si="156"/>
        <v>8.8157124049772408E-3</v>
      </c>
      <c r="BZ185" s="1">
        <f t="shared" ca="1" si="157"/>
        <v>0.63782510107078694</v>
      </c>
      <c r="CB185" s="1">
        <f t="shared" ca="1" si="158"/>
        <v>78</v>
      </c>
      <c r="CC185" s="1">
        <f t="shared" ca="1" si="159"/>
        <v>15</v>
      </c>
      <c r="CD185" s="1">
        <f t="shared" ca="1" si="160"/>
        <v>0.2589057743796323</v>
      </c>
      <c r="CE185" s="1">
        <f t="shared" ca="1" si="170"/>
        <v>0.94894324071511682</v>
      </c>
      <c r="CF185" s="1">
        <f t="shared" ca="1" si="170"/>
        <v>0.81334133555174704</v>
      </c>
      <c r="CH185" s="3">
        <f t="shared" ca="1" si="162"/>
        <v>7.4903418941029087E-2</v>
      </c>
      <c r="CI185" s="3">
        <f t="shared" ca="1" si="163"/>
        <v>0.51633998605549558</v>
      </c>
      <c r="CJ185" s="3">
        <f t="shared" ca="1" si="164"/>
        <v>515</v>
      </c>
      <c r="CK185" s="3">
        <f t="shared" ca="1" si="165"/>
        <v>2.2300235157577831E-3</v>
      </c>
      <c r="CL185" s="3">
        <f t="shared" ca="1" si="166"/>
        <v>1</v>
      </c>
      <c r="CM185" s="3"/>
      <c r="CN185" s="1">
        <f t="shared" ca="1" si="167"/>
        <v>2.3996364718417693</v>
      </c>
      <c r="CO185" s="1">
        <f t="shared" ca="1" si="168"/>
        <v>0.35617994600517666</v>
      </c>
      <c r="CP185" s="1">
        <f t="shared" ca="1" si="169"/>
        <v>2</v>
      </c>
    </row>
    <row r="186" spans="2:94" x14ac:dyDescent="0.25">
      <c r="B186">
        <f t="shared" ca="1" si="114"/>
        <v>845</v>
      </c>
      <c r="C186">
        <f t="shared" ca="1" si="115"/>
        <v>47</v>
      </c>
      <c r="D186">
        <f t="shared" ca="1" si="116"/>
        <v>0.10773419056405405</v>
      </c>
      <c r="F186" s="1">
        <f t="shared" ca="1" si="117"/>
        <v>11</v>
      </c>
      <c r="G186" s="1">
        <f t="shared" ca="1" si="118"/>
        <v>25</v>
      </c>
      <c r="H186" s="1">
        <f t="shared" ca="1" si="119"/>
        <v>11</v>
      </c>
      <c r="I186" s="1"/>
      <c r="J186" s="1">
        <f t="shared" ca="1" si="120"/>
        <v>33</v>
      </c>
      <c r="K186" s="1">
        <f t="shared" ca="1" si="121"/>
        <v>1.8370914535551726</v>
      </c>
      <c r="L186" s="1">
        <f t="shared" ca="1" si="122"/>
        <v>3</v>
      </c>
      <c r="M186" s="1"/>
      <c r="N186" s="1">
        <f t="shared" ca="1" si="123"/>
        <v>375</v>
      </c>
      <c r="O186" s="1">
        <f t="shared" ca="1" si="124"/>
        <v>6</v>
      </c>
      <c r="P186" s="1"/>
      <c r="Q186" s="1">
        <f t="shared" ca="1" si="125"/>
        <v>3.3112580049742255</v>
      </c>
      <c r="R186" s="1">
        <f t="shared" ca="1" si="126"/>
        <v>441</v>
      </c>
      <c r="S186" s="1"/>
      <c r="T186" s="1">
        <f t="shared" ca="1" si="127"/>
        <v>1.1775032933785521E-2</v>
      </c>
      <c r="U186" s="1">
        <f t="shared" ca="1" si="128"/>
        <v>366</v>
      </c>
      <c r="V186" s="1">
        <f t="shared" ca="1" si="129"/>
        <v>13</v>
      </c>
      <c r="W186" s="1"/>
      <c r="X186" s="1">
        <f t="shared" ca="1" si="130"/>
        <v>7.1090663531871279</v>
      </c>
      <c r="Y186" s="1">
        <f t="shared" ca="1" si="131"/>
        <v>0.16690115069085623</v>
      </c>
      <c r="Z186" s="1">
        <f t="shared" ca="1" si="132"/>
        <v>663</v>
      </c>
      <c r="AB186" s="1">
        <f t="shared" ca="1" si="133"/>
        <v>0.67146673585540262</v>
      </c>
      <c r="AC186" s="1">
        <f t="shared" ca="1" si="134"/>
        <v>760</v>
      </c>
      <c r="AD186" s="1">
        <f t="shared" ca="1" si="135"/>
        <v>8.2911043009013027E-3</v>
      </c>
      <c r="AE186" s="1"/>
      <c r="AF186" s="1">
        <f t="shared" ca="1" si="136"/>
        <v>0.82402377893803569</v>
      </c>
      <c r="AG186" s="1">
        <f t="shared" ca="1" si="137"/>
        <v>169</v>
      </c>
      <c r="AH186" s="1">
        <f t="shared" ca="1" si="138"/>
        <v>8.3073267288997985E-3</v>
      </c>
      <c r="AJ186" s="1">
        <f t="shared" ca="1" si="139"/>
        <v>0.53623194677256081</v>
      </c>
      <c r="AK186" s="1">
        <f t="shared" ca="1" si="140"/>
        <v>2.4642974353235433E-4</v>
      </c>
      <c r="AL186" s="1"/>
      <c r="AM186" s="1">
        <f t="shared" ca="1" si="141"/>
        <v>0.11140820258726565</v>
      </c>
      <c r="AN186" s="1">
        <f t="shared" ca="1" si="142"/>
        <v>63</v>
      </c>
      <c r="AO186" s="1">
        <f t="shared" ca="1" si="143"/>
        <v>6</v>
      </c>
      <c r="AQ186" s="1">
        <f t="shared" ca="1" si="144"/>
        <v>60</v>
      </c>
      <c r="AR186" s="1">
        <f t="shared" ca="1" si="145"/>
        <v>5</v>
      </c>
      <c r="AS186" s="1">
        <f t="shared" ca="1" si="146"/>
        <v>21</v>
      </c>
      <c r="AU186" s="1">
        <f t="shared" ca="1" si="147"/>
        <v>184</v>
      </c>
      <c r="AV186" s="1">
        <f t="shared" ca="1" si="148"/>
        <v>8</v>
      </c>
      <c r="AW186" s="1">
        <f t="shared" ca="1" si="149"/>
        <v>2.1088992893747684E-2</v>
      </c>
      <c r="AY186" s="1">
        <f t="shared" ca="1" si="150"/>
        <v>1.1130982498070732</v>
      </c>
      <c r="AZ186" s="1">
        <f t="shared" ca="1" si="151"/>
        <v>373</v>
      </c>
      <c r="BA186" s="1">
        <f t="shared" ca="1" si="152"/>
        <v>1.1632234381403039E-3</v>
      </c>
      <c r="BV186" s="1">
        <f t="shared" ca="1" si="153"/>
        <v>0.70050985525972165</v>
      </c>
      <c r="BW186" s="1">
        <f t="shared" ca="1" si="154"/>
        <v>581</v>
      </c>
      <c r="BX186" s="1">
        <f t="shared" ca="1" si="155"/>
        <v>9.5960614470978593E-4</v>
      </c>
      <c r="BY186" s="1">
        <f t="shared" ca="1" si="156"/>
        <v>6.612085581545693E-2</v>
      </c>
      <c r="BZ186" s="1">
        <f t="shared" ca="1" si="157"/>
        <v>0.92894750670444981</v>
      </c>
      <c r="CB186" s="1">
        <f t="shared" ca="1" si="158"/>
        <v>321</v>
      </c>
      <c r="CC186" s="1">
        <f t="shared" ca="1" si="159"/>
        <v>4</v>
      </c>
      <c r="CD186" s="1">
        <f t="shared" ca="1" si="160"/>
        <v>0.14623944419220891</v>
      </c>
      <c r="CE186" s="1">
        <f t="shared" ca="1" si="170"/>
        <v>0.71768356331574212</v>
      </c>
      <c r="CF186" s="1">
        <f t="shared" ca="1" si="170"/>
        <v>0.87756760861968797</v>
      </c>
      <c r="CH186" s="3">
        <f t="shared" ca="1" si="162"/>
        <v>0.32077661365398946</v>
      </c>
      <c r="CI186" s="3">
        <f t="shared" ca="1" si="163"/>
        <v>0.7680493935740913</v>
      </c>
      <c r="CJ186" s="3">
        <f t="shared" ca="1" si="164"/>
        <v>1934</v>
      </c>
      <c r="CK186" s="3">
        <f t="shared" ca="1" si="165"/>
        <v>2.2273504165095151E-3</v>
      </c>
      <c r="CL186" s="3">
        <f t="shared" ca="1" si="166"/>
        <v>1</v>
      </c>
      <c r="CM186" s="3"/>
      <c r="CN186" s="1">
        <f t="shared" ca="1" si="167"/>
        <v>16.912135952203823</v>
      </c>
      <c r="CO186" s="1">
        <f t="shared" ca="1" si="168"/>
        <v>2.5038110764175225E-2</v>
      </c>
      <c r="CP186" s="1">
        <f t="shared" ca="1" si="169"/>
        <v>1</v>
      </c>
    </row>
    <row r="187" spans="2:94" x14ac:dyDescent="0.25">
      <c r="B187">
        <f t="shared" ca="1" si="114"/>
        <v>650</v>
      </c>
      <c r="C187">
        <f t="shared" ca="1" si="115"/>
        <v>6</v>
      </c>
      <c r="D187">
        <f t="shared" ca="1" si="116"/>
        <v>2.5351400813090362E-2</v>
      </c>
      <c r="F187" s="1">
        <f t="shared" ca="1" si="117"/>
        <v>25</v>
      </c>
      <c r="G187" s="1">
        <f t="shared" ca="1" si="118"/>
        <v>13</v>
      </c>
      <c r="H187" s="1">
        <f t="shared" ca="1" si="119"/>
        <v>5</v>
      </c>
      <c r="I187" s="1"/>
      <c r="J187" s="1">
        <f t="shared" ca="1" si="120"/>
        <v>3</v>
      </c>
      <c r="K187" s="1">
        <f t="shared" ca="1" si="121"/>
        <v>1.1880826955264623</v>
      </c>
      <c r="L187" s="1">
        <f t="shared" ca="1" si="122"/>
        <v>2</v>
      </c>
      <c r="M187" s="1"/>
      <c r="N187" s="1">
        <f t="shared" ca="1" si="123"/>
        <v>466</v>
      </c>
      <c r="O187" s="1">
        <f t="shared" ca="1" si="124"/>
        <v>30</v>
      </c>
      <c r="P187" s="1"/>
      <c r="Q187" s="1">
        <f t="shared" ca="1" si="125"/>
        <v>4.8597243310815124</v>
      </c>
      <c r="R187" s="1">
        <f t="shared" ca="1" si="126"/>
        <v>418</v>
      </c>
      <c r="S187" s="1"/>
      <c r="T187" s="1">
        <f t="shared" ca="1" si="127"/>
        <v>0.10525345636635022</v>
      </c>
      <c r="U187" s="1">
        <f t="shared" ca="1" si="128"/>
        <v>294</v>
      </c>
      <c r="V187" s="1">
        <f t="shared" ca="1" si="129"/>
        <v>8</v>
      </c>
      <c r="W187" s="1"/>
      <c r="X187" s="1">
        <f t="shared" ca="1" si="130"/>
        <v>2.0834036597705654</v>
      </c>
      <c r="Y187" s="1">
        <f t="shared" ca="1" si="131"/>
        <v>0.42935821071364044</v>
      </c>
      <c r="Z187" s="1">
        <f t="shared" ca="1" si="132"/>
        <v>1523</v>
      </c>
      <c r="AB187" s="1">
        <f t="shared" ca="1" si="133"/>
        <v>0.82327732357074834</v>
      </c>
      <c r="AC187" s="1">
        <f t="shared" ca="1" si="134"/>
        <v>710</v>
      </c>
      <c r="AD187" s="1">
        <f t="shared" ca="1" si="135"/>
        <v>1.0213167208494016E-3</v>
      </c>
      <c r="AE187" s="1"/>
      <c r="AF187" s="1">
        <f t="shared" ca="1" si="136"/>
        <v>0.26810689562932649</v>
      </c>
      <c r="AG187" s="1">
        <f t="shared" ca="1" si="137"/>
        <v>645</v>
      </c>
      <c r="AH187" s="1">
        <f t="shared" ca="1" si="138"/>
        <v>4.940884311335025E-3</v>
      </c>
      <c r="AJ187" s="1">
        <f t="shared" ca="1" si="139"/>
        <v>0.86026709630149445</v>
      </c>
      <c r="AK187" s="1">
        <f t="shared" ca="1" si="140"/>
        <v>4.355220903775687E-3</v>
      </c>
      <c r="AL187" s="1"/>
      <c r="AM187" s="1">
        <f t="shared" ca="1" si="141"/>
        <v>0.17911929962301223</v>
      </c>
      <c r="AN187" s="1">
        <f t="shared" ca="1" si="142"/>
        <v>64</v>
      </c>
      <c r="AO187" s="1">
        <f t="shared" ca="1" si="143"/>
        <v>5</v>
      </c>
      <c r="AQ187" s="1">
        <f t="shared" ca="1" si="144"/>
        <v>91</v>
      </c>
      <c r="AR187" s="1">
        <f t="shared" ca="1" si="145"/>
        <v>9</v>
      </c>
      <c r="AS187" s="1">
        <f t="shared" ca="1" si="146"/>
        <v>62</v>
      </c>
      <c r="AU187" s="1">
        <f t="shared" ca="1" si="147"/>
        <v>53</v>
      </c>
      <c r="AV187" s="1">
        <f t="shared" ca="1" si="148"/>
        <v>4</v>
      </c>
      <c r="AW187" s="1">
        <f t="shared" ca="1" si="149"/>
        <v>0.13056288810968464</v>
      </c>
      <c r="AY187" s="1">
        <f t="shared" ca="1" si="150"/>
        <v>1.6456587327812449</v>
      </c>
      <c r="AZ187" s="1">
        <f t="shared" ca="1" si="151"/>
        <v>135</v>
      </c>
      <c r="BA187" s="1">
        <f t="shared" ca="1" si="152"/>
        <v>3.7198884318399416E-3</v>
      </c>
      <c r="BV187" s="1">
        <f t="shared" ca="1" si="153"/>
        <v>0.26907471473375133</v>
      </c>
      <c r="BW187" s="1">
        <f t="shared" ca="1" si="154"/>
        <v>391</v>
      </c>
      <c r="BX187" s="1">
        <f t="shared" ca="1" si="155"/>
        <v>7.9140523138903351E-3</v>
      </c>
      <c r="BY187" s="1">
        <f t="shared" ca="1" si="156"/>
        <v>4.8235732343159962E-2</v>
      </c>
      <c r="BZ187" s="1">
        <f t="shared" ca="1" si="157"/>
        <v>0.43016953856789197</v>
      </c>
      <c r="CB187" s="1">
        <f t="shared" ca="1" si="158"/>
        <v>265</v>
      </c>
      <c r="CC187" s="1">
        <f t="shared" ca="1" si="159"/>
        <v>13</v>
      </c>
      <c r="CD187" s="1">
        <f t="shared" ca="1" si="160"/>
        <v>0.12493405247555089</v>
      </c>
      <c r="CE187" s="1">
        <f t="shared" ca="1" si="170"/>
        <v>0.93884965525112229</v>
      </c>
      <c r="CF187" s="1">
        <f t="shared" ca="1" si="170"/>
        <v>0.70781882972187393</v>
      </c>
      <c r="CH187" s="3">
        <f t="shared" ca="1" si="162"/>
        <v>0.43885558984455225</v>
      </c>
      <c r="CI187" s="3">
        <f t="shared" ca="1" si="163"/>
        <v>0.49758749194983476</v>
      </c>
      <c r="CJ187" s="3">
        <f t="shared" ca="1" si="164"/>
        <v>1610</v>
      </c>
      <c r="CK187" s="3">
        <f t="shared" ca="1" si="165"/>
        <v>9.0055242539515828E-3</v>
      </c>
      <c r="CL187" s="3">
        <f t="shared" ca="1" si="166"/>
        <v>1</v>
      </c>
      <c r="CM187" s="3"/>
      <c r="CN187" s="1">
        <f t="shared" ca="1" si="167"/>
        <v>6.586484743228274</v>
      </c>
      <c r="CO187" s="1">
        <f t="shared" ca="1" si="168"/>
        <v>0.45500181426704167</v>
      </c>
      <c r="CP187" s="1">
        <f t="shared" ca="1" si="169"/>
        <v>2</v>
      </c>
    </row>
    <row r="188" spans="2:94" x14ac:dyDescent="0.25">
      <c r="B188">
        <f t="shared" ca="1" si="114"/>
        <v>790</v>
      </c>
      <c r="C188">
        <f t="shared" ca="1" si="115"/>
        <v>41</v>
      </c>
      <c r="D188">
        <f t="shared" ca="1" si="116"/>
        <v>5.6290247587259944E-2</v>
      </c>
      <c r="F188" s="1">
        <f t="shared" ca="1" si="117"/>
        <v>19</v>
      </c>
      <c r="G188" s="1">
        <f t="shared" ca="1" si="118"/>
        <v>12</v>
      </c>
      <c r="H188" s="1">
        <f t="shared" ca="1" si="119"/>
        <v>6</v>
      </c>
      <c r="I188" s="1"/>
      <c r="J188" s="1">
        <f t="shared" ca="1" si="120"/>
        <v>29</v>
      </c>
      <c r="K188" s="1">
        <f t="shared" ca="1" si="121"/>
        <v>2.6736999961685886</v>
      </c>
      <c r="L188" s="1">
        <f t="shared" ca="1" si="122"/>
        <v>20</v>
      </c>
      <c r="M188" s="1"/>
      <c r="N188" s="1">
        <f t="shared" ca="1" si="123"/>
        <v>729</v>
      </c>
      <c r="O188" s="1">
        <f t="shared" ca="1" si="124"/>
        <v>31</v>
      </c>
      <c r="P188" s="1"/>
      <c r="Q188" s="1">
        <f t="shared" ca="1" si="125"/>
        <v>2.410247349405866</v>
      </c>
      <c r="R188" s="1">
        <f t="shared" ca="1" si="126"/>
        <v>637</v>
      </c>
      <c r="S188" s="1"/>
      <c r="T188" s="1">
        <f t="shared" ca="1" si="127"/>
        <v>9.9965527114373426E-2</v>
      </c>
      <c r="U188" s="1">
        <f t="shared" ca="1" si="128"/>
        <v>351</v>
      </c>
      <c r="V188" s="1">
        <f t="shared" ca="1" si="129"/>
        <v>25</v>
      </c>
      <c r="W188" s="1"/>
      <c r="X188" s="1">
        <f t="shared" ca="1" si="130"/>
        <v>1.119808606320243</v>
      </c>
      <c r="Y188" s="1">
        <f t="shared" ca="1" si="131"/>
        <v>0.92111408916691473</v>
      </c>
      <c r="Z188" s="1">
        <f t="shared" ca="1" si="132"/>
        <v>715</v>
      </c>
      <c r="AB188" s="1">
        <f t="shared" ca="1" si="133"/>
        <v>0.94380717000568937</v>
      </c>
      <c r="AC188" s="1">
        <f t="shared" ca="1" si="134"/>
        <v>120</v>
      </c>
      <c r="AD188" s="1">
        <f t="shared" ca="1" si="135"/>
        <v>5.2627358618569479E-3</v>
      </c>
      <c r="AE188" s="1"/>
      <c r="AF188" s="1">
        <f t="shared" ca="1" si="136"/>
        <v>0.81436654378895357</v>
      </c>
      <c r="AG188" s="1">
        <f t="shared" ca="1" si="137"/>
        <v>121</v>
      </c>
      <c r="AH188" s="1">
        <f t="shared" ca="1" si="138"/>
        <v>1.5736390937818043E-3</v>
      </c>
      <c r="AJ188" s="1">
        <f t="shared" ca="1" si="139"/>
        <v>0.92535299218975309</v>
      </c>
      <c r="AK188" s="1">
        <f t="shared" ca="1" si="140"/>
        <v>4.9643354101000792E-3</v>
      </c>
      <c r="AL188" s="1"/>
      <c r="AM188" s="1">
        <f t="shared" ca="1" si="141"/>
        <v>7.9164843106561841E-2</v>
      </c>
      <c r="AN188" s="1">
        <f t="shared" ca="1" si="142"/>
        <v>15</v>
      </c>
      <c r="AO188" s="1">
        <f t="shared" ca="1" si="143"/>
        <v>17</v>
      </c>
      <c r="AQ188" s="1">
        <f t="shared" ca="1" si="144"/>
        <v>106</v>
      </c>
      <c r="AR188" s="1">
        <f t="shared" ca="1" si="145"/>
        <v>5</v>
      </c>
      <c r="AS188" s="1">
        <f t="shared" ca="1" si="146"/>
        <v>38</v>
      </c>
      <c r="AU188" s="1">
        <f t="shared" ca="1" si="147"/>
        <v>280</v>
      </c>
      <c r="AV188" s="1">
        <f t="shared" ca="1" si="148"/>
        <v>10</v>
      </c>
      <c r="AW188" s="1">
        <f t="shared" ca="1" si="149"/>
        <v>0.14897561170704746</v>
      </c>
      <c r="AY188" s="1">
        <f t="shared" ca="1" si="150"/>
        <v>1.4741260388147812</v>
      </c>
      <c r="AZ188" s="1">
        <f t="shared" ca="1" si="151"/>
        <v>204</v>
      </c>
      <c r="BA188" s="1">
        <f t="shared" ca="1" si="152"/>
        <v>9.5335537884657807E-3</v>
      </c>
      <c r="BV188" s="1">
        <f t="shared" ca="1" si="153"/>
        <v>0.95441166739199668</v>
      </c>
      <c r="BW188" s="1">
        <f t="shared" ca="1" si="154"/>
        <v>871</v>
      </c>
      <c r="BX188" s="1">
        <f t="shared" ca="1" si="155"/>
        <v>3.7876680935076918E-4</v>
      </c>
      <c r="BY188" s="1">
        <f t="shared" ca="1" si="156"/>
        <v>5.611470545288532E-2</v>
      </c>
      <c r="BZ188" s="1">
        <f t="shared" ca="1" si="157"/>
        <v>0.14665061713090455</v>
      </c>
      <c r="CB188" s="1">
        <f t="shared" ca="1" si="158"/>
        <v>213</v>
      </c>
      <c r="CC188" s="1">
        <f t="shared" ca="1" si="159"/>
        <v>13</v>
      </c>
      <c r="CD188" s="1">
        <f t="shared" ca="1" si="160"/>
        <v>0.28423730845093892</v>
      </c>
      <c r="CE188" s="1">
        <f t="shared" ca="1" si="170"/>
        <v>0.96183612372319494</v>
      </c>
      <c r="CF188" s="1">
        <f t="shared" ca="1" si="170"/>
        <v>0.63204675495337193</v>
      </c>
      <c r="CH188" s="3">
        <f t="shared" ca="1" si="162"/>
        <v>0.95931589647923832</v>
      </c>
      <c r="CI188" s="3">
        <f t="shared" ca="1" si="163"/>
        <v>0.78400218198674121</v>
      </c>
      <c r="CJ188" s="3">
        <f t="shared" ca="1" si="164"/>
        <v>1791</v>
      </c>
      <c r="CK188" s="3">
        <f t="shared" ca="1" si="165"/>
        <v>8.953378675919001E-3</v>
      </c>
      <c r="CL188" s="3">
        <f t="shared" ca="1" si="166"/>
        <v>0</v>
      </c>
      <c r="CM188" s="3"/>
      <c r="CN188" s="1">
        <f t="shared" ca="1" si="167"/>
        <v>15.458474607315793</v>
      </c>
      <c r="CO188" s="1">
        <f t="shared" ca="1" si="168"/>
        <v>0.36771434846663437</v>
      </c>
      <c r="CP188" s="1">
        <f t="shared" ca="1" si="169"/>
        <v>4</v>
      </c>
    </row>
    <row r="189" spans="2:94" x14ac:dyDescent="0.25">
      <c r="B189">
        <f t="shared" ca="1" si="114"/>
        <v>949</v>
      </c>
      <c r="C189">
        <f t="shared" ca="1" si="115"/>
        <v>26</v>
      </c>
      <c r="D189">
        <f t="shared" ca="1" si="116"/>
        <v>9.7297303708064956E-2</v>
      </c>
      <c r="F189" s="1">
        <f t="shared" ca="1" si="117"/>
        <v>11</v>
      </c>
      <c r="G189" s="1">
        <f t="shared" ca="1" si="118"/>
        <v>4</v>
      </c>
      <c r="H189" s="1">
        <f t="shared" ca="1" si="119"/>
        <v>7</v>
      </c>
      <c r="I189" s="1"/>
      <c r="J189" s="1">
        <f t="shared" ca="1" si="120"/>
        <v>33</v>
      </c>
      <c r="K189" s="1">
        <f t="shared" ca="1" si="121"/>
        <v>1.9283671268087721</v>
      </c>
      <c r="L189" s="1">
        <f t="shared" ca="1" si="122"/>
        <v>19</v>
      </c>
      <c r="M189" s="1"/>
      <c r="N189" s="1">
        <f t="shared" ca="1" si="123"/>
        <v>644</v>
      </c>
      <c r="O189" s="1">
        <f t="shared" ca="1" si="124"/>
        <v>7</v>
      </c>
      <c r="P189" s="1"/>
      <c r="Q189" s="1">
        <f t="shared" ca="1" si="125"/>
        <v>2.7373321460758548</v>
      </c>
      <c r="R189" s="1">
        <f t="shared" ca="1" si="126"/>
        <v>560</v>
      </c>
      <c r="S189" s="1"/>
      <c r="T189" s="1">
        <f t="shared" ca="1" si="127"/>
        <v>0.10833872586982772</v>
      </c>
      <c r="U189" s="1">
        <f t="shared" ca="1" si="128"/>
        <v>131</v>
      </c>
      <c r="V189" s="1">
        <f t="shared" ca="1" si="129"/>
        <v>19</v>
      </c>
      <c r="W189" s="1"/>
      <c r="X189" s="1">
        <f t="shared" ca="1" si="130"/>
        <v>2.6557062134442075</v>
      </c>
      <c r="Y189" s="1">
        <f t="shared" ca="1" si="131"/>
        <v>0.42374782301751729</v>
      </c>
      <c r="Z189" s="1">
        <f t="shared" ca="1" si="132"/>
        <v>718</v>
      </c>
      <c r="AB189" s="1">
        <f t="shared" ca="1" si="133"/>
        <v>0.31060026442169375</v>
      </c>
      <c r="AC189" s="1">
        <f t="shared" ca="1" si="134"/>
        <v>354</v>
      </c>
      <c r="AD189" s="1">
        <f t="shared" ca="1" si="135"/>
        <v>9.863620470116876E-3</v>
      </c>
      <c r="AE189" s="1"/>
      <c r="AF189" s="1">
        <f t="shared" ca="1" si="136"/>
        <v>0.49184282283691594</v>
      </c>
      <c r="AG189" s="1">
        <f t="shared" ca="1" si="137"/>
        <v>293</v>
      </c>
      <c r="AH189" s="1">
        <f t="shared" ca="1" si="138"/>
        <v>3.3119663494031969E-4</v>
      </c>
      <c r="AJ189" s="1">
        <f t="shared" ca="1" si="139"/>
        <v>0.88259436740866415</v>
      </c>
      <c r="AK189" s="1">
        <f t="shared" ca="1" si="140"/>
        <v>8.0097908589645654E-3</v>
      </c>
      <c r="AL189" s="1"/>
      <c r="AM189" s="1">
        <f t="shared" ca="1" si="141"/>
        <v>6.4345507132929206E-2</v>
      </c>
      <c r="AN189" s="1">
        <f t="shared" ca="1" si="142"/>
        <v>53</v>
      </c>
      <c r="AO189" s="1">
        <f t="shared" ca="1" si="143"/>
        <v>13</v>
      </c>
      <c r="AQ189" s="1">
        <f t="shared" ca="1" si="144"/>
        <v>64</v>
      </c>
      <c r="AR189" s="1">
        <f t="shared" ca="1" si="145"/>
        <v>0</v>
      </c>
      <c r="AS189" s="1">
        <f t="shared" ca="1" si="146"/>
        <v>20</v>
      </c>
      <c r="AU189" s="1">
        <f t="shared" ca="1" si="147"/>
        <v>191</v>
      </c>
      <c r="AV189" s="1">
        <f t="shared" ca="1" si="148"/>
        <v>4</v>
      </c>
      <c r="AW189" s="1">
        <f t="shared" ca="1" si="149"/>
        <v>9.4048795274318836E-2</v>
      </c>
      <c r="AY189" s="1">
        <f t="shared" ca="1" si="150"/>
        <v>1.6104476236611265</v>
      </c>
      <c r="AZ189" s="1">
        <f t="shared" ca="1" si="151"/>
        <v>285</v>
      </c>
      <c r="BA189" s="1">
        <f t="shared" ca="1" si="152"/>
        <v>6.9688932305853402E-3</v>
      </c>
      <c r="BV189" s="1">
        <f t="shared" ca="1" si="153"/>
        <v>0.33952660475634977</v>
      </c>
      <c r="BW189" s="1">
        <f t="shared" ca="1" si="154"/>
        <v>782</v>
      </c>
      <c r="BX189" s="1">
        <f t="shared" ca="1" si="155"/>
        <v>5.3121915259494801E-3</v>
      </c>
      <c r="BY189" s="1">
        <f t="shared" ca="1" si="156"/>
        <v>7.3256311426373927E-2</v>
      </c>
      <c r="BZ189" s="1">
        <f t="shared" ca="1" si="157"/>
        <v>0.42233734544018764</v>
      </c>
      <c r="CB189" s="1">
        <f t="shared" ca="1" si="158"/>
        <v>420</v>
      </c>
      <c r="CC189" s="1">
        <f t="shared" ca="1" si="159"/>
        <v>5</v>
      </c>
      <c r="CD189" s="1">
        <f t="shared" ca="1" si="160"/>
        <v>0.15782191023728467</v>
      </c>
      <c r="CE189" s="1">
        <f t="shared" ca="1" si="170"/>
        <v>0.67730028897397154</v>
      </c>
      <c r="CF189" s="1">
        <f t="shared" ca="1" si="170"/>
        <v>0.86347650552631294</v>
      </c>
      <c r="CH189" s="3">
        <f t="shared" ca="1" si="162"/>
        <v>0.66001480810041546</v>
      </c>
      <c r="CI189" s="3">
        <f t="shared" ca="1" si="163"/>
        <v>7.5631238055018868E-2</v>
      </c>
      <c r="CJ189" s="3">
        <f t="shared" ca="1" si="164"/>
        <v>1821</v>
      </c>
      <c r="CK189" s="3">
        <f t="shared" ca="1" si="165"/>
        <v>7.0266397981459273E-3</v>
      </c>
      <c r="CL189" s="3">
        <f t="shared" ca="1" si="166"/>
        <v>1</v>
      </c>
      <c r="CM189" s="3"/>
      <c r="CN189" s="1">
        <f t="shared" ca="1" si="167"/>
        <v>8.1729243857972058</v>
      </c>
      <c r="CO189" s="1">
        <f t="shared" ca="1" si="168"/>
        <v>0.27697921249482904</v>
      </c>
      <c r="CP189" s="1">
        <f t="shared" ca="1" si="169"/>
        <v>4</v>
      </c>
    </row>
    <row r="190" spans="2:94" x14ac:dyDescent="0.25">
      <c r="B190">
        <f t="shared" ca="1" si="114"/>
        <v>986</v>
      </c>
      <c r="C190">
        <f t="shared" ca="1" si="115"/>
        <v>52</v>
      </c>
      <c r="D190">
        <f t="shared" ca="1" si="116"/>
        <v>0.26972476913128202</v>
      </c>
      <c r="F190" s="1">
        <f t="shared" ca="1" si="117"/>
        <v>17</v>
      </c>
      <c r="G190" s="1">
        <f t="shared" ca="1" si="118"/>
        <v>7</v>
      </c>
      <c r="H190" s="1">
        <f t="shared" ca="1" si="119"/>
        <v>7</v>
      </c>
      <c r="I190" s="1"/>
      <c r="J190" s="1">
        <f t="shared" ca="1" si="120"/>
        <v>9</v>
      </c>
      <c r="K190" s="1">
        <f t="shared" ca="1" si="121"/>
        <v>1.6157135739805244</v>
      </c>
      <c r="L190" s="1">
        <f t="shared" ca="1" si="122"/>
        <v>27</v>
      </c>
      <c r="M190" s="1"/>
      <c r="N190" s="1">
        <f t="shared" ca="1" si="123"/>
        <v>356</v>
      </c>
      <c r="O190" s="1">
        <f t="shared" ca="1" si="124"/>
        <v>52</v>
      </c>
      <c r="P190" s="1"/>
      <c r="Q190" s="1">
        <f t="shared" ca="1" si="125"/>
        <v>3.4084177490441956</v>
      </c>
      <c r="R190" s="1">
        <f t="shared" ca="1" si="126"/>
        <v>273</v>
      </c>
      <c r="S190" s="1"/>
      <c r="T190" s="1">
        <f t="shared" ca="1" si="127"/>
        <v>0.17064250483235668</v>
      </c>
      <c r="U190" s="1">
        <f t="shared" ca="1" si="128"/>
        <v>342</v>
      </c>
      <c r="V190" s="1">
        <f t="shared" ca="1" si="129"/>
        <v>37</v>
      </c>
      <c r="W190" s="1"/>
      <c r="X190" s="1">
        <f t="shared" ca="1" si="130"/>
        <v>9.488118931169911</v>
      </c>
      <c r="Y190" s="1">
        <f t="shared" ca="1" si="131"/>
        <v>0.30781073658583258</v>
      </c>
      <c r="Z190" s="1">
        <f t="shared" ca="1" si="132"/>
        <v>1750</v>
      </c>
      <c r="AB190" s="1">
        <f t="shared" ca="1" si="133"/>
        <v>0.50026250212160794</v>
      </c>
      <c r="AC190" s="1">
        <f t="shared" ca="1" si="134"/>
        <v>723</v>
      </c>
      <c r="AD190" s="1">
        <f t="shared" ca="1" si="135"/>
        <v>4.3009089879916676E-3</v>
      </c>
      <c r="AE190" s="1"/>
      <c r="AF190" s="1">
        <f t="shared" ca="1" si="136"/>
        <v>0.42505882564075803</v>
      </c>
      <c r="AG190" s="1">
        <f t="shared" ca="1" si="137"/>
        <v>302</v>
      </c>
      <c r="AH190" s="1">
        <f t="shared" ca="1" si="138"/>
        <v>1.4743964801460015E-3</v>
      </c>
      <c r="AJ190" s="1">
        <f t="shared" ca="1" si="139"/>
        <v>0.56886615537615426</v>
      </c>
      <c r="AK190" s="1">
        <f t="shared" ca="1" si="140"/>
        <v>7.492750163092996E-3</v>
      </c>
      <c r="AL190" s="1"/>
      <c r="AM190" s="1">
        <f t="shared" ca="1" si="141"/>
        <v>0.19609379455257459</v>
      </c>
      <c r="AN190" s="1">
        <f t="shared" ca="1" si="142"/>
        <v>49</v>
      </c>
      <c r="AO190" s="1">
        <f t="shared" ca="1" si="143"/>
        <v>3</v>
      </c>
      <c r="AQ190" s="1">
        <f t="shared" ca="1" si="144"/>
        <v>160</v>
      </c>
      <c r="AR190" s="1">
        <f t="shared" ca="1" si="145"/>
        <v>8</v>
      </c>
      <c r="AS190" s="1">
        <f t="shared" ca="1" si="146"/>
        <v>44</v>
      </c>
      <c r="AU190" s="1">
        <f t="shared" ca="1" si="147"/>
        <v>205</v>
      </c>
      <c r="AV190" s="1">
        <f t="shared" ca="1" si="148"/>
        <v>4</v>
      </c>
      <c r="AW190" s="1">
        <f t="shared" ca="1" si="149"/>
        <v>0.14138763422651449</v>
      </c>
      <c r="AY190" s="1">
        <f t="shared" ca="1" si="150"/>
        <v>1.5009570337932963</v>
      </c>
      <c r="AZ190" s="1">
        <f t="shared" ca="1" si="151"/>
        <v>218</v>
      </c>
      <c r="BA190" s="1">
        <f t="shared" ca="1" si="152"/>
        <v>5.327421895998859E-3</v>
      </c>
      <c r="BV190" s="1">
        <f t="shared" ca="1" si="153"/>
        <v>0.47203147130052703</v>
      </c>
      <c r="BW190" s="1">
        <f t="shared" ca="1" si="154"/>
        <v>368</v>
      </c>
      <c r="BX190" s="1">
        <f t="shared" ca="1" si="155"/>
        <v>1.795629727089813E-3</v>
      </c>
      <c r="BY190" s="1">
        <f t="shared" ca="1" si="156"/>
        <v>4.7138779506175364E-2</v>
      </c>
      <c r="BZ190" s="1">
        <f t="shared" ca="1" si="157"/>
        <v>0.72317247933475604</v>
      </c>
      <c r="CB190" s="1">
        <f t="shared" ca="1" si="158"/>
        <v>323</v>
      </c>
      <c r="CC190" s="1">
        <f t="shared" ca="1" si="159"/>
        <v>8</v>
      </c>
      <c r="CD190" s="1">
        <f t="shared" ca="1" si="160"/>
        <v>9.1974896312206206E-2</v>
      </c>
      <c r="CE190" s="1">
        <f t="shared" ca="1" si="170"/>
        <v>0.66128128838525613</v>
      </c>
      <c r="CF190" s="1">
        <f t="shared" ca="1" si="170"/>
        <v>0.85717629192862466</v>
      </c>
      <c r="CH190" s="3">
        <f t="shared" ca="1" si="162"/>
        <v>0.71844285894497251</v>
      </c>
      <c r="CI190" s="3">
        <f t="shared" ca="1" si="163"/>
        <v>0.981828866832547</v>
      </c>
      <c r="CJ190" s="3">
        <f t="shared" ca="1" si="164"/>
        <v>470</v>
      </c>
      <c r="CK190" s="3">
        <f t="shared" ca="1" si="165"/>
        <v>1.2366129830109179E-3</v>
      </c>
      <c r="CL190" s="3">
        <f t="shared" ca="1" si="166"/>
        <v>0</v>
      </c>
      <c r="CM190" s="3"/>
      <c r="CN190" s="1">
        <f t="shared" ca="1" si="167"/>
        <v>14.891953773111608</v>
      </c>
      <c r="CO190" s="1">
        <f t="shared" ca="1" si="168"/>
        <v>0.14643118633023058</v>
      </c>
      <c r="CP190" s="1">
        <f t="shared" ca="1" si="169"/>
        <v>3</v>
      </c>
    </row>
    <row r="191" spans="2:94" x14ac:dyDescent="0.25">
      <c r="B191">
        <f t="shared" ca="1" si="114"/>
        <v>113</v>
      </c>
      <c r="C191">
        <f t="shared" ca="1" si="115"/>
        <v>24</v>
      </c>
      <c r="D191">
        <f t="shared" ca="1" si="116"/>
        <v>0.15790064095909875</v>
      </c>
      <c r="F191" s="1">
        <f t="shared" ca="1" si="117"/>
        <v>17</v>
      </c>
      <c r="G191" s="1">
        <f t="shared" ca="1" si="118"/>
        <v>21</v>
      </c>
      <c r="H191" s="1">
        <f t="shared" ca="1" si="119"/>
        <v>1</v>
      </c>
      <c r="I191" s="1"/>
      <c r="J191" s="1">
        <f t="shared" ca="1" si="120"/>
        <v>38</v>
      </c>
      <c r="K191" s="1">
        <f t="shared" ca="1" si="121"/>
        <v>2.4536932705970793</v>
      </c>
      <c r="L191" s="1">
        <f t="shared" ca="1" si="122"/>
        <v>8</v>
      </c>
      <c r="M191" s="1"/>
      <c r="N191" s="1">
        <f t="shared" ca="1" si="123"/>
        <v>980</v>
      </c>
      <c r="O191" s="1">
        <f t="shared" ca="1" si="124"/>
        <v>4</v>
      </c>
      <c r="P191" s="1"/>
      <c r="Q191" s="1">
        <f t="shared" ca="1" si="125"/>
        <v>4.94306100135812</v>
      </c>
      <c r="R191" s="1">
        <f t="shared" ca="1" si="126"/>
        <v>432</v>
      </c>
      <c r="S191" s="1"/>
      <c r="T191" s="1">
        <f t="shared" ca="1" si="127"/>
        <v>0.18978576021196353</v>
      </c>
      <c r="U191" s="1">
        <f t="shared" ca="1" si="128"/>
        <v>262</v>
      </c>
      <c r="V191" s="1">
        <f t="shared" ca="1" si="129"/>
        <v>40</v>
      </c>
      <c r="W191" s="1"/>
      <c r="X191" s="1">
        <f t="shared" ca="1" si="130"/>
        <v>5.3029986513976626</v>
      </c>
      <c r="Y191" s="1">
        <f t="shared" ca="1" si="131"/>
        <v>0.87343365040299614</v>
      </c>
      <c r="Z191" s="1">
        <f t="shared" ca="1" si="132"/>
        <v>1194</v>
      </c>
      <c r="AB191" s="1">
        <f t="shared" ca="1" si="133"/>
        <v>0.12311709301179548</v>
      </c>
      <c r="AC191" s="1">
        <f t="shared" ca="1" si="134"/>
        <v>133</v>
      </c>
      <c r="AD191" s="1">
        <f t="shared" ca="1" si="135"/>
        <v>5.8511019777841523E-3</v>
      </c>
      <c r="AE191" s="1"/>
      <c r="AF191" s="1">
        <f t="shared" ca="1" si="136"/>
        <v>0.50833492194566954</v>
      </c>
      <c r="AG191" s="1">
        <f t="shared" ca="1" si="137"/>
        <v>962</v>
      </c>
      <c r="AH191" s="1">
        <f t="shared" ca="1" si="138"/>
        <v>2.9642854138297228E-3</v>
      </c>
      <c r="AJ191" s="1">
        <f t="shared" ca="1" si="139"/>
        <v>0.79086057948045674</v>
      </c>
      <c r="AK191" s="1">
        <f t="shared" ca="1" si="140"/>
        <v>4.3417610105717106E-3</v>
      </c>
      <c r="AL191" s="1"/>
      <c r="AM191" s="1">
        <f t="shared" ca="1" si="141"/>
        <v>3.6753681656042397E-2</v>
      </c>
      <c r="AN191" s="1">
        <f t="shared" ca="1" si="142"/>
        <v>48</v>
      </c>
      <c r="AO191" s="1">
        <f t="shared" ca="1" si="143"/>
        <v>3</v>
      </c>
      <c r="AQ191" s="1">
        <f t="shared" ca="1" si="144"/>
        <v>130</v>
      </c>
      <c r="AR191" s="1">
        <f t="shared" ca="1" si="145"/>
        <v>9</v>
      </c>
      <c r="AS191" s="1">
        <f t="shared" ca="1" si="146"/>
        <v>10</v>
      </c>
      <c r="AU191" s="1">
        <f t="shared" ca="1" si="147"/>
        <v>369</v>
      </c>
      <c r="AV191" s="1">
        <f t="shared" ca="1" si="148"/>
        <v>4</v>
      </c>
      <c r="AW191" s="1">
        <f t="shared" ca="1" si="149"/>
        <v>7.235412972173165E-2</v>
      </c>
      <c r="AY191" s="1">
        <f t="shared" ca="1" si="150"/>
        <v>1.85032030121135</v>
      </c>
      <c r="AZ191" s="1">
        <f t="shared" ca="1" si="151"/>
        <v>156</v>
      </c>
      <c r="BA191" s="1">
        <f t="shared" ca="1" si="152"/>
        <v>4.1665965123385022E-3</v>
      </c>
      <c r="BV191" s="1">
        <f t="shared" ca="1" si="153"/>
        <v>9.2571047698977366E-2</v>
      </c>
      <c r="BW191" s="1">
        <f t="shared" ca="1" si="154"/>
        <v>610</v>
      </c>
      <c r="BX191" s="1">
        <f t="shared" ca="1" si="155"/>
        <v>5.9556883157551978E-3</v>
      </c>
      <c r="BY191" s="1">
        <f t="shared" ca="1" si="156"/>
        <v>4.4866357271758694E-2</v>
      </c>
      <c r="BZ191" s="1">
        <f t="shared" ca="1" si="157"/>
        <v>0.50501429005397169</v>
      </c>
      <c r="CB191" s="1">
        <f t="shared" ca="1" si="158"/>
        <v>129</v>
      </c>
      <c r="CC191" s="1">
        <f t="shared" ca="1" si="159"/>
        <v>14</v>
      </c>
      <c r="CD191" s="1">
        <f t="shared" ca="1" si="160"/>
        <v>5.785403387581449E-2</v>
      </c>
      <c r="CE191" s="1">
        <f t="shared" ca="1" si="170"/>
        <v>0.67220170216136454</v>
      </c>
      <c r="CF191" s="1">
        <f t="shared" ca="1" si="170"/>
        <v>0.65805323860193066</v>
      </c>
      <c r="CH191" s="3">
        <f t="shared" ca="1" si="162"/>
        <v>0.53042944801872483</v>
      </c>
      <c r="CI191" s="3">
        <f t="shared" ca="1" si="163"/>
        <v>0.76259932004278608</v>
      </c>
      <c r="CJ191" s="3">
        <f t="shared" ca="1" si="164"/>
        <v>1150</v>
      </c>
      <c r="CK191" s="3">
        <f t="shared" ca="1" si="165"/>
        <v>8.4623155965681228E-3</v>
      </c>
      <c r="CL191" s="3">
        <f t="shared" ca="1" si="166"/>
        <v>0</v>
      </c>
      <c r="CM191" s="3"/>
      <c r="CN191" s="1">
        <f t="shared" ca="1" si="167"/>
        <v>4.5255584154389821</v>
      </c>
      <c r="CO191" s="1">
        <f t="shared" ca="1" si="168"/>
        <v>0.40588054187167488</v>
      </c>
      <c r="CP191" s="1">
        <f t="shared" ca="1" si="169"/>
        <v>1</v>
      </c>
    </row>
    <row r="192" spans="2:94" x14ac:dyDescent="0.25">
      <c r="B192">
        <f t="shared" ca="1" si="114"/>
        <v>437</v>
      </c>
      <c r="C192">
        <f t="shared" ca="1" si="115"/>
        <v>14</v>
      </c>
      <c r="D192">
        <f t="shared" ca="1" si="116"/>
        <v>8.0318730882999206E-2</v>
      </c>
      <c r="F192" s="1">
        <f t="shared" ca="1" si="117"/>
        <v>42</v>
      </c>
      <c r="G192" s="1">
        <f t="shared" ca="1" si="118"/>
        <v>16</v>
      </c>
      <c r="H192" s="1">
        <f t="shared" ca="1" si="119"/>
        <v>14</v>
      </c>
      <c r="I192" s="1"/>
      <c r="J192" s="1">
        <f t="shared" ca="1" si="120"/>
        <v>18</v>
      </c>
      <c r="K192" s="1">
        <f t="shared" ca="1" si="121"/>
        <v>1.0814027365847583</v>
      </c>
      <c r="L192" s="1">
        <f t="shared" ca="1" si="122"/>
        <v>30</v>
      </c>
      <c r="M192" s="1"/>
      <c r="N192" s="1">
        <f t="shared" ca="1" si="123"/>
        <v>226</v>
      </c>
      <c r="O192" s="1">
        <f t="shared" ca="1" si="124"/>
        <v>39</v>
      </c>
      <c r="P192" s="1"/>
      <c r="Q192" s="1">
        <f t="shared" ca="1" si="125"/>
        <v>1.3769449700498095</v>
      </c>
      <c r="R192" s="1">
        <f t="shared" ca="1" si="126"/>
        <v>355</v>
      </c>
      <c r="S192" s="1"/>
      <c r="T192" s="1">
        <f t="shared" ca="1" si="127"/>
        <v>8.5266217998277452E-2</v>
      </c>
      <c r="U192" s="1">
        <f t="shared" ca="1" si="128"/>
        <v>300</v>
      </c>
      <c r="V192" s="1">
        <f t="shared" ca="1" si="129"/>
        <v>27</v>
      </c>
      <c r="W192" s="1"/>
      <c r="X192" s="1">
        <f t="shared" ca="1" si="130"/>
        <v>5.2691709498240407</v>
      </c>
      <c r="Y192" s="1">
        <f t="shared" ca="1" si="131"/>
        <v>0.85386026330165687</v>
      </c>
      <c r="Z192" s="1">
        <f t="shared" ca="1" si="132"/>
        <v>1770</v>
      </c>
      <c r="AB192" s="1">
        <f t="shared" ca="1" si="133"/>
        <v>0.78238416722439252</v>
      </c>
      <c r="AC192" s="1">
        <f t="shared" ca="1" si="134"/>
        <v>142</v>
      </c>
      <c r="AD192" s="1">
        <f t="shared" ca="1" si="135"/>
        <v>8.9464977428409271E-3</v>
      </c>
      <c r="AE192" s="1"/>
      <c r="AF192" s="1">
        <f t="shared" ca="1" si="136"/>
        <v>0.15691991679281525</v>
      </c>
      <c r="AG192" s="1">
        <f t="shared" ca="1" si="137"/>
        <v>611</v>
      </c>
      <c r="AH192" s="1">
        <f t="shared" ca="1" si="138"/>
        <v>9.2494305867075657E-3</v>
      </c>
      <c r="AJ192" s="1">
        <f t="shared" ca="1" si="139"/>
        <v>0.39392597328892531</v>
      </c>
      <c r="AK192" s="1">
        <f t="shared" ca="1" si="140"/>
        <v>3.5701585598829099E-3</v>
      </c>
      <c r="AL192" s="1"/>
      <c r="AM192" s="1">
        <f t="shared" ca="1" si="141"/>
        <v>1.6499911443577854E-2</v>
      </c>
      <c r="AN192" s="1">
        <f t="shared" ca="1" si="142"/>
        <v>30</v>
      </c>
      <c r="AO192" s="1">
        <f t="shared" ca="1" si="143"/>
        <v>8</v>
      </c>
      <c r="AQ192" s="1">
        <f t="shared" ca="1" si="144"/>
        <v>130</v>
      </c>
      <c r="AR192" s="1">
        <f t="shared" ca="1" si="145"/>
        <v>5</v>
      </c>
      <c r="AS192" s="1">
        <f t="shared" ca="1" si="146"/>
        <v>21</v>
      </c>
      <c r="AU192" s="1">
        <f t="shared" ca="1" si="147"/>
        <v>157</v>
      </c>
      <c r="AV192" s="1">
        <f t="shared" ca="1" si="148"/>
        <v>8</v>
      </c>
      <c r="AW192" s="1">
        <f t="shared" ca="1" si="149"/>
        <v>0.12345096000126203</v>
      </c>
      <c r="AY192" s="1">
        <f t="shared" ca="1" si="150"/>
        <v>1.5753144637549679</v>
      </c>
      <c r="AZ192" s="1">
        <f t="shared" ca="1" si="151"/>
        <v>424</v>
      </c>
      <c r="BA192" s="1">
        <f t="shared" ca="1" si="152"/>
        <v>1.6812589611608824E-3</v>
      </c>
      <c r="BV192" s="1">
        <f t="shared" ca="1" si="153"/>
        <v>0.31768661398668713</v>
      </c>
      <c r="BW192" s="1">
        <f t="shared" ca="1" si="154"/>
        <v>789</v>
      </c>
      <c r="BX192" s="1">
        <f t="shared" ca="1" si="155"/>
        <v>7.2128055881786925E-3</v>
      </c>
      <c r="BY192" s="1">
        <f t="shared" ca="1" si="156"/>
        <v>6.5109563767842729E-2</v>
      </c>
      <c r="BZ192" s="1">
        <f t="shared" ca="1" si="157"/>
        <v>6.2933673832100467E-2</v>
      </c>
      <c r="CB192" s="1">
        <f t="shared" ca="1" si="158"/>
        <v>241</v>
      </c>
      <c r="CC192" s="1">
        <f t="shared" ca="1" si="159"/>
        <v>9</v>
      </c>
      <c r="CD192" s="1">
        <f t="shared" ca="1" si="160"/>
        <v>0.24121068781351873</v>
      </c>
      <c r="CE192" s="1">
        <f t="shared" ca="1" si="170"/>
        <v>0.5847827585738945</v>
      </c>
      <c r="CF192" s="1">
        <f t="shared" ca="1" si="170"/>
        <v>0.75856711631171336</v>
      </c>
      <c r="CH192" s="3">
        <f t="shared" ca="1" si="162"/>
        <v>0.15296563315057432</v>
      </c>
      <c r="CI192" s="3">
        <f t="shared" ca="1" si="163"/>
        <v>0.8868038310785693</v>
      </c>
      <c r="CJ192" s="3">
        <f t="shared" ca="1" si="164"/>
        <v>697</v>
      </c>
      <c r="CK192" s="3">
        <f t="shared" ca="1" si="165"/>
        <v>5.0854371522792785E-3</v>
      </c>
      <c r="CL192" s="3">
        <f t="shared" ca="1" si="166"/>
        <v>0</v>
      </c>
      <c r="CM192" s="3"/>
      <c r="CN192" s="1">
        <f t="shared" ca="1" si="167"/>
        <v>1.7860053684414106</v>
      </c>
      <c r="CO192" s="1">
        <f t="shared" ca="1" si="168"/>
        <v>0.24878166863791415</v>
      </c>
      <c r="CP192" s="1">
        <f t="shared" ca="1" si="169"/>
        <v>5</v>
      </c>
    </row>
    <row r="193" spans="2:94" x14ac:dyDescent="0.25">
      <c r="B193">
        <f t="shared" ca="1" si="114"/>
        <v>257</v>
      </c>
      <c r="C193">
        <f t="shared" ca="1" si="115"/>
        <v>4</v>
      </c>
      <c r="D193">
        <f t="shared" ca="1" si="116"/>
        <v>0.18626433782050239</v>
      </c>
      <c r="F193" s="1">
        <f t="shared" ca="1" si="117"/>
        <v>31</v>
      </c>
      <c r="G193" s="1">
        <f t="shared" ca="1" si="118"/>
        <v>30</v>
      </c>
      <c r="H193" s="1">
        <f t="shared" ca="1" si="119"/>
        <v>7</v>
      </c>
      <c r="I193" s="1"/>
      <c r="J193" s="1">
        <f t="shared" ca="1" si="120"/>
        <v>34</v>
      </c>
      <c r="K193" s="1">
        <f t="shared" ca="1" si="121"/>
        <v>1.5827672783042444</v>
      </c>
      <c r="L193" s="1">
        <f t="shared" ca="1" si="122"/>
        <v>3</v>
      </c>
      <c r="M193" s="1"/>
      <c r="N193" s="1">
        <f t="shared" ca="1" si="123"/>
        <v>607</v>
      </c>
      <c r="O193" s="1">
        <f t="shared" ca="1" si="124"/>
        <v>16</v>
      </c>
      <c r="P193" s="1"/>
      <c r="Q193" s="1">
        <f t="shared" ca="1" si="125"/>
        <v>4.6879216588754291</v>
      </c>
      <c r="R193" s="1">
        <f t="shared" ca="1" si="126"/>
        <v>944</v>
      </c>
      <c r="S193" s="1"/>
      <c r="T193" s="1">
        <f t="shared" ca="1" si="127"/>
        <v>0.19776681305950794</v>
      </c>
      <c r="U193" s="1">
        <f t="shared" ca="1" si="128"/>
        <v>145</v>
      </c>
      <c r="V193" s="1">
        <f t="shared" ca="1" si="129"/>
        <v>19</v>
      </c>
      <c r="W193" s="1"/>
      <c r="X193" s="1">
        <f t="shared" ca="1" si="130"/>
        <v>0.89655719994861061</v>
      </c>
      <c r="Y193" s="1">
        <f t="shared" ca="1" si="131"/>
        <v>0.36431744954926565</v>
      </c>
      <c r="Z193" s="1">
        <f t="shared" ca="1" si="132"/>
        <v>102</v>
      </c>
      <c r="AB193" s="1">
        <f t="shared" ca="1" si="133"/>
        <v>0.47791362078600697</v>
      </c>
      <c r="AC193" s="1">
        <f t="shared" ca="1" si="134"/>
        <v>594</v>
      </c>
      <c r="AD193" s="1">
        <f t="shared" ca="1" si="135"/>
        <v>1.998440591434351E-4</v>
      </c>
      <c r="AE193" s="1"/>
      <c r="AF193" s="1">
        <f t="shared" ca="1" si="136"/>
        <v>0.23047183988064887</v>
      </c>
      <c r="AG193" s="1">
        <f t="shared" ca="1" si="137"/>
        <v>447</v>
      </c>
      <c r="AH193" s="1">
        <f t="shared" ca="1" si="138"/>
        <v>6.1699112920781144E-3</v>
      </c>
      <c r="AJ193" s="1">
        <f t="shared" ca="1" si="139"/>
        <v>0.81689772397494476</v>
      </c>
      <c r="AK193" s="1">
        <f t="shared" ca="1" si="140"/>
        <v>4.4496491721158424E-3</v>
      </c>
      <c r="AL193" s="1"/>
      <c r="AM193" s="1">
        <f t="shared" ca="1" si="141"/>
        <v>6.879376333772326E-2</v>
      </c>
      <c r="AN193" s="1">
        <f t="shared" ca="1" si="142"/>
        <v>67</v>
      </c>
      <c r="AO193" s="1">
        <f t="shared" ca="1" si="143"/>
        <v>20</v>
      </c>
      <c r="AQ193" s="1">
        <f t="shared" ca="1" si="144"/>
        <v>154</v>
      </c>
      <c r="AR193" s="1">
        <f t="shared" ca="1" si="145"/>
        <v>9</v>
      </c>
      <c r="AS193" s="1">
        <f t="shared" ca="1" si="146"/>
        <v>85</v>
      </c>
      <c r="AU193" s="1">
        <f t="shared" ca="1" si="147"/>
        <v>96</v>
      </c>
      <c r="AV193" s="1">
        <f t="shared" ca="1" si="148"/>
        <v>5</v>
      </c>
      <c r="AW193" s="1">
        <f t="shared" ca="1" si="149"/>
        <v>6.1734862390427372E-2</v>
      </c>
      <c r="AY193" s="1">
        <f t="shared" ca="1" si="150"/>
        <v>1.7398205571176955</v>
      </c>
      <c r="AZ193" s="1">
        <f t="shared" ca="1" si="151"/>
        <v>81</v>
      </c>
      <c r="BA193" s="1">
        <f t="shared" ca="1" si="152"/>
        <v>9.9593027735512419E-3</v>
      </c>
      <c r="BV193" s="1">
        <f t="shared" ca="1" si="153"/>
        <v>0.31858226222138647</v>
      </c>
      <c r="BW193" s="1">
        <f t="shared" ca="1" si="154"/>
        <v>282</v>
      </c>
      <c r="BX193" s="1">
        <f t="shared" ca="1" si="155"/>
        <v>5.6567314687093178E-3</v>
      </c>
      <c r="BY193" s="1">
        <f t="shared" ca="1" si="156"/>
        <v>9.1808891642762444E-2</v>
      </c>
      <c r="BZ193" s="1">
        <f t="shared" ca="1" si="157"/>
        <v>0.69450214052614678</v>
      </c>
      <c r="CB193" s="1">
        <f t="shared" ca="1" si="158"/>
        <v>390</v>
      </c>
      <c r="CC193" s="1">
        <f t="shared" ca="1" si="159"/>
        <v>5</v>
      </c>
      <c r="CD193" s="1">
        <f t="shared" ca="1" si="160"/>
        <v>0.15493141397377633</v>
      </c>
      <c r="CE193" s="1">
        <f t="shared" ca="1" si="170"/>
        <v>0.78278258701237857</v>
      </c>
      <c r="CF193" s="1">
        <f t="shared" ca="1" si="170"/>
        <v>0.58963194674771291</v>
      </c>
      <c r="CH193" s="3">
        <f t="shared" ca="1" si="162"/>
        <v>0.54712839824282788</v>
      </c>
      <c r="CI193" s="3">
        <f t="shared" ca="1" si="163"/>
        <v>0.96121157307747551</v>
      </c>
      <c r="CJ193" s="3">
        <f t="shared" ca="1" si="164"/>
        <v>869</v>
      </c>
      <c r="CK193" s="3">
        <f t="shared" ca="1" si="165"/>
        <v>4.8325911765939979E-3</v>
      </c>
      <c r="CL193" s="3">
        <f t="shared" ca="1" si="166"/>
        <v>1</v>
      </c>
      <c r="CM193" s="3"/>
      <c r="CN193" s="1">
        <f t="shared" ca="1" si="167"/>
        <v>3.9078168353037852</v>
      </c>
      <c r="CO193" s="1">
        <f t="shared" ca="1" si="168"/>
        <v>0.11866494206647139</v>
      </c>
      <c r="CP193" s="1">
        <f t="shared" ca="1" si="169"/>
        <v>4</v>
      </c>
    </row>
    <row r="194" spans="2:94" x14ac:dyDescent="0.25">
      <c r="B194">
        <f t="shared" ca="1" si="114"/>
        <v>272</v>
      </c>
      <c r="C194">
        <f t="shared" ca="1" si="115"/>
        <v>26</v>
      </c>
      <c r="D194">
        <f t="shared" ca="1" si="116"/>
        <v>0.1701592703504449</v>
      </c>
      <c r="F194" s="1">
        <f t="shared" ca="1" si="117"/>
        <v>7</v>
      </c>
      <c r="G194" s="1">
        <f t="shared" ca="1" si="118"/>
        <v>12</v>
      </c>
      <c r="H194" s="1">
        <f t="shared" ca="1" si="119"/>
        <v>3</v>
      </c>
      <c r="I194" s="1"/>
      <c r="J194" s="1">
        <f t="shared" ca="1" si="120"/>
        <v>37</v>
      </c>
      <c r="K194" s="1">
        <f t="shared" ca="1" si="121"/>
        <v>1.7424818478166564</v>
      </c>
      <c r="L194" s="1">
        <f t="shared" ca="1" si="122"/>
        <v>11</v>
      </c>
      <c r="M194" s="1"/>
      <c r="N194" s="1">
        <f t="shared" ca="1" si="123"/>
        <v>41</v>
      </c>
      <c r="O194" s="1">
        <f t="shared" ca="1" si="124"/>
        <v>32</v>
      </c>
      <c r="P194" s="1"/>
      <c r="Q194" s="1">
        <f t="shared" ca="1" si="125"/>
        <v>3.6573391437921221</v>
      </c>
      <c r="R194" s="1">
        <f t="shared" ca="1" si="126"/>
        <v>705</v>
      </c>
      <c r="S194" s="1"/>
      <c r="T194" s="1">
        <f t="shared" ca="1" si="127"/>
        <v>0.14924986080943484</v>
      </c>
      <c r="U194" s="1">
        <f t="shared" ca="1" si="128"/>
        <v>215</v>
      </c>
      <c r="V194" s="1">
        <f t="shared" ca="1" si="129"/>
        <v>41</v>
      </c>
      <c r="W194" s="1"/>
      <c r="X194" s="1">
        <f t="shared" ca="1" si="130"/>
        <v>1.8005408285175923</v>
      </c>
      <c r="Y194" s="1">
        <f t="shared" ca="1" si="131"/>
        <v>0.91997162536937749</v>
      </c>
      <c r="Z194" s="1">
        <f t="shared" ca="1" si="132"/>
        <v>743</v>
      </c>
      <c r="AB194" s="1">
        <f t="shared" ca="1" si="133"/>
        <v>0.21353376988640446</v>
      </c>
      <c r="AC194" s="1">
        <f t="shared" ca="1" si="134"/>
        <v>185</v>
      </c>
      <c r="AD194" s="1">
        <f t="shared" ca="1" si="135"/>
        <v>5.5502308990737388E-3</v>
      </c>
      <c r="AE194" s="1"/>
      <c r="AF194" s="1">
        <f t="shared" ca="1" si="136"/>
        <v>0.66790842472192458</v>
      </c>
      <c r="AG194" s="1">
        <f t="shared" ca="1" si="137"/>
        <v>740</v>
      </c>
      <c r="AH194" s="1">
        <f t="shared" ca="1" si="138"/>
        <v>4.0774226510023378E-3</v>
      </c>
      <c r="AJ194" s="1">
        <f t="shared" ca="1" si="139"/>
        <v>0.21228854635282202</v>
      </c>
      <c r="AK194" s="1">
        <f t="shared" ca="1" si="140"/>
        <v>3.8905745705639112E-3</v>
      </c>
      <c r="AL194" s="1"/>
      <c r="AM194" s="1">
        <f t="shared" ca="1" si="141"/>
        <v>0.12291782372177029</v>
      </c>
      <c r="AN194" s="1">
        <f t="shared" ca="1" si="142"/>
        <v>46</v>
      </c>
      <c r="AO194" s="1">
        <f t="shared" ca="1" si="143"/>
        <v>7</v>
      </c>
      <c r="AQ194" s="1">
        <f t="shared" ca="1" si="144"/>
        <v>153</v>
      </c>
      <c r="AR194" s="1">
        <f t="shared" ca="1" si="145"/>
        <v>2</v>
      </c>
      <c r="AS194" s="1">
        <f t="shared" ca="1" si="146"/>
        <v>30</v>
      </c>
      <c r="AU194" s="1">
        <f t="shared" ca="1" si="147"/>
        <v>95</v>
      </c>
      <c r="AV194" s="1">
        <f t="shared" ca="1" si="148"/>
        <v>9</v>
      </c>
      <c r="AW194" s="1">
        <f t="shared" ca="1" si="149"/>
        <v>0.19901842110370355</v>
      </c>
      <c r="AY194" s="1">
        <f t="shared" ca="1" si="150"/>
        <v>1.9079399606381995</v>
      </c>
      <c r="AZ194" s="1">
        <f t="shared" ca="1" si="151"/>
        <v>101</v>
      </c>
      <c r="BA194" s="1">
        <f t="shared" ca="1" si="152"/>
        <v>8.6409418383186602E-3</v>
      </c>
      <c r="BV194" s="1">
        <f t="shared" ca="1" si="153"/>
        <v>0.54249609382161268</v>
      </c>
      <c r="BW194" s="1">
        <f t="shared" ca="1" si="154"/>
        <v>133</v>
      </c>
      <c r="BX194" s="1">
        <f t="shared" ca="1" si="155"/>
        <v>2.7229274852665309E-3</v>
      </c>
      <c r="BY194" s="1">
        <f t="shared" ca="1" si="156"/>
        <v>7.5738616829029007E-2</v>
      </c>
      <c r="BZ194" s="1">
        <f t="shared" ca="1" si="157"/>
        <v>0.16391810284588548</v>
      </c>
      <c r="CB194" s="1">
        <f t="shared" ca="1" si="158"/>
        <v>110</v>
      </c>
      <c r="CC194" s="1">
        <f t="shared" ca="1" si="159"/>
        <v>13</v>
      </c>
      <c r="CD194" s="1">
        <f t="shared" ca="1" si="160"/>
        <v>0.24186707890063019</v>
      </c>
      <c r="CE194" s="1">
        <f t="shared" ca="1" si="170"/>
        <v>0.95893793555040419</v>
      </c>
      <c r="CF194" s="1">
        <f t="shared" ca="1" si="170"/>
        <v>0.66184505833880303</v>
      </c>
      <c r="CH194" s="3">
        <f t="shared" ca="1" si="162"/>
        <v>0.76734120934468364</v>
      </c>
      <c r="CI194" s="3">
        <f t="shared" ca="1" si="163"/>
        <v>0.80268483384785372</v>
      </c>
      <c r="CJ194" s="3">
        <f t="shared" ca="1" si="164"/>
        <v>889</v>
      </c>
      <c r="CK194" s="3">
        <f t="shared" ca="1" si="165"/>
        <v>2.5782176273677379E-3</v>
      </c>
      <c r="CL194" s="3">
        <f t="shared" ca="1" si="166"/>
        <v>1</v>
      </c>
      <c r="CM194" s="3"/>
      <c r="CN194" s="1">
        <f t="shared" ca="1" si="167"/>
        <v>14.897040159654036</v>
      </c>
      <c r="CO194" s="1">
        <f t="shared" ca="1" si="168"/>
        <v>2.4800207686135747E-2</v>
      </c>
      <c r="CP194" s="1">
        <f t="shared" ca="1" si="169"/>
        <v>3</v>
      </c>
    </row>
    <row r="195" spans="2:94" x14ac:dyDescent="0.25">
      <c r="B195">
        <f t="shared" ca="1" si="114"/>
        <v>907</v>
      </c>
      <c r="C195">
        <f t="shared" ca="1" si="115"/>
        <v>35</v>
      </c>
      <c r="D195">
        <f t="shared" ca="1" si="116"/>
        <v>8.8702853968188652E-2</v>
      </c>
      <c r="F195" s="1">
        <f t="shared" ca="1" si="117"/>
        <v>48</v>
      </c>
      <c r="G195" s="1">
        <f t="shared" ca="1" si="118"/>
        <v>8</v>
      </c>
      <c r="H195" s="1">
        <f t="shared" ca="1" si="119"/>
        <v>3</v>
      </c>
      <c r="I195" s="1"/>
      <c r="J195" s="1">
        <f t="shared" ca="1" si="120"/>
        <v>34</v>
      </c>
      <c r="K195" s="1">
        <f t="shared" ca="1" si="121"/>
        <v>1.11749774338329</v>
      </c>
      <c r="L195" s="1">
        <f t="shared" ca="1" si="122"/>
        <v>4</v>
      </c>
      <c r="M195" s="1"/>
      <c r="N195" s="1">
        <f t="shared" ca="1" si="123"/>
        <v>937</v>
      </c>
      <c r="O195" s="1">
        <f t="shared" ca="1" si="124"/>
        <v>33</v>
      </c>
      <c r="P195" s="1"/>
      <c r="Q195" s="1">
        <f t="shared" ca="1" si="125"/>
        <v>4.1871312288086253</v>
      </c>
      <c r="R195" s="1">
        <f t="shared" ca="1" si="126"/>
        <v>341</v>
      </c>
      <c r="S195" s="1"/>
      <c r="T195" s="1">
        <f t="shared" ca="1" si="127"/>
        <v>0.18585403015312904</v>
      </c>
      <c r="U195" s="1">
        <f t="shared" ca="1" si="128"/>
        <v>370</v>
      </c>
      <c r="V195" s="1">
        <f t="shared" ca="1" si="129"/>
        <v>16</v>
      </c>
      <c r="W195" s="1"/>
      <c r="X195" s="1">
        <f t="shared" ca="1" si="130"/>
        <v>2.7696265969417229</v>
      </c>
      <c r="Y195" s="1">
        <f t="shared" ca="1" si="131"/>
        <v>1.7551148096460894E-2</v>
      </c>
      <c r="Z195" s="1">
        <f t="shared" ca="1" si="132"/>
        <v>1405</v>
      </c>
      <c r="AB195" s="1">
        <f t="shared" ca="1" si="133"/>
        <v>0.92033872859241084</v>
      </c>
      <c r="AC195" s="1">
        <f t="shared" ca="1" si="134"/>
        <v>425</v>
      </c>
      <c r="AD195" s="1">
        <f t="shared" ca="1" si="135"/>
        <v>2.1497818875449503E-4</v>
      </c>
      <c r="AE195" s="1"/>
      <c r="AF195" s="1">
        <f t="shared" ca="1" si="136"/>
        <v>0.65841822781345671</v>
      </c>
      <c r="AG195" s="1">
        <f t="shared" ca="1" si="137"/>
        <v>365</v>
      </c>
      <c r="AH195" s="1">
        <f t="shared" ca="1" si="138"/>
        <v>2.5428629797697127E-3</v>
      </c>
      <c r="AJ195" s="1">
        <f t="shared" ca="1" si="139"/>
        <v>0.16825511096138668</v>
      </c>
      <c r="AK195" s="1">
        <f t="shared" ca="1" si="140"/>
        <v>1.7370976333714019E-3</v>
      </c>
      <c r="AL195" s="1"/>
      <c r="AM195" s="1">
        <f t="shared" ca="1" si="141"/>
        <v>2.255626911174732E-2</v>
      </c>
      <c r="AN195" s="1">
        <f t="shared" ca="1" si="142"/>
        <v>54</v>
      </c>
      <c r="AO195" s="1">
        <f t="shared" ca="1" si="143"/>
        <v>12</v>
      </c>
      <c r="AQ195" s="1">
        <f t="shared" ca="1" si="144"/>
        <v>160</v>
      </c>
      <c r="AR195" s="1">
        <f t="shared" ca="1" si="145"/>
        <v>2</v>
      </c>
      <c r="AS195" s="1">
        <f t="shared" ca="1" si="146"/>
        <v>49</v>
      </c>
      <c r="AU195" s="1">
        <f t="shared" ca="1" si="147"/>
        <v>147</v>
      </c>
      <c r="AV195" s="1">
        <f t="shared" ca="1" si="148"/>
        <v>3</v>
      </c>
      <c r="AW195" s="1">
        <f t="shared" ca="1" si="149"/>
        <v>9.6828848182129973E-2</v>
      </c>
      <c r="AY195" s="1">
        <f t="shared" ca="1" si="150"/>
        <v>1.3269182917652032</v>
      </c>
      <c r="AZ195" s="1">
        <f t="shared" ca="1" si="151"/>
        <v>91</v>
      </c>
      <c r="BA195" s="1">
        <f t="shared" ca="1" si="152"/>
        <v>8.5181430098572042E-3</v>
      </c>
      <c r="BV195" s="1">
        <f t="shared" ca="1" si="153"/>
        <v>0.17009169258678472</v>
      </c>
      <c r="BW195" s="1">
        <f t="shared" ca="1" si="154"/>
        <v>171</v>
      </c>
      <c r="BX195" s="1">
        <f t="shared" ca="1" si="155"/>
        <v>3.7560397000419143E-3</v>
      </c>
      <c r="BY195" s="1">
        <f t="shared" ca="1" si="156"/>
        <v>1.0482243239739283E-2</v>
      </c>
      <c r="BZ195" s="1">
        <f t="shared" ca="1" si="157"/>
        <v>9.5309643305883096E-2</v>
      </c>
      <c r="CB195" s="1">
        <f t="shared" ca="1" si="158"/>
        <v>286</v>
      </c>
      <c r="CC195" s="1">
        <f t="shared" ca="1" si="159"/>
        <v>10</v>
      </c>
      <c r="CD195" s="1">
        <f t="shared" ca="1" si="160"/>
        <v>6.0185600635206969E-2</v>
      </c>
      <c r="CE195" s="1">
        <f t="shared" ca="1" si="170"/>
        <v>0.93404925210394329</v>
      </c>
      <c r="CF195" s="1">
        <f t="shared" ca="1" si="170"/>
        <v>0.8816867362966414</v>
      </c>
      <c r="CH195" s="3">
        <f t="shared" ca="1" si="162"/>
        <v>0.53566151851688226</v>
      </c>
      <c r="CI195" s="3">
        <f t="shared" ca="1" si="163"/>
        <v>3.6156552578591399E-2</v>
      </c>
      <c r="CJ195" s="3">
        <f t="shared" ca="1" si="164"/>
        <v>1698</v>
      </c>
      <c r="CK195" s="3">
        <f t="shared" ca="1" si="165"/>
        <v>1.6866491579248719E-3</v>
      </c>
      <c r="CL195" s="3">
        <f t="shared" ca="1" si="166"/>
        <v>0</v>
      </c>
      <c r="CM195" s="3"/>
      <c r="CN195" s="1">
        <f t="shared" ca="1" si="167"/>
        <v>5.6038619768345095</v>
      </c>
      <c r="CO195" s="1">
        <f t="shared" ca="1" si="168"/>
        <v>0.14362644104431554</v>
      </c>
      <c r="CP195" s="1">
        <f t="shared" ca="1" si="169"/>
        <v>5</v>
      </c>
    </row>
    <row r="196" spans="2:94" x14ac:dyDescent="0.25">
      <c r="B196">
        <f t="shared" ref="B196:B202" ca="1" si="171">RANDBETWEEN(15,1000)</f>
        <v>584</v>
      </c>
      <c r="C196">
        <f t="shared" ref="C196:C202" ca="1" si="172">RANDBETWEEN(2,52)</f>
        <v>39</v>
      </c>
      <c r="D196">
        <f t="shared" ref="D196:D202" ca="1" si="173">RAND()*(0.3-0.01)+0.01</f>
        <v>0.12066853491358615</v>
      </c>
      <c r="F196" s="1">
        <f t="shared" ref="F196:F202" ca="1" si="174">RANDBETWEEN(2,52)</f>
        <v>46</v>
      </c>
      <c r="G196" s="1">
        <f t="shared" ref="G196:G202" ca="1" si="175">RANDBETWEEN(2,30)</f>
        <v>11</v>
      </c>
      <c r="H196" s="1">
        <f t="shared" ref="H196:H202" ca="1" si="176">RANDBETWEEN(1,15)</f>
        <v>10</v>
      </c>
      <c r="I196" s="1"/>
      <c r="J196" s="1">
        <f t="shared" ref="J196:J202" ca="1" si="177">RANDBETWEEN(1,39)</f>
        <v>36</v>
      </c>
      <c r="K196" s="1">
        <f t="shared" ref="K196:K202" ca="1" si="178">RAND()*(3-1)+1</f>
        <v>2.4967578724680948</v>
      </c>
      <c r="L196" s="1">
        <f t="shared" ref="L196:L202" ca="1" si="179">RANDBETWEEN(2,35)</f>
        <v>19</v>
      </c>
      <c r="M196" s="1"/>
      <c r="N196" s="1">
        <f t="shared" ref="N196:N202" ca="1" si="180">RANDBETWEEN(15,1000)</f>
        <v>234</v>
      </c>
      <c r="O196" s="1">
        <f t="shared" ref="O196:O202" ca="1" si="181">RANDBETWEEN(2,52)</f>
        <v>38</v>
      </c>
      <c r="P196" s="1"/>
      <c r="Q196" s="1">
        <f t="shared" ref="Q196:Q202" ca="1" si="182">RAND()*(5-0.01)+0.01</f>
        <v>1.7265697530914397</v>
      </c>
      <c r="R196" s="1">
        <f t="shared" ref="R196:R202" ca="1" si="183">RANDBETWEEN(200,1200)</f>
        <v>653</v>
      </c>
      <c r="S196" s="1"/>
      <c r="T196" s="1">
        <f t="shared" ref="T196:T202" ca="1" si="184">RAND()*(0.2-0.01)+0.01</f>
        <v>0.15668934175157284</v>
      </c>
      <c r="U196" s="1">
        <f t="shared" ref="U196:U202" ca="1" si="185">RANDBETWEEN(50,450)</f>
        <v>396</v>
      </c>
      <c r="V196" s="1">
        <f t="shared" ref="V196:V202" ca="1" si="186">RANDBETWEEN(2,52)</f>
        <v>4</v>
      </c>
      <c r="W196" s="1"/>
      <c r="X196" s="1">
        <f t="shared" ref="X196:X202" ca="1" si="187">RAND()*(10-0.01)+0.01</f>
        <v>8.5887968343959731</v>
      </c>
      <c r="Y196" s="1">
        <f t="shared" ref="Y196:Y202" ca="1" si="188">RAND()*(1-0.0001)+0.0001</f>
        <v>0.54578019940311928</v>
      </c>
      <c r="Z196" s="1">
        <f t="shared" ref="Z196:Z202" ca="1" si="189">RANDBETWEEN(100,2000)</f>
        <v>1437</v>
      </c>
      <c r="AB196" s="1">
        <f t="shared" ref="AB196:AB202" ca="1" si="190">RAND()*(1-0.0001)+0.0001</f>
        <v>0.76140686180760375</v>
      </c>
      <c r="AC196" s="1">
        <f t="shared" ref="AC196:AC202" ca="1" si="191">RANDBETWEEN(100,1000)</f>
        <v>405</v>
      </c>
      <c r="AD196" s="1">
        <f t="shared" ref="AD196:AD202" ca="1" si="192">RAND()*(0.01-0.00001)+0.00001</f>
        <v>3.2437695982445139E-3</v>
      </c>
      <c r="AE196" s="1"/>
      <c r="AF196" s="1">
        <f t="shared" ref="AF196:AF202" ca="1" si="193">RAND()*(0.9-0.1)+0.1</f>
        <v>0.48974155503140815</v>
      </c>
      <c r="AG196" s="1">
        <f t="shared" ref="AG196:AG202" ca="1" si="194">RANDBETWEEN(100,1000)</f>
        <v>255</v>
      </c>
      <c r="AH196" s="1">
        <f t="shared" ref="AH196:AH202" ca="1" si="195">RAND()*(0.01-0.00001)+0.00001</f>
        <v>4.6846499885591615E-3</v>
      </c>
      <c r="AJ196" s="1">
        <f t="shared" ref="AJ196:AJ202" ca="1" si="196">RAND()*(1-0)+0</f>
        <v>0.23566901315782185</v>
      </c>
      <c r="AK196" s="1">
        <f t="shared" ref="AK196:AK202" ca="1" si="197">RAND()*(0.01-0.00001)+0.00001</f>
        <v>8.193040719167103E-3</v>
      </c>
      <c r="AL196" s="1"/>
      <c r="AM196" s="1">
        <f t="shared" ref="AM196:AM202" ca="1" si="198">RAND()*(0.2-0.005)+0.005</f>
        <v>4.2643853800608866E-2</v>
      </c>
      <c r="AN196" s="1">
        <f t="shared" ref="AN196:AN202" ca="1" si="199">RANDBETWEEN(10,80)</f>
        <v>79</v>
      </c>
      <c r="AO196" s="1">
        <f t="shared" ref="AO196:AO202" ca="1" si="200">RANDBETWEEN(-1,20)</f>
        <v>7</v>
      </c>
      <c r="AQ196" s="1">
        <f t="shared" ref="AQ196:AQ202" ca="1" si="201">RANDBETWEEN(10,200)</f>
        <v>33</v>
      </c>
      <c r="AR196" s="1">
        <f t="shared" ref="AR196:AR202" ca="1" si="202">RANDBETWEEN(0,10)</f>
        <v>4</v>
      </c>
      <c r="AS196" s="1">
        <f t="shared" ref="AS196:AS202" ca="1" si="203">RANDBETWEEN(1,100)</f>
        <v>45</v>
      </c>
      <c r="AU196" s="1">
        <f t="shared" ref="AU196:AU202" ca="1" si="204">RANDBETWEEN(50,400)</f>
        <v>318</v>
      </c>
      <c r="AV196" s="1">
        <f t="shared" ref="AV196:AV202" ca="1" si="205">RANDBETWEEN(2,10)</f>
        <v>6</v>
      </c>
      <c r="AW196" s="1">
        <f t="shared" ref="AW196:AW202" ca="1" si="206">RAND()*(0.2-0.01)+0.01</f>
        <v>9.4606949195784606E-2</v>
      </c>
      <c r="AY196" s="1">
        <f t="shared" ref="AY196:AY202" ca="1" si="207">RAND()*(2-1.1)+1.1</f>
        <v>1.2486701390818304</v>
      </c>
      <c r="AZ196" s="1">
        <f t="shared" ref="AZ196:AZ202" ca="1" si="208">RANDBETWEEN(50,500)</f>
        <v>81</v>
      </c>
      <c r="BA196" s="1">
        <f t="shared" ref="BA196:BA202" ca="1" si="209">RAND()*(0.01-0.00001)+0.00001</f>
        <v>9.2141225790471053E-3</v>
      </c>
      <c r="BV196" s="1">
        <f t="shared" ref="BV196:BV202" ca="1" si="210">RAND()*(1-0.0001)+0.0001</f>
        <v>0.63858956285779256</v>
      </c>
      <c r="BW196" s="1">
        <f t="shared" ref="BW196:BW202" ca="1" si="211">RANDBETWEEN(100,1000)</f>
        <v>850</v>
      </c>
      <c r="BX196" s="1">
        <f t="shared" ref="BX196:BX202" ca="1" si="212">RAND()*(0.01-0.00001)+0.00001</f>
        <v>7.4431117902066827E-3</v>
      </c>
      <c r="BY196" s="1">
        <f t="shared" ref="BY196:BY202" ca="1" si="213">RAND()*(0.1-0.0001)+0.0001</f>
        <v>6.7563647270208832E-2</v>
      </c>
      <c r="BZ196" s="1">
        <f t="shared" ref="BZ196:BZ202" ca="1" si="214">RAND()*(1-0)+0</f>
        <v>0.93804970645122343</v>
      </c>
      <c r="CB196" s="1">
        <f t="shared" ref="CB196:CB202" ca="1" si="215">RANDBETWEEN(50,500)</f>
        <v>316</v>
      </c>
      <c r="CC196" s="1">
        <f t="shared" ref="CC196:CC202" ca="1" si="216">RANDBETWEEN(3,15)</f>
        <v>9</v>
      </c>
      <c r="CD196" s="1">
        <f t="shared" ref="CD196:CD202" ca="1" si="217">RAND()*(0.3-0.01)+0.01</f>
        <v>3.6343991371610769E-2</v>
      </c>
      <c r="CE196" s="1">
        <f t="shared" ca="1" si="170"/>
        <v>0.85025091909182637</v>
      </c>
      <c r="CF196" s="1">
        <f t="shared" ca="1" si="170"/>
        <v>0.7703081633764155</v>
      </c>
      <c r="CH196" s="3">
        <f t="shared" ref="CH196:CH202" ca="1" si="218">RAND()*(1-0.0001)+0.0001</f>
        <v>0.10278989607601141</v>
      </c>
      <c r="CI196" s="3">
        <f t="shared" ref="CI196:CI202" ca="1" si="219">RAND()*(0.99-0.01)+0.01</f>
        <v>0.76004783709053436</v>
      </c>
      <c r="CJ196" s="3">
        <f t="shared" ref="CJ196:CJ202" ca="1" si="220">RANDBETWEEN(100,2000)</f>
        <v>1024</v>
      </c>
      <c r="CK196" s="3">
        <f t="shared" ref="CK196:CK202" ca="1" si="221">RAND()*(0.01-0.000001)+0.000001</f>
        <v>2.9167463545009208E-3</v>
      </c>
      <c r="CL196" s="3">
        <f t="shared" ref="CL196:CL202" ca="1" si="222">RANDBETWEEN(0,1)</f>
        <v>1</v>
      </c>
      <c r="CM196" s="3"/>
      <c r="CN196" s="1">
        <f t="shared" ref="CN196:CN202" ca="1" si="223">RAND()*(20-0.1)+0.1</f>
        <v>1.8811014416918499</v>
      </c>
      <c r="CO196" s="1">
        <f t="shared" ref="CO196:CO202" ca="1" si="224">RAND()*(0.5-0.001)+0.001</f>
        <v>0.27145199480738369</v>
      </c>
      <c r="CP196" s="1">
        <f t="shared" ref="CP196:CP202" ca="1" si="225">RANDBETWEEN(1,5)</f>
        <v>2</v>
      </c>
    </row>
    <row r="197" spans="2:94" x14ac:dyDescent="0.25">
      <c r="B197">
        <f t="shared" ca="1" si="171"/>
        <v>213</v>
      </c>
      <c r="C197">
        <f t="shared" ca="1" si="172"/>
        <v>20</v>
      </c>
      <c r="D197">
        <f t="shared" ca="1" si="173"/>
        <v>0.29802034711385106</v>
      </c>
      <c r="F197" s="1">
        <f t="shared" ca="1" si="174"/>
        <v>48</v>
      </c>
      <c r="G197" s="1">
        <f t="shared" ca="1" si="175"/>
        <v>6</v>
      </c>
      <c r="H197" s="1">
        <f t="shared" ca="1" si="176"/>
        <v>14</v>
      </c>
      <c r="I197" s="1"/>
      <c r="J197" s="1">
        <f t="shared" ca="1" si="177"/>
        <v>30</v>
      </c>
      <c r="K197" s="1">
        <f t="shared" ca="1" si="178"/>
        <v>2.3401880850008956</v>
      </c>
      <c r="L197" s="1">
        <f t="shared" ca="1" si="179"/>
        <v>12</v>
      </c>
      <c r="M197" s="1"/>
      <c r="N197" s="1">
        <f t="shared" ca="1" si="180"/>
        <v>198</v>
      </c>
      <c r="O197" s="1">
        <f t="shared" ca="1" si="181"/>
        <v>35</v>
      </c>
      <c r="P197" s="1"/>
      <c r="Q197" s="1">
        <f t="shared" ca="1" si="182"/>
        <v>1.9574058811202639</v>
      </c>
      <c r="R197" s="1">
        <f t="shared" ca="1" si="183"/>
        <v>743</v>
      </c>
      <c r="S197" s="1"/>
      <c r="T197" s="1">
        <f t="shared" ca="1" si="184"/>
        <v>0.17501722470102146</v>
      </c>
      <c r="U197" s="1">
        <f t="shared" ca="1" si="185"/>
        <v>221</v>
      </c>
      <c r="V197" s="1">
        <f t="shared" ca="1" si="186"/>
        <v>12</v>
      </c>
      <c r="W197" s="1"/>
      <c r="X197" s="1">
        <f t="shared" ca="1" si="187"/>
        <v>2.5024532655720111</v>
      </c>
      <c r="Y197" s="1">
        <f t="shared" ca="1" si="188"/>
        <v>0.46354880144344424</v>
      </c>
      <c r="Z197" s="1">
        <f t="shared" ca="1" si="189"/>
        <v>966</v>
      </c>
      <c r="AB197" s="1">
        <f t="shared" ca="1" si="190"/>
        <v>0.22349996614338541</v>
      </c>
      <c r="AC197" s="1">
        <f t="shared" ca="1" si="191"/>
        <v>382</v>
      </c>
      <c r="AD197" s="1">
        <f t="shared" ca="1" si="192"/>
        <v>9.4023011965004427E-3</v>
      </c>
      <c r="AE197" s="1"/>
      <c r="AF197" s="1">
        <f t="shared" ca="1" si="193"/>
        <v>0.25120239420513113</v>
      </c>
      <c r="AG197" s="1">
        <f t="shared" ca="1" si="194"/>
        <v>351</v>
      </c>
      <c r="AH197" s="1">
        <f t="shared" ca="1" si="195"/>
        <v>1.068665107661942E-3</v>
      </c>
      <c r="AJ197" s="1">
        <f t="shared" ca="1" si="196"/>
        <v>0.31366961615026423</v>
      </c>
      <c r="AK197" s="1">
        <f t="shared" ca="1" si="197"/>
        <v>6.150851996369752E-3</v>
      </c>
      <c r="AL197" s="1"/>
      <c r="AM197" s="1">
        <f t="shared" ca="1" si="198"/>
        <v>0.19663725079542912</v>
      </c>
      <c r="AN197" s="1">
        <f t="shared" ca="1" si="199"/>
        <v>27</v>
      </c>
      <c r="AO197" s="1">
        <f t="shared" ca="1" si="200"/>
        <v>15</v>
      </c>
      <c r="AQ197" s="1">
        <f t="shared" ca="1" si="201"/>
        <v>78</v>
      </c>
      <c r="AR197" s="1">
        <f t="shared" ca="1" si="202"/>
        <v>9</v>
      </c>
      <c r="AS197" s="1">
        <f t="shared" ca="1" si="203"/>
        <v>74</v>
      </c>
      <c r="AU197" s="1">
        <f t="shared" ca="1" si="204"/>
        <v>372</v>
      </c>
      <c r="AV197" s="1">
        <f t="shared" ca="1" si="205"/>
        <v>8</v>
      </c>
      <c r="AW197" s="1">
        <f t="shared" ca="1" si="206"/>
        <v>9.6103844161587973E-2</v>
      </c>
      <c r="AY197" s="1">
        <f t="shared" ca="1" si="207"/>
        <v>1.5671599722726646</v>
      </c>
      <c r="AZ197" s="1">
        <f t="shared" ca="1" si="208"/>
        <v>463</v>
      </c>
      <c r="BA197" s="1">
        <f t="shared" ca="1" si="209"/>
        <v>5.4582772037242615E-3</v>
      </c>
      <c r="BV197" s="1">
        <f t="shared" ca="1" si="210"/>
        <v>0.48656141730881958</v>
      </c>
      <c r="BW197" s="1">
        <f t="shared" ca="1" si="211"/>
        <v>992</v>
      </c>
      <c r="BX197" s="1">
        <f t="shared" ca="1" si="212"/>
        <v>9.9208150091493891E-3</v>
      </c>
      <c r="BY197" s="1">
        <f t="shared" ca="1" si="213"/>
        <v>6.235652522343154E-2</v>
      </c>
      <c r="BZ197" s="1">
        <f t="shared" ca="1" si="214"/>
        <v>0.18786614366764154</v>
      </c>
      <c r="CB197" s="1">
        <f t="shared" ca="1" si="215"/>
        <v>391</v>
      </c>
      <c r="CC197" s="1">
        <f t="shared" ca="1" si="216"/>
        <v>12</v>
      </c>
      <c r="CD197" s="1">
        <f t="shared" ca="1" si="217"/>
        <v>0.22906403770261785</v>
      </c>
      <c r="CE197" s="1">
        <f t="shared" ca="1" si="170"/>
        <v>0.92036925964279015</v>
      </c>
      <c r="CF197" s="1">
        <f t="shared" ca="1" si="170"/>
        <v>0.76869185945570351</v>
      </c>
      <c r="CH197" s="3">
        <f t="shared" ca="1" si="218"/>
        <v>0.49645856892343959</v>
      </c>
      <c r="CI197" s="3">
        <f t="shared" ca="1" si="219"/>
        <v>1.5288248051803805E-2</v>
      </c>
      <c r="CJ197" s="3">
        <f t="shared" ca="1" si="220"/>
        <v>389</v>
      </c>
      <c r="CK197" s="3">
        <f t="shared" ca="1" si="221"/>
        <v>2.3195759984378805E-3</v>
      </c>
      <c r="CL197" s="3">
        <f t="shared" ca="1" si="222"/>
        <v>0</v>
      </c>
      <c r="CM197" s="3"/>
      <c r="CN197" s="1">
        <f t="shared" ca="1" si="223"/>
        <v>2.7899300691506963</v>
      </c>
      <c r="CO197" s="1">
        <f t="shared" ca="1" si="224"/>
        <v>5.3553128509466454E-2</v>
      </c>
      <c r="CP197" s="1">
        <f t="shared" ca="1" si="225"/>
        <v>3</v>
      </c>
    </row>
    <row r="198" spans="2:94" x14ac:dyDescent="0.25">
      <c r="B198">
        <f t="shared" ca="1" si="171"/>
        <v>231</v>
      </c>
      <c r="C198">
        <f t="shared" ca="1" si="172"/>
        <v>7</v>
      </c>
      <c r="D198">
        <f t="shared" ca="1" si="173"/>
        <v>0.11489042462173794</v>
      </c>
      <c r="F198" s="1">
        <f t="shared" ca="1" si="174"/>
        <v>51</v>
      </c>
      <c r="G198" s="1">
        <f t="shared" ca="1" si="175"/>
        <v>4</v>
      </c>
      <c r="H198" s="1">
        <f t="shared" ca="1" si="176"/>
        <v>15</v>
      </c>
      <c r="I198" s="1"/>
      <c r="J198" s="1">
        <f t="shared" ca="1" si="177"/>
        <v>9</v>
      </c>
      <c r="K198" s="1">
        <f t="shared" ca="1" si="178"/>
        <v>2.9601496194889272</v>
      </c>
      <c r="L198" s="1">
        <f t="shared" ca="1" si="179"/>
        <v>12</v>
      </c>
      <c r="M198" s="1"/>
      <c r="N198" s="1">
        <f t="shared" ca="1" si="180"/>
        <v>895</v>
      </c>
      <c r="O198" s="1">
        <f t="shared" ca="1" si="181"/>
        <v>48</v>
      </c>
      <c r="P198" s="1"/>
      <c r="Q198" s="1">
        <f t="shared" ca="1" si="182"/>
        <v>4.8838053564053316</v>
      </c>
      <c r="R198" s="1">
        <f t="shared" ca="1" si="183"/>
        <v>642</v>
      </c>
      <c r="S198" s="1"/>
      <c r="T198" s="1">
        <f t="shared" ca="1" si="184"/>
        <v>7.6556459492993598E-2</v>
      </c>
      <c r="U198" s="1">
        <f t="shared" ca="1" si="185"/>
        <v>221</v>
      </c>
      <c r="V198" s="1">
        <f t="shared" ca="1" si="186"/>
        <v>5</v>
      </c>
      <c r="W198" s="1"/>
      <c r="X198" s="1">
        <f t="shared" ca="1" si="187"/>
        <v>5.6701494351380388</v>
      </c>
      <c r="Y198" s="1">
        <f t="shared" ca="1" si="188"/>
        <v>0.96440941381494294</v>
      </c>
      <c r="Z198" s="1">
        <f t="shared" ca="1" si="189"/>
        <v>1033</v>
      </c>
      <c r="AB198" s="1">
        <f t="shared" ca="1" si="190"/>
        <v>0.83460126709877536</v>
      </c>
      <c r="AC198" s="1">
        <f t="shared" ca="1" si="191"/>
        <v>895</v>
      </c>
      <c r="AD198" s="1">
        <f t="shared" ca="1" si="192"/>
        <v>5.9839079651603615E-3</v>
      </c>
      <c r="AE198" s="1"/>
      <c r="AF198" s="1">
        <f t="shared" ca="1" si="193"/>
        <v>0.59463466398622444</v>
      </c>
      <c r="AG198" s="1">
        <f t="shared" ca="1" si="194"/>
        <v>231</v>
      </c>
      <c r="AH198" s="1">
        <f t="shared" ca="1" si="195"/>
        <v>6.347933635333999E-3</v>
      </c>
      <c r="AJ198" s="1">
        <f t="shared" ca="1" si="196"/>
        <v>0.98491655828221703</v>
      </c>
      <c r="AK198" s="1">
        <f t="shared" ca="1" si="197"/>
        <v>6.4557022239195997E-3</v>
      </c>
      <c r="AL198" s="1"/>
      <c r="AM198" s="1">
        <f t="shared" ca="1" si="198"/>
        <v>4.4885404651521049E-2</v>
      </c>
      <c r="AN198" s="1">
        <f t="shared" ca="1" si="199"/>
        <v>56</v>
      </c>
      <c r="AO198" s="1">
        <f t="shared" ca="1" si="200"/>
        <v>14</v>
      </c>
      <c r="AQ198" s="1">
        <f t="shared" ca="1" si="201"/>
        <v>177</v>
      </c>
      <c r="AR198" s="1">
        <f t="shared" ca="1" si="202"/>
        <v>10</v>
      </c>
      <c r="AS198" s="1">
        <f t="shared" ca="1" si="203"/>
        <v>32</v>
      </c>
      <c r="AU198" s="1">
        <f t="shared" ca="1" si="204"/>
        <v>322</v>
      </c>
      <c r="AV198" s="1">
        <f t="shared" ca="1" si="205"/>
        <v>4</v>
      </c>
      <c r="AW198" s="1">
        <f t="shared" ca="1" si="206"/>
        <v>7.6184057502829472E-2</v>
      </c>
      <c r="AY198" s="1">
        <f t="shared" ca="1" si="207"/>
        <v>1.6807145464227176</v>
      </c>
      <c r="AZ198" s="1">
        <f t="shared" ca="1" si="208"/>
        <v>272</v>
      </c>
      <c r="BA198" s="1">
        <f t="shared" ca="1" si="209"/>
        <v>5.6885454142964597E-3</v>
      </c>
      <c r="BV198" s="1">
        <f t="shared" ca="1" si="210"/>
        <v>3.5209510166369841E-2</v>
      </c>
      <c r="BW198" s="1">
        <f t="shared" ca="1" si="211"/>
        <v>148</v>
      </c>
      <c r="BX198" s="1">
        <f t="shared" ca="1" si="212"/>
        <v>3.3331339535277193E-3</v>
      </c>
      <c r="BY198" s="1">
        <f t="shared" ca="1" si="213"/>
        <v>6.8273012142996178E-2</v>
      </c>
      <c r="BZ198" s="1">
        <f t="shared" ca="1" si="214"/>
        <v>0.99012794134301707</v>
      </c>
      <c r="CB198" s="1">
        <f t="shared" ca="1" si="215"/>
        <v>366</v>
      </c>
      <c r="CC198" s="1">
        <f t="shared" ca="1" si="216"/>
        <v>15</v>
      </c>
      <c r="CD198" s="1">
        <f t="shared" ca="1" si="217"/>
        <v>0.23082697838104385</v>
      </c>
      <c r="CE198" s="1">
        <f t="shared" ca="1" si="170"/>
        <v>0.57645804769318965</v>
      </c>
      <c r="CF198" s="1">
        <f t="shared" ca="1" si="170"/>
        <v>0.97680664478592627</v>
      </c>
      <c r="CH198" s="3">
        <f t="shared" ca="1" si="218"/>
        <v>0.13852178564801013</v>
      </c>
      <c r="CI198" s="3">
        <f t="shared" ca="1" si="219"/>
        <v>0.86786579079251513</v>
      </c>
      <c r="CJ198" s="3">
        <f t="shared" ca="1" si="220"/>
        <v>1045</v>
      </c>
      <c r="CK198" s="3">
        <f t="shared" ca="1" si="221"/>
        <v>8.3333222008807068E-3</v>
      </c>
      <c r="CL198" s="3">
        <f t="shared" ca="1" si="222"/>
        <v>1</v>
      </c>
      <c r="CM198" s="3"/>
      <c r="CN198" s="1">
        <f t="shared" ca="1" si="223"/>
        <v>12.035635331568379</v>
      </c>
      <c r="CO198" s="1">
        <f t="shared" ca="1" si="224"/>
        <v>0.34062783177068229</v>
      </c>
      <c r="CP198" s="1">
        <f t="shared" ca="1" si="225"/>
        <v>5</v>
      </c>
    </row>
    <row r="199" spans="2:94" x14ac:dyDescent="0.25">
      <c r="B199">
        <f t="shared" ca="1" si="171"/>
        <v>739</v>
      </c>
      <c r="C199">
        <f t="shared" ca="1" si="172"/>
        <v>17</v>
      </c>
      <c r="D199">
        <f t="shared" ca="1" si="173"/>
        <v>2.1684592730586923E-2</v>
      </c>
      <c r="F199" s="1">
        <f t="shared" ca="1" si="174"/>
        <v>35</v>
      </c>
      <c r="G199" s="1">
        <f t="shared" ca="1" si="175"/>
        <v>16</v>
      </c>
      <c r="H199" s="1">
        <f t="shared" ca="1" si="176"/>
        <v>1</v>
      </c>
      <c r="I199" s="1"/>
      <c r="J199" s="1">
        <f t="shared" ca="1" si="177"/>
        <v>10</v>
      </c>
      <c r="K199" s="1">
        <f t="shared" ca="1" si="178"/>
        <v>1.3365470648417781</v>
      </c>
      <c r="L199" s="1">
        <f t="shared" ca="1" si="179"/>
        <v>34</v>
      </c>
      <c r="M199" s="1"/>
      <c r="N199" s="1">
        <f t="shared" ca="1" si="180"/>
        <v>22</v>
      </c>
      <c r="O199" s="1">
        <f t="shared" ca="1" si="181"/>
        <v>28</v>
      </c>
      <c r="P199" s="1"/>
      <c r="Q199" s="1">
        <f t="shared" ca="1" si="182"/>
        <v>0.60562031004659422</v>
      </c>
      <c r="R199" s="1">
        <f t="shared" ca="1" si="183"/>
        <v>331</v>
      </c>
      <c r="S199" s="1"/>
      <c r="T199" s="1">
        <f t="shared" ca="1" si="184"/>
        <v>6.4717076548822819E-2</v>
      </c>
      <c r="U199" s="1">
        <f t="shared" ca="1" si="185"/>
        <v>395</v>
      </c>
      <c r="V199" s="1">
        <f t="shared" ca="1" si="186"/>
        <v>52</v>
      </c>
      <c r="W199" s="1"/>
      <c r="X199" s="1">
        <f t="shared" ca="1" si="187"/>
        <v>2.337885103941082</v>
      </c>
      <c r="Y199" s="1">
        <f t="shared" ca="1" si="188"/>
        <v>5.7094623676618883E-2</v>
      </c>
      <c r="Z199" s="1">
        <f t="shared" ca="1" si="189"/>
        <v>1744</v>
      </c>
      <c r="AB199" s="1">
        <f t="shared" ca="1" si="190"/>
        <v>0.62721910385565172</v>
      </c>
      <c r="AC199" s="1">
        <f t="shared" ca="1" si="191"/>
        <v>520</v>
      </c>
      <c r="AD199" s="1">
        <f t="shared" ca="1" si="192"/>
        <v>2.2905660394381545E-3</v>
      </c>
      <c r="AE199" s="1"/>
      <c r="AF199" s="1">
        <f t="shared" ca="1" si="193"/>
        <v>0.72044911772890197</v>
      </c>
      <c r="AG199" s="1">
        <f t="shared" ca="1" si="194"/>
        <v>345</v>
      </c>
      <c r="AH199" s="1">
        <f t="shared" ca="1" si="195"/>
        <v>5.0489107855754322E-3</v>
      </c>
      <c r="AJ199" s="1">
        <f t="shared" ca="1" si="196"/>
        <v>0.38027250815563807</v>
      </c>
      <c r="AK199" s="1">
        <f t="shared" ca="1" si="197"/>
        <v>6.3387364818818593E-3</v>
      </c>
      <c r="AL199" s="1"/>
      <c r="AM199" s="1">
        <f t="shared" ca="1" si="198"/>
        <v>1.5345397325574706E-2</v>
      </c>
      <c r="AN199" s="1">
        <f t="shared" ca="1" si="199"/>
        <v>24</v>
      </c>
      <c r="AO199" s="1">
        <f t="shared" ca="1" si="200"/>
        <v>1</v>
      </c>
      <c r="AQ199" s="1">
        <f t="shared" ca="1" si="201"/>
        <v>69</v>
      </c>
      <c r="AR199" s="1">
        <f t="shared" ca="1" si="202"/>
        <v>1</v>
      </c>
      <c r="AS199" s="1">
        <f t="shared" ca="1" si="203"/>
        <v>78</v>
      </c>
      <c r="AU199" s="1">
        <f t="shared" ca="1" si="204"/>
        <v>341</v>
      </c>
      <c r="AV199" s="1">
        <f t="shared" ca="1" si="205"/>
        <v>3</v>
      </c>
      <c r="AW199" s="1">
        <f t="shared" ca="1" si="206"/>
        <v>5.4908355101325544E-2</v>
      </c>
      <c r="AY199" s="1">
        <f t="shared" ca="1" si="207"/>
        <v>1.4547650003854256</v>
      </c>
      <c r="AZ199" s="1">
        <f t="shared" ca="1" si="208"/>
        <v>262</v>
      </c>
      <c r="BA199" s="1">
        <f t="shared" ca="1" si="209"/>
        <v>2.0130540014815551E-3</v>
      </c>
      <c r="BV199" s="1">
        <f t="shared" ca="1" si="210"/>
        <v>0.72369882571777666</v>
      </c>
      <c r="BW199" s="1">
        <f t="shared" ca="1" si="211"/>
        <v>826</v>
      </c>
      <c r="BX199" s="1">
        <f t="shared" ca="1" si="212"/>
        <v>3.538844490615044E-3</v>
      </c>
      <c r="BY199" s="1">
        <f t="shared" ca="1" si="213"/>
        <v>5.0357405079474768E-2</v>
      </c>
      <c r="BZ199" s="1">
        <f t="shared" ca="1" si="214"/>
        <v>0.56574096676394836</v>
      </c>
      <c r="CB199" s="1">
        <f t="shared" ca="1" si="215"/>
        <v>407</v>
      </c>
      <c r="CC199" s="1">
        <f t="shared" ca="1" si="216"/>
        <v>11</v>
      </c>
      <c r="CD199" s="1">
        <f t="shared" ca="1" si="217"/>
        <v>0.21107129179444759</v>
      </c>
      <c r="CE199" s="1">
        <f t="shared" ca="1" si="170"/>
        <v>0.66072110431356545</v>
      </c>
      <c r="CF199" s="1">
        <f t="shared" ca="1" si="170"/>
        <v>0.65760840950668187</v>
      </c>
      <c r="CH199" s="3">
        <f t="shared" ca="1" si="218"/>
        <v>0.44784157455582257</v>
      </c>
      <c r="CI199" s="3">
        <f t="shared" ca="1" si="219"/>
        <v>0.45357973935089946</v>
      </c>
      <c r="CJ199" s="3">
        <f t="shared" ca="1" si="220"/>
        <v>1093</v>
      </c>
      <c r="CK199" s="3">
        <f t="shared" ca="1" si="221"/>
        <v>2.370891536782117E-3</v>
      </c>
      <c r="CL199" s="3">
        <f t="shared" ca="1" si="222"/>
        <v>1</v>
      </c>
      <c r="CM199" s="3"/>
      <c r="CN199" s="1">
        <f t="shared" ca="1" si="223"/>
        <v>19.166745993520681</v>
      </c>
      <c r="CO199" s="1">
        <f t="shared" ca="1" si="224"/>
        <v>0.2542694834574441</v>
      </c>
      <c r="CP199" s="1">
        <f t="shared" ca="1" si="225"/>
        <v>4</v>
      </c>
    </row>
    <row r="200" spans="2:94" x14ac:dyDescent="0.25">
      <c r="B200">
        <f t="shared" ca="1" si="171"/>
        <v>122</v>
      </c>
      <c r="C200">
        <f t="shared" ca="1" si="172"/>
        <v>44</v>
      </c>
      <c r="D200">
        <f t="shared" ca="1" si="173"/>
        <v>7.9997540324948463E-2</v>
      </c>
      <c r="F200" s="1">
        <f t="shared" ca="1" si="174"/>
        <v>26</v>
      </c>
      <c r="G200" s="1">
        <f t="shared" ca="1" si="175"/>
        <v>19</v>
      </c>
      <c r="H200" s="1">
        <f t="shared" ca="1" si="176"/>
        <v>11</v>
      </c>
      <c r="I200" s="1"/>
      <c r="J200" s="1">
        <f t="shared" ca="1" si="177"/>
        <v>13</v>
      </c>
      <c r="K200" s="1">
        <f t="shared" ca="1" si="178"/>
        <v>1.2684701082589072</v>
      </c>
      <c r="L200" s="1">
        <f t="shared" ca="1" si="179"/>
        <v>27</v>
      </c>
      <c r="M200" s="1"/>
      <c r="N200" s="1">
        <f t="shared" ca="1" si="180"/>
        <v>782</v>
      </c>
      <c r="O200" s="1">
        <f t="shared" ca="1" si="181"/>
        <v>27</v>
      </c>
      <c r="P200" s="1"/>
      <c r="Q200" s="1">
        <f t="shared" ca="1" si="182"/>
        <v>4.2483740328183943</v>
      </c>
      <c r="R200" s="1">
        <f t="shared" ca="1" si="183"/>
        <v>611</v>
      </c>
      <c r="S200" s="1"/>
      <c r="T200" s="1">
        <f t="shared" ca="1" si="184"/>
        <v>0.14644820395660413</v>
      </c>
      <c r="U200" s="1">
        <f t="shared" ca="1" si="185"/>
        <v>152</v>
      </c>
      <c r="V200" s="1">
        <f t="shared" ca="1" si="186"/>
        <v>17</v>
      </c>
      <c r="W200" s="1"/>
      <c r="X200" s="1">
        <f t="shared" ca="1" si="187"/>
        <v>6.075270000699029</v>
      </c>
      <c r="Y200" s="1">
        <f t="shared" ca="1" si="188"/>
        <v>0.95912807907562991</v>
      </c>
      <c r="Z200" s="1">
        <f t="shared" ca="1" si="189"/>
        <v>1174</v>
      </c>
      <c r="AB200" s="1">
        <f t="shared" ca="1" si="190"/>
        <v>0.97485704592066325</v>
      </c>
      <c r="AC200" s="1">
        <f t="shared" ca="1" si="191"/>
        <v>295</v>
      </c>
      <c r="AD200" s="1">
        <f t="shared" ca="1" si="192"/>
        <v>1.8422885788879596E-3</v>
      </c>
      <c r="AE200" s="1"/>
      <c r="AF200" s="1">
        <f t="shared" ca="1" si="193"/>
        <v>0.52306057238595816</v>
      </c>
      <c r="AG200" s="1">
        <f t="shared" ca="1" si="194"/>
        <v>890</v>
      </c>
      <c r="AH200" s="1">
        <f t="shared" ca="1" si="195"/>
        <v>9.4954998324340307E-3</v>
      </c>
      <c r="AJ200" s="1">
        <f t="shared" ca="1" si="196"/>
        <v>0.13130888681348629</v>
      </c>
      <c r="AK200" s="1">
        <f t="shared" ca="1" si="197"/>
        <v>9.214919300719064E-4</v>
      </c>
      <c r="AL200" s="1"/>
      <c r="AM200" s="1">
        <f t="shared" ca="1" si="198"/>
        <v>0.16000882405108074</v>
      </c>
      <c r="AN200" s="1">
        <f t="shared" ca="1" si="199"/>
        <v>77</v>
      </c>
      <c r="AO200" s="1">
        <f t="shared" ca="1" si="200"/>
        <v>14</v>
      </c>
      <c r="AQ200" s="1">
        <f t="shared" ca="1" si="201"/>
        <v>63</v>
      </c>
      <c r="AR200" s="1">
        <f t="shared" ca="1" si="202"/>
        <v>8</v>
      </c>
      <c r="AS200" s="1">
        <f t="shared" ca="1" si="203"/>
        <v>12</v>
      </c>
      <c r="AU200" s="1">
        <f t="shared" ca="1" si="204"/>
        <v>122</v>
      </c>
      <c r="AV200" s="1">
        <f t="shared" ca="1" si="205"/>
        <v>3</v>
      </c>
      <c r="AW200" s="1">
        <f t="shared" ca="1" si="206"/>
        <v>0.17707726749740982</v>
      </c>
      <c r="AY200" s="1">
        <f t="shared" ca="1" si="207"/>
        <v>1.2848444036527622</v>
      </c>
      <c r="AZ200" s="1">
        <f t="shared" ca="1" si="208"/>
        <v>147</v>
      </c>
      <c r="BA200" s="1">
        <f t="shared" ca="1" si="209"/>
        <v>8.092408602378906E-3</v>
      </c>
      <c r="BV200" s="1">
        <f t="shared" ca="1" si="210"/>
        <v>0.86889308325177894</v>
      </c>
      <c r="BW200" s="1">
        <f t="shared" ca="1" si="211"/>
        <v>200</v>
      </c>
      <c r="BX200" s="1">
        <f t="shared" ca="1" si="212"/>
        <v>2.1040781689237687E-3</v>
      </c>
      <c r="BY200" s="1">
        <f t="shared" ca="1" si="213"/>
        <v>9.2080873423536436E-2</v>
      </c>
      <c r="BZ200" s="1">
        <f t="shared" ca="1" si="214"/>
        <v>0.75408725871918048</v>
      </c>
      <c r="CB200" s="1">
        <f t="shared" ca="1" si="215"/>
        <v>69</v>
      </c>
      <c r="CC200" s="1">
        <f t="shared" ca="1" si="216"/>
        <v>7</v>
      </c>
      <c r="CD200" s="1">
        <f t="shared" ca="1" si="217"/>
        <v>0.22927206109473222</v>
      </c>
      <c r="CE200" s="1">
        <f t="shared" ca="1" si="170"/>
        <v>0.90469601750225337</v>
      </c>
      <c r="CF200" s="1">
        <f t="shared" ca="1" si="170"/>
        <v>0.81401560232342685</v>
      </c>
      <c r="CH200" s="3">
        <f t="shared" ca="1" si="218"/>
        <v>0.32706389662998347</v>
      </c>
      <c r="CI200" s="3">
        <f t="shared" ca="1" si="219"/>
        <v>0.68124373854288156</v>
      </c>
      <c r="CJ200" s="3">
        <f t="shared" ca="1" si="220"/>
        <v>1374</v>
      </c>
      <c r="CK200" s="3">
        <f t="shared" ca="1" si="221"/>
        <v>8.8457248121631762E-3</v>
      </c>
      <c r="CL200" s="3">
        <f t="shared" ca="1" si="222"/>
        <v>1</v>
      </c>
      <c r="CM200" s="3"/>
      <c r="CN200" s="1">
        <f t="shared" ca="1" si="223"/>
        <v>7.3993028537103163</v>
      </c>
      <c r="CO200" s="1">
        <f t="shared" ca="1" si="224"/>
        <v>0.1922263625993767</v>
      </c>
      <c r="CP200" s="1">
        <f t="shared" ca="1" si="225"/>
        <v>4</v>
      </c>
    </row>
    <row r="201" spans="2:94" x14ac:dyDescent="0.25">
      <c r="B201">
        <f t="shared" ca="1" si="171"/>
        <v>250</v>
      </c>
      <c r="C201">
        <f t="shared" ca="1" si="172"/>
        <v>25</v>
      </c>
      <c r="D201">
        <f t="shared" ca="1" si="173"/>
        <v>0.17146762755627881</v>
      </c>
      <c r="F201" s="1">
        <f t="shared" ca="1" si="174"/>
        <v>35</v>
      </c>
      <c r="G201" s="1">
        <f t="shared" ca="1" si="175"/>
        <v>2</v>
      </c>
      <c r="H201" s="1">
        <f t="shared" ca="1" si="176"/>
        <v>10</v>
      </c>
      <c r="I201" s="1"/>
      <c r="J201" s="1">
        <f t="shared" ca="1" si="177"/>
        <v>11</v>
      </c>
      <c r="K201" s="1">
        <f t="shared" ca="1" si="178"/>
        <v>2.0725952484106709</v>
      </c>
      <c r="L201" s="1">
        <f t="shared" ca="1" si="179"/>
        <v>13</v>
      </c>
      <c r="M201" s="1"/>
      <c r="N201" s="1">
        <f t="shared" ca="1" si="180"/>
        <v>476</v>
      </c>
      <c r="O201" s="1">
        <f t="shared" ca="1" si="181"/>
        <v>41</v>
      </c>
      <c r="P201" s="1"/>
      <c r="Q201" s="1">
        <f t="shared" ca="1" si="182"/>
        <v>0.74549386511044147</v>
      </c>
      <c r="R201" s="1">
        <f t="shared" ca="1" si="183"/>
        <v>997</v>
      </c>
      <c r="S201" s="1"/>
      <c r="T201" s="1">
        <f t="shared" ca="1" si="184"/>
        <v>0.15644997811401223</v>
      </c>
      <c r="U201" s="1">
        <f t="shared" ca="1" si="185"/>
        <v>132</v>
      </c>
      <c r="V201" s="1">
        <f t="shared" ca="1" si="186"/>
        <v>15</v>
      </c>
      <c r="W201" s="1"/>
      <c r="X201" s="1">
        <f t="shared" ca="1" si="187"/>
        <v>1.3228509326117981</v>
      </c>
      <c r="Y201" s="1">
        <f t="shared" ca="1" si="188"/>
        <v>0.19096713748900426</v>
      </c>
      <c r="Z201" s="1">
        <f t="shared" ca="1" si="189"/>
        <v>206</v>
      </c>
      <c r="AB201" s="1">
        <f t="shared" ca="1" si="190"/>
        <v>0.21457160252417667</v>
      </c>
      <c r="AC201" s="1">
        <f t="shared" ca="1" si="191"/>
        <v>162</v>
      </c>
      <c r="AD201" s="1">
        <f t="shared" ca="1" si="192"/>
        <v>4.9867131014341808E-3</v>
      </c>
      <c r="AE201" s="1"/>
      <c r="AF201" s="1">
        <f t="shared" ca="1" si="193"/>
        <v>0.43773983670717387</v>
      </c>
      <c r="AG201" s="1">
        <f t="shared" ca="1" si="194"/>
        <v>375</v>
      </c>
      <c r="AH201" s="1">
        <f t="shared" ca="1" si="195"/>
        <v>8.9598782775236613E-3</v>
      </c>
      <c r="AJ201" s="1">
        <f t="shared" ca="1" si="196"/>
        <v>0.86414808350091643</v>
      </c>
      <c r="AK201" s="1">
        <f t="shared" ca="1" si="197"/>
        <v>9.1695647990137138E-4</v>
      </c>
      <c r="AL201" s="1"/>
      <c r="AM201" s="1">
        <f t="shared" ca="1" si="198"/>
        <v>9.1092021364192588E-2</v>
      </c>
      <c r="AN201" s="1">
        <f t="shared" ca="1" si="199"/>
        <v>51</v>
      </c>
      <c r="AO201" s="1">
        <f t="shared" ca="1" si="200"/>
        <v>4</v>
      </c>
      <c r="AQ201" s="1">
        <f t="shared" ca="1" si="201"/>
        <v>53</v>
      </c>
      <c r="AR201" s="1">
        <f t="shared" ca="1" si="202"/>
        <v>2</v>
      </c>
      <c r="AS201" s="1">
        <f t="shared" ca="1" si="203"/>
        <v>36</v>
      </c>
      <c r="AU201" s="1">
        <f t="shared" ca="1" si="204"/>
        <v>122</v>
      </c>
      <c r="AV201" s="1">
        <f t="shared" ca="1" si="205"/>
        <v>4</v>
      </c>
      <c r="AW201" s="1">
        <f t="shared" ca="1" si="206"/>
        <v>0.14709411460129462</v>
      </c>
      <c r="AY201" s="1">
        <f t="shared" ca="1" si="207"/>
        <v>1.3351199620026615</v>
      </c>
      <c r="AZ201" s="1">
        <f t="shared" ca="1" si="208"/>
        <v>484</v>
      </c>
      <c r="BA201" s="1">
        <f t="shared" ca="1" si="209"/>
        <v>8.9952972821022974E-3</v>
      </c>
      <c r="BV201" s="1">
        <f t="shared" ca="1" si="210"/>
        <v>0.77309296029743513</v>
      </c>
      <c r="BW201" s="1">
        <f t="shared" ca="1" si="211"/>
        <v>183</v>
      </c>
      <c r="BX201" s="1">
        <f t="shared" ca="1" si="212"/>
        <v>9.2859389270180896E-3</v>
      </c>
      <c r="BY201" s="1">
        <f t="shared" ca="1" si="213"/>
        <v>4.9912953983821846E-2</v>
      </c>
      <c r="BZ201" s="1">
        <f t="shared" ca="1" si="214"/>
        <v>0.88882840892121329</v>
      </c>
      <c r="CB201" s="1">
        <f t="shared" ca="1" si="215"/>
        <v>284</v>
      </c>
      <c r="CC201" s="1">
        <f t="shared" ca="1" si="216"/>
        <v>15</v>
      </c>
      <c r="CD201" s="1">
        <f t="shared" ca="1" si="217"/>
        <v>0.22222051522174832</v>
      </c>
      <c r="CE201" s="1">
        <f t="shared" ca="1" si="170"/>
        <v>0.88326724234738296</v>
      </c>
      <c r="CF201" s="1">
        <f t="shared" ca="1" si="170"/>
        <v>0.93110340334550878</v>
      </c>
      <c r="CH201" s="3">
        <f t="shared" ca="1" si="218"/>
        <v>0.19974087910498459</v>
      </c>
      <c r="CI201" s="3">
        <f t="shared" ca="1" si="219"/>
        <v>0.90465269204496446</v>
      </c>
      <c r="CJ201" s="3">
        <f t="shared" ca="1" si="220"/>
        <v>755</v>
      </c>
      <c r="CK201" s="3">
        <f t="shared" ca="1" si="221"/>
        <v>8.6061360370105165E-3</v>
      </c>
      <c r="CL201" s="3">
        <f t="shared" ca="1" si="222"/>
        <v>1</v>
      </c>
      <c r="CM201" s="3"/>
      <c r="CN201" s="1">
        <f t="shared" ca="1" si="223"/>
        <v>7.863058766885282</v>
      </c>
      <c r="CO201" s="1">
        <f t="shared" ca="1" si="224"/>
        <v>0.30488160609608406</v>
      </c>
      <c r="CP201" s="1">
        <f t="shared" ca="1" si="225"/>
        <v>5</v>
      </c>
    </row>
    <row r="202" spans="2:94" x14ac:dyDescent="0.25">
      <c r="B202">
        <f t="shared" ca="1" si="171"/>
        <v>796</v>
      </c>
      <c r="C202">
        <f t="shared" ca="1" si="172"/>
        <v>20</v>
      </c>
      <c r="D202">
        <f t="shared" ca="1" si="173"/>
        <v>0.29411008655709364</v>
      </c>
      <c r="F202" s="1">
        <f t="shared" ca="1" si="174"/>
        <v>11</v>
      </c>
      <c r="G202" s="1">
        <f t="shared" ca="1" si="175"/>
        <v>26</v>
      </c>
      <c r="H202" s="1">
        <f t="shared" ca="1" si="176"/>
        <v>2</v>
      </c>
      <c r="I202" s="1"/>
      <c r="J202" s="1">
        <f t="shared" ca="1" si="177"/>
        <v>3</v>
      </c>
      <c r="K202" s="1">
        <f t="shared" ca="1" si="178"/>
        <v>1.1990391772043036</v>
      </c>
      <c r="L202" s="1">
        <f t="shared" ca="1" si="179"/>
        <v>32</v>
      </c>
      <c r="M202" s="1"/>
      <c r="N202" s="1">
        <f t="shared" ca="1" si="180"/>
        <v>105</v>
      </c>
      <c r="O202" s="1">
        <f t="shared" ca="1" si="181"/>
        <v>36</v>
      </c>
      <c r="P202" s="1"/>
      <c r="Q202" s="1">
        <f t="shared" ca="1" si="182"/>
        <v>2.925285347323634</v>
      </c>
      <c r="R202" s="1">
        <f t="shared" ca="1" si="183"/>
        <v>961</v>
      </c>
      <c r="S202" s="1"/>
      <c r="T202" s="1">
        <f t="shared" ca="1" si="184"/>
        <v>4.3671721259936652E-2</v>
      </c>
      <c r="U202" s="1">
        <f t="shared" ca="1" si="185"/>
        <v>96</v>
      </c>
      <c r="V202" s="1">
        <f t="shared" ca="1" si="186"/>
        <v>31</v>
      </c>
      <c r="W202" s="1"/>
      <c r="X202" s="1">
        <f t="shared" ca="1" si="187"/>
        <v>2.5310561326162375</v>
      </c>
      <c r="Y202" s="1">
        <f t="shared" ca="1" si="188"/>
        <v>0.40393801629434312</v>
      </c>
      <c r="Z202" s="1">
        <f t="shared" ca="1" si="189"/>
        <v>626</v>
      </c>
      <c r="AB202" s="1">
        <f t="shared" ca="1" si="190"/>
        <v>0.71738024254552268</v>
      </c>
      <c r="AC202" s="1">
        <f t="shared" ca="1" si="191"/>
        <v>982</v>
      </c>
      <c r="AD202" s="1">
        <f t="shared" ca="1" si="192"/>
        <v>1.8571564496159413E-3</v>
      </c>
      <c r="AE202" s="1"/>
      <c r="AF202" s="1">
        <f t="shared" ca="1" si="193"/>
        <v>0.8771290026263886</v>
      </c>
      <c r="AG202" s="1">
        <f t="shared" ca="1" si="194"/>
        <v>212</v>
      </c>
      <c r="AH202" s="1">
        <f t="shared" ca="1" si="195"/>
        <v>4.6783504592426296E-3</v>
      </c>
      <c r="AJ202" s="1">
        <f t="shared" ca="1" si="196"/>
        <v>0.45821450669509811</v>
      </c>
      <c r="AK202" s="1">
        <f t="shared" ca="1" si="197"/>
        <v>5.0165601927032871E-3</v>
      </c>
      <c r="AL202" s="1"/>
      <c r="AM202" s="1">
        <f t="shared" ca="1" si="198"/>
        <v>0.19051006903720774</v>
      </c>
      <c r="AN202" s="1">
        <f t="shared" ca="1" si="199"/>
        <v>42</v>
      </c>
      <c r="AO202" s="1">
        <f t="shared" ca="1" si="200"/>
        <v>12</v>
      </c>
      <c r="AQ202" s="1">
        <f t="shared" ca="1" si="201"/>
        <v>140</v>
      </c>
      <c r="AR202" s="1">
        <f t="shared" ca="1" si="202"/>
        <v>4</v>
      </c>
      <c r="AS202" s="1">
        <f t="shared" ca="1" si="203"/>
        <v>4</v>
      </c>
      <c r="AU202" s="1">
        <f t="shared" ca="1" si="204"/>
        <v>330</v>
      </c>
      <c r="AV202" s="1">
        <f t="shared" ca="1" si="205"/>
        <v>3</v>
      </c>
      <c r="AW202" s="1">
        <f t="shared" ca="1" si="206"/>
        <v>0.18917257621187206</v>
      </c>
      <c r="AY202" s="1">
        <f t="shared" ca="1" si="207"/>
        <v>1.4933492335529266</v>
      </c>
      <c r="AZ202" s="1">
        <f t="shared" ca="1" si="208"/>
        <v>267</v>
      </c>
      <c r="BA202" s="1">
        <f t="shared" ca="1" si="209"/>
        <v>3.2015856682361772E-3</v>
      </c>
      <c r="BV202" s="1">
        <f t="shared" ca="1" si="210"/>
        <v>0.92567639222084575</v>
      </c>
      <c r="BW202" s="1">
        <f t="shared" ca="1" si="211"/>
        <v>856</v>
      </c>
      <c r="BX202" s="1">
        <f t="shared" ca="1" si="212"/>
        <v>4.0335378183857934E-3</v>
      </c>
      <c r="BY202" s="1">
        <f t="shared" ca="1" si="213"/>
        <v>5.9648186755689524E-2</v>
      </c>
      <c r="BZ202" s="1">
        <f t="shared" ca="1" si="214"/>
        <v>0.88893344191199353</v>
      </c>
      <c r="CB202" s="1">
        <f t="shared" ca="1" si="215"/>
        <v>152</v>
      </c>
      <c r="CC202" s="1">
        <f t="shared" ca="1" si="216"/>
        <v>13</v>
      </c>
      <c r="CD202" s="1">
        <f t="shared" ca="1" si="217"/>
        <v>0.13189604071540767</v>
      </c>
      <c r="CE202" s="1">
        <f t="shared" ca="1" si="170"/>
        <v>0.58714100216439546</v>
      </c>
      <c r="CF202" s="1">
        <f t="shared" ca="1" si="170"/>
        <v>0.9820160232602102</v>
      </c>
      <c r="CH202" s="3">
        <f t="shared" ca="1" si="218"/>
        <v>0.79224656453395259</v>
      </c>
      <c r="CI202" s="3">
        <f t="shared" ca="1" si="219"/>
        <v>0.90077613461206096</v>
      </c>
      <c r="CJ202" s="3">
        <f t="shared" ca="1" si="220"/>
        <v>1820</v>
      </c>
      <c r="CK202" s="3">
        <f t="shared" ca="1" si="221"/>
        <v>4.8897928183240704E-3</v>
      </c>
      <c r="CL202" s="3">
        <f t="shared" ca="1" si="222"/>
        <v>1</v>
      </c>
      <c r="CM202" s="3"/>
      <c r="CN202" s="1">
        <f t="shared" ca="1" si="223"/>
        <v>15.089668864012056</v>
      </c>
      <c r="CO202" s="1">
        <f t="shared" ca="1" si="224"/>
        <v>0.16019440344784816</v>
      </c>
      <c r="CP202" s="1">
        <f t="shared" ca="1" si="225"/>
        <v>2</v>
      </c>
    </row>
  </sheetData>
  <mergeCells count="25">
    <mergeCell ref="CR1:CT1"/>
    <mergeCell ref="CV1:CX1"/>
    <mergeCell ref="T1:V1"/>
    <mergeCell ref="X1:Z1"/>
    <mergeCell ref="B1:D1"/>
    <mergeCell ref="F1:H1"/>
    <mergeCell ref="J1:L1"/>
    <mergeCell ref="N1:O1"/>
    <mergeCell ref="Q1:R1"/>
    <mergeCell ref="CN1:CP1"/>
    <mergeCell ref="AJ1:AK1"/>
    <mergeCell ref="AB1:AD1"/>
    <mergeCell ref="AF1:AH1"/>
    <mergeCell ref="AY1:BA1"/>
    <mergeCell ref="BC1:BE1"/>
    <mergeCell ref="CH1:CL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2026-06-06T06:53:09Z</dcterms:modified>
</cp:coreProperties>
</file>