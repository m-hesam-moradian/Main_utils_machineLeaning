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76717FBF-345A-42BE-9F22-A6B284A6D748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" i="1" l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<sst xmlns="http://schemas.openxmlformats.org/spreadsheetml/2006/main" count="57" uniqueCount="36">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</sst>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7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1" xfId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E202"/>
  <sheetViews>
    <sheetView tabSelected="1" topLeftCell="AO1" zoomScale="70" zoomScaleNormal="70" workbookViewId="0">
      <selection activeCell="BC3" sqref="BC2:BE3"/>
    </sheetView>
  </sheetViews>
  <sheetFormatPr defaultRowHeight="15" x14ac:dyDescent="0.25"/>
  <sheetData>
    <row r="1" spans="2:57" x14ac:dyDescent="0.25">
      <c r="B1" s="5" t="s">
        <v>3</v>
      </c>
      <c r="C1" s="5"/>
      <c r="D1" s="5"/>
      <c r="F1" s="5" t="s">
        <v>14</v>
      </c>
      <c r="G1" s="5"/>
      <c r="H1" s="5"/>
      <c r="I1" s="1"/>
      <c r="J1" s="5" t="s">
        <v>6</v>
      </c>
      <c r="K1" s="5"/>
      <c r="L1" s="5"/>
      <c r="M1" s="1"/>
      <c r="N1" s="3" t="s">
        <v>10</v>
      </c>
      <c r="O1" s="6"/>
      <c r="P1" s="1"/>
      <c r="Q1" s="3" t="s">
        <v>11</v>
      </c>
      <c r="R1" s="6"/>
      <c r="S1" s="1"/>
      <c r="T1" s="5" t="s">
        <v>15</v>
      </c>
      <c r="U1" s="5"/>
      <c r="V1" s="5"/>
      <c r="W1" s="1"/>
      <c r="X1" s="5" t="s">
        <v>16</v>
      </c>
      <c r="Y1" s="5"/>
      <c r="Z1" s="5"/>
      <c r="AB1" s="5" t="s">
        <v>20</v>
      </c>
      <c r="AC1" s="5"/>
      <c r="AD1" s="5"/>
      <c r="AE1" s="1"/>
      <c r="AF1" s="5" t="s">
        <v>22</v>
      </c>
      <c r="AG1" s="5"/>
      <c r="AH1" s="5"/>
      <c r="AJ1" s="3" t="s">
        <v>24</v>
      </c>
      <c r="AK1" s="6"/>
      <c r="AM1" s="3" t="s">
        <v>26</v>
      </c>
      <c r="AN1" s="4"/>
      <c r="AO1" s="4"/>
      <c r="AQ1" s="3" t="s">
        <v>30</v>
      </c>
      <c r="AR1" s="4"/>
      <c r="AS1" s="4"/>
      <c r="AU1" s="3" t="s">
        <v>31</v>
      </c>
      <c r="AV1" s="4"/>
      <c r="AW1" s="4"/>
      <c r="AY1" s="5" t="s">
        <v>33</v>
      </c>
      <c r="AZ1" s="5"/>
      <c r="BA1" s="5"/>
      <c r="BC1" s="5" t="s">
        <v>35</v>
      </c>
      <c r="BD1" s="5"/>
      <c r="BE1" s="5"/>
    </row>
    <row r="2" spans="2:57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</row>
    <row r="3" spans="2:57" x14ac:dyDescent="0.25">
      <c r="B3">
        <f ca="1">RANDBETWEEN(15,1000)</f>
        <v>386</v>
      </c>
      <c r="C3">
        <f ca="1">RANDBETWEEN(2,52)</f>
        <v>23</v>
      </c>
      <c r="D3">
        <f ca="1">RAND()*(0.3-0.01)+0.01</f>
        <v>0.22910174084903792</v>
      </c>
      <c r="F3" s="1">
        <f ca="1">RANDBETWEEN(2,52)</f>
        <v>9</v>
      </c>
      <c r="G3" s="1">
        <f ca="1">RANDBETWEEN(2,30)</f>
        <v>23</v>
      </c>
      <c r="H3" s="1">
        <f ca="1">RANDBETWEEN(1,15)</f>
        <v>5</v>
      </c>
      <c r="I3" s="1"/>
      <c r="J3" s="1">
        <f ca="1">RANDBETWEEN(1,39)</f>
        <v>29</v>
      </c>
      <c r="K3" s="1">
        <f ca="1">RAND()*(3-1)+1</f>
        <v>1.5573911692542795</v>
      </c>
      <c r="L3" s="1">
        <f ca="1">RANDBETWEEN(2,35)</f>
        <v>6</v>
      </c>
      <c r="M3" s="1"/>
      <c r="N3" s="1">
        <f ca="1">RANDBETWEEN(15,1000)</f>
        <v>523</v>
      </c>
      <c r="O3" s="1">
        <f ca="1">RANDBETWEEN(2,52)</f>
        <v>6</v>
      </c>
      <c r="P3" s="1"/>
      <c r="Q3" s="1">
        <f ca="1">RAND()*(5-0.01)+0.01</f>
        <v>1.8671556898219857</v>
      </c>
      <c r="R3" s="1">
        <f ca="1">RANDBETWEEN(200,1200)</f>
        <v>601</v>
      </c>
      <c r="S3" s="1"/>
      <c r="T3" s="1">
        <f ca="1">RAND()*(0.2-0.01)+0.01</f>
        <v>0.10162267300910079</v>
      </c>
      <c r="U3" s="1">
        <f ca="1">RANDBETWEEN(50,450)</f>
        <v>178</v>
      </c>
      <c r="V3" s="1">
        <f ca="1">RANDBETWEEN(2,52)</f>
        <v>11</v>
      </c>
      <c r="W3" s="1"/>
      <c r="X3" s="1">
        <f ca="1">RAND()*(10-0.01)+0.01</f>
        <v>5.0590750062370988</v>
      </c>
      <c r="Y3" s="1">
        <f ca="1">RAND()*(1-0.0001)+0.0001</f>
        <v>0.75589573613842909</v>
      </c>
      <c r="Z3" s="1">
        <f ca="1">RANDBETWEEN(100,2000)</f>
        <v>704</v>
      </c>
      <c r="AB3" s="1">
        <f ca="1">RAND()*(1-0.0001)+0.0001</f>
        <v>0.79425089003397442</v>
      </c>
      <c r="AC3" s="1">
        <f ca="1">RANDBETWEEN(100,1000)</f>
        <v>168</v>
      </c>
      <c r="AD3" s="1">
        <f ca="1">RAND()*(0.01-0.00001)+0.00001</f>
        <v>3.4906648857334376E-3</v>
      </c>
      <c r="AE3" s="1"/>
      <c r="AF3" s="1">
        <f ca="1">RAND()*(0.9-0.1)+0.1</f>
        <v>0.88956793210291207</v>
      </c>
      <c r="AG3" s="1">
        <f ca="1">RANDBETWEEN(100,1000)</f>
        <v>331</v>
      </c>
      <c r="AH3" s="1">
        <f ca="1">RAND()*(0.01-0.00001)+0.00001</f>
        <v>1.2135149262618205E-3</v>
      </c>
      <c r="AJ3" s="1">
        <f ca="1">RAND()*(1-0)+0</f>
        <v>0.39433465366166098</v>
      </c>
      <c r="AK3" s="1">
        <f ca="1">RAND()*(0.01-0.00001)+0.00001</f>
        <v>3.1465134876409468E-3</v>
      </c>
      <c r="AM3" s="1">
        <f ca="1">RAND()*(0.2-0.005)+0.005</f>
        <v>0.19228528451385557</v>
      </c>
      <c r="AN3" s="1">
        <f ca="1">RANDBETWEEN(10,80)</f>
        <v>69</v>
      </c>
      <c r="AO3" s="1">
        <f ca="1">RANDBETWEEN(-1,20)</f>
        <v>15</v>
      </c>
      <c r="AQ3" s="1">
        <f ca="1">RANDBETWEEN(10,200)</f>
        <v>86</v>
      </c>
      <c r="AR3" s="1">
        <f ca="1">RANDBETWEEN(0,10)</f>
        <v>6</v>
      </c>
      <c r="AS3" s="1">
        <f ca="1">RANDBETWEEN(1,100)</f>
        <v>13</v>
      </c>
      <c r="AU3" s="1">
        <f ca="1">RANDBETWEEN(50,400)</f>
        <v>251</v>
      </c>
      <c r="AV3" s="1">
        <f ca="1">RANDBETWEEN(2,10)</f>
        <v>8</v>
      </c>
      <c r="AW3" s="1">
        <f ca="1">RAND()*(0.2-0.01)+0.01</f>
        <v>0.12182669398047737</v>
      </c>
      <c r="AY3" s="1">
        <f ca="1">RAND()*(2-1.1)+1.1</f>
        <v>1.143394641907908</v>
      </c>
      <c r="AZ3" s="1">
        <f ca="1">RANDBETWEEN(50,500)</f>
        <v>415</v>
      </c>
      <c r="BA3" s="1">
        <f ca="1">RAND()*(0.01-0.00001)+0.00001</f>
        <v>5.1456552149805991E-3</v>
      </c>
      <c r="BC3" s="1">
        <f ca="1">RAND()*(1-0.0001)+0.0001</f>
        <v>0.82394942705970131</v>
      </c>
      <c r="BD3" s="1">
        <f ca="1">RAND()*(1-0.0001)+0.0001</f>
        <v>0.68530210720274531</v>
      </c>
      <c r="BE3" s="1">
        <f ca="1">RANDBETWEEN(0,2)</f>
        <v>0</v>
      </c>
    </row>
    <row r="4" spans="2:57" x14ac:dyDescent="0.25">
      <c r="B4">
        <f t="shared" ref="B4:B67" ca="1" si="0">RANDBETWEEN(15,1000)</f>
        <v>110</v>
      </c>
      <c r="C4">
        <f t="shared" ref="C4:C67" ca="1" si="1">RANDBETWEEN(2,52)</f>
        <v>7</v>
      </c>
      <c r="D4">
        <f t="shared" ref="D4:D67" ca="1" si="2">RAND()*(0.3-0.01)+0.01</f>
        <v>0.23398731990622895</v>
      </c>
      <c r="F4" s="1">
        <f t="shared" ref="F4:F67" ca="1" si="3">RANDBETWEEN(2,52)</f>
        <v>34</v>
      </c>
      <c r="G4" s="1">
        <f t="shared" ref="G4:G67" ca="1" si="4">RANDBETWEEN(2,30)</f>
        <v>10</v>
      </c>
      <c r="H4" s="1">
        <f t="shared" ref="H4:H67" ca="1" si="5">RANDBETWEEN(1,15)</f>
        <v>15</v>
      </c>
      <c r="I4" s="1"/>
      <c r="J4" s="1">
        <f t="shared" ref="J4:J67" ca="1" si="6">RANDBETWEEN(1,39)</f>
        <v>1</v>
      </c>
      <c r="K4" s="1">
        <f t="shared" ref="K4:K67" ca="1" si="7">RAND()*(3-1)+1</f>
        <v>1.3462387221415277</v>
      </c>
      <c r="L4" s="1">
        <f t="shared" ref="L4:L67" ca="1" si="8">RANDBETWEEN(2,35)</f>
        <v>12</v>
      </c>
      <c r="M4" s="1"/>
      <c r="N4" s="1">
        <f t="shared" ref="N4:N67" ca="1" si="9">RANDBETWEEN(15,1000)</f>
        <v>405</v>
      </c>
      <c r="O4" s="1">
        <f t="shared" ref="O4:O67" ca="1" si="10">RANDBETWEEN(2,52)</f>
        <v>22</v>
      </c>
      <c r="P4" s="1"/>
      <c r="Q4" s="1">
        <f t="shared" ref="Q4:Q67" ca="1" si="11">RAND()*(5-0.01)+0.01</f>
        <v>0.45799116915908183</v>
      </c>
      <c r="R4" s="1">
        <f t="shared" ref="R4:R67" ca="1" si="12">RANDBETWEEN(200,1200)</f>
        <v>943</v>
      </c>
      <c r="S4" s="1"/>
      <c r="T4" s="1">
        <f t="shared" ref="T4:T67" ca="1" si="13">RAND()*(0.2-0.01)+0.01</f>
        <v>3.6662576233034309E-2</v>
      </c>
      <c r="U4" s="1">
        <f t="shared" ref="U4:U67" ca="1" si="14">RANDBETWEEN(50,450)</f>
        <v>379</v>
      </c>
      <c r="V4" s="1">
        <f t="shared" ref="V4:V67" ca="1" si="15">RANDBETWEEN(2,52)</f>
        <v>41</v>
      </c>
      <c r="W4" s="1"/>
      <c r="X4" s="1">
        <f t="shared" ref="X4:X67" ca="1" si="16">RAND()*(10-0.01)+0.01</f>
        <v>5.7761281531822899</v>
      </c>
      <c r="Y4" s="1">
        <f t="shared" ref="Y4:Y67" ca="1" si="17">RAND()*(1-0.0001)+0.0001</f>
        <v>0.90562574179379629</v>
      </c>
      <c r="Z4" s="1">
        <f t="shared" ref="Z4:Z67" ca="1" si="18">RANDBETWEEN(100,2000)</f>
        <v>1897</v>
      </c>
      <c r="AB4" s="1">
        <f t="shared" ref="AB4:AB67" ca="1" si="19">RAND()*(1-0.0001)+0.0001</f>
        <v>0.60719837130439047</v>
      </c>
      <c r="AC4" s="1">
        <f t="shared" ref="AC4:AC67" ca="1" si="20">RANDBETWEEN(100,1000)</f>
        <v>168</v>
      </c>
      <c r="AD4" s="1">
        <f t="shared" ref="AD4:AD67" ca="1" si="21">RAND()*(0.01-0.00001)+0.00001</f>
        <v>4.2813861918857598E-3</v>
      </c>
      <c r="AE4" s="1"/>
      <c r="AF4" s="1">
        <f t="shared" ref="AF4:AF67" ca="1" si="22">RAND()*(0.9-0.1)+0.1</f>
        <v>0.74370861405689404</v>
      </c>
      <c r="AG4" s="1">
        <f t="shared" ref="AG4:AG67" ca="1" si="23">RANDBETWEEN(100,1000)</f>
        <v>267</v>
      </c>
      <c r="AH4" s="1">
        <f t="shared" ref="AH4:AH67" ca="1" si="24">RAND()*(0.01-0.00001)+0.00001</f>
        <v>2.927976272060735E-4</v>
      </c>
      <c r="AJ4" s="1">
        <f t="shared" ref="AJ4:AJ67" ca="1" si="25">RAND()*(1-0)+0</f>
        <v>0.59856697012992333</v>
      </c>
      <c r="AK4" s="1">
        <f t="shared" ref="AK4:AK67" ca="1" si="26">RAND()*(0.01-0.00001)+0.00001</f>
        <v>8.0143699171033884E-3</v>
      </c>
      <c r="AL4" s="1"/>
      <c r="AM4" s="1">
        <f t="shared" ref="AM4:AM67" ca="1" si="27">RAND()*(0.2-0.005)+0.005</f>
        <v>6.4512423133127064E-2</v>
      </c>
      <c r="AN4" s="1">
        <f t="shared" ref="AN4:AN67" ca="1" si="28">RANDBETWEEN(10,80)</f>
        <v>53</v>
      </c>
      <c r="AO4" s="1">
        <f t="shared" ref="AO4:AO67" ca="1" si="29">RANDBETWEEN(-1,20)</f>
        <v>7</v>
      </c>
      <c r="AQ4" s="1">
        <f t="shared" ref="AQ4:AQ67" ca="1" si="30">RANDBETWEEN(10,200)</f>
        <v>89</v>
      </c>
      <c r="AR4" s="1">
        <f t="shared" ref="AR4:AR67" ca="1" si="31">RANDBETWEEN(0,10)</f>
        <v>0</v>
      </c>
      <c r="AS4" s="1">
        <f t="shared" ref="AS4:AS67" ca="1" si="32">RANDBETWEEN(1,100)</f>
        <v>88</v>
      </c>
      <c r="AU4" s="1">
        <f t="shared" ref="AU4:AU67" ca="1" si="33">RANDBETWEEN(50,400)</f>
        <v>151</v>
      </c>
      <c r="AV4" s="1">
        <f t="shared" ref="AV4:AV67" ca="1" si="34">RANDBETWEEN(2,10)</f>
        <v>2</v>
      </c>
      <c r="AW4" s="1">
        <f t="shared" ref="AW4:AW67" ca="1" si="35">RAND()*(0.2-0.01)+0.01</f>
        <v>0.13004767277868776</v>
      </c>
      <c r="AY4" s="1">
        <f t="shared" ref="AY4:AY67" ca="1" si="36">RAND()*(2-1.1)+1.1</f>
        <v>1.6036076709062574</v>
      </c>
      <c r="AZ4" s="1">
        <f t="shared" ref="AZ4:AZ67" ca="1" si="37">RANDBETWEEN(50,500)</f>
        <v>143</v>
      </c>
      <c r="BA4" s="1">
        <f t="shared" ref="BA4:BA67" ca="1" si="38">RAND()*(0.01-0.00001)+0.00001</f>
        <v>4.3440555343648652E-3</v>
      </c>
    </row>
    <row r="5" spans="2:57" x14ac:dyDescent="0.25">
      <c r="B5">
        <f t="shared" ca="1" si="0"/>
        <v>1000</v>
      </c>
      <c r="C5">
        <f t="shared" ca="1" si="1"/>
        <v>6</v>
      </c>
      <c r="D5">
        <f t="shared" ca="1" si="2"/>
        <v>3.5250294827952819E-2</v>
      </c>
      <c r="F5" s="1">
        <f t="shared" ca="1" si="3"/>
        <v>29</v>
      </c>
      <c r="G5" s="1">
        <f t="shared" ca="1" si="4"/>
        <v>18</v>
      </c>
      <c r="H5" s="1">
        <f t="shared" ca="1" si="5"/>
        <v>15</v>
      </c>
      <c r="I5" s="1"/>
      <c r="J5" s="1">
        <f t="shared" ca="1" si="6"/>
        <v>37</v>
      </c>
      <c r="K5" s="1">
        <f t="shared" ca="1" si="7"/>
        <v>1.7173368249878507</v>
      </c>
      <c r="L5" s="1">
        <f t="shared" ca="1" si="8"/>
        <v>2</v>
      </c>
      <c r="M5" s="1"/>
      <c r="N5" s="1">
        <f t="shared" ca="1" si="9"/>
        <v>345</v>
      </c>
      <c r="O5" s="1">
        <f t="shared" ca="1" si="10"/>
        <v>30</v>
      </c>
      <c r="P5" s="1"/>
      <c r="Q5" s="1">
        <f t="shared" ca="1" si="11"/>
        <v>3.059576695010676</v>
      </c>
      <c r="R5" s="1">
        <f t="shared" ca="1" si="12"/>
        <v>1089</v>
      </c>
      <c r="S5" s="1"/>
      <c r="T5" s="1">
        <f t="shared" ca="1" si="13"/>
        <v>0.12031050926766478</v>
      </c>
      <c r="U5" s="1">
        <f t="shared" ca="1" si="14"/>
        <v>305</v>
      </c>
      <c r="V5" s="1">
        <f t="shared" ca="1" si="15"/>
        <v>49</v>
      </c>
      <c r="W5" s="1"/>
      <c r="X5" s="1">
        <f t="shared" ca="1" si="16"/>
        <v>1.1316512126141651</v>
      </c>
      <c r="Y5" s="1">
        <f t="shared" ca="1" si="17"/>
        <v>0.18862893418538415</v>
      </c>
      <c r="Z5" s="1">
        <f t="shared" ca="1" si="18"/>
        <v>607</v>
      </c>
      <c r="AB5" s="1">
        <f t="shared" ca="1" si="19"/>
        <v>0.69611833753620189</v>
      </c>
      <c r="AC5" s="1">
        <f t="shared" ca="1" si="20"/>
        <v>907</v>
      </c>
      <c r="AD5" s="1">
        <f t="shared" ca="1" si="21"/>
        <v>6.1168239078228191E-3</v>
      </c>
      <c r="AE5" s="1"/>
      <c r="AF5" s="1">
        <f t="shared" ca="1" si="22"/>
        <v>0.80250230147769785</v>
      </c>
      <c r="AG5" s="1">
        <f t="shared" ca="1" si="23"/>
        <v>491</v>
      </c>
      <c r="AH5" s="1">
        <f t="shared" ca="1" si="24"/>
        <v>8.3745183038875948E-3</v>
      </c>
      <c r="AJ5" s="1">
        <f t="shared" ca="1" si="25"/>
        <v>0.14613647170963762</v>
      </c>
      <c r="AK5" s="1">
        <f t="shared" ca="1" si="26"/>
        <v>9.1004702957473826E-3</v>
      </c>
      <c r="AL5" s="1"/>
      <c r="AM5" s="1">
        <f t="shared" ca="1" si="27"/>
        <v>6.4115843275049544E-2</v>
      </c>
      <c r="AN5" s="1">
        <f t="shared" ca="1" si="28"/>
        <v>25</v>
      </c>
      <c r="AO5" s="1">
        <f t="shared" ca="1" si="29"/>
        <v>0</v>
      </c>
      <c r="AQ5" s="1">
        <f t="shared" ca="1" si="30"/>
        <v>179</v>
      </c>
      <c r="AR5" s="1">
        <f t="shared" ca="1" si="31"/>
        <v>9</v>
      </c>
      <c r="AS5" s="1">
        <f t="shared" ca="1" si="32"/>
        <v>53</v>
      </c>
      <c r="AU5" s="1">
        <f t="shared" ca="1" si="33"/>
        <v>337</v>
      </c>
      <c r="AV5" s="1">
        <f t="shared" ca="1" si="34"/>
        <v>10</v>
      </c>
      <c r="AW5" s="1">
        <f t="shared" ca="1" si="35"/>
        <v>4.2135958342592067E-2</v>
      </c>
      <c r="AY5" s="1">
        <f t="shared" ca="1" si="36"/>
        <v>1.1117942567326093</v>
      </c>
      <c r="AZ5" s="1">
        <f t="shared" ca="1" si="37"/>
        <v>214</v>
      </c>
      <c r="BA5" s="1">
        <f t="shared" ca="1" si="38"/>
        <v>9.2437165896845502E-3</v>
      </c>
    </row>
    <row r="6" spans="2:57" x14ac:dyDescent="0.25">
      <c r="B6">
        <f t="shared" ca="1" si="0"/>
        <v>846</v>
      </c>
      <c r="C6">
        <f t="shared" ca="1" si="1"/>
        <v>14</v>
      </c>
      <c r="D6">
        <f t="shared" ca="1" si="2"/>
        <v>0.20713932246637817</v>
      </c>
      <c r="F6" s="1">
        <f t="shared" ca="1" si="3"/>
        <v>32</v>
      </c>
      <c r="G6" s="1">
        <f t="shared" ca="1" si="4"/>
        <v>20</v>
      </c>
      <c r="H6" s="1">
        <f t="shared" ca="1" si="5"/>
        <v>2</v>
      </c>
      <c r="I6" s="1"/>
      <c r="J6" s="1">
        <f t="shared" ca="1" si="6"/>
        <v>20</v>
      </c>
      <c r="K6" s="1">
        <f t="shared" ca="1" si="7"/>
        <v>2.3560848224687074</v>
      </c>
      <c r="L6" s="1">
        <f t="shared" ca="1" si="8"/>
        <v>18</v>
      </c>
      <c r="M6" s="1"/>
      <c r="N6" s="1">
        <f t="shared" ca="1" si="9"/>
        <v>343</v>
      </c>
      <c r="O6" s="1">
        <f t="shared" ca="1" si="10"/>
        <v>34</v>
      </c>
      <c r="P6" s="1"/>
      <c r="Q6" s="1">
        <f t="shared" ca="1" si="11"/>
        <v>1.7155341169385212</v>
      </c>
      <c r="R6" s="1">
        <f t="shared" ca="1" si="12"/>
        <v>740</v>
      </c>
      <c r="S6" s="1"/>
      <c r="T6" s="1">
        <f t="shared" ca="1" si="13"/>
        <v>0.10679440154742456</v>
      </c>
      <c r="U6" s="1">
        <f t="shared" ca="1" si="14"/>
        <v>431</v>
      </c>
      <c r="V6" s="1">
        <f t="shared" ca="1" si="15"/>
        <v>31</v>
      </c>
      <c r="W6" s="1"/>
      <c r="X6" s="1">
        <f t="shared" ca="1" si="16"/>
        <v>1.2464778859526104</v>
      </c>
      <c r="Y6" s="1">
        <f t="shared" ca="1" si="17"/>
        <v>0.92735116874839729</v>
      </c>
      <c r="Z6" s="1">
        <f t="shared" ca="1" si="18"/>
        <v>1974</v>
      </c>
      <c r="AB6" s="1">
        <f t="shared" ca="1" si="19"/>
        <v>0.95149016254239371</v>
      </c>
      <c r="AC6" s="1">
        <f t="shared" ca="1" si="20"/>
        <v>394</v>
      </c>
      <c r="AD6" s="1">
        <f t="shared" ca="1" si="21"/>
        <v>8.5304199660795887E-3</v>
      </c>
      <c r="AE6" s="1"/>
      <c r="AF6" s="1">
        <f t="shared" ca="1" si="22"/>
        <v>0.85858100778782542</v>
      </c>
      <c r="AG6" s="1">
        <f t="shared" ca="1" si="23"/>
        <v>257</v>
      </c>
      <c r="AH6" s="1">
        <f t="shared" ca="1" si="24"/>
        <v>6.1293068970133778E-3</v>
      </c>
      <c r="AJ6" s="1">
        <f t="shared" ca="1" si="25"/>
        <v>0.66568858441066381</v>
      </c>
      <c r="AK6" s="1">
        <f t="shared" ca="1" si="26"/>
        <v>9.0614110645403541E-3</v>
      </c>
      <c r="AL6" s="1"/>
      <c r="AM6" s="1">
        <f t="shared" ca="1" si="27"/>
        <v>2.0196901320492702E-2</v>
      </c>
      <c r="AN6" s="1">
        <f t="shared" ca="1" si="28"/>
        <v>14</v>
      </c>
      <c r="AO6" s="1">
        <f t="shared" ca="1" si="29"/>
        <v>15</v>
      </c>
      <c r="AQ6" s="1">
        <f t="shared" ca="1" si="30"/>
        <v>199</v>
      </c>
      <c r="AR6" s="1">
        <f t="shared" ca="1" si="31"/>
        <v>0</v>
      </c>
      <c r="AS6" s="1">
        <f t="shared" ca="1" si="32"/>
        <v>64</v>
      </c>
      <c r="AU6" s="1">
        <f t="shared" ca="1" si="33"/>
        <v>350</v>
      </c>
      <c r="AV6" s="1">
        <f t="shared" ca="1" si="34"/>
        <v>6</v>
      </c>
      <c r="AW6" s="1">
        <f t="shared" ca="1" si="35"/>
        <v>0.14351350844512506</v>
      </c>
      <c r="AY6" s="1">
        <f t="shared" ca="1" si="36"/>
        <v>1.4893251179280345</v>
      </c>
      <c r="AZ6" s="1">
        <f t="shared" ca="1" si="37"/>
        <v>286</v>
      </c>
      <c r="BA6" s="1">
        <f t="shared" ca="1" si="38"/>
        <v>5.2882414118141461E-3</v>
      </c>
    </row>
    <row r="7" spans="2:57" x14ac:dyDescent="0.25">
      <c r="B7">
        <f t="shared" ca="1" si="0"/>
        <v>866</v>
      </c>
      <c r="C7">
        <f t="shared" ca="1" si="1"/>
        <v>22</v>
      </c>
      <c r="D7">
        <f t="shared" ca="1" si="2"/>
        <v>0.21519810803174022</v>
      </c>
      <c r="F7" s="1">
        <f t="shared" ca="1" si="3"/>
        <v>47</v>
      </c>
      <c r="G7" s="1">
        <f t="shared" ca="1" si="4"/>
        <v>25</v>
      </c>
      <c r="H7" s="1">
        <f t="shared" ca="1" si="5"/>
        <v>13</v>
      </c>
      <c r="I7" s="1"/>
      <c r="J7" s="1">
        <f t="shared" ca="1" si="6"/>
        <v>12</v>
      </c>
      <c r="K7" s="1">
        <f t="shared" ca="1" si="7"/>
        <v>2.3601097555823349</v>
      </c>
      <c r="L7" s="1">
        <f t="shared" ca="1" si="8"/>
        <v>17</v>
      </c>
      <c r="M7" s="1"/>
      <c r="N7" s="1">
        <f t="shared" ca="1" si="9"/>
        <v>591</v>
      </c>
      <c r="O7" s="1">
        <f t="shared" ca="1" si="10"/>
        <v>31</v>
      </c>
      <c r="P7" s="1"/>
      <c r="Q7" s="1">
        <f t="shared" ca="1" si="11"/>
        <v>3.5287026838721469</v>
      </c>
      <c r="R7" s="1">
        <f t="shared" ca="1" si="12"/>
        <v>891</v>
      </c>
      <c r="S7" s="1"/>
      <c r="T7" s="1">
        <f t="shared" ca="1" si="13"/>
        <v>0.15252027570544585</v>
      </c>
      <c r="U7" s="1">
        <f t="shared" ca="1" si="14"/>
        <v>72</v>
      </c>
      <c r="V7" s="1">
        <f t="shared" ca="1" si="15"/>
        <v>17</v>
      </c>
      <c r="W7" s="1"/>
      <c r="X7" s="1">
        <f t="shared" ca="1" si="16"/>
        <v>2.0959721550941133</v>
      </c>
      <c r="Y7" s="1">
        <f t="shared" ca="1" si="17"/>
        <v>0.9256292143862046</v>
      </c>
      <c r="Z7" s="1">
        <f t="shared" ca="1" si="18"/>
        <v>220</v>
      </c>
      <c r="AB7" s="1">
        <f t="shared" ca="1" si="19"/>
        <v>0.20775812631526253</v>
      </c>
      <c r="AC7" s="1">
        <f t="shared" ca="1" si="20"/>
        <v>827</v>
      </c>
      <c r="AD7" s="1">
        <f t="shared" ca="1" si="21"/>
        <v>7.6082789611474633E-3</v>
      </c>
      <c r="AE7" s="1"/>
      <c r="AF7" s="1">
        <f t="shared" ca="1" si="22"/>
        <v>0.25692348926205322</v>
      </c>
      <c r="AG7" s="1">
        <f t="shared" ca="1" si="23"/>
        <v>180</v>
      </c>
      <c r="AH7" s="1">
        <f t="shared" ca="1" si="24"/>
        <v>9.8433979776952063E-3</v>
      </c>
      <c r="AJ7" s="1">
        <f t="shared" ca="1" si="25"/>
        <v>0.27583937349046772</v>
      </c>
      <c r="AK7" s="1">
        <f t="shared" ca="1" si="26"/>
        <v>5.9387256157186E-3</v>
      </c>
      <c r="AL7" s="1"/>
      <c r="AM7" s="1">
        <f t="shared" ca="1" si="27"/>
        <v>7.0940238561981131E-2</v>
      </c>
      <c r="AN7" s="1">
        <f t="shared" ca="1" si="28"/>
        <v>65</v>
      </c>
      <c r="AO7" s="1">
        <f t="shared" ca="1" si="29"/>
        <v>9</v>
      </c>
      <c r="AQ7" s="1">
        <f t="shared" ca="1" si="30"/>
        <v>49</v>
      </c>
      <c r="AR7" s="1">
        <f t="shared" ca="1" si="31"/>
        <v>4</v>
      </c>
      <c r="AS7" s="1">
        <f t="shared" ca="1" si="32"/>
        <v>26</v>
      </c>
      <c r="AU7" s="1">
        <f t="shared" ca="1" si="33"/>
        <v>292</v>
      </c>
      <c r="AV7" s="1">
        <f t="shared" ca="1" si="34"/>
        <v>2</v>
      </c>
      <c r="AW7" s="1">
        <f t="shared" ca="1" si="35"/>
        <v>0.19053696776448703</v>
      </c>
      <c r="AY7" s="1">
        <f t="shared" ca="1" si="36"/>
        <v>1.4091583736427435</v>
      </c>
      <c r="AZ7" s="1">
        <f t="shared" ca="1" si="37"/>
        <v>395</v>
      </c>
      <c r="BA7" s="1">
        <f t="shared" ca="1" si="38"/>
        <v>6.6426300487890779E-3</v>
      </c>
    </row>
    <row r="8" spans="2:57" x14ac:dyDescent="0.25">
      <c r="B8">
        <f t="shared" ca="1" si="0"/>
        <v>638</v>
      </c>
      <c r="C8">
        <f t="shared" ca="1" si="1"/>
        <v>26</v>
      </c>
      <c r="D8">
        <f t="shared" ca="1" si="2"/>
        <v>1.3913059912949801E-2</v>
      </c>
      <c r="F8" s="1">
        <f t="shared" ca="1" si="3"/>
        <v>27</v>
      </c>
      <c r="G8" s="1">
        <f t="shared" ca="1" si="4"/>
        <v>10</v>
      </c>
      <c r="H8" s="1">
        <f t="shared" ca="1" si="5"/>
        <v>9</v>
      </c>
      <c r="I8" s="1"/>
      <c r="J8" s="1">
        <f t="shared" ca="1" si="6"/>
        <v>39</v>
      </c>
      <c r="K8" s="1">
        <f t="shared" ca="1" si="7"/>
        <v>1.0416577321648601</v>
      </c>
      <c r="L8" s="1">
        <f t="shared" ca="1" si="8"/>
        <v>28</v>
      </c>
      <c r="M8" s="1"/>
      <c r="N8" s="1">
        <f t="shared" ca="1" si="9"/>
        <v>913</v>
      </c>
      <c r="O8" s="1">
        <f t="shared" ca="1" si="10"/>
        <v>7</v>
      </c>
      <c r="P8" s="1"/>
      <c r="Q8" s="1">
        <f t="shared" ca="1" si="11"/>
        <v>3.1462334759132968</v>
      </c>
      <c r="R8" s="1">
        <f t="shared" ca="1" si="12"/>
        <v>418</v>
      </c>
      <c r="S8" s="1"/>
      <c r="T8" s="1">
        <f t="shared" ca="1" si="13"/>
        <v>5.7565542596212937E-2</v>
      </c>
      <c r="U8" s="1">
        <f t="shared" ca="1" si="14"/>
        <v>174</v>
      </c>
      <c r="V8" s="1">
        <f t="shared" ca="1" si="15"/>
        <v>21</v>
      </c>
      <c r="W8" s="1"/>
      <c r="X8" s="1">
        <f t="shared" ca="1" si="16"/>
        <v>4.322654350115565</v>
      </c>
      <c r="Y8" s="1">
        <f t="shared" ca="1" si="17"/>
        <v>0.83967642635718198</v>
      </c>
      <c r="Z8" s="1">
        <f t="shared" ca="1" si="18"/>
        <v>1710</v>
      </c>
      <c r="AB8" s="1">
        <f t="shared" ca="1" si="19"/>
        <v>0.55692001743213138</v>
      </c>
      <c r="AC8" s="1">
        <f t="shared" ca="1" si="20"/>
        <v>940</v>
      </c>
      <c r="AD8" s="1">
        <f t="shared" ca="1" si="21"/>
        <v>2.3153194429241662E-3</v>
      </c>
      <c r="AE8" s="1"/>
      <c r="AF8" s="1">
        <f t="shared" ca="1" si="22"/>
        <v>0.43572503241088278</v>
      </c>
      <c r="AG8" s="1">
        <f t="shared" ca="1" si="23"/>
        <v>783</v>
      </c>
      <c r="AH8" s="1">
        <f t="shared" ca="1" si="24"/>
        <v>3.141677549424229E-3</v>
      </c>
      <c r="AJ8" s="1">
        <f t="shared" ca="1" si="25"/>
        <v>0.55486945994813408</v>
      </c>
      <c r="AK8" s="1">
        <f t="shared" ca="1" si="26"/>
        <v>2.6343306644273571E-3</v>
      </c>
      <c r="AL8" s="1"/>
      <c r="AM8" s="1">
        <f t="shared" ca="1" si="27"/>
        <v>9.146433432244562E-2</v>
      </c>
      <c r="AN8" s="1">
        <f t="shared" ca="1" si="28"/>
        <v>40</v>
      </c>
      <c r="AO8" s="1">
        <f t="shared" ca="1" si="29"/>
        <v>4</v>
      </c>
      <c r="AQ8" s="1">
        <f t="shared" ca="1" si="30"/>
        <v>159</v>
      </c>
      <c r="AR8" s="1">
        <f t="shared" ca="1" si="31"/>
        <v>7</v>
      </c>
      <c r="AS8" s="1">
        <f t="shared" ca="1" si="32"/>
        <v>86</v>
      </c>
      <c r="AU8" s="1">
        <f t="shared" ca="1" si="33"/>
        <v>257</v>
      </c>
      <c r="AV8" s="1">
        <f t="shared" ca="1" si="34"/>
        <v>8</v>
      </c>
      <c r="AW8" s="1">
        <f t="shared" ca="1" si="35"/>
        <v>0.19382634202813262</v>
      </c>
      <c r="AY8" s="1">
        <f t="shared" ca="1" si="36"/>
        <v>1.5620002189541478</v>
      </c>
      <c r="AZ8" s="1">
        <f t="shared" ca="1" si="37"/>
        <v>379</v>
      </c>
      <c r="BA8" s="1">
        <f t="shared" ca="1" si="38"/>
        <v>7.9339541214156848E-3</v>
      </c>
    </row>
    <row r="9" spans="2:57" x14ac:dyDescent="0.25">
      <c r="B9">
        <f t="shared" ca="1" si="0"/>
        <v>824</v>
      </c>
      <c r="C9">
        <f t="shared" ca="1" si="1"/>
        <v>2</v>
      </c>
      <c r="D9">
        <f t="shared" ca="1" si="2"/>
        <v>2.2226266328816652E-2</v>
      </c>
      <c r="F9" s="1">
        <f t="shared" ca="1" si="3"/>
        <v>35</v>
      </c>
      <c r="G9" s="1">
        <f t="shared" ca="1" si="4"/>
        <v>19</v>
      </c>
      <c r="H9" s="1">
        <f t="shared" ca="1" si="5"/>
        <v>4</v>
      </c>
      <c r="I9" s="1"/>
      <c r="J9" s="1">
        <f t="shared" ca="1" si="6"/>
        <v>2</v>
      </c>
      <c r="K9" s="1">
        <f t="shared" ca="1" si="7"/>
        <v>2.0809031413190473</v>
      </c>
      <c r="L9" s="1">
        <f t="shared" ca="1" si="8"/>
        <v>25</v>
      </c>
      <c r="M9" s="1"/>
      <c r="N9" s="1">
        <f t="shared" ca="1" si="9"/>
        <v>815</v>
      </c>
      <c r="O9" s="1">
        <f t="shared" ca="1" si="10"/>
        <v>27</v>
      </c>
      <c r="P9" s="1"/>
      <c r="Q9" s="1">
        <f t="shared" ca="1" si="11"/>
        <v>3.774114988380437</v>
      </c>
      <c r="R9" s="1">
        <f t="shared" ca="1" si="12"/>
        <v>985</v>
      </c>
      <c r="S9" s="1"/>
      <c r="T9" s="1">
        <f t="shared" ca="1" si="13"/>
        <v>0.17122273302011332</v>
      </c>
      <c r="U9" s="1">
        <f t="shared" ca="1" si="14"/>
        <v>400</v>
      </c>
      <c r="V9" s="1">
        <f t="shared" ca="1" si="15"/>
        <v>50</v>
      </c>
      <c r="W9" s="1"/>
      <c r="X9" s="1">
        <f t="shared" ca="1" si="16"/>
        <v>3.7770663390896848</v>
      </c>
      <c r="Y9" s="1">
        <f t="shared" ca="1" si="17"/>
        <v>0.74464759056388519</v>
      </c>
      <c r="Z9" s="1">
        <f t="shared" ca="1" si="18"/>
        <v>986</v>
      </c>
      <c r="AB9" s="1">
        <f t="shared" ca="1" si="19"/>
        <v>0.49937695251068903</v>
      </c>
      <c r="AC9" s="1">
        <f t="shared" ca="1" si="20"/>
        <v>826</v>
      </c>
      <c r="AD9" s="1">
        <f t="shared" ca="1" si="21"/>
        <v>3.5132095538833973E-3</v>
      </c>
      <c r="AE9" s="1"/>
      <c r="AF9" s="1">
        <f t="shared" ca="1" si="22"/>
        <v>0.40072150530045747</v>
      </c>
      <c r="AG9" s="1">
        <f t="shared" ca="1" si="23"/>
        <v>505</v>
      </c>
      <c r="AH9" s="1">
        <f t="shared" ca="1" si="24"/>
        <v>5.2218378071649052E-3</v>
      </c>
      <c r="AJ9" s="1">
        <f t="shared" ca="1" si="25"/>
        <v>0.49990218361383698</v>
      </c>
      <c r="AK9" s="1">
        <f t="shared" ca="1" si="26"/>
        <v>3.7111391008216445E-3</v>
      </c>
      <c r="AL9" s="1"/>
      <c r="AM9" s="1">
        <f t="shared" ca="1" si="27"/>
        <v>2.397974142041993E-2</v>
      </c>
      <c r="AN9" s="1">
        <f t="shared" ca="1" si="28"/>
        <v>17</v>
      </c>
      <c r="AO9" s="1">
        <f t="shared" ca="1" si="29"/>
        <v>-1</v>
      </c>
      <c r="AQ9" s="1">
        <f t="shared" ca="1" si="30"/>
        <v>60</v>
      </c>
      <c r="AR9" s="1">
        <f t="shared" ca="1" si="31"/>
        <v>8</v>
      </c>
      <c r="AS9" s="1">
        <f t="shared" ca="1" si="32"/>
        <v>86</v>
      </c>
      <c r="AU9" s="1">
        <f t="shared" ca="1" si="33"/>
        <v>129</v>
      </c>
      <c r="AV9" s="1">
        <f t="shared" ca="1" si="34"/>
        <v>6</v>
      </c>
      <c r="AW9" s="1">
        <f t="shared" ca="1" si="35"/>
        <v>0.1941700189884403</v>
      </c>
      <c r="AY9" s="1">
        <f t="shared" ca="1" si="36"/>
        <v>1.7079632125450752</v>
      </c>
      <c r="AZ9" s="1">
        <f t="shared" ca="1" si="37"/>
        <v>239</v>
      </c>
      <c r="BA9" s="1">
        <f t="shared" ca="1" si="38"/>
        <v>5.1482484753881987E-3</v>
      </c>
    </row>
    <row r="10" spans="2:57" x14ac:dyDescent="0.25">
      <c r="B10">
        <f t="shared" ca="1" si="0"/>
        <v>689</v>
      </c>
      <c r="C10">
        <f t="shared" ca="1" si="1"/>
        <v>42</v>
      </c>
      <c r="D10">
        <f t="shared" ca="1" si="2"/>
        <v>0.19295547242231012</v>
      </c>
      <c r="F10" s="1">
        <f t="shared" ca="1" si="3"/>
        <v>45</v>
      </c>
      <c r="G10" s="1">
        <f t="shared" ca="1" si="4"/>
        <v>30</v>
      </c>
      <c r="H10" s="1">
        <f t="shared" ca="1" si="5"/>
        <v>15</v>
      </c>
      <c r="I10" s="1"/>
      <c r="J10" s="1">
        <f t="shared" ca="1" si="6"/>
        <v>2</v>
      </c>
      <c r="K10" s="1">
        <f t="shared" ca="1" si="7"/>
        <v>2.4965444742571146</v>
      </c>
      <c r="L10" s="1">
        <f t="shared" ca="1" si="8"/>
        <v>22</v>
      </c>
      <c r="M10" s="1"/>
      <c r="N10" s="1">
        <f t="shared" ca="1" si="9"/>
        <v>800</v>
      </c>
      <c r="O10" s="1">
        <f t="shared" ca="1" si="10"/>
        <v>29</v>
      </c>
      <c r="P10" s="1"/>
      <c r="Q10" s="1">
        <f t="shared" ca="1" si="11"/>
        <v>0.6020753838004318</v>
      </c>
      <c r="R10" s="1">
        <f t="shared" ca="1" si="12"/>
        <v>427</v>
      </c>
      <c r="S10" s="1"/>
      <c r="T10" s="1">
        <f t="shared" ca="1" si="13"/>
        <v>0.15160723148546187</v>
      </c>
      <c r="U10" s="1">
        <f t="shared" ca="1" si="14"/>
        <v>168</v>
      </c>
      <c r="V10" s="1">
        <f t="shared" ca="1" si="15"/>
        <v>28</v>
      </c>
      <c r="W10" s="1"/>
      <c r="X10" s="1">
        <f t="shared" ca="1" si="16"/>
        <v>2.4333644616028756</v>
      </c>
      <c r="Y10" s="1">
        <f t="shared" ca="1" si="17"/>
        <v>0.61584329727872378</v>
      </c>
      <c r="Z10" s="1">
        <f t="shared" ca="1" si="18"/>
        <v>981</v>
      </c>
      <c r="AB10" s="1">
        <f t="shared" ca="1" si="19"/>
        <v>0.9312689663802699</v>
      </c>
      <c r="AC10" s="1">
        <f t="shared" ca="1" si="20"/>
        <v>646</v>
      </c>
      <c r="AD10" s="1">
        <f t="shared" ca="1" si="21"/>
        <v>5.5127488920308021E-3</v>
      </c>
      <c r="AE10" s="1"/>
      <c r="AF10" s="1">
        <f t="shared" ca="1" si="22"/>
        <v>0.44801243913529587</v>
      </c>
      <c r="AG10" s="1">
        <f t="shared" ca="1" si="23"/>
        <v>918</v>
      </c>
      <c r="AH10" s="1">
        <f t="shared" ca="1" si="24"/>
        <v>4.1141879626149444E-3</v>
      </c>
      <c r="AJ10" s="1">
        <f t="shared" ca="1" si="25"/>
        <v>0.20112882386098052</v>
      </c>
      <c r="AK10" s="1">
        <f t="shared" ca="1" si="26"/>
        <v>3.5851567859768547E-3</v>
      </c>
      <c r="AL10" s="1"/>
      <c r="AM10" s="1">
        <f t="shared" ca="1" si="27"/>
        <v>0.15141933414548711</v>
      </c>
      <c r="AN10" s="1">
        <f t="shared" ca="1" si="28"/>
        <v>47</v>
      </c>
      <c r="AO10" s="1">
        <f t="shared" ca="1" si="29"/>
        <v>18</v>
      </c>
      <c r="AQ10" s="1">
        <f t="shared" ca="1" si="30"/>
        <v>189</v>
      </c>
      <c r="AR10" s="1">
        <f t="shared" ca="1" si="31"/>
        <v>9</v>
      </c>
      <c r="AS10" s="1">
        <f t="shared" ca="1" si="32"/>
        <v>5</v>
      </c>
      <c r="AU10" s="1">
        <f t="shared" ca="1" si="33"/>
        <v>368</v>
      </c>
      <c r="AV10" s="1">
        <f t="shared" ca="1" si="34"/>
        <v>3</v>
      </c>
      <c r="AW10" s="1">
        <f t="shared" ca="1" si="35"/>
        <v>5.5757806057982029E-2</v>
      </c>
      <c r="AY10" s="1">
        <f t="shared" ca="1" si="36"/>
        <v>1.6187979057833293</v>
      </c>
      <c r="AZ10" s="1">
        <f t="shared" ca="1" si="37"/>
        <v>277</v>
      </c>
      <c r="BA10" s="1">
        <f t="shared" ca="1" si="38"/>
        <v>2.4553158981120561E-3</v>
      </c>
    </row>
    <row r="11" spans="2:57" x14ac:dyDescent="0.25">
      <c r="B11">
        <f t="shared" ca="1" si="0"/>
        <v>692</v>
      </c>
      <c r="C11">
        <f t="shared" ca="1" si="1"/>
        <v>32</v>
      </c>
      <c r="D11">
        <f t="shared" ca="1" si="2"/>
        <v>1.8696870320106938E-2</v>
      </c>
      <c r="F11" s="1">
        <f t="shared" ca="1" si="3"/>
        <v>3</v>
      </c>
      <c r="G11" s="1">
        <f t="shared" ca="1" si="4"/>
        <v>6</v>
      </c>
      <c r="H11" s="1">
        <f t="shared" ca="1" si="5"/>
        <v>12</v>
      </c>
      <c r="I11" s="1"/>
      <c r="J11" s="1">
        <f t="shared" ca="1" si="6"/>
        <v>30</v>
      </c>
      <c r="K11" s="1">
        <f t="shared" ca="1" si="7"/>
        <v>2.3600637385627299</v>
      </c>
      <c r="L11" s="1">
        <f t="shared" ca="1" si="8"/>
        <v>7</v>
      </c>
      <c r="M11" s="1"/>
      <c r="N11" s="1">
        <f t="shared" ca="1" si="9"/>
        <v>484</v>
      </c>
      <c r="O11" s="1">
        <f t="shared" ca="1" si="10"/>
        <v>47</v>
      </c>
      <c r="P11" s="1"/>
      <c r="Q11" s="1">
        <f t="shared" ca="1" si="11"/>
        <v>2.6952863958227411</v>
      </c>
      <c r="R11" s="1">
        <f t="shared" ca="1" si="12"/>
        <v>374</v>
      </c>
      <c r="S11" s="1"/>
      <c r="T11" s="1">
        <f t="shared" ca="1" si="13"/>
        <v>1.193309026842757E-2</v>
      </c>
      <c r="U11" s="1">
        <f t="shared" ca="1" si="14"/>
        <v>223</v>
      </c>
      <c r="V11" s="1">
        <f t="shared" ca="1" si="15"/>
        <v>4</v>
      </c>
      <c r="W11" s="1"/>
      <c r="X11" s="1">
        <f t="shared" ca="1" si="16"/>
        <v>2.904019049486499E-2</v>
      </c>
      <c r="Y11" s="1">
        <f t="shared" ca="1" si="17"/>
        <v>0.95996505576587432</v>
      </c>
      <c r="Z11" s="1">
        <f t="shared" ca="1" si="18"/>
        <v>246</v>
      </c>
      <c r="AB11" s="1">
        <f t="shared" ca="1" si="19"/>
        <v>0.46284564530585026</v>
      </c>
      <c r="AC11" s="1">
        <f t="shared" ca="1" si="20"/>
        <v>917</v>
      </c>
      <c r="AD11" s="1">
        <f t="shared" ca="1" si="21"/>
        <v>7.594137525814444E-3</v>
      </c>
      <c r="AE11" s="1"/>
      <c r="AF11" s="1">
        <f t="shared" ca="1" si="22"/>
        <v>0.76359891150421688</v>
      </c>
      <c r="AG11" s="1">
        <f t="shared" ca="1" si="23"/>
        <v>130</v>
      </c>
      <c r="AH11" s="1">
        <f t="shared" ca="1" si="24"/>
        <v>3.4943723197004887E-3</v>
      </c>
      <c r="AJ11" s="1">
        <f t="shared" ca="1" si="25"/>
        <v>0.27421665105446091</v>
      </c>
      <c r="AK11" s="1">
        <f t="shared" ca="1" si="26"/>
        <v>9.2665590201473631E-4</v>
      </c>
      <c r="AL11" s="1"/>
      <c r="AM11" s="1">
        <f t="shared" ca="1" si="27"/>
        <v>8.9021295202269771E-2</v>
      </c>
      <c r="AN11" s="1">
        <f t="shared" ca="1" si="28"/>
        <v>38</v>
      </c>
      <c r="AO11" s="1">
        <f t="shared" ca="1" si="29"/>
        <v>16</v>
      </c>
      <c r="AQ11" s="1">
        <f t="shared" ca="1" si="30"/>
        <v>57</v>
      </c>
      <c r="AR11" s="1">
        <f t="shared" ca="1" si="31"/>
        <v>8</v>
      </c>
      <c r="AS11" s="1">
        <f t="shared" ca="1" si="32"/>
        <v>17</v>
      </c>
      <c r="AU11" s="1">
        <f t="shared" ca="1" si="33"/>
        <v>340</v>
      </c>
      <c r="AV11" s="1">
        <f t="shared" ca="1" si="34"/>
        <v>6</v>
      </c>
      <c r="AW11" s="1">
        <f t="shared" ca="1" si="35"/>
        <v>9.7799863717556543E-2</v>
      </c>
      <c r="AY11" s="1">
        <f t="shared" ca="1" si="36"/>
        <v>1.5013631616669529</v>
      </c>
      <c r="AZ11" s="1">
        <f t="shared" ca="1" si="37"/>
        <v>427</v>
      </c>
      <c r="BA11" s="1">
        <f t="shared" ca="1" si="38"/>
        <v>4.0234843890126589E-5</v>
      </c>
    </row>
    <row r="12" spans="2:57" x14ac:dyDescent="0.25">
      <c r="B12">
        <f t="shared" ca="1" si="0"/>
        <v>257</v>
      </c>
      <c r="C12">
        <f t="shared" ca="1" si="1"/>
        <v>25</v>
      </c>
      <c r="D12">
        <f t="shared" ca="1" si="2"/>
        <v>0.12257727266582159</v>
      </c>
      <c r="F12" s="1">
        <f t="shared" ca="1" si="3"/>
        <v>52</v>
      </c>
      <c r="G12" s="1">
        <f t="shared" ca="1" si="4"/>
        <v>7</v>
      </c>
      <c r="H12" s="1">
        <f t="shared" ca="1" si="5"/>
        <v>11</v>
      </c>
      <c r="I12" s="1"/>
      <c r="J12" s="1">
        <f t="shared" ca="1" si="6"/>
        <v>31</v>
      </c>
      <c r="K12" s="1">
        <f t="shared" ca="1" si="7"/>
        <v>1.8811444117958216</v>
      </c>
      <c r="L12" s="1">
        <f t="shared" ca="1" si="8"/>
        <v>22</v>
      </c>
      <c r="M12" s="1"/>
      <c r="N12" s="1">
        <f t="shared" ca="1" si="9"/>
        <v>908</v>
      </c>
      <c r="O12" s="1">
        <f t="shared" ca="1" si="10"/>
        <v>21</v>
      </c>
      <c r="P12" s="1"/>
      <c r="Q12" s="1">
        <f t="shared" ca="1" si="11"/>
        <v>3.798959136548596</v>
      </c>
      <c r="R12" s="1">
        <f t="shared" ca="1" si="12"/>
        <v>790</v>
      </c>
      <c r="S12" s="1"/>
      <c r="T12" s="1">
        <f t="shared" ca="1" si="13"/>
        <v>0.19652219166243676</v>
      </c>
      <c r="U12" s="1">
        <f t="shared" ca="1" si="14"/>
        <v>374</v>
      </c>
      <c r="V12" s="1">
        <f t="shared" ca="1" si="15"/>
        <v>11</v>
      </c>
      <c r="W12" s="1"/>
      <c r="X12" s="1">
        <f t="shared" ca="1" si="16"/>
        <v>5.4722842483374077</v>
      </c>
      <c r="Y12" s="1">
        <f t="shared" ca="1" si="17"/>
        <v>0.6272114001291309</v>
      </c>
      <c r="Z12" s="1">
        <f t="shared" ca="1" si="18"/>
        <v>1120</v>
      </c>
      <c r="AB12" s="1">
        <f t="shared" ca="1" si="19"/>
        <v>0.81879883595185288</v>
      </c>
      <c r="AC12" s="1">
        <f t="shared" ca="1" si="20"/>
        <v>721</v>
      </c>
      <c r="AD12" s="1">
        <f t="shared" ca="1" si="21"/>
        <v>3.8714118817210486E-3</v>
      </c>
      <c r="AE12" s="1"/>
      <c r="AF12" s="1">
        <f t="shared" ca="1" si="22"/>
        <v>0.37037815523309991</v>
      </c>
      <c r="AG12" s="1">
        <f t="shared" ca="1" si="23"/>
        <v>913</v>
      </c>
      <c r="AH12" s="1">
        <f t="shared" ca="1" si="24"/>
        <v>7.1327044202925578E-3</v>
      </c>
      <c r="AJ12" s="1">
        <f t="shared" ca="1" si="25"/>
        <v>0.11386670698165835</v>
      </c>
      <c r="AK12" s="1">
        <f t="shared" ca="1" si="26"/>
        <v>9.591455896730083E-3</v>
      </c>
      <c r="AL12" s="1"/>
      <c r="AM12" s="1">
        <f t="shared" ca="1" si="27"/>
        <v>8.686948348840054E-3</v>
      </c>
      <c r="AN12" s="1">
        <f t="shared" ca="1" si="28"/>
        <v>56</v>
      </c>
      <c r="AO12" s="1">
        <f t="shared" ca="1" si="29"/>
        <v>14</v>
      </c>
      <c r="AQ12" s="1">
        <f t="shared" ca="1" si="30"/>
        <v>143</v>
      </c>
      <c r="AR12" s="1">
        <f t="shared" ca="1" si="31"/>
        <v>1</v>
      </c>
      <c r="AS12" s="1">
        <f t="shared" ca="1" si="32"/>
        <v>57</v>
      </c>
      <c r="AU12" s="1">
        <f t="shared" ca="1" si="33"/>
        <v>273</v>
      </c>
      <c r="AV12" s="1">
        <f t="shared" ca="1" si="34"/>
        <v>7</v>
      </c>
      <c r="AW12" s="1">
        <f t="shared" ca="1" si="35"/>
        <v>8.8612944001185079E-2</v>
      </c>
      <c r="AY12" s="1">
        <f t="shared" ca="1" si="36"/>
        <v>1.1629430264356087</v>
      </c>
      <c r="AZ12" s="1">
        <f t="shared" ca="1" si="37"/>
        <v>109</v>
      </c>
      <c r="BA12" s="1">
        <f t="shared" ca="1" si="38"/>
        <v>7.4019349850237698E-3</v>
      </c>
    </row>
    <row r="13" spans="2:57" x14ac:dyDescent="0.25">
      <c r="B13">
        <f t="shared" ca="1" si="0"/>
        <v>679</v>
      </c>
      <c r="C13">
        <f t="shared" ca="1" si="1"/>
        <v>34</v>
      </c>
      <c r="D13">
        <f t="shared" ca="1" si="2"/>
        <v>3.7374096390886007E-2</v>
      </c>
      <c r="F13" s="1">
        <f t="shared" ca="1" si="3"/>
        <v>43</v>
      </c>
      <c r="G13" s="1">
        <f t="shared" ca="1" si="4"/>
        <v>13</v>
      </c>
      <c r="H13" s="1">
        <f t="shared" ca="1" si="5"/>
        <v>9</v>
      </c>
      <c r="I13" s="1"/>
      <c r="J13" s="1">
        <f t="shared" ca="1" si="6"/>
        <v>15</v>
      </c>
      <c r="K13" s="1">
        <f t="shared" ca="1" si="7"/>
        <v>1.5578277217412968</v>
      </c>
      <c r="L13" s="1">
        <f t="shared" ca="1" si="8"/>
        <v>2</v>
      </c>
      <c r="M13" s="1"/>
      <c r="N13" s="1">
        <f t="shared" ca="1" si="9"/>
        <v>841</v>
      </c>
      <c r="O13" s="1">
        <f t="shared" ca="1" si="10"/>
        <v>26</v>
      </c>
      <c r="P13" s="1"/>
      <c r="Q13" s="1">
        <f t="shared" ca="1" si="11"/>
        <v>4.5076240802285508</v>
      </c>
      <c r="R13" s="1">
        <f t="shared" ca="1" si="12"/>
        <v>966</v>
      </c>
      <c r="S13" s="1"/>
      <c r="T13" s="1">
        <f t="shared" ca="1" si="13"/>
        <v>0.19080250058516013</v>
      </c>
      <c r="U13" s="1">
        <f t="shared" ca="1" si="14"/>
        <v>51</v>
      </c>
      <c r="V13" s="1">
        <f t="shared" ca="1" si="15"/>
        <v>35</v>
      </c>
      <c r="W13" s="1"/>
      <c r="X13" s="1">
        <f t="shared" ca="1" si="16"/>
        <v>0.86489759963882529</v>
      </c>
      <c r="Y13" s="1">
        <f t="shared" ca="1" si="17"/>
        <v>0.73687291252003617</v>
      </c>
      <c r="Z13" s="1">
        <f t="shared" ca="1" si="18"/>
        <v>443</v>
      </c>
      <c r="AB13" s="1">
        <f t="shared" ca="1" si="19"/>
        <v>0.55769702499166018</v>
      </c>
      <c r="AC13" s="1">
        <f t="shared" ca="1" si="20"/>
        <v>707</v>
      </c>
      <c r="AD13" s="1">
        <f t="shared" ca="1" si="21"/>
        <v>4.5877779646592782E-3</v>
      </c>
      <c r="AE13" s="1"/>
      <c r="AF13" s="1">
        <f t="shared" ca="1" si="22"/>
        <v>0.27416486819071839</v>
      </c>
      <c r="AG13" s="1">
        <f t="shared" ca="1" si="23"/>
        <v>301</v>
      </c>
      <c r="AH13" s="1">
        <f t="shared" ca="1" si="24"/>
        <v>5.2109247923997834E-3</v>
      </c>
      <c r="AJ13" s="1">
        <f t="shared" ca="1" si="25"/>
        <v>0.24661269749593462</v>
      </c>
      <c r="AK13" s="1">
        <f t="shared" ca="1" si="26"/>
        <v>8.718822212265805E-3</v>
      </c>
      <c r="AL13" s="1"/>
      <c r="AM13" s="1">
        <f t="shared" ca="1" si="27"/>
        <v>0.19521198823401784</v>
      </c>
      <c r="AN13" s="1">
        <f t="shared" ca="1" si="28"/>
        <v>58</v>
      </c>
      <c r="AO13" s="1">
        <f t="shared" ca="1" si="29"/>
        <v>1</v>
      </c>
      <c r="AQ13" s="1">
        <f t="shared" ca="1" si="30"/>
        <v>60</v>
      </c>
      <c r="AR13" s="1">
        <f t="shared" ca="1" si="31"/>
        <v>7</v>
      </c>
      <c r="AS13" s="1">
        <f t="shared" ca="1" si="32"/>
        <v>2</v>
      </c>
      <c r="AU13" s="1">
        <f t="shared" ca="1" si="33"/>
        <v>230</v>
      </c>
      <c r="AV13" s="1">
        <f t="shared" ca="1" si="34"/>
        <v>4</v>
      </c>
      <c r="AW13" s="1">
        <f t="shared" ca="1" si="35"/>
        <v>0.12940307045636534</v>
      </c>
      <c r="AY13" s="1">
        <f t="shared" ca="1" si="36"/>
        <v>1.7348141947729059</v>
      </c>
      <c r="AZ13" s="1">
        <f t="shared" ca="1" si="37"/>
        <v>335</v>
      </c>
      <c r="BA13" s="1">
        <f t="shared" ca="1" si="38"/>
        <v>4.4043829108105712E-3</v>
      </c>
    </row>
    <row r="14" spans="2:57" x14ac:dyDescent="0.25">
      <c r="B14">
        <f t="shared" ca="1" si="0"/>
        <v>732</v>
      </c>
      <c r="C14">
        <f t="shared" ca="1" si="1"/>
        <v>35</v>
      </c>
      <c r="D14">
        <f t="shared" ca="1" si="2"/>
        <v>0.22831098028547764</v>
      </c>
      <c r="F14" s="1">
        <f t="shared" ca="1" si="3"/>
        <v>44</v>
      </c>
      <c r="G14" s="1">
        <f t="shared" ca="1" si="4"/>
        <v>15</v>
      </c>
      <c r="H14" s="1">
        <f t="shared" ca="1" si="5"/>
        <v>14</v>
      </c>
      <c r="I14" s="1"/>
      <c r="J14" s="1">
        <f t="shared" ca="1" si="6"/>
        <v>12</v>
      </c>
      <c r="K14" s="1">
        <f t="shared" ca="1" si="7"/>
        <v>2.2087560287437538</v>
      </c>
      <c r="L14" s="1">
        <f t="shared" ca="1" si="8"/>
        <v>16</v>
      </c>
      <c r="M14" s="1"/>
      <c r="N14" s="1">
        <f t="shared" ca="1" si="9"/>
        <v>341</v>
      </c>
      <c r="O14" s="1">
        <f t="shared" ca="1" si="10"/>
        <v>17</v>
      </c>
      <c r="P14" s="1"/>
      <c r="Q14" s="1">
        <f t="shared" ca="1" si="11"/>
        <v>3.7086005675267142</v>
      </c>
      <c r="R14" s="1">
        <f t="shared" ca="1" si="12"/>
        <v>357</v>
      </c>
      <c r="S14" s="1"/>
      <c r="T14" s="1">
        <f t="shared" ca="1" si="13"/>
        <v>3.1720108778460723E-2</v>
      </c>
      <c r="U14" s="1">
        <f t="shared" ca="1" si="14"/>
        <v>223</v>
      </c>
      <c r="V14" s="1">
        <f t="shared" ca="1" si="15"/>
        <v>13</v>
      </c>
      <c r="W14" s="1"/>
      <c r="X14" s="1">
        <f t="shared" ca="1" si="16"/>
        <v>0.25408921760201986</v>
      </c>
      <c r="Y14" s="1">
        <f t="shared" ca="1" si="17"/>
        <v>0.9318369427793276</v>
      </c>
      <c r="Z14" s="1">
        <f t="shared" ca="1" si="18"/>
        <v>1039</v>
      </c>
      <c r="AB14" s="1">
        <f t="shared" ca="1" si="19"/>
        <v>0.7787126363184349</v>
      </c>
      <c r="AC14" s="1">
        <f t="shared" ca="1" si="20"/>
        <v>172</v>
      </c>
      <c r="AD14" s="1">
        <f t="shared" ca="1" si="21"/>
        <v>1.0696361891856987E-3</v>
      </c>
      <c r="AE14" s="1"/>
      <c r="AF14" s="1">
        <f t="shared" ca="1" si="22"/>
        <v>0.46870009692489523</v>
      </c>
      <c r="AG14" s="1">
        <f t="shared" ca="1" si="23"/>
        <v>690</v>
      </c>
      <c r="AH14" s="1">
        <f t="shared" ca="1" si="24"/>
        <v>2.7596441992588615E-3</v>
      </c>
      <c r="AJ14" s="1">
        <f t="shared" ca="1" si="25"/>
        <v>0.8923795154149512</v>
      </c>
      <c r="AK14" s="1">
        <f t="shared" ca="1" si="26"/>
        <v>3.1220595546775941E-4</v>
      </c>
      <c r="AL14" s="1"/>
      <c r="AM14" s="1">
        <f t="shared" ca="1" si="27"/>
        <v>6.3317757155458856E-2</v>
      </c>
      <c r="AN14" s="1">
        <f t="shared" ca="1" si="28"/>
        <v>17</v>
      </c>
      <c r="AO14" s="1">
        <f t="shared" ca="1" si="29"/>
        <v>9</v>
      </c>
      <c r="AQ14" s="1">
        <f t="shared" ca="1" si="30"/>
        <v>94</v>
      </c>
      <c r="AR14" s="1">
        <f t="shared" ca="1" si="31"/>
        <v>9</v>
      </c>
      <c r="AS14" s="1">
        <f t="shared" ca="1" si="32"/>
        <v>21</v>
      </c>
      <c r="AU14" s="1">
        <f t="shared" ca="1" si="33"/>
        <v>94</v>
      </c>
      <c r="AV14" s="1">
        <f t="shared" ca="1" si="34"/>
        <v>6</v>
      </c>
      <c r="AW14" s="1">
        <f t="shared" ca="1" si="35"/>
        <v>0.19499477242922197</v>
      </c>
      <c r="AY14" s="1">
        <f t="shared" ca="1" si="36"/>
        <v>1.9963347632059376</v>
      </c>
      <c r="AZ14" s="1">
        <f t="shared" ca="1" si="37"/>
        <v>350</v>
      </c>
      <c r="BA14" s="1">
        <f t="shared" ca="1" si="38"/>
        <v>7.4596565110881643E-3</v>
      </c>
    </row>
    <row r="15" spans="2:57" x14ac:dyDescent="0.25">
      <c r="B15">
        <f t="shared" ca="1" si="0"/>
        <v>145</v>
      </c>
      <c r="C15">
        <f t="shared" ca="1" si="1"/>
        <v>40</v>
      </c>
      <c r="D15">
        <f t="shared" ca="1" si="2"/>
        <v>0.24326208562523807</v>
      </c>
      <c r="F15" s="1">
        <f t="shared" ca="1" si="3"/>
        <v>51</v>
      </c>
      <c r="G15" s="1">
        <f t="shared" ca="1" si="4"/>
        <v>16</v>
      </c>
      <c r="H15" s="1">
        <f t="shared" ca="1" si="5"/>
        <v>10</v>
      </c>
      <c r="I15" s="1"/>
      <c r="J15" s="1">
        <f t="shared" ca="1" si="6"/>
        <v>3</v>
      </c>
      <c r="K15" s="1">
        <f t="shared" ca="1" si="7"/>
        <v>2.3731281299250613</v>
      </c>
      <c r="L15" s="1">
        <f t="shared" ca="1" si="8"/>
        <v>28</v>
      </c>
      <c r="M15" s="1"/>
      <c r="N15" s="1">
        <f t="shared" ca="1" si="9"/>
        <v>401</v>
      </c>
      <c r="O15" s="1">
        <f t="shared" ca="1" si="10"/>
        <v>11</v>
      </c>
      <c r="P15" s="1"/>
      <c r="Q15" s="1">
        <f t="shared" ca="1" si="11"/>
        <v>9.535053134795618E-2</v>
      </c>
      <c r="R15" s="1">
        <f t="shared" ca="1" si="12"/>
        <v>658</v>
      </c>
      <c r="S15" s="1"/>
      <c r="T15" s="1">
        <f t="shared" ca="1" si="13"/>
        <v>8.9039043664763867E-2</v>
      </c>
      <c r="U15" s="1">
        <f t="shared" ca="1" si="14"/>
        <v>337</v>
      </c>
      <c r="V15" s="1">
        <f t="shared" ca="1" si="15"/>
        <v>37</v>
      </c>
      <c r="W15" s="1"/>
      <c r="X15" s="1">
        <f t="shared" ca="1" si="16"/>
        <v>5.969280808260149</v>
      </c>
      <c r="Y15" s="1">
        <f t="shared" ca="1" si="17"/>
        <v>0.67372032274006721</v>
      </c>
      <c r="Z15" s="1">
        <f t="shared" ca="1" si="18"/>
        <v>1006</v>
      </c>
      <c r="AB15" s="1">
        <f t="shared" ca="1" si="19"/>
        <v>0.36129390249771082</v>
      </c>
      <c r="AC15" s="1">
        <f t="shared" ca="1" si="20"/>
        <v>833</v>
      </c>
      <c r="AD15" s="1">
        <f t="shared" ca="1" si="21"/>
        <v>2.2973173299278217E-4</v>
      </c>
      <c r="AE15" s="1"/>
      <c r="AF15" s="1">
        <f t="shared" ca="1" si="22"/>
        <v>0.10734050849778552</v>
      </c>
      <c r="AG15" s="1">
        <f t="shared" ca="1" si="23"/>
        <v>177</v>
      </c>
      <c r="AH15" s="1">
        <f t="shared" ca="1" si="24"/>
        <v>6.8594679522916945E-3</v>
      </c>
      <c r="AJ15" s="1">
        <f t="shared" ca="1" si="25"/>
        <v>0.21423031148295191</v>
      </c>
      <c r="AK15" s="1">
        <f t="shared" ca="1" si="26"/>
        <v>8.4868292874611274E-3</v>
      </c>
      <c r="AL15" s="1"/>
      <c r="AM15" s="1">
        <f t="shared" ca="1" si="27"/>
        <v>0.19889619100913009</v>
      </c>
      <c r="AN15" s="1">
        <f t="shared" ca="1" si="28"/>
        <v>73</v>
      </c>
      <c r="AO15" s="1">
        <f t="shared" ca="1" si="29"/>
        <v>17</v>
      </c>
      <c r="AQ15" s="1">
        <f t="shared" ca="1" si="30"/>
        <v>32</v>
      </c>
      <c r="AR15" s="1">
        <f t="shared" ca="1" si="31"/>
        <v>1</v>
      </c>
      <c r="AS15" s="1">
        <f t="shared" ca="1" si="32"/>
        <v>33</v>
      </c>
      <c r="AU15" s="1">
        <f t="shared" ca="1" si="33"/>
        <v>310</v>
      </c>
      <c r="AV15" s="1">
        <f t="shared" ca="1" si="34"/>
        <v>2</v>
      </c>
      <c r="AW15" s="1">
        <f t="shared" ca="1" si="35"/>
        <v>0.17805216265924562</v>
      </c>
      <c r="AY15" s="1">
        <f t="shared" ca="1" si="36"/>
        <v>1.4857671898199507</v>
      </c>
      <c r="AZ15" s="1">
        <f t="shared" ca="1" si="37"/>
        <v>257</v>
      </c>
      <c r="BA15" s="1">
        <f t="shared" ca="1" si="38"/>
        <v>2.6144454252519838E-3</v>
      </c>
    </row>
    <row r="16" spans="2:57" x14ac:dyDescent="0.25">
      <c r="B16">
        <f t="shared" ca="1" si="0"/>
        <v>49</v>
      </c>
      <c r="C16">
        <f t="shared" ca="1" si="1"/>
        <v>42</v>
      </c>
      <c r="D16">
        <f t="shared" ca="1" si="2"/>
        <v>4.5200562937731871E-2</v>
      </c>
      <c r="F16" s="1">
        <f t="shared" ca="1" si="3"/>
        <v>50</v>
      </c>
      <c r="G16" s="1">
        <f t="shared" ca="1" si="4"/>
        <v>4</v>
      </c>
      <c r="H16" s="1">
        <f t="shared" ca="1" si="5"/>
        <v>8</v>
      </c>
      <c r="I16" s="1"/>
      <c r="J16" s="1">
        <f t="shared" ca="1" si="6"/>
        <v>36</v>
      </c>
      <c r="K16" s="1">
        <f t="shared" ca="1" si="7"/>
        <v>1.2657344330412801</v>
      </c>
      <c r="L16" s="1">
        <f t="shared" ca="1" si="8"/>
        <v>11</v>
      </c>
      <c r="M16" s="1"/>
      <c r="N16" s="1">
        <f t="shared" ca="1" si="9"/>
        <v>970</v>
      </c>
      <c r="O16" s="1">
        <f t="shared" ca="1" si="10"/>
        <v>30</v>
      </c>
      <c r="P16" s="1"/>
      <c r="Q16" s="1">
        <f t="shared" ca="1" si="11"/>
        <v>2.3738386852686042</v>
      </c>
      <c r="R16" s="1">
        <f t="shared" ca="1" si="12"/>
        <v>427</v>
      </c>
      <c r="S16" s="1"/>
      <c r="T16" s="1">
        <f t="shared" ca="1" si="13"/>
        <v>5.7098780134554279E-2</v>
      </c>
      <c r="U16" s="1">
        <f t="shared" ca="1" si="14"/>
        <v>295</v>
      </c>
      <c r="V16" s="1">
        <f t="shared" ca="1" si="15"/>
        <v>26</v>
      </c>
      <c r="W16" s="1"/>
      <c r="X16" s="1">
        <f t="shared" ca="1" si="16"/>
        <v>6.9166089767066792</v>
      </c>
      <c r="Y16" s="1">
        <f t="shared" ca="1" si="17"/>
        <v>7.5925837432699358E-2</v>
      </c>
      <c r="Z16" s="1">
        <f t="shared" ca="1" si="18"/>
        <v>1375</v>
      </c>
      <c r="AB16" s="1">
        <f t="shared" ca="1" si="19"/>
        <v>0.42433236855183076</v>
      </c>
      <c r="AC16" s="1">
        <f t="shared" ca="1" si="20"/>
        <v>764</v>
      </c>
      <c r="AD16" s="1">
        <f t="shared" ca="1" si="21"/>
        <v>5.1498395157520372E-3</v>
      </c>
      <c r="AE16" s="1"/>
      <c r="AF16" s="1">
        <f t="shared" ca="1" si="22"/>
        <v>0.74231457722208771</v>
      </c>
      <c r="AG16" s="1">
        <f t="shared" ca="1" si="23"/>
        <v>932</v>
      </c>
      <c r="AH16" s="1">
        <f t="shared" ca="1" si="24"/>
        <v>4.4671036145547587E-3</v>
      </c>
      <c r="AJ16" s="1">
        <f t="shared" ca="1" si="25"/>
        <v>5.9446721393481172E-2</v>
      </c>
      <c r="AK16" s="1">
        <f t="shared" ca="1" si="26"/>
        <v>2.046109978459392E-3</v>
      </c>
      <c r="AL16" s="1"/>
      <c r="AM16" s="1">
        <f t="shared" ca="1" si="27"/>
        <v>8.1077101225557925E-3</v>
      </c>
      <c r="AN16" s="1">
        <f t="shared" ca="1" si="28"/>
        <v>19</v>
      </c>
      <c r="AO16" s="1">
        <f t="shared" ca="1" si="29"/>
        <v>4</v>
      </c>
      <c r="AQ16" s="1">
        <f t="shared" ca="1" si="30"/>
        <v>42</v>
      </c>
      <c r="AR16" s="1">
        <f t="shared" ca="1" si="31"/>
        <v>4</v>
      </c>
      <c r="AS16" s="1">
        <f t="shared" ca="1" si="32"/>
        <v>15</v>
      </c>
      <c r="AU16" s="1">
        <f t="shared" ca="1" si="33"/>
        <v>67</v>
      </c>
      <c r="AV16" s="1">
        <f t="shared" ca="1" si="34"/>
        <v>10</v>
      </c>
      <c r="AW16" s="1">
        <f t="shared" ca="1" si="35"/>
        <v>9.9381453275755982E-2</v>
      </c>
      <c r="AY16" s="1">
        <f t="shared" ca="1" si="36"/>
        <v>1.1492936719472178</v>
      </c>
      <c r="AZ16" s="1">
        <f t="shared" ca="1" si="37"/>
        <v>154</v>
      </c>
      <c r="BA16" s="1">
        <f t="shared" ca="1" si="38"/>
        <v>7.6728218638141329E-3</v>
      </c>
    </row>
    <row r="17" spans="2:53" x14ac:dyDescent="0.25">
      <c r="B17">
        <f t="shared" ca="1" si="0"/>
        <v>527</v>
      </c>
      <c r="C17">
        <f t="shared" ca="1" si="1"/>
        <v>43</v>
      </c>
      <c r="D17">
        <f t="shared" ca="1" si="2"/>
        <v>1.2881228788860426E-2</v>
      </c>
      <c r="F17" s="1">
        <f t="shared" ca="1" si="3"/>
        <v>32</v>
      </c>
      <c r="G17" s="1">
        <f t="shared" ca="1" si="4"/>
        <v>28</v>
      </c>
      <c r="H17" s="1">
        <f t="shared" ca="1" si="5"/>
        <v>3</v>
      </c>
      <c r="I17" s="1"/>
      <c r="J17" s="1">
        <f t="shared" ca="1" si="6"/>
        <v>7</v>
      </c>
      <c r="K17" s="1">
        <f t="shared" ca="1" si="7"/>
        <v>1.7140529556465771</v>
      </c>
      <c r="L17" s="1">
        <f t="shared" ca="1" si="8"/>
        <v>26</v>
      </c>
      <c r="M17" s="1"/>
      <c r="N17" s="1">
        <f t="shared" ca="1" si="9"/>
        <v>58</v>
      </c>
      <c r="O17" s="1">
        <f t="shared" ca="1" si="10"/>
        <v>10</v>
      </c>
      <c r="P17" s="1"/>
      <c r="Q17" s="1">
        <f t="shared" ca="1" si="11"/>
        <v>4.7610535111213377</v>
      </c>
      <c r="R17" s="1">
        <f t="shared" ca="1" si="12"/>
        <v>204</v>
      </c>
      <c r="S17" s="1"/>
      <c r="T17" s="1">
        <f t="shared" ca="1" si="13"/>
        <v>0.14419052328788762</v>
      </c>
      <c r="U17" s="1">
        <f t="shared" ca="1" si="14"/>
        <v>287</v>
      </c>
      <c r="V17" s="1">
        <f t="shared" ca="1" si="15"/>
        <v>38</v>
      </c>
      <c r="W17" s="1"/>
      <c r="X17" s="1">
        <f t="shared" ca="1" si="16"/>
        <v>3.0953230360386073</v>
      </c>
      <c r="Y17" s="1">
        <f t="shared" ca="1" si="17"/>
        <v>0.78406939670526388</v>
      </c>
      <c r="Z17" s="1">
        <f t="shared" ca="1" si="18"/>
        <v>1324</v>
      </c>
      <c r="AB17" s="1">
        <f t="shared" ca="1" si="19"/>
        <v>0.64346672575052344</v>
      </c>
      <c r="AC17" s="1">
        <f t="shared" ca="1" si="20"/>
        <v>875</v>
      </c>
      <c r="AD17" s="1">
        <f t="shared" ca="1" si="21"/>
        <v>6.5500379612084224E-4</v>
      </c>
      <c r="AE17" s="1"/>
      <c r="AF17" s="1">
        <f t="shared" ca="1" si="22"/>
        <v>0.14221628917735629</v>
      </c>
      <c r="AG17" s="1">
        <f t="shared" ca="1" si="23"/>
        <v>542</v>
      </c>
      <c r="AH17" s="1">
        <f t="shared" ca="1" si="24"/>
        <v>3.7770342072872215E-3</v>
      </c>
      <c r="AJ17" s="1">
        <f t="shared" ca="1" si="25"/>
        <v>0.34595316544472643</v>
      </c>
      <c r="AK17" s="1">
        <f t="shared" ca="1" si="26"/>
        <v>1.5103411603633729E-3</v>
      </c>
      <c r="AL17" s="1"/>
      <c r="AM17" s="1">
        <f t="shared" ca="1" si="27"/>
        <v>0.11989597955066056</v>
      </c>
      <c r="AN17" s="1">
        <f t="shared" ca="1" si="28"/>
        <v>35</v>
      </c>
      <c r="AO17" s="1">
        <f t="shared" ca="1" si="29"/>
        <v>15</v>
      </c>
      <c r="AQ17" s="1">
        <f t="shared" ca="1" si="30"/>
        <v>57</v>
      </c>
      <c r="AR17" s="1">
        <f t="shared" ca="1" si="31"/>
        <v>4</v>
      </c>
      <c r="AS17" s="1">
        <f t="shared" ca="1" si="32"/>
        <v>60</v>
      </c>
      <c r="AU17" s="1">
        <f t="shared" ca="1" si="33"/>
        <v>301</v>
      </c>
      <c r="AV17" s="1">
        <f t="shared" ca="1" si="34"/>
        <v>7</v>
      </c>
      <c r="AW17" s="1">
        <f t="shared" ca="1" si="35"/>
        <v>3.0082813447658431E-2</v>
      </c>
      <c r="AY17" s="1">
        <f t="shared" ca="1" si="36"/>
        <v>1.388729078767764</v>
      </c>
      <c r="AZ17" s="1">
        <f t="shared" ca="1" si="37"/>
        <v>102</v>
      </c>
      <c r="BA17" s="1">
        <f t="shared" ca="1" si="38"/>
        <v>2.501136739833534E-3</v>
      </c>
    </row>
    <row r="18" spans="2:53" x14ac:dyDescent="0.25">
      <c r="B18">
        <f t="shared" ca="1" si="0"/>
        <v>164</v>
      </c>
      <c r="C18">
        <f t="shared" ca="1" si="1"/>
        <v>27</v>
      </c>
      <c r="D18">
        <f t="shared" ca="1" si="2"/>
        <v>0.15041183164459868</v>
      </c>
      <c r="F18" s="1">
        <f t="shared" ca="1" si="3"/>
        <v>22</v>
      </c>
      <c r="G18" s="1">
        <f t="shared" ca="1" si="4"/>
        <v>11</v>
      </c>
      <c r="H18" s="1">
        <f t="shared" ca="1" si="5"/>
        <v>10</v>
      </c>
      <c r="I18" s="1"/>
      <c r="J18" s="1">
        <f t="shared" ca="1" si="6"/>
        <v>20</v>
      </c>
      <c r="K18" s="1">
        <f t="shared" ca="1" si="7"/>
        <v>2.6757809405835671</v>
      </c>
      <c r="L18" s="1">
        <f t="shared" ca="1" si="8"/>
        <v>12</v>
      </c>
      <c r="M18" s="1"/>
      <c r="N18" s="1">
        <f t="shared" ca="1" si="9"/>
        <v>74</v>
      </c>
      <c r="O18" s="1">
        <f t="shared" ca="1" si="10"/>
        <v>26</v>
      </c>
      <c r="P18" s="1"/>
      <c r="Q18" s="1">
        <f t="shared" ca="1" si="11"/>
        <v>4.3414256702217173</v>
      </c>
      <c r="R18" s="1">
        <f t="shared" ca="1" si="12"/>
        <v>345</v>
      </c>
      <c r="S18" s="1"/>
      <c r="T18" s="1">
        <f t="shared" ca="1" si="13"/>
        <v>0.1890906338212254</v>
      </c>
      <c r="U18" s="1">
        <f t="shared" ca="1" si="14"/>
        <v>395</v>
      </c>
      <c r="V18" s="1">
        <f t="shared" ca="1" si="15"/>
        <v>28</v>
      </c>
      <c r="W18" s="1"/>
      <c r="X18" s="1">
        <f t="shared" ca="1" si="16"/>
        <v>1.8360774620841696</v>
      </c>
      <c r="Y18" s="1">
        <f t="shared" ca="1" si="17"/>
        <v>0.96869887321527104</v>
      </c>
      <c r="Z18" s="1">
        <f t="shared" ca="1" si="18"/>
        <v>795</v>
      </c>
      <c r="AB18" s="1">
        <f t="shared" ca="1" si="19"/>
        <v>0.82468034842398952</v>
      </c>
      <c r="AC18" s="1">
        <f t="shared" ca="1" si="20"/>
        <v>840</v>
      </c>
      <c r="AD18" s="1">
        <f t="shared" ca="1" si="21"/>
        <v>6.3511558070581233E-3</v>
      </c>
      <c r="AE18" s="1"/>
      <c r="AF18" s="1">
        <f t="shared" ca="1" si="22"/>
        <v>0.18345658816777119</v>
      </c>
      <c r="AG18" s="1">
        <f t="shared" ca="1" si="23"/>
        <v>858</v>
      </c>
      <c r="AH18" s="1">
        <f t="shared" ca="1" si="24"/>
        <v>7.2419816161170686E-3</v>
      </c>
      <c r="AJ18" s="1">
        <f t="shared" ca="1" si="25"/>
        <v>0.87367151601931736</v>
      </c>
      <c r="AK18" s="1">
        <f t="shared" ca="1" si="26"/>
        <v>1.0269526170454363E-3</v>
      </c>
      <c r="AL18" s="1"/>
      <c r="AM18" s="1">
        <f t="shared" ca="1" si="27"/>
        <v>4.6367925911351172E-2</v>
      </c>
      <c r="AN18" s="1">
        <f t="shared" ca="1" si="28"/>
        <v>27</v>
      </c>
      <c r="AO18" s="1">
        <f t="shared" ca="1" si="29"/>
        <v>4</v>
      </c>
      <c r="AQ18" s="1">
        <f t="shared" ca="1" si="30"/>
        <v>19</v>
      </c>
      <c r="AR18" s="1">
        <f t="shared" ca="1" si="31"/>
        <v>1</v>
      </c>
      <c r="AS18" s="1">
        <f t="shared" ca="1" si="32"/>
        <v>69</v>
      </c>
      <c r="AU18" s="1">
        <f t="shared" ca="1" si="33"/>
        <v>312</v>
      </c>
      <c r="AV18" s="1">
        <f t="shared" ca="1" si="34"/>
        <v>4</v>
      </c>
      <c r="AW18" s="1">
        <f t="shared" ca="1" si="35"/>
        <v>3.5243151482456825E-2</v>
      </c>
      <c r="AY18" s="1">
        <f t="shared" ca="1" si="36"/>
        <v>1.3471345159438959</v>
      </c>
      <c r="AZ18" s="1">
        <f t="shared" ca="1" si="37"/>
        <v>372</v>
      </c>
      <c r="BA18" s="1">
        <f t="shared" ca="1" si="38"/>
        <v>2.3529529571136984E-3</v>
      </c>
    </row>
    <row r="19" spans="2:53" x14ac:dyDescent="0.25">
      <c r="B19">
        <f t="shared" ca="1" si="0"/>
        <v>772</v>
      </c>
      <c r="C19">
        <f t="shared" ca="1" si="1"/>
        <v>9</v>
      </c>
      <c r="D19">
        <f t="shared" ca="1" si="2"/>
        <v>0.2800331892380542</v>
      </c>
      <c r="F19" s="1">
        <f t="shared" ca="1" si="3"/>
        <v>39</v>
      </c>
      <c r="G19" s="1">
        <f t="shared" ca="1" si="4"/>
        <v>17</v>
      </c>
      <c r="H19" s="1">
        <f t="shared" ca="1" si="5"/>
        <v>9</v>
      </c>
      <c r="I19" s="1"/>
      <c r="J19" s="1">
        <f t="shared" ca="1" si="6"/>
        <v>37</v>
      </c>
      <c r="K19" s="1">
        <f t="shared" ca="1" si="7"/>
        <v>2.7954491972002709</v>
      </c>
      <c r="L19" s="1">
        <f t="shared" ca="1" si="8"/>
        <v>35</v>
      </c>
      <c r="M19" s="1"/>
      <c r="N19" s="1">
        <f t="shared" ca="1" si="9"/>
        <v>463</v>
      </c>
      <c r="O19" s="1">
        <f t="shared" ca="1" si="10"/>
        <v>28</v>
      </c>
      <c r="P19" s="1"/>
      <c r="Q19" s="1">
        <f t="shared" ca="1" si="11"/>
        <v>4.5661333871190131</v>
      </c>
      <c r="R19" s="1">
        <f t="shared" ca="1" si="12"/>
        <v>207</v>
      </c>
      <c r="S19" s="1"/>
      <c r="T19" s="1">
        <f t="shared" ca="1" si="13"/>
        <v>0.19034214655939624</v>
      </c>
      <c r="U19" s="1">
        <f t="shared" ca="1" si="14"/>
        <v>438</v>
      </c>
      <c r="V19" s="1">
        <f t="shared" ca="1" si="15"/>
        <v>23</v>
      </c>
      <c r="W19" s="1"/>
      <c r="X19" s="1">
        <f t="shared" ca="1" si="16"/>
        <v>5.4289549417711234</v>
      </c>
      <c r="Y19" s="1">
        <f t="shared" ca="1" si="17"/>
        <v>0.86612806362050754</v>
      </c>
      <c r="Z19" s="1">
        <f t="shared" ca="1" si="18"/>
        <v>1242</v>
      </c>
      <c r="AB19" s="1">
        <f t="shared" ca="1" si="19"/>
        <v>0.1809663421908676</v>
      </c>
      <c r="AC19" s="1">
        <f t="shared" ca="1" si="20"/>
        <v>772</v>
      </c>
      <c r="AD19" s="1">
        <f t="shared" ca="1" si="21"/>
        <v>1.264128600202857E-3</v>
      </c>
      <c r="AE19" s="1"/>
      <c r="AF19" s="1">
        <f t="shared" ca="1" si="22"/>
        <v>0.62284081680518755</v>
      </c>
      <c r="AG19" s="1">
        <f t="shared" ca="1" si="23"/>
        <v>129</v>
      </c>
      <c r="AH19" s="1">
        <f t="shared" ca="1" si="24"/>
        <v>6.9703718611356727E-3</v>
      </c>
      <c r="AJ19" s="1">
        <f t="shared" ca="1" si="25"/>
        <v>0.71871807177905256</v>
      </c>
      <c r="AK19" s="1">
        <f t="shared" ca="1" si="26"/>
        <v>5.0559116953344356E-3</v>
      </c>
      <c r="AL19" s="1"/>
      <c r="AM19" s="1">
        <f t="shared" ca="1" si="27"/>
        <v>4.4900709002350388E-2</v>
      </c>
      <c r="AN19" s="1">
        <f t="shared" ca="1" si="28"/>
        <v>17</v>
      </c>
      <c r="AO19" s="1">
        <f t="shared" ca="1" si="29"/>
        <v>16</v>
      </c>
      <c r="AQ19" s="1">
        <f t="shared" ca="1" si="30"/>
        <v>48</v>
      </c>
      <c r="AR19" s="1">
        <f t="shared" ca="1" si="31"/>
        <v>5</v>
      </c>
      <c r="AS19" s="1">
        <f t="shared" ca="1" si="32"/>
        <v>11</v>
      </c>
      <c r="AU19" s="1">
        <f t="shared" ca="1" si="33"/>
        <v>269</v>
      </c>
      <c r="AV19" s="1">
        <f t="shared" ca="1" si="34"/>
        <v>2</v>
      </c>
      <c r="AW19" s="1">
        <f t="shared" ca="1" si="35"/>
        <v>0.11191548593040913</v>
      </c>
      <c r="AY19" s="1">
        <f t="shared" ca="1" si="36"/>
        <v>1.6253215122293405</v>
      </c>
      <c r="AZ19" s="1">
        <f t="shared" ca="1" si="37"/>
        <v>248</v>
      </c>
      <c r="BA19" s="1">
        <f t="shared" ca="1" si="38"/>
        <v>6.8534635130506407E-5</v>
      </c>
    </row>
    <row r="20" spans="2:53" x14ac:dyDescent="0.25">
      <c r="B20">
        <f t="shared" ca="1" si="0"/>
        <v>652</v>
      </c>
      <c r="C20">
        <f t="shared" ca="1" si="1"/>
        <v>8</v>
      </c>
      <c r="D20">
        <f t="shared" ca="1" si="2"/>
        <v>0.25687790561159068</v>
      </c>
      <c r="F20" s="1">
        <f t="shared" ca="1" si="3"/>
        <v>35</v>
      </c>
      <c r="G20" s="1">
        <f t="shared" ca="1" si="4"/>
        <v>17</v>
      </c>
      <c r="H20" s="1">
        <f t="shared" ca="1" si="5"/>
        <v>8</v>
      </c>
      <c r="I20" s="1"/>
      <c r="J20" s="1">
        <f t="shared" ca="1" si="6"/>
        <v>30</v>
      </c>
      <c r="K20" s="1">
        <f t="shared" ca="1" si="7"/>
        <v>1.9954002579112688</v>
      </c>
      <c r="L20" s="1">
        <f t="shared" ca="1" si="8"/>
        <v>21</v>
      </c>
      <c r="M20" s="1"/>
      <c r="N20" s="1">
        <f t="shared" ca="1" si="9"/>
        <v>735</v>
      </c>
      <c r="O20" s="1">
        <f t="shared" ca="1" si="10"/>
        <v>29</v>
      </c>
      <c r="P20" s="1"/>
      <c r="Q20" s="1">
        <f t="shared" ca="1" si="11"/>
        <v>3.4607301441116713</v>
      </c>
      <c r="R20" s="1">
        <f t="shared" ca="1" si="12"/>
        <v>666</v>
      </c>
      <c r="S20" s="1"/>
      <c r="T20" s="1">
        <f t="shared" ca="1" si="13"/>
        <v>0.15568110481376649</v>
      </c>
      <c r="U20" s="1">
        <f t="shared" ca="1" si="14"/>
        <v>190</v>
      </c>
      <c r="V20" s="1">
        <f t="shared" ca="1" si="15"/>
        <v>27</v>
      </c>
      <c r="W20" s="1"/>
      <c r="X20" s="1">
        <f t="shared" ca="1" si="16"/>
        <v>8.8285863392825075</v>
      </c>
      <c r="Y20" s="1">
        <f t="shared" ca="1" si="17"/>
        <v>0.88408571686195014</v>
      </c>
      <c r="Z20" s="1">
        <f t="shared" ca="1" si="18"/>
        <v>366</v>
      </c>
      <c r="AB20" s="1">
        <f t="shared" ca="1" si="19"/>
        <v>0.93102378081296688</v>
      </c>
      <c r="AC20" s="1">
        <f t="shared" ca="1" si="20"/>
        <v>353</v>
      </c>
      <c r="AD20" s="1">
        <f t="shared" ca="1" si="21"/>
        <v>9.3356662889711346E-3</v>
      </c>
      <c r="AE20" s="1"/>
      <c r="AF20" s="1">
        <f t="shared" ca="1" si="22"/>
        <v>0.52550756214568073</v>
      </c>
      <c r="AG20" s="1">
        <f t="shared" ca="1" si="23"/>
        <v>260</v>
      </c>
      <c r="AH20" s="1">
        <f t="shared" ca="1" si="24"/>
        <v>9.4454201806850723E-3</v>
      </c>
      <c r="AJ20" s="1">
        <f t="shared" ca="1" si="25"/>
        <v>0.18663370728329598</v>
      </c>
      <c r="AK20" s="1">
        <f t="shared" ca="1" si="26"/>
        <v>4.1332128199943769E-3</v>
      </c>
      <c r="AL20" s="1"/>
      <c r="AM20" s="1">
        <f t="shared" ca="1" si="27"/>
        <v>0.14856025162379449</v>
      </c>
      <c r="AN20" s="1">
        <f t="shared" ca="1" si="28"/>
        <v>78</v>
      </c>
      <c r="AO20" s="1">
        <f t="shared" ca="1" si="29"/>
        <v>9</v>
      </c>
      <c r="AQ20" s="1">
        <f t="shared" ca="1" si="30"/>
        <v>98</v>
      </c>
      <c r="AR20" s="1">
        <f t="shared" ca="1" si="31"/>
        <v>3</v>
      </c>
      <c r="AS20" s="1">
        <f t="shared" ca="1" si="32"/>
        <v>81</v>
      </c>
      <c r="AU20" s="1">
        <f t="shared" ca="1" si="33"/>
        <v>75</v>
      </c>
      <c r="AV20" s="1">
        <f t="shared" ca="1" si="34"/>
        <v>4</v>
      </c>
      <c r="AW20" s="1">
        <f t="shared" ca="1" si="35"/>
        <v>0.17041001920543788</v>
      </c>
      <c r="AY20" s="1">
        <f t="shared" ca="1" si="36"/>
        <v>1.7420541192786518</v>
      </c>
      <c r="AZ20" s="1">
        <f t="shared" ca="1" si="37"/>
        <v>350</v>
      </c>
      <c r="BA20" s="1">
        <f t="shared" ca="1" si="38"/>
        <v>6.0582048178941467E-3</v>
      </c>
    </row>
    <row r="21" spans="2:53" x14ac:dyDescent="0.25">
      <c r="B21">
        <f t="shared" ca="1" si="0"/>
        <v>630</v>
      </c>
      <c r="C21">
        <f t="shared" ca="1" si="1"/>
        <v>48</v>
      </c>
      <c r="D21">
        <f t="shared" ca="1" si="2"/>
        <v>6.1237706726996091E-2</v>
      </c>
      <c r="F21" s="1">
        <f t="shared" ca="1" si="3"/>
        <v>36</v>
      </c>
      <c r="G21" s="1">
        <f t="shared" ca="1" si="4"/>
        <v>21</v>
      </c>
      <c r="H21" s="1">
        <f t="shared" ca="1" si="5"/>
        <v>10</v>
      </c>
      <c r="I21" s="1"/>
      <c r="J21" s="1">
        <f t="shared" ca="1" si="6"/>
        <v>3</v>
      </c>
      <c r="K21" s="1">
        <f t="shared" ca="1" si="7"/>
        <v>2.1386195572821785</v>
      </c>
      <c r="L21" s="1">
        <f t="shared" ca="1" si="8"/>
        <v>35</v>
      </c>
      <c r="M21" s="1"/>
      <c r="N21" s="1">
        <f t="shared" ca="1" si="9"/>
        <v>171</v>
      </c>
      <c r="O21" s="1">
        <f t="shared" ca="1" si="10"/>
        <v>10</v>
      </c>
      <c r="P21" s="1"/>
      <c r="Q21" s="1">
        <f t="shared" ca="1" si="11"/>
        <v>4.3501973559726741</v>
      </c>
      <c r="R21" s="1">
        <f t="shared" ca="1" si="12"/>
        <v>424</v>
      </c>
      <c r="S21" s="1"/>
      <c r="T21" s="1">
        <f t="shared" ca="1" si="13"/>
        <v>0.18194197751486058</v>
      </c>
      <c r="U21" s="1">
        <f t="shared" ca="1" si="14"/>
        <v>143</v>
      </c>
      <c r="V21" s="1">
        <f t="shared" ca="1" si="15"/>
        <v>23</v>
      </c>
      <c r="W21" s="1"/>
      <c r="X21" s="1">
        <f t="shared" ca="1" si="16"/>
        <v>1.7184556391992858</v>
      </c>
      <c r="Y21" s="1">
        <f t="shared" ca="1" si="17"/>
        <v>0.21461605860221153</v>
      </c>
      <c r="Z21" s="1">
        <f t="shared" ca="1" si="18"/>
        <v>1119</v>
      </c>
      <c r="AB21" s="1">
        <f t="shared" ca="1" si="19"/>
        <v>0.98350382699291672</v>
      </c>
      <c r="AC21" s="1">
        <f t="shared" ca="1" si="20"/>
        <v>790</v>
      </c>
      <c r="AD21" s="1">
        <f t="shared" ca="1" si="21"/>
        <v>4.8907351939512555E-3</v>
      </c>
      <c r="AE21" s="1"/>
      <c r="AF21" s="1">
        <f t="shared" ca="1" si="22"/>
        <v>0.38452916289334871</v>
      </c>
      <c r="AG21" s="1">
        <f t="shared" ca="1" si="23"/>
        <v>649</v>
      </c>
      <c r="AH21" s="1">
        <f t="shared" ca="1" si="24"/>
        <v>5.7319239473532417E-3</v>
      </c>
      <c r="AJ21" s="1">
        <f t="shared" ca="1" si="25"/>
        <v>0.19838148526979649</v>
      </c>
      <c r="AK21" s="1">
        <f t="shared" ca="1" si="26"/>
        <v>8.3494113348985552E-4</v>
      </c>
      <c r="AL21" s="1"/>
      <c r="AM21" s="1">
        <f t="shared" ca="1" si="27"/>
        <v>4.0262449624504058E-2</v>
      </c>
      <c r="AN21" s="1">
        <f t="shared" ca="1" si="28"/>
        <v>55</v>
      </c>
      <c r="AO21" s="1">
        <f t="shared" ca="1" si="29"/>
        <v>11</v>
      </c>
      <c r="AQ21" s="1">
        <f t="shared" ca="1" si="30"/>
        <v>132</v>
      </c>
      <c r="AR21" s="1">
        <f t="shared" ca="1" si="31"/>
        <v>6</v>
      </c>
      <c r="AS21" s="1">
        <f t="shared" ca="1" si="32"/>
        <v>41</v>
      </c>
      <c r="AU21" s="1">
        <f t="shared" ca="1" si="33"/>
        <v>64</v>
      </c>
      <c r="AV21" s="1">
        <f t="shared" ca="1" si="34"/>
        <v>8</v>
      </c>
      <c r="AW21" s="1">
        <f t="shared" ca="1" si="35"/>
        <v>0.14855711241475336</v>
      </c>
      <c r="AY21" s="1">
        <f t="shared" ca="1" si="36"/>
        <v>1.1109806307252144</v>
      </c>
      <c r="AZ21" s="1">
        <f t="shared" ca="1" si="37"/>
        <v>127</v>
      </c>
      <c r="BA21" s="1">
        <f t="shared" ca="1" si="38"/>
        <v>8.651288305632469E-3</v>
      </c>
    </row>
    <row r="22" spans="2:53" x14ac:dyDescent="0.25">
      <c r="B22">
        <f t="shared" ca="1" si="0"/>
        <v>888</v>
      </c>
      <c r="C22">
        <f t="shared" ca="1" si="1"/>
        <v>44</v>
      </c>
      <c r="D22">
        <f t="shared" ca="1" si="2"/>
        <v>8.7998042443247895E-2</v>
      </c>
      <c r="F22" s="1">
        <f t="shared" ca="1" si="3"/>
        <v>29</v>
      </c>
      <c r="G22" s="1">
        <f t="shared" ca="1" si="4"/>
        <v>12</v>
      </c>
      <c r="H22" s="1">
        <f t="shared" ca="1" si="5"/>
        <v>10</v>
      </c>
      <c r="I22" s="1"/>
      <c r="J22" s="1">
        <f t="shared" ca="1" si="6"/>
        <v>26</v>
      </c>
      <c r="K22" s="1">
        <f t="shared" ca="1" si="7"/>
        <v>2.3632782161308254</v>
      </c>
      <c r="L22" s="1">
        <f t="shared" ca="1" si="8"/>
        <v>7</v>
      </c>
      <c r="M22" s="1"/>
      <c r="N22" s="1">
        <f t="shared" ca="1" si="9"/>
        <v>148</v>
      </c>
      <c r="O22" s="1">
        <f t="shared" ca="1" si="10"/>
        <v>22</v>
      </c>
      <c r="P22" s="1"/>
      <c r="Q22" s="1">
        <f t="shared" ca="1" si="11"/>
        <v>1.5647356433314408</v>
      </c>
      <c r="R22" s="1">
        <f t="shared" ca="1" si="12"/>
        <v>951</v>
      </c>
      <c r="S22" s="1"/>
      <c r="T22" s="1">
        <f t="shared" ca="1" si="13"/>
        <v>0.15434938635867015</v>
      </c>
      <c r="U22" s="1">
        <f t="shared" ca="1" si="14"/>
        <v>185</v>
      </c>
      <c r="V22" s="1">
        <f t="shared" ca="1" si="15"/>
        <v>39</v>
      </c>
      <c r="W22" s="1"/>
      <c r="X22" s="1">
        <f t="shared" ca="1" si="16"/>
        <v>6.0485844127748605</v>
      </c>
      <c r="Y22" s="1">
        <f t="shared" ca="1" si="17"/>
        <v>8.7640665829343892E-2</v>
      </c>
      <c r="Z22" s="1">
        <f t="shared" ca="1" si="18"/>
        <v>855</v>
      </c>
      <c r="AB22" s="1">
        <f t="shared" ca="1" si="19"/>
        <v>0.7078443577755289</v>
      </c>
      <c r="AC22" s="1">
        <f t="shared" ca="1" si="20"/>
        <v>235</v>
      </c>
      <c r="AD22" s="1">
        <f t="shared" ca="1" si="21"/>
        <v>9.3643539316654717E-4</v>
      </c>
      <c r="AE22" s="1"/>
      <c r="AF22" s="1">
        <f t="shared" ca="1" si="22"/>
        <v>0.15429897943885901</v>
      </c>
      <c r="AG22" s="1">
        <f t="shared" ca="1" si="23"/>
        <v>609</v>
      </c>
      <c r="AH22" s="1">
        <f t="shared" ca="1" si="24"/>
        <v>6.6844368311997403E-3</v>
      </c>
      <c r="AJ22" s="1">
        <f t="shared" ca="1" si="25"/>
        <v>0.80671590716639752</v>
      </c>
      <c r="AK22" s="1">
        <f t="shared" ca="1" si="26"/>
        <v>6.0394713106070334E-3</v>
      </c>
      <c r="AL22" s="1"/>
      <c r="AM22" s="1">
        <f t="shared" ca="1" si="27"/>
        <v>3.4983035770951514E-2</v>
      </c>
      <c r="AN22" s="1">
        <f t="shared" ca="1" si="28"/>
        <v>73</v>
      </c>
      <c r="AO22" s="1">
        <f t="shared" ca="1" si="29"/>
        <v>16</v>
      </c>
      <c r="AQ22" s="1">
        <f t="shared" ca="1" si="30"/>
        <v>178</v>
      </c>
      <c r="AR22" s="1">
        <f t="shared" ca="1" si="31"/>
        <v>9</v>
      </c>
      <c r="AS22" s="1">
        <f t="shared" ca="1" si="32"/>
        <v>28</v>
      </c>
      <c r="AU22" s="1">
        <f t="shared" ca="1" si="33"/>
        <v>311</v>
      </c>
      <c r="AV22" s="1">
        <f t="shared" ca="1" si="34"/>
        <v>5</v>
      </c>
      <c r="AW22" s="1">
        <f t="shared" ca="1" si="35"/>
        <v>0.13315818066442189</v>
      </c>
      <c r="AY22" s="1">
        <f t="shared" ca="1" si="36"/>
        <v>1.9374868613481826</v>
      </c>
      <c r="AZ22" s="1">
        <f t="shared" ca="1" si="37"/>
        <v>142</v>
      </c>
      <c r="BA22" s="1">
        <f t="shared" ca="1" si="38"/>
        <v>2.4038953701522358E-3</v>
      </c>
    </row>
    <row r="23" spans="2:53" x14ac:dyDescent="0.25">
      <c r="B23">
        <f t="shared" ca="1" si="0"/>
        <v>201</v>
      </c>
      <c r="C23">
        <f t="shared" ca="1" si="1"/>
        <v>30</v>
      </c>
      <c r="D23">
        <f t="shared" ca="1" si="2"/>
        <v>0.143290224543447</v>
      </c>
      <c r="F23" s="1">
        <f t="shared" ca="1" si="3"/>
        <v>12</v>
      </c>
      <c r="G23" s="1">
        <f t="shared" ca="1" si="4"/>
        <v>16</v>
      </c>
      <c r="H23" s="1">
        <f t="shared" ca="1" si="5"/>
        <v>10</v>
      </c>
      <c r="I23" s="1"/>
      <c r="J23" s="1">
        <f t="shared" ca="1" si="6"/>
        <v>38</v>
      </c>
      <c r="K23" s="1">
        <f t="shared" ca="1" si="7"/>
        <v>2.2786664412788276</v>
      </c>
      <c r="L23" s="1">
        <f t="shared" ca="1" si="8"/>
        <v>4</v>
      </c>
      <c r="M23" s="1"/>
      <c r="N23" s="1">
        <f t="shared" ca="1" si="9"/>
        <v>684</v>
      </c>
      <c r="O23" s="1">
        <f t="shared" ca="1" si="10"/>
        <v>24</v>
      </c>
      <c r="P23" s="1"/>
      <c r="Q23" s="1">
        <f t="shared" ca="1" si="11"/>
        <v>4.3227483804945859</v>
      </c>
      <c r="R23" s="1">
        <f t="shared" ca="1" si="12"/>
        <v>550</v>
      </c>
      <c r="S23" s="1"/>
      <c r="T23" s="1">
        <f t="shared" ca="1" si="13"/>
        <v>8.4986404347084973E-2</v>
      </c>
      <c r="U23" s="1">
        <f t="shared" ca="1" si="14"/>
        <v>316</v>
      </c>
      <c r="V23" s="1">
        <f t="shared" ca="1" si="15"/>
        <v>29</v>
      </c>
      <c r="W23" s="1"/>
      <c r="X23" s="1">
        <f t="shared" ca="1" si="16"/>
        <v>3.4149014959519519</v>
      </c>
      <c r="Y23" s="1">
        <f t="shared" ca="1" si="17"/>
        <v>0.39930096264679565</v>
      </c>
      <c r="Z23" s="1">
        <f t="shared" ca="1" si="18"/>
        <v>1017</v>
      </c>
      <c r="AB23" s="1">
        <f t="shared" ca="1" si="19"/>
        <v>0.4581627157906053</v>
      </c>
      <c r="AC23" s="1">
        <f t="shared" ca="1" si="20"/>
        <v>438</v>
      </c>
      <c r="AD23" s="1">
        <f t="shared" ca="1" si="21"/>
        <v>8.3730352551635943E-3</v>
      </c>
      <c r="AE23" s="1"/>
      <c r="AF23" s="1">
        <f t="shared" ca="1" si="22"/>
        <v>0.71616628398665572</v>
      </c>
      <c r="AG23" s="1">
        <f t="shared" ca="1" si="23"/>
        <v>642</v>
      </c>
      <c r="AH23" s="1">
        <f t="shared" ca="1" si="24"/>
        <v>5.6412670577803328E-3</v>
      </c>
      <c r="AJ23" s="1">
        <f t="shared" ca="1" si="25"/>
        <v>5.1240064549974429E-3</v>
      </c>
      <c r="AK23" s="1">
        <f t="shared" ca="1" si="26"/>
        <v>7.6507988203437377E-3</v>
      </c>
      <c r="AL23" s="1"/>
      <c r="AM23" s="1">
        <f t="shared" ca="1" si="27"/>
        <v>8.1583160022458051E-2</v>
      </c>
      <c r="AN23" s="1">
        <f t="shared" ca="1" si="28"/>
        <v>17</v>
      </c>
      <c r="AO23" s="1">
        <f t="shared" ca="1" si="29"/>
        <v>5</v>
      </c>
      <c r="AQ23" s="1">
        <f t="shared" ca="1" si="30"/>
        <v>82</v>
      </c>
      <c r="AR23" s="1">
        <f t="shared" ca="1" si="31"/>
        <v>2</v>
      </c>
      <c r="AS23" s="1">
        <f t="shared" ca="1" si="32"/>
        <v>40</v>
      </c>
      <c r="AU23" s="1">
        <f t="shared" ca="1" si="33"/>
        <v>232</v>
      </c>
      <c r="AV23" s="1">
        <f t="shared" ca="1" si="34"/>
        <v>5</v>
      </c>
      <c r="AW23" s="1">
        <f t="shared" ca="1" si="35"/>
        <v>0.10693024377450784</v>
      </c>
      <c r="AY23" s="1">
        <f t="shared" ca="1" si="36"/>
        <v>1.6920242252280562</v>
      </c>
      <c r="AZ23" s="1">
        <f t="shared" ca="1" si="37"/>
        <v>185</v>
      </c>
      <c r="BA23" s="1">
        <f t="shared" ca="1" si="38"/>
        <v>3.8252924386434589E-3</v>
      </c>
    </row>
    <row r="24" spans="2:53" x14ac:dyDescent="0.25">
      <c r="B24">
        <f t="shared" ca="1" si="0"/>
        <v>668</v>
      </c>
      <c r="C24">
        <f t="shared" ca="1" si="1"/>
        <v>43</v>
      </c>
      <c r="D24">
        <f t="shared" ca="1" si="2"/>
        <v>0.23290420026277836</v>
      </c>
      <c r="F24" s="1">
        <f t="shared" ca="1" si="3"/>
        <v>26</v>
      </c>
      <c r="G24" s="1">
        <f t="shared" ca="1" si="4"/>
        <v>6</v>
      </c>
      <c r="H24" s="1">
        <f t="shared" ca="1" si="5"/>
        <v>1</v>
      </c>
      <c r="I24" s="1"/>
      <c r="J24" s="1">
        <f t="shared" ca="1" si="6"/>
        <v>25</v>
      </c>
      <c r="K24" s="1">
        <f t="shared" ca="1" si="7"/>
        <v>1.800979444418831</v>
      </c>
      <c r="L24" s="1">
        <f t="shared" ca="1" si="8"/>
        <v>27</v>
      </c>
      <c r="M24" s="1"/>
      <c r="N24" s="1">
        <f t="shared" ca="1" si="9"/>
        <v>706</v>
      </c>
      <c r="O24" s="1">
        <f t="shared" ca="1" si="10"/>
        <v>49</v>
      </c>
      <c r="P24" s="1"/>
      <c r="Q24" s="1">
        <f t="shared" ca="1" si="11"/>
        <v>1.9298953580293907E-2</v>
      </c>
      <c r="R24" s="1">
        <f t="shared" ca="1" si="12"/>
        <v>430</v>
      </c>
      <c r="S24" s="1"/>
      <c r="T24" s="1">
        <f t="shared" ca="1" si="13"/>
        <v>7.2002278584435378E-2</v>
      </c>
      <c r="U24" s="1">
        <f t="shared" ca="1" si="14"/>
        <v>386</v>
      </c>
      <c r="V24" s="1">
        <f t="shared" ca="1" si="15"/>
        <v>34</v>
      </c>
      <c r="W24" s="1"/>
      <c r="X24" s="1">
        <f t="shared" ca="1" si="16"/>
        <v>2.5007585280603051</v>
      </c>
      <c r="Y24" s="1">
        <f t="shared" ca="1" si="17"/>
        <v>0.4170379913241461</v>
      </c>
      <c r="Z24" s="1">
        <f t="shared" ca="1" si="18"/>
        <v>576</v>
      </c>
      <c r="AB24" s="1">
        <f t="shared" ca="1" si="19"/>
        <v>0.8595123498622721</v>
      </c>
      <c r="AC24" s="1">
        <f t="shared" ca="1" si="20"/>
        <v>553</v>
      </c>
      <c r="AD24" s="1">
        <f t="shared" ca="1" si="21"/>
        <v>5.8902492637536935E-3</v>
      </c>
      <c r="AE24" s="1"/>
      <c r="AF24" s="1">
        <f t="shared" ca="1" si="22"/>
        <v>0.30836449069458693</v>
      </c>
      <c r="AG24" s="1">
        <f t="shared" ca="1" si="23"/>
        <v>503</v>
      </c>
      <c r="AH24" s="1">
        <f t="shared" ca="1" si="24"/>
        <v>9.2270958734053856E-3</v>
      </c>
      <c r="AJ24" s="1">
        <f t="shared" ca="1" si="25"/>
        <v>0.89980925132291922</v>
      </c>
      <c r="AK24" s="1">
        <f t="shared" ca="1" si="26"/>
        <v>4.5706841170420325E-3</v>
      </c>
      <c r="AL24" s="1"/>
      <c r="AM24" s="1">
        <f t="shared" ca="1" si="27"/>
        <v>3.0137484798427403E-2</v>
      </c>
      <c r="AN24" s="1">
        <f t="shared" ca="1" si="28"/>
        <v>76</v>
      </c>
      <c r="AO24" s="1">
        <f t="shared" ca="1" si="29"/>
        <v>13</v>
      </c>
      <c r="AQ24" s="1">
        <f t="shared" ca="1" si="30"/>
        <v>132</v>
      </c>
      <c r="AR24" s="1">
        <f t="shared" ca="1" si="31"/>
        <v>10</v>
      </c>
      <c r="AS24" s="1">
        <f t="shared" ca="1" si="32"/>
        <v>25</v>
      </c>
      <c r="AU24" s="1">
        <f t="shared" ca="1" si="33"/>
        <v>167</v>
      </c>
      <c r="AV24" s="1">
        <f t="shared" ca="1" si="34"/>
        <v>7</v>
      </c>
      <c r="AW24" s="1">
        <f t="shared" ca="1" si="35"/>
        <v>2.4308644068857663E-2</v>
      </c>
      <c r="AY24" s="1">
        <f t="shared" ca="1" si="36"/>
        <v>1.6849983139813913</v>
      </c>
      <c r="AZ24" s="1">
        <f t="shared" ca="1" si="37"/>
        <v>373</v>
      </c>
      <c r="BA24" s="1">
        <f t="shared" ca="1" si="38"/>
        <v>6.87219387908794E-3</v>
      </c>
    </row>
    <row r="25" spans="2:53" x14ac:dyDescent="0.25">
      <c r="B25">
        <f t="shared" ca="1" si="0"/>
        <v>40</v>
      </c>
      <c r="C25">
        <f t="shared" ca="1" si="1"/>
        <v>24</v>
      </c>
      <c r="D25">
        <f t="shared" ca="1" si="2"/>
        <v>4.0770977668396276E-2</v>
      </c>
      <c r="F25" s="1">
        <f t="shared" ca="1" si="3"/>
        <v>41</v>
      </c>
      <c r="G25" s="1">
        <f t="shared" ca="1" si="4"/>
        <v>16</v>
      </c>
      <c r="H25" s="1">
        <f t="shared" ca="1" si="5"/>
        <v>15</v>
      </c>
      <c r="I25" s="1"/>
      <c r="J25" s="1">
        <f t="shared" ca="1" si="6"/>
        <v>8</v>
      </c>
      <c r="K25" s="1">
        <f t="shared" ca="1" si="7"/>
        <v>2.1571425682786374</v>
      </c>
      <c r="L25" s="1">
        <f t="shared" ca="1" si="8"/>
        <v>7</v>
      </c>
      <c r="M25" s="1"/>
      <c r="N25" s="1">
        <f t="shared" ca="1" si="9"/>
        <v>462</v>
      </c>
      <c r="O25" s="1">
        <f t="shared" ca="1" si="10"/>
        <v>6</v>
      </c>
      <c r="P25" s="1"/>
      <c r="Q25" s="1">
        <f t="shared" ca="1" si="11"/>
        <v>4.8653591021631133</v>
      </c>
      <c r="R25" s="1">
        <f t="shared" ca="1" si="12"/>
        <v>511</v>
      </c>
      <c r="S25" s="1"/>
      <c r="T25" s="1">
        <f t="shared" ca="1" si="13"/>
        <v>0.1200383336903395</v>
      </c>
      <c r="U25" s="1">
        <f t="shared" ca="1" si="14"/>
        <v>383</v>
      </c>
      <c r="V25" s="1">
        <f t="shared" ca="1" si="15"/>
        <v>47</v>
      </c>
      <c r="W25" s="1"/>
      <c r="X25" s="1">
        <f t="shared" ca="1" si="16"/>
        <v>2.5840128947413077</v>
      </c>
      <c r="Y25" s="1">
        <f t="shared" ca="1" si="17"/>
        <v>0.87347847827156733</v>
      </c>
      <c r="Z25" s="1">
        <f t="shared" ca="1" si="18"/>
        <v>1068</v>
      </c>
      <c r="AB25" s="1">
        <f t="shared" ca="1" si="19"/>
        <v>0.93064884564734496</v>
      </c>
      <c r="AC25" s="1">
        <f t="shared" ca="1" si="20"/>
        <v>850</v>
      </c>
      <c r="AD25" s="1">
        <f t="shared" ca="1" si="21"/>
        <v>4.5803531630636066E-3</v>
      </c>
      <c r="AE25" s="1"/>
      <c r="AF25" s="1">
        <f t="shared" ca="1" si="22"/>
        <v>0.6921079683365895</v>
      </c>
      <c r="AG25" s="1">
        <f t="shared" ca="1" si="23"/>
        <v>480</v>
      </c>
      <c r="AH25" s="1">
        <f t="shared" ca="1" si="24"/>
        <v>2.2101743645381077E-3</v>
      </c>
      <c r="AJ25" s="1">
        <f t="shared" ca="1" si="25"/>
        <v>6.6918204143145532E-2</v>
      </c>
      <c r="AK25" s="1">
        <f t="shared" ca="1" si="26"/>
        <v>1.9673635033291858E-3</v>
      </c>
      <c r="AL25" s="1"/>
      <c r="AM25" s="1">
        <f t="shared" ca="1" si="27"/>
        <v>0.18456887761826116</v>
      </c>
      <c r="AN25" s="1">
        <f t="shared" ca="1" si="28"/>
        <v>20</v>
      </c>
      <c r="AO25" s="1">
        <f t="shared" ca="1" si="29"/>
        <v>13</v>
      </c>
      <c r="AQ25" s="1">
        <f t="shared" ca="1" si="30"/>
        <v>83</v>
      </c>
      <c r="AR25" s="1">
        <f t="shared" ca="1" si="31"/>
        <v>4</v>
      </c>
      <c r="AS25" s="1">
        <f t="shared" ca="1" si="32"/>
        <v>93</v>
      </c>
      <c r="AU25" s="1">
        <f t="shared" ca="1" si="33"/>
        <v>172</v>
      </c>
      <c r="AV25" s="1">
        <f t="shared" ca="1" si="34"/>
        <v>10</v>
      </c>
      <c r="AW25" s="1">
        <f t="shared" ca="1" si="35"/>
        <v>8.5660439044369679E-2</v>
      </c>
      <c r="AY25" s="1">
        <f t="shared" ca="1" si="36"/>
        <v>1.8650148836844709</v>
      </c>
      <c r="AZ25" s="1">
        <f t="shared" ca="1" si="37"/>
        <v>216</v>
      </c>
      <c r="BA25" s="1">
        <f t="shared" ca="1" si="38"/>
        <v>6.9601060796259965E-3</v>
      </c>
    </row>
    <row r="26" spans="2:53" x14ac:dyDescent="0.25">
      <c r="B26">
        <f t="shared" ca="1" si="0"/>
        <v>995</v>
      </c>
      <c r="C26">
        <f t="shared" ca="1" si="1"/>
        <v>22</v>
      </c>
      <c r="D26">
        <f t="shared" ca="1" si="2"/>
        <v>0.23108111660892913</v>
      </c>
      <c r="F26" s="1">
        <f t="shared" ca="1" si="3"/>
        <v>9</v>
      </c>
      <c r="G26" s="1">
        <f t="shared" ca="1" si="4"/>
        <v>2</v>
      </c>
      <c r="H26" s="1">
        <f t="shared" ca="1" si="5"/>
        <v>12</v>
      </c>
      <c r="I26" s="1"/>
      <c r="J26" s="1">
        <f t="shared" ca="1" si="6"/>
        <v>7</v>
      </c>
      <c r="K26" s="1">
        <f t="shared" ca="1" si="7"/>
        <v>1.6537302507829941</v>
      </c>
      <c r="L26" s="1">
        <f t="shared" ca="1" si="8"/>
        <v>22</v>
      </c>
      <c r="M26" s="1"/>
      <c r="N26" s="1">
        <f t="shared" ca="1" si="9"/>
        <v>167</v>
      </c>
      <c r="O26" s="1">
        <f t="shared" ca="1" si="10"/>
        <v>43</v>
      </c>
      <c r="P26" s="1"/>
      <c r="Q26" s="1">
        <f t="shared" ca="1" si="11"/>
        <v>2.7731925159928159</v>
      </c>
      <c r="R26" s="1">
        <f t="shared" ca="1" si="12"/>
        <v>736</v>
      </c>
      <c r="S26" s="1"/>
      <c r="T26" s="1">
        <f t="shared" ca="1" si="13"/>
        <v>9.857421742765414E-2</v>
      </c>
      <c r="U26" s="1">
        <f t="shared" ca="1" si="14"/>
        <v>90</v>
      </c>
      <c r="V26" s="1">
        <f t="shared" ca="1" si="15"/>
        <v>27</v>
      </c>
      <c r="W26" s="1"/>
      <c r="X26" s="1">
        <f t="shared" ca="1" si="16"/>
        <v>6.4977497497547692</v>
      </c>
      <c r="Y26" s="1">
        <f t="shared" ca="1" si="17"/>
        <v>0.60819469330759401</v>
      </c>
      <c r="Z26" s="1">
        <f t="shared" ca="1" si="18"/>
        <v>1972</v>
      </c>
      <c r="AB26" s="1">
        <f t="shared" ca="1" si="19"/>
        <v>0.97295027983950833</v>
      </c>
      <c r="AC26" s="1">
        <f t="shared" ca="1" si="20"/>
        <v>956</v>
      </c>
      <c r="AD26" s="1">
        <f t="shared" ca="1" si="21"/>
        <v>1.824396093392398E-4</v>
      </c>
      <c r="AE26" s="1"/>
      <c r="AF26" s="1">
        <f t="shared" ca="1" si="22"/>
        <v>0.12036142779168096</v>
      </c>
      <c r="AG26" s="1">
        <f t="shared" ca="1" si="23"/>
        <v>901</v>
      </c>
      <c r="AH26" s="1">
        <f t="shared" ca="1" si="24"/>
        <v>8.9768926374470415E-3</v>
      </c>
      <c r="AJ26" s="1">
        <f t="shared" ca="1" si="25"/>
        <v>0.3186642438715388</v>
      </c>
      <c r="AK26" s="1">
        <f t="shared" ca="1" si="26"/>
        <v>5.1622708237955154E-3</v>
      </c>
      <c r="AL26" s="1"/>
      <c r="AM26" s="1">
        <f t="shared" ca="1" si="27"/>
        <v>0.18849334803431717</v>
      </c>
      <c r="AN26" s="1">
        <f t="shared" ca="1" si="28"/>
        <v>80</v>
      </c>
      <c r="AO26" s="1">
        <f t="shared" ca="1" si="29"/>
        <v>0</v>
      </c>
      <c r="AQ26" s="1">
        <f t="shared" ca="1" si="30"/>
        <v>174</v>
      </c>
      <c r="AR26" s="1">
        <f t="shared" ca="1" si="31"/>
        <v>7</v>
      </c>
      <c r="AS26" s="1">
        <f t="shared" ca="1" si="32"/>
        <v>61</v>
      </c>
      <c r="AU26" s="1">
        <f t="shared" ca="1" si="33"/>
        <v>169</v>
      </c>
      <c r="AV26" s="1">
        <f t="shared" ca="1" si="34"/>
        <v>5</v>
      </c>
      <c r="AW26" s="1">
        <f t="shared" ca="1" si="35"/>
        <v>6.7413054545825093E-2</v>
      </c>
      <c r="AY26" s="1">
        <f t="shared" ca="1" si="36"/>
        <v>1.3471846154431519</v>
      </c>
      <c r="AZ26" s="1">
        <f t="shared" ca="1" si="37"/>
        <v>56</v>
      </c>
      <c r="BA26" s="1">
        <f t="shared" ca="1" si="38"/>
        <v>8.8083736675998118E-3</v>
      </c>
    </row>
    <row r="27" spans="2:53" x14ac:dyDescent="0.25">
      <c r="B27">
        <f t="shared" ca="1" si="0"/>
        <v>973</v>
      </c>
      <c r="C27">
        <f t="shared" ca="1" si="1"/>
        <v>27</v>
      </c>
      <c r="D27">
        <f t="shared" ca="1" si="2"/>
        <v>1.2324306890133523E-2</v>
      </c>
      <c r="F27" s="1">
        <f t="shared" ca="1" si="3"/>
        <v>11</v>
      </c>
      <c r="G27" s="1">
        <f t="shared" ca="1" si="4"/>
        <v>15</v>
      </c>
      <c r="H27" s="1">
        <f t="shared" ca="1" si="5"/>
        <v>1</v>
      </c>
      <c r="I27" s="1"/>
      <c r="J27" s="1">
        <f t="shared" ca="1" si="6"/>
        <v>39</v>
      </c>
      <c r="K27" s="1">
        <f t="shared" ca="1" si="7"/>
        <v>1.9831808131360087</v>
      </c>
      <c r="L27" s="1">
        <f t="shared" ca="1" si="8"/>
        <v>6</v>
      </c>
      <c r="M27" s="1"/>
      <c r="N27" s="1">
        <f t="shared" ca="1" si="9"/>
        <v>301</v>
      </c>
      <c r="O27" s="1">
        <f t="shared" ca="1" si="10"/>
        <v>48</v>
      </c>
      <c r="P27" s="1"/>
      <c r="Q27" s="1">
        <f t="shared" ca="1" si="11"/>
        <v>2.9024036935106454</v>
      </c>
      <c r="R27" s="1">
        <f t="shared" ca="1" si="12"/>
        <v>817</v>
      </c>
      <c r="S27" s="1"/>
      <c r="T27" s="1">
        <f t="shared" ca="1" si="13"/>
        <v>0.1159126761450127</v>
      </c>
      <c r="U27" s="1">
        <f t="shared" ca="1" si="14"/>
        <v>448</v>
      </c>
      <c r="V27" s="1">
        <f t="shared" ca="1" si="15"/>
        <v>12</v>
      </c>
      <c r="W27" s="1"/>
      <c r="X27" s="1">
        <f t="shared" ca="1" si="16"/>
        <v>4.8916471572731099</v>
      </c>
      <c r="Y27" s="1">
        <f t="shared" ca="1" si="17"/>
        <v>0.6028747459874787</v>
      </c>
      <c r="Z27" s="1">
        <f t="shared" ca="1" si="18"/>
        <v>442</v>
      </c>
      <c r="AB27" s="1">
        <f t="shared" ca="1" si="19"/>
        <v>0.12801321889144737</v>
      </c>
      <c r="AC27" s="1">
        <f t="shared" ca="1" si="20"/>
        <v>211</v>
      </c>
      <c r="AD27" s="1">
        <f t="shared" ca="1" si="21"/>
        <v>8.4771347923394188E-3</v>
      </c>
      <c r="AE27" s="1"/>
      <c r="AF27" s="1">
        <f t="shared" ca="1" si="22"/>
        <v>0.3616728187623548</v>
      </c>
      <c r="AG27" s="1">
        <f t="shared" ca="1" si="23"/>
        <v>754</v>
      </c>
      <c r="AH27" s="1">
        <f t="shared" ca="1" si="24"/>
        <v>2.9759600579633231E-3</v>
      </c>
      <c r="AJ27" s="1">
        <f t="shared" ca="1" si="25"/>
        <v>0.11339818706106486</v>
      </c>
      <c r="AK27" s="1">
        <f t="shared" ca="1" si="26"/>
        <v>1.4497688638992151E-3</v>
      </c>
      <c r="AL27" s="1"/>
      <c r="AM27" s="1">
        <f t="shared" ca="1" si="27"/>
        <v>5.1601513358733855E-3</v>
      </c>
      <c r="AN27" s="1">
        <f t="shared" ca="1" si="28"/>
        <v>53</v>
      </c>
      <c r="AO27" s="1">
        <f t="shared" ca="1" si="29"/>
        <v>18</v>
      </c>
      <c r="AQ27" s="1">
        <f t="shared" ca="1" si="30"/>
        <v>10</v>
      </c>
      <c r="AR27" s="1">
        <f t="shared" ca="1" si="31"/>
        <v>0</v>
      </c>
      <c r="AS27" s="1">
        <f t="shared" ca="1" si="32"/>
        <v>2</v>
      </c>
      <c r="AU27" s="1">
        <f t="shared" ca="1" si="33"/>
        <v>289</v>
      </c>
      <c r="AV27" s="1">
        <f t="shared" ca="1" si="34"/>
        <v>4</v>
      </c>
      <c r="AW27" s="1">
        <f t="shared" ca="1" si="35"/>
        <v>0.13890274876111686</v>
      </c>
      <c r="AY27" s="1">
        <f t="shared" ca="1" si="36"/>
        <v>1.9629557206668684</v>
      </c>
      <c r="AZ27" s="1">
        <f t="shared" ca="1" si="37"/>
        <v>303</v>
      </c>
      <c r="BA27" s="1">
        <f t="shared" ca="1" si="38"/>
        <v>9.352627030187001E-3</v>
      </c>
    </row>
    <row r="28" spans="2:53" x14ac:dyDescent="0.25">
      <c r="B28">
        <f t="shared" ca="1" si="0"/>
        <v>991</v>
      </c>
      <c r="C28">
        <f t="shared" ca="1" si="1"/>
        <v>20</v>
      </c>
      <c r="D28">
        <f t="shared" ca="1" si="2"/>
        <v>8.3030187947395168E-2</v>
      </c>
      <c r="F28" s="1">
        <f t="shared" ca="1" si="3"/>
        <v>50</v>
      </c>
      <c r="G28" s="1">
        <f t="shared" ca="1" si="4"/>
        <v>27</v>
      </c>
      <c r="H28" s="1">
        <f t="shared" ca="1" si="5"/>
        <v>15</v>
      </c>
      <c r="I28" s="1"/>
      <c r="J28" s="1">
        <f t="shared" ca="1" si="6"/>
        <v>22</v>
      </c>
      <c r="K28" s="1">
        <f t="shared" ca="1" si="7"/>
        <v>2.455673954533923</v>
      </c>
      <c r="L28" s="1">
        <f t="shared" ca="1" si="8"/>
        <v>6</v>
      </c>
      <c r="M28" s="1"/>
      <c r="N28" s="1">
        <f t="shared" ca="1" si="9"/>
        <v>234</v>
      </c>
      <c r="O28" s="1">
        <f t="shared" ca="1" si="10"/>
        <v>17</v>
      </c>
      <c r="P28" s="1"/>
      <c r="Q28" s="1">
        <f t="shared" ca="1" si="11"/>
        <v>1.9161597147871279</v>
      </c>
      <c r="R28" s="1">
        <f t="shared" ca="1" si="12"/>
        <v>1084</v>
      </c>
      <c r="S28" s="1"/>
      <c r="T28" s="1">
        <f t="shared" ca="1" si="13"/>
        <v>7.9163838630416636E-2</v>
      </c>
      <c r="U28" s="1">
        <f t="shared" ca="1" si="14"/>
        <v>434</v>
      </c>
      <c r="V28" s="1">
        <f t="shared" ca="1" si="15"/>
        <v>36</v>
      </c>
      <c r="W28" s="1"/>
      <c r="X28" s="1">
        <f t="shared" ca="1" si="16"/>
        <v>7.2686082337403377</v>
      </c>
      <c r="Y28" s="1">
        <f t="shared" ca="1" si="17"/>
        <v>0.92788863143214606</v>
      </c>
      <c r="Z28" s="1">
        <f t="shared" ca="1" si="18"/>
        <v>1089</v>
      </c>
      <c r="AB28" s="1">
        <f t="shared" ca="1" si="19"/>
        <v>0.51920919102770258</v>
      </c>
      <c r="AC28" s="1">
        <f t="shared" ca="1" si="20"/>
        <v>113</v>
      </c>
      <c r="AD28" s="1">
        <f t="shared" ca="1" si="21"/>
        <v>2.945440027294802E-3</v>
      </c>
      <c r="AE28" s="1"/>
      <c r="AF28" s="1">
        <f t="shared" ca="1" si="22"/>
        <v>0.109866656447175</v>
      </c>
      <c r="AG28" s="1">
        <f t="shared" ca="1" si="23"/>
        <v>534</v>
      </c>
      <c r="AH28" s="1">
        <f t="shared" ca="1" si="24"/>
        <v>9.3704746205203644E-3</v>
      </c>
      <c r="AJ28" s="1">
        <f t="shared" ca="1" si="25"/>
        <v>9.8866741087615506E-2</v>
      </c>
      <c r="AK28" s="1">
        <f t="shared" ca="1" si="26"/>
        <v>5.0341097110478033E-3</v>
      </c>
      <c r="AL28" s="1"/>
      <c r="AM28" s="1">
        <f t="shared" ca="1" si="27"/>
        <v>0.18879730368666139</v>
      </c>
      <c r="AN28" s="1">
        <f t="shared" ca="1" si="28"/>
        <v>23</v>
      </c>
      <c r="AO28" s="1">
        <f t="shared" ca="1" si="29"/>
        <v>19</v>
      </c>
      <c r="AQ28" s="1">
        <f t="shared" ca="1" si="30"/>
        <v>87</v>
      </c>
      <c r="AR28" s="1">
        <f t="shared" ca="1" si="31"/>
        <v>0</v>
      </c>
      <c r="AS28" s="1">
        <f t="shared" ca="1" si="32"/>
        <v>91</v>
      </c>
      <c r="AU28" s="1">
        <f t="shared" ca="1" si="33"/>
        <v>250</v>
      </c>
      <c r="AV28" s="1">
        <f t="shared" ca="1" si="34"/>
        <v>7</v>
      </c>
      <c r="AW28" s="1">
        <f t="shared" ca="1" si="35"/>
        <v>0.11607721827164719</v>
      </c>
      <c r="AY28" s="1">
        <f t="shared" ca="1" si="36"/>
        <v>1.3843089387345382</v>
      </c>
      <c r="AZ28" s="1">
        <f t="shared" ca="1" si="37"/>
        <v>119</v>
      </c>
      <c r="BA28" s="1">
        <f t="shared" ca="1" si="38"/>
        <v>3.94222886441072E-3</v>
      </c>
    </row>
    <row r="29" spans="2:53" x14ac:dyDescent="0.25">
      <c r="B29">
        <f t="shared" ca="1" si="0"/>
        <v>626</v>
      </c>
      <c r="C29">
        <f t="shared" ca="1" si="1"/>
        <v>14</v>
      </c>
      <c r="D29">
        <f t="shared" ca="1" si="2"/>
        <v>0.14864395042274867</v>
      </c>
      <c r="F29" s="1">
        <f t="shared" ca="1" si="3"/>
        <v>17</v>
      </c>
      <c r="G29" s="1">
        <f t="shared" ca="1" si="4"/>
        <v>2</v>
      </c>
      <c r="H29" s="1">
        <f t="shared" ca="1" si="5"/>
        <v>5</v>
      </c>
      <c r="I29" s="1"/>
      <c r="J29" s="1">
        <f t="shared" ca="1" si="6"/>
        <v>14</v>
      </c>
      <c r="K29" s="1">
        <f t="shared" ca="1" si="7"/>
        <v>2.3360314348864293</v>
      </c>
      <c r="L29" s="1">
        <f t="shared" ca="1" si="8"/>
        <v>19</v>
      </c>
      <c r="M29" s="1"/>
      <c r="N29" s="1">
        <f t="shared" ca="1" si="9"/>
        <v>537</v>
      </c>
      <c r="O29" s="1">
        <f t="shared" ca="1" si="10"/>
        <v>47</v>
      </c>
      <c r="P29" s="1"/>
      <c r="Q29" s="1">
        <f t="shared" ca="1" si="11"/>
        <v>2.3106110029728035</v>
      </c>
      <c r="R29" s="1">
        <f t="shared" ca="1" si="12"/>
        <v>682</v>
      </c>
      <c r="S29" s="1"/>
      <c r="T29" s="1">
        <f t="shared" ca="1" si="13"/>
        <v>6.9772031821801875E-2</v>
      </c>
      <c r="U29" s="1">
        <f t="shared" ca="1" si="14"/>
        <v>396</v>
      </c>
      <c r="V29" s="1">
        <f t="shared" ca="1" si="15"/>
        <v>26</v>
      </c>
      <c r="W29" s="1"/>
      <c r="X29" s="1">
        <f t="shared" ca="1" si="16"/>
        <v>4.9519332881338869</v>
      </c>
      <c r="Y29" s="1">
        <f t="shared" ca="1" si="17"/>
        <v>0.16041495227063896</v>
      </c>
      <c r="Z29" s="1">
        <f t="shared" ca="1" si="18"/>
        <v>1284</v>
      </c>
      <c r="AB29" s="1">
        <f t="shared" ca="1" si="19"/>
        <v>0.6645985688605156</v>
      </c>
      <c r="AC29" s="1">
        <f t="shared" ca="1" si="20"/>
        <v>838</v>
      </c>
      <c r="AD29" s="1">
        <f t="shared" ca="1" si="21"/>
        <v>4.8805757500740028E-3</v>
      </c>
      <c r="AE29" s="1"/>
      <c r="AF29" s="1">
        <f t="shared" ca="1" si="22"/>
        <v>0.81404267761079008</v>
      </c>
      <c r="AG29" s="1">
        <f t="shared" ca="1" si="23"/>
        <v>494</v>
      </c>
      <c r="AH29" s="1">
        <f t="shared" ca="1" si="24"/>
        <v>6.1274546045099933E-3</v>
      </c>
      <c r="AJ29" s="1">
        <f t="shared" ca="1" si="25"/>
        <v>0.13793565410999609</v>
      </c>
      <c r="AK29" s="1">
        <f t="shared" ca="1" si="26"/>
        <v>8.7834041472305388E-4</v>
      </c>
      <c r="AL29" s="1"/>
      <c r="AM29" s="1">
        <f t="shared" ca="1" si="27"/>
        <v>8.8306191572196269E-2</v>
      </c>
      <c r="AN29" s="1">
        <f t="shared" ca="1" si="28"/>
        <v>58</v>
      </c>
      <c r="AO29" s="1">
        <f t="shared" ca="1" si="29"/>
        <v>15</v>
      </c>
      <c r="AQ29" s="1">
        <f t="shared" ca="1" si="30"/>
        <v>121</v>
      </c>
      <c r="AR29" s="1">
        <f t="shared" ca="1" si="31"/>
        <v>9</v>
      </c>
      <c r="AS29" s="1">
        <f t="shared" ca="1" si="32"/>
        <v>78</v>
      </c>
      <c r="AU29" s="1">
        <f t="shared" ca="1" si="33"/>
        <v>263</v>
      </c>
      <c r="AV29" s="1">
        <f t="shared" ca="1" si="34"/>
        <v>5</v>
      </c>
      <c r="AW29" s="1">
        <f t="shared" ca="1" si="35"/>
        <v>0.11775240296377484</v>
      </c>
      <c r="AY29" s="1">
        <f t="shared" ca="1" si="36"/>
        <v>1.63745399518945</v>
      </c>
      <c r="AZ29" s="1">
        <f t="shared" ca="1" si="37"/>
        <v>431</v>
      </c>
      <c r="BA29" s="1">
        <f t="shared" ca="1" si="38"/>
        <v>9.4234525710102553E-3</v>
      </c>
    </row>
    <row r="30" spans="2:53" x14ac:dyDescent="0.25">
      <c r="B30">
        <f t="shared" ca="1" si="0"/>
        <v>624</v>
      </c>
      <c r="C30">
        <f t="shared" ca="1" si="1"/>
        <v>36</v>
      </c>
      <c r="D30">
        <f t="shared" ca="1" si="2"/>
        <v>0.10786809362376849</v>
      </c>
      <c r="F30" s="1">
        <f t="shared" ca="1" si="3"/>
        <v>51</v>
      </c>
      <c r="G30" s="1">
        <f t="shared" ca="1" si="4"/>
        <v>17</v>
      </c>
      <c r="H30" s="1">
        <f t="shared" ca="1" si="5"/>
        <v>11</v>
      </c>
      <c r="I30" s="1"/>
      <c r="J30" s="1">
        <f t="shared" ca="1" si="6"/>
        <v>21</v>
      </c>
      <c r="K30" s="1">
        <f t="shared" ca="1" si="7"/>
        <v>2.9129899993987873</v>
      </c>
      <c r="L30" s="1">
        <f t="shared" ca="1" si="8"/>
        <v>12</v>
      </c>
      <c r="M30" s="1"/>
      <c r="N30" s="1">
        <f t="shared" ca="1" si="9"/>
        <v>74</v>
      </c>
      <c r="O30" s="1">
        <f t="shared" ca="1" si="10"/>
        <v>7</v>
      </c>
      <c r="P30" s="1"/>
      <c r="Q30" s="1">
        <f t="shared" ca="1" si="11"/>
        <v>1.894500445407058</v>
      </c>
      <c r="R30" s="1">
        <f t="shared" ca="1" si="12"/>
        <v>644</v>
      </c>
      <c r="S30" s="1"/>
      <c r="T30" s="1">
        <f t="shared" ca="1" si="13"/>
        <v>1.7665320019602943E-2</v>
      </c>
      <c r="U30" s="1">
        <f t="shared" ca="1" si="14"/>
        <v>354</v>
      </c>
      <c r="V30" s="1">
        <f t="shared" ca="1" si="15"/>
        <v>27</v>
      </c>
      <c r="W30" s="1"/>
      <c r="X30" s="1">
        <f t="shared" ca="1" si="16"/>
        <v>0.2320409830604874</v>
      </c>
      <c r="Y30" s="1">
        <f t="shared" ca="1" si="17"/>
        <v>0.81459397702818959</v>
      </c>
      <c r="Z30" s="1">
        <f t="shared" ca="1" si="18"/>
        <v>1346</v>
      </c>
      <c r="AB30" s="1">
        <f t="shared" ca="1" si="19"/>
        <v>0.70909059950198117</v>
      </c>
      <c r="AC30" s="1">
        <f t="shared" ca="1" si="20"/>
        <v>319</v>
      </c>
      <c r="AD30" s="1">
        <f t="shared" ca="1" si="21"/>
        <v>1.7879365433369624E-3</v>
      </c>
      <c r="AE30" s="1"/>
      <c r="AF30" s="1">
        <f t="shared" ca="1" si="22"/>
        <v>0.68919066461345113</v>
      </c>
      <c r="AG30" s="1">
        <f t="shared" ca="1" si="23"/>
        <v>839</v>
      </c>
      <c r="AH30" s="1">
        <f t="shared" ca="1" si="24"/>
        <v>4.0341304342129672E-3</v>
      </c>
      <c r="AJ30" s="1">
        <f t="shared" ca="1" si="25"/>
        <v>0.54797042116813799</v>
      </c>
      <c r="AK30" s="1">
        <f t="shared" ca="1" si="26"/>
        <v>9.0217083142659794E-3</v>
      </c>
      <c r="AL30" s="1"/>
      <c r="AM30" s="1">
        <f t="shared" ca="1" si="27"/>
        <v>4.5259263739144594E-2</v>
      </c>
      <c r="AN30" s="1">
        <f t="shared" ca="1" si="28"/>
        <v>32</v>
      </c>
      <c r="AO30" s="1">
        <f t="shared" ca="1" si="29"/>
        <v>16</v>
      </c>
      <c r="AQ30" s="1">
        <f t="shared" ca="1" si="30"/>
        <v>196</v>
      </c>
      <c r="AR30" s="1">
        <f t="shared" ca="1" si="31"/>
        <v>2</v>
      </c>
      <c r="AS30" s="1">
        <f t="shared" ca="1" si="32"/>
        <v>47</v>
      </c>
      <c r="AU30" s="1">
        <f t="shared" ca="1" si="33"/>
        <v>284</v>
      </c>
      <c r="AV30" s="1">
        <f t="shared" ca="1" si="34"/>
        <v>10</v>
      </c>
      <c r="AW30" s="1">
        <f t="shared" ca="1" si="35"/>
        <v>8.2289751917447015E-2</v>
      </c>
      <c r="AY30" s="1">
        <f t="shared" ca="1" si="36"/>
        <v>1.5810436697621788</v>
      </c>
      <c r="AZ30" s="1">
        <f t="shared" ca="1" si="37"/>
        <v>363</v>
      </c>
      <c r="BA30" s="1">
        <f t="shared" ca="1" si="38"/>
        <v>2.6681139216518344E-3</v>
      </c>
    </row>
    <row r="31" spans="2:53" x14ac:dyDescent="0.25">
      <c r="B31">
        <f t="shared" ca="1" si="0"/>
        <v>222</v>
      </c>
      <c r="C31">
        <f t="shared" ca="1" si="1"/>
        <v>42</v>
      </c>
      <c r="D31">
        <f t="shared" ca="1" si="2"/>
        <v>4.6008706090072654E-2</v>
      </c>
      <c r="F31" s="1">
        <f t="shared" ca="1" si="3"/>
        <v>44</v>
      </c>
      <c r="G31" s="1">
        <f t="shared" ca="1" si="4"/>
        <v>25</v>
      </c>
      <c r="H31" s="1">
        <f t="shared" ca="1" si="5"/>
        <v>10</v>
      </c>
      <c r="I31" s="1"/>
      <c r="J31" s="1">
        <f t="shared" ca="1" si="6"/>
        <v>32</v>
      </c>
      <c r="K31" s="1">
        <f t="shared" ca="1" si="7"/>
        <v>1.7309639438741264</v>
      </c>
      <c r="L31" s="1">
        <f t="shared" ca="1" si="8"/>
        <v>29</v>
      </c>
      <c r="M31" s="1"/>
      <c r="N31" s="1">
        <f t="shared" ca="1" si="9"/>
        <v>957</v>
      </c>
      <c r="O31" s="1">
        <f t="shared" ca="1" si="10"/>
        <v>12</v>
      </c>
      <c r="P31" s="1"/>
      <c r="Q31" s="1">
        <f t="shared" ca="1" si="11"/>
        <v>3.3958733020263749</v>
      </c>
      <c r="R31" s="1">
        <f t="shared" ca="1" si="12"/>
        <v>519</v>
      </c>
      <c r="S31" s="1"/>
      <c r="T31" s="1">
        <f t="shared" ca="1" si="13"/>
        <v>6.4644415145452869E-2</v>
      </c>
      <c r="U31" s="1">
        <f t="shared" ca="1" si="14"/>
        <v>419</v>
      </c>
      <c r="V31" s="1">
        <f t="shared" ca="1" si="15"/>
        <v>25</v>
      </c>
      <c r="W31" s="1"/>
      <c r="X31" s="1">
        <f t="shared" ca="1" si="16"/>
        <v>7.4509783713361912</v>
      </c>
      <c r="Y31" s="1">
        <f t="shared" ca="1" si="17"/>
        <v>0.48117819844130111</v>
      </c>
      <c r="Z31" s="1">
        <f t="shared" ca="1" si="18"/>
        <v>650</v>
      </c>
      <c r="AB31" s="1">
        <f t="shared" ca="1" si="19"/>
        <v>0.31028406053525215</v>
      </c>
      <c r="AC31" s="1">
        <f t="shared" ca="1" si="20"/>
        <v>250</v>
      </c>
      <c r="AD31" s="1">
        <f t="shared" ca="1" si="21"/>
        <v>3.9126895110985886E-5</v>
      </c>
      <c r="AE31" s="1"/>
      <c r="AF31" s="1">
        <f t="shared" ca="1" si="22"/>
        <v>0.8964492462507424</v>
      </c>
      <c r="AG31" s="1">
        <f t="shared" ca="1" si="23"/>
        <v>401</v>
      </c>
      <c r="AH31" s="1">
        <f t="shared" ca="1" si="24"/>
        <v>9.1130968285638731E-3</v>
      </c>
      <c r="AJ31" s="1">
        <f t="shared" ca="1" si="25"/>
        <v>0.99020438935255894</v>
      </c>
      <c r="AK31" s="1">
        <f t="shared" ca="1" si="26"/>
        <v>4.8130632801674277E-3</v>
      </c>
      <c r="AL31" s="1"/>
      <c r="AM31" s="1">
        <f t="shared" ca="1" si="27"/>
        <v>0.14108347896769396</v>
      </c>
      <c r="AN31" s="1">
        <f t="shared" ca="1" si="28"/>
        <v>42</v>
      </c>
      <c r="AO31" s="1">
        <f t="shared" ca="1" si="29"/>
        <v>9</v>
      </c>
      <c r="AQ31" s="1">
        <f t="shared" ca="1" si="30"/>
        <v>145</v>
      </c>
      <c r="AR31" s="1">
        <f t="shared" ca="1" si="31"/>
        <v>5</v>
      </c>
      <c r="AS31" s="1">
        <f t="shared" ca="1" si="32"/>
        <v>61</v>
      </c>
      <c r="AU31" s="1">
        <f t="shared" ca="1" si="33"/>
        <v>327</v>
      </c>
      <c r="AV31" s="1">
        <f t="shared" ca="1" si="34"/>
        <v>9</v>
      </c>
      <c r="AW31" s="1">
        <f t="shared" ca="1" si="35"/>
        <v>0.19639102329833596</v>
      </c>
      <c r="AY31" s="1">
        <f t="shared" ca="1" si="36"/>
        <v>1.2414001406094053</v>
      </c>
      <c r="AZ31" s="1">
        <f t="shared" ca="1" si="37"/>
        <v>216</v>
      </c>
      <c r="BA31" s="1">
        <f t="shared" ca="1" si="38"/>
        <v>8.0734103111633117E-3</v>
      </c>
    </row>
    <row r="32" spans="2:53" x14ac:dyDescent="0.25">
      <c r="B32">
        <f t="shared" ca="1" si="0"/>
        <v>866</v>
      </c>
      <c r="C32">
        <f t="shared" ca="1" si="1"/>
        <v>40</v>
      </c>
      <c r="D32">
        <f t="shared" ca="1" si="2"/>
        <v>0.22585243482878228</v>
      </c>
      <c r="F32" s="1">
        <f t="shared" ca="1" si="3"/>
        <v>40</v>
      </c>
      <c r="G32" s="1">
        <f t="shared" ca="1" si="4"/>
        <v>14</v>
      </c>
      <c r="H32" s="1">
        <f t="shared" ca="1" si="5"/>
        <v>2</v>
      </c>
      <c r="I32" s="1"/>
      <c r="J32" s="1">
        <f t="shared" ca="1" si="6"/>
        <v>5</v>
      </c>
      <c r="K32" s="1">
        <f t="shared" ca="1" si="7"/>
        <v>1.4845180033389815</v>
      </c>
      <c r="L32" s="1">
        <f t="shared" ca="1" si="8"/>
        <v>17</v>
      </c>
      <c r="M32" s="1"/>
      <c r="N32" s="1">
        <f t="shared" ca="1" si="9"/>
        <v>277</v>
      </c>
      <c r="O32" s="1">
        <f t="shared" ca="1" si="10"/>
        <v>45</v>
      </c>
      <c r="P32" s="1"/>
      <c r="Q32" s="1">
        <f t="shared" ca="1" si="11"/>
        <v>2.6484195861232331</v>
      </c>
      <c r="R32" s="1">
        <f t="shared" ca="1" si="12"/>
        <v>1067</v>
      </c>
      <c r="S32" s="1"/>
      <c r="T32" s="1">
        <f t="shared" ca="1" si="13"/>
        <v>0.168658609450521</v>
      </c>
      <c r="U32" s="1">
        <f t="shared" ca="1" si="14"/>
        <v>149</v>
      </c>
      <c r="V32" s="1">
        <f t="shared" ca="1" si="15"/>
        <v>19</v>
      </c>
      <c r="W32" s="1"/>
      <c r="X32" s="1">
        <f t="shared" ca="1" si="16"/>
        <v>3.2224378950052324</v>
      </c>
      <c r="Y32" s="1">
        <f t="shared" ca="1" si="17"/>
        <v>0.7196683976753776</v>
      </c>
      <c r="Z32" s="1">
        <f t="shared" ca="1" si="18"/>
        <v>1647</v>
      </c>
      <c r="AB32" s="1">
        <f t="shared" ca="1" si="19"/>
        <v>0.35348708471147106</v>
      </c>
      <c r="AC32" s="1">
        <f t="shared" ca="1" si="20"/>
        <v>371</v>
      </c>
      <c r="AD32" s="1">
        <f t="shared" ca="1" si="21"/>
        <v>3.317140679827042E-3</v>
      </c>
      <c r="AE32" s="1"/>
      <c r="AF32" s="1">
        <f t="shared" ca="1" si="22"/>
        <v>0.80957131769226531</v>
      </c>
      <c r="AG32" s="1">
        <f t="shared" ca="1" si="23"/>
        <v>296</v>
      </c>
      <c r="AH32" s="1">
        <f t="shared" ca="1" si="24"/>
        <v>6.8535364841576666E-3</v>
      </c>
      <c r="AJ32" s="1">
        <f t="shared" ca="1" si="25"/>
        <v>0.81181738046506002</v>
      </c>
      <c r="AK32" s="1">
        <f t="shared" ca="1" si="26"/>
        <v>1.3660070381310539E-3</v>
      </c>
      <c r="AL32" s="1"/>
      <c r="AM32" s="1">
        <f t="shared" ca="1" si="27"/>
        <v>0.19104278741182495</v>
      </c>
      <c r="AN32" s="1">
        <f t="shared" ca="1" si="28"/>
        <v>23</v>
      </c>
      <c r="AO32" s="1">
        <f t="shared" ca="1" si="29"/>
        <v>8</v>
      </c>
      <c r="AQ32" s="1">
        <f t="shared" ca="1" si="30"/>
        <v>137</v>
      </c>
      <c r="AR32" s="1">
        <f t="shared" ca="1" si="31"/>
        <v>10</v>
      </c>
      <c r="AS32" s="1">
        <f t="shared" ca="1" si="32"/>
        <v>82</v>
      </c>
      <c r="AU32" s="1">
        <f t="shared" ca="1" si="33"/>
        <v>369</v>
      </c>
      <c r="AV32" s="1">
        <f t="shared" ca="1" si="34"/>
        <v>4</v>
      </c>
      <c r="AW32" s="1">
        <f t="shared" ca="1" si="35"/>
        <v>1.9516897244657667E-2</v>
      </c>
      <c r="AY32" s="1">
        <f t="shared" ca="1" si="36"/>
        <v>1.565531571877782</v>
      </c>
      <c r="AZ32" s="1">
        <f t="shared" ca="1" si="37"/>
        <v>282</v>
      </c>
      <c r="BA32" s="1">
        <f t="shared" ca="1" si="38"/>
        <v>7.2225750611912354E-3</v>
      </c>
    </row>
    <row r="33" spans="2:53" x14ac:dyDescent="0.25">
      <c r="B33">
        <f t="shared" ca="1" si="0"/>
        <v>606</v>
      </c>
      <c r="C33">
        <f t="shared" ca="1" si="1"/>
        <v>47</v>
      </c>
      <c r="D33">
        <f t="shared" ca="1" si="2"/>
        <v>0.1138773496853539</v>
      </c>
      <c r="F33" s="1">
        <f t="shared" ca="1" si="3"/>
        <v>34</v>
      </c>
      <c r="G33" s="1">
        <f t="shared" ca="1" si="4"/>
        <v>2</v>
      </c>
      <c r="H33" s="1">
        <f t="shared" ca="1" si="5"/>
        <v>14</v>
      </c>
      <c r="I33" s="1"/>
      <c r="J33" s="1">
        <f t="shared" ca="1" si="6"/>
        <v>9</v>
      </c>
      <c r="K33" s="1">
        <f t="shared" ca="1" si="7"/>
        <v>2.9074345015398606</v>
      </c>
      <c r="L33" s="1">
        <f t="shared" ca="1" si="8"/>
        <v>34</v>
      </c>
      <c r="M33" s="1"/>
      <c r="N33" s="1">
        <f t="shared" ca="1" si="9"/>
        <v>362</v>
      </c>
      <c r="O33" s="1">
        <f t="shared" ca="1" si="10"/>
        <v>41</v>
      </c>
      <c r="P33" s="1"/>
      <c r="Q33" s="1">
        <f t="shared" ca="1" si="11"/>
        <v>1.733501533994122</v>
      </c>
      <c r="R33" s="1">
        <f t="shared" ca="1" si="12"/>
        <v>1183</v>
      </c>
      <c r="S33" s="1"/>
      <c r="T33" s="1">
        <f t="shared" ca="1" si="13"/>
        <v>0.19199901384213081</v>
      </c>
      <c r="U33" s="1">
        <f t="shared" ca="1" si="14"/>
        <v>234</v>
      </c>
      <c r="V33" s="1">
        <f t="shared" ca="1" si="15"/>
        <v>37</v>
      </c>
      <c r="W33" s="1"/>
      <c r="X33" s="1">
        <f t="shared" ca="1" si="16"/>
        <v>6.1274933626852581</v>
      </c>
      <c r="Y33" s="1">
        <f t="shared" ca="1" si="17"/>
        <v>0.76627562299402341</v>
      </c>
      <c r="Z33" s="1">
        <f t="shared" ca="1" si="18"/>
        <v>1807</v>
      </c>
      <c r="AB33" s="1">
        <f t="shared" ca="1" si="19"/>
        <v>0.9181009646164805</v>
      </c>
      <c r="AC33" s="1">
        <f t="shared" ca="1" si="20"/>
        <v>380</v>
      </c>
      <c r="AD33" s="1">
        <f t="shared" ca="1" si="21"/>
        <v>6.5100572453818898E-3</v>
      </c>
      <c r="AE33" s="1"/>
      <c r="AF33" s="1">
        <f t="shared" ca="1" si="22"/>
        <v>0.88017806226763917</v>
      </c>
      <c r="AG33" s="1">
        <f t="shared" ca="1" si="23"/>
        <v>292</v>
      </c>
      <c r="AH33" s="1">
        <f t="shared" ca="1" si="24"/>
        <v>7.5497288479488061E-4</v>
      </c>
      <c r="AJ33" s="1">
        <f t="shared" ca="1" si="25"/>
        <v>0.26702347901129353</v>
      </c>
      <c r="AK33" s="1">
        <f t="shared" ca="1" si="26"/>
        <v>2.8490182329684834E-4</v>
      </c>
      <c r="AL33" s="1"/>
      <c r="AM33" s="1">
        <f t="shared" ca="1" si="27"/>
        <v>0.16306122007175208</v>
      </c>
      <c r="AN33" s="1">
        <f t="shared" ca="1" si="28"/>
        <v>63</v>
      </c>
      <c r="AO33" s="1">
        <f t="shared" ca="1" si="29"/>
        <v>17</v>
      </c>
      <c r="AQ33" s="1">
        <f t="shared" ca="1" si="30"/>
        <v>149</v>
      </c>
      <c r="AR33" s="1">
        <f t="shared" ca="1" si="31"/>
        <v>3</v>
      </c>
      <c r="AS33" s="1">
        <f t="shared" ca="1" si="32"/>
        <v>93</v>
      </c>
      <c r="AU33" s="1">
        <f t="shared" ca="1" si="33"/>
        <v>72</v>
      </c>
      <c r="AV33" s="1">
        <f t="shared" ca="1" si="34"/>
        <v>3</v>
      </c>
      <c r="AW33" s="1">
        <f t="shared" ca="1" si="35"/>
        <v>4.6844432250502804E-2</v>
      </c>
      <c r="AY33" s="1">
        <f t="shared" ca="1" si="36"/>
        <v>1.3241438152490577</v>
      </c>
      <c r="AZ33" s="1">
        <f t="shared" ca="1" si="37"/>
        <v>316</v>
      </c>
      <c r="BA33" s="1">
        <f t="shared" ca="1" si="38"/>
        <v>2.3193293687716553E-3</v>
      </c>
    </row>
    <row r="34" spans="2:53" x14ac:dyDescent="0.25">
      <c r="B34">
        <f t="shared" ca="1" si="0"/>
        <v>759</v>
      </c>
      <c r="C34">
        <f t="shared" ca="1" si="1"/>
        <v>6</v>
      </c>
      <c r="D34">
        <f t="shared" ca="1" si="2"/>
        <v>0.22173963150135337</v>
      </c>
      <c r="F34" s="1">
        <f t="shared" ca="1" si="3"/>
        <v>5</v>
      </c>
      <c r="G34" s="1">
        <f t="shared" ca="1" si="4"/>
        <v>15</v>
      </c>
      <c r="H34" s="1">
        <f t="shared" ca="1" si="5"/>
        <v>6</v>
      </c>
      <c r="I34" s="1"/>
      <c r="J34" s="1">
        <f t="shared" ca="1" si="6"/>
        <v>39</v>
      </c>
      <c r="K34" s="1">
        <f t="shared" ca="1" si="7"/>
        <v>1.0659101088777696</v>
      </c>
      <c r="L34" s="1">
        <f t="shared" ca="1" si="8"/>
        <v>19</v>
      </c>
      <c r="M34" s="1"/>
      <c r="N34" s="1">
        <f t="shared" ca="1" si="9"/>
        <v>767</v>
      </c>
      <c r="O34" s="1">
        <f t="shared" ca="1" si="10"/>
        <v>48</v>
      </c>
      <c r="P34" s="1"/>
      <c r="Q34" s="1">
        <f t="shared" ca="1" si="11"/>
        <v>3.484516854426623</v>
      </c>
      <c r="R34" s="1">
        <f t="shared" ca="1" si="12"/>
        <v>1113</v>
      </c>
      <c r="S34" s="1"/>
      <c r="T34" s="1">
        <f t="shared" ca="1" si="13"/>
        <v>8.0775549961604146E-2</v>
      </c>
      <c r="U34" s="1">
        <f t="shared" ca="1" si="14"/>
        <v>186</v>
      </c>
      <c r="V34" s="1">
        <f t="shared" ca="1" si="15"/>
        <v>7</v>
      </c>
      <c r="W34" s="1"/>
      <c r="X34" s="1">
        <f t="shared" ca="1" si="16"/>
        <v>3.5296713446197057</v>
      </c>
      <c r="Y34" s="1">
        <f t="shared" ca="1" si="17"/>
        <v>0.57755358409780022</v>
      </c>
      <c r="Z34" s="1">
        <f t="shared" ca="1" si="18"/>
        <v>1298</v>
      </c>
      <c r="AB34" s="1">
        <f t="shared" ca="1" si="19"/>
        <v>1.885392099271679E-2</v>
      </c>
      <c r="AC34" s="1">
        <f t="shared" ca="1" si="20"/>
        <v>151</v>
      </c>
      <c r="AD34" s="1">
        <f t="shared" ca="1" si="21"/>
        <v>7.2228834120789415E-3</v>
      </c>
      <c r="AE34" s="1"/>
      <c r="AF34" s="1">
        <f t="shared" ca="1" si="22"/>
        <v>0.88893505659893424</v>
      </c>
      <c r="AG34" s="1">
        <f t="shared" ca="1" si="23"/>
        <v>818</v>
      </c>
      <c r="AH34" s="1">
        <f t="shared" ca="1" si="24"/>
        <v>4.3189488036558471E-3</v>
      </c>
      <c r="AJ34" s="1">
        <f t="shared" ca="1" si="25"/>
        <v>0.46009209340980439</v>
      </c>
      <c r="AK34" s="1">
        <f t="shared" ca="1" si="26"/>
        <v>2.0583938571860009E-3</v>
      </c>
      <c r="AL34" s="1"/>
      <c r="AM34" s="1">
        <f t="shared" ca="1" si="27"/>
        <v>0.12856277543914862</v>
      </c>
      <c r="AN34" s="1">
        <f t="shared" ca="1" si="28"/>
        <v>13</v>
      </c>
      <c r="AO34" s="1">
        <f t="shared" ca="1" si="29"/>
        <v>11</v>
      </c>
      <c r="AQ34" s="1">
        <f t="shared" ca="1" si="30"/>
        <v>107</v>
      </c>
      <c r="AR34" s="1">
        <f t="shared" ca="1" si="31"/>
        <v>4</v>
      </c>
      <c r="AS34" s="1">
        <f t="shared" ca="1" si="32"/>
        <v>100</v>
      </c>
      <c r="AU34" s="1">
        <f t="shared" ca="1" si="33"/>
        <v>392</v>
      </c>
      <c r="AV34" s="1">
        <f t="shared" ca="1" si="34"/>
        <v>10</v>
      </c>
      <c r="AW34" s="1">
        <f t="shared" ca="1" si="35"/>
        <v>6.1775745309056225E-2</v>
      </c>
      <c r="AY34" s="1">
        <f t="shared" ca="1" si="36"/>
        <v>1.5979601782198565</v>
      </c>
      <c r="AZ34" s="1">
        <f t="shared" ca="1" si="37"/>
        <v>179</v>
      </c>
      <c r="BA34" s="1">
        <f t="shared" ca="1" si="38"/>
        <v>5.8725562970425946E-3</v>
      </c>
    </row>
    <row r="35" spans="2:53" x14ac:dyDescent="0.25">
      <c r="B35">
        <f t="shared" ca="1" si="0"/>
        <v>56</v>
      </c>
      <c r="C35">
        <f t="shared" ca="1" si="1"/>
        <v>16</v>
      </c>
      <c r="D35">
        <f t="shared" ca="1" si="2"/>
        <v>0.29951841503182186</v>
      </c>
      <c r="F35" s="1">
        <f t="shared" ca="1" si="3"/>
        <v>3</v>
      </c>
      <c r="G35" s="1">
        <f t="shared" ca="1" si="4"/>
        <v>20</v>
      </c>
      <c r="H35" s="1">
        <f t="shared" ca="1" si="5"/>
        <v>10</v>
      </c>
      <c r="I35" s="1"/>
      <c r="J35" s="1">
        <f t="shared" ca="1" si="6"/>
        <v>32</v>
      </c>
      <c r="K35" s="1">
        <f t="shared" ca="1" si="7"/>
        <v>1.9091782217233237</v>
      </c>
      <c r="L35" s="1">
        <f t="shared" ca="1" si="8"/>
        <v>35</v>
      </c>
      <c r="M35" s="1"/>
      <c r="N35" s="1">
        <f t="shared" ca="1" si="9"/>
        <v>44</v>
      </c>
      <c r="O35" s="1">
        <f t="shared" ca="1" si="10"/>
        <v>15</v>
      </c>
      <c r="P35" s="1"/>
      <c r="Q35" s="1">
        <f t="shared" ca="1" si="11"/>
        <v>1.868907005111532</v>
      </c>
      <c r="R35" s="1">
        <f t="shared" ca="1" si="12"/>
        <v>577</v>
      </c>
      <c r="S35" s="1"/>
      <c r="T35" s="1">
        <f t="shared" ca="1" si="13"/>
        <v>0.13264384817221272</v>
      </c>
      <c r="U35" s="1">
        <f t="shared" ca="1" si="14"/>
        <v>186</v>
      </c>
      <c r="V35" s="1">
        <f t="shared" ca="1" si="15"/>
        <v>21</v>
      </c>
      <c r="W35" s="1"/>
      <c r="X35" s="1">
        <f t="shared" ca="1" si="16"/>
        <v>8.5113602290368515</v>
      </c>
      <c r="Y35" s="1">
        <f t="shared" ca="1" si="17"/>
        <v>0.30357926638884353</v>
      </c>
      <c r="Z35" s="1">
        <f t="shared" ca="1" si="18"/>
        <v>656</v>
      </c>
      <c r="AB35" s="1">
        <f t="shared" ca="1" si="19"/>
        <v>0.75135356320081215</v>
      </c>
      <c r="AC35" s="1">
        <f t="shared" ca="1" si="20"/>
        <v>555</v>
      </c>
      <c r="AD35" s="1">
        <f t="shared" ca="1" si="21"/>
        <v>2.8105892604543409E-3</v>
      </c>
      <c r="AE35" s="1"/>
      <c r="AF35" s="1">
        <f t="shared" ca="1" si="22"/>
        <v>0.72171832738884512</v>
      </c>
      <c r="AG35" s="1">
        <f t="shared" ca="1" si="23"/>
        <v>806</v>
      </c>
      <c r="AH35" s="1">
        <f t="shared" ca="1" si="24"/>
        <v>2.7452389210543323E-3</v>
      </c>
      <c r="AJ35" s="1">
        <f t="shared" ca="1" si="25"/>
        <v>0.96993798174154167</v>
      </c>
      <c r="AK35" s="1">
        <f t="shared" ca="1" si="26"/>
        <v>2.0504991916201346E-3</v>
      </c>
      <c r="AL35" s="1"/>
      <c r="AM35" s="1">
        <f t="shared" ca="1" si="27"/>
        <v>0.13598201468602042</v>
      </c>
      <c r="AN35" s="1">
        <f t="shared" ca="1" si="28"/>
        <v>33</v>
      </c>
      <c r="AO35" s="1">
        <f t="shared" ca="1" si="29"/>
        <v>2</v>
      </c>
      <c r="AQ35" s="1">
        <f t="shared" ca="1" si="30"/>
        <v>23</v>
      </c>
      <c r="AR35" s="1">
        <f t="shared" ca="1" si="31"/>
        <v>6</v>
      </c>
      <c r="AS35" s="1">
        <f t="shared" ca="1" si="32"/>
        <v>81</v>
      </c>
      <c r="AU35" s="1">
        <f t="shared" ca="1" si="33"/>
        <v>328</v>
      </c>
      <c r="AV35" s="1">
        <f t="shared" ca="1" si="34"/>
        <v>7</v>
      </c>
      <c r="AW35" s="1">
        <f t="shared" ca="1" si="35"/>
        <v>6.6330555195033683E-2</v>
      </c>
      <c r="AY35" s="1">
        <f t="shared" ca="1" si="36"/>
        <v>1.9826083327920245</v>
      </c>
      <c r="AZ35" s="1">
        <f t="shared" ca="1" si="37"/>
        <v>201</v>
      </c>
      <c r="BA35" s="1">
        <f t="shared" ca="1" si="38"/>
        <v>9.3645304192039246E-4</v>
      </c>
    </row>
    <row r="36" spans="2:53" x14ac:dyDescent="0.25">
      <c r="B36">
        <f t="shared" ca="1" si="0"/>
        <v>800</v>
      </c>
      <c r="C36">
        <f t="shared" ca="1" si="1"/>
        <v>4</v>
      </c>
      <c r="D36">
        <f t="shared" ca="1" si="2"/>
        <v>6.1284830583234751E-2</v>
      </c>
      <c r="F36" s="1">
        <f t="shared" ca="1" si="3"/>
        <v>11</v>
      </c>
      <c r="G36" s="1">
        <f t="shared" ca="1" si="4"/>
        <v>15</v>
      </c>
      <c r="H36" s="1">
        <f t="shared" ca="1" si="5"/>
        <v>1</v>
      </c>
      <c r="I36" s="1"/>
      <c r="J36" s="1">
        <f t="shared" ca="1" si="6"/>
        <v>4</v>
      </c>
      <c r="K36" s="1">
        <f t="shared" ca="1" si="7"/>
        <v>1.175237930190977</v>
      </c>
      <c r="L36" s="1">
        <f t="shared" ca="1" si="8"/>
        <v>28</v>
      </c>
      <c r="M36" s="1"/>
      <c r="N36" s="1">
        <f t="shared" ca="1" si="9"/>
        <v>964</v>
      </c>
      <c r="O36" s="1">
        <f t="shared" ca="1" si="10"/>
        <v>45</v>
      </c>
      <c r="P36" s="1"/>
      <c r="Q36" s="1">
        <f t="shared" ca="1" si="11"/>
        <v>2.124589100943393</v>
      </c>
      <c r="R36" s="1">
        <f t="shared" ca="1" si="12"/>
        <v>678</v>
      </c>
      <c r="S36" s="1"/>
      <c r="T36" s="1">
        <f t="shared" ca="1" si="13"/>
        <v>0.16638951301421803</v>
      </c>
      <c r="U36" s="1">
        <f t="shared" ca="1" si="14"/>
        <v>243</v>
      </c>
      <c r="V36" s="1">
        <f t="shared" ca="1" si="15"/>
        <v>45</v>
      </c>
      <c r="W36" s="1"/>
      <c r="X36" s="1">
        <f t="shared" ca="1" si="16"/>
        <v>1.6596109091424849</v>
      </c>
      <c r="Y36" s="1">
        <f t="shared" ca="1" si="17"/>
        <v>0.9599668309796201</v>
      </c>
      <c r="Z36" s="1">
        <f t="shared" ca="1" si="18"/>
        <v>294</v>
      </c>
      <c r="AB36" s="1">
        <f t="shared" ca="1" si="19"/>
        <v>0.4594493245727958</v>
      </c>
      <c r="AC36" s="1">
        <f t="shared" ca="1" si="20"/>
        <v>775</v>
      </c>
      <c r="AD36" s="1">
        <f t="shared" ca="1" si="21"/>
        <v>9.6714914191653699E-3</v>
      </c>
      <c r="AE36" s="1"/>
      <c r="AF36" s="1">
        <f t="shared" ca="1" si="22"/>
        <v>0.63504492560349368</v>
      </c>
      <c r="AG36" s="1">
        <f t="shared" ca="1" si="23"/>
        <v>879</v>
      </c>
      <c r="AH36" s="1">
        <f t="shared" ca="1" si="24"/>
        <v>8.3151985021278681E-3</v>
      </c>
      <c r="AJ36" s="1">
        <f t="shared" ca="1" si="25"/>
        <v>0.48422552006573316</v>
      </c>
      <c r="AK36" s="1">
        <f t="shared" ca="1" si="26"/>
        <v>9.3452416652974359E-3</v>
      </c>
      <c r="AL36" s="1"/>
      <c r="AM36" s="1">
        <f t="shared" ca="1" si="27"/>
        <v>1.2280830296252411E-2</v>
      </c>
      <c r="AN36" s="1">
        <f t="shared" ca="1" si="28"/>
        <v>51</v>
      </c>
      <c r="AO36" s="1">
        <f t="shared" ca="1" si="29"/>
        <v>16</v>
      </c>
      <c r="AQ36" s="1">
        <f t="shared" ca="1" si="30"/>
        <v>75</v>
      </c>
      <c r="AR36" s="1">
        <f t="shared" ca="1" si="31"/>
        <v>10</v>
      </c>
      <c r="AS36" s="1">
        <f t="shared" ca="1" si="32"/>
        <v>21</v>
      </c>
      <c r="AU36" s="1">
        <f t="shared" ca="1" si="33"/>
        <v>162</v>
      </c>
      <c r="AV36" s="1">
        <f t="shared" ca="1" si="34"/>
        <v>8</v>
      </c>
      <c r="AW36" s="1">
        <f t="shared" ca="1" si="35"/>
        <v>0.10430219717489576</v>
      </c>
      <c r="AY36" s="1">
        <f t="shared" ca="1" si="36"/>
        <v>1.9345302954424355</v>
      </c>
      <c r="AZ36" s="1">
        <f t="shared" ca="1" si="37"/>
        <v>76</v>
      </c>
      <c r="BA36" s="1">
        <f t="shared" ca="1" si="38"/>
        <v>1.8730429625194772E-3</v>
      </c>
    </row>
    <row r="37" spans="2:53" x14ac:dyDescent="0.25">
      <c r="B37">
        <f t="shared" ca="1" si="0"/>
        <v>642</v>
      </c>
      <c r="C37">
        <f t="shared" ca="1" si="1"/>
        <v>32</v>
      </c>
      <c r="D37">
        <f t="shared" ca="1" si="2"/>
        <v>0.26861991505646665</v>
      </c>
      <c r="F37" s="1">
        <f t="shared" ca="1" si="3"/>
        <v>34</v>
      </c>
      <c r="G37" s="1">
        <f t="shared" ca="1" si="4"/>
        <v>20</v>
      </c>
      <c r="H37" s="1">
        <f t="shared" ca="1" si="5"/>
        <v>5</v>
      </c>
      <c r="I37" s="1"/>
      <c r="J37" s="1">
        <f t="shared" ca="1" si="6"/>
        <v>13</v>
      </c>
      <c r="K37" s="1">
        <f t="shared" ca="1" si="7"/>
        <v>1.9016259514073932</v>
      </c>
      <c r="L37" s="1">
        <f t="shared" ca="1" si="8"/>
        <v>34</v>
      </c>
      <c r="M37" s="1"/>
      <c r="N37" s="1">
        <f t="shared" ca="1" si="9"/>
        <v>55</v>
      </c>
      <c r="O37" s="1">
        <f t="shared" ca="1" si="10"/>
        <v>36</v>
      </c>
      <c r="P37" s="1"/>
      <c r="Q37" s="1">
        <f t="shared" ca="1" si="11"/>
        <v>4.9107026996843324</v>
      </c>
      <c r="R37" s="1">
        <f t="shared" ca="1" si="12"/>
        <v>1163</v>
      </c>
      <c r="S37" s="1"/>
      <c r="T37" s="1">
        <f t="shared" ca="1" si="13"/>
        <v>4.964849711989415E-2</v>
      </c>
      <c r="U37" s="1">
        <f t="shared" ca="1" si="14"/>
        <v>83</v>
      </c>
      <c r="V37" s="1">
        <f t="shared" ca="1" si="15"/>
        <v>34</v>
      </c>
      <c r="W37" s="1"/>
      <c r="X37" s="1">
        <f t="shared" ca="1" si="16"/>
        <v>3.4453428322071202</v>
      </c>
      <c r="Y37" s="1">
        <f t="shared" ca="1" si="17"/>
        <v>0.93142272038802587</v>
      </c>
      <c r="Z37" s="1">
        <f t="shared" ca="1" si="18"/>
        <v>935</v>
      </c>
      <c r="AB37" s="1">
        <f t="shared" ca="1" si="19"/>
        <v>0.82513052995766789</v>
      </c>
      <c r="AC37" s="1">
        <f t="shared" ca="1" si="20"/>
        <v>857</v>
      </c>
      <c r="AD37" s="1">
        <f t="shared" ca="1" si="21"/>
        <v>8.7867628511210868E-3</v>
      </c>
      <c r="AE37" s="1"/>
      <c r="AF37" s="1">
        <f t="shared" ca="1" si="22"/>
        <v>0.25018624464027983</v>
      </c>
      <c r="AG37" s="1">
        <f t="shared" ca="1" si="23"/>
        <v>235</v>
      </c>
      <c r="AH37" s="1">
        <f t="shared" ca="1" si="24"/>
        <v>4.2438359463790667E-3</v>
      </c>
      <c r="AJ37" s="1">
        <f t="shared" ca="1" si="25"/>
        <v>0.17985269868735287</v>
      </c>
      <c r="AK37" s="1">
        <f t="shared" ca="1" si="26"/>
        <v>6.7410460697065926E-3</v>
      </c>
      <c r="AL37" s="1"/>
      <c r="AM37" s="1">
        <f t="shared" ca="1" si="27"/>
        <v>0.12420972343811604</v>
      </c>
      <c r="AN37" s="1">
        <f t="shared" ca="1" si="28"/>
        <v>15</v>
      </c>
      <c r="AO37" s="1">
        <f t="shared" ca="1" si="29"/>
        <v>19</v>
      </c>
      <c r="AQ37" s="1">
        <f t="shared" ca="1" si="30"/>
        <v>28</v>
      </c>
      <c r="AR37" s="1">
        <f t="shared" ca="1" si="31"/>
        <v>8</v>
      </c>
      <c r="AS37" s="1">
        <f t="shared" ca="1" si="32"/>
        <v>64</v>
      </c>
      <c r="AU37" s="1">
        <f t="shared" ca="1" si="33"/>
        <v>58</v>
      </c>
      <c r="AV37" s="1">
        <f t="shared" ca="1" si="34"/>
        <v>8</v>
      </c>
      <c r="AW37" s="1">
        <f t="shared" ca="1" si="35"/>
        <v>0.18594535980358037</v>
      </c>
      <c r="AY37" s="1">
        <f t="shared" ca="1" si="36"/>
        <v>1.1711519576926608</v>
      </c>
      <c r="AZ37" s="1">
        <f t="shared" ca="1" si="37"/>
        <v>55</v>
      </c>
      <c r="BA37" s="1">
        <f t="shared" ca="1" si="38"/>
        <v>9.0014532970885339E-3</v>
      </c>
    </row>
    <row r="38" spans="2:53" x14ac:dyDescent="0.25">
      <c r="B38">
        <f t="shared" ca="1" si="0"/>
        <v>521</v>
      </c>
      <c r="C38">
        <f t="shared" ca="1" si="1"/>
        <v>27</v>
      </c>
      <c r="D38">
        <f t="shared" ca="1" si="2"/>
        <v>0.23493780328359101</v>
      </c>
      <c r="F38" s="1">
        <f t="shared" ca="1" si="3"/>
        <v>27</v>
      </c>
      <c r="G38" s="1">
        <f t="shared" ca="1" si="4"/>
        <v>5</v>
      </c>
      <c r="H38" s="1">
        <f t="shared" ca="1" si="5"/>
        <v>13</v>
      </c>
      <c r="I38" s="1"/>
      <c r="J38" s="1">
        <f t="shared" ca="1" si="6"/>
        <v>5</v>
      </c>
      <c r="K38" s="1">
        <f t="shared" ca="1" si="7"/>
        <v>1.5924875506213361</v>
      </c>
      <c r="L38" s="1">
        <f t="shared" ca="1" si="8"/>
        <v>26</v>
      </c>
      <c r="M38" s="1"/>
      <c r="N38" s="1">
        <f t="shared" ca="1" si="9"/>
        <v>729</v>
      </c>
      <c r="O38" s="1">
        <f t="shared" ca="1" si="10"/>
        <v>52</v>
      </c>
      <c r="P38" s="1"/>
      <c r="Q38" s="1">
        <f t="shared" ca="1" si="11"/>
        <v>1.0906319682161387</v>
      </c>
      <c r="R38" s="1">
        <f t="shared" ca="1" si="12"/>
        <v>851</v>
      </c>
      <c r="S38" s="1"/>
      <c r="T38" s="1">
        <f t="shared" ca="1" si="13"/>
        <v>6.3261445566191815E-2</v>
      </c>
      <c r="U38" s="1">
        <f t="shared" ca="1" si="14"/>
        <v>236</v>
      </c>
      <c r="V38" s="1">
        <f t="shared" ca="1" si="15"/>
        <v>10</v>
      </c>
      <c r="W38" s="1"/>
      <c r="X38" s="1">
        <f t="shared" ca="1" si="16"/>
        <v>2.3020173936167243</v>
      </c>
      <c r="Y38" s="1">
        <f t="shared" ca="1" si="17"/>
        <v>0.67905329902067746</v>
      </c>
      <c r="Z38" s="1">
        <f t="shared" ca="1" si="18"/>
        <v>520</v>
      </c>
      <c r="AB38" s="1">
        <f t="shared" ca="1" si="19"/>
        <v>0.37875735936330296</v>
      </c>
      <c r="AC38" s="1">
        <f t="shared" ca="1" si="20"/>
        <v>657</v>
      </c>
      <c r="AD38" s="1">
        <f t="shared" ca="1" si="21"/>
        <v>3.0134391676031979E-3</v>
      </c>
      <c r="AE38" s="1"/>
      <c r="AF38" s="1">
        <f t="shared" ca="1" si="22"/>
        <v>0.82971371707854191</v>
      </c>
      <c r="AG38" s="1">
        <f t="shared" ca="1" si="23"/>
        <v>497</v>
      </c>
      <c r="AH38" s="1">
        <f t="shared" ca="1" si="24"/>
        <v>3.3767093001514994E-3</v>
      </c>
      <c r="AJ38" s="1">
        <f t="shared" ca="1" si="25"/>
        <v>0.53496538935449833</v>
      </c>
      <c r="AK38" s="1">
        <f t="shared" ca="1" si="26"/>
        <v>1.5842497094680419E-3</v>
      </c>
      <c r="AL38" s="1"/>
      <c r="AM38" s="1">
        <f t="shared" ca="1" si="27"/>
        <v>0.17127079756667368</v>
      </c>
      <c r="AN38" s="1">
        <f t="shared" ca="1" si="28"/>
        <v>27</v>
      </c>
      <c r="AO38" s="1">
        <f t="shared" ca="1" si="29"/>
        <v>14</v>
      </c>
      <c r="AQ38" s="1">
        <f t="shared" ca="1" si="30"/>
        <v>35</v>
      </c>
      <c r="AR38" s="1">
        <f t="shared" ca="1" si="31"/>
        <v>4</v>
      </c>
      <c r="AS38" s="1">
        <f t="shared" ca="1" si="32"/>
        <v>21</v>
      </c>
      <c r="AU38" s="1">
        <f t="shared" ca="1" si="33"/>
        <v>335</v>
      </c>
      <c r="AV38" s="1">
        <f t="shared" ca="1" si="34"/>
        <v>10</v>
      </c>
      <c r="AW38" s="1">
        <f t="shared" ca="1" si="35"/>
        <v>0.13258468805418558</v>
      </c>
      <c r="AY38" s="1">
        <f t="shared" ca="1" si="36"/>
        <v>1.6253561631284539</v>
      </c>
      <c r="AZ38" s="1">
        <f t="shared" ca="1" si="37"/>
        <v>114</v>
      </c>
      <c r="BA38" s="1">
        <f t="shared" ca="1" si="38"/>
        <v>4.613023964345063E-3</v>
      </c>
    </row>
    <row r="39" spans="2:53" x14ac:dyDescent="0.25">
      <c r="B39">
        <f t="shared" ca="1" si="0"/>
        <v>734</v>
      </c>
      <c r="C39">
        <f t="shared" ca="1" si="1"/>
        <v>22</v>
      </c>
      <c r="D39">
        <f t="shared" ca="1" si="2"/>
        <v>5.553202854663828E-2</v>
      </c>
      <c r="F39" s="1">
        <f t="shared" ca="1" si="3"/>
        <v>48</v>
      </c>
      <c r="G39" s="1">
        <f t="shared" ca="1" si="4"/>
        <v>19</v>
      </c>
      <c r="H39" s="1">
        <f t="shared" ca="1" si="5"/>
        <v>5</v>
      </c>
      <c r="I39" s="1"/>
      <c r="J39" s="1">
        <f t="shared" ca="1" si="6"/>
        <v>13</v>
      </c>
      <c r="K39" s="1">
        <f t="shared" ca="1" si="7"/>
        <v>2.7962354413574491</v>
      </c>
      <c r="L39" s="1">
        <f t="shared" ca="1" si="8"/>
        <v>10</v>
      </c>
      <c r="M39" s="1"/>
      <c r="N39" s="1">
        <f t="shared" ca="1" si="9"/>
        <v>224</v>
      </c>
      <c r="O39" s="1">
        <f t="shared" ca="1" si="10"/>
        <v>8</v>
      </c>
      <c r="P39" s="1"/>
      <c r="Q39" s="1">
        <f t="shared" ca="1" si="11"/>
        <v>2.1227390555109129</v>
      </c>
      <c r="R39" s="1">
        <f t="shared" ca="1" si="12"/>
        <v>1136</v>
      </c>
      <c r="S39" s="1"/>
      <c r="T39" s="1">
        <f t="shared" ca="1" si="13"/>
        <v>5.9691240468734821E-2</v>
      </c>
      <c r="U39" s="1">
        <f t="shared" ca="1" si="14"/>
        <v>352</v>
      </c>
      <c r="V39" s="1">
        <f t="shared" ca="1" si="15"/>
        <v>34</v>
      </c>
      <c r="W39" s="1"/>
      <c r="X39" s="1">
        <f t="shared" ca="1" si="16"/>
        <v>3.5174041545009311</v>
      </c>
      <c r="Y39" s="1">
        <f t="shared" ca="1" si="17"/>
        <v>0.46862417468265877</v>
      </c>
      <c r="Z39" s="1">
        <f t="shared" ca="1" si="18"/>
        <v>1186</v>
      </c>
      <c r="AB39" s="1">
        <f t="shared" ca="1" si="19"/>
        <v>6.347169703263684E-3</v>
      </c>
      <c r="AC39" s="1">
        <f t="shared" ca="1" si="20"/>
        <v>708</v>
      </c>
      <c r="AD39" s="1">
        <f t="shared" ca="1" si="21"/>
        <v>5.2405838827899931E-3</v>
      </c>
      <c r="AE39" s="1"/>
      <c r="AF39" s="1">
        <f t="shared" ca="1" si="22"/>
        <v>0.15520297978638561</v>
      </c>
      <c r="AG39" s="1">
        <f t="shared" ca="1" si="23"/>
        <v>112</v>
      </c>
      <c r="AH39" s="1">
        <f t="shared" ca="1" si="24"/>
        <v>2.4465284323327923E-3</v>
      </c>
      <c r="AJ39" s="1">
        <f t="shared" ca="1" si="25"/>
        <v>0.39552942853881279</v>
      </c>
      <c r="AK39" s="1">
        <f t="shared" ca="1" si="26"/>
        <v>7.9990704242593174E-3</v>
      </c>
      <c r="AL39" s="1"/>
      <c r="AM39" s="1">
        <f t="shared" ca="1" si="27"/>
        <v>0.13584733508277552</v>
      </c>
      <c r="AN39" s="1">
        <f t="shared" ca="1" si="28"/>
        <v>37</v>
      </c>
      <c r="AO39" s="1">
        <f t="shared" ca="1" si="29"/>
        <v>12</v>
      </c>
      <c r="AQ39" s="1">
        <f t="shared" ca="1" si="30"/>
        <v>169</v>
      </c>
      <c r="AR39" s="1">
        <f t="shared" ca="1" si="31"/>
        <v>7</v>
      </c>
      <c r="AS39" s="1">
        <f t="shared" ca="1" si="32"/>
        <v>80</v>
      </c>
      <c r="AU39" s="1">
        <f t="shared" ca="1" si="33"/>
        <v>372</v>
      </c>
      <c r="AV39" s="1">
        <f t="shared" ca="1" si="34"/>
        <v>7</v>
      </c>
      <c r="AW39" s="1">
        <f t="shared" ca="1" si="35"/>
        <v>0.14468436563823237</v>
      </c>
      <c r="AY39" s="1">
        <f t="shared" ca="1" si="36"/>
        <v>1.9218929007683521</v>
      </c>
      <c r="AZ39" s="1">
        <f t="shared" ca="1" si="37"/>
        <v>308</v>
      </c>
      <c r="BA39" s="1">
        <f t="shared" ca="1" si="38"/>
        <v>7.4371707577510632E-3</v>
      </c>
    </row>
    <row r="40" spans="2:53" x14ac:dyDescent="0.25">
      <c r="B40">
        <f t="shared" ca="1" si="0"/>
        <v>360</v>
      </c>
      <c r="C40">
        <f t="shared" ca="1" si="1"/>
        <v>36</v>
      </c>
      <c r="D40">
        <f t="shared" ca="1" si="2"/>
        <v>0.16762107172899574</v>
      </c>
      <c r="F40" s="1">
        <f t="shared" ca="1" si="3"/>
        <v>17</v>
      </c>
      <c r="G40" s="1">
        <f t="shared" ca="1" si="4"/>
        <v>20</v>
      </c>
      <c r="H40" s="1">
        <f t="shared" ca="1" si="5"/>
        <v>8</v>
      </c>
      <c r="I40" s="1"/>
      <c r="J40" s="1">
        <f t="shared" ca="1" si="6"/>
        <v>11</v>
      </c>
      <c r="K40" s="1">
        <f t="shared" ca="1" si="7"/>
        <v>1.9555628368173532</v>
      </c>
      <c r="L40" s="1">
        <f t="shared" ca="1" si="8"/>
        <v>27</v>
      </c>
      <c r="M40" s="1"/>
      <c r="N40" s="1">
        <f t="shared" ca="1" si="9"/>
        <v>291</v>
      </c>
      <c r="O40" s="1">
        <f t="shared" ca="1" si="10"/>
        <v>29</v>
      </c>
      <c r="P40" s="1"/>
      <c r="Q40" s="1">
        <f t="shared" ca="1" si="11"/>
        <v>1.1467473750555266</v>
      </c>
      <c r="R40" s="1">
        <f t="shared" ca="1" si="12"/>
        <v>582</v>
      </c>
      <c r="S40" s="1"/>
      <c r="T40" s="1">
        <f t="shared" ca="1" si="13"/>
        <v>9.6799551717023521E-2</v>
      </c>
      <c r="U40" s="1">
        <f t="shared" ca="1" si="14"/>
        <v>375</v>
      </c>
      <c r="V40" s="1">
        <f t="shared" ca="1" si="15"/>
        <v>3</v>
      </c>
      <c r="W40" s="1"/>
      <c r="X40" s="1">
        <f t="shared" ca="1" si="16"/>
        <v>8.9278461967416671</v>
      </c>
      <c r="Y40" s="1">
        <f t="shared" ca="1" si="17"/>
        <v>0.71062613586572299</v>
      </c>
      <c r="Z40" s="1">
        <f t="shared" ca="1" si="18"/>
        <v>984</v>
      </c>
      <c r="AB40" s="1">
        <f t="shared" ca="1" si="19"/>
        <v>0.49265470321409549</v>
      </c>
      <c r="AC40" s="1">
        <f t="shared" ca="1" si="20"/>
        <v>848</v>
      </c>
      <c r="AD40" s="1">
        <f t="shared" ca="1" si="21"/>
        <v>8.0739357306991184E-3</v>
      </c>
      <c r="AE40" s="1"/>
      <c r="AF40" s="1">
        <f t="shared" ca="1" si="22"/>
        <v>0.58092716569260383</v>
      </c>
      <c r="AG40" s="1">
        <f t="shared" ca="1" si="23"/>
        <v>1000</v>
      </c>
      <c r="AH40" s="1">
        <f t="shared" ca="1" si="24"/>
        <v>3.5689721604416743E-4</v>
      </c>
      <c r="AJ40" s="1">
        <f t="shared" ca="1" si="25"/>
        <v>0.55337987421245904</v>
      </c>
      <c r="AK40" s="1">
        <f t="shared" ca="1" si="26"/>
        <v>1.1765880297935375E-3</v>
      </c>
      <c r="AL40" s="1"/>
      <c r="AM40" s="1">
        <f t="shared" ca="1" si="27"/>
        <v>0.13476143683078487</v>
      </c>
      <c r="AN40" s="1">
        <f t="shared" ca="1" si="28"/>
        <v>69</v>
      </c>
      <c r="AO40" s="1">
        <f t="shared" ca="1" si="29"/>
        <v>9</v>
      </c>
      <c r="AQ40" s="1">
        <f t="shared" ca="1" si="30"/>
        <v>156</v>
      </c>
      <c r="AR40" s="1">
        <f t="shared" ca="1" si="31"/>
        <v>6</v>
      </c>
      <c r="AS40" s="1">
        <f t="shared" ca="1" si="32"/>
        <v>98</v>
      </c>
      <c r="AU40" s="1">
        <f t="shared" ca="1" si="33"/>
        <v>124</v>
      </c>
      <c r="AV40" s="1">
        <f t="shared" ca="1" si="34"/>
        <v>6</v>
      </c>
      <c r="AW40" s="1">
        <f t="shared" ca="1" si="35"/>
        <v>4.782682861580078E-2</v>
      </c>
      <c r="AY40" s="1">
        <f t="shared" ca="1" si="36"/>
        <v>1.4495864900334967</v>
      </c>
      <c r="AZ40" s="1">
        <f t="shared" ca="1" si="37"/>
        <v>84</v>
      </c>
      <c r="BA40" s="1">
        <f t="shared" ca="1" si="38"/>
        <v>9.9087208291293721E-3</v>
      </c>
    </row>
    <row r="41" spans="2:53" x14ac:dyDescent="0.25">
      <c r="B41">
        <f t="shared" ca="1" si="0"/>
        <v>897</v>
      </c>
      <c r="C41">
        <f t="shared" ca="1" si="1"/>
        <v>44</v>
      </c>
      <c r="D41">
        <f t="shared" ca="1" si="2"/>
        <v>3.0724515367880206E-2</v>
      </c>
      <c r="F41" s="1">
        <f t="shared" ca="1" si="3"/>
        <v>41</v>
      </c>
      <c r="G41" s="1">
        <f t="shared" ca="1" si="4"/>
        <v>2</v>
      </c>
      <c r="H41" s="1">
        <f t="shared" ca="1" si="5"/>
        <v>14</v>
      </c>
      <c r="I41" s="1"/>
      <c r="J41" s="1">
        <f t="shared" ca="1" si="6"/>
        <v>20</v>
      </c>
      <c r="K41" s="1">
        <f t="shared" ca="1" si="7"/>
        <v>2.3849152964436078</v>
      </c>
      <c r="L41" s="1">
        <f t="shared" ca="1" si="8"/>
        <v>10</v>
      </c>
      <c r="M41" s="1"/>
      <c r="N41" s="1">
        <f t="shared" ca="1" si="9"/>
        <v>555</v>
      </c>
      <c r="O41" s="1">
        <f t="shared" ca="1" si="10"/>
        <v>25</v>
      </c>
      <c r="P41" s="1"/>
      <c r="Q41" s="1">
        <f t="shared" ca="1" si="11"/>
        <v>4.6099642926354836</v>
      </c>
      <c r="R41" s="1">
        <f t="shared" ca="1" si="12"/>
        <v>465</v>
      </c>
      <c r="S41" s="1"/>
      <c r="T41" s="1">
        <f t="shared" ca="1" si="13"/>
        <v>0.12877275026302507</v>
      </c>
      <c r="U41" s="1">
        <f t="shared" ca="1" si="14"/>
        <v>138</v>
      </c>
      <c r="V41" s="1">
        <f t="shared" ca="1" si="15"/>
        <v>25</v>
      </c>
      <c r="W41" s="1"/>
      <c r="X41" s="1">
        <f t="shared" ca="1" si="16"/>
        <v>0.8765649910463319</v>
      </c>
      <c r="Y41" s="1">
        <f t="shared" ca="1" si="17"/>
        <v>0.60034942337100572</v>
      </c>
      <c r="Z41" s="1">
        <f t="shared" ca="1" si="18"/>
        <v>1204</v>
      </c>
      <c r="AB41" s="1">
        <f t="shared" ca="1" si="19"/>
        <v>0.81191532609085437</v>
      </c>
      <c r="AC41" s="1">
        <f t="shared" ca="1" si="20"/>
        <v>736</v>
      </c>
      <c r="AD41" s="1">
        <f t="shared" ca="1" si="21"/>
        <v>5.0552983681732269E-3</v>
      </c>
      <c r="AE41" s="1"/>
      <c r="AF41" s="1">
        <f t="shared" ca="1" si="22"/>
        <v>0.73847521134726135</v>
      </c>
      <c r="AG41" s="1">
        <f t="shared" ca="1" si="23"/>
        <v>259</v>
      </c>
      <c r="AH41" s="1">
        <f t="shared" ca="1" si="24"/>
        <v>2.9664104463929409E-3</v>
      </c>
      <c r="AJ41" s="1">
        <f t="shared" ca="1" si="25"/>
        <v>0.10267001627678696</v>
      </c>
      <c r="AK41" s="1">
        <f t="shared" ca="1" si="26"/>
        <v>4.5467638410980797E-3</v>
      </c>
      <c r="AL41" s="1"/>
      <c r="AM41" s="1">
        <f t="shared" ca="1" si="27"/>
        <v>0.16007474237147692</v>
      </c>
      <c r="AN41" s="1">
        <f t="shared" ca="1" si="28"/>
        <v>49</v>
      </c>
      <c r="AO41" s="1">
        <f t="shared" ca="1" si="29"/>
        <v>1</v>
      </c>
      <c r="AQ41" s="1">
        <f t="shared" ca="1" si="30"/>
        <v>177</v>
      </c>
      <c r="AR41" s="1">
        <f t="shared" ca="1" si="31"/>
        <v>5</v>
      </c>
      <c r="AS41" s="1">
        <f t="shared" ca="1" si="32"/>
        <v>56</v>
      </c>
      <c r="AU41" s="1">
        <f t="shared" ca="1" si="33"/>
        <v>86</v>
      </c>
      <c r="AV41" s="1">
        <f t="shared" ca="1" si="34"/>
        <v>8</v>
      </c>
      <c r="AW41" s="1">
        <f t="shared" ca="1" si="35"/>
        <v>0.16076603603200246</v>
      </c>
      <c r="AY41" s="1">
        <f t="shared" ca="1" si="36"/>
        <v>1.6820657098356533</v>
      </c>
      <c r="AZ41" s="1">
        <f t="shared" ca="1" si="37"/>
        <v>453</v>
      </c>
      <c r="BA41" s="1">
        <f t="shared" ca="1" si="38"/>
        <v>1.4651192608624664E-3</v>
      </c>
    </row>
    <row r="42" spans="2:53" x14ac:dyDescent="0.25">
      <c r="B42">
        <f t="shared" ca="1" si="0"/>
        <v>567</v>
      </c>
      <c r="C42">
        <f t="shared" ca="1" si="1"/>
        <v>7</v>
      </c>
      <c r="D42">
        <f t="shared" ca="1" si="2"/>
        <v>0.11833444800870008</v>
      </c>
      <c r="F42" s="1">
        <f t="shared" ca="1" si="3"/>
        <v>49</v>
      </c>
      <c r="G42" s="1">
        <f t="shared" ca="1" si="4"/>
        <v>16</v>
      </c>
      <c r="H42" s="1">
        <f t="shared" ca="1" si="5"/>
        <v>4</v>
      </c>
      <c r="I42" s="1"/>
      <c r="J42" s="1">
        <f t="shared" ca="1" si="6"/>
        <v>2</v>
      </c>
      <c r="K42" s="1">
        <f t="shared" ca="1" si="7"/>
        <v>2.3110260245849634</v>
      </c>
      <c r="L42" s="1">
        <f t="shared" ca="1" si="8"/>
        <v>22</v>
      </c>
      <c r="M42" s="1"/>
      <c r="N42" s="1">
        <f t="shared" ca="1" si="9"/>
        <v>97</v>
      </c>
      <c r="O42" s="1">
        <f t="shared" ca="1" si="10"/>
        <v>6</v>
      </c>
      <c r="P42" s="1"/>
      <c r="Q42" s="1">
        <f t="shared" ca="1" si="11"/>
        <v>3.0511414486737491</v>
      </c>
      <c r="R42" s="1">
        <f t="shared" ca="1" si="12"/>
        <v>843</v>
      </c>
      <c r="S42" s="1"/>
      <c r="T42" s="1">
        <f t="shared" ca="1" si="13"/>
        <v>2.1702951770355298E-2</v>
      </c>
      <c r="U42" s="1">
        <f t="shared" ca="1" si="14"/>
        <v>441</v>
      </c>
      <c r="V42" s="1">
        <f t="shared" ca="1" si="15"/>
        <v>39</v>
      </c>
      <c r="W42" s="1"/>
      <c r="X42" s="1">
        <f t="shared" ca="1" si="16"/>
        <v>1.7161288097826504</v>
      </c>
      <c r="Y42" s="1">
        <f t="shared" ca="1" si="17"/>
        <v>0.92572548229452623</v>
      </c>
      <c r="Z42" s="1">
        <f t="shared" ca="1" si="18"/>
        <v>1501</v>
      </c>
      <c r="AB42" s="1">
        <f t="shared" ca="1" si="19"/>
        <v>0.1219607013041512</v>
      </c>
      <c r="AC42" s="1">
        <f t="shared" ca="1" si="20"/>
        <v>500</v>
      </c>
      <c r="AD42" s="1">
        <f t="shared" ca="1" si="21"/>
        <v>4.7332402948012074E-3</v>
      </c>
      <c r="AE42" s="1"/>
      <c r="AF42" s="1">
        <f t="shared" ca="1" si="22"/>
        <v>0.22866849398627204</v>
      </c>
      <c r="AG42" s="1">
        <f t="shared" ca="1" si="23"/>
        <v>913</v>
      </c>
      <c r="AH42" s="1">
        <f t="shared" ca="1" si="24"/>
        <v>5.8200036171063155E-4</v>
      </c>
      <c r="AJ42" s="1">
        <f t="shared" ca="1" si="25"/>
        <v>0.80186442964168081</v>
      </c>
      <c r="AK42" s="1">
        <f t="shared" ca="1" si="26"/>
        <v>8.7418002044923043E-3</v>
      </c>
      <c r="AL42" s="1"/>
      <c r="AM42" s="1">
        <f t="shared" ca="1" si="27"/>
        <v>0.18677178645146061</v>
      </c>
      <c r="AN42" s="1">
        <f t="shared" ca="1" si="28"/>
        <v>21</v>
      </c>
      <c r="AO42" s="1">
        <f t="shared" ca="1" si="29"/>
        <v>8</v>
      </c>
      <c r="AQ42" s="1">
        <f t="shared" ca="1" si="30"/>
        <v>157</v>
      </c>
      <c r="AR42" s="1">
        <f t="shared" ca="1" si="31"/>
        <v>9</v>
      </c>
      <c r="AS42" s="1">
        <f t="shared" ca="1" si="32"/>
        <v>16</v>
      </c>
      <c r="AU42" s="1">
        <f t="shared" ca="1" si="33"/>
        <v>337</v>
      </c>
      <c r="AV42" s="1">
        <f t="shared" ca="1" si="34"/>
        <v>5</v>
      </c>
      <c r="AW42" s="1">
        <f t="shared" ca="1" si="35"/>
        <v>9.3983682484224423E-2</v>
      </c>
      <c r="AY42" s="1">
        <f t="shared" ca="1" si="36"/>
        <v>1.9181894211047132</v>
      </c>
      <c r="AZ42" s="1">
        <f t="shared" ca="1" si="37"/>
        <v>96</v>
      </c>
      <c r="BA42" s="1">
        <f t="shared" ca="1" si="38"/>
        <v>8.9709223034651932E-3</v>
      </c>
    </row>
    <row r="43" spans="2:53" x14ac:dyDescent="0.25">
      <c r="B43">
        <f t="shared" ca="1" si="0"/>
        <v>24</v>
      </c>
      <c r="C43">
        <f t="shared" ca="1" si="1"/>
        <v>45</v>
      </c>
      <c r="D43">
        <f t="shared" ca="1" si="2"/>
        <v>0.14522937792525631</v>
      </c>
      <c r="F43" s="1">
        <f t="shared" ca="1" si="3"/>
        <v>35</v>
      </c>
      <c r="G43" s="1">
        <f t="shared" ca="1" si="4"/>
        <v>25</v>
      </c>
      <c r="H43" s="1">
        <f t="shared" ca="1" si="5"/>
        <v>8</v>
      </c>
      <c r="I43" s="1"/>
      <c r="J43" s="1">
        <f t="shared" ca="1" si="6"/>
        <v>35</v>
      </c>
      <c r="K43" s="1">
        <f t="shared" ca="1" si="7"/>
        <v>1.2702728562981731</v>
      </c>
      <c r="L43" s="1">
        <f t="shared" ca="1" si="8"/>
        <v>16</v>
      </c>
      <c r="M43" s="1"/>
      <c r="N43" s="1">
        <f t="shared" ca="1" si="9"/>
        <v>992</v>
      </c>
      <c r="O43" s="1">
        <f t="shared" ca="1" si="10"/>
        <v>12</v>
      </c>
      <c r="P43" s="1"/>
      <c r="Q43" s="1">
        <f t="shared" ca="1" si="11"/>
        <v>2.9288043129339383</v>
      </c>
      <c r="R43" s="1">
        <f t="shared" ca="1" si="12"/>
        <v>429</v>
      </c>
      <c r="S43" s="1"/>
      <c r="T43" s="1">
        <f t="shared" ca="1" si="13"/>
        <v>0.10543282908416118</v>
      </c>
      <c r="U43" s="1">
        <f t="shared" ca="1" si="14"/>
        <v>352</v>
      </c>
      <c r="V43" s="1">
        <f t="shared" ca="1" si="15"/>
        <v>10</v>
      </c>
      <c r="W43" s="1"/>
      <c r="X43" s="1">
        <f t="shared" ca="1" si="16"/>
        <v>3.1128037331784935</v>
      </c>
      <c r="Y43" s="1">
        <f t="shared" ca="1" si="17"/>
        <v>4.0835975300866426E-2</v>
      </c>
      <c r="Z43" s="1">
        <f t="shared" ca="1" si="18"/>
        <v>293</v>
      </c>
      <c r="AB43" s="1">
        <f t="shared" ca="1" si="19"/>
        <v>0.15137446569763985</v>
      </c>
      <c r="AC43" s="1">
        <f t="shared" ca="1" si="20"/>
        <v>371</v>
      </c>
      <c r="AD43" s="1">
        <f t="shared" ca="1" si="21"/>
        <v>9.0139299681792455E-3</v>
      </c>
      <c r="AE43" s="1"/>
      <c r="AF43" s="1">
        <f t="shared" ca="1" si="22"/>
        <v>0.53454339369543324</v>
      </c>
      <c r="AG43" s="1">
        <f t="shared" ca="1" si="23"/>
        <v>309</v>
      </c>
      <c r="AH43" s="1">
        <f t="shared" ca="1" si="24"/>
        <v>3.7901741879198254E-3</v>
      </c>
      <c r="AJ43" s="1">
        <f t="shared" ca="1" si="25"/>
        <v>0.71232629968272521</v>
      </c>
      <c r="AK43" s="1">
        <f t="shared" ca="1" si="26"/>
        <v>5.433057359976649E-3</v>
      </c>
      <c r="AL43" s="1"/>
      <c r="AM43" s="1">
        <f t="shared" ca="1" si="27"/>
        <v>0.1356585371828955</v>
      </c>
      <c r="AN43" s="1">
        <f t="shared" ca="1" si="28"/>
        <v>17</v>
      </c>
      <c r="AO43" s="1">
        <f t="shared" ca="1" si="29"/>
        <v>2</v>
      </c>
      <c r="AQ43" s="1">
        <f t="shared" ca="1" si="30"/>
        <v>89</v>
      </c>
      <c r="AR43" s="1">
        <f t="shared" ca="1" si="31"/>
        <v>2</v>
      </c>
      <c r="AS43" s="1">
        <f t="shared" ca="1" si="32"/>
        <v>7</v>
      </c>
      <c r="AU43" s="1">
        <f t="shared" ca="1" si="33"/>
        <v>100</v>
      </c>
      <c r="AV43" s="1">
        <f t="shared" ca="1" si="34"/>
        <v>7</v>
      </c>
      <c r="AW43" s="1">
        <f t="shared" ca="1" si="35"/>
        <v>0.14508485120402265</v>
      </c>
      <c r="AY43" s="1">
        <f t="shared" ca="1" si="36"/>
        <v>1.7868738202015666</v>
      </c>
      <c r="AZ43" s="1">
        <f t="shared" ca="1" si="37"/>
        <v>311</v>
      </c>
      <c r="BA43" s="1">
        <f t="shared" ca="1" si="38"/>
        <v>6.9182747650951152E-3</v>
      </c>
    </row>
    <row r="44" spans="2:53" x14ac:dyDescent="0.25">
      <c r="B44">
        <f t="shared" ca="1" si="0"/>
        <v>337</v>
      </c>
      <c r="C44">
        <f t="shared" ca="1" si="1"/>
        <v>27</v>
      </c>
      <c r="D44">
        <f t="shared" ca="1" si="2"/>
        <v>0.25442409004129907</v>
      </c>
      <c r="F44" s="1">
        <f t="shared" ca="1" si="3"/>
        <v>2</v>
      </c>
      <c r="G44" s="1">
        <f t="shared" ca="1" si="4"/>
        <v>12</v>
      </c>
      <c r="H44" s="1">
        <f t="shared" ca="1" si="5"/>
        <v>12</v>
      </c>
      <c r="I44" s="1"/>
      <c r="J44" s="1">
        <f t="shared" ca="1" si="6"/>
        <v>9</v>
      </c>
      <c r="K44" s="1">
        <f t="shared" ca="1" si="7"/>
        <v>1.2921230595117426</v>
      </c>
      <c r="L44" s="1">
        <f t="shared" ca="1" si="8"/>
        <v>34</v>
      </c>
      <c r="M44" s="1"/>
      <c r="N44" s="1">
        <f t="shared" ca="1" si="9"/>
        <v>894</v>
      </c>
      <c r="O44" s="1">
        <f t="shared" ca="1" si="10"/>
        <v>20</v>
      </c>
      <c r="P44" s="1"/>
      <c r="Q44" s="1">
        <f t="shared" ca="1" si="11"/>
        <v>1.1848688175540683</v>
      </c>
      <c r="R44" s="1">
        <f t="shared" ca="1" si="12"/>
        <v>958</v>
      </c>
      <c r="S44" s="1"/>
      <c r="T44" s="1">
        <f t="shared" ca="1" si="13"/>
        <v>0.19059388583123138</v>
      </c>
      <c r="U44" s="1">
        <f t="shared" ca="1" si="14"/>
        <v>166</v>
      </c>
      <c r="V44" s="1">
        <f t="shared" ca="1" si="15"/>
        <v>32</v>
      </c>
      <c r="W44" s="1"/>
      <c r="X44" s="1">
        <f t="shared" ca="1" si="16"/>
        <v>6.4806706337621778</v>
      </c>
      <c r="Y44" s="1">
        <f t="shared" ca="1" si="17"/>
        <v>0.63029784673027567</v>
      </c>
      <c r="Z44" s="1">
        <f t="shared" ca="1" si="18"/>
        <v>1292</v>
      </c>
      <c r="AB44" s="1">
        <f t="shared" ca="1" si="19"/>
        <v>0.76830182515869749</v>
      </c>
      <c r="AC44" s="1">
        <f t="shared" ca="1" si="20"/>
        <v>773</v>
      </c>
      <c r="AD44" s="1">
        <f t="shared" ca="1" si="21"/>
        <v>9.7176993603965735E-3</v>
      </c>
      <c r="AE44" s="1"/>
      <c r="AF44" s="1">
        <f t="shared" ca="1" si="22"/>
        <v>0.10716862584539905</v>
      </c>
      <c r="AG44" s="1">
        <f t="shared" ca="1" si="23"/>
        <v>292</v>
      </c>
      <c r="AH44" s="1">
        <f t="shared" ca="1" si="24"/>
        <v>3.6299324169847321E-3</v>
      </c>
      <c r="AJ44" s="1">
        <f t="shared" ca="1" si="25"/>
        <v>0.90180496168951874</v>
      </c>
      <c r="AK44" s="1">
        <f t="shared" ca="1" si="26"/>
        <v>2.0133021609139803E-3</v>
      </c>
      <c r="AL44" s="1"/>
      <c r="AM44" s="1">
        <f t="shared" ca="1" si="27"/>
        <v>4.8792629057720145E-2</v>
      </c>
      <c r="AN44" s="1">
        <f t="shared" ca="1" si="28"/>
        <v>41</v>
      </c>
      <c r="AO44" s="1">
        <f t="shared" ca="1" si="29"/>
        <v>3</v>
      </c>
      <c r="AQ44" s="1">
        <f t="shared" ca="1" si="30"/>
        <v>89</v>
      </c>
      <c r="AR44" s="1">
        <f t="shared" ca="1" si="31"/>
        <v>5</v>
      </c>
      <c r="AS44" s="1">
        <f t="shared" ca="1" si="32"/>
        <v>57</v>
      </c>
      <c r="AU44" s="1">
        <f t="shared" ca="1" si="33"/>
        <v>309</v>
      </c>
      <c r="AV44" s="1">
        <f t="shared" ca="1" si="34"/>
        <v>4</v>
      </c>
      <c r="AW44" s="1">
        <f t="shared" ca="1" si="35"/>
        <v>0.1997072324750539</v>
      </c>
      <c r="AY44" s="1">
        <f t="shared" ca="1" si="36"/>
        <v>1.9641209414237402</v>
      </c>
      <c r="AZ44" s="1">
        <f t="shared" ca="1" si="37"/>
        <v>334</v>
      </c>
      <c r="BA44" s="1">
        <f t="shared" ca="1" si="38"/>
        <v>8.1403343621154669E-3</v>
      </c>
    </row>
    <row r="45" spans="2:53" x14ac:dyDescent="0.25">
      <c r="B45">
        <f t="shared" ca="1" si="0"/>
        <v>772</v>
      </c>
      <c r="C45">
        <f t="shared" ca="1" si="1"/>
        <v>4</v>
      </c>
      <c r="D45">
        <f t="shared" ca="1" si="2"/>
        <v>0.16502915510693825</v>
      </c>
      <c r="F45" s="1">
        <f t="shared" ca="1" si="3"/>
        <v>25</v>
      </c>
      <c r="G45" s="1">
        <f t="shared" ca="1" si="4"/>
        <v>8</v>
      </c>
      <c r="H45" s="1">
        <f t="shared" ca="1" si="5"/>
        <v>2</v>
      </c>
      <c r="I45" s="1"/>
      <c r="J45" s="1">
        <f t="shared" ca="1" si="6"/>
        <v>28</v>
      </c>
      <c r="K45" s="1">
        <f t="shared" ca="1" si="7"/>
        <v>1.4214885359707563</v>
      </c>
      <c r="L45" s="1">
        <f t="shared" ca="1" si="8"/>
        <v>22</v>
      </c>
      <c r="M45" s="1"/>
      <c r="N45" s="1">
        <f t="shared" ca="1" si="9"/>
        <v>374</v>
      </c>
      <c r="O45" s="1">
        <f t="shared" ca="1" si="10"/>
        <v>15</v>
      </c>
      <c r="P45" s="1"/>
      <c r="Q45" s="1">
        <f t="shared" ca="1" si="11"/>
        <v>1.0702213591524301</v>
      </c>
      <c r="R45" s="1">
        <f t="shared" ca="1" si="12"/>
        <v>789</v>
      </c>
      <c r="S45" s="1"/>
      <c r="T45" s="1">
        <f t="shared" ca="1" si="13"/>
        <v>4.7408203276130531E-2</v>
      </c>
      <c r="U45" s="1">
        <f t="shared" ca="1" si="14"/>
        <v>250</v>
      </c>
      <c r="V45" s="1">
        <f t="shared" ca="1" si="15"/>
        <v>21</v>
      </c>
      <c r="W45" s="1"/>
      <c r="X45" s="1">
        <f t="shared" ca="1" si="16"/>
        <v>4.1709804394894121</v>
      </c>
      <c r="Y45" s="1">
        <f t="shared" ca="1" si="17"/>
        <v>8.0746612018468847E-2</v>
      </c>
      <c r="Z45" s="1">
        <f t="shared" ca="1" si="18"/>
        <v>1699</v>
      </c>
      <c r="AB45" s="1">
        <f t="shared" ca="1" si="19"/>
        <v>0.63647758423570311</v>
      </c>
      <c r="AC45" s="1">
        <f t="shared" ca="1" si="20"/>
        <v>188</v>
      </c>
      <c r="AD45" s="1">
        <f t="shared" ca="1" si="21"/>
        <v>4.2919838115491552E-3</v>
      </c>
      <c r="AE45" s="1"/>
      <c r="AF45" s="1">
        <f t="shared" ca="1" si="22"/>
        <v>0.15994270763288806</v>
      </c>
      <c r="AG45" s="1">
        <f t="shared" ca="1" si="23"/>
        <v>729</v>
      </c>
      <c r="AH45" s="1">
        <f t="shared" ca="1" si="24"/>
        <v>4.0078788840331527E-4</v>
      </c>
      <c r="AJ45" s="1">
        <f t="shared" ca="1" si="25"/>
        <v>0.61012313744485935</v>
      </c>
      <c r="AK45" s="1">
        <f t="shared" ca="1" si="26"/>
        <v>3.5020738999703791E-3</v>
      </c>
      <c r="AL45" s="1"/>
      <c r="AM45" s="1">
        <f t="shared" ca="1" si="27"/>
        <v>1.4481354448563757E-2</v>
      </c>
      <c r="AN45" s="1">
        <f t="shared" ca="1" si="28"/>
        <v>64</v>
      </c>
      <c r="AO45" s="1">
        <f t="shared" ca="1" si="29"/>
        <v>16</v>
      </c>
      <c r="AQ45" s="1">
        <f t="shared" ca="1" si="30"/>
        <v>172</v>
      </c>
      <c r="AR45" s="1">
        <f t="shared" ca="1" si="31"/>
        <v>3</v>
      </c>
      <c r="AS45" s="1">
        <f t="shared" ca="1" si="32"/>
        <v>37</v>
      </c>
      <c r="AU45" s="1">
        <f t="shared" ca="1" si="33"/>
        <v>218</v>
      </c>
      <c r="AV45" s="1">
        <f t="shared" ca="1" si="34"/>
        <v>10</v>
      </c>
      <c r="AW45" s="1">
        <f t="shared" ca="1" si="35"/>
        <v>0.10924277882991508</v>
      </c>
      <c r="AY45" s="1">
        <f t="shared" ca="1" si="36"/>
        <v>1.9294155601555798</v>
      </c>
      <c r="AZ45" s="1">
        <f t="shared" ca="1" si="37"/>
        <v>148</v>
      </c>
      <c r="BA45" s="1">
        <f t="shared" ca="1" si="38"/>
        <v>6.1218973716502629E-3</v>
      </c>
    </row>
    <row r="46" spans="2:53" x14ac:dyDescent="0.25">
      <c r="B46">
        <f t="shared" ca="1" si="0"/>
        <v>942</v>
      </c>
      <c r="C46">
        <f t="shared" ca="1" si="1"/>
        <v>7</v>
      </c>
      <c r="D46">
        <f t="shared" ca="1" si="2"/>
        <v>5.962844462425626E-2</v>
      </c>
      <c r="F46" s="1">
        <f t="shared" ca="1" si="3"/>
        <v>34</v>
      </c>
      <c r="G46" s="1">
        <f t="shared" ca="1" si="4"/>
        <v>27</v>
      </c>
      <c r="H46" s="1">
        <f t="shared" ca="1" si="5"/>
        <v>6</v>
      </c>
      <c r="I46" s="1"/>
      <c r="J46" s="1">
        <f t="shared" ca="1" si="6"/>
        <v>26</v>
      </c>
      <c r="K46" s="1">
        <f t="shared" ca="1" si="7"/>
        <v>1.9066307082893721</v>
      </c>
      <c r="L46" s="1">
        <f t="shared" ca="1" si="8"/>
        <v>34</v>
      </c>
      <c r="M46" s="1"/>
      <c r="N46" s="1">
        <f t="shared" ca="1" si="9"/>
        <v>673</v>
      </c>
      <c r="O46" s="1">
        <f t="shared" ca="1" si="10"/>
        <v>39</v>
      </c>
      <c r="P46" s="1"/>
      <c r="Q46" s="1">
        <f t="shared" ca="1" si="11"/>
        <v>2.8275425703690296</v>
      </c>
      <c r="R46" s="1">
        <f t="shared" ca="1" si="12"/>
        <v>1111</v>
      </c>
      <c r="S46" s="1"/>
      <c r="T46" s="1">
        <f t="shared" ca="1" si="13"/>
        <v>7.979452347656274E-2</v>
      </c>
      <c r="U46" s="1">
        <f t="shared" ca="1" si="14"/>
        <v>326</v>
      </c>
      <c r="V46" s="1">
        <f t="shared" ca="1" si="15"/>
        <v>51</v>
      </c>
      <c r="W46" s="1"/>
      <c r="X46" s="1">
        <f t="shared" ca="1" si="16"/>
        <v>5.5278901929374564</v>
      </c>
      <c r="Y46" s="1">
        <f t="shared" ca="1" si="17"/>
        <v>0.23585117618429063</v>
      </c>
      <c r="Z46" s="1">
        <f t="shared" ca="1" si="18"/>
        <v>1766</v>
      </c>
      <c r="AB46" s="1">
        <f t="shared" ca="1" si="19"/>
        <v>0.4938786273139868</v>
      </c>
      <c r="AC46" s="1">
        <f t="shared" ca="1" si="20"/>
        <v>947</v>
      </c>
      <c r="AD46" s="1">
        <f t="shared" ca="1" si="21"/>
        <v>5.1442403019986357E-3</v>
      </c>
      <c r="AE46" s="1"/>
      <c r="AF46" s="1">
        <f t="shared" ca="1" si="22"/>
        <v>0.10301426398810483</v>
      </c>
      <c r="AG46" s="1">
        <f t="shared" ca="1" si="23"/>
        <v>758</v>
      </c>
      <c r="AH46" s="1">
        <f t="shared" ca="1" si="24"/>
        <v>8.6203283266284743E-3</v>
      </c>
      <c r="AJ46" s="1">
        <f t="shared" ca="1" si="25"/>
        <v>0.15853761020611257</v>
      </c>
      <c r="AK46" s="1">
        <f t="shared" ca="1" si="26"/>
        <v>3.8994315740031259E-3</v>
      </c>
      <c r="AL46" s="1"/>
      <c r="AM46" s="1">
        <f t="shared" ca="1" si="27"/>
        <v>0.18459354108469711</v>
      </c>
      <c r="AN46" s="1">
        <f t="shared" ca="1" si="28"/>
        <v>61</v>
      </c>
      <c r="AO46" s="1">
        <f t="shared" ca="1" si="29"/>
        <v>12</v>
      </c>
      <c r="AQ46" s="1">
        <f t="shared" ca="1" si="30"/>
        <v>184</v>
      </c>
      <c r="AR46" s="1">
        <f t="shared" ca="1" si="31"/>
        <v>7</v>
      </c>
      <c r="AS46" s="1">
        <f t="shared" ca="1" si="32"/>
        <v>83</v>
      </c>
      <c r="AU46" s="1">
        <f t="shared" ca="1" si="33"/>
        <v>381</v>
      </c>
      <c r="AV46" s="1">
        <f t="shared" ca="1" si="34"/>
        <v>6</v>
      </c>
      <c r="AW46" s="1">
        <f t="shared" ca="1" si="35"/>
        <v>1.8596897673035798E-2</v>
      </c>
      <c r="AY46" s="1">
        <f t="shared" ca="1" si="36"/>
        <v>1.2957421175286306</v>
      </c>
      <c r="AZ46" s="1">
        <f t="shared" ca="1" si="37"/>
        <v>181</v>
      </c>
      <c r="BA46" s="1">
        <f t="shared" ca="1" si="38"/>
        <v>2.3460638965179508E-3</v>
      </c>
    </row>
    <row r="47" spans="2:53" x14ac:dyDescent="0.25">
      <c r="B47">
        <f t="shared" ca="1" si="0"/>
        <v>248</v>
      </c>
      <c r="C47">
        <f t="shared" ca="1" si="1"/>
        <v>27</v>
      </c>
      <c r="D47">
        <f t="shared" ca="1" si="2"/>
        <v>0.14042555043281538</v>
      </c>
      <c r="F47" s="1">
        <f t="shared" ca="1" si="3"/>
        <v>28</v>
      </c>
      <c r="G47" s="1">
        <f t="shared" ca="1" si="4"/>
        <v>20</v>
      </c>
      <c r="H47" s="1">
        <f t="shared" ca="1" si="5"/>
        <v>7</v>
      </c>
      <c r="I47" s="1"/>
      <c r="J47" s="1">
        <f t="shared" ca="1" si="6"/>
        <v>37</v>
      </c>
      <c r="K47" s="1">
        <f t="shared" ca="1" si="7"/>
        <v>2.3439704405666681</v>
      </c>
      <c r="L47" s="1">
        <f t="shared" ca="1" si="8"/>
        <v>30</v>
      </c>
      <c r="M47" s="1"/>
      <c r="N47" s="1">
        <f t="shared" ca="1" si="9"/>
        <v>636</v>
      </c>
      <c r="O47" s="1">
        <f t="shared" ca="1" si="10"/>
        <v>33</v>
      </c>
      <c r="P47" s="1"/>
      <c r="Q47" s="1">
        <f t="shared" ca="1" si="11"/>
        <v>1.0129639308578209</v>
      </c>
      <c r="R47" s="1">
        <f t="shared" ca="1" si="12"/>
        <v>285</v>
      </c>
      <c r="S47" s="1"/>
      <c r="T47" s="1">
        <f t="shared" ca="1" si="13"/>
        <v>0.15164951148393138</v>
      </c>
      <c r="U47" s="1">
        <f t="shared" ca="1" si="14"/>
        <v>297</v>
      </c>
      <c r="V47" s="1">
        <f t="shared" ca="1" si="15"/>
        <v>36</v>
      </c>
      <c r="W47" s="1"/>
      <c r="X47" s="1">
        <f t="shared" ca="1" si="16"/>
        <v>3.9775764553478861</v>
      </c>
      <c r="Y47" s="1">
        <f t="shared" ca="1" si="17"/>
        <v>0.14043963594394435</v>
      </c>
      <c r="Z47" s="1">
        <f t="shared" ca="1" si="18"/>
        <v>1092</v>
      </c>
      <c r="AB47" s="1">
        <f t="shared" ca="1" si="19"/>
        <v>4.5038076583666965E-2</v>
      </c>
      <c r="AC47" s="1">
        <f t="shared" ca="1" si="20"/>
        <v>367</v>
      </c>
      <c r="AD47" s="1">
        <f t="shared" ca="1" si="21"/>
        <v>6.4179408885981608E-3</v>
      </c>
      <c r="AE47" s="1"/>
      <c r="AF47" s="1">
        <f t="shared" ca="1" si="22"/>
        <v>0.81148564605653517</v>
      </c>
      <c r="AG47" s="1">
        <f t="shared" ca="1" si="23"/>
        <v>721</v>
      </c>
      <c r="AH47" s="1">
        <f t="shared" ca="1" si="24"/>
        <v>4.516803325320525E-4</v>
      </c>
      <c r="AJ47" s="1">
        <f t="shared" ca="1" si="25"/>
        <v>0.62294488463429132</v>
      </c>
      <c r="AK47" s="1">
        <f t="shared" ca="1" si="26"/>
        <v>7.4121867440563143E-3</v>
      </c>
      <c r="AL47" s="1"/>
      <c r="AM47" s="1">
        <f t="shared" ca="1" si="27"/>
        <v>9.7743781666461943E-2</v>
      </c>
      <c r="AN47" s="1">
        <f t="shared" ca="1" si="28"/>
        <v>55</v>
      </c>
      <c r="AO47" s="1">
        <f t="shared" ca="1" si="29"/>
        <v>6</v>
      </c>
      <c r="AQ47" s="1">
        <f t="shared" ca="1" si="30"/>
        <v>143</v>
      </c>
      <c r="AR47" s="1">
        <f t="shared" ca="1" si="31"/>
        <v>1</v>
      </c>
      <c r="AS47" s="1">
        <f t="shared" ca="1" si="32"/>
        <v>18</v>
      </c>
      <c r="AU47" s="1">
        <f t="shared" ca="1" si="33"/>
        <v>202</v>
      </c>
      <c r="AV47" s="1">
        <f t="shared" ca="1" si="34"/>
        <v>10</v>
      </c>
      <c r="AW47" s="1">
        <f t="shared" ca="1" si="35"/>
        <v>0.14114445042194959</v>
      </c>
      <c r="AY47" s="1">
        <f t="shared" ca="1" si="36"/>
        <v>1.7480709180955425</v>
      </c>
      <c r="AZ47" s="1">
        <f t="shared" ca="1" si="37"/>
        <v>357</v>
      </c>
      <c r="BA47" s="1">
        <f t="shared" ca="1" si="38"/>
        <v>8.0861306427051482E-3</v>
      </c>
    </row>
    <row r="48" spans="2:53" x14ac:dyDescent="0.25">
      <c r="B48">
        <f t="shared" ca="1" si="0"/>
        <v>614</v>
      </c>
      <c r="C48">
        <f t="shared" ca="1" si="1"/>
        <v>22</v>
      </c>
      <c r="D48">
        <f t="shared" ca="1" si="2"/>
        <v>0.13784938913376221</v>
      </c>
      <c r="F48" s="1">
        <f t="shared" ca="1" si="3"/>
        <v>50</v>
      </c>
      <c r="G48" s="1">
        <f t="shared" ca="1" si="4"/>
        <v>26</v>
      </c>
      <c r="H48" s="1">
        <f t="shared" ca="1" si="5"/>
        <v>4</v>
      </c>
      <c r="I48" s="1"/>
      <c r="J48" s="1">
        <f t="shared" ca="1" si="6"/>
        <v>17</v>
      </c>
      <c r="K48" s="1">
        <f t="shared" ca="1" si="7"/>
        <v>2.8046948348816958</v>
      </c>
      <c r="L48" s="1">
        <f t="shared" ca="1" si="8"/>
        <v>21</v>
      </c>
      <c r="M48" s="1"/>
      <c r="N48" s="1">
        <f t="shared" ca="1" si="9"/>
        <v>15</v>
      </c>
      <c r="O48" s="1">
        <f t="shared" ca="1" si="10"/>
        <v>42</v>
      </c>
      <c r="P48" s="1"/>
      <c r="Q48" s="1">
        <f t="shared" ca="1" si="11"/>
        <v>1.5619729781040066</v>
      </c>
      <c r="R48" s="1">
        <f t="shared" ca="1" si="12"/>
        <v>1121</v>
      </c>
      <c r="S48" s="1"/>
      <c r="T48" s="1">
        <f t="shared" ca="1" si="13"/>
        <v>2.3040897428788489E-2</v>
      </c>
      <c r="U48" s="1">
        <f t="shared" ca="1" si="14"/>
        <v>314</v>
      </c>
      <c r="V48" s="1">
        <f t="shared" ca="1" si="15"/>
        <v>42</v>
      </c>
      <c r="W48" s="1"/>
      <c r="X48" s="1">
        <f t="shared" ca="1" si="16"/>
        <v>8.6143355910243979</v>
      </c>
      <c r="Y48" s="1">
        <f t="shared" ca="1" si="17"/>
        <v>0.1678323163464015</v>
      </c>
      <c r="Z48" s="1">
        <f t="shared" ca="1" si="18"/>
        <v>1370</v>
      </c>
      <c r="AB48" s="1">
        <f t="shared" ca="1" si="19"/>
        <v>0.72873566062035044</v>
      </c>
      <c r="AC48" s="1">
        <f t="shared" ca="1" si="20"/>
        <v>583</v>
      </c>
      <c r="AD48" s="1">
        <f t="shared" ca="1" si="21"/>
        <v>2.4896831046823369E-3</v>
      </c>
      <c r="AE48" s="1"/>
      <c r="AF48" s="1">
        <f t="shared" ca="1" si="22"/>
        <v>0.31853127453393892</v>
      </c>
      <c r="AG48" s="1">
        <f t="shared" ca="1" si="23"/>
        <v>875</v>
      </c>
      <c r="AH48" s="1">
        <f t="shared" ca="1" si="24"/>
        <v>6.0241815400699818E-3</v>
      </c>
      <c r="AJ48" s="1">
        <f t="shared" ca="1" si="25"/>
        <v>0.58699287420731516</v>
      </c>
      <c r="AK48" s="1">
        <f t="shared" ca="1" si="26"/>
        <v>3.3684284994028222E-3</v>
      </c>
      <c r="AL48" s="1"/>
      <c r="AM48" s="1">
        <f t="shared" ca="1" si="27"/>
        <v>0.11947810919640778</v>
      </c>
      <c r="AN48" s="1">
        <f t="shared" ca="1" si="28"/>
        <v>60</v>
      </c>
      <c r="AO48" s="1">
        <f t="shared" ca="1" si="29"/>
        <v>18</v>
      </c>
      <c r="AQ48" s="1">
        <f t="shared" ca="1" si="30"/>
        <v>37</v>
      </c>
      <c r="AR48" s="1">
        <f t="shared" ca="1" si="31"/>
        <v>10</v>
      </c>
      <c r="AS48" s="1">
        <f t="shared" ca="1" si="32"/>
        <v>100</v>
      </c>
      <c r="AU48" s="1">
        <f t="shared" ca="1" si="33"/>
        <v>320</v>
      </c>
      <c r="AV48" s="1">
        <f t="shared" ca="1" si="34"/>
        <v>8</v>
      </c>
      <c r="AW48" s="1">
        <f t="shared" ca="1" si="35"/>
        <v>3.8137212158695651E-2</v>
      </c>
      <c r="AY48" s="1">
        <f t="shared" ca="1" si="36"/>
        <v>1.1082054699438024</v>
      </c>
      <c r="AZ48" s="1">
        <f t="shared" ca="1" si="37"/>
        <v>172</v>
      </c>
      <c r="BA48" s="1">
        <f t="shared" ca="1" si="38"/>
        <v>9.7026319603503233E-3</v>
      </c>
    </row>
    <row r="49" spans="2:53" x14ac:dyDescent="0.25">
      <c r="B49">
        <f t="shared" ca="1" si="0"/>
        <v>181</v>
      </c>
      <c r="C49">
        <f t="shared" ca="1" si="1"/>
        <v>24</v>
      </c>
      <c r="D49">
        <f t="shared" ca="1" si="2"/>
        <v>0.23551653454426588</v>
      </c>
      <c r="F49" s="1">
        <f t="shared" ca="1" si="3"/>
        <v>26</v>
      </c>
      <c r="G49" s="1">
        <f t="shared" ca="1" si="4"/>
        <v>26</v>
      </c>
      <c r="H49" s="1">
        <f t="shared" ca="1" si="5"/>
        <v>11</v>
      </c>
      <c r="I49" s="1"/>
      <c r="J49" s="1">
        <f t="shared" ca="1" si="6"/>
        <v>26</v>
      </c>
      <c r="K49" s="1">
        <f t="shared" ca="1" si="7"/>
        <v>2.6645726680703299</v>
      </c>
      <c r="L49" s="1">
        <f t="shared" ca="1" si="8"/>
        <v>13</v>
      </c>
      <c r="M49" s="1"/>
      <c r="N49" s="1">
        <f t="shared" ca="1" si="9"/>
        <v>469</v>
      </c>
      <c r="O49" s="1">
        <f t="shared" ca="1" si="10"/>
        <v>44</v>
      </c>
      <c r="P49" s="1"/>
      <c r="Q49" s="1">
        <f t="shared" ca="1" si="11"/>
        <v>1.1496485522868005</v>
      </c>
      <c r="R49" s="1">
        <f t="shared" ca="1" si="12"/>
        <v>310</v>
      </c>
      <c r="S49" s="1"/>
      <c r="T49" s="1">
        <f t="shared" ca="1" si="13"/>
        <v>0.13831396838423327</v>
      </c>
      <c r="U49" s="1">
        <f t="shared" ca="1" si="14"/>
        <v>389</v>
      </c>
      <c r="V49" s="1">
        <f t="shared" ca="1" si="15"/>
        <v>2</v>
      </c>
      <c r="W49" s="1"/>
      <c r="X49" s="1">
        <f t="shared" ca="1" si="16"/>
        <v>1.7141066475060691</v>
      </c>
      <c r="Y49" s="1">
        <f t="shared" ca="1" si="17"/>
        <v>0.629662548429196</v>
      </c>
      <c r="Z49" s="1">
        <f t="shared" ca="1" si="18"/>
        <v>758</v>
      </c>
      <c r="AB49" s="1">
        <f t="shared" ca="1" si="19"/>
        <v>0.20193704625450112</v>
      </c>
      <c r="AC49" s="1">
        <f t="shared" ca="1" si="20"/>
        <v>377</v>
      </c>
      <c r="AD49" s="1">
        <f t="shared" ca="1" si="21"/>
        <v>3.2553663369705647E-3</v>
      </c>
      <c r="AE49" s="1"/>
      <c r="AF49" s="1">
        <f t="shared" ca="1" si="22"/>
        <v>0.31875699771142463</v>
      </c>
      <c r="AG49" s="1">
        <f t="shared" ca="1" si="23"/>
        <v>246</v>
      </c>
      <c r="AH49" s="1">
        <f t="shared" ca="1" si="24"/>
        <v>6.9872656437349745E-3</v>
      </c>
      <c r="AJ49" s="1">
        <f t="shared" ca="1" si="25"/>
        <v>0.32476887378327313</v>
      </c>
      <c r="AK49" s="1">
        <f t="shared" ca="1" si="26"/>
        <v>3.8843475865437582E-3</v>
      </c>
      <c r="AL49" s="1"/>
      <c r="AM49" s="1">
        <f t="shared" ca="1" si="27"/>
        <v>7.183345860131865E-2</v>
      </c>
      <c r="AN49" s="1">
        <f t="shared" ca="1" si="28"/>
        <v>35</v>
      </c>
      <c r="AO49" s="1">
        <f t="shared" ca="1" si="29"/>
        <v>10</v>
      </c>
      <c r="AQ49" s="1">
        <f t="shared" ca="1" si="30"/>
        <v>115</v>
      </c>
      <c r="AR49" s="1">
        <f t="shared" ca="1" si="31"/>
        <v>0</v>
      </c>
      <c r="AS49" s="1">
        <f t="shared" ca="1" si="32"/>
        <v>32</v>
      </c>
      <c r="AU49" s="1">
        <f t="shared" ca="1" si="33"/>
        <v>317</v>
      </c>
      <c r="AV49" s="1">
        <f t="shared" ca="1" si="34"/>
        <v>4</v>
      </c>
      <c r="AW49" s="1">
        <f t="shared" ca="1" si="35"/>
        <v>7.3753386144323502E-2</v>
      </c>
      <c r="AY49" s="1">
        <f t="shared" ca="1" si="36"/>
        <v>1.8975247500620287</v>
      </c>
      <c r="AZ49" s="1">
        <f t="shared" ca="1" si="37"/>
        <v>289</v>
      </c>
      <c r="BA49" s="1">
        <f t="shared" ca="1" si="38"/>
        <v>8.3352162432807388E-3</v>
      </c>
    </row>
    <row r="50" spans="2:53" x14ac:dyDescent="0.25">
      <c r="B50">
        <f t="shared" ca="1" si="0"/>
        <v>829</v>
      </c>
      <c r="C50">
        <f t="shared" ca="1" si="1"/>
        <v>40</v>
      </c>
      <c r="D50">
        <f t="shared" ca="1" si="2"/>
        <v>8.3920483134733631E-2</v>
      </c>
      <c r="F50" s="1">
        <f t="shared" ca="1" si="3"/>
        <v>23</v>
      </c>
      <c r="G50" s="1">
        <f t="shared" ca="1" si="4"/>
        <v>30</v>
      </c>
      <c r="H50" s="1">
        <f t="shared" ca="1" si="5"/>
        <v>1</v>
      </c>
      <c r="I50" s="1"/>
      <c r="J50" s="1">
        <f t="shared" ca="1" si="6"/>
        <v>37</v>
      </c>
      <c r="K50" s="1">
        <f t="shared" ca="1" si="7"/>
        <v>2.6758510345319997</v>
      </c>
      <c r="L50" s="1">
        <f t="shared" ca="1" si="8"/>
        <v>5</v>
      </c>
      <c r="M50" s="1"/>
      <c r="N50" s="1">
        <f t="shared" ca="1" si="9"/>
        <v>752</v>
      </c>
      <c r="O50" s="1">
        <f t="shared" ca="1" si="10"/>
        <v>29</v>
      </c>
      <c r="P50" s="1"/>
      <c r="Q50" s="1">
        <f t="shared" ca="1" si="11"/>
        <v>3.335306891046995</v>
      </c>
      <c r="R50" s="1">
        <f t="shared" ca="1" si="12"/>
        <v>909</v>
      </c>
      <c r="S50" s="1"/>
      <c r="T50" s="1">
        <f t="shared" ca="1" si="13"/>
        <v>4.9349052132576114E-2</v>
      </c>
      <c r="U50" s="1">
        <f t="shared" ca="1" si="14"/>
        <v>82</v>
      </c>
      <c r="V50" s="1">
        <f t="shared" ca="1" si="15"/>
        <v>46</v>
      </c>
      <c r="W50" s="1"/>
      <c r="X50" s="1">
        <f t="shared" ca="1" si="16"/>
        <v>0.17331762025039502</v>
      </c>
      <c r="Y50" s="1">
        <f t="shared" ca="1" si="17"/>
        <v>0.3579069235018571</v>
      </c>
      <c r="Z50" s="1">
        <f t="shared" ca="1" si="18"/>
        <v>680</v>
      </c>
      <c r="AB50" s="1">
        <f t="shared" ca="1" si="19"/>
        <v>0.42962202215148609</v>
      </c>
      <c r="AC50" s="1">
        <f t="shared" ca="1" si="20"/>
        <v>598</v>
      </c>
      <c r="AD50" s="1">
        <f t="shared" ca="1" si="21"/>
        <v>6.9361786027828283E-3</v>
      </c>
      <c r="AE50" s="1"/>
      <c r="AF50" s="1">
        <f t="shared" ca="1" si="22"/>
        <v>0.77646626981352995</v>
      </c>
      <c r="AG50" s="1">
        <f t="shared" ca="1" si="23"/>
        <v>914</v>
      </c>
      <c r="AH50" s="1">
        <f t="shared" ca="1" si="24"/>
        <v>4.625852200820616E-3</v>
      </c>
      <c r="AJ50" s="1">
        <f t="shared" ca="1" si="25"/>
        <v>0.82306831445607287</v>
      </c>
      <c r="AK50" s="1">
        <f t="shared" ca="1" si="26"/>
        <v>8.712389015175865E-3</v>
      </c>
      <c r="AL50" s="1"/>
      <c r="AM50" s="1">
        <f t="shared" ca="1" si="27"/>
        <v>1.9421364767562298E-2</v>
      </c>
      <c r="AN50" s="1">
        <f t="shared" ca="1" si="28"/>
        <v>65</v>
      </c>
      <c r="AO50" s="1">
        <f t="shared" ca="1" si="29"/>
        <v>5</v>
      </c>
      <c r="AQ50" s="1">
        <f t="shared" ca="1" si="30"/>
        <v>17</v>
      </c>
      <c r="AR50" s="1">
        <f t="shared" ca="1" si="31"/>
        <v>4</v>
      </c>
      <c r="AS50" s="1">
        <f t="shared" ca="1" si="32"/>
        <v>86</v>
      </c>
      <c r="AU50" s="1">
        <f t="shared" ca="1" si="33"/>
        <v>234</v>
      </c>
      <c r="AV50" s="1">
        <f t="shared" ca="1" si="34"/>
        <v>5</v>
      </c>
      <c r="AW50" s="1">
        <f t="shared" ca="1" si="35"/>
        <v>0.14379217285707019</v>
      </c>
      <c r="AY50" s="1">
        <f t="shared" ca="1" si="36"/>
        <v>1.2414931110430967</v>
      </c>
      <c r="AZ50" s="1">
        <f t="shared" ca="1" si="37"/>
        <v>379</v>
      </c>
      <c r="BA50" s="1">
        <f t="shared" ca="1" si="38"/>
        <v>8.7374228170848775E-4</v>
      </c>
    </row>
    <row r="51" spans="2:53" x14ac:dyDescent="0.25">
      <c r="B51">
        <f t="shared" ca="1" si="0"/>
        <v>148</v>
      </c>
      <c r="C51">
        <f t="shared" ca="1" si="1"/>
        <v>19</v>
      </c>
      <c r="D51">
        <f t="shared" ca="1" si="2"/>
        <v>0.19272308449946454</v>
      </c>
      <c r="F51" s="1">
        <f t="shared" ca="1" si="3"/>
        <v>10</v>
      </c>
      <c r="G51" s="1">
        <f t="shared" ca="1" si="4"/>
        <v>29</v>
      </c>
      <c r="H51" s="1">
        <f t="shared" ca="1" si="5"/>
        <v>11</v>
      </c>
      <c r="I51" s="1"/>
      <c r="J51" s="1">
        <f t="shared" ca="1" si="6"/>
        <v>17</v>
      </c>
      <c r="K51" s="1">
        <f t="shared" ca="1" si="7"/>
        <v>1.668592368183716</v>
      </c>
      <c r="L51" s="1">
        <f t="shared" ca="1" si="8"/>
        <v>10</v>
      </c>
      <c r="M51" s="1"/>
      <c r="N51" s="1">
        <f t="shared" ca="1" si="9"/>
        <v>170</v>
      </c>
      <c r="O51" s="1">
        <f t="shared" ca="1" si="10"/>
        <v>52</v>
      </c>
      <c r="P51" s="1"/>
      <c r="Q51" s="1">
        <f t="shared" ca="1" si="11"/>
        <v>0.17713870134303161</v>
      </c>
      <c r="R51" s="1">
        <f t="shared" ca="1" si="12"/>
        <v>461</v>
      </c>
      <c r="S51" s="1"/>
      <c r="T51" s="1">
        <f t="shared" ca="1" si="13"/>
        <v>0.13793048048168721</v>
      </c>
      <c r="U51" s="1">
        <f t="shared" ca="1" si="14"/>
        <v>343</v>
      </c>
      <c r="V51" s="1">
        <f t="shared" ca="1" si="15"/>
        <v>15</v>
      </c>
      <c r="W51" s="1"/>
      <c r="X51" s="1">
        <f t="shared" ca="1" si="16"/>
        <v>0.91931510487012458</v>
      </c>
      <c r="Y51" s="1">
        <f t="shared" ca="1" si="17"/>
        <v>0.70053252719588588</v>
      </c>
      <c r="Z51" s="1">
        <f t="shared" ca="1" si="18"/>
        <v>1902</v>
      </c>
      <c r="AB51" s="1">
        <f t="shared" ca="1" si="19"/>
        <v>0.67671861957433055</v>
      </c>
      <c r="AC51" s="1">
        <f t="shared" ca="1" si="20"/>
        <v>671</v>
      </c>
      <c r="AD51" s="1">
        <f t="shared" ca="1" si="21"/>
        <v>3.5892147494439837E-3</v>
      </c>
      <c r="AE51" s="1"/>
      <c r="AF51" s="1">
        <f t="shared" ca="1" si="22"/>
        <v>0.40848780059009915</v>
      </c>
      <c r="AG51" s="1">
        <f t="shared" ca="1" si="23"/>
        <v>297</v>
      </c>
      <c r="AH51" s="1">
        <f t="shared" ca="1" si="24"/>
        <v>1.0783241841321465E-3</v>
      </c>
      <c r="AJ51" s="1">
        <f t="shared" ca="1" si="25"/>
        <v>0.30815280024500658</v>
      </c>
      <c r="AK51" s="1">
        <f t="shared" ca="1" si="26"/>
        <v>7.9230062625934745E-4</v>
      </c>
      <c r="AL51" s="1"/>
      <c r="AM51" s="1">
        <f t="shared" ca="1" si="27"/>
        <v>0.11767470040906822</v>
      </c>
      <c r="AN51" s="1">
        <f t="shared" ca="1" si="28"/>
        <v>27</v>
      </c>
      <c r="AO51" s="1">
        <f t="shared" ca="1" si="29"/>
        <v>10</v>
      </c>
      <c r="AQ51" s="1">
        <f t="shared" ca="1" si="30"/>
        <v>176</v>
      </c>
      <c r="AR51" s="1">
        <f t="shared" ca="1" si="31"/>
        <v>7</v>
      </c>
      <c r="AS51" s="1">
        <f t="shared" ca="1" si="32"/>
        <v>92</v>
      </c>
      <c r="AU51" s="1">
        <f t="shared" ca="1" si="33"/>
        <v>144</v>
      </c>
      <c r="AV51" s="1">
        <f t="shared" ca="1" si="34"/>
        <v>9</v>
      </c>
      <c r="AW51" s="1">
        <f t="shared" ca="1" si="35"/>
        <v>4.9691276934925324E-2</v>
      </c>
      <c r="AY51" s="1">
        <f t="shared" ca="1" si="36"/>
        <v>1.8159445214824383</v>
      </c>
      <c r="AZ51" s="1">
        <f t="shared" ca="1" si="37"/>
        <v>350</v>
      </c>
      <c r="BA51" s="1">
        <f t="shared" ca="1" si="38"/>
        <v>7.5338102943483948E-3</v>
      </c>
    </row>
    <row r="52" spans="2:53" x14ac:dyDescent="0.25">
      <c r="B52">
        <f t="shared" ca="1" si="0"/>
        <v>435</v>
      </c>
      <c r="C52">
        <f t="shared" ca="1" si="1"/>
        <v>27</v>
      </c>
      <c r="D52">
        <f t="shared" ca="1" si="2"/>
        <v>6.0554844776906598E-2</v>
      </c>
      <c r="F52" s="1">
        <f t="shared" ca="1" si="3"/>
        <v>52</v>
      </c>
      <c r="G52" s="1">
        <f t="shared" ca="1" si="4"/>
        <v>29</v>
      </c>
      <c r="H52" s="1">
        <f t="shared" ca="1" si="5"/>
        <v>9</v>
      </c>
      <c r="I52" s="1"/>
      <c r="J52" s="1">
        <f t="shared" ca="1" si="6"/>
        <v>5</v>
      </c>
      <c r="K52" s="1">
        <f t="shared" ca="1" si="7"/>
        <v>2.6485261227670387</v>
      </c>
      <c r="L52" s="1">
        <f t="shared" ca="1" si="8"/>
        <v>35</v>
      </c>
      <c r="M52" s="1"/>
      <c r="N52" s="1">
        <f t="shared" ca="1" si="9"/>
        <v>781</v>
      </c>
      <c r="O52" s="1">
        <f t="shared" ca="1" si="10"/>
        <v>48</v>
      </c>
      <c r="P52" s="1"/>
      <c r="Q52" s="1">
        <f t="shared" ca="1" si="11"/>
        <v>4.3201845472554448</v>
      </c>
      <c r="R52" s="1">
        <f t="shared" ca="1" si="12"/>
        <v>657</v>
      </c>
      <c r="S52" s="1"/>
      <c r="T52" s="1">
        <f t="shared" ca="1" si="13"/>
        <v>0.19662227262680174</v>
      </c>
      <c r="U52" s="1">
        <f t="shared" ca="1" si="14"/>
        <v>143</v>
      </c>
      <c r="V52" s="1">
        <f t="shared" ca="1" si="15"/>
        <v>7</v>
      </c>
      <c r="W52" s="1"/>
      <c r="X52" s="1">
        <f t="shared" ca="1" si="16"/>
        <v>1.9282209898823766</v>
      </c>
      <c r="Y52" s="1">
        <f t="shared" ca="1" si="17"/>
        <v>0.61778644605212574</v>
      </c>
      <c r="Z52" s="1">
        <f t="shared" ca="1" si="18"/>
        <v>1497</v>
      </c>
      <c r="AB52" s="1">
        <f t="shared" ca="1" si="19"/>
        <v>0.31147873420294131</v>
      </c>
      <c r="AC52" s="1">
        <f t="shared" ca="1" si="20"/>
        <v>228</v>
      </c>
      <c r="AD52" s="1">
        <f t="shared" ca="1" si="21"/>
        <v>3.1847522850770107E-4</v>
      </c>
      <c r="AE52" s="1"/>
      <c r="AF52" s="1">
        <f t="shared" ca="1" si="22"/>
        <v>0.67777734555634939</v>
      </c>
      <c r="AG52" s="1">
        <f t="shared" ca="1" si="23"/>
        <v>980</v>
      </c>
      <c r="AH52" s="1">
        <f t="shared" ca="1" si="24"/>
        <v>2.7604106216660498E-3</v>
      </c>
      <c r="AJ52" s="1">
        <f t="shared" ca="1" si="25"/>
        <v>7.1915407232961637E-2</v>
      </c>
      <c r="AK52" s="1">
        <f t="shared" ca="1" si="26"/>
        <v>1.8445626161235603E-3</v>
      </c>
      <c r="AL52" s="1"/>
      <c r="AM52" s="1">
        <f t="shared" ca="1" si="27"/>
        <v>6.2978254156060023E-2</v>
      </c>
      <c r="AN52" s="1">
        <f t="shared" ca="1" si="28"/>
        <v>23</v>
      </c>
      <c r="AO52" s="1">
        <f t="shared" ca="1" si="29"/>
        <v>7</v>
      </c>
      <c r="AQ52" s="1">
        <f t="shared" ca="1" si="30"/>
        <v>90</v>
      </c>
      <c r="AR52" s="1">
        <f t="shared" ca="1" si="31"/>
        <v>2</v>
      </c>
      <c r="AS52" s="1">
        <f t="shared" ca="1" si="32"/>
        <v>1</v>
      </c>
      <c r="AU52" s="1">
        <f t="shared" ca="1" si="33"/>
        <v>284</v>
      </c>
      <c r="AV52" s="1">
        <f t="shared" ca="1" si="34"/>
        <v>9</v>
      </c>
      <c r="AW52" s="1">
        <f t="shared" ca="1" si="35"/>
        <v>0.10419715074613947</v>
      </c>
      <c r="AY52" s="1">
        <f t="shared" ca="1" si="36"/>
        <v>1.4992924546072561</v>
      </c>
      <c r="AZ52" s="1">
        <f t="shared" ca="1" si="37"/>
        <v>198</v>
      </c>
      <c r="BA52" s="1">
        <f t="shared" ca="1" si="38"/>
        <v>4.2850993827653391E-3</v>
      </c>
    </row>
    <row r="53" spans="2:53" x14ac:dyDescent="0.25">
      <c r="B53">
        <f t="shared" ca="1" si="0"/>
        <v>439</v>
      </c>
      <c r="C53">
        <f t="shared" ca="1" si="1"/>
        <v>45</v>
      </c>
      <c r="D53">
        <f t="shared" ca="1" si="2"/>
        <v>0.1041696401862329</v>
      </c>
      <c r="F53" s="1">
        <f t="shared" ca="1" si="3"/>
        <v>35</v>
      </c>
      <c r="G53" s="1">
        <f t="shared" ca="1" si="4"/>
        <v>2</v>
      </c>
      <c r="H53" s="1">
        <f t="shared" ca="1" si="5"/>
        <v>10</v>
      </c>
      <c r="I53" s="1"/>
      <c r="J53" s="1">
        <f t="shared" ca="1" si="6"/>
        <v>29</v>
      </c>
      <c r="K53" s="1">
        <f t="shared" ca="1" si="7"/>
        <v>2.3271110540261595</v>
      </c>
      <c r="L53" s="1">
        <f t="shared" ca="1" si="8"/>
        <v>34</v>
      </c>
      <c r="M53" s="1"/>
      <c r="N53" s="1">
        <f t="shared" ca="1" si="9"/>
        <v>539</v>
      </c>
      <c r="O53" s="1">
        <f t="shared" ca="1" si="10"/>
        <v>50</v>
      </c>
      <c r="P53" s="1"/>
      <c r="Q53" s="1">
        <f t="shared" ca="1" si="11"/>
        <v>1.5331244304742155</v>
      </c>
      <c r="R53" s="1">
        <f t="shared" ca="1" si="12"/>
        <v>832</v>
      </c>
      <c r="S53" s="1"/>
      <c r="T53" s="1">
        <f t="shared" ca="1" si="13"/>
        <v>0.13052405527936103</v>
      </c>
      <c r="U53" s="1">
        <f t="shared" ca="1" si="14"/>
        <v>256</v>
      </c>
      <c r="V53" s="1">
        <f t="shared" ca="1" si="15"/>
        <v>6</v>
      </c>
      <c r="W53" s="1"/>
      <c r="X53" s="1">
        <f t="shared" ca="1" si="16"/>
        <v>0.11015101029157501</v>
      </c>
      <c r="Y53" s="1">
        <f t="shared" ca="1" si="17"/>
        <v>0.60813791189608768</v>
      </c>
      <c r="Z53" s="1">
        <f t="shared" ca="1" si="18"/>
        <v>1333</v>
      </c>
      <c r="AB53" s="1">
        <f t="shared" ca="1" si="19"/>
        <v>0.3133693549239524</v>
      </c>
      <c r="AC53" s="1">
        <f t="shared" ca="1" si="20"/>
        <v>287</v>
      </c>
      <c r="AD53" s="1">
        <f t="shared" ca="1" si="21"/>
        <v>9.3322996829494631E-3</v>
      </c>
      <c r="AE53" s="1"/>
      <c r="AF53" s="1">
        <f t="shared" ca="1" si="22"/>
        <v>0.27234512679126671</v>
      </c>
      <c r="AG53" s="1">
        <f t="shared" ca="1" si="23"/>
        <v>146</v>
      </c>
      <c r="AH53" s="1">
        <f t="shared" ca="1" si="24"/>
        <v>3.4725740146932089E-3</v>
      </c>
      <c r="AJ53" s="1">
        <f t="shared" ca="1" si="25"/>
        <v>0.87436204274793861</v>
      </c>
      <c r="AK53" s="1">
        <f t="shared" ca="1" si="26"/>
        <v>9.0843337133011594E-3</v>
      </c>
      <c r="AL53" s="1"/>
      <c r="AM53" s="1">
        <f t="shared" ca="1" si="27"/>
        <v>0.11675862421694883</v>
      </c>
      <c r="AN53" s="1">
        <f t="shared" ca="1" si="28"/>
        <v>73</v>
      </c>
      <c r="AO53" s="1">
        <f t="shared" ca="1" si="29"/>
        <v>16</v>
      </c>
      <c r="AQ53" s="1">
        <f t="shared" ca="1" si="30"/>
        <v>180</v>
      </c>
      <c r="AR53" s="1">
        <f t="shared" ca="1" si="31"/>
        <v>10</v>
      </c>
      <c r="AS53" s="1">
        <f t="shared" ca="1" si="32"/>
        <v>60</v>
      </c>
      <c r="AU53" s="1">
        <f t="shared" ca="1" si="33"/>
        <v>307</v>
      </c>
      <c r="AV53" s="1">
        <f t="shared" ca="1" si="34"/>
        <v>5</v>
      </c>
      <c r="AW53" s="1">
        <f t="shared" ca="1" si="35"/>
        <v>3.0586507929621767E-2</v>
      </c>
      <c r="AY53" s="1">
        <f t="shared" ca="1" si="36"/>
        <v>1.2439348175590788</v>
      </c>
      <c r="AZ53" s="1">
        <f t="shared" ca="1" si="37"/>
        <v>496</v>
      </c>
      <c r="BA53" s="1">
        <f t="shared" ca="1" si="38"/>
        <v>3.8836100906790611E-3</v>
      </c>
    </row>
    <row r="54" spans="2:53" x14ac:dyDescent="0.25">
      <c r="B54">
        <f t="shared" ca="1" si="0"/>
        <v>972</v>
      </c>
      <c r="C54">
        <f t="shared" ca="1" si="1"/>
        <v>7</v>
      </c>
      <c r="D54">
        <f t="shared" ca="1" si="2"/>
        <v>0.18761040323566849</v>
      </c>
      <c r="F54" s="1">
        <f t="shared" ca="1" si="3"/>
        <v>44</v>
      </c>
      <c r="G54" s="1">
        <f t="shared" ca="1" si="4"/>
        <v>19</v>
      </c>
      <c r="H54" s="1">
        <f t="shared" ca="1" si="5"/>
        <v>11</v>
      </c>
      <c r="I54" s="1"/>
      <c r="J54" s="1">
        <f t="shared" ca="1" si="6"/>
        <v>22</v>
      </c>
      <c r="K54" s="1">
        <f t="shared" ca="1" si="7"/>
        <v>1.9665444382736004</v>
      </c>
      <c r="L54" s="1">
        <f t="shared" ca="1" si="8"/>
        <v>24</v>
      </c>
      <c r="M54" s="1"/>
      <c r="N54" s="1">
        <f t="shared" ca="1" si="9"/>
        <v>360</v>
      </c>
      <c r="O54" s="1">
        <f t="shared" ca="1" si="10"/>
        <v>40</v>
      </c>
      <c r="P54" s="1"/>
      <c r="Q54" s="1">
        <f t="shared" ca="1" si="11"/>
        <v>4.1316150138076164</v>
      </c>
      <c r="R54" s="1">
        <f t="shared" ca="1" si="12"/>
        <v>1183</v>
      </c>
      <c r="S54" s="1"/>
      <c r="T54" s="1">
        <f t="shared" ca="1" si="13"/>
        <v>0.10123142643739828</v>
      </c>
      <c r="U54" s="1">
        <f t="shared" ca="1" si="14"/>
        <v>441</v>
      </c>
      <c r="V54" s="1">
        <f t="shared" ca="1" si="15"/>
        <v>44</v>
      </c>
      <c r="W54" s="1"/>
      <c r="X54" s="1">
        <f t="shared" ca="1" si="16"/>
        <v>1.6755434159485501</v>
      </c>
      <c r="Y54" s="1">
        <f t="shared" ca="1" si="17"/>
        <v>0.55283425010439347</v>
      </c>
      <c r="Z54" s="1">
        <f t="shared" ca="1" si="18"/>
        <v>137</v>
      </c>
      <c r="AB54" s="1">
        <f t="shared" ca="1" si="19"/>
        <v>0.18463595803768665</v>
      </c>
      <c r="AC54" s="1">
        <f t="shared" ca="1" si="20"/>
        <v>675</v>
      </c>
      <c r="AD54" s="1">
        <f t="shared" ca="1" si="21"/>
        <v>3.7042815312915253E-3</v>
      </c>
      <c r="AE54" s="1"/>
      <c r="AF54" s="1">
        <f t="shared" ca="1" si="22"/>
        <v>0.59371792614782259</v>
      </c>
      <c r="AG54" s="1">
        <f t="shared" ca="1" si="23"/>
        <v>766</v>
      </c>
      <c r="AH54" s="1">
        <f t="shared" ca="1" si="24"/>
        <v>6.1836783402866987E-3</v>
      </c>
      <c r="AJ54" s="1">
        <f t="shared" ca="1" si="25"/>
        <v>0.94664346902395347</v>
      </c>
      <c r="AK54" s="1">
        <f t="shared" ca="1" si="26"/>
        <v>2.8502761861897803E-3</v>
      </c>
      <c r="AL54" s="1"/>
      <c r="AM54" s="1">
        <f t="shared" ca="1" si="27"/>
        <v>0.15695048136769227</v>
      </c>
      <c r="AN54" s="1">
        <f t="shared" ca="1" si="28"/>
        <v>38</v>
      </c>
      <c r="AO54" s="1">
        <f t="shared" ca="1" si="29"/>
        <v>18</v>
      </c>
      <c r="AQ54" s="1">
        <f t="shared" ca="1" si="30"/>
        <v>94</v>
      </c>
      <c r="AR54" s="1">
        <f t="shared" ca="1" si="31"/>
        <v>5</v>
      </c>
      <c r="AS54" s="1">
        <f t="shared" ca="1" si="32"/>
        <v>94</v>
      </c>
      <c r="AU54" s="1">
        <f t="shared" ca="1" si="33"/>
        <v>306</v>
      </c>
      <c r="AV54" s="1">
        <f t="shared" ca="1" si="34"/>
        <v>10</v>
      </c>
      <c r="AW54" s="1">
        <f t="shared" ca="1" si="35"/>
        <v>5.4638801815147978E-2</v>
      </c>
      <c r="AY54" s="1">
        <f t="shared" ca="1" si="36"/>
        <v>1.2966557754199548</v>
      </c>
      <c r="AZ54" s="1">
        <f t="shared" ca="1" si="37"/>
        <v>438</v>
      </c>
      <c r="BA54" s="1">
        <f t="shared" ca="1" si="38"/>
        <v>9.4374187876871925E-4</v>
      </c>
    </row>
    <row r="55" spans="2:53" x14ac:dyDescent="0.25">
      <c r="B55">
        <f t="shared" ca="1" si="0"/>
        <v>900</v>
      </c>
      <c r="C55">
        <f t="shared" ca="1" si="1"/>
        <v>28</v>
      </c>
      <c r="D55">
        <f t="shared" ca="1" si="2"/>
        <v>0.27476695601284906</v>
      </c>
      <c r="F55" s="1">
        <f t="shared" ca="1" si="3"/>
        <v>36</v>
      </c>
      <c r="G55" s="1">
        <f t="shared" ca="1" si="4"/>
        <v>14</v>
      </c>
      <c r="H55" s="1">
        <f t="shared" ca="1" si="5"/>
        <v>4</v>
      </c>
      <c r="I55" s="1"/>
      <c r="J55" s="1">
        <f t="shared" ca="1" si="6"/>
        <v>27</v>
      </c>
      <c r="K55" s="1">
        <f t="shared" ca="1" si="7"/>
        <v>1.1723171299191193</v>
      </c>
      <c r="L55" s="1">
        <f t="shared" ca="1" si="8"/>
        <v>11</v>
      </c>
      <c r="M55" s="1"/>
      <c r="N55" s="1">
        <f t="shared" ca="1" si="9"/>
        <v>738</v>
      </c>
      <c r="O55" s="1">
        <f t="shared" ca="1" si="10"/>
        <v>6</v>
      </c>
      <c r="P55" s="1"/>
      <c r="Q55" s="1">
        <f t="shared" ca="1" si="11"/>
        <v>1.9264149589412018</v>
      </c>
      <c r="R55" s="1">
        <f t="shared" ca="1" si="12"/>
        <v>937</v>
      </c>
      <c r="S55" s="1"/>
      <c r="T55" s="1">
        <f t="shared" ca="1" si="13"/>
        <v>7.4338923649391292E-2</v>
      </c>
      <c r="U55" s="1">
        <f t="shared" ca="1" si="14"/>
        <v>282</v>
      </c>
      <c r="V55" s="1">
        <f t="shared" ca="1" si="15"/>
        <v>50</v>
      </c>
      <c r="W55" s="1"/>
      <c r="X55" s="1">
        <f t="shared" ca="1" si="16"/>
        <v>4.1158534529111384</v>
      </c>
      <c r="Y55" s="1">
        <f t="shared" ca="1" si="17"/>
        <v>0.12236588453537424</v>
      </c>
      <c r="Z55" s="1">
        <f t="shared" ca="1" si="18"/>
        <v>841</v>
      </c>
      <c r="AB55" s="1">
        <f t="shared" ca="1" si="19"/>
        <v>0.58064609551834445</v>
      </c>
      <c r="AC55" s="1">
        <f t="shared" ca="1" si="20"/>
        <v>333</v>
      </c>
      <c r="AD55" s="1">
        <f t="shared" ca="1" si="21"/>
        <v>3.4589925338782209E-3</v>
      </c>
      <c r="AE55" s="1"/>
      <c r="AF55" s="1">
        <f t="shared" ca="1" si="22"/>
        <v>0.45347299132660535</v>
      </c>
      <c r="AG55" s="1">
        <f t="shared" ca="1" si="23"/>
        <v>264</v>
      </c>
      <c r="AH55" s="1">
        <f t="shared" ca="1" si="24"/>
        <v>9.7963148866144281E-4</v>
      </c>
      <c r="AJ55" s="1">
        <f t="shared" ca="1" si="25"/>
        <v>0.4077459505740274</v>
      </c>
      <c r="AK55" s="1">
        <f t="shared" ca="1" si="26"/>
        <v>7.9401377479408203E-3</v>
      </c>
      <c r="AL55" s="1"/>
      <c r="AM55" s="1">
        <f t="shared" ca="1" si="27"/>
        <v>7.7514884946724774E-2</v>
      </c>
      <c r="AN55" s="1">
        <f t="shared" ca="1" si="28"/>
        <v>75</v>
      </c>
      <c r="AO55" s="1">
        <f t="shared" ca="1" si="29"/>
        <v>10</v>
      </c>
      <c r="AQ55" s="1">
        <f t="shared" ca="1" si="30"/>
        <v>100</v>
      </c>
      <c r="AR55" s="1">
        <f t="shared" ca="1" si="31"/>
        <v>3</v>
      </c>
      <c r="AS55" s="1">
        <f t="shared" ca="1" si="32"/>
        <v>32</v>
      </c>
      <c r="AU55" s="1">
        <f t="shared" ca="1" si="33"/>
        <v>321</v>
      </c>
      <c r="AV55" s="1">
        <f t="shared" ca="1" si="34"/>
        <v>8</v>
      </c>
      <c r="AW55" s="1">
        <f t="shared" ca="1" si="35"/>
        <v>0.14468524130490415</v>
      </c>
      <c r="AY55" s="1">
        <f t="shared" ca="1" si="36"/>
        <v>1.1945804564231259</v>
      </c>
      <c r="AZ55" s="1">
        <f t="shared" ca="1" si="37"/>
        <v>299</v>
      </c>
      <c r="BA55" s="1">
        <f t="shared" ca="1" si="38"/>
        <v>3.9021887255559443E-3</v>
      </c>
    </row>
    <row r="56" spans="2:53" x14ac:dyDescent="0.25">
      <c r="B56">
        <f t="shared" ca="1" si="0"/>
        <v>517</v>
      </c>
      <c r="C56">
        <f t="shared" ca="1" si="1"/>
        <v>14</v>
      </c>
      <c r="D56">
        <f t="shared" ca="1" si="2"/>
        <v>0.1788479186731243</v>
      </c>
      <c r="F56" s="1">
        <f t="shared" ca="1" si="3"/>
        <v>34</v>
      </c>
      <c r="G56" s="1">
        <f t="shared" ca="1" si="4"/>
        <v>13</v>
      </c>
      <c r="H56" s="1">
        <f t="shared" ca="1" si="5"/>
        <v>1</v>
      </c>
      <c r="I56" s="1"/>
      <c r="J56" s="1">
        <f t="shared" ca="1" si="6"/>
        <v>10</v>
      </c>
      <c r="K56" s="1">
        <f t="shared" ca="1" si="7"/>
        <v>2.5510176452288631</v>
      </c>
      <c r="L56" s="1">
        <f t="shared" ca="1" si="8"/>
        <v>34</v>
      </c>
      <c r="M56" s="1"/>
      <c r="N56" s="1">
        <f t="shared" ca="1" si="9"/>
        <v>377</v>
      </c>
      <c r="O56" s="1">
        <f t="shared" ca="1" si="10"/>
        <v>49</v>
      </c>
      <c r="P56" s="1"/>
      <c r="Q56" s="1">
        <f t="shared" ca="1" si="11"/>
        <v>4.6447766504886276</v>
      </c>
      <c r="R56" s="1">
        <f t="shared" ca="1" si="12"/>
        <v>816</v>
      </c>
      <c r="S56" s="1"/>
      <c r="T56" s="1">
        <f t="shared" ca="1" si="13"/>
        <v>0.10864246787121588</v>
      </c>
      <c r="U56" s="1">
        <f t="shared" ca="1" si="14"/>
        <v>145</v>
      </c>
      <c r="V56" s="1">
        <f t="shared" ca="1" si="15"/>
        <v>13</v>
      </c>
      <c r="W56" s="1"/>
      <c r="X56" s="1">
        <f t="shared" ca="1" si="16"/>
        <v>3.4773220053811369</v>
      </c>
      <c r="Y56" s="1">
        <f t="shared" ca="1" si="17"/>
        <v>0.29642931881064866</v>
      </c>
      <c r="Z56" s="1">
        <f t="shared" ca="1" si="18"/>
        <v>775</v>
      </c>
      <c r="AB56" s="1">
        <f t="shared" ca="1" si="19"/>
        <v>0.44787025412949072</v>
      </c>
      <c r="AC56" s="1">
        <f t="shared" ca="1" si="20"/>
        <v>160</v>
      </c>
      <c r="AD56" s="1">
        <f t="shared" ca="1" si="21"/>
        <v>7.9638603530647646E-3</v>
      </c>
      <c r="AE56" s="1"/>
      <c r="AF56" s="1">
        <f t="shared" ca="1" si="22"/>
        <v>0.74106916743526197</v>
      </c>
      <c r="AG56" s="1">
        <f t="shared" ca="1" si="23"/>
        <v>142</v>
      </c>
      <c r="AH56" s="1">
        <f t="shared" ca="1" si="24"/>
        <v>9.5009113311007205E-3</v>
      </c>
      <c r="AJ56" s="1">
        <f t="shared" ca="1" si="25"/>
        <v>0.49957817825775908</v>
      </c>
      <c r="AK56" s="1">
        <f t="shared" ca="1" si="26"/>
        <v>5.8150644475361245E-3</v>
      </c>
      <c r="AL56" s="1"/>
      <c r="AM56" s="1">
        <f t="shared" ca="1" si="27"/>
        <v>8.5236724016088047E-2</v>
      </c>
      <c r="AN56" s="1">
        <f t="shared" ca="1" si="28"/>
        <v>27</v>
      </c>
      <c r="AO56" s="1">
        <f t="shared" ca="1" si="29"/>
        <v>9</v>
      </c>
      <c r="AQ56" s="1">
        <f t="shared" ca="1" si="30"/>
        <v>123</v>
      </c>
      <c r="AR56" s="1">
        <f t="shared" ca="1" si="31"/>
        <v>6</v>
      </c>
      <c r="AS56" s="1">
        <f t="shared" ca="1" si="32"/>
        <v>33</v>
      </c>
      <c r="AU56" s="1">
        <f t="shared" ca="1" si="33"/>
        <v>56</v>
      </c>
      <c r="AV56" s="1">
        <f t="shared" ca="1" si="34"/>
        <v>3</v>
      </c>
      <c r="AW56" s="1">
        <f t="shared" ca="1" si="35"/>
        <v>0.10860674912898668</v>
      </c>
      <c r="AY56" s="1">
        <f t="shared" ca="1" si="36"/>
        <v>1.9689611466827137</v>
      </c>
      <c r="AZ56" s="1">
        <f t="shared" ca="1" si="37"/>
        <v>416</v>
      </c>
      <c r="BA56" s="1">
        <f t="shared" ca="1" si="38"/>
        <v>2.5305566931093275E-3</v>
      </c>
    </row>
    <row r="57" spans="2:53" x14ac:dyDescent="0.25">
      <c r="B57">
        <f t="shared" ca="1" si="0"/>
        <v>863</v>
      </c>
      <c r="C57">
        <f t="shared" ca="1" si="1"/>
        <v>28</v>
      </c>
      <c r="D57">
        <f t="shared" ca="1" si="2"/>
        <v>0.16746487891009895</v>
      </c>
      <c r="F57" s="1">
        <f t="shared" ca="1" si="3"/>
        <v>17</v>
      </c>
      <c r="G57" s="1">
        <f t="shared" ca="1" si="4"/>
        <v>11</v>
      </c>
      <c r="H57" s="1">
        <f t="shared" ca="1" si="5"/>
        <v>5</v>
      </c>
      <c r="I57" s="1"/>
      <c r="J57" s="1">
        <f t="shared" ca="1" si="6"/>
        <v>28</v>
      </c>
      <c r="K57" s="1">
        <f t="shared" ca="1" si="7"/>
        <v>2.909790240741382</v>
      </c>
      <c r="L57" s="1">
        <f t="shared" ca="1" si="8"/>
        <v>29</v>
      </c>
      <c r="M57" s="1"/>
      <c r="N57" s="1">
        <f t="shared" ca="1" si="9"/>
        <v>175</v>
      </c>
      <c r="O57" s="1">
        <f t="shared" ca="1" si="10"/>
        <v>25</v>
      </c>
      <c r="P57" s="1"/>
      <c r="Q57" s="1">
        <f t="shared" ca="1" si="11"/>
        <v>0.48468767571286592</v>
      </c>
      <c r="R57" s="1">
        <f t="shared" ca="1" si="12"/>
        <v>1183</v>
      </c>
      <c r="S57" s="1"/>
      <c r="T57" s="1">
        <f t="shared" ca="1" si="13"/>
        <v>5.1370617119254725E-2</v>
      </c>
      <c r="U57" s="1">
        <f t="shared" ca="1" si="14"/>
        <v>217</v>
      </c>
      <c r="V57" s="1">
        <f t="shared" ca="1" si="15"/>
        <v>4</v>
      </c>
      <c r="W57" s="1"/>
      <c r="X57" s="1">
        <f t="shared" ca="1" si="16"/>
        <v>8.5974150669663825</v>
      </c>
      <c r="Y57" s="1">
        <f t="shared" ca="1" si="17"/>
        <v>0.41281692274306075</v>
      </c>
      <c r="Z57" s="1">
        <f t="shared" ca="1" si="18"/>
        <v>744</v>
      </c>
      <c r="AB57" s="1">
        <f t="shared" ca="1" si="19"/>
        <v>0.48177966496580277</v>
      </c>
      <c r="AC57" s="1">
        <f t="shared" ca="1" si="20"/>
        <v>179</v>
      </c>
      <c r="AD57" s="1">
        <f t="shared" ca="1" si="21"/>
        <v>3.8087498629178528E-3</v>
      </c>
      <c r="AE57" s="1"/>
      <c r="AF57" s="1">
        <f t="shared" ca="1" si="22"/>
        <v>0.16202763962218106</v>
      </c>
      <c r="AG57" s="1">
        <f t="shared" ca="1" si="23"/>
        <v>405</v>
      </c>
      <c r="AH57" s="1">
        <f t="shared" ca="1" si="24"/>
        <v>9.0074467848051312E-3</v>
      </c>
      <c r="AJ57" s="1">
        <f t="shared" ca="1" si="25"/>
        <v>0.44558941919821804</v>
      </c>
      <c r="AK57" s="1">
        <f t="shared" ca="1" si="26"/>
        <v>9.2926232656386149E-4</v>
      </c>
      <c r="AL57" s="1"/>
      <c r="AM57" s="1">
        <f t="shared" ca="1" si="27"/>
        <v>0.1881190979018946</v>
      </c>
      <c r="AN57" s="1">
        <f t="shared" ca="1" si="28"/>
        <v>15</v>
      </c>
      <c r="AO57" s="1">
        <f t="shared" ca="1" si="29"/>
        <v>0</v>
      </c>
      <c r="AQ57" s="1">
        <f t="shared" ca="1" si="30"/>
        <v>198</v>
      </c>
      <c r="AR57" s="1">
        <f t="shared" ca="1" si="31"/>
        <v>6</v>
      </c>
      <c r="AS57" s="1">
        <f t="shared" ca="1" si="32"/>
        <v>47</v>
      </c>
      <c r="AU57" s="1">
        <f t="shared" ca="1" si="33"/>
        <v>197</v>
      </c>
      <c r="AV57" s="1">
        <f t="shared" ca="1" si="34"/>
        <v>6</v>
      </c>
      <c r="AW57" s="1">
        <f t="shared" ca="1" si="35"/>
        <v>0.18112312752289192</v>
      </c>
      <c r="AY57" s="1">
        <f t="shared" ca="1" si="36"/>
        <v>1.9575053227666623</v>
      </c>
      <c r="AZ57" s="1">
        <f t="shared" ca="1" si="37"/>
        <v>95</v>
      </c>
      <c r="BA57" s="1">
        <f t="shared" ca="1" si="38"/>
        <v>4.4350019451280488E-3</v>
      </c>
    </row>
    <row r="58" spans="2:53" x14ac:dyDescent="0.25">
      <c r="B58">
        <f t="shared" ca="1" si="0"/>
        <v>709</v>
      </c>
      <c r="C58">
        <f t="shared" ca="1" si="1"/>
        <v>45</v>
      </c>
      <c r="D58">
        <f t="shared" ca="1" si="2"/>
        <v>0.23051316727379811</v>
      </c>
      <c r="F58" s="1">
        <f t="shared" ca="1" si="3"/>
        <v>24</v>
      </c>
      <c r="G58" s="1">
        <f t="shared" ca="1" si="4"/>
        <v>23</v>
      </c>
      <c r="H58" s="1">
        <f t="shared" ca="1" si="5"/>
        <v>5</v>
      </c>
      <c r="I58" s="1"/>
      <c r="J58" s="1">
        <f t="shared" ca="1" si="6"/>
        <v>1</v>
      </c>
      <c r="K58" s="1">
        <f t="shared" ca="1" si="7"/>
        <v>1.5585493640235653</v>
      </c>
      <c r="L58" s="1">
        <f t="shared" ca="1" si="8"/>
        <v>9</v>
      </c>
      <c r="M58" s="1"/>
      <c r="N58" s="1">
        <f t="shared" ca="1" si="9"/>
        <v>851</v>
      </c>
      <c r="O58" s="1">
        <f t="shared" ca="1" si="10"/>
        <v>35</v>
      </c>
      <c r="P58" s="1"/>
      <c r="Q58" s="1">
        <f t="shared" ca="1" si="11"/>
        <v>2.780866365901423</v>
      </c>
      <c r="R58" s="1">
        <f t="shared" ca="1" si="12"/>
        <v>689</v>
      </c>
      <c r="S58" s="1"/>
      <c r="T58" s="1">
        <f t="shared" ca="1" si="13"/>
        <v>7.0277805480762692E-2</v>
      </c>
      <c r="U58" s="1">
        <f t="shared" ca="1" si="14"/>
        <v>90</v>
      </c>
      <c r="V58" s="1">
        <f t="shared" ca="1" si="15"/>
        <v>31</v>
      </c>
      <c r="W58" s="1"/>
      <c r="X58" s="1">
        <f t="shared" ca="1" si="16"/>
        <v>5.7528463342739959</v>
      </c>
      <c r="Y58" s="1">
        <f t="shared" ca="1" si="17"/>
        <v>0.84411117004653835</v>
      </c>
      <c r="Z58" s="1">
        <f t="shared" ca="1" si="18"/>
        <v>1940</v>
      </c>
      <c r="AB58" s="1">
        <f t="shared" ca="1" si="19"/>
        <v>0.29883981100873114</v>
      </c>
      <c r="AC58" s="1">
        <f t="shared" ca="1" si="20"/>
        <v>708</v>
      </c>
      <c r="AD58" s="1">
        <f t="shared" ca="1" si="21"/>
        <v>2.3256252189056284E-3</v>
      </c>
      <c r="AE58" s="1"/>
      <c r="AF58" s="1">
        <f t="shared" ca="1" si="22"/>
        <v>0.8541719420566688</v>
      </c>
      <c r="AG58" s="1">
        <f t="shared" ca="1" si="23"/>
        <v>132</v>
      </c>
      <c r="AH58" s="1">
        <f t="shared" ca="1" si="24"/>
        <v>9.0109958046638225E-3</v>
      </c>
      <c r="AJ58" s="1">
        <f t="shared" ca="1" si="25"/>
        <v>0.72501811553450446</v>
      </c>
      <c r="AK58" s="1">
        <f t="shared" ca="1" si="26"/>
        <v>4.4368961759842012E-3</v>
      </c>
      <c r="AL58" s="1"/>
      <c r="AM58" s="1">
        <f t="shared" ca="1" si="27"/>
        <v>1.562513177593548E-2</v>
      </c>
      <c r="AN58" s="1">
        <f t="shared" ca="1" si="28"/>
        <v>29</v>
      </c>
      <c r="AO58" s="1">
        <f t="shared" ca="1" si="29"/>
        <v>6</v>
      </c>
      <c r="AQ58" s="1">
        <f t="shared" ca="1" si="30"/>
        <v>43</v>
      </c>
      <c r="AR58" s="1">
        <f t="shared" ca="1" si="31"/>
        <v>1</v>
      </c>
      <c r="AS58" s="1">
        <f t="shared" ca="1" si="32"/>
        <v>23</v>
      </c>
      <c r="AU58" s="1">
        <f t="shared" ca="1" si="33"/>
        <v>123</v>
      </c>
      <c r="AV58" s="1">
        <f t="shared" ca="1" si="34"/>
        <v>8</v>
      </c>
      <c r="AW58" s="1">
        <f t="shared" ca="1" si="35"/>
        <v>9.5756528796277648E-2</v>
      </c>
      <c r="AY58" s="1">
        <f t="shared" ca="1" si="36"/>
        <v>1.4182521896353328</v>
      </c>
      <c r="AZ58" s="1">
        <f t="shared" ca="1" si="37"/>
        <v>104</v>
      </c>
      <c r="BA58" s="1">
        <f t="shared" ca="1" si="38"/>
        <v>1.9407816505855747E-3</v>
      </c>
    </row>
    <row r="59" spans="2:53" x14ac:dyDescent="0.25">
      <c r="B59">
        <f t="shared" ca="1" si="0"/>
        <v>300</v>
      </c>
      <c r="C59">
        <f t="shared" ca="1" si="1"/>
        <v>44</v>
      </c>
      <c r="D59">
        <f t="shared" ca="1" si="2"/>
        <v>5.3861469615814304E-2</v>
      </c>
      <c r="F59" s="1">
        <f t="shared" ca="1" si="3"/>
        <v>47</v>
      </c>
      <c r="G59" s="1">
        <f t="shared" ca="1" si="4"/>
        <v>23</v>
      </c>
      <c r="H59" s="1">
        <f t="shared" ca="1" si="5"/>
        <v>10</v>
      </c>
      <c r="I59" s="1"/>
      <c r="J59" s="1">
        <f t="shared" ca="1" si="6"/>
        <v>33</v>
      </c>
      <c r="K59" s="1">
        <f t="shared" ca="1" si="7"/>
        <v>1.9788210725754136</v>
      </c>
      <c r="L59" s="1">
        <f t="shared" ca="1" si="8"/>
        <v>16</v>
      </c>
      <c r="M59" s="1"/>
      <c r="N59" s="1">
        <f t="shared" ca="1" si="9"/>
        <v>757</v>
      </c>
      <c r="O59" s="1">
        <f t="shared" ca="1" si="10"/>
        <v>6</v>
      </c>
      <c r="P59" s="1"/>
      <c r="Q59" s="1">
        <f t="shared" ca="1" si="11"/>
        <v>1.8052791898912208</v>
      </c>
      <c r="R59" s="1">
        <f t="shared" ca="1" si="12"/>
        <v>402</v>
      </c>
      <c r="S59" s="1"/>
      <c r="T59" s="1">
        <f t="shared" ca="1" si="13"/>
        <v>0.15043438134791137</v>
      </c>
      <c r="U59" s="1">
        <f t="shared" ca="1" si="14"/>
        <v>169</v>
      </c>
      <c r="V59" s="1">
        <f t="shared" ca="1" si="15"/>
        <v>34</v>
      </c>
      <c r="W59" s="1"/>
      <c r="X59" s="1">
        <f t="shared" ca="1" si="16"/>
        <v>6.6757785042655744</v>
      </c>
      <c r="Y59" s="1">
        <f t="shared" ca="1" si="17"/>
        <v>0.46709274700092124</v>
      </c>
      <c r="Z59" s="1">
        <f t="shared" ca="1" si="18"/>
        <v>1466</v>
      </c>
      <c r="AB59" s="1">
        <f t="shared" ca="1" si="19"/>
        <v>0.60511374459553824</v>
      </c>
      <c r="AC59" s="1">
        <f t="shared" ca="1" si="20"/>
        <v>823</v>
      </c>
      <c r="AD59" s="1">
        <f t="shared" ca="1" si="21"/>
        <v>4.4476294701142243E-4</v>
      </c>
      <c r="AE59" s="1"/>
      <c r="AF59" s="1">
        <f t="shared" ca="1" si="22"/>
        <v>0.35475374794586256</v>
      </c>
      <c r="AG59" s="1">
        <f t="shared" ca="1" si="23"/>
        <v>610</v>
      </c>
      <c r="AH59" s="1">
        <f t="shared" ca="1" si="24"/>
        <v>3.3295459303913188E-3</v>
      </c>
      <c r="AJ59" s="1">
        <f t="shared" ca="1" si="25"/>
        <v>0.96044275201921347</v>
      </c>
      <c r="AK59" s="1">
        <f t="shared" ca="1" si="26"/>
        <v>8.9106674450288928E-3</v>
      </c>
      <c r="AL59" s="1"/>
      <c r="AM59" s="1">
        <f t="shared" ca="1" si="27"/>
        <v>0.1068968222097539</v>
      </c>
      <c r="AN59" s="1">
        <f t="shared" ca="1" si="28"/>
        <v>14</v>
      </c>
      <c r="AO59" s="1">
        <f t="shared" ca="1" si="29"/>
        <v>10</v>
      </c>
      <c r="AQ59" s="1">
        <f t="shared" ca="1" si="30"/>
        <v>71</v>
      </c>
      <c r="AR59" s="1">
        <f t="shared" ca="1" si="31"/>
        <v>9</v>
      </c>
      <c r="AS59" s="1">
        <f t="shared" ca="1" si="32"/>
        <v>51</v>
      </c>
      <c r="AU59" s="1">
        <f t="shared" ca="1" si="33"/>
        <v>181</v>
      </c>
      <c r="AV59" s="1">
        <f t="shared" ca="1" si="34"/>
        <v>4</v>
      </c>
      <c r="AW59" s="1">
        <f t="shared" ca="1" si="35"/>
        <v>0.1045985943549237</v>
      </c>
      <c r="AY59" s="1">
        <f t="shared" ca="1" si="36"/>
        <v>1.3303804056564636</v>
      </c>
      <c r="AZ59" s="1">
        <f t="shared" ca="1" si="37"/>
        <v>262</v>
      </c>
      <c r="BA59" s="1">
        <f t="shared" ca="1" si="38"/>
        <v>4.7694368458938248E-3</v>
      </c>
    </row>
    <row r="60" spans="2:53" x14ac:dyDescent="0.25">
      <c r="B60">
        <f t="shared" ca="1" si="0"/>
        <v>548</v>
      </c>
      <c r="C60">
        <f t="shared" ca="1" si="1"/>
        <v>10</v>
      </c>
      <c r="D60">
        <f t="shared" ca="1" si="2"/>
        <v>0.10849729717042111</v>
      </c>
      <c r="F60" s="1">
        <f t="shared" ca="1" si="3"/>
        <v>17</v>
      </c>
      <c r="G60" s="1">
        <f t="shared" ca="1" si="4"/>
        <v>14</v>
      </c>
      <c r="H60" s="1">
        <f t="shared" ca="1" si="5"/>
        <v>9</v>
      </c>
      <c r="I60" s="1"/>
      <c r="J60" s="1">
        <f t="shared" ca="1" si="6"/>
        <v>21</v>
      </c>
      <c r="K60" s="1">
        <f t="shared" ca="1" si="7"/>
        <v>1.0335641095703643</v>
      </c>
      <c r="L60" s="1">
        <f t="shared" ca="1" si="8"/>
        <v>21</v>
      </c>
      <c r="M60" s="1"/>
      <c r="N60" s="1">
        <f t="shared" ca="1" si="9"/>
        <v>569</v>
      </c>
      <c r="O60" s="1">
        <f t="shared" ca="1" si="10"/>
        <v>8</v>
      </c>
      <c r="P60" s="1"/>
      <c r="Q60" s="1">
        <f t="shared" ca="1" si="11"/>
        <v>4.7806318056000254</v>
      </c>
      <c r="R60" s="1">
        <f t="shared" ca="1" si="12"/>
        <v>831</v>
      </c>
      <c r="S60" s="1"/>
      <c r="T60" s="1">
        <f t="shared" ca="1" si="13"/>
        <v>0.10982550111444814</v>
      </c>
      <c r="U60" s="1">
        <f t="shared" ca="1" si="14"/>
        <v>385</v>
      </c>
      <c r="V60" s="1">
        <f t="shared" ca="1" si="15"/>
        <v>38</v>
      </c>
      <c r="W60" s="1"/>
      <c r="X60" s="1">
        <f t="shared" ca="1" si="16"/>
        <v>6.5365379159084185</v>
      </c>
      <c r="Y60" s="1">
        <f t="shared" ca="1" si="17"/>
        <v>0.53407660000245205</v>
      </c>
      <c r="Z60" s="1">
        <f t="shared" ca="1" si="18"/>
        <v>1584</v>
      </c>
      <c r="AB60" s="1">
        <f t="shared" ca="1" si="19"/>
        <v>0.59597704273650176</v>
      </c>
      <c r="AC60" s="1">
        <f t="shared" ca="1" si="20"/>
        <v>693</v>
      </c>
      <c r="AD60" s="1">
        <f t="shared" ca="1" si="21"/>
        <v>2.5011322936002059E-3</v>
      </c>
      <c r="AE60" s="1"/>
      <c r="AF60" s="1">
        <f t="shared" ca="1" si="22"/>
        <v>0.36993958659394643</v>
      </c>
      <c r="AG60" s="1">
        <f t="shared" ca="1" si="23"/>
        <v>576</v>
      </c>
      <c r="AH60" s="1">
        <f t="shared" ca="1" si="24"/>
        <v>2.4635630952356846E-3</v>
      </c>
      <c r="AJ60" s="1">
        <f t="shared" ca="1" si="25"/>
        <v>0.76452768624607204</v>
      </c>
      <c r="AK60" s="1">
        <f t="shared" ca="1" si="26"/>
        <v>1.7812361869384318E-3</v>
      </c>
      <c r="AL60" s="1"/>
      <c r="AM60" s="1">
        <f t="shared" ca="1" si="27"/>
        <v>0.14440836850334612</v>
      </c>
      <c r="AN60" s="1">
        <f t="shared" ca="1" si="28"/>
        <v>67</v>
      </c>
      <c r="AO60" s="1">
        <f t="shared" ca="1" si="29"/>
        <v>17</v>
      </c>
      <c r="AQ60" s="1">
        <f t="shared" ca="1" si="30"/>
        <v>28</v>
      </c>
      <c r="AR60" s="1">
        <f t="shared" ca="1" si="31"/>
        <v>3</v>
      </c>
      <c r="AS60" s="1">
        <f t="shared" ca="1" si="32"/>
        <v>10</v>
      </c>
      <c r="AU60" s="1">
        <f t="shared" ca="1" si="33"/>
        <v>171</v>
      </c>
      <c r="AV60" s="1">
        <f t="shared" ca="1" si="34"/>
        <v>2</v>
      </c>
      <c r="AW60" s="1">
        <f t="shared" ca="1" si="35"/>
        <v>3.321365715585603E-2</v>
      </c>
      <c r="AY60" s="1">
        <f t="shared" ca="1" si="36"/>
        <v>1.5545224558476372</v>
      </c>
      <c r="AZ60" s="1">
        <f t="shared" ca="1" si="37"/>
        <v>490</v>
      </c>
      <c r="BA60" s="1">
        <f t="shared" ca="1" si="38"/>
        <v>5.7999195481563109E-3</v>
      </c>
    </row>
    <row r="61" spans="2:53" x14ac:dyDescent="0.25">
      <c r="B61">
        <f t="shared" ca="1" si="0"/>
        <v>253</v>
      </c>
      <c r="C61">
        <f t="shared" ca="1" si="1"/>
        <v>45</v>
      </c>
      <c r="D61">
        <f t="shared" ca="1" si="2"/>
        <v>0.23687259846382427</v>
      </c>
      <c r="F61" s="1">
        <f t="shared" ca="1" si="3"/>
        <v>37</v>
      </c>
      <c r="G61" s="1">
        <f t="shared" ca="1" si="4"/>
        <v>30</v>
      </c>
      <c r="H61" s="1">
        <f t="shared" ca="1" si="5"/>
        <v>10</v>
      </c>
      <c r="I61" s="1"/>
      <c r="J61" s="1">
        <f t="shared" ca="1" si="6"/>
        <v>4</v>
      </c>
      <c r="K61" s="1">
        <f t="shared" ca="1" si="7"/>
        <v>1.3975139381143071</v>
      </c>
      <c r="L61" s="1">
        <f t="shared" ca="1" si="8"/>
        <v>32</v>
      </c>
      <c r="M61" s="1"/>
      <c r="N61" s="1">
        <f t="shared" ca="1" si="9"/>
        <v>628</v>
      </c>
      <c r="O61" s="1">
        <f t="shared" ca="1" si="10"/>
        <v>8</v>
      </c>
      <c r="P61" s="1"/>
      <c r="Q61" s="1">
        <f t="shared" ca="1" si="11"/>
        <v>4.1044238360591185</v>
      </c>
      <c r="R61" s="1">
        <f t="shared" ca="1" si="12"/>
        <v>830</v>
      </c>
      <c r="S61" s="1"/>
      <c r="T61" s="1">
        <f t="shared" ca="1" si="13"/>
        <v>0.1216553289212939</v>
      </c>
      <c r="U61" s="1">
        <f t="shared" ca="1" si="14"/>
        <v>87</v>
      </c>
      <c r="V61" s="1">
        <f t="shared" ca="1" si="15"/>
        <v>7</v>
      </c>
      <c r="W61" s="1"/>
      <c r="X61" s="1">
        <f t="shared" ca="1" si="16"/>
        <v>6.5425097404878105</v>
      </c>
      <c r="Y61" s="1">
        <f t="shared" ca="1" si="17"/>
        <v>0.88249704940356621</v>
      </c>
      <c r="Z61" s="1">
        <f t="shared" ca="1" si="18"/>
        <v>1917</v>
      </c>
      <c r="AB61" s="1">
        <f t="shared" ca="1" si="19"/>
        <v>0.10820317899309999</v>
      </c>
      <c r="AC61" s="1">
        <f t="shared" ca="1" si="20"/>
        <v>952</v>
      </c>
      <c r="AD61" s="1">
        <f t="shared" ca="1" si="21"/>
        <v>3.0804360373079898E-3</v>
      </c>
      <c r="AE61" s="1"/>
      <c r="AF61" s="1">
        <f t="shared" ca="1" si="22"/>
        <v>0.44523961603118967</v>
      </c>
      <c r="AG61" s="1">
        <f t="shared" ca="1" si="23"/>
        <v>384</v>
      </c>
      <c r="AH61" s="1">
        <f t="shared" ca="1" si="24"/>
        <v>9.7281528458742616E-3</v>
      </c>
      <c r="AJ61" s="1">
        <f t="shared" ca="1" si="25"/>
        <v>0.88449955399728741</v>
      </c>
      <c r="AK61" s="1">
        <f t="shared" ca="1" si="26"/>
        <v>3.6167252121911925E-4</v>
      </c>
      <c r="AL61" s="1"/>
      <c r="AM61" s="1">
        <f t="shared" ca="1" si="27"/>
        <v>6.2913821848986709E-2</v>
      </c>
      <c r="AN61" s="1">
        <f t="shared" ca="1" si="28"/>
        <v>65</v>
      </c>
      <c r="AO61" s="1">
        <f t="shared" ca="1" si="29"/>
        <v>19</v>
      </c>
      <c r="AQ61" s="1">
        <f t="shared" ca="1" si="30"/>
        <v>24</v>
      </c>
      <c r="AR61" s="1">
        <f t="shared" ca="1" si="31"/>
        <v>7</v>
      </c>
      <c r="AS61" s="1">
        <f t="shared" ca="1" si="32"/>
        <v>8</v>
      </c>
      <c r="AU61" s="1">
        <f t="shared" ca="1" si="33"/>
        <v>361</v>
      </c>
      <c r="AV61" s="1">
        <f t="shared" ca="1" si="34"/>
        <v>7</v>
      </c>
      <c r="AW61" s="1">
        <f t="shared" ca="1" si="35"/>
        <v>0.1515201183081237</v>
      </c>
      <c r="AY61" s="1">
        <f t="shared" ca="1" si="36"/>
        <v>1.9609006508347533</v>
      </c>
      <c r="AZ61" s="1">
        <f t="shared" ca="1" si="37"/>
        <v>51</v>
      </c>
      <c r="BA61" s="1">
        <f t="shared" ca="1" si="38"/>
        <v>2.1662664681507864E-3</v>
      </c>
    </row>
    <row r="62" spans="2:53" x14ac:dyDescent="0.25">
      <c r="B62">
        <f t="shared" ca="1" si="0"/>
        <v>334</v>
      </c>
      <c r="C62">
        <f t="shared" ca="1" si="1"/>
        <v>52</v>
      </c>
      <c r="D62">
        <f t="shared" ca="1" si="2"/>
        <v>6.3725037045122418E-2</v>
      </c>
      <c r="F62" s="1">
        <f t="shared" ca="1" si="3"/>
        <v>35</v>
      </c>
      <c r="G62" s="1">
        <f t="shared" ca="1" si="4"/>
        <v>22</v>
      </c>
      <c r="H62" s="1">
        <f t="shared" ca="1" si="5"/>
        <v>2</v>
      </c>
      <c r="I62" s="1"/>
      <c r="J62" s="1">
        <f t="shared" ca="1" si="6"/>
        <v>5</v>
      </c>
      <c r="K62" s="1">
        <f t="shared" ca="1" si="7"/>
        <v>1.5986907243905237</v>
      </c>
      <c r="L62" s="1">
        <f t="shared" ca="1" si="8"/>
        <v>18</v>
      </c>
      <c r="M62" s="1"/>
      <c r="N62" s="1">
        <f t="shared" ca="1" si="9"/>
        <v>440</v>
      </c>
      <c r="O62" s="1">
        <f t="shared" ca="1" si="10"/>
        <v>14</v>
      </c>
      <c r="P62" s="1"/>
      <c r="Q62" s="1">
        <f t="shared" ca="1" si="11"/>
        <v>1.6216680331903155</v>
      </c>
      <c r="R62" s="1">
        <f t="shared" ca="1" si="12"/>
        <v>802</v>
      </c>
      <c r="S62" s="1"/>
      <c r="T62" s="1">
        <f t="shared" ca="1" si="13"/>
        <v>6.8568166277432119E-2</v>
      </c>
      <c r="U62" s="1">
        <f t="shared" ca="1" si="14"/>
        <v>269</v>
      </c>
      <c r="V62" s="1">
        <f t="shared" ca="1" si="15"/>
        <v>48</v>
      </c>
      <c r="W62" s="1"/>
      <c r="X62" s="1">
        <f t="shared" ca="1" si="16"/>
        <v>2.0228703494960012</v>
      </c>
      <c r="Y62" s="1">
        <f t="shared" ca="1" si="17"/>
        <v>0.87619445602189683</v>
      </c>
      <c r="Z62" s="1">
        <f t="shared" ca="1" si="18"/>
        <v>1643</v>
      </c>
      <c r="AB62" s="1">
        <f t="shared" ca="1" si="19"/>
        <v>0.41290126676498001</v>
      </c>
      <c r="AC62" s="1">
        <f t="shared" ca="1" si="20"/>
        <v>986</v>
      </c>
      <c r="AD62" s="1">
        <f t="shared" ca="1" si="21"/>
        <v>5.5134301993397718E-3</v>
      </c>
      <c r="AE62" s="1"/>
      <c r="AF62" s="1">
        <f t="shared" ca="1" si="22"/>
        <v>0.2314915166383166</v>
      </c>
      <c r="AG62" s="1">
        <f t="shared" ca="1" si="23"/>
        <v>565</v>
      </c>
      <c r="AH62" s="1">
        <f t="shared" ca="1" si="24"/>
        <v>3.4735291765038445E-3</v>
      </c>
      <c r="AJ62" s="1">
        <f t="shared" ca="1" si="25"/>
        <v>0.60435278138668957</v>
      </c>
      <c r="AK62" s="1">
        <f t="shared" ca="1" si="26"/>
        <v>6.7180288539474657E-3</v>
      </c>
      <c r="AL62" s="1"/>
      <c r="AM62" s="1">
        <f t="shared" ca="1" si="27"/>
        <v>8.5888858756908541E-3</v>
      </c>
      <c r="AN62" s="1">
        <f t="shared" ca="1" si="28"/>
        <v>51</v>
      </c>
      <c r="AO62" s="1">
        <f t="shared" ca="1" si="29"/>
        <v>7</v>
      </c>
      <c r="AQ62" s="1">
        <f t="shared" ca="1" si="30"/>
        <v>39</v>
      </c>
      <c r="AR62" s="1">
        <f t="shared" ca="1" si="31"/>
        <v>0</v>
      </c>
      <c r="AS62" s="1">
        <f t="shared" ca="1" si="32"/>
        <v>35</v>
      </c>
      <c r="AU62" s="1">
        <f t="shared" ca="1" si="33"/>
        <v>255</v>
      </c>
      <c r="AV62" s="1">
        <f t="shared" ca="1" si="34"/>
        <v>5</v>
      </c>
      <c r="AW62" s="1">
        <f t="shared" ca="1" si="35"/>
        <v>0.18629837925697637</v>
      </c>
      <c r="AY62" s="1">
        <f t="shared" ca="1" si="36"/>
        <v>1.6437000725054907</v>
      </c>
      <c r="AZ62" s="1">
        <f t="shared" ca="1" si="37"/>
        <v>254</v>
      </c>
      <c r="BA62" s="1">
        <f t="shared" ca="1" si="38"/>
        <v>9.3417011158214124E-3</v>
      </c>
    </row>
    <row r="63" spans="2:53" x14ac:dyDescent="0.25">
      <c r="B63">
        <f t="shared" ca="1" si="0"/>
        <v>957</v>
      </c>
      <c r="C63">
        <f t="shared" ca="1" si="1"/>
        <v>15</v>
      </c>
      <c r="D63">
        <f t="shared" ca="1" si="2"/>
        <v>0.15053136583882473</v>
      </c>
      <c r="F63" s="1">
        <f t="shared" ca="1" si="3"/>
        <v>49</v>
      </c>
      <c r="G63" s="1">
        <f t="shared" ca="1" si="4"/>
        <v>15</v>
      </c>
      <c r="H63" s="1">
        <f t="shared" ca="1" si="5"/>
        <v>2</v>
      </c>
      <c r="I63" s="1"/>
      <c r="J63" s="1">
        <f t="shared" ca="1" si="6"/>
        <v>37</v>
      </c>
      <c r="K63" s="1">
        <f t="shared" ca="1" si="7"/>
        <v>2.3422792612690575</v>
      </c>
      <c r="L63" s="1">
        <f t="shared" ca="1" si="8"/>
        <v>34</v>
      </c>
      <c r="M63" s="1"/>
      <c r="N63" s="1">
        <f t="shared" ca="1" si="9"/>
        <v>940</v>
      </c>
      <c r="O63" s="1">
        <f t="shared" ca="1" si="10"/>
        <v>34</v>
      </c>
      <c r="P63" s="1"/>
      <c r="Q63" s="1">
        <f t="shared" ca="1" si="11"/>
        <v>2.8877953055591319</v>
      </c>
      <c r="R63" s="1">
        <f t="shared" ca="1" si="12"/>
        <v>214</v>
      </c>
      <c r="S63" s="1"/>
      <c r="T63" s="1">
        <f t="shared" ca="1" si="13"/>
        <v>5.4057703045626029E-2</v>
      </c>
      <c r="U63" s="1">
        <f t="shared" ca="1" si="14"/>
        <v>398</v>
      </c>
      <c r="V63" s="1">
        <f t="shared" ca="1" si="15"/>
        <v>37</v>
      </c>
      <c r="W63" s="1"/>
      <c r="X63" s="1">
        <f t="shared" ca="1" si="16"/>
        <v>9.7564184099438513</v>
      </c>
      <c r="Y63" s="1">
        <f t="shared" ca="1" si="17"/>
        <v>0.81070957731199755</v>
      </c>
      <c r="Z63" s="1">
        <f t="shared" ca="1" si="18"/>
        <v>250</v>
      </c>
      <c r="AB63" s="1">
        <f t="shared" ca="1" si="19"/>
        <v>0.20451792923090484</v>
      </c>
      <c r="AC63" s="1">
        <f t="shared" ca="1" si="20"/>
        <v>589</v>
      </c>
      <c r="AD63" s="1">
        <f t="shared" ca="1" si="21"/>
        <v>3.3005582822413855E-3</v>
      </c>
      <c r="AE63" s="1"/>
      <c r="AF63" s="1">
        <f t="shared" ca="1" si="22"/>
        <v>0.64694365541622989</v>
      </c>
      <c r="AG63" s="1">
        <f t="shared" ca="1" si="23"/>
        <v>443</v>
      </c>
      <c r="AH63" s="1">
        <f t="shared" ca="1" si="24"/>
        <v>7.2469314308831181E-3</v>
      </c>
      <c r="AJ63" s="1">
        <f t="shared" ca="1" si="25"/>
        <v>0.94093839906116439</v>
      </c>
      <c r="AK63" s="1">
        <f t="shared" ca="1" si="26"/>
        <v>8.5836266706573253E-3</v>
      </c>
      <c r="AL63" s="1"/>
      <c r="AM63" s="1">
        <f t="shared" ca="1" si="27"/>
        <v>0.10969998577028701</v>
      </c>
      <c r="AN63" s="1">
        <f t="shared" ca="1" si="28"/>
        <v>42</v>
      </c>
      <c r="AO63" s="1">
        <f t="shared" ca="1" si="29"/>
        <v>13</v>
      </c>
      <c r="AQ63" s="1">
        <f t="shared" ca="1" si="30"/>
        <v>21</v>
      </c>
      <c r="AR63" s="1">
        <f t="shared" ca="1" si="31"/>
        <v>0</v>
      </c>
      <c r="AS63" s="1">
        <f t="shared" ca="1" si="32"/>
        <v>94</v>
      </c>
      <c r="AU63" s="1">
        <f t="shared" ca="1" si="33"/>
        <v>156</v>
      </c>
      <c r="AV63" s="1">
        <f t="shared" ca="1" si="34"/>
        <v>9</v>
      </c>
      <c r="AW63" s="1">
        <f t="shared" ca="1" si="35"/>
        <v>9.819405036957328E-2</v>
      </c>
      <c r="AY63" s="1">
        <f t="shared" ca="1" si="36"/>
        <v>1.6987002242718028</v>
      </c>
      <c r="AZ63" s="1">
        <f t="shared" ca="1" si="37"/>
        <v>281</v>
      </c>
      <c r="BA63" s="1">
        <f t="shared" ca="1" si="38"/>
        <v>2.2655431622077555E-3</v>
      </c>
    </row>
    <row r="64" spans="2:53" x14ac:dyDescent="0.25">
      <c r="B64">
        <f t="shared" ca="1" si="0"/>
        <v>573</v>
      </c>
      <c r="C64">
        <f t="shared" ca="1" si="1"/>
        <v>20</v>
      </c>
      <c r="D64">
        <f t="shared" ca="1" si="2"/>
        <v>3.5952819439534822E-2</v>
      </c>
      <c r="F64" s="1">
        <f t="shared" ca="1" si="3"/>
        <v>12</v>
      </c>
      <c r="G64" s="1">
        <f t="shared" ca="1" si="4"/>
        <v>15</v>
      </c>
      <c r="H64" s="1">
        <f t="shared" ca="1" si="5"/>
        <v>15</v>
      </c>
      <c r="I64" s="1"/>
      <c r="J64" s="1">
        <f t="shared" ca="1" si="6"/>
        <v>9</v>
      </c>
      <c r="K64" s="1">
        <f t="shared" ca="1" si="7"/>
        <v>1.9124884076472959</v>
      </c>
      <c r="L64" s="1">
        <f t="shared" ca="1" si="8"/>
        <v>27</v>
      </c>
      <c r="M64" s="1"/>
      <c r="N64" s="1">
        <f t="shared" ca="1" si="9"/>
        <v>187</v>
      </c>
      <c r="O64" s="1">
        <f t="shared" ca="1" si="10"/>
        <v>34</v>
      </c>
      <c r="P64" s="1"/>
      <c r="Q64" s="1">
        <f t="shared" ca="1" si="11"/>
        <v>4.8538388962196928</v>
      </c>
      <c r="R64" s="1">
        <f t="shared" ca="1" si="12"/>
        <v>1138</v>
      </c>
      <c r="S64" s="1"/>
      <c r="T64" s="1">
        <f t="shared" ca="1" si="13"/>
        <v>6.6706435011835097E-2</v>
      </c>
      <c r="U64" s="1">
        <f t="shared" ca="1" si="14"/>
        <v>65</v>
      </c>
      <c r="V64" s="1">
        <f t="shared" ca="1" si="15"/>
        <v>37</v>
      </c>
      <c r="W64" s="1"/>
      <c r="X64" s="1">
        <f t="shared" ca="1" si="16"/>
        <v>7.4209553130158374</v>
      </c>
      <c r="Y64" s="1">
        <f t="shared" ca="1" si="17"/>
        <v>0.57693498821708211</v>
      </c>
      <c r="Z64" s="1">
        <f t="shared" ca="1" si="18"/>
        <v>177</v>
      </c>
      <c r="AB64" s="1">
        <f t="shared" ca="1" si="19"/>
        <v>1.1467387994214446E-3</v>
      </c>
      <c r="AC64" s="1">
        <f t="shared" ca="1" si="20"/>
        <v>641</v>
      </c>
      <c r="AD64" s="1">
        <f t="shared" ca="1" si="21"/>
        <v>4.6669721469744206E-3</v>
      </c>
      <c r="AE64" s="1"/>
      <c r="AF64" s="1">
        <f t="shared" ca="1" si="22"/>
        <v>0.61599940766939676</v>
      </c>
      <c r="AG64" s="1">
        <f t="shared" ca="1" si="23"/>
        <v>187</v>
      </c>
      <c r="AH64" s="1">
        <f t="shared" ca="1" si="24"/>
        <v>7.4622785885031743E-3</v>
      </c>
      <c r="AJ64" s="1">
        <f t="shared" ca="1" si="25"/>
        <v>0.16731519902806014</v>
      </c>
      <c r="AK64" s="1">
        <f t="shared" ca="1" si="26"/>
        <v>6.6965183075245625E-3</v>
      </c>
      <c r="AL64" s="1"/>
      <c r="AM64" s="1">
        <f t="shared" ca="1" si="27"/>
        <v>6.276751048664958E-2</v>
      </c>
      <c r="AN64" s="1">
        <f t="shared" ca="1" si="28"/>
        <v>12</v>
      </c>
      <c r="AO64" s="1">
        <f t="shared" ca="1" si="29"/>
        <v>8</v>
      </c>
      <c r="AQ64" s="1">
        <f t="shared" ca="1" si="30"/>
        <v>143</v>
      </c>
      <c r="AR64" s="1">
        <f t="shared" ca="1" si="31"/>
        <v>10</v>
      </c>
      <c r="AS64" s="1">
        <f t="shared" ca="1" si="32"/>
        <v>44</v>
      </c>
      <c r="AU64" s="1">
        <f t="shared" ca="1" si="33"/>
        <v>271</v>
      </c>
      <c r="AV64" s="1">
        <f t="shared" ca="1" si="34"/>
        <v>8</v>
      </c>
      <c r="AW64" s="1">
        <f t="shared" ca="1" si="35"/>
        <v>9.3805510000133568E-2</v>
      </c>
      <c r="AY64" s="1">
        <f t="shared" ca="1" si="36"/>
        <v>1.4348900628734405</v>
      </c>
      <c r="AZ64" s="1">
        <f t="shared" ca="1" si="37"/>
        <v>231</v>
      </c>
      <c r="BA64" s="1">
        <f t="shared" ca="1" si="38"/>
        <v>7.9215930607172969E-3</v>
      </c>
    </row>
    <row r="65" spans="2:53" x14ac:dyDescent="0.25">
      <c r="B65">
        <f t="shared" ca="1" si="0"/>
        <v>963</v>
      </c>
      <c r="C65">
        <f t="shared" ca="1" si="1"/>
        <v>36</v>
      </c>
      <c r="D65">
        <f t="shared" ca="1" si="2"/>
        <v>1.7810134530522569E-2</v>
      </c>
      <c r="F65" s="1">
        <f t="shared" ca="1" si="3"/>
        <v>42</v>
      </c>
      <c r="G65" s="1">
        <f t="shared" ca="1" si="4"/>
        <v>27</v>
      </c>
      <c r="H65" s="1">
        <f t="shared" ca="1" si="5"/>
        <v>9</v>
      </c>
      <c r="I65" s="1"/>
      <c r="J65" s="1">
        <f t="shared" ca="1" si="6"/>
        <v>24</v>
      </c>
      <c r="K65" s="1">
        <f t="shared" ca="1" si="7"/>
        <v>2.0292291480586657</v>
      </c>
      <c r="L65" s="1">
        <f t="shared" ca="1" si="8"/>
        <v>18</v>
      </c>
      <c r="M65" s="1"/>
      <c r="N65" s="1">
        <f t="shared" ca="1" si="9"/>
        <v>578</v>
      </c>
      <c r="O65" s="1">
        <f t="shared" ca="1" si="10"/>
        <v>25</v>
      </c>
      <c r="P65" s="1"/>
      <c r="Q65" s="1">
        <f t="shared" ca="1" si="11"/>
        <v>4.2916192415389753</v>
      </c>
      <c r="R65" s="1">
        <f t="shared" ca="1" si="12"/>
        <v>641</v>
      </c>
      <c r="S65" s="1"/>
      <c r="T65" s="1">
        <f t="shared" ca="1" si="13"/>
        <v>0.14701224182984041</v>
      </c>
      <c r="U65" s="1">
        <f t="shared" ca="1" si="14"/>
        <v>405</v>
      </c>
      <c r="V65" s="1">
        <f t="shared" ca="1" si="15"/>
        <v>4</v>
      </c>
      <c r="W65" s="1"/>
      <c r="X65" s="1">
        <f t="shared" ca="1" si="16"/>
        <v>2.8482344597665938</v>
      </c>
      <c r="Y65" s="1">
        <f t="shared" ca="1" si="17"/>
        <v>0.77530367767009245</v>
      </c>
      <c r="Z65" s="1">
        <f t="shared" ca="1" si="18"/>
        <v>538</v>
      </c>
      <c r="AB65" s="1">
        <f t="shared" ca="1" si="19"/>
        <v>0.97503647701725071</v>
      </c>
      <c r="AC65" s="1">
        <f t="shared" ca="1" si="20"/>
        <v>899</v>
      </c>
      <c r="AD65" s="1">
        <f t="shared" ca="1" si="21"/>
        <v>2.6264862041060783E-3</v>
      </c>
      <c r="AE65" s="1"/>
      <c r="AF65" s="1">
        <f t="shared" ca="1" si="22"/>
        <v>0.1131739011856662</v>
      </c>
      <c r="AG65" s="1">
        <f t="shared" ca="1" si="23"/>
        <v>459</v>
      </c>
      <c r="AH65" s="1">
        <f t="shared" ca="1" si="24"/>
        <v>3.0023049562810347E-3</v>
      </c>
      <c r="AJ65" s="1">
        <f t="shared" ca="1" si="25"/>
        <v>0.32151084784213213</v>
      </c>
      <c r="AK65" s="1">
        <f t="shared" ca="1" si="26"/>
        <v>3.5409491896570252E-3</v>
      </c>
      <c r="AL65" s="1"/>
      <c r="AM65" s="1">
        <f t="shared" ca="1" si="27"/>
        <v>0.14037271601320236</v>
      </c>
      <c r="AN65" s="1">
        <f t="shared" ca="1" si="28"/>
        <v>62</v>
      </c>
      <c r="AO65" s="1">
        <f t="shared" ca="1" si="29"/>
        <v>5</v>
      </c>
      <c r="AQ65" s="1">
        <f t="shared" ca="1" si="30"/>
        <v>49</v>
      </c>
      <c r="AR65" s="1">
        <f t="shared" ca="1" si="31"/>
        <v>10</v>
      </c>
      <c r="AS65" s="1">
        <f t="shared" ca="1" si="32"/>
        <v>100</v>
      </c>
      <c r="AU65" s="1">
        <f t="shared" ca="1" si="33"/>
        <v>83</v>
      </c>
      <c r="AV65" s="1">
        <f t="shared" ca="1" si="34"/>
        <v>10</v>
      </c>
      <c r="AW65" s="1">
        <f t="shared" ca="1" si="35"/>
        <v>5.3212295564408735E-2</v>
      </c>
      <c r="AY65" s="1">
        <f t="shared" ca="1" si="36"/>
        <v>1.401456826555302</v>
      </c>
      <c r="AZ65" s="1">
        <f t="shared" ca="1" si="37"/>
        <v>202</v>
      </c>
      <c r="BA65" s="1">
        <f t="shared" ca="1" si="38"/>
        <v>5.130355073323236E-3</v>
      </c>
    </row>
    <row r="66" spans="2:53" x14ac:dyDescent="0.25">
      <c r="B66">
        <f t="shared" ca="1" si="0"/>
        <v>116</v>
      </c>
      <c r="C66">
        <f t="shared" ca="1" si="1"/>
        <v>19</v>
      </c>
      <c r="D66">
        <f t="shared" ca="1" si="2"/>
        <v>0.17597884651514226</v>
      </c>
      <c r="F66" s="1">
        <f t="shared" ca="1" si="3"/>
        <v>33</v>
      </c>
      <c r="G66" s="1">
        <f t="shared" ca="1" si="4"/>
        <v>26</v>
      </c>
      <c r="H66" s="1">
        <f t="shared" ca="1" si="5"/>
        <v>10</v>
      </c>
      <c r="I66" s="1"/>
      <c r="J66" s="1">
        <f t="shared" ca="1" si="6"/>
        <v>31</v>
      </c>
      <c r="K66" s="1">
        <f t="shared" ca="1" si="7"/>
        <v>2.0901964505972916</v>
      </c>
      <c r="L66" s="1">
        <f t="shared" ca="1" si="8"/>
        <v>12</v>
      </c>
      <c r="M66" s="1"/>
      <c r="N66" s="1">
        <f t="shared" ca="1" si="9"/>
        <v>96</v>
      </c>
      <c r="O66" s="1">
        <f t="shared" ca="1" si="10"/>
        <v>9</v>
      </c>
      <c r="P66" s="1"/>
      <c r="Q66" s="1">
        <f t="shared" ca="1" si="11"/>
        <v>3.8205825105503073</v>
      </c>
      <c r="R66" s="1">
        <f t="shared" ca="1" si="12"/>
        <v>434</v>
      </c>
      <c r="S66" s="1"/>
      <c r="T66" s="1">
        <f t="shared" ca="1" si="13"/>
        <v>0.18545788908016589</v>
      </c>
      <c r="U66" s="1">
        <f t="shared" ca="1" si="14"/>
        <v>80</v>
      </c>
      <c r="V66" s="1">
        <f t="shared" ca="1" si="15"/>
        <v>11</v>
      </c>
      <c r="W66" s="1"/>
      <c r="X66" s="1">
        <f t="shared" ca="1" si="16"/>
        <v>6.872454971794415</v>
      </c>
      <c r="Y66" s="1">
        <f t="shared" ca="1" si="17"/>
        <v>0.3972036960390315</v>
      </c>
      <c r="Z66" s="1">
        <f t="shared" ca="1" si="18"/>
        <v>1720</v>
      </c>
      <c r="AB66" s="1">
        <f t="shared" ca="1" si="19"/>
        <v>0.11858084055182511</v>
      </c>
      <c r="AC66" s="1">
        <f t="shared" ca="1" si="20"/>
        <v>223</v>
      </c>
      <c r="AD66" s="1">
        <f t="shared" ca="1" si="21"/>
        <v>9.314511363578127E-3</v>
      </c>
      <c r="AE66" s="1"/>
      <c r="AF66" s="1">
        <f t="shared" ca="1" si="22"/>
        <v>0.75735800643304518</v>
      </c>
      <c r="AG66" s="1">
        <f t="shared" ca="1" si="23"/>
        <v>873</v>
      </c>
      <c r="AH66" s="1">
        <f t="shared" ca="1" si="24"/>
        <v>1.7719324353850658E-3</v>
      </c>
      <c r="AJ66" s="1">
        <f t="shared" ca="1" si="25"/>
        <v>0.93196434766835967</v>
      </c>
      <c r="AK66" s="1">
        <f t="shared" ca="1" si="26"/>
        <v>7.9406670082594662E-3</v>
      </c>
      <c r="AL66" s="1"/>
      <c r="AM66" s="1">
        <f t="shared" ca="1" si="27"/>
        <v>6.5486316151404614E-2</v>
      </c>
      <c r="AN66" s="1">
        <f t="shared" ca="1" si="28"/>
        <v>75</v>
      </c>
      <c r="AO66" s="1">
        <f t="shared" ca="1" si="29"/>
        <v>6</v>
      </c>
      <c r="AQ66" s="1">
        <f t="shared" ca="1" si="30"/>
        <v>88</v>
      </c>
      <c r="AR66" s="1">
        <f t="shared" ca="1" si="31"/>
        <v>8</v>
      </c>
      <c r="AS66" s="1">
        <f t="shared" ca="1" si="32"/>
        <v>72</v>
      </c>
      <c r="AU66" s="1">
        <f t="shared" ca="1" si="33"/>
        <v>251</v>
      </c>
      <c r="AV66" s="1">
        <f t="shared" ca="1" si="34"/>
        <v>2</v>
      </c>
      <c r="AW66" s="1">
        <f t="shared" ca="1" si="35"/>
        <v>0.15675225046118865</v>
      </c>
      <c r="AY66" s="1">
        <f t="shared" ca="1" si="36"/>
        <v>1.8519433127993752</v>
      </c>
      <c r="AZ66" s="1">
        <f t="shared" ca="1" si="37"/>
        <v>206</v>
      </c>
      <c r="BA66" s="1">
        <f t="shared" ca="1" si="38"/>
        <v>5.8651127344086585E-3</v>
      </c>
    </row>
    <row r="67" spans="2:53" x14ac:dyDescent="0.25">
      <c r="B67">
        <f t="shared" ca="1" si="0"/>
        <v>282</v>
      </c>
      <c r="C67">
        <f t="shared" ca="1" si="1"/>
        <v>7</v>
      </c>
      <c r="D67">
        <f t="shared" ca="1" si="2"/>
        <v>0.13367906923405695</v>
      </c>
      <c r="F67" s="1">
        <f t="shared" ca="1" si="3"/>
        <v>34</v>
      </c>
      <c r="G67" s="1">
        <f t="shared" ca="1" si="4"/>
        <v>24</v>
      </c>
      <c r="H67" s="1">
        <f t="shared" ca="1" si="5"/>
        <v>13</v>
      </c>
      <c r="I67" s="1"/>
      <c r="J67" s="1">
        <f t="shared" ca="1" si="6"/>
        <v>8</v>
      </c>
      <c r="K67" s="1">
        <f t="shared" ca="1" si="7"/>
        <v>2.9434658287226938</v>
      </c>
      <c r="L67" s="1">
        <f t="shared" ca="1" si="8"/>
        <v>34</v>
      </c>
      <c r="M67" s="1"/>
      <c r="N67" s="1">
        <f t="shared" ca="1" si="9"/>
        <v>914</v>
      </c>
      <c r="O67" s="1">
        <f t="shared" ca="1" si="10"/>
        <v>37</v>
      </c>
      <c r="P67" s="1"/>
      <c r="Q67" s="1">
        <f t="shared" ca="1" si="11"/>
        <v>1.2980079484563833</v>
      </c>
      <c r="R67" s="1">
        <f t="shared" ca="1" si="12"/>
        <v>770</v>
      </c>
      <c r="S67" s="1"/>
      <c r="T67" s="1">
        <f t="shared" ca="1" si="13"/>
        <v>0.19404137414700273</v>
      </c>
      <c r="U67" s="1">
        <f t="shared" ca="1" si="14"/>
        <v>55</v>
      </c>
      <c r="V67" s="1">
        <f t="shared" ca="1" si="15"/>
        <v>3</v>
      </c>
      <c r="W67" s="1"/>
      <c r="X67" s="1">
        <f t="shared" ca="1" si="16"/>
        <v>4.2650947613731995</v>
      </c>
      <c r="Y67" s="1">
        <f t="shared" ca="1" si="17"/>
        <v>0.50893929903103219</v>
      </c>
      <c r="Z67" s="1">
        <f t="shared" ca="1" si="18"/>
        <v>1942</v>
      </c>
      <c r="AB67" s="1">
        <f t="shared" ca="1" si="19"/>
        <v>0.73027590109150042</v>
      </c>
      <c r="AC67" s="1">
        <f t="shared" ca="1" si="20"/>
        <v>354</v>
      </c>
      <c r="AD67" s="1">
        <f t="shared" ca="1" si="21"/>
        <v>6.396000073476819E-3</v>
      </c>
      <c r="AE67" s="1"/>
      <c r="AF67" s="1">
        <f t="shared" ca="1" si="22"/>
        <v>0.68534438609677162</v>
      </c>
      <c r="AG67" s="1">
        <f t="shared" ca="1" si="23"/>
        <v>314</v>
      </c>
      <c r="AH67" s="1">
        <f t="shared" ca="1" si="24"/>
        <v>3.1001861214949543E-3</v>
      </c>
      <c r="AJ67" s="1">
        <f t="shared" ca="1" si="25"/>
        <v>0.52183236067858274</v>
      </c>
      <c r="AK67" s="1">
        <f t="shared" ca="1" si="26"/>
        <v>2.6766618314703281E-4</v>
      </c>
      <c r="AL67" s="1"/>
      <c r="AM67" s="1">
        <f t="shared" ca="1" si="27"/>
        <v>0.13516305005745771</v>
      </c>
      <c r="AN67" s="1">
        <f t="shared" ca="1" si="28"/>
        <v>68</v>
      </c>
      <c r="AO67" s="1">
        <f t="shared" ca="1" si="29"/>
        <v>20</v>
      </c>
      <c r="AQ67" s="1">
        <f t="shared" ca="1" si="30"/>
        <v>192</v>
      </c>
      <c r="AR67" s="1">
        <f t="shared" ca="1" si="31"/>
        <v>4</v>
      </c>
      <c r="AS67" s="1">
        <f t="shared" ca="1" si="32"/>
        <v>32</v>
      </c>
      <c r="AU67" s="1">
        <f t="shared" ca="1" si="33"/>
        <v>165</v>
      </c>
      <c r="AV67" s="1">
        <f t="shared" ca="1" si="34"/>
        <v>4</v>
      </c>
      <c r="AW67" s="1">
        <f t="shared" ca="1" si="35"/>
        <v>0.15150227588981854</v>
      </c>
      <c r="AY67" s="1">
        <f t="shared" ca="1" si="36"/>
        <v>1.380986433249823</v>
      </c>
      <c r="AZ67" s="1">
        <f t="shared" ca="1" si="37"/>
        <v>326</v>
      </c>
      <c r="BA67" s="1">
        <f t="shared" ca="1" si="38"/>
        <v>7.7410611097359448E-3</v>
      </c>
    </row>
    <row r="68" spans="2:53" x14ac:dyDescent="0.25">
      <c r="B68">
        <f t="shared" ref="B68:B131" ca="1" si="39">RANDBETWEEN(15,1000)</f>
        <v>160</v>
      </c>
      <c r="C68">
        <f t="shared" ref="C68:C131" ca="1" si="40">RANDBETWEEN(2,52)</f>
        <v>21</v>
      </c>
      <c r="D68">
        <f t="shared" ref="D68:D131" ca="1" si="41">RAND()*(0.3-0.01)+0.01</f>
        <v>0.23417048820282876</v>
      </c>
      <c r="F68" s="1">
        <f t="shared" ref="F68:F131" ca="1" si="42">RANDBETWEEN(2,52)</f>
        <v>10</v>
      </c>
      <c r="G68" s="1">
        <f t="shared" ref="G68:G131" ca="1" si="43">RANDBETWEEN(2,30)</f>
        <v>22</v>
      </c>
      <c r="H68" s="1">
        <f t="shared" ref="H68:H131" ca="1" si="44">RANDBETWEEN(1,15)</f>
        <v>4</v>
      </c>
      <c r="I68" s="1"/>
      <c r="J68" s="1">
        <f t="shared" ref="J68:J131" ca="1" si="45">RANDBETWEEN(1,39)</f>
        <v>15</v>
      </c>
      <c r="K68" s="1">
        <f t="shared" ref="K68:K131" ca="1" si="46">RAND()*(3-1)+1</f>
        <v>2.2023594243416733</v>
      </c>
      <c r="L68" s="1">
        <f t="shared" ref="L68:L131" ca="1" si="47">RANDBETWEEN(2,35)</f>
        <v>7</v>
      </c>
      <c r="M68" s="1"/>
      <c r="N68" s="1">
        <f t="shared" ref="N68:N131" ca="1" si="48">RANDBETWEEN(15,1000)</f>
        <v>744</v>
      </c>
      <c r="O68" s="1">
        <f t="shared" ref="O68:O131" ca="1" si="49">RANDBETWEEN(2,52)</f>
        <v>16</v>
      </c>
      <c r="P68" s="1"/>
      <c r="Q68" s="1">
        <f t="shared" ref="Q68:Q131" ca="1" si="50">RAND()*(5-0.01)+0.01</f>
        <v>4.1189260740345626</v>
      </c>
      <c r="R68" s="1">
        <f t="shared" ref="R68:R131" ca="1" si="51">RANDBETWEEN(200,1200)</f>
        <v>1062</v>
      </c>
      <c r="S68" s="1"/>
      <c r="T68" s="1">
        <f t="shared" ref="T68:T131" ca="1" si="52">RAND()*(0.2-0.01)+0.01</f>
        <v>0.13214498526250754</v>
      </c>
      <c r="U68" s="1">
        <f t="shared" ref="U68:U131" ca="1" si="53">RANDBETWEEN(50,450)</f>
        <v>204</v>
      </c>
      <c r="V68" s="1">
        <f t="shared" ref="V68:V131" ca="1" si="54">RANDBETWEEN(2,52)</f>
        <v>6</v>
      </c>
      <c r="W68" s="1"/>
      <c r="X68" s="1">
        <f t="shared" ref="X68:X131" ca="1" si="55">RAND()*(10-0.01)+0.01</f>
        <v>6.8429503340600233</v>
      </c>
      <c r="Y68" s="1">
        <f t="shared" ref="Y68:Y131" ca="1" si="56">RAND()*(1-0.0001)+0.0001</f>
        <v>0.55878621620108482</v>
      </c>
      <c r="Z68" s="1">
        <f t="shared" ref="Z68:Z131" ca="1" si="57">RANDBETWEEN(100,2000)</f>
        <v>401</v>
      </c>
      <c r="AB68" s="1">
        <f t="shared" ref="AB68:AB131" ca="1" si="58">RAND()*(1-0.0001)+0.0001</f>
        <v>0.64899110494889134</v>
      </c>
      <c r="AC68" s="1">
        <f t="shared" ref="AC68:AC131" ca="1" si="59">RANDBETWEEN(100,1000)</f>
        <v>187</v>
      </c>
      <c r="AD68" s="1">
        <f t="shared" ref="AD68:AD131" ca="1" si="60">RAND()*(0.01-0.00001)+0.00001</f>
        <v>7.2291440038618569E-3</v>
      </c>
      <c r="AE68" s="1"/>
      <c r="AF68" s="1">
        <f t="shared" ref="AF68:AF131" ca="1" si="61">RAND()*(0.9-0.1)+0.1</f>
        <v>0.23680576867521355</v>
      </c>
      <c r="AG68" s="1">
        <f t="shared" ref="AG68:AG131" ca="1" si="62">RANDBETWEEN(100,1000)</f>
        <v>701</v>
      </c>
      <c r="AH68" s="1">
        <f t="shared" ref="AH68:AH131" ca="1" si="63">RAND()*(0.01-0.00001)+0.00001</f>
        <v>8.8614784864185438E-4</v>
      </c>
      <c r="AJ68" s="1">
        <f t="shared" ref="AJ68:AJ131" ca="1" si="64">RAND()*(1-0)+0</f>
        <v>3.1975245913120953E-2</v>
      </c>
      <c r="AK68" s="1">
        <f t="shared" ref="AK68:AK131" ca="1" si="65">RAND()*(0.01-0.00001)+0.00001</f>
        <v>4.0416051162953017E-3</v>
      </c>
      <c r="AL68" s="1"/>
      <c r="AM68" s="1">
        <f t="shared" ref="AM68:AM131" ca="1" si="66">RAND()*(0.2-0.005)+0.005</f>
        <v>0.17213609893685597</v>
      </c>
      <c r="AN68" s="1">
        <f t="shared" ref="AN68:AN131" ca="1" si="67">RANDBETWEEN(10,80)</f>
        <v>43</v>
      </c>
      <c r="AO68" s="1">
        <f t="shared" ref="AO68:AO131" ca="1" si="68">RANDBETWEEN(-1,20)</f>
        <v>-1</v>
      </c>
      <c r="AQ68" s="1">
        <f t="shared" ref="AQ68:AQ131" ca="1" si="69">RANDBETWEEN(10,200)</f>
        <v>72</v>
      </c>
      <c r="AR68" s="1">
        <f t="shared" ref="AR68:AR131" ca="1" si="70">RANDBETWEEN(0,10)</f>
        <v>8</v>
      </c>
      <c r="AS68" s="1">
        <f t="shared" ref="AS68:AS131" ca="1" si="71">RANDBETWEEN(1,100)</f>
        <v>25</v>
      </c>
      <c r="AU68" s="1">
        <f t="shared" ref="AU68:AU131" ca="1" si="72">RANDBETWEEN(50,400)</f>
        <v>192</v>
      </c>
      <c r="AV68" s="1">
        <f t="shared" ref="AV68:AV131" ca="1" si="73">RANDBETWEEN(2,10)</f>
        <v>10</v>
      </c>
      <c r="AW68" s="1">
        <f t="shared" ref="AW68:AW131" ca="1" si="74">RAND()*(0.2-0.01)+0.01</f>
        <v>0.17493910193915024</v>
      </c>
      <c r="AY68" s="1">
        <f t="shared" ref="AY68:AY131" ca="1" si="75">RAND()*(2-1.1)+1.1</f>
        <v>1.4818733654035705</v>
      </c>
      <c r="AZ68" s="1">
        <f t="shared" ref="AZ68:AZ131" ca="1" si="76">RANDBETWEEN(50,500)</f>
        <v>95</v>
      </c>
      <c r="BA68" s="1">
        <f t="shared" ref="BA68:BA131" ca="1" si="77">RAND()*(0.01-0.00001)+0.00001</f>
        <v>8.6938379160512134E-3</v>
      </c>
    </row>
    <row r="69" spans="2:53" x14ac:dyDescent="0.25">
      <c r="B69">
        <f t="shared" ca="1" si="39"/>
        <v>763</v>
      </c>
      <c r="C69">
        <f t="shared" ca="1" si="40"/>
        <v>13</v>
      </c>
      <c r="D69">
        <f t="shared" ca="1" si="41"/>
        <v>0.28915721102216507</v>
      </c>
      <c r="F69" s="1">
        <f t="shared" ca="1" si="42"/>
        <v>42</v>
      </c>
      <c r="G69" s="1">
        <f t="shared" ca="1" si="43"/>
        <v>29</v>
      </c>
      <c r="H69" s="1">
        <f t="shared" ca="1" si="44"/>
        <v>14</v>
      </c>
      <c r="I69" s="1"/>
      <c r="J69" s="1">
        <f t="shared" ca="1" si="45"/>
        <v>8</v>
      </c>
      <c r="K69" s="1">
        <f t="shared" ca="1" si="46"/>
        <v>2.1567674320002315</v>
      </c>
      <c r="L69" s="1">
        <f t="shared" ca="1" si="47"/>
        <v>30</v>
      </c>
      <c r="M69" s="1"/>
      <c r="N69" s="1">
        <f t="shared" ca="1" si="48"/>
        <v>218</v>
      </c>
      <c r="O69" s="1">
        <f t="shared" ca="1" si="49"/>
        <v>20</v>
      </c>
      <c r="P69" s="1"/>
      <c r="Q69" s="1">
        <f t="shared" ca="1" si="50"/>
        <v>6.8088006545002869E-2</v>
      </c>
      <c r="R69" s="1">
        <f t="shared" ca="1" si="51"/>
        <v>473</v>
      </c>
      <c r="S69" s="1"/>
      <c r="T69" s="1">
        <f t="shared" ca="1" si="52"/>
        <v>8.4103533567871591E-2</v>
      </c>
      <c r="U69" s="1">
        <f t="shared" ca="1" si="53"/>
        <v>449</v>
      </c>
      <c r="V69" s="1">
        <f t="shared" ca="1" si="54"/>
        <v>22</v>
      </c>
      <c r="W69" s="1"/>
      <c r="X69" s="1">
        <f t="shared" ca="1" si="55"/>
        <v>0.54316260851501419</v>
      </c>
      <c r="Y69" s="1">
        <f t="shared" ca="1" si="56"/>
        <v>0.61535950592208044</v>
      </c>
      <c r="Z69" s="1">
        <f t="shared" ca="1" si="57"/>
        <v>725</v>
      </c>
      <c r="AB69" s="1">
        <f t="shared" ca="1" si="58"/>
        <v>0.40382057592662862</v>
      </c>
      <c r="AC69" s="1">
        <f t="shared" ca="1" si="59"/>
        <v>814</v>
      </c>
      <c r="AD69" s="1">
        <f t="shared" ca="1" si="60"/>
        <v>5.0620741916725955E-4</v>
      </c>
      <c r="AE69" s="1"/>
      <c r="AF69" s="1">
        <f t="shared" ca="1" si="61"/>
        <v>0.33130050151446266</v>
      </c>
      <c r="AG69" s="1">
        <f t="shared" ca="1" si="62"/>
        <v>154</v>
      </c>
      <c r="AH69" s="1">
        <f t="shared" ca="1" si="63"/>
        <v>5.3248346390949658E-3</v>
      </c>
      <c r="AJ69" s="1">
        <f t="shared" ca="1" si="64"/>
        <v>0.11107396498767064</v>
      </c>
      <c r="AK69" s="1">
        <f t="shared" ca="1" si="65"/>
        <v>9.0405632801473235E-3</v>
      </c>
      <c r="AL69" s="1"/>
      <c r="AM69" s="1">
        <f t="shared" ca="1" si="66"/>
        <v>0.13389227469340398</v>
      </c>
      <c r="AN69" s="1">
        <f t="shared" ca="1" si="67"/>
        <v>26</v>
      </c>
      <c r="AO69" s="1">
        <f t="shared" ca="1" si="68"/>
        <v>20</v>
      </c>
      <c r="AQ69" s="1">
        <f t="shared" ca="1" si="69"/>
        <v>157</v>
      </c>
      <c r="AR69" s="1">
        <f t="shared" ca="1" si="70"/>
        <v>0</v>
      </c>
      <c r="AS69" s="1">
        <f t="shared" ca="1" si="71"/>
        <v>58</v>
      </c>
      <c r="AU69" s="1">
        <f t="shared" ca="1" si="72"/>
        <v>263</v>
      </c>
      <c r="AV69" s="1">
        <f t="shared" ca="1" si="73"/>
        <v>7</v>
      </c>
      <c r="AW69" s="1">
        <f t="shared" ca="1" si="74"/>
        <v>0.10250449473361604</v>
      </c>
      <c r="AY69" s="1">
        <f t="shared" ca="1" si="75"/>
        <v>1.4944913999570129</v>
      </c>
      <c r="AZ69" s="1">
        <f t="shared" ca="1" si="76"/>
        <v>393</v>
      </c>
      <c r="BA69" s="1">
        <f t="shared" ca="1" si="77"/>
        <v>4.782919190272854E-3</v>
      </c>
    </row>
    <row r="70" spans="2:53" x14ac:dyDescent="0.25">
      <c r="B70">
        <f t="shared" ca="1" si="39"/>
        <v>545</v>
      </c>
      <c r="C70">
        <f t="shared" ca="1" si="40"/>
        <v>29</v>
      </c>
      <c r="D70">
        <f t="shared" ca="1" si="41"/>
        <v>3.864945438061515E-2</v>
      </c>
      <c r="F70" s="1">
        <f t="shared" ca="1" si="42"/>
        <v>29</v>
      </c>
      <c r="G70" s="1">
        <f t="shared" ca="1" si="43"/>
        <v>17</v>
      </c>
      <c r="H70" s="1">
        <f t="shared" ca="1" si="44"/>
        <v>13</v>
      </c>
      <c r="I70" s="1"/>
      <c r="J70" s="1">
        <f t="shared" ca="1" si="45"/>
        <v>39</v>
      </c>
      <c r="K70" s="1">
        <f t="shared" ca="1" si="46"/>
        <v>1.3422344109458393</v>
      </c>
      <c r="L70" s="1">
        <f t="shared" ca="1" si="47"/>
        <v>12</v>
      </c>
      <c r="M70" s="1"/>
      <c r="N70" s="1">
        <f t="shared" ca="1" si="48"/>
        <v>520</v>
      </c>
      <c r="O70" s="1">
        <f t="shared" ca="1" si="49"/>
        <v>3</v>
      </c>
      <c r="P70" s="1"/>
      <c r="Q70" s="1">
        <f t="shared" ca="1" si="50"/>
        <v>2.6890085355210536</v>
      </c>
      <c r="R70" s="1">
        <f t="shared" ca="1" si="51"/>
        <v>252</v>
      </c>
      <c r="S70" s="1"/>
      <c r="T70" s="1">
        <f t="shared" ca="1" si="52"/>
        <v>0.17524788319027071</v>
      </c>
      <c r="U70" s="1">
        <f t="shared" ca="1" si="53"/>
        <v>419</v>
      </c>
      <c r="V70" s="1">
        <f t="shared" ca="1" si="54"/>
        <v>45</v>
      </c>
      <c r="W70" s="1"/>
      <c r="X70" s="1">
        <f t="shared" ca="1" si="55"/>
        <v>4.0934834214632918</v>
      </c>
      <c r="Y70" s="1">
        <f t="shared" ca="1" si="56"/>
        <v>0.38162321748826655</v>
      </c>
      <c r="Z70" s="1">
        <f t="shared" ca="1" si="57"/>
        <v>497</v>
      </c>
      <c r="AB70" s="1">
        <f t="shared" ca="1" si="58"/>
        <v>0.3047700521646094</v>
      </c>
      <c r="AC70" s="1">
        <f t="shared" ca="1" si="59"/>
        <v>294</v>
      </c>
      <c r="AD70" s="1">
        <f t="shared" ca="1" si="60"/>
        <v>6.5015986846177296E-3</v>
      </c>
      <c r="AE70" s="1"/>
      <c r="AF70" s="1">
        <f t="shared" ca="1" si="61"/>
        <v>0.28697404159868345</v>
      </c>
      <c r="AG70" s="1">
        <f t="shared" ca="1" si="62"/>
        <v>438</v>
      </c>
      <c r="AH70" s="1">
        <f t="shared" ca="1" si="63"/>
        <v>7.7276808167167071E-3</v>
      </c>
      <c r="AJ70" s="1">
        <f t="shared" ca="1" si="64"/>
        <v>0.48296756485607029</v>
      </c>
      <c r="AK70" s="1">
        <f t="shared" ca="1" si="65"/>
        <v>7.3372945817384641E-3</v>
      </c>
      <c r="AL70" s="1"/>
      <c r="AM70" s="1">
        <f t="shared" ca="1" si="66"/>
        <v>0.17738768264581029</v>
      </c>
      <c r="AN70" s="1">
        <f t="shared" ca="1" si="67"/>
        <v>61</v>
      </c>
      <c r="AO70" s="1">
        <f t="shared" ca="1" si="68"/>
        <v>18</v>
      </c>
      <c r="AQ70" s="1">
        <f t="shared" ca="1" si="69"/>
        <v>176</v>
      </c>
      <c r="AR70" s="1">
        <f t="shared" ca="1" si="70"/>
        <v>0</v>
      </c>
      <c r="AS70" s="1">
        <f t="shared" ca="1" si="71"/>
        <v>29</v>
      </c>
      <c r="AU70" s="1">
        <f t="shared" ca="1" si="72"/>
        <v>152</v>
      </c>
      <c r="AV70" s="1">
        <f t="shared" ca="1" si="73"/>
        <v>10</v>
      </c>
      <c r="AW70" s="1">
        <f t="shared" ca="1" si="74"/>
        <v>1.4116901544153904E-2</v>
      </c>
      <c r="AY70" s="1">
        <f t="shared" ca="1" si="75"/>
        <v>1.2460499627788457</v>
      </c>
      <c r="AZ70" s="1">
        <f t="shared" ca="1" si="76"/>
        <v>298</v>
      </c>
      <c r="BA70" s="1">
        <f t="shared" ca="1" si="77"/>
        <v>6.1166254108317355E-3</v>
      </c>
    </row>
    <row r="71" spans="2:53" x14ac:dyDescent="0.25">
      <c r="B71">
        <f t="shared" ca="1" si="39"/>
        <v>263</v>
      </c>
      <c r="C71">
        <f t="shared" ca="1" si="40"/>
        <v>20</v>
      </c>
      <c r="D71">
        <f t="shared" ca="1" si="41"/>
        <v>0.10317987826957174</v>
      </c>
      <c r="F71" s="1">
        <f t="shared" ca="1" si="42"/>
        <v>20</v>
      </c>
      <c r="G71" s="1">
        <f t="shared" ca="1" si="43"/>
        <v>22</v>
      </c>
      <c r="H71" s="1">
        <f t="shared" ca="1" si="44"/>
        <v>13</v>
      </c>
      <c r="I71" s="1"/>
      <c r="J71" s="1">
        <f t="shared" ca="1" si="45"/>
        <v>27</v>
      </c>
      <c r="K71" s="1">
        <f t="shared" ca="1" si="46"/>
        <v>1.9697173940811765</v>
      </c>
      <c r="L71" s="1">
        <f t="shared" ca="1" si="47"/>
        <v>7</v>
      </c>
      <c r="M71" s="1"/>
      <c r="N71" s="1">
        <f t="shared" ca="1" si="48"/>
        <v>324</v>
      </c>
      <c r="O71" s="1">
        <f t="shared" ca="1" si="49"/>
        <v>29</v>
      </c>
      <c r="P71" s="1"/>
      <c r="Q71" s="1">
        <f t="shared" ca="1" si="50"/>
        <v>0.20778472360879882</v>
      </c>
      <c r="R71" s="1">
        <f t="shared" ca="1" si="51"/>
        <v>592</v>
      </c>
      <c r="S71" s="1"/>
      <c r="T71" s="1">
        <f t="shared" ca="1" si="52"/>
        <v>0.13612544791930184</v>
      </c>
      <c r="U71" s="1">
        <f t="shared" ca="1" si="53"/>
        <v>201</v>
      </c>
      <c r="V71" s="1">
        <f t="shared" ca="1" si="54"/>
        <v>25</v>
      </c>
      <c r="W71" s="1"/>
      <c r="X71" s="1">
        <f t="shared" ca="1" si="55"/>
        <v>4.5844127919525306</v>
      </c>
      <c r="Y71" s="1">
        <f t="shared" ca="1" si="56"/>
        <v>0.75081684898004553</v>
      </c>
      <c r="Z71" s="1">
        <f t="shared" ca="1" si="57"/>
        <v>1861</v>
      </c>
      <c r="AB71" s="1">
        <f t="shared" ca="1" si="58"/>
        <v>0.33571901409400906</v>
      </c>
      <c r="AC71" s="1">
        <f t="shared" ca="1" si="59"/>
        <v>952</v>
      </c>
      <c r="AD71" s="1">
        <f t="shared" ca="1" si="60"/>
        <v>7.1858607841627457E-3</v>
      </c>
      <c r="AE71" s="1"/>
      <c r="AF71" s="1">
        <f t="shared" ca="1" si="61"/>
        <v>0.37761629112302775</v>
      </c>
      <c r="AG71" s="1">
        <f t="shared" ca="1" si="62"/>
        <v>786</v>
      </c>
      <c r="AH71" s="1">
        <f t="shared" ca="1" si="63"/>
        <v>2.9853649425105439E-3</v>
      </c>
      <c r="AJ71" s="1">
        <f t="shared" ca="1" si="64"/>
        <v>0.72442283307113209</v>
      </c>
      <c r="AK71" s="1">
        <f t="shared" ca="1" si="65"/>
        <v>8.3559268791340655E-3</v>
      </c>
      <c r="AL71" s="1"/>
      <c r="AM71" s="1">
        <f t="shared" ca="1" si="66"/>
        <v>7.9350341988787917E-2</v>
      </c>
      <c r="AN71" s="1">
        <f t="shared" ca="1" si="67"/>
        <v>25</v>
      </c>
      <c r="AO71" s="1">
        <f t="shared" ca="1" si="68"/>
        <v>14</v>
      </c>
      <c r="AQ71" s="1">
        <f t="shared" ca="1" si="69"/>
        <v>56</v>
      </c>
      <c r="AR71" s="1">
        <f t="shared" ca="1" si="70"/>
        <v>7</v>
      </c>
      <c r="AS71" s="1">
        <f t="shared" ca="1" si="71"/>
        <v>22</v>
      </c>
      <c r="AU71" s="1">
        <f t="shared" ca="1" si="72"/>
        <v>118</v>
      </c>
      <c r="AV71" s="1">
        <f t="shared" ca="1" si="73"/>
        <v>9</v>
      </c>
      <c r="AW71" s="1">
        <f t="shared" ca="1" si="74"/>
        <v>8.978035583925574E-2</v>
      </c>
      <c r="AY71" s="1">
        <f t="shared" ca="1" si="75"/>
        <v>1.3714973050042978</v>
      </c>
      <c r="AZ71" s="1">
        <f t="shared" ca="1" si="76"/>
        <v>431</v>
      </c>
      <c r="BA71" s="1">
        <f t="shared" ca="1" si="77"/>
        <v>7.8018721372327031E-3</v>
      </c>
    </row>
    <row r="72" spans="2:53" x14ac:dyDescent="0.25">
      <c r="B72">
        <f t="shared" ca="1" si="39"/>
        <v>144</v>
      </c>
      <c r="C72">
        <f t="shared" ca="1" si="40"/>
        <v>14</v>
      </c>
      <c r="D72">
        <f t="shared" ca="1" si="41"/>
        <v>1.3709542706278431E-2</v>
      </c>
      <c r="F72" s="1">
        <f t="shared" ca="1" si="42"/>
        <v>11</v>
      </c>
      <c r="G72" s="1">
        <f t="shared" ca="1" si="43"/>
        <v>30</v>
      </c>
      <c r="H72" s="1">
        <f t="shared" ca="1" si="44"/>
        <v>12</v>
      </c>
      <c r="I72" s="1"/>
      <c r="J72" s="1">
        <f t="shared" ca="1" si="45"/>
        <v>9</v>
      </c>
      <c r="K72" s="1">
        <f t="shared" ca="1" si="46"/>
        <v>1.5045073170714811</v>
      </c>
      <c r="L72" s="1">
        <f t="shared" ca="1" si="47"/>
        <v>25</v>
      </c>
      <c r="M72" s="1"/>
      <c r="N72" s="1">
        <f t="shared" ca="1" si="48"/>
        <v>768</v>
      </c>
      <c r="O72" s="1">
        <f t="shared" ca="1" si="49"/>
        <v>15</v>
      </c>
      <c r="P72" s="1"/>
      <c r="Q72" s="1">
        <f t="shared" ca="1" si="50"/>
        <v>1.1670698337732972</v>
      </c>
      <c r="R72" s="1">
        <f t="shared" ca="1" si="51"/>
        <v>1103</v>
      </c>
      <c r="S72" s="1"/>
      <c r="T72" s="1">
        <f t="shared" ca="1" si="52"/>
        <v>3.160248920422197E-2</v>
      </c>
      <c r="U72" s="1">
        <f t="shared" ca="1" si="53"/>
        <v>195</v>
      </c>
      <c r="V72" s="1">
        <f t="shared" ca="1" si="54"/>
        <v>42</v>
      </c>
      <c r="W72" s="1"/>
      <c r="X72" s="1">
        <f t="shared" ca="1" si="55"/>
        <v>8.0674349584708569</v>
      </c>
      <c r="Y72" s="1">
        <f t="shared" ca="1" si="56"/>
        <v>0.86323688419517686</v>
      </c>
      <c r="Z72" s="1">
        <f t="shared" ca="1" si="57"/>
        <v>847</v>
      </c>
      <c r="AB72" s="1">
        <f t="shared" ca="1" si="58"/>
        <v>0.28663234268778293</v>
      </c>
      <c r="AC72" s="1">
        <f t="shared" ca="1" si="59"/>
        <v>283</v>
      </c>
      <c r="AD72" s="1">
        <f t="shared" ca="1" si="60"/>
        <v>1.2620425054894119E-3</v>
      </c>
      <c r="AE72" s="1"/>
      <c r="AF72" s="1">
        <f t="shared" ca="1" si="61"/>
        <v>0.60724727320670202</v>
      </c>
      <c r="AG72" s="1">
        <f t="shared" ca="1" si="62"/>
        <v>744</v>
      </c>
      <c r="AH72" s="1">
        <f t="shared" ca="1" si="63"/>
        <v>2.3747788673662991E-3</v>
      </c>
      <c r="AJ72" s="1">
        <f t="shared" ca="1" si="64"/>
        <v>0.94936414683773473</v>
      </c>
      <c r="AK72" s="1">
        <f t="shared" ca="1" si="65"/>
        <v>4.3810271434457197E-3</v>
      </c>
      <c r="AL72" s="1"/>
      <c r="AM72" s="1">
        <f t="shared" ca="1" si="66"/>
        <v>5.4482678893941483E-2</v>
      </c>
      <c r="AN72" s="1">
        <f t="shared" ca="1" si="67"/>
        <v>52</v>
      </c>
      <c r="AO72" s="1">
        <f t="shared" ca="1" si="68"/>
        <v>12</v>
      </c>
      <c r="AQ72" s="1">
        <f t="shared" ca="1" si="69"/>
        <v>14</v>
      </c>
      <c r="AR72" s="1">
        <f t="shared" ca="1" si="70"/>
        <v>2</v>
      </c>
      <c r="AS72" s="1">
        <f t="shared" ca="1" si="71"/>
        <v>85</v>
      </c>
      <c r="AU72" s="1">
        <f t="shared" ca="1" si="72"/>
        <v>129</v>
      </c>
      <c r="AV72" s="1">
        <f t="shared" ca="1" si="73"/>
        <v>4</v>
      </c>
      <c r="AW72" s="1">
        <f t="shared" ca="1" si="74"/>
        <v>0.15974159658461115</v>
      </c>
      <c r="AY72" s="1">
        <f t="shared" ca="1" si="75"/>
        <v>1.8062709539704684</v>
      </c>
      <c r="AZ72" s="1">
        <f t="shared" ca="1" si="76"/>
        <v>61</v>
      </c>
      <c r="BA72" s="1">
        <f t="shared" ca="1" si="77"/>
        <v>1.4208999409919142E-3</v>
      </c>
    </row>
    <row r="73" spans="2:53" x14ac:dyDescent="0.25">
      <c r="B73">
        <f t="shared" ca="1" si="39"/>
        <v>652</v>
      </c>
      <c r="C73">
        <f t="shared" ca="1" si="40"/>
        <v>38</v>
      </c>
      <c r="D73">
        <f t="shared" ca="1" si="41"/>
        <v>1.7503043679822805E-2</v>
      </c>
      <c r="F73" s="1">
        <f t="shared" ca="1" si="42"/>
        <v>30</v>
      </c>
      <c r="G73" s="1">
        <f t="shared" ca="1" si="43"/>
        <v>26</v>
      </c>
      <c r="H73" s="1">
        <f t="shared" ca="1" si="44"/>
        <v>15</v>
      </c>
      <c r="I73" s="1"/>
      <c r="J73" s="1">
        <f t="shared" ca="1" si="45"/>
        <v>21</v>
      </c>
      <c r="K73" s="1">
        <f t="shared" ca="1" si="46"/>
        <v>2.7364529163600437</v>
      </c>
      <c r="L73" s="1">
        <f t="shared" ca="1" si="47"/>
        <v>25</v>
      </c>
      <c r="M73" s="1"/>
      <c r="N73" s="1">
        <f t="shared" ca="1" si="48"/>
        <v>237</v>
      </c>
      <c r="O73" s="1">
        <f t="shared" ca="1" si="49"/>
        <v>44</v>
      </c>
      <c r="P73" s="1"/>
      <c r="Q73" s="1">
        <f t="shared" ca="1" si="50"/>
        <v>4.2510796381372939</v>
      </c>
      <c r="R73" s="1">
        <f t="shared" ca="1" si="51"/>
        <v>1180</v>
      </c>
      <c r="S73" s="1"/>
      <c r="T73" s="1">
        <f t="shared" ca="1" si="52"/>
        <v>0.18921011243289196</v>
      </c>
      <c r="U73" s="1">
        <f t="shared" ca="1" si="53"/>
        <v>93</v>
      </c>
      <c r="V73" s="1">
        <f t="shared" ca="1" si="54"/>
        <v>7</v>
      </c>
      <c r="W73" s="1"/>
      <c r="X73" s="1">
        <f t="shared" ca="1" si="55"/>
        <v>9.4495426664316327</v>
      </c>
      <c r="Y73" s="1">
        <f t="shared" ca="1" si="56"/>
        <v>0.55377726219215695</v>
      </c>
      <c r="Z73" s="1">
        <f t="shared" ca="1" si="57"/>
        <v>710</v>
      </c>
      <c r="AB73" s="1">
        <f t="shared" ca="1" si="58"/>
        <v>0.5231945061011346</v>
      </c>
      <c r="AC73" s="1">
        <f t="shared" ca="1" si="59"/>
        <v>923</v>
      </c>
      <c r="AD73" s="1">
        <f t="shared" ca="1" si="60"/>
        <v>2.1690147761888523E-4</v>
      </c>
      <c r="AE73" s="1"/>
      <c r="AF73" s="1">
        <f t="shared" ca="1" si="61"/>
        <v>0.75474041449932916</v>
      </c>
      <c r="AG73" s="1">
        <f t="shared" ca="1" si="62"/>
        <v>271</v>
      </c>
      <c r="AH73" s="1">
        <f t="shared" ca="1" si="63"/>
        <v>1.7089761366966734E-3</v>
      </c>
      <c r="AJ73" s="1">
        <f t="shared" ca="1" si="64"/>
        <v>0.26767791454032674</v>
      </c>
      <c r="AK73" s="1">
        <f t="shared" ca="1" si="65"/>
        <v>9.5362336036447452E-3</v>
      </c>
      <c r="AL73" s="1"/>
      <c r="AM73" s="1">
        <f t="shared" ca="1" si="66"/>
        <v>7.439360494205155E-2</v>
      </c>
      <c r="AN73" s="1">
        <f t="shared" ca="1" si="67"/>
        <v>69</v>
      </c>
      <c r="AO73" s="1">
        <f t="shared" ca="1" si="68"/>
        <v>18</v>
      </c>
      <c r="AQ73" s="1">
        <f t="shared" ca="1" si="69"/>
        <v>96</v>
      </c>
      <c r="AR73" s="1">
        <f t="shared" ca="1" si="70"/>
        <v>3</v>
      </c>
      <c r="AS73" s="1">
        <f t="shared" ca="1" si="71"/>
        <v>85</v>
      </c>
      <c r="AU73" s="1">
        <f t="shared" ca="1" si="72"/>
        <v>277</v>
      </c>
      <c r="AV73" s="1">
        <f t="shared" ca="1" si="73"/>
        <v>3</v>
      </c>
      <c r="AW73" s="1">
        <f t="shared" ca="1" si="74"/>
        <v>0.12802370835480775</v>
      </c>
      <c r="AY73" s="1">
        <f t="shared" ca="1" si="75"/>
        <v>1.8047138005640404</v>
      </c>
      <c r="AZ73" s="1">
        <f t="shared" ca="1" si="76"/>
        <v>290</v>
      </c>
      <c r="BA73" s="1">
        <f t="shared" ca="1" si="77"/>
        <v>5.719165411897543E-3</v>
      </c>
    </row>
    <row r="74" spans="2:53" x14ac:dyDescent="0.25">
      <c r="B74">
        <f t="shared" ca="1" si="39"/>
        <v>237</v>
      </c>
      <c r="C74">
        <f t="shared" ca="1" si="40"/>
        <v>41</v>
      </c>
      <c r="D74">
        <f t="shared" ca="1" si="41"/>
        <v>0.14215945834532484</v>
      </c>
      <c r="F74" s="1">
        <f t="shared" ca="1" si="42"/>
        <v>24</v>
      </c>
      <c r="G74" s="1">
        <f t="shared" ca="1" si="43"/>
        <v>10</v>
      </c>
      <c r="H74" s="1">
        <f t="shared" ca="1" si="44"/>
        <v>1</v>
      </c>
      <c r="I74" s="1"/>
      <c r="J74" s="1">
        <f t="shared" ca="1" si="45"/>
        <v>2</v>
      </c>
      <c r="K74" s="1">
        <f t="shared" ca="1" si="46"/>
        <v>2.6369399250556169</v>
      </c>
      <c r="L74" s="1">
        <f t="shared" ca="1" si="47"/>
        <v>18</v>
      </c>
      <c r="M74" s="1"/>
      <c r="N74" s="1">
        <f t="shared" ca="1" si="48"/>
        <v>414</v>
      </c>
      <c r="O74" s="1">
        <f t="shared" ca="1" si="49"/>
        <v>20</v>
      </c>
      <c r="P74" s="1"/>
      <c r="Q74" s="1">
        <f t="shared" ca="1" si="50"/>
        <v>2.2759719498503532</v>
      </c>
      <c r="R74" s="1">
        <f t="shared" ca="1" si="51"/>
        <v>355</v>
      </c>
      <c r="S74" s="1"/>
      <c r="T74" s="1">
        <f t="shared" ca="1" si="52"/>
        <v>0.19046106880467514</v>
      </c>
      <c r="U74" s="1">
        <f t="shared" ca="1" si="53"/>
        <v>366</v>
      </c>
      <c r="V74" s="1">
        <f t="shared" ca="1" si="54"/>
        <v>48</v>
      </c>
      <c r="W74" s="1"/>
      <c r="X74" s="1">
        <f t="shared" ca="1" si="55"/>
        <v>1.0529274551231196</v>
      </c>
      <c r="Y74" s="1">
        <f t="shared" ca="1" si="56"/>
        <v>0.30007315062229173</v>
      </c>
      <c r="Z74" s="1">
        <f t="shared" ca="1" si="57"/>
        <v>814</v>
      </c>
      <c r="AB74" s="1">
        <f t="shared" ca="1" si="58"/>
        <v>0.37721196534166668</v>
      </c>
      <c r="AC74" s="1">
        <f t="shared" ca="1" si="59"/>
        <v>934</v>
      </c>
      <c r="AD74" s="1">
        <f t="shared" ca="1" si="60"/>
        <v>9.5780628004249191E-3</v>
      </c>
      <c r="AE74" s="1"/>
      <c r="AF74" s="1">
        <f t="shared" ca="1" si="61"/>
        <v>0.39874084396810738</v>
      </c>
      <c r="AG74" s="1">
        <f t="shared" ca="1" si="62"/>
        <v>711</v>
      </c>
      <c r="AH74" s="1">
        <f t="shared" ca="1" si="63"/>
        <v>5.2384212023603354E-4</v>
      </c>
      <c r="AJ74" s="1">
        <f t="shared" ca="1" si="64"/>
        <v>4.2278777225648212E-2</v>
      </c>
      <c r="AK74" s="1">
        <f t="shared" ca="1" si="65"/>
        <v>2.0034655882939282E-3</v>
      </c>
      <c r="AL74" s="1"/>
      <c r="AM74" s="1">
        <f t="shared" ca="1" si="66"/>
        <v>0.1547622856037445</v>
      </c>
      <c r="AN74" s="1">
        <f t="shared" ca="1" si="67"/>
        <v>11</v>
      </c>
      <c r="AO74" s="1">
        <f t="shared" ca="1" si="68"/>
        <v>8</v>
      </c>
      <c r="AQ74" s="1">
        <f t="shared" ca="1" si="69"/>
        <v>62</v>
      </c>
      <c r="AR74" s="1">
        <f t="shared" ca="1" si="70"/>
        <v>7</v>
      </c>
      <c r="AS74" s="1">
        <f t="shared" ca="1" si="71"/>
        <v>71</v>
      </c>
      <c r="AU74" s="1">
        <f t="shared" ca="1" si="72"/>
        <v>167</v>
      </c>
      <c r="AV74" s="1">
        <f t="shared" ca="1" si="73"/>
        <v>9</v>
      </c>
      <c r="AW74" s="1">
        <f t="shared" ca="1" si="74"/>
        <v>8.1801326796931903E-2</v>
      </c>
      <c r="AY74" s="1">
        <f t="shared" ca="1" si="75"/>
        <v>1.2494405098995653</v>
      </c>
      <c r="AZ74" s="1">
        <f t="shared" ca="1" si="76"/>
        <v>80</v>
      </c>
      <c r="BA74" s="1">
        <f t="shared" ca="1" si="77"/>
        <v>9.5183900689642196E-3</v>
      </c>
    </row>
    <row r="75" spans="2:53" x14ac:dyDescent="0.25">
      <c r="B75">
        <f t="shared" ca="1" si="39"/>
        <v>840</v>
      </c>
      <c r="C75">
        <f t="shared" ca="1" si="40"/>
        <v>36</v>
      </c>
      <c r="D75">
        <f t="shared" ca="1" si="41"/>
        <v>0.10060459239587853</v>
      </c>
      <c r="F75" s="1">
        <f t="shared" ca="1" si="42"/>
        <v>42</v>
      </c>
      <c r="G75" s="1">
        <f t="shared" ca="1" si="43"/>
        <v>19</v>
      </c>
      <c r="H75" s="1">
        <f t="shared" ca="1" si="44"/>
        <v>2</v>
      </c>
      <c r="I75" s="1"/>
      <c r="J75" s="1">
        <f t="shared" ca="1" si="45"/>
        <v>5</v>
      </c>
      <c r="K75" s="1">
        <f t="shared" ca="1" si="46"/>
        <v>2.3974806854373463</v>
      </c>
      <c r="L75" s="1">
        <f t="shared" ca="1" si="47"/>
        <v>26</v>
      </c>
      <c r="M75" s="1"/>
      <c r="N75" s="1">
        <f t="shared" ca="1" si="48"/>
        <v>57</v>
      </c>
      <c r="O75" s="1">
        <f t="shared" ca="1" si="49"/>
        <v>47</v>
      </c>
      <c r="P75" s="1"/>
      <c r="Q75" s="1">
        <f t="shared" ca="1" si="50"/>
        <v>3.2601581837349856</v>
      </c>
      <c r="R75" s="1">
        <f t="shared" ca="1" si="51"/>
        <v>631</v>
      </c>
      <c r="S75" s="1"/>
      <c r="T75" s="1">
        <f t="shared" ca="1" si="52"/>
        <v>1.520558230909197E-2</v>
      </c>
      <c r="U75" s="1">
        <f t="shared" ca="1" si="53"/>
        <v>93</v>
      </c>
      <c r="V75" s="1">
        <f t="shared" ca="1" si="54"/>
        <v>24</v>
      </c>
      <c r="W75" s="1"/>
      <c r="X75" s="1">
        <f t="shared" ca="1" si="55"/>
        <v>8.0949470893499615</v>
      </c>
      <c r="Y75" s="1">
        <f t="shared" ca="1" si="56"/>
        <v>0.94321985350682669</v>
      </c>
      <c r="Z75" s="1">
        <f t="shared" ca="1" si="57"/>
        <v>1134</v>
      </c>
      <c r="AB75" s="1">
        <f t="shared" ca="1" si="58"/>
        <v>0.69814401983935015</v>
      </c>
      <c r="AC75" s="1">
        <f t="shared" ca="1" si="59"/>
        <v>752</v>
      </c>
      <c r="AD75" s="1">
        <f t="shared" ca="1" si="60"/>
        <v>6.1819790629970613E-3</v>
      </c>
      <c r="AE75" s="1"/>
      <c r="AF75" s="1">
        <f t="shared" ca="1" si="61"/>
        <v>0.19073982279399032</v>
      </c>
      <c r="AG75" s="1">
        <f t="shared" ca="1" si="62"/>
        <v>612</v>
      </c>
      <c r="AH75" s="1">
        <f t="shared" ca="1" si="63"/>
        <v>1.8367277437474907E-3</v>
      </c>
      <c r="AJ75" s="1">
        <f t="shared" ca="1" si="64"/>
        <v>0.58214458102211997</v>
      </c>
      <c r="AK75" s="1">
        <f t="shared" ca="1" si="65"/>
        <v>2.3909642939526314E-4</v>
      </c>
      <c r="AL75" s="1"/>
      <c r="AM75" s="1">
        <f t="shared" ca="1" si="66"/>
        <v>1.7064767457142846E-2</v>
      </c>
      <c r="AN75" s="1">
        <f t="shared" ca="1" si="67"/>
        <v>55</v>
      </c>
      <c r="AO75" s="1">
        <f t="shared" ca="1" si="68"/>
        <v>18</v>
      </c>
      <c r="AQ75" s="1">
        <f t="shared" ca="1" si="69"/>
        <v>27</v>
      </c>
      <c r="AR75" s="1">
        <f t="shared" ca="1" si="70"/>
        <v>8</v>
      </c>
      <c r="AS75" s="1">
        <f t="shared" ca="1" si="71"/>
        <v>90</v>
      </c>
      <c r="AU75" s="1">
        <f t="shared" ca="1" si="72"/>
        <v>202</v>
      </c>
      <c r="AV75" s="1">
        <f t="shared" ca="1" si="73"/>
        <v>7</v>
      </c>
      <c r="AW75" s="1">
        <f t="shared" ca="1" si="74"/>
        <v>0.14256104928724891</v>
      </c>
      <c r="AY75" s="1">
        <f t="shared" ca="1" si="75"/>
        <v>1.771941639789901</v>
      </c>
      <c r="AZ75" s="1">
        <f t="shared" ca="1" si="76"/>
        <v>290</v>
      </c>
      <c r="BA75" s="1">
        <f t="shared" ca="1" si="77"/>
        <v>1.2700915778662092E-3</v>
      </c>
    </row>
    <row r="76" spans="2:53" x14ac:dyDescent="0.25">
      <c r="B76">
        <f t="shared" ca="1" si="39"/>
        <v>844</v>
      </c>
      <c r="C76">
        <f t="shared" ca="1" si="40"/>
        <v>44</v>
      </c>
      <c r="D76">
        <f t="shared" ca="1" si="41"/>
        <v>0.1327716100295579</v>
      </c>
      <c r="F76" s="1">
        <f t="shared" ca="1" si="42"/>
        <v>37</v>
      </c>
      <c r="G76" s="1">
        <f t="shared" ca="1" si="43"/>
        <v>7</v>
      </c>
      <c r="H76" s="1">
        <f t="shared" ca="1" si="44"/>
        <v>2</v>
      </c>
      <c r="I76" s="1"/>
      <c r="J76" s="1">
        <f t="shared" ca="1" si="45"/>
        <v>16</v>
      </c>
      <c r="K76" s="1">
        <f t="shared" ca="1" si="46"/>
        <v>1.2586227258222791</v>
      </c>
      <c r="L76" s="1">
        <f t="shared" ca="1" si="47"/>
        <v>12</v>
      </c>
      <c r="M76" s="1"/>
      <c r="N76" s="1">
        <f t="shared" ca="1" si="48"/>
        <v>358</v>
      </c>
      <c r="O76" s="1">
        <f t="shared" ca="1" si="49"/>
        <v>21</v>
      </c>
      <c r="P76" s="1"/>
      <c r="Q76" s="1">
        <f t="shared" ca="1" si="50"/>
        <v>4.1229465096681466</v>
      </c>
      <c r="R76" s="1">
        <f t="shared" ca="1" si="51"/>
        <v>632</v>
      </c>
      <c r="S76" s="1"/>
      <c r="T76" s="1">
        <f t="shared" ca="1" si="52"/>
        <v>0.12261298446871767</v>
      </c>
      <c r="U76" s="1">
        <f t="shared" ca="1" si="53"/>
        <v>386</v>
      </c>
      <c r="V76" s="1">
        <f t="shared" ca="1" si="54"/>
        <v>16</v>
      </c>
      <c r="W76" s="1"/>
      <c r="X76" s="1">
        <f t="shared" ca="1" si="55"/>
        <v>4.0570893106525716</v>
      </c>
      <c r="Y76" s="1">
        <f t="shared" ca="1" si="56"/>
        <v>0.62573162726395437</v>
      </c>
      <c r="Z76" s="1">
        <f t="shared" ca="1" si="57"/>
        <v>1761</v>
      </c>
      <c r="AB76" s="1">
        <f t="shared" ca="1" si="58"/>
        <v>0.65484822201184045</v>
      </c>
      <c r="AC76" s="1">
        <f t="shared" ca="1" si="59"/>
        <v>528</v>
      </c>
      <c r="AD76" s="1">
        <f t="shared" ca="1" si="60"/>
        <v>4.7185228124374508E-3</v>
      </c>
      <c r="AE76" s="1"/>
      <c r="AF76" s="1">
        <f t="shared" ca="1" si="61"/>
        <v>0.67075980284671677</v>
      </c>
      <c r="AG76" s="1">
        <f t="shared" ca="1" si="62"/>
        <v>245</v>
      </c>
      <c r="AH76" s="1">
        <f t="shared" ca="1" si="63"/>
        <v>7.0741184032302963E-3</v>
      </c>
      <c r="AJ76" s="1">
        <f t="shared" ca="1" si="64"/>
        <v>0.61814617400140182</v>
      </c>
      <c r="AK76" s="1">
        <f t="shared" ca="1" si="65"/>
        <v>2.3894392233302681E-3</v>
      </c>
      <c r="AL76" s="1"/>
      <c r="AM76" s="1">
        <f t="shared" ca="1" si="66"/>
        <v>0.10344530654131653</v>
      </c>
      <c r="AN76" s="1">
        <f t="shared" ca="1" si="67"/>
        <v>80</v>
      </c>
      <c r="AO76" s="1">
        <f t="shared" ca="1" si="68"/>
        <v>4</v>
      </c>
      <c r="AQ76" s="1">
        <f t="shared" ca="1" si="69"/>
        <v>111</v>
      </c>
      <c r="AR76" s="1">
        <f t="shared" ca="1" si="70"/>
        <v>1</v>
      </c>
      <c r="AS76" s="1">
        <f t="shared" ca="1" si="71"/>
        <v>79</v>
      </c>
      <c r="AU76" s="1">
        <f t="shared" ca="1" si="72"/>
        <v>167</v>
      </c>
      <c r="AV76" s="1">
        <f t="shared" ca="1" si="73"/>
        <v>3</v>
      </c>
      <c r="AW76" s="1">
        <f t="shared" ca="1" si="74"/>
        <v>0.1069575761262636</v>
      </c>
      <c r="AY76" s="1">
        <f t="shared" ca="1" si="75"/>
        <v>1.5068585550986588</v>
      </c>
      <c r="AZ76" s="1">
        <f t="shared" ca="1" si="76"/>
        <v>418</v>
      </c>
      <c r="BA76" s="1">
        <f t="shared" ca="1" si="77"/>
        <v>3.3180462856210327E-3</v>
      </c>
    </row>
    <row r="77" spans="2:53" x14ac:dyDescent="0.25">
      <c r="B77">
        <f t="shared" ca="1" si="39"/>
        <v>239</v>
      </c>
      <c r="C77">
        <f t="shared" ca="1" si="40"/>
        <v>10</v>
      </c>
      <c r="D77">
        <f t="shared" ca="1" si="41"/>
        <v>0.29429627325343943</v>
      </c>
      <c r="F77" s="1">
        <f t="shared" ca="1" si="42"/>
        <v>7</v>
      </c>
      <c r="G77" s="1">
        <f t="shared" ca="1" si="43"/>
        <v>11</v>
      </c>
      <c r="H77" s="1">
        <f t="shared" ca="1" si="44"/>
        <v>9</v>
      </c>
      <c r="I77" s="1"/>
      <c r="J77" s="1">
        <f t="shared" ca="1" si="45"/>
        <v>28</v>
      </c>
      <c r="K77" s="1">
        <f t="shared" ca="1" si="46"/>
        <v>1.9143031025587929</v>
      </c>
      <c r="L77" s="1">
        <f t="shared" ca="1" si="47"/>
        <v>35</v>
      </c>
      <c r="M77" s="1"/>
      <c r="N77" s="1">
        <f t="shared" ca="1" si="48"/>
        <v>765</v>
      </c>
      <c r="O77" s="1">
        <f t="shared" ca="1" si="49"/>
        <v>39</v>
      </c>
      <c r="P77" s="1"/>
      <c r="Q77" s="1">
        <f t="shared" ca="1" si="50"/>
        <v>1.7716856181427987</v>
      </c>
      <c r="R77" s="1">
        <f t="shared" ca="1" si="51"/>
        <v>423</v>
      </c>
      <c r="S77" s="1"/>
      <c r="T77" s="1">
        <f t="shared" ca="1" si="52"/>
        <v>9.149433104184293E-2</v>
      </c>
      <c r="U77" s="1">
        <f t="shared" ca="1" si="53"/>
        <v>321</v>
      </c>
      <c r="V77" s="1">
        <f t="shared" ca="1" si="54"/>
        <v>10</v>
      </c>
      <c r="W77" s="1"/>
      <c r="X77" s="1">
        <f t="shared" ca="1" si="55"/>
        <v>7.5373512451652367</v>
      </c>
      <c r="Y77" s="1">
        <f t="shared" ca="1" si="56"/>
        <v>4.3112457437498183E-2</v>
      </c>
      <c r="Z77" s="1">
        <f t="shared" ca="1" si="57"/>
        <v>1254</v>
      </c>
      <c r="AB77" s="1">
        <f t="shared" ca="1" si="58"/>
        <v>0.7787553535858015</v>
      </c>
      <c r="AC77" s="1">
        <f t="shared" ca="1" si="59"/>
        <v>247</v>
      </c>
      <c r="AD77" s="1">
        <f t="shared" ca="1" si="60"/>
        <v>3.6023133088724357E-3</v>
      </c>
      <c r="AE77" s="1"/>
      <c r="AF77" s="1">
        <f t="shared" ca="1" si="61"/>
        <v>0.3712931756621316</v>
      </c>
      <c r="AG77" s="1">
        <f t="shared" ca="1" si="62"/>
        <v>249</v>
      </c>
      <c r="AH77" s="1">
        <f t="shared" ca="1" si="63"/>
        <v>7.6119182323500616E-3</v>
      </c>
      <c r="AJ77" s="1">
        <f t="shared" ca="1" si="64"/>
        <v>0.83202638300152676</v>
      </c>
      <c r="AK77" s="1">
        <f t="shared" ca="1" si="65"/>
        <v>2.2656124567785388E-3</v>
      </c>
      <c r="AL77" s="1"/>
      <c r="AM77" s="1">
        <f t="shared" ca="1" si="66"/>
        <v>0.19034814067099348</v>
      </c>
      <c r="AN77" s="1">
        <f t="shared" ca="1" si="67"/>
        <v>26</v>
      </c>
      <c r="AO77" s="1">
        <f t="shared" ca="1" si="68"/>
        <v>15</v>
      </c>
      <c r="AQ77" s="1">
        <f t="shared" ca="1" si="69"/>
        <v>51</v>
      </c>
      <c r="AR77" s="1">
        <f t="shared" ca="1" si="70"/>
        <v>1</v>
      </c>
      <c r="AS77" s="1">
        <f t="shared" ca="1" si="71"/>
        <v>25</v>
      </c>
      <c r="AU77" s="1">
        <f t="shared" ca="1" si="72"/>
        <v>99</v>
      </c>
      <c r="AV77" s="1">
        <f t="shared" ca="1" si="73"/>
        <v>4</v>
      </c>
      <c r="AW77" s="1">
        <f t="shared" ca="1" si="74"/>
        <v>7.1495181454063875E-2</v>
      </c>
      <c r="AY77" s="1">
        <f t="shared" ca="1" si="75"/>
        <v>1.8637157731878671</v>
      </c>
      <c r="AZ77" s="1">
        <f t="shared" ca="1" si="76"/>
        <v>110</v>
      </c>
      <c r="BA77" s="1">
        <f t="shared" ca="1" si="77"/>
        <v>3.0364685585353708E-3</v>
      </c>
    </row>
    <row r="78" spans="2:53" x14ac:dyDescent="0.25">
      <c r="B78">
        <f t="shared" ca="1" si="39"/>
        <v>463</v>
      </c>
      <c r="C78">
        <f t="shared" ca="1" si="40"/>
        <v>37</v>
      </c>
      <c r="D78">
        <f t="shared" ca="1" si="41"/>
        <v>0.13107095126029472</v>
      </c>
      <c r="F78" s="1">
        <f t="shared" ca="1" si="42"/>
        <v>9</v>
      </c>
      <c r="G78" s="1">
        <f t="shared" ca="1" si="43"/>
        <v>8</v>
      </c>
      <c r="H78" s="1">
        <f t="shared" ca="1" si="44"/>
        <v>11</v>
      </c>
      <c r="I78" s="1"/>
      <c r="J78" s="1">
        <f t="shared" ca="1" si="45"/>
        <v>36</v>
      </c>
      <c r="K78" s="1">
        <f t="shared" ca="1" si="46"/>
        <v>1.6395366534931859</v>
      </c>
      <c r="L78" s="1">
        <f t="shared" ca="1" si="47"/>
        <v>25</v>
      </c>
      <c r="M78" s="1"/>
      <c r="N78" s="1">
        <f t="shared" ca="1" si="48"/>
        <v>286</v>
      </c>
      <c r="O78" s="1">
        <f t="shared" ca="1" si="49"/>
        <v>6</v>
      </c>
      <c r="P78" s="1"/>
      <c r="Q78" s="1">
        <f t="shared" ca="1" si="50"/>
        <v>3.3484777150879679</v>
      </c>
      <c r="R78" s="1">
        <f t="shared" ca="1" si="51"/>
        <v>706</v>
      </c>
      <c r="S78" s="1"/>
      <c r="T78" s="1">
        <f t="shared" ca="1" si="52"/>
        <v>4.4013870515614124E-2</v>
      </c>
      <c r="U78" s="1">
        <f t="shared" ca="1" si="53"/>
        <v>154</v>
      </c>
      <c r="V78" s="1">
        <f t="shared" ca="1" si="54"/>
        <v>45</v>
      </c>
      <c r="W78" s="1"/>
      <c r="X78" s="1">
        <f t="shared" ca="1" si="55"/>
        <v>5.8663948487899171</v>
      </c>
      <c r="Y78" s="1">
        <f t="shared" ca="1" si="56"/>
        <v>0.21072468786343368</v>
      </c>
      <c r="Z78" s="1">
        <f t="shared" ca="1" si="57"/>
        <v>664</v>
      </c>
      <c r="AB78" s="1">
        <f t="shared" ca="1" si="58"/>
        <v>0.28429085590995767</v>
      </c>
      <c r="AC78" s="1">
        <f t="shared" ca="1" si="59"/>
        <v>432</v>
      </c>
      <c r="AD78" s="1">
        <f t="shared" ca="1" si="60"/>
        <v>9.3732379238064874E-3</v>
      </c>
      <c r="AE78" s="1"/>
      <c r="AF78" s="1">
        <f t="shared" ca="1" si="61"/>
        <v>0.27317347175736795</v>
      </c>
      <c r="AG78" s="1">
        <f t="shared" ca="1" si="62"/>
        <v>176</v>
      </c>
      <c r="AH78" s="1">
        <f t="shared" ca="1" si="63"/>
        <v>5.9268005244855091E-3</v>
      </c>
      <c r="AJ78" s="1">
        <f t="shared" ca="1" si="64"/>
        <v>0.86846417730871872</v>
      </c>
      <c r="AK78" s="1">
        <f t="shared" ca="1" si="65"/>
        <v>5.8441406292103369E-3</v>
      </c>
      <c r="AL78" s="1"/>
      <c r="AM78" s="1">
        <f t="shared" ca="1" si="66"/>
        <v>0.1597419756745681</v>
      </c>
      <c r="AN78" s="1">
        <f t="shared" ca="1" si="67"/>
        <v>46</v>
      </c>
      <c r="AO78" s="1">
        <f t="shared" ca="1" si="68"/>
        <v>19</v>
      </c>
      <c r="AQ78" s="1">
        <f t="shared" ca="1" si="69"/>
        <v>29</v>
      </c>
      <c r="AR78" s="1">
        <f t="shared" ca="1" si="70"/>
        <v>1</v>
      </c>
      <c r="AS78" s="1">
        <f t="shared" ca="1" si="71"/>
        <v>80</v>
      </c>
      <c r="AU78" s="1">
        <f t="shared" ca="1" si="72"/>
        <v>148</v>
      </c>
      <c r="AV78" s="1">
        <f t="shared" ca="1" si="73"/>
        <v>10</v>
      </c>
      <c r="AW78" s="1">
        <f t="shared" ca="1" si="74"/>
        <v>0.10731616581562246</v>
      </c>
      <c r="AY78" s="1">
        <f t="shared" ca="1" si="75"/>
        <v>1.4170583938229289</v>
      </c>
      <c r="AZ78" s="1">
        <f t="shared" ca="1" si="76"/>
        <v>378</v>
      </c>
      <c r="BA78" s="1">
        <f t="shared" ca="1" si="77"/>
        <v>9.018668178503577E-3</v>
      </c>
    </row>
    <row r="79" spans="2:53" x14ac:dyDescent="0.25">
      <c r="B79">
        <f t="shared" ca="1" si="39"/>
        <v>91</v>
      </c>
      <c r="C79">
        <f t="shared" ca="1" si="40"/>
        <v>32</v>
      </c>
      <c r="D79">
        <f t="shared" ca="1" si="41"/>
        <v>0.14949846458610119</v>
      </c>
      <c r="F79" s="1">
        <f t="shared" ca="1" si="42"/>
        <v>3</v>
      </c>
      <c r="G79" s="1">
        <f t="shared" ca="1" si="43"/>
        <v>5</v>
      </c>
      <c r="H79" s="1">
        <f t="shared" ca="1" si="44"/>
        <v>5</v>
      </c>
      <c r="I79" s="1"/>
      <c r="J79" s="1">
        <f t="shared" ca="1" si="45"/>
        <v>20</v>
      </c>
      <c r="K79" s="1">
        <f t="shared" ca="1" si="46"/>
        <v>1.3614035991184825</v>
      </c>
      <c r="L79" s="1">
        <f t="shared" ca="1" si="47"/>
        <v>24</v>
      </c>
      <c r="M79" s="1"/>
      <c r="N79" s="1">
        <f t="shared" ca="1" si="48"/>
        <v>955</v>
      </c>
      <c r="O79" s="1">
        <f t="shared" ca="1" si="49"/>
        <v>36</v>
      </c>
      <c r="P79" s="1"/>
      <c r="Q79" s="1">
        <f t="shared" ca="1" si="50"/>
        <v>4.281777191364764</v>
      </c>
      <c r="R79" s="1">
        <f t="shared" ca="1" si="51"/>
        <v>650</v>
      </c>
      <c r="S79" s="1"/>
      <c r="T79" s="1">
        <f t="shared" ca="1" si="52"/>
        <v>5.8963108855071958E-2</v>
      </c>
      <c r="U79" s="1">
        <f t="shared" ca="1" si="53"/>
        <v>134</v>
      </c>
      <c r="V79" s="1">
        <f t="shared" ca="1" si="54"/>
        <v>13</v>
      </c>
      <c r="W79" s="1"/>
      <c r="X79" s="1">
        <f t="shared" ca="1" si="55"/>
        <v>4.7004330721663496</v>
      </c>
      <c r="Y79" s="1">
        <f t="shared" ca="1" si="56"/>
        <v>0.30676897617367599</v>
      </c>
      <c r="Z79" s="1">
        <f t="shared" ca="1" si="57"/>
        <v>1835</v>
      </c>
      <c r="AB79" s="1">
        <f t="shared" ca="1" si="58"/>
        <v>0.71496452022413104</v>
      </c>
      <c r="AC79" s="1">
        <f t="shared" ca="1" si="59"/>
        <v>224</v>
      </c>
      <c r="AD79" s="1">
        <f t="shared" ca="1" si="60"/>
        <v>1.0314665685794888E-3</v>
      </c>
      <c r="AE79" s="1"/>
      <c r="AF79" s="1">
        <f t="shared" ca="1" si="61"/>
        <v>0.3099805633116206</v>
      </c>
      <c r="AG79" s="1">
        <f t="shared" ca="1" si="62"/>
        <v>793</v>
      </c>
      <c r="AH79" s="1">
        <f t="shared" ca="1" si="63"/>
        <v>6.8154674655921035E-3</v>
      </c>
      <c r="AJ79" s="1">
        <f t="shared" ca="1" si="64"/>
        <v>0.21353386766581339</v>
      </c>
      <c r="AK79" s="1">
        <f t="shared" ca="1" si="65"/>
        <v>5.6184782686494851E-3</v>
      </c>
      <c r="AL79" s="1"/>
      <c r="AM79" s="1">
        <f t="shared" ca="1" si="66"/>
        <v>7.389749850681894E-2</v>
      </c>
      <c r="AN79" s="1">
        <f t="shared" ca="1" si="67"/>
        <v>51</v>
      </c>
      <c r="AO79" s="1">
        <f t="shared" ca="1" si="68"/>
        <v>1</v>
      </c>
      <c r="AQ79" s="1">
        <f t="shared" ca="1" si="69"/>
        <v>48</v>
      </c>
      <c r="AR79" s="1">
        <f t="shared" ca="1" si="70"/>
        <v>5</v>
      </c>
      <c r="AS79" s="1">
        <f t="shared" ca="1" si="71"/>
        <v>88</v>
      </c>
      <c r="AU79" s="1">
        <f t="shared" ca="1" si="72"/>
        <v>215</v>
      </c>
      <c r="AV79" s="1">
        <f t="shared" ca="1" si="73"/>
        <v>3</v>
      </c>
      <c r="AW79" s="1">
        <f t="shared" ca="1" si="74"/>
        <v>0.18260382034668057</v>
      </c>
      <c r="AY79" s="1">
        <f t="shared" ca="1" si="75"/>
        <v>1.1577305828020554</v>
      </c>
      <c r="AZ79" s="1">
        <f t="shared" ca="1" si="76"/>
        <v>497</v>
      </c>
      <c r="BA79" s="1">
        <f t="shared" ca="1" si="77"/>
        <v>3.8680980264250505E-3</v>
      </c>
    </row>
    <row r="80" spans="2:53" x14ac:dyDescent="0.25">
      <c r="B80">
        <f t="shared" ca="1" si="39"/>
        <v>821</v>
      </c>
      <c r="C80">
        <f t="shared" ca="1" si="40"/>
        <v>43</v>
      </c>
      <c r="D80">
        <f t="shared" ca="1" si="41"/>
        <v>7.7804677477679676E-2</v>
      </c>
      <c r="F80" s="1">
        <f t="shared" ca="1" si="42"/>
        <v>42</v>
      </c>
      <c r="G80" s="1">
        <f t="shared" ca="1" si="43"/>
        <v>6</v>
      </c>
      <c r="H80" s="1">
        <f t="shared" ca="1" si="44"/>
        <v>10</v>
      </c>
      <c r="I80" s="1"/>
      <c r="J80" s="1">
        <f t="shared" ca="1" si="45"/>
        <v>23</v>
      </c>
      <c r="K80" s="1">
        <f t="shared" ca="1" si="46"/>
        <v>2.8433887914096276</v>
      </c>
      <c r="L80" s="1">
        <f t="shared" ca="1" si="47"/>
        <v>3</v>
      </c>
      <c r="M80" s="1"/>
      <c r="N80" s="1">
        <f t="shared" ca="1" si="48"/>
        <v>472</v>
      </c>
      <c r="O80" s="1">
        <f t="shared" ca="1" si="49"/>
        <v>33</v>
      </c>
      <c r="P80" s="1"/>
      <c r="Q80" s="1">
        <f t="shared" ca="1" si="50"/>
        <v>0.98132292176101021</v>
      </c>
      <c r="R80" s="1">
        <f t="shared" ca="1" si="51"/>
        <v>485</v>
      </c>
      <c r="S80" s="1"/>
      <c r="T80" s="1">
        <f t="shared" ca="1" si="52"/>
        <v>4.9500529715298745E-2</v>
      </c>
      <c r="U80" s="1">
        <f t="shared" ca="1" si="53"/>
        <v>221</v>
      </c>
      <c r="V80" s="1">
        <f t="shared" ca="1" si="54"/>
        <v>46</v>
      </c>
      <c r="W80" s="1"/>
      <c r="X80" s="1">
        <f t="shared" ca="1" si="55"/>
        <v>9.2275276096921743</v>
      </c>
      <c r="Y80" s="1">
        <f t="shared" ca="1" si="56"/>
        <v>0.95428123403893683</v>
      </c>
      <c r="Z80" s="1">
        <f t="shared" ca="1" si="57"/>
        <v>1834</v>
      </c>
      <c r="AB80" s="1">
        <f t="shared" ca="1" si="58"/>
        <v>2.0585021640859531E-2</v>
      </c>
      <c r="AC80" s="1">
        <f t="shared" ca="1" si="59"/>
        <v>705</v>
      </c>
      <c r="AD80" s="1">
        <f t="shared" ca="1" si="60"/>
        <v>5.8364925114598922E-3</v>
      </c>
      <c r="AE80" s="1"/>
      <c r="AF80" s="1">
        <f t="shared" ca="1" si="61"/>
        <v>0.43410138369459783</v>
      </c>
      <c r="AG80" s="1">
        <f t="shared" ca="1" si="62"/>
        <v>453</v>
      </c>
      <c r="AH80" s="1">
        <f t="shared" ca="1" si="63"/>
        <v>3.7888887074857837E-3</v>
      </c>
      <c r="AJ80" s="1">
        <f t="shared" ca="1" si="64"/>
        <v>0.17414008516782986</v>
      </c>
      <c r="AK80" s="1">
        <f t="shared" ca="1" si="65"/>
        <v>4.0778869260878385E-3</v>
      </c>
      <c r="AL80" s="1"/>
      <c r="AM80" s="1">
        <f t="shared" ca="1" si="66"/>
        <v>0.15923459044600552</v>
      </c>
      <c r="AN80" s="1">
        <f t="shared" ca="1" si="67"/>
        <v>57</v>
      </c>
      <c r="AO80" s="1">
        <f t="shared" ca="1" si="68"/>
        <v>13</v>
      </c>
      <c r="AQ80" s="1">
        <f t="shared" ca="1" si="69"/>
        <v>149</v>
      </c>
      <c r="AR80" s="1">
        <f t="shared" ca="1" si="70"/>
        <v>2</v>
      </c>
      <c r="AS80" s="1">
        <f t="shared" ca="1" si="71"/>
        <v>69</v>
      </c>
      <c r="AU80" s="1">
        <f t="shared" ca="1" si="72"/>
        <v>364</v>
      </c>
      <c r="AV80" s="1">
        <f t="shared" ca="1" si="73"/>
        <v>8</v>
      </c>
      <c r="AW80" s="1">
        <f t="shared" ca="1" si="74"/>
        <v>0.16693857618813154</v>
      </c>
      <c r="AY80" s="1">
        <f t="shared" ca="1" si="75"/>
        <v>1.5305603236300693</v>
      </c>
      <c r="AZ80" s="1">
        <f t="shared" ca="1" si="76"/>
        <v>468</v>
      </c>
      <c r="BA80" s="1">
        <f t="shared" ca="1" si="77"/>
        <v>8.1094818040091925E-3</v>
      </c>
    </row>
    <row r="81" spans="2:53" x14ac:dyDescent="0.25">
      <c r="B81">
        <f t="shared" ca="1" si="39"/>
        <v>245</v>
      </c>
      <c r="C81">
        <f t="shared" ca="1" si="40"/>
        <v>15</v>
      </c>
      <c r="D81">
        <f t="shared" ca="1" si="41"/>
        <v>3.1150428435095988E-2</v>
      </c>
      <c r="F81" s="1">
        <f t="shared" ca="1" si="42"/>
        <v>12</v>
      </c>
      <c r="G81" s="1">
        <f t="shared" ca="1" si="43"/>
        <v>18</v>
      </c>
      <c r="H81" s="1">
        <f t="shared" ca="1" si="44"/>
        <v>7</v>
      </c>
      <c r="I81" s="1"/>
      <c r="J81" s="1">
        <f t="shared" ca="1" si="45"/>
        <v>18</v>
      </c>
      <c r="K81" s="1">
        <f t="shared" ca="1" si="46"/>
        <v>1.0449354807301063</v>
      </c>
      <c r="L81" s="1">
        <f t="shared" ca="1" si="47"/>
        <v>2</v>
      </c>
      <c r="M81" s="1"/>
      <c r="N81" s="1">
        <f t="shared" ca="1" si="48"/>
        <v>382</v>
      </c>
      <c r="O81" s="1">
        <f t="shared" ca="1" si="49"/>
        <v>35</v>
      </c>
      <c r="P81" s="1"/>
      <c r="Q81" s="1">
        <f t="shared" ca="1" si="50"/>
        <v>0.12382493487902947</v>
      </c>
      <c r="R81" s="1">
        <f t="shared" ca="1" si="51"/>
        <v>595</v>
      </c>
      <c r="S81" s="1"/>
      <c r="T81" s="1">
        <f t="shared" ca="1" si="52"/>
        <v>0.18225639706862365</v>
      </c>
      <c r="U81" s="1">
        <f t="shared" ca="1" si="53"/>
        <v>350</v>
      </c>
      <c r="V81" s="1">
        <f t="shared" ca="1" si="54"/>
        <v>31</v>
      </c>
      <c r="W81" s="1"/>
      <c r="X81" s="1">
        <f t="shared" ca="1" si="55"/>
        <v>0.69128952817388689</v>
      </c>
      <c r="Y81" s="1">
        <f t="shared" ca="1" si="56"/>
        <v>0.97792728061238876</v>
      </c>
      <c r="Z81" s="1">
        <f t="shared" ca="1" si="57"/>
        <v>1536</v>
      </c>
      <c r="AB81" s="1">
        <f t="shared" ca="1" si="58"/>
        <v>0.5048761037185463</v>
      </c>
      <c r="AC81" s="1">
        <f t="shared" ca="1" si="59"/>
        <v>286</v>
      </c>
      <c r="AD81" s="1">
        <f t="shared" ca="1" si="60"/>
        <v>7.2738786923921281E-3</v>
      </c>
      <c r="AE81" s="1"/>
      <c r="AF81" s="1">
        <f t="shared" ca="1" si="61"/>
        <v>0.89832591834201392</v>
      </c>
      <c r="AG81" s="1">
        <f t="shared" ca="1" si="62"/>
        <v>521</v>
      </c>
      <c r="AH81" s="1">
        <f t="shared" ca="1" si="63"/>
        <v>8.5212088079809969E-3</v>
      </c>
      <c r="AJ81" s="1">
        <f t="shared" ca="1" si="64"/>
        <v>0.6982589534503354</v>
      </c>
      <c r="AK81" s="1">
        <f t="shared" ca="1" si="65"/>
        <v>2.3907120591888623E-3</v>
      </c>
      <c r="AL81" s="1"/>
      <c r="AM81" s="1">
        <f t="shared" ca="1" si="66"/>
        <v>0.15419389748562534</v>
      </c>
      <c r="AN81" s="1">
        <f t="shared" ca="1" si="67"/>
        <v>19</v>
      </c>
      <c r="AO81" s="1">
        <f t="shared" ca="1" si="68"/>
        <v>-1</v>
      </c>
      <c r="AQ81" s="1">
        <f t="shared" ca="1" si="69"/>
        <v>93</v>
      </c>
      <c r="AR81" s="1">
        <f t="shared" ca="1" si="70"/>
        <v>3</v>
      </c>
      <c r="AS81" s="1">
        <f t="shared" ca="1" si="71"/>
        <v>74</v>
      </c>
      <c r="AU81" s="1">
        <f t="shared" ca="1" si="72"/>
        <v>301</v>
      </c>
      <c r="AV81" s="1">
        <f t="shared" ca="1" si="73"/>
        <v>10</v>
      </c>
      <c r="AW81" s="1">
        <f t="shared" ca="1" si="74"/>
        <v>0.16474145140465152</v>
      </c>
      <c r="AY81" s="1">
        <f t="shared" ca="1" si="75"/>
        <v>1.4462087502518215</v>
      </c>
      <c r="AZ81" s="1">
        <f t="shared" ca="1" si="76"/>
        <v>137</v>
      </c>
      <c r="BA81" s="1">
        <f t="shared" ca="1" si="77"/>
        <v>3.8763737347068328E-4</v>
      </c>
    </row>
    <row r="82" spans="2:53" x14ac:dyDescent="0.25">
      <c r="B82">
        <f t="shared" ca="1" si="39"/>
        <v>243</v>
      </c>
      <c r="C82">
        <f t="shared" ca="1" si="40"/>
        <v>38</v>
      </c>
      <c r="D82">
        <f t="shared" ca="1" si="41"/>
        <v>0.15014005883863721</v>
      </c>
      <c r="F82" s="1">
        <f t="shared" ca="1" si="42"/>
        <v>31</v>
      </c>
      <c r="G82" s="1">
        <f t="shared" ca="1" si="43"/>
        <v>10</v>
      </c>
      <c r="H82" s="1">
        <f t="shared" ca="1" si="44"/>
        <v>12</v>
      </c>
      <c r="I82" s="1"/>
      <c r="J82" s="1">
        <f t="shared" ca="1" si="45"/>
        <v>28</v>
      </c>
      <c r="K82" s="1">
        <f t="shared" ca="1" si="46"/>
        <v>1.7983754783061634</v>
      </c>
      <c r="L82" s="1">
        <f t="shared" ca="1" si="47"/>
        <v>26</v>
      </c>
      <c r="M82" s="1"/>
      <c r="N82" s="1">
        <f t="shared" ca="1" si="48"/>
        <v>575</v>
      </c>
      <c r="O82" s="1">
        <f t="shared" ca="1" si="49"/>
        <v>13</v>
      </c>
      <c r="P82" s="1"/>
      <c r="Q82" s="1">
        <f t="shared" ca="1" si="50"/>
        <v>0.61920734089893625</v>
      </c>
      <c r="R82" s="1">
        <f t="shared" ca="1" si="51"/>
        <v>712</v>
      </c>
      <c r="S82" s="1"/>
      <c r="T82" s="1">
        <f t="shared" ca="1" si="52"/>
        <v>0.13857258216926963</v>
      </c>
      <c r="U82" s="1">
        <f t="shared" ca="1" si="53"/>
        <v>91</v>
      </c>
      <c r="V82" s="1">
        <f t="shared" ca="1" si="54"/>
        <v>48</v>
      </c>
      <c r="W82" s="1"/>
      <c r="X82" s="1">
        <f t="shared" ca="1" si="55"/>
        <v>8.2014566883133853</v>
      </c>
      <c r="Y82" s="1">
        <f t="shared" ca="1" si="56"/>
        <v>0.70159886985376096</v>
      </c>
      <c r="Z82" s="1">
        <f t="shared" ca="1" si="57"/>
        <v>1443</v>
      </c>
      <c r="AB82" s="1">
        <f t="shared" ca="1" si="58"/>
        <v>0.72465423617729519</v>
      </c>
      <c r="AC82" s="1">
        <f t="shared" ca="1" si="59"/>
        <v>871</v>
      </c>
      <c r="AD82" s="1">
        <f t="shared" ca="1" si="60"/>
        <v>7.515870720590144E-3</v>
      </c>
      <c r="AE82" s="1"/>
      <c r="AF82" s="1">
        <f t="shared" ca="1" si="61"/>
        <v>0.10908348884058645</v>
      </c>
      <c r="AG82" s="1">
        <f t="shared" ca="1" si="62"/>
        <v>149</v>
      </c>
      <c r="AH82" s="1">
        <f t="shared" ca="1" si="63"/>
        <v>8.7930125389514315E-3</v>
      </c>
      <c r="AJ82" s="1">
        <f t="shared" ca="1" si="64"/>
        <v>0.86166479044157773</v>
      </c>
      <c r="AK82" s="1">
        <f t="shared" ca="1" si="65"/>
        <v>9.6062166557352655E-3</v>
      </c>
      <c r="AL82" s="1"/>
      <c r="AM82" s="1">
        <f t="shared" ca="1" si="66"/>
        <v>0.11943928472584915</v>
      </c>
      <c r="AN82" s="1">
        <f t="shared" ca="1" si="67"/>
        <v>57</v>
      </c>
      <c r="AO82" s="1">
        <f t="shared" ca="1" si="68"/>
        <v>16</v>
      </c>
      <c r="AQ82" s="1">
        <f t="shared" ca="1" si="69"/>
        <v>93</v>
      </c>
      <c r="AR82" s="1">
        <f t="shared" ca="1" si="70"/>
        <v>1</v>
      </c>
      <c r="AS82" s="1">
        <f t="shared" ca="1" si="71"/>
        <v>22</v>
      </c>
      <c r="AU82" s="1">
        <f t="shared" ca="1" si="72"/>
        <v>132</v>
      </c>
      <c r="AV82" s="1">
        <f t="shared" ca="1" si="73"/>
        <v>3</v>
      </c>
      <c r="AW82" s="1">
        <f t="shared" ca="1" si="74"/>
        <v>0.18913652666554986</v>
      </c>
      <c r="AY82" s="1">
        <f t="shared" ca="1" si="75"/>
        <v>1.996254784175628</v>
      </c>
      <c r="AZ82" s="1">
        <f t="shared" ca="1" si="76"/>
        <v>191</v>
      </c>
      <c r="BA82" s="1">
        <f t="shared" ca="1" si="77"/>
        <v>6.6538116729877783E-3</v>
      </c>
    </row>
    <row r="83" spans="2:53" x14ac:dyDescent="0.25">
      <c r="B83">
        <f t="shared" ca="1" si="39"/>
        <v>900</v>
      </c>
      <c r="C83">
        <f t="shared" ca="1" si="40"/>
        <v>31</v>
      </c>
      <c r="D83">
        <f t="shared" ca="1" si="41"/>
        <v>4.2001998057923075E-2</v>
      </c>
      <c r="F83" s="1">
        <f t="shared" ca="1" si="42"/>
        <v>18</v>
      </c>
      <c r="G83" s="1">
        <f t="shared" ca="1" si="43"/>
        <v>2</v>
      </c>
      <c r="H83" s="1">
        <f t="shared" ca="1" si="44"/>
        <v>15</v>
      </c>
      <c r="I83" s="1"/>
      <c r="J83" s="1">
        <f t="shared" ca="1" si="45"/>
        <v>39</v>
      </c>
      <c r="K83" s="1">
        <f t="shared" ca="1" si="46"/>
        <v>1.7219608956836394</v>
      </c>
      <c r="L83" s="1">
        <f t="shared" ca="1" si="47"/>
        <v>10</v>
      </c>
      <c r="M83" s="1"/>
      <c r="N83" s="1">
        <f t="shared" ca="1" si="48"/>
        <v>573</v>
      </c>
      <c r="O83" s="1">
        <f t="shared" ca="1" si="49"/>
        <v>28</v>
      </c>
      <c r="P83" s="1"/>
      <c r="Q83" s="1">
        <f t="shared" ca="1" si="50"/>
        <v>4.1596226979634139</v>
      </c>
      <c r="R83" s="1">
        <f t="shared" ca="1" si="51"/>
        <v>846</v>
      </c>
      <c r="S83" s="1"/>
      <c r="T83" s="1">
        <f t="shared" ca="1" si="52"/>
        <v>4.4110862344180164E-2</v>
      </c>
      <c r="U83" s="1">
        <f t="shared" ca="1" si="53"/>
        <v>214</v>
      </c>
      <c r="V83" s="1">
        <f t="shared" ca="1" si="54"/>
        <v>14</v>
      </c>
      <c r="W83" s="1"/>
      <c r="X83" s="1">
        <f t="shared" ca="1" si="55"/>
        <v>1.3471070517572379</v>
      </c>
      <c r="Y83" s="1">
        <f t="shared" ca="1" si="56"/>
        <v>0.63413927897131317</v>
      </c>
      <c r="Z83" s="1">
        <f t="shared" ca="1" si="57"/>
        <v>1614</v>
      </c>
      <c r="AB83" s="1">
        <f t="shared" ca="1" si="58"/>
        <v>0.22574595032978712</v>
      </c>
      <c r="AC83" s="1">
        <f t="shared" ca="1" si="59"/>
        <v>527</v>
      </c>
      <c r="AD83" s="1">
        <f t="shared" ca="1" si="60"/>
        <v>1.835725748636236E-3</v>
      </c>
      <c r="AE83" s="1"/>
      <c r="AF83" s="1">
        <f t="shared" ca="1" si="61"/>
        <v>0.2436256845688563</v>
      </c>
      <c r="AG83" s="1">
        <f t="shared" ca="1" si="62"/>
        <v>613</v>
      </c>
      <c r="AH83" s="1">
        <f t="shared" ca="1" si="63"/>
        <v>5.7842118260881103E-3</v>
      </c>
      <c r="AJ83" s="1">
        <f t="shared" ca="1" si="64"/>
        <v>0.98526579808225645</v>
      </c>
      <c r="AK83" s="1">
        <f t="shared" ca="1" si="65"/>
        <v>8.5851185314705022E-3</v>
      </c>
      <c r="AL83" s="1"/>
      <c r="AM83" s="1">
        <f t="shared" ca="1" si="66"/>
        <v>9.837565888222162E-2</v>
      </c>
      <c r="AN83" s="1">
        <f t="shared" ca="1" si="67"/>
        <v>44</v>
      </c>
      <c r="AO83" s="1">
        <f t="shared" ca="1" si="68"/>
        <v>20</v>
      </c>
      <c r="AQ83" s="1">
        <f t="shared" ca="1" si="69"/>
        <v>87</v>
      </c>
      <c r="AR83" s="1">
        <f t="shared" ca="1" si="70"/>
        <v>0</v>
      </c>
      <c r="AS83" s="1">
        <f t="shared" ca="1" si="71"/>
        <v>49</v>
      </c>
      <c r="AU83" s="1">
        <f t="shared" ca="1" si="72"/>
        <v>121</v>
      </c>
      <c r="AV83" s="1">
        <f t="shared" ca="1" si="73"/>
        <v>9</v>
      </c>
      <c r="AW83" s="1">
        <f t="shared" ca="1" si="74"/>
        <v>0.18519920787485183</v>
      </c>
      <c r="AY83" s="1">
        <f t="shared" ca="1" si="75"/>
        <v>1.4891996956234463</v>
      </c>
      <c r="AZ83" s="1">
        <f t="shared" ca="1" si="76"/>
        <v>240</v>
      </c>
      <c r="BA83" s="1">
        <f t="shared" ca="1" si="77"/>
        <v>7.1922770999537297E-3</v>
      </c>
    </row>
    <row r="84" spans="2:53" x14ac:dyDescent="0.25">
      <c r="B84">
        <f t="shared" ca="1" si="39"/>
        <v>822</v>
      </c>
      <c r="C84">
        <f t="shared" ca="1" si="40"/>
        <v>37</v>
      </c>
      <c r="D84">
        <f t="shared" ca="1" si="41"/>
        <v>0.11168396388451902</v>
      </c>
      <c r="F84" s="1">
        <f t="shared" ca="1" si="42"/>
        <v>52</v>
      </c>
      <c r="G84" s="1">
        <f t="shared" ca="1" si="43"/>
        <v>18</v>
      </c>
      <c r="H84" s="1">
        <f t="shared" ca="1" si="44"/>
        <v>6</v>
      </c>
      <c r="I84" s="1"/>
      <c r="J84" s="1">
        <f t="shared" ca="1" si="45"/>
        <v>16</v>
      </c>
      <c r="K84" s="1">
        <f t="shared" ca="1" si="46"/>
        <v>1.9723550378740857</v>
      </c>
      <c r="L84" s="1">
        <f t="shared" ca="1" si="47"/>
        <v>4</v>
      </c>
      <c r="M84" s="1"/>
      <c r="N84" s="1">
        <f t="shared" ca="1" si="48"/>
        <v>521</v>
      </c>
      <c r="O84" s="1">
        <f t="shared" ca="1" si="49"/>
        <v>37</v>
      </c>
      <c r="P84" s="1"/>
      <c r="Q84" s="1">
        <f t="shared" ca="1" si="50"/>
        <v>1.8113593672085524</v>
      </c>
      <c r="R84" s="1">
        <f t="shared" ca="1" si="51"/>
        <v>734</v>
      </c>
      <c r="S84" s="1"/>
      <c r="T84" s="1">
        <f t="shared" ca="1" si="52"/>
        <v>0.11117676591611755</v>
      </c>
      <c r="U84" s="1">
        <f t="shared" ca="1" si="53"/>
        <v>130</v>
      </c>
      <c r="V84" s="1">
        <f t="shared" ca="1" si="54"/>
        <v>36</v>
      </c>
      <c r="W84" s="1"/>
      <c r="X84" s="1">
        <f t="shared" ca="1" si="55"/>
        <v>8.8913966302264722</v>
      </c>
      <c r="Y84" s="1">
        <f t="shared" ca="1" si="56"/>
        <v>0.75665995853157431</v>
      </c>
      <c r="Z84" s="1">
        <f t="shared" ca="1" si="57"/>
        <v>476</v>
      </c>
      <c r="AB84" s="1">
        <f t="shared" ca="1" si="58"/>
        <v>0.23988231355056733</v>
      </c>
      <c r="AC84" s="1">
        <f t="shared" ca="1" si="59"/>
        <v>901</v>
      </c>
      <c r="AD84" s="1">
        <f t="shared" ca="1" si="60"/>
        <v>2.0362360754811134E-3</v>
      </c>
      <c r="AE84" s="1"/>
      <c r="AF84" s="1">
        <f t="shared" ca="1" si="61"/>
        <v>0.21614479518035801</v>
      </c>
      <c r="AG84" s="1">
        <f t="shared" ca="1" si="62"/>
        <v>985</v>
      </c>
      <c r="AH84" s="1">
        <f t="shared" ca="1" si="63"/>
        <v>9.2808215583015819E-3</v>
      </c>
      <c r="AJ84" s="1">
        <f t="shared" ca="1" si="64"/>
        <v>2.5485079945618327E-2</v>
      </c>
      <c r="AK84" s="1">
        <f t="shared" ca="1" si="65"/>
        <v>2.4960851507234156E-4</v>
      </c>
      <c r="AL84" s="1"/>
      <c r="AM84" s="1">
        <f t="shared" ca="1" si="66"/>
        <v>5.2429362711272909E-2</v>
      </c>
      <c r="AN84" s="1">
        <f t="shared" ca="1" si="67"/>
        <v>18</v>
      </c>
      <c r="AO84" s="1">
        <f t="shared" ca="1" si="68"/>
        <v>6</v>
      </c>
      <c r="AQ84" s="1">
        <f t="shared" ca="1" si="69"/>
        <v>176</v>
      </c>
      <c r="AR84" s="1">
        <f t="shared" ca="1" si="70"/>
        <v>4</v>
      </c>
      <c r="AS84" s="1">
        <f t="shared" ca="1" si="71"/>
        <v>48</v>
      </c>
      <c r="AU84" s="1">
        <f t="shared" ca="1" si="72"/>
        <v>191</v>
      </c>
      <c r="AV84" s="1">
        <f t="shared" ca="1" si="73"/>
        <v>8</v>
      </c>
      <c r="AW84" s="1">
        <f t="shared" ca="1" si="74"/>
        <v>8.1328367368247209E-2</v>
      </c>
      <c r="AY84" s="1">
        <f t="shared" ca="1" si="75"/>
        <v>1.4162404891616809</v>
      </c>
      <c r="AZ84" s="1">
        <f t="shared" ca="1" si="76"/>
        <v>168</v>
      </c>
      <c r="BA84" s="1">
        <f t="shared" ca="1" si="77"/>
        <v>3.741369499366255E-3</v>
      </c>
    </row>
    <row r="85" spans="2:53" x14ac:dyDescent="0.25">
      <c r="B85">
        <f t="shared" ca="1" si="39"/>
        <v>149</v>
      </c>
      <c r="C85">
        <f t="shared" ca="1" si="40"/>
        <v>43</v>
      </c>
      <c r="D85">
        <f t="shared" ca="1" si="41"/>
        <v>0.14092084404494823</v>
      </c>
      <c r="F85" s="1">
        <f t="shared" ca="1" si="42"/>
        <v>8</v>
      </c>
      <c r="G85" s="1">
        <f t="shared" ca="1" si="43"/>
        <v>19</v>
      </c>
      <c r="H85" s="1">
        <f t="shared" ca="1" si="44"/>
        <v>14</v>
      </c>
      <c r="I85" s="1"/>
      <c r="J85" s="1">
        <f t="shared" ca="1" si="45"/>
        <v>25</v>
      </c>
      <c r="K85" s="1">
        <f t="shared" ca="1" si="46"/>
        <v>1.48878132772713</v>
      </c>
      <c r="L85" s="1">
        <f t="shared" ca="1" si="47"/>
        <v>7</v>
      </c>
      <c r="M85" s="1"/>
      <c r="N85" s="1">
        <f t="shared" ca="1" si="48"/>
        <v>244</v>
      </c>
      <c r="O85" s="1">
        <f t="shared" ca="1" si="49"/>
        <v>36</v>
      </c>
      <c r="P85" s="1"/>
      <c r="Q85" s="1">
        <f t="shared" ca="1" si="50"/>
        <v>3.1892084680604649</v>
      </c>
      <c r="R85" s="1">
        <f t="shared" ca="1" si="51"/>
        <v>252</v>
      </c>
      <c r="S85" s="1"/>
      <c r="T85" s="1">
        <f t="shared" ca="1" si="52"/>
        <v>0.14856747721441091</v>
      </c>
      <c r="U85" s="1">
        <f t="shared" ca="1" si="53"/>
        <v>417</v>
      </c>
      <c r="V85" s="1">
        <f t="shared" ca="1" si="54"/>
        <v>42</v>
      </c>
      <c r="W85" s="1"/>
      <c r="X85" s="1">
        <f t="shared" ca="1" si="55"/>
        <v>9.3783330696337526</v>
      </c>
      <c r="Y85" s="1">
        <f t="shared" ca="1" si="56"/>
        <v>0.98335984375814678</v>
      </c>
      <c r="Z85" s="1">
        <f t="shared" ca="1" si="57"/>
        <v>1413</v>
      </c>
      <c r="AB85" s="1">
        <f t="shared" ca="1" si="58"/>
        <v>0.16683333021948826</v>
      </c>
      <c r="AC85" s="1">
        <f t="shared" ca="1" si="59"/>
        <v>371</v>
      </c>
      <c r="AD85" s="1">
        <f t="shared" ca="1" si="60"/>
        <v>7.1273683971953584E-3</v>
      </c>
      <c r="AE85" s="1"/>
      <c r="AF85" s="1">
        <f t="shared" ca="1" si="61"/>
        <v>0.83889327074886244</v>
      </c>
      <c r="AG85" s="1">
        <f t="shared" ca="1" si="62"/>
        <v>329</v>
      </c>
      <c r="AH85" s="1">
        <f t="shared" ca="1" si="63"/>
        <v>9.1881840036977854E-3</v>
      </c>
      <c r="AJ85" s="1">
        <f t="shared" ca="1" si="64"/>
        <v>0.28969189366780213</v>
      </c>
      <c r="AK85" s="1">
        <f t="shared" ca="1" si="65"/>
        <v>2.7126089827725105E-3</v>
      </c>
      <c r="AL85" s="1"/>
      <c r="AM85" s="1">
        <f t="shared" ca="1" si="66"/>
        <v>7.5514198105744636E-3</v>
      </c>
      <c r="AN85" s="1">
        <f t="shared" ca="1" si="67"/>
        <v>27</v>
      </c>
      <c r="AO85" s="1">
        <f t="shared" ca="1" si="68"/>
        <v>11</v>
      </c>
      <c r="AQ85" s="1">
        <f t="shared" ca="1" si="69"/>
        <v>57</v>
      </c>
      <c r="AR85" s="1">
        <f t="shared" ca="1" si="70"/>
        <v>0</v>
      </c>
      <c r="AS85" s="1">
        <f t="shared" ca="1" si="71"/>
        <v>88</v>
      </c>
      <c r="AU85" s="1">
        <f t="shared" ca="1" si="72"/>
        <v>118</v>
      </c>
      <c r="AV85" s="1">
        <f t="shared" ca="1" si="73"/>
        <v>2</v>
      </c>
      <c r="AW85" s="1">
        <f t="shared" ca="1" si="74"/>
        <v>4.0540544431733092E-2</v>
      </c>
      <c r="AY85" s="1">
        <f t="shared" ca="1" si="75"/>
        <v>1.2118410409137965</v>
      </c>
      <c r="AZ85" s="1">
        <f t="shared" ca="1" si="76"/>
        <v>116</v>
      </c>
      <c r="BA85" s="1">
        <f t="shared" ca="1" si="77"/>
        <v>9.6197307044268866E-3</v>
      </c>
    </row>
    <row r="86" spans="2:53" x14ac:dyDescent="0.25">
      <c r="B86">
        <f t="shared" ca="1" si="39"/>
        <v>970</v>
      </c>
      <c r="C86">
        <f t="shared" ca="1" si="40"/>
        <v>31</v>
      </c>
      <c r="D86">
        <f t="shared" ca="1" si="41"/>
        <v>0.11638372476944008</v>
      </c>
      <c r="F86" s="1">
        <f t="shared" ca="1" si="42"/>
        <v>34</v>
      </c>
      <c r="G86" s="1">
        <f t="shared" ca="1" si="43"/>
        <v>18</v>
      </c>
      <c r="H86" s="1">
        <f t="shared" ca="1" si="44"/>
        <v>6</v>
      </c>
      <c r="I86" s="1"/>
      <c r="J86" s="1">
        <f t="shared" ca="1" si="45"/>
        <v>9</v>
      </c>
      <c r="K86" s="1">
        <f t="shared" ca="1" si="46"/>
        <v>2.8732872872386275</v>
      </c>
      <c r="L86" s="1">
        <f t="shared" ca="1" si="47"/>
        <v>25</v>
      </c>
      <c r="M86" s="1"/>
      <c r="N86" s="1">
        <f t="shared" ca="1" si="48"/>
        <v>579</v>
      </c>
      <c r="O86" s="1">
        <f t="shared" ca="1" si="49"/>
        <v>21</v>
      </c>
      <c r="P86" s="1"/>
      <c r="Q86" s="1">
        <f t="shared" ca="1" si="50"/>
        <v>0.82786484805713112</v>
      </c>
      <c r="R86" s="1">
        <f t="shared" ca="1" si="51"/>
        <v>220</v>
      </c>
      <c r="S86" s="1"/>
      <c r="T86" s="1">
        <f t="shared" ca="1" si="52"/>
        <v>9.9428223639882407E-2</v>
      </c>
      <c r="U86" s="1">
        <f t="shared" ca="1" si="53"/>
        <v>143</v>
      </c>
      <c r="V86" s="1">
        <f t="shared" ca="1" si="54"/>
        <v>40</v>
      </c>
      <c r="W86" s="1"/>
      <c r="X86" s="1">
        <f t="shared" ca="1" si="55"/>
        <v>4.997858133725356</v>
      </c>
      <c r="Y86" s="1">
        <f t="shared" ca="1" si="56"/>
        <v>0.80112940231676555</v>
      </c>
      <c r="Z86" s="1">
        <f t="shared" ca="1" si="57"/>
        <v>364</v>
      </c>
      <c r="AB86" s="1">
        <f t="shared" ca="1" si="58"/>
        <v>0.65980741414564847</v>
      </c>
      <c r="AC86" s="1">
        <f t="shared" ca="1" si="59"/>
        <v>804</v>
      </c>
      <c r="AD86" s="1">
        <f t="shared" ca="1" si="60"/>
        <v>9.5823456217470973E-3</v>
      </c>
      <c r="AE86" s="1"/>
      <c r="AF86" s="1">
        <f t="shared" ca="1" si="61"/>
        <v>0.69361203171165164</v>
      </c>
      <c r="AG86" s="1">
        <f t="shared" ca="1" si="62"/>
        <v>498</v>
      </c>
      <c r="AH86" s="1">
        <f t="shared" ca="1" si="63"/>
        <v>8.4561023401856991E-3</v>
      </c>
      <c r="AJ86" s="1">
        <f t="shared" ca="1" si="64"/>
        <v>0.43333805660956004</v>
      </c>
      <c r="AK86" s="1">
        <f t="shared" ca="1" si="65"/>
        <v>2.7782949984905185E-4</v>
      </c>
      <c r="AL86" s="1"/>
      <c r="AM86" s="1">
        <f t="shared" ca="1" si="66"/>
        <v>6.3766346747070782E-2</v>
      </c>
      <c r="AN86" s="1">
        <f t="shared" ca="1" si="67"/>
        <v>79</v>
      </c>
      <c r="AO86" s="1">
        <f t="shared" ca="1" si="68"/>
        <v>11</v>
      </c>
      <c r="AQ86" s="1">
        <f t="shared" ca="1" si="69"/>
        <v>46</v>
      </c>
      <c r="AR86" s="1">
        <f t="shared" ca="1" si="70"/>
        <v>2</v>
      </c>
      <c r="AS86" s="1">
        <f t="shared" ca="1" si="71"/>
        <v>63</v>
      </c>
      <c r="AU86" s="1">
        <f t="shared" ca="1" si="72"/>
        <v>259</v>
      </c>
      <c r="AV86" s="1">
        <f t="shared" ca="1" si="73"/>
        <v>2</v>
      </c>
      <c r="AW86" s="1">
        <f t="shared" ca="1" si="74"/>
        <v>0.18042146605047935</v>
      </c>
      <c r="AY86" s="1">
        <f t="shared" ca="1" si="75"/>
        <v>1.4939769279299706</v>
      </c>
      <c r="AZ86" s="1">
        <f t="shared" ca="1" si="76"/>
        <v>130</v>
      </c>
      <c r="BA86" s="1">
        <f t="shared" ca="1" si="77"/>
        <v>7.4078067595897993E-3</v>
      </c>
    </row>
    <row r="87" spans="2:53" x14ac:dyDescent="0.25">
      <c r="B87">
        <f t="shared" ca="1" si="39"/>
        <v>631</v>
      </c>
      <c r="C87">
        <f t="shared" ca="1" si="40"/>
        <v>10</v>
      </c>
      <c r="D87">
        <f t="shared" ca="1" si="41"/>
        <v>6.4270976731121962E-2</v>
      </c>
      <c r="F87" s="1">
        <f t="shared" ca="1" si="42"/>
        <v>20</v>
      </c>
      <c r="G87" s="1">
        <f t="shared" ca="1" si="43"/>
        <v>23</v>
      </c>
      <c r="H87" s="1">
        <f t="shared" ca="1" si="44"/>
        <v>13</v>
      </c>
      <c r="I87" s="1"/>
      <c r="J87" s="1">
        <f t="shared" ca="1" si="45"/>
        <v>14</v>
      </c>
      <c r="K87" s="1">
        <f t="shared" ca="1" si="46"/>
        <v>2.1234080948986218</v>
      </c>
      <c r="L87" s="1">
        <f t="shared" ca="1" si="47"/>
        <v>28</v>
      </c>
      <c r="M87" s="1"/>
      <c r="N87" s="1">
        <f t="shared" ca="1" si="48"/>
        <v>952</v>
      </c>
      <c r="O87" s="1">
        <f t="shared" ca="1" si="49"/>
        <v>7</v>
      </c>
      <c r="P87" s="1"/>
      <c r="Q87" s="1">
        <f t="shared" ca="1" si="50"/>
        <v>0.88611044541070094</v>
      </c>
      <c r="R87" s="1">
        <f t="shared" ca="1" si="51"/>
        <v>361</v>
      </c>
      <c r="S87" s="1"/>
      <c r="T87" s="1">
        <f t="shared" ca="1" si="52"/>
        <v>0.1664449872662912</v>
      </c>
      <c r="U87" s="1">
        <f t="shared" ca="1" si="53"/>
        <v>140</v>
      </c>
      <c r="V87" s="1">
        <f t="shared" ca="1" si="54"/>
        <v>8</v>
      </c>
      <c r="W87" s="1"/>
      <c r="X87" s="1">
        <f t="shared" ca="1" si="55"/>
        <v>1.9291293239247302</v>
      </c>
      <c r="Y87" s="1">
        <f t="shared" ca="1" si="56"/>
        <v>0.33345348216843979</v>
      </c>
      <c r="Z87" s="1">
        <f t="shared" ca="1" si="57"/>
        <v>1688</v>
      </c>
      <c r="AB87" s="1">
        <f t="shared" ca="1" si="58"/>
        <v>6.7549141386135034E-2</v>
      </c>
      <c r="AC87" s="1">
        <f t="shared" ca="1" si="59"/>
        <v>950</v>
      </c>
      <c r="AD87" s="1">
        <f t="shared" ca="1" si="60"/>
        <v>8.8670589635803255E-3</v>
      </c>
      <c r="AE87" s="1"/>
      <c r="AF87" s="1">
        <f t="shared" ca="1" si="61"/>
        <v>0.43309956885597611</v>
      </c>
      <c r="AG87" s="1">
        <f t="shared" ca="1" si="62"/>
        <v>722</v>
      </c>
      <c r="AH87" s="1">
        <f t="shared" ca="1" si="63"/>
        <v>6.051915993557251E-3</v>
      </c>
      <c r="AJ87" s="1">
        <f t="shared" ca="1" si="64"/>
        <v>0.10709450343756655</v>
      </c>
      <c r="AK87" s="1">
        <f t="shared" ca="1" si="65"/>
        <v>4.9057665010750432E-3</v>
      </c>
      <c r="AL87" s="1"/>
      <c r="AM87" s="1">
        <f t="shared" ca="1" si="66"/>
        <v>0.18833958815671739</v>
      </c>
      <c r="AN87" s="1">
        <f t="shared" ca="1" si="67"/>
        <v>31</v>
      </c>
      <c r="AO87" s="1">
        <f t="shared" ca="1" si="68"/>
        <v>12</v>
      </c>
      <c r="AQ87" s="1">
        <f t="shared" ca="1" si="69"/>
        <v>76</v>
      </c>
      <c r="AR87" s="1">
        <f t="shared" ca="1" si="70"/>
        <v>2</v>
      </c>
      <c r="AS87" s="1">
        <f t="shared" ca="1" si="71"/>
        <v>45</v>
      </c>
      <c r="AU87" s="1">
        <f t="shared" ca="1" si="72"/>
        <v>286</v>
      </c>
      <c r="AV87" s="1">
        <f t="shared" ca="1" si="73"/>
        <v>7</v>
      </c>
      <c r="AW87" s="1">
        <f t="shared" ca="1" si="74"/>
        <v>1.2784150435650425E-2</v>
      </c>
      <c r="AY87" s="1">
        <f t="shared" ca="1" si="75"/>
        <v>1.4089253790018874</v>
      </c>
      <c r="AZ87" s="1">
        <f t="shared" ca="1" si="76"/>
        <v>188</v>
      </c>
      <c r="BA87" s="1">
        <f t="shared" ca="1" si="77"/>
        <v>6.4224858357393288E-3</v>
      </c>
    </row>
    <row r="88" spans="2:53" x14ac:dyDescent="0.25">
      <c r="B88">
        <f t="shared" ca="1" si="39"/>
        <v>485</v>
      </c>
      <c r="C88">
        <f t="shared" ca="1" si="40"/>
        <v>10</v>
      </c>
      <c r="D88">
        <f t="shared" ca="1" si="41"/>
        <v>0.12771748431315447</v>
      </c>
      <c r="F88" s="1">
        <f t="shared" ca="1" si="42"/>
        <v>7</v>
      </c>
      <c r="G88" s="1">
        <f t="shared" ca="1" si="43"/>
        <v>7</v>
      </c>
      <c r="H88" s="1">
        <f t="shared" ca="1" si="44"/>
        <v>10</v>
      </c>
      <c r="I88" s="1"/>
      <c r="J88" s="1">
        <f t="shared" ca="1" si="45"/>
        <v>17</v>
      </c>
      <c r="K88" s="1">
        <f t="shared" ca="1" si="46"/>
        <v>2.7248034259263871</v>
      </c>
      <c r="L88" s="1">
        <f t="shared" ca="1" si="47"/>
        <v>30</v>
      </c>
      <c r="M88" s="1"/>
      <c r="N88" s="1">
        <f t="shared" ca="1" si="48"/>
        <v>439</v>
      </c>
      <c r="O88" s="1">
        <f t="shared" ca="1" si="49"/>
        <v>14</v>
      </c>
      <c r="P88" s="1"/>
      <c r="Q88" s="1">
        <f t="shared" ca="1" si="50"/>
        <v>3.5993438815392471</v>
      </c>
      <c r="R88" s="1">
        <f t="shared" ca="1" si="51"/>
        <v>571</v>
      </c>
      <c r="S88" s="1"/>
      <c r="T88" s="1">
        <f t="shared" ca="1" si="52"/>
        <v>0.13139696074242074</v>
      </c>
      <c r="U88" s="1">
        <f t="shared" ca="1" si="53"/>
        <v>304</v>
      </c>
      <c r="V88" s="1">
        <f t="shared" ca="1" si="54"/>
        <v>46</v>
      </c>
      <c r="W88" s="1"/>
      <c r="X88" s="1">
        <f t="shared" ca="1" si="55"/>
        <v>7.0752638870050868</v>
      </c>
      <c r="Y88" s="1">
        <f t="shared" ca="1" si="56"/>
        <v>0.53906229129545469</v>
      </c>
      <c r="Z88" s="1">
        <f t="shared" ca="1" si="57"/>
        <v>925</v>
      </c>
      <c r="AB88" s="1">
        <f t="shared" ca="1" si="58"/>
        <v>0.61946869935194537</v>
      </c>
      <c r="AC88" s="1">
        <f t="shared" ca="1" si="59"/>
        <v>270</v>
      </c>
      <c r="AD88" s="1">
        <f t="shared" ca="1" si="60"/>
        <v>1.7314726530652468E-3</v>
      </c>
      <c r="AE88" s="1"/>
      <c r="AF88" s="1">
        <f t="shared" ca="1" si="61"/>
        <v>0.39533885307117878</v>
      </c>
      <c r="AG88" s="1">
        <f t="shared" ca="1" si="62"/>
        <v>142</v>
      </c>
      <c r="AH88" s="1">
        <f t="shared" ca="1" si="63"/>
        <v>4.4503303106877513E-3</v>
      </c>
      <c r="AJ88" s="1">
        <f t="shared" ca="1" si="64"/>
        <v>0.59985347961833635</v>
      </c>
      <c r="AK88" s="1">
        <f t="shared" ca="1" si="65"/>
        <v>4.5364197708876094E-4</v>
      </c>
      <c r="AL88" s="1"/>
      <c r="AM88" s="1">
        <f t="shared" ca="1" si="66"/>
        <v>1.7956363786309059E-2</v>
      </c>
      <c r="AN88" s="1">
        <f t="shared" ca="1" si="67"/>
        <v>12</v>
      </c>
      <c r="AO88" s="1">
        <f t="shared" ca="1" si="68"/>
        <v>12</v>
      </c>
      <c r="AQ88" s="1">
        <f t="shared" ca="1" si="69"/>
        <v>142</v>
      </c>
      <c r="AR88" s="1">
        <f t="shared" ca="1" si="70"/>
        <v>6</v>
      </c>
      <c r="AS88" s="1">
        <f t="shared" ca="1" si="71"/>
        <v>69</v>
      </c>
      <c r="AU88" s="1">
        <f t="shared" ca="1" si="72"/>
        <v>326</v>
      </c>
      <c r="AV88" s="1">
        <f t="shared" ca="1" si="73"/>
        <v>10</v>
      </c>
      <c r="AW88" s="1">
        <f t="shared" ca="1" si="74"/>
        <v>8.6062383222455852E-2</v>
      </c>
      <c r="AY88" s="1">
        <f t="shared" ca="1" si="75"/>
        <v>1.3418453697482984</v>
      </c>
      <c r="AZ88" s="1">
        <f t="shared" ca="1" si="76"/>
        <v>235</v>
      </c>
      <c r="BA88" s="1">
        <f t="shared" ca="1" si="77"/>
        <v>4.2765291677616104E-3</v>
      </c>
    </row>
    <row r="89" spans="2:53" x14ac:dyDescent="0.25">
      <c r="B89">
        <f t="shared" ca="1" si="39"/>
        <v>912</v>
      </c>
      <c r="C89">
        <f t="shared" ca="1" si="40"/>
        <v>37</v>
      </c>
      <c r="D89">
        <f t="shared" ca="1" si="41"/>
        <v>4.2929088859984449E-2</v>
      </c>
      <c r="F89" s="1">
        <f t="shared" ca="1" si="42"/>
        <v>33</v>
      </c>
      <c r="G89" s="1">
        <f t="shared" ca="1" si="43"/>
        <v>21</v>
      </c>
      <c r="H89" s="1">
        <f t="shared" ca="1" si="44"/>
        <v>11</v>
      </c>
      <c r="I89" s="1"/>
      <c r="J89" s="1">
        <f t="shared" ca="1" si="45"/>
        <v>23</v>
      </c>
      <c r="K89" s="1">
        <f t="shared" ca="1" si="46"/>
        <v>1.288052676743501</v>
      </c>
      <c r="L89" s="1">
        <f t="shared" ca="1" si="47"/>
        <v>19</v>
      </c>
      <c r="M89" s="1"/>
      <c r="N89" s="1">
        <f t="shared" ca="1" si="48"/>
        <v>743</v>
      </c>
      <c r="O89" s="1">
        <f t="shared" ca="1" si="49"/>
        <v>38</v>
      </c>
      <c r="P89" s="1"/>
      <c r="Q89" s="1">
        <f t="shared" ca="1" si="50"/>
        <v>1.7850137234197165</v>
      </c>
      <c r="R89" s="1">
        <f t="shared" ca="1" si="51"/>
        <v>224</v>
      </c>
      <c r="S89" s="1"/>
      <c r="T89" s="1">
        <f t="shared" ca="1" si="52"/>
        <v>9.4826107444461016E-2</v>
      </c>
      <c r="U89" s="1">
        <f t="shared" ca="1" si="53"/>
        <v>135</v>
      </c>
      <c r="V89" s="1">
        <f t="shared" ca="1" si="54"/>
        <v>4</v>
      </c>
      <c r="W89" s="1"/>
      <c r="X89" s="1">
        <f t="shared" ca="1" si="55"/>
        <v>6.1286869496083751</v>
      </c>
      <c r="Y89" s="1">
        <f t="shared" ca="1" si="56"/>
        <v>0.66513207610534697</v>
      </c>
      <c r="Z89" s="1">
        <f t="shared" ca="1" si="57"/>
        <v>1325</v>
      </c>
      <c r="AB89" s="1">
        <f t="shared" ca="1" si="58"/>
        <v>0.79972101597793821</v>
      </c>
      <c r="AC89" s="1">
        <f t="shared" ca="1" si="59"/>
        <v>443</v>
      </c>
      <c r="AD89" s="1">
        <f t="shared" ca="1" si="60"/>
        <v>6.1372101978200916E-3</v>
      </c>
      <c r="AE89" s="1"/>
      <c r="AF89" s="1">
        <f t="shared" ca="1" si="61"/>
        <v>0.14450777728258934</v>
      </c>
      <c r="AG89" s="1">
        <f t="shared" ca="1" si="62"/>
        <v>928</v>
      </c>
      <c r="AH89" s="1">
        <f t="shared" ca="1" si="63"/>
        <v>2.0001385604945859E-3</v>
      </c>
      <c r="AJ89" s="1">
        <f t="shared" ca="1" si="64"/>
        <v>0.86352528154829256</v>
      </c>
      <c r="AK89" s="1">
        <f t="shared" ca="1" si="65"/>
        <v>6.6920689061231052E-3</v>
      </c>
      <c r="AL89" s="1"/>
      <c r="AM89" s="1">
        <f t="shared" ca="1" si="66"/>
        <v>0.12530834355855303</v>
      </c>
      <c r="AN89" s="1">
        <f t="shared" ca="1" si="67"/>
        <v>63</v>
      </c>
      <c r="AO89" s="1">
        <f t="shared" ca="1" si="68"/>
        <v>12</v>
      </c>
      <c r="AQ89" s="1">
        <f t="shared" ca="1" si="69"/>
        <v>27</v>
      </c>
      <c r="AR89" s="1">
        <f t="shared" ca="1" si="70"/>
        <v>3</v>
      </c>
      <c r="AS89" s="1">
        <f t="shared" ca="1" si="71"/>
        <v>39</v>
      </c>
      <c r="AU89" s="1">
        <f t="shared" ca="1" si="72"/>
        <v>216</v>
      </c>
      <c r="AV89" s="1">
        <f t="shared" ca="1" si="73"/>
        <v>6</v>
      </c>
      <c r="AW89" s="1">
        <f t="shared" ca="1" si="74"/>
        <v>0.13230349146354459</v>
      </c>
      <c r="AY89" s="1">
        <f t="shared" ca="1" si="75"/>
        <v>1.2489000379620885</v>
      </c>
      <c r="AZ89" s="1">
        <f t="shared" ca="1" si="76"/>
        <v>83</v>
      </c>
      <c r="BA89" s="1">
        <f t="shared" ca="1" si="77"/>
        <v>5.1251798927336011E-3</v>
      </c>
    </row>
    <row r="90" spans="2:53" x14ac:dyDescent="0.25">
      <c r="B90">
        <f t="shared" ca="1" si="39"/>
        <v>421</v>
      </c>
      <c r="C90">
        <f t="shared" ca="1" si="40"/>
        <v>11</v>
      </c>
      <c r="D90">
        <f t="shared" ca="1" si="41"/>
        <v>9.7356392497940217E-2</v>
      </c>
      <c r="F90" s="1">
        <f t="shared" ca="1" si="42"/>
        <v>35</v>
      </c>
      <c r="G90" s="1">
        <f t="shared" ca="1" si="43"/>
        <v>21</v>
      </c>
      <c r="H90" s="1">
        <f t="shared" ca="1" si="44"/>
        <v>10</v>
      </c>
      <c r="I90" s="1"/>
      <c r="J90" s="1">
        <f t="shared" ca="1" si="45"/>
        <v>8</v>
      </c>
      <c r="K90" s="1">
        <f t="shared" ca="1" si="46"/>
        <v>1.1457076447949555</v>
      </c>
      <c r="L90" s="1">
        <f t="shared" ca="1" si="47"/>
        <v>28</v>
      </c>
      <c r="M90" s="1"/>
      <c r="N90" s="1">
        <f t="shared" ca="1" si="48"/>
        <v>831</v>
      </c>
      <c r="O90" s="1">
        <f t="shared" ca="1" si="49"/>
        <v>34</v>
      </c>
      <c r="P90" s="1"/>
      <c r="Q90" s="1">
        <f t="shared" ca="1" si="50"/>
        <v>4.4147781933893375</v>
      </c>
      <c r="R90" s="1">
        <f t="shared" ca="1" si="51"/>
        <v>725</v>
      </c>
      <c r="S90" s="1"/>
      <c r="T90" s="1">
        <f t="shared" ca="1" si="52"/>
        <v>3.1622106116221238E-2</v>
      </c>
      <c r="U90" s="1">
        <f t="shared" ca="1" si="53"/>
        <v>388</v>
      </c>
      <c r="V90" s="1">
        <f t="shared" ca="1" si="54"/>
        <v>41</v>
      </c>
      <c r="W90" s="1"/>
      <c r="X90" s="1">
        <f t="shared" ca="1" si="55"/>
        <v>4.0936972911117218E-2</v>
      </c>
      <c r="Y90" s="1">
        <f t="shared" ca="1" si="56"/>
        <v>0.85877883202954897</v>
      </c>
      <c r="Z90" s="1">
        <f t="shared" ca="1" si="57"/>
        <v>858</v>
      </c>
      <c r="AB90" s="1">
        <f t="shared" ca="1" si="58"/>
        <v>0.14436532116166315</v>
      </c>
      <c r="AC90" s="1">
        <f t="shared" ca="1" si="59"/>
        <v>891</v>
      </c>
      <c r="AD90" s="1">
        <f t="shared" ca="1" si="60"/>
        <v>1.3281522780500812E-3</v>
      </c>
      <c r="AE90" s="1"/>
      <c r="AF90" s="1">
        <f t="shared" ca="1" si="61"/>
        <v>0.16149023637596394</v>
      </c>
      <c r="AG90" s="1">
        <f t="shared" ca="1" si="62"/>
        <v>537</v>
      </c>
      <c r="AH90" s="1">
        <f t="shared" ca="1" si="63"/>
        <v>2.2525411391934327E-3</v>
      </c>
      <c r="AJ90" s="1">
        <f t="shared" ca="1" si="64"/>
        <v>8.908413415574723E-2</v>
      </c>
      <c r="AK90" s="1">
        <f t="shared" ca="1" si="65"/>
        <v>9.0897469539404571E-3</v>
      </c>
      <c r="AL90" s="1"/>
      <c r="AM90" s="1">
        <f t="shared" ca="1" si="66"/>
        <v>0.1412416288223193</v>
      </c>
      <c r="AN90" s="1">
        <f t="shared" ca="1" si="67"/>
        <v>41</v>
      </c>
      <c r="AO90" s="1">
        <f t="shared" ca="1" si="68"/>
        <v>17</v>
      </c>
      <c r="AQ90" s="1">
        <f t="shared" ca="1" si="69"/>
        <v>50</v>
      </c>
      <c r="AR90" s="1">
        <f t="shared" ca="1" si="70"/>
        <v>6</v>
      </c>
      <c r="AS90" s="1">
        <f t="shared" ca="1" si="71"/>
        <v>30</v>
      </c>
      <c r="AU90" s="1">
        <f t="shared" ca="1" si="72"/>
        <v>159</v>
      </c>
      <c r="AV90" s="1">
        <f t="shared" ca="1" si="73"/>
        <v>8</v>
      </c>
      <c r="AW90" s="1">
        <f t="shared" ca="1" si="74"/>
        <v>1.1118978720678281E-2</v>
      </c>
      <c r="AY90" s="1">
        <f t="shared" ca="1" si="75"/>
        <v>1.4425065344063572</v>
      </c>
      <c r="AZ90" s="1">
        <f t="shared" ca="1" si="76"/>
        <v>280</v>
      </c>
      <c r="BA90" s="1">
        <f t="shared" ca="1" si="77"/>
        <v>4.6523258371878951E-3</v>
      </c>
    </row>
    <row r="91" spans="2:53" x14ac:dyDescent="0.25">
      <c r="B91">
        <f t="shared" ca="1" si="39"/>
        <v>420</v>
      </c>
      <c r="C91">
        <f t="shared" ca="1" si="40"/>
        <v>9</v>
      </c>
      <c r="D91">
        <f t="shared" ca="1" si="41"/>
        <v>0.10338818230902051</v>
      </c>
      <c r="F91" s="1">
        <f t="shared" ca="1" si="42"/>
        <v>49</v>
      </c>
      <c r="G91" s="1">
        <f t="shared" ca="1" si="43"/>
        <v>21</v>
      </c>
      <c r="H91" s="1">
        <f t="shared" ca="1" si="44"/>
        <v>2</v>
      </c>
      <c r="I91" s="1"/>
      <c r="J91" s="1">
        <f t="shared" ca="1" si="45"/>
        <v>10</v>
      </c>
      <c r="K91" s="1">
        <f t="shared" ca="1" si="46"/>
        <v>2.0482199422655216</v>
      </c>
      <c r="L91" s="1">
        <f t="shared" ca="1" si="47"/>
        <v>7</v>
      </c>
      <c r="M91" s="1"/>
      <c r="N91" s="1">
        <f t="shared" ca="1" si="48"/>
        <v>65</v>
      </c>
      <c r="O91" s="1">
        <f t="shared" ca="1" si="49"/>
        <v>6</v>
      </c>
      <c r="P91" s="1"/>
      <c r="Q91" s="1">
        <f t="shared" ca="1" si="50"/>
        <v>0.44026888751868021</v>
      </c>
      <c r="R91" s="1">
        <f t="shared" ca="1" si="51"/>
        <v>427</v>
      </c>
      <c r="S91" s="1"/>
      <c r="T91" s="1">
        <f t="shared" ca="1" si="52"/>
        <v>2.975924792146039E-2</v>
      </c>
      <c r="U91" s="1">
        <f t="shared" ca="1" si="53"/>
        <v>229</v>
      </c>
      <c r="V91" s="1">
        <f t="shared" ca="1" si="54"/>
        <v>40</v>
      </c>
      <c r="W91" s="1"/>
      <c r="X91" s="1">
        <f t="shared" ca="1" si="55"/>
        <v>4.5517504182133521</v>
      </c>
      <c r="Y91" s="1">
        <f t="shared" ca="1" si="56"/>
        <v>3.2277962233254014E-2</v>
      </c>
      <c r="Z91" s="1">
        <f t="shared" ca="1" si="57"/>
        <v>443</v>
      </c>
      <c r="AB91" s="1">
        <f t="shared" ca="1" si="58"/>
        <v>0.65868046389647672</v>
      </c>
      <c r="AC91" s="1">
        <f t="shared" ca="1" si="59"/>
        <v>183</v>
      </c>
      <c r="AD91" s="1">
        <f t="shared" ca="1" si="60"/>
        <v>9.8006117988011145E-3</v>
      </c>
      <c r="AE91" s="1"/>
      <c r="AF91" s="1">
        <f t="shared" ca="1" si="61"/>
        <v>0.76691360762015193</v>
      </c>
      <c r="AG91" s="1">
        <f t="shared" ca="1" si="62"/>
        <v>955</v>
      </c>
      <c r="AH91" s="1">
        <f t="shared" ca="1" si="63"/>
        <v>5.7318525546949011E-3</v>
      </c>
      <c r="AJ91" s="1">
        <f t="shared" ca="1" si="64"/>
        <v>0.57903533155742393</v>
      </c>
      <c r="AK91" s="1">
        <f t="shared" ca="1" si="65"/>
        <v>3.0767568883885936E-4</v>
      </c>
      <c r="AL91" s="1"/>
      <c r="AM91" s="1">
        <f t="shared" ca="1" si="66"/>
        <v>0.13589949996853812</v>
      </c>
      <c r="AN91" s="1">
        <f t="shared" ca="1" si="67"/>
        <v>50</v>
      </c>
      <c r="AO91" s="1">
        <f t="shared" ca="1" si="68"/>
        <v>8</v>
      </c>
      <c r="AQ91" s="1">
        <f t="shared" ca="1" si="69"/>
        <v>80</v>
      </c>
      <c r="AR91" s="1">
        <f t="shared" ca="1" si="70"/>
        <v>9</v>
      </c>
      <c r="AS91" s="1">
        <f t="shared" ca="1" si="71"/>
        <v>100</v>
      </c>
      <c r="AU91" s="1">
        <f t="shared" ca="1" si="72"/>
        <v>164</v>
      </c>
      <c r="AV91" s="1">
        <f t="shared" ca="1" si="73"/>
        <v>7</v>
      </c>
      <c r="AW91" s="1">
        <f t="shared" ca="1" si="74"/>
        <v>3.4428650718461129E-2</v>
      </c>
      <c r="AY91" s="1">
        <f t="shared" ca="1" si="75"/>
        <v>1.7582201312020946</v>
      </c>
      <c r="AZ91" s="1">
        <f t="shared" ca="1" si="76"/>
        <v>474</v>
      </c>
      <c r="BA91" s="1">
        <f t="shared" ca="1" si="77"/>
        <v>6.0958499835232815E-3</v>
      </c>
    </row>
    <row r="92" spans="2:53" x14ac:dyDescent="0.25">
      <c r="B92">
        <f t="shared" ca="1" si="39"/>
        <v>360</v>
      </c>
      <c r="C92">
        <f t="shared" ca="1" si="40"/>
        <v>3</v>
      </c>
      <c r="D92">
        <f t="shared" ca="1" si="41"/>
        <v>0.29759857829389569</v>
      </c>
      <c r="F92" s="1">
        <f t="shared" ca="1" si="42"/>
        <v>43</v>
      </c>
      <c r="G92" s="1">
        <f t="shared" ca="1" si="43"/>
        <v>26</v>
      </c>
      <c r="H92" s="1">
        <f t="shared" ca="1" si="44"/>
        <v>5</v>
      </c>
      <c r="I92" s="1"/>
      <c r="J92" s="1">
        <f t="shared" ca="1" si="45"/>
        <v>30</v>
      </c>
      <c r="K92" s="1">
        <f t="shared" ca="1" si="46"/>
        <v>2.9667928792722078</v>
      </c>
      <c r="L92" s="1">
        <f t="shared" ca="1" si="47"/>
        <v>8</v>
      </c>
      <c r="M92" s="1"/>
      <c r="N92" s="1">
        <f t="shared" ca="1" si="48"/>
        <v>643</v>
      </c>
      <c r="O92" s="1">
        <f t="shared" ca="1" si="49"/>
        <v>51</v>
      </c>
      <c r="P92" s="1"/>
      <c r="Q92" s="1">
        <f t="shared" ca="1" si="50"/>
        <v>2.61096474130097</v>
      </c>
      <c r="R92" s="1">
        <f t="shared" ca="1" si="51"/>
        <v>465</v>
      </c>
      <c r="S92" s="1"/>
      <c r="T92" s="1">
        <f t="shared" ca="1" si="52"/>
        <v>7.0287974952650586E-2</v>
      </c>
      <c r="U92" s="1">
        <f t="shared" ca="1" si="53"/>
        <v>359</v>
      </c>
      <c r="V92" s="1">
        <f t="shared" ca="1" si="54"/>
        <v>2</v>
      </c>
      <c r="W92" s="1"/>
      <c r="X92" s="1">
        <f t="shared" ca="1" si="55"/>
        <v>3.6469861984745156</v>
      </c>
      <c r="Y92" s="1">
        <f t="shared" ca="1" si="56"/>
        <v>0.85205185008840623</v>
      </c>
      <c r="Z92" s="1">
        <f t="shared" ca="1" si="57"/>
        <v>1315</v>
      </c>
      <c r="AB92" s="1">
        <f t="shared" ca="1" si="58"/>
        <v>0.78969983931145893</v>
      </c>
      <c r="AC92" s="1">
        <f t="shared" ca="1" si="59"/>
        <v>284</v>
      </c>
      <c r="AD92" s="1">
        <f t="shared" ca="1" si="60"/>
        <v>5.3685692815691969E-3</v>
      </c>
      <c r="AE92" s="1"/>
      <c r="AF92" s="1">
        <f t="shared" ca="1" si="61"/>
        <v>0.7201928978770068</v>
      </c>
      <c r="AG92" s="1">
        <f t="shared" ca="1" si="62"/>
        <v>745</v>
      </c>
      <c r="AH92" s="1">
        <f t="shared" ca="1" si="63"/>
        <v>7.8191408503888622E-3</v>
      </c>
      <c r="AJ92" s="1">
        <f t="shared" ca="1" si="64"/>
        <v>0.7819866700600927</v>
      </c>
      <c r="AK92" s="1">
        <f t="shared" ca="1" si="65"/>
        <v>8.6186330262417957E-3</v>
      </c>
      <c r="AL92" s="1"/>
      <c r="AM92" s="1">
        <f t="shared" ca="1" si="66"/>
        <v>0.19157691707286492</v>
      </c>
      <c r="AN92" s="1">
        <f t="shared" ca="1" si="67"/>
        <v>75</v>
      </c>
      <c r="AO92" s="1">
        <f t="shared" ca="1" si="68"/>
        <v>0</v>
      </c>
      <c r="AQ92" s="1">
        <f t="shared" ca="1" si="69"/>
        <v>157</v>
      </c>
      <c r="AR92" s="1">
        <f t="shared" ca="1" si="70"/>
        <v>10</v>
      </c>
      <c r="AS92" s="1">
        <f t="shared" ca="1" si="71"/>
        <v>29</v>
      </c>
      <c r="AU92" s="1">
        <f t="shared" ca="1" si="72"/>
        <v>310</v>
      </c>
      <c r="AV92" s="1">
        <f t="shared" ca="1" si="73"/>
        <v>10</v>
      </c>
      <c r="AW92" s="1">
        <f t="shared" ca="1" si="74"/>
        <v>0.13577437838724687</v>
      </c>
      <c r="AY92" s="1">
        <f t="shared" ca="1" si="75"/>
        <v>1.5637251349722046</v>
      </c>
      <c r="AZ92" s="1">
        <f t="shared" ca="1" si="76"/>
        <v>364</v>
      </c>
      <c r="BA92" s="1">
        <f t="shared" ca="1" si="77"/>
        <v>4.0031636822231674E-3</v>
      </c>
    </row>
    <row r="93" spans="2:53" x14ac:dyDescent="0.25">
      <c r="B93">
        <f t="shared" ca="1" si="39"/>
        <v>589</v>
      </c>
      <c r="C93">
        <f t="shared" ca="1" si="40"/>
        <v>6</v>
      </c>
      <c r="D93">
        <f t="shared" ca="1" si="41"/>
        <v>0.11142653285095598</v>
      </c>
      <c r="F93" s="1">
        <f t="shared" ca="1" si="42"/>
        <v>28</v>
      </c>
      <c r="G93" s="1">
        <f t="shared" ca="1" si="43"/>
        <v>16</v>
      </c>
      <c r="H93" s="1">
        <f t="shared" ca="1" si="44"/>
        <v>1</v>
      </c>
      <c r="I93" s="1"/>
      <c r="J93" s="1">
        <f t="shared" ca="1" si="45"/>
        <v>34</v>
      </c>
      <c r="K93" s="1">
        <f t="shared" ca="1" si="46"/>
        <v>1.97425316918483</v>
      </c>
      <c r="L93" s="1">
        <f t="shared" ca="1" si="47"/>
        <v>24</v>
      </c>
      <c r="M93" s="1"/>
      <c r="N93" s="1">
        <f t="shared" ca="1" si="48"/>
        <v>201</v>
      </c>
      <c r="O93" s="1">
        <f t="shared" ca="1" si="49"/>
        <v>15</v>
      </c>
      <c r="P93" s="1"/>
      <c r="Q93" s="1">
        <f t="shared" ca="1" si="50"/>
        <v>1.1946734927215146</v>
      </c>
      <c r="R93" s="1">
        <f t="shared" ca="1" si="51"/>
        <v>651</v>
      </c>
      <c r="S93" s="1"/>
      <c r="T93" s="1">
        <f t="shared" ca="1" si="52"/>
        <v>5.7430566191110297E-2</v>
      </c>
      <c r="U93" s="1">
        <f t="shared" ca="1" si="53"/>
        <v>178</v>
      </c>
      <c r="V93" s="1">
        <f t="shared" ca="1" si="54"/>
        <v>12</v>
      </c>
      <c r="W93" s="1"/>
      <c r="X93" s="1">
        <f t="shared" ca="1" si="55"/>
        <v>5.3229540541100997</v>
      </c>
      <c r="Y93" s="1">
        <f t="shared" ca="1" si="56"/>
        <v>0.42547577841260209</v>
      </c>
      <c r="Z93" s="1">
        <f t="shared" ca="1" si="57"/>
        <v>1854</v>
      </c>
      <c r="AB93" s="1">
        <f t="shared" ca="1" si="58"/>
        <v>0.38841003229736493</v>
      </c>
      <c r="AC93" s="1">
        <f t="shared" ca="1" si="59"/>
        <v>590</v>
      </c>
      <c r="AD93" s="1">
        <f t="shared" ca="1" si="60"/>
        <v>9.6875551111410847E-3</v>
      </c>
      <c r="AE93" s="1"/>
      <c r="AF93" s="1">
        <f t="shared" ca="1" si="61"/>
        <v>0.8899209380982106</v>
      </c>
      <c r="AG93" s="1">
        <f t="shared" ca="1" si="62"/>
        <v>929</v>
      </c>
      <c r="AH93" s="1">
        <f t="shared" ca="1" si="63"/>
        <v>6.8658730393114428E-3</v>
      </c>
      <c r="AJ93" s="1">
        <f t="shared" ca="1" si="64"/>
        <v>0.60063194388612806</v>
      </c>
      <c r="AK93" s="1">
        <f t="shared" ca="1" si="65"/>
        <v>9.1127780719473979E-3</v>
      </c>
      <c r="AL93" s="1"/>
      <c r="AM93" s="1">
        <f t="shared" ca="1" si="66"/>
        <v>3.9031640469910263E-2</v>
      </c>
      <c r="AN93" s="1">
        <f t="shared" ca="1" si="67"/>
        <v>57</v>
      </c>
      <c r="AO93" s="1">
        <f t="shared" ca="1" si="68"/>
        <v>20</v>
      </c>
      <c r="AQ93" s="1">
        <f t="shared" ca="1" si="69"/>
        <v>85</v>
      </c>
      <c r="AR93" s="1">
        <f t="shared" ca="1" si="70"/>
        <v>6</v>
      </c>
      <c r="AS93" s="1">
        <f t="shared" ca="1" si="71"/>
        <v>75</v>
      </c>
      <c r="AU93" s="1">
        <f t="shared" ca="1" si="72"/>
        <v>315</v>
      </c>
      <c r="AV93" s="1">
        <f t="shared" ca="1" si="73"/>
        <v>6</v>
      </c>
      <c r="AW93" s="1">
        <f t="shared" ca="1" si="74"/>
        <v>0.1710690075884114</v>
      </c>
      <c r="AY93" s="1">
        <f t="shared" ca="1" si="75"/>
        <v>1.4651650191513537</v>
      </c>
      <c r="AZ93" s="1">
        <f t="shared" ca="1" si="76"/>
        <v>400</v>
      </c>
      <c r="BA93" s="1">
        <f t="shared" ca="1" si="77"/>
        <v>2.7049459929351467E-3</v>
      </c>
    </row>
    <row r="94" spans="2:53" x14ac:dyDescent="0.25">
      <c r="B94">
        <f t="shared" ca="1" si="39"/>
        <v>276</v>
      </c>
      <c r="C94">
        <f t="shared" ca="1" si="40"/>
        <v>27</v>
      </c>
      <c r="D94">
        <f t="shared" ca="1" si="41"/>
        <v>3.399272401205175E-2</v>
      </c>
      <c r="F94" s="1">
        <f t="shared" ca="1" si="42"/>
        <v>37</v>
      </c>
      <c r="G94" s="1">
        <f t="shared" ca="1" si="43"/>
        <v>14</v>
      </c>
      <c r="H94" s="1">
        <f t="shared" ca="1" si="44"/>
        <v>5</v>
      </c>
      <c r="I94" s="1"/>
      <c r="J94" s="1">
        <f t="shared" ca="1" si="45"/>
        <v>21</v>
      </c>
      <c r="K94" s="1">
        <f t="shared" ca="1" si="46"/>
        <v>2.8963796779474751</v>
      </c>
      <c r="L94" s="1">
        <f t="shared" ca="1" si="47"/>
        <v>28</v>
      </c>
      <c r="M94" s="1"/>
      <c r="N94" s="1">
        <f t="shared" ca="1" si="48"/>
        <v>441</v>
      </c>
      <c r="O94" s="1">
        <f t="shared" ca="1" si="49"/>
        <v>6</v>
      </c>
      <c r="P94" s="1"/>
      <c r="Q94" s="1">
        <f t="shared" ca="1" si="50"/>
        <v>0.86942599683440314</v>
      </c>
      <c r="R94" s="1">
        <f t="shared" ca="1" si="51"/>
        <v>1000</v>
      </c>
      <c r="S94" s="1"/>
      <c r="T94" s="1">
        <f t="shared" ca="1" si="52"/>
        <v>6.8290213426149812E-2</v>
      </c>
      <c r="U94" s="1">
        <f t="shared" ca="1" si="53"/>
        <v>386</v>
      </c>
      <c r="V94" s="1">
        <f t="shared" ca="1" si="54"/>
        <v>41</v>
      </c>
      <c r="W94" s="1"/>
      <c r="X94" s="1">
        <f t="shared" ca="1" si="55"/>
        <v>6.0144536554685306</v>
      </c>
      <c r="Y94" s="1">
        <f t="shared" ca="1" si="56"/>
        <v>0.67243347237672224</v>
      </c>
      <c r="Z94" s="1">
        <f t="shared" ca="1" si="57"/>
        <v>122</v>
      </c>
      <c r="AB94" s="1">
        <f t="shared" ca="1" si="58"/>
        <v>0.1860870480918411</v>
      </c>
      <c r="AC94" s="1">
        <f t="shared" ca="1" si="59"/>
        <v>375</v>
      </c>
      <c r="AD94" s="1">
        <f t="shared" ca="1" si="60"/>
        <v>3.3502518063856408E-3</v>
      </c>
      <c r="AE94" s="1"/>
      <c r="AF94" s="1">
        <f t="shared" ca="1" si="61"/>
        <v>0.40705975308859144</v>
      </c>
      <c r="AG94" s="1">
        <f t="shared" ca="1" si="62"/>
        <v>564</v>
      </c>
      <c r="AH94" s="1">
        <f t="shared" ca="1" si="63"/>
        <v>7.1722147968782705E-3</v>
      </c>
      <c r="AJ94" s="1">
        <f t="shared" ca="1" si="64"/>
        <v>0.43307347764603776</v>
      </c>
      <c r="AK94" s="1">
        <f t="shared" ca="1" si="65"/>
        <v>4.0977858931988383E-3</v>
      </c>
      <c r="AL94" s="1"/>
      <c r="AM94" s="1">
        <f t="shared" ca="1" si="66"/>
        <v>2.2667345136497631E-2</v>
      </c>
      <c r="AN94" s="1">
        <f t="shared" ca="1" si="67"/>
        <v>14</v>
      </c>
      <c r="AO94" s="1">
        <f t="shared" ca="1" si="68"/>
        <v>4</v>
      </c>
      <c r="AQ94" s="1">
        <f t="shared" ca="1" si="69"/>
        <v>67</v>
      </c>
      <c r="AR94" s="1">
        <f t="shared" ca="1" si="70"/>
        <v>4</v>
      </c>
      <c r="AS94" s="1">
        <f t="shared" ca="1" si="71"/>
        <v>100</v>
      </c>
      <c r="AU94" s="1">
        <f t="shared" ca="1" si="72"/>
        <v>139</v>
      </c>
      <c r="AV94" s="1">
        <f t="shared" ca="1" si="73"/>
        <v>10</v>
      </c>
      <c r="AW94" s="1">
        <f t="shared" ca="1" si="74"/>
        <v>1.2803004463441714E-2</v>
      </c>
      <c r="AY94" s="1">
        <f t="shared" ca="1" si="75"/>
        <v>1.4335413034526181</v>
      </c>
      <c r="AZ94" s="1">
        <f t="shared" ca="1" si="76"/>
        <v>410</v>
      </c>
      <c r="BA94" s="1">
        <f t="shared" ca="1" si="77"/>
        <v>4.625836521669608E-3</v>
      </c>
    </row>
    <row r="95" spans="2:53" x14ac:dyDescent="0.25">
      <c r="B95">
        <f t="shared" ca="1" si="39"/>
        <v>54</v>
      </c>
      <c r="C95">
        <f t="shared" ca="1" si="40"/>
        <v>31</v>
      </c>
      <c r="D95">
        <f t="shared" ca="1" si="41"/>
        <v>8.3682059038857032E-2</v>
      </c>
      <c r="F95" s="1">
        <f t="shared" ca="1" si="42"/>
        <v>9</v>
      </c>
      <c r="G95" s="1">
        <f t="shared" ca="1" si="43"/>
        <v>24</v>
      </c>
      <c r="H95" s="1">
        <f t="shared" ca="1" si="44"/>
        <v>10</v>
      </c>
      <c r="I95" s="1"/>
      <c r="J95" s="1">
        <f t="shared" ca="1" si="45"/>
        <v>22</v>
      </c>
      <c r="K95" s="1">
        <f t="shared" ca="1" si="46"/>
        <v>2.7579153639043126</v>
      </c>
      <c r="L95" s="1">
        <f t="shared" ca="1" si="47"/>
        <v>5</v>
      </c>
      <c r="M95" s="1"/>
      <c r="N95" s="1">
        <f t="shared" ca="1" si="48"/>
        <v>819</v>
      </c>
      <c r="O95" s="1">
        <f t="shared" ca="1" si="49"/>
        <v>5</v>
      </c>
      <c r="P95" s="1"/>
      <c r="Q95" s="1">
        <f t="shared" ca="1" si="50"/>
        <v>1.3302337148091885</v>
      </c>
      <c r="R95" s="1">
        <f t="shared" ca="1" si="51"/>
        <v>813</v>
      </c>
      <c r="S95" s="1"/>
      <c r="T95" s="1">
        <f t="shared" ca="1" si="52"/>
        <v>0.10324846493858354</v>
      </c>
      <c r="U95" s="1">
        <f t="shared" ca="1" si="53"/>
        <v>383</v>
      </c>
      <c r="V95" s="1">
        <f t="shared" ca="1" si="54"/>
        <v>6</v>
      </c>
      <c r="W95" s="1"/>
      <c r="X95" s="1">
        <f t="shared" ca="1" si="55"/>
        <v>3.2399153222352681</v>
      </c>
      <c r="Y95" s="1">
        <f t="shared" ca="1" si="56"/>
        <v>0.15357574114385569</v>
      </c>
      <c r="Z95" s="1">
        <f t="shared" ca="1" si="57"/>
        <v>1593</v>
      </c>
      <c r="AB95" s="1">
        <f t="shared" ca="1" si="58"/>
        <v>0.76600937115038437</v>
      </c>
      <c r="AC95" s="1">
        <f t="shared" ca="1" si="59"/>
        <v>102</v>
      </c>
      <c r="AD95" s="1">
        <f t="shared" ca="1" si="60"/>
        <v>1.6726536979516586E-4</v>
      </c>
      <c r="AE95" s="1"/>
      <c r="AF95" s="1">
        <f t="shared" ca="1" si="61"/>
        <v>0.85999387775518477</v>
      </c>
      <c r="AG95" s="1">
        <f t="shared" ca="1" si="62"/>
        <v>919</v>
      </c>
      <c r="AH95" s="1">
        <f t="shared" ca="1" si="63"/>
        <v>6.8198440286703537E-3</v>
      </c>
      <c r="AJ95" s="1">
        <f t="shared" ca="1" si="64"/>
        <v>0.29335861572638411</v>
      </c>
      <c r="AK95" s="1">
        <f t="shared" ca="1" si="65"/>
        <v>8.8283462657002942E-3</v>
      </c>
      <c r="AL95" s="1"/>
      <c r="AM95" s="1">
        <f t="shared" ca="1" si="66"/>
        <v>8.6455065375140375E-2</v>
      </c>
      <c r="AN95" s="1">
        <f t="shared" ca="1" si="67"/>
        <v>25</v>
      </c>
      <c r="AO95" s="1">
        <f t="shared" ca="1" si="68"/>
        <v>20</v>
      </c>
      <c r="AQ95" s="1">
        <f t="shared" ca="1" si="69"/>
        <v>161</v>
      </c>
      <c r="AR95" s="1">
        <f t="shared" ca="1" si="70"/>
        <v>0</v>
      </c>
      <c r="AS95" s="1">
        <f t="shared" ca="1" si="71"/>
        <v>20</v>
      </c>
      <c r="AU95" s="1">
        <f t="shared" ca="1" si="72"/>
        <v>128</v>
      </c>
      <c r="AV95" s="1">
        <f t="shared" ca="1" si="73"/>
        <v>10</v>
      </c>
      <c r="AW95" s="1">
        <f t="shared" ca="1" si="74"/>
        <v>2.4840370342230602E-2</v>
      </c>
      <c r="AY95" s="1">
        <f t="shared" ca="1" si="75"/>
        <v>1.5587415102789821</v>
      </c>
      <c r="AZ95" s="1">
        <f t="shared" ca="1" si="76"/>
        <v>263</v>
      </c>
      <c r="BA95" s="1">
        <f t="shared" ca="1" si="77"/>
        <v>4.4810087641102957E-3</v>
      </c>
    </row>
    <row r="96" spans="2:53" x14ac:dyDescent="0.25">
      <c r="B96">
        <f t="shared" ca="1" si="39"/>
        <v>353</v>
      </c>
      <c r="C96">
        <f t="shared" ca="1" si="40"/>
        <v>44</v>
      </c>
      <c r="D96">
        <f t="shared" ca="1" si="41"/>
        <v>7.8780167249867278E-2</v>
      </c>
      <c r="F96" s="1">
        <f t="shared" ca="1" si="42"/>
        <v>9</v>
      </c>
      <c r="G96" s="1">
        <f t="shared" ca="1" si="43"/>
        <v>7</v>
      </c>
      <c r="H96" s="1">
        <f t="shared" ca="1" si="44"/>
        <v>2</v>
      </c>
      <c r="I96" s="1"/>
      <c r="J96" s="1">
        <f t="shared" ca="1" si="45"/>
        <v>20</v>
      </c>
      <c r="K96" s="1">
        <f t="shared" ca="1" si="46"/>
        <v>1.8866450606515388</v>
      </c>
      <c r="L96" s="1">
        <f t="shared" ca="1" si="47"/>
        <v>24</v>
      </c>
      <c r="M96" s="1"/>
      <c r="N96" s="1">
        <f t="shared" ca="1" si="48"/>
        <v>581</v>
      </c>
      <c r="O96" s="1">
        <f t="shared" ca="1" si="49"/>
        <v>13</v>
      </c>
      <c r="P96" s="1"/>
      <c r="Q96" s="1">
        <f t="shared" ca="1" si="50"/>
        <v>0.96875675367041802</v>
      </c>
      <c r="R96" s="1">
        <f t="shared" ca="1" si="51"/>
        <v>1142</v>
      </c>
      <c r="S96" s="1"/>
      <c r="T96" s="1">
        <f t="shared" ca="1" si="52"/>
        <v>7.4616684608080686E-2</v>
      </c>
      <c r="U96" s="1">
        <f t="shared" ca="1" si="53"/>
        <v>418</v>
      </c>
      <c r="V96" s="1">
        <f t="shared" ca="1" si="54"/>
        <v>50</v>
      </c>
      <c r="W96" s="1"/>
      <c r="X96" s="1">
        <f t="shared" ca="1" si="55"/>
        <v>1.2564913213265285</v>
      </c>
      <c r="Y96" s="1">
        <f t="shared" ca="1" si="56"/>
        <v>0.92342155440872464</v>
      </c>
      <c r="Z96" s="1">
        <f t="shared" ca="1" si="57"/>
        <v>571</v>
      </c>
      <c r="AB96" s="1">
        <f t="shared" ca="1" si="58"/>
        <v>0.2030204976974597</v>
      </c>
      <c r="AC96" s="1">
        <f t="shared" ca="1" si="59"/>
        <v>445</v>
      </c>
      <c r="AD96" s="1">
        <f t="shared" ca="1" si="60"/>
        <v>5.951476679815256E-3</v>
      </c>
      <c r="AE96" s="1"/>
      <c r="AF96" s="1">
        <f t="shared" ca="1" si="61"/>
        <v>0.2013475172549212</v>
      </c>
      <c r="AG96" s="1">
        <f t="shared" ca="1" si="62"/>
        <v>851</v>
      </c>
      <c r="AH96" s="1">
        <f t="shared" ca="1" si="63"/>
        <v>1.3438111412643243E-3</v>
      </c>
      <c r="AJ96" s="1">
        <f t="shared" ca="1" si="64"/>
        <v>0.19974053643772849</v>
      </c>
      <c r="AK96" s="1">
        <f t="shared" ca="1" si="65"/>
        <v>5.5596343875724888E-3</v>
      </c>
      <c r="AL96" s="1"/>
      <c r="AM96" s="1">
        <f t="shared" ca="1" si="66"/>
        <v>0.18860460574919286</v>
      </c>
      <c r="AN96" s="1">
        <f t="shared" ca="1" si="67"/>
        <v>13</v>
      </c>
      <c r="AO96" s="1">
        <f t="shared" ca="1" si="68"/>
        <v>-1</v>
      </c>
      <c r="AQ96" s="1">
        <f t="shared" ca="1" si="69"/>
        <v>42</v>
      </c>
      <c r="AR96" s="1">
        <f t="shared" ca="1" si="70"/>
        <v>1</v>
      </c>
      <c r="AS96" s="1">
        <f t="shared" ca="1" si="71"/>
        <v>40</v>
      </c>
      <c r="AU96" s="1">
        <f t="shared" ca="1" si="72"/>
        <v>311</v>
      </c>
      <c r="AV96" s="1">
        <f t="shared" ca="1" si="73"/>
        <v>6</v>
      </c>
      <c r="AW96" s="1">
        <f t="shared" ca="1" si="74"/>
        <v>0.14896896683943248</v>
      </c>
      <c r="AY96" s="1">
        <f t="shared" ca="1" si="75"/>
        <v>1.7902517995492206</v>
      </c>
      <c r="AZ96" s="1">
        <f t="shared" ca="1" si="76"/>
        <v>102</v>
      </c>
      <c r="BA96" s="1">
        <f t="shared" ca="1" si="77"/>
        <v>4.3396619144159551E-3</v>
      </c>
    </row>
    <row r="97" spans="2:53" x14ac:dyDescent="0.25">
      <c r="B97">
        <f t="shared" ca="1" si="39"/>
        <v>227</v>
      </c>
      <c r="C97">
        <f t="shared" ca="1" si="40"/>
        <v>46</v>
      </c>
      <c r="D97">
        <f t="shared" ca="1" si="41"/>
        <v>9.632017811386899E-2</v>
      </c>
      <c r="F97" s="1">
        <f t="shared" ca="1" si="42"/>
        <v>32</v>
      </c>
      <c r="G97" s="1">
        <f t="shared" ca="1" si="43"/>
        <v>11</v>
      </c>
      <c r="H97" s="1">
        <f t="shared" ca="1" si="44"/>
        <v>11</v>
      </c>
      <c r="I97" s="1"/>
      <c r="J97" s="1">
        <f t="shared" ca="1" si="45"/>
        <v>22</v>
      </c>
      <c r="K97" s="1">
        <f t="shared" ca="1" si="46"/>
        <v>2.8915312486198386</v>
      </c>
      <c r="L97" s="1">
        <f t="shared" ca="1" si="47"/>
        <v>7</v>
      </c>
      <c r="M97" s="1"/>
      <c r="N97" s="1">
        <f t="shared" ca="1" si="48"/>
        <v>895</v>
      </c>
      <c r="O97" s="1">
        <f t="shared" ca="1" si="49"/>
        <v>52</v>
      </c>
      <c r="P97" s="1"/>
      <c r="Q97" s="1">
        <f t="shared" ca="1" si="50"/>
        <v>4.0661986185776069</v>
      </c>
      <c r="R97" s="1">
        <f t="shared" ca="1" si="51"/>
        <v>856</v>
      </c>
      <c r="S97" s="1"/>
      <c r="T97" s="1">
        <f t="shared" ca="1" si="52"/>
        <v>5.2449083200586423E-2</v>
      </c>
      <c r="U97" s="1">
        <f t="shared" ca="1" si="53"/>
        <v>107</v>
      </c>
      <c r="V97" s="1">
        <f t="shared" ca="1" si="54"/>
        <v>48</v>
      </c>
      <c r="W97" s="1"/>
      <c r="X97" s="1">
        <f t="shared" ca="1" si="55"/>
        <v>0.66920282109268114</v>
      </c>
      <c r="Y97" s="1">
        <f t="shared" ca="1" si="56"/>
        <v>0.78595517012587857</v>
      </c>
      <c r="Z97" s="1">
        <f t="shared" ca="1" si="57"/>
        <v>1330</v>
      </c>
      <c r="AB97" s="1">
        <f t="shared" ca="1" si="58"/>
        <v>0.20687579665974667</v>
      </c>
      <c r="AC97" s="1">
        <f t="shared" ca="1" si="59"/>
        <v>759</v>
      </c>
      <c r="AD97" s="1">
        <f t="shared" ca="1" si="60"/>
        <v>5.9703950702692053E-3</v>
      </c>
      <c r="AE97" s="1"/>
      <c r="AF97" s="1">
        <f t="shared" ca="1" si="61"/>
        <v>0.73123397733606799</v>
      </c>
      <c r="AG97" s="1">
        <f t="shared" ca="1" si="62"/>
        <v>769</v>
      </c>
      <c r="AH97" s="1">
        <f t="shared" ca="1" si="63"/>
        <v>1.1647523641782724E-3</v>
      </c>
      <c r="AJ97" s="1">
        <f t="shared" ca="1" si="64"/>
        <v>0.50057801648306999</v>
      </c>
      <c r="AK97" s="1">
        <f t="shared" ca="1" si="65"/>
        <v>8.9374199074420627E-3</v>
      </c>
      <c r="AL97" s="1"/>
      <c r="AM97" s="1">
        <f t="shared" ca="1" si="66"/>
        <v>0.19988323755279647</v>
      </c>
      <c r="AN97" s="1">
        <f t="shared" ca="1" si="67"/>
        <v>46</v>
      </c>
      <c r="AO97" s="1">
        <f t="shared" ca="1" si="68"/>
        <v>6</v>
      </c>
      <c r="AQ97" s="1">
        <f t="shared" ca="1" si="69"/>
        <v>149</v>
      </c>
      <c r="AR97" s="1">
        <f t="shared" ca="1" si="70"/>
        <v>1</v>
      </c>
      <c r="AS97" s="1">
        <f t="shared" ca="1" si="71"/>
        <v>8</v>
      </c>
      <c r="AU97" s="1">
        <f t="shared" ca="1" si="72"/>
        <v>397</v>
      </c>
      <c r="AV97" s="1">
        <f t="shared" ca="1" si="73"/>
        <v>6</v>
      </c>
      <c r="AW97" s="1">
        <f t="shared" ca="1" si="74"/>
        <v>0.10954586158807084</v>
      </c>
      <c r="AY97" s="1">
        <f t="shared" ca="1" si="75"/>
        <v>1.7179983254567257</v>
      </c>
      <c r="AZ97" s="1">
        <f t="shared" ca="1" si="76"/>
        <v>261</v>
      </c>
      <c r="BA97" s="1">
        <f t="shared" ca="1" si="77"/>
        <v>2.074471020100388E-3</v>
      </c>
    </row>
    <row r="98" spans="2:53" x14ac:dyDescent="0.25">
      <c r="B98">
        <f t="shared" ca="1" si="39"/>
        <v>587</v>
      </c>
      <c r="C98">
        <f t="shared" ca="1" si="40"/>
        <v>5</v>
      </c>
      <c r="D98">
        <f t="shared" ca="1" si="41"/>
        <v>3.9374782992649793E-2</v>
      </c>
      <c r="F98" s="1">
        <f t="shared" ca="1" si="42"/>
        <v>9</v>
      </c>
      <c r="G98" s="1">
        <f t="shared" ca="1" si="43"/>
        <v>18</v>
      </c>
      <c r="H98" s="1">
        <f t="shared" ca="1" si="44"/>
        <v>6</v>
      </c>
      <c r="I98" s="1"/>
      <c r="J98" s="1">
        <f t="shared" ca="1" si="45"/>
        <v>20</v>
      </c>
      <c r="K98" s="1">
        <f t="shared" ca="1" si="46"/>
        <v>2.3425356573480984</v>
      </c>
      <c r="L98" s="1">
        <f t="shared" ca="1" si="47"/>
        <v>7</v>
      </c>
      <c r="M98" s="1"/>
      <c r="N98" s="1">
        <f t="shared" ca="1" si="48"/>
        <v>133</v>
      </c>
      <c r="O98" s="1">
        <f t="shared" ca="1" si="49"/>
        <v>43</v>
      </c>
      <c r="P98" s="1"/>
      <c r="Q98" s="1">
        <f t="shared" ca="1" si="50"/>
        <v>1.9212442308724726</v>
      </c>
      <c r="R98" s="1">
        <f t="shared" ca="1" si="51"/>
        <v>1031</v>
      </c>
      <c r="S98" s="1"/>
      <c r="T98" s="1">
        <f t="shared" ca="1" si="52"/>
        <v>4.8003325886510718E-2</v>
      </c>
      <c r="U98" s="1">
        <f t="shared" ca="1" si="53"/>
        <v>156</v>
      </c>
      <c r="V98" s="1">
        <f t="shared" ca="1" si="54"/>
        <v>7</v>
      </c>
      <c r="W98" s="1"/>
      <c r="X98" s="1">
        <f t="shared" ca="1" si="55"/>
        <v>7.8941290572355083</v>
      </c>
      <c r="Y98" s="1">
        <f t="shared" ca="1" si="56"/>
        <v>0.8488093645074295</v>
      </c>
      <c r="Z98" s="1">
        <f t="shared" ca="1" si="57"/>
        <v>626</v>
      </c>
      <c r="AB98" s="1">
        <f t="shared" ca="1" si="58"/>
        <v>0.76023219642326523</v>
      </c>
      <c r="AC98" s="1">
        <f t="shared" ca="1" si="59"/>
        <v>137</v>
      </c>
      <c r="AD98" s="1">
        <f t="shared" ca="1" si="60"/>
        <v>1.288312866880161E-3</v>
      </c>
      <c r="AE98" s="1"/>
      <c r="AF98" s="1">
        <f t="shared" ca="1" si="61"/>
        <v>0.83100396796647968</v>
      </c>
      <c r="AG98" s="1">
        <f t="shared" ca="1" si="62"/>
        <v>533</v>
      </c>
      <c r="AH98" s="1">
        <f t="shared" ca="1" si="63"/>
        <v>5.500887642764107E-3</v>
      </c>
      <c r="AJ98" s="1">
        <f t="shared" ca="1" si="64"/>
        <v>0.15480588550041274</v>
      </c>
      <c r="AK98" s="1">
        <f t="shared" ca="1" si="65"/>
        <v>2.3881186997530778E-3</v>
      </c>
      <c r="AL98" s="1"/>
      <c r="AM98" s="1">
        <f t="shared" ca="1" si="66"/>
        <v>0.10232237642718058</v>
      </c>
      <c r="AN98" s="1">
        <f t="shared" ca="1" si="67"/>
        <v>21</v>
      </c>
      <c r="AO98" s="1">
        <f t="shared" ca="1" si="68"/>
        <v>2</v>
      </c>
      <c r="AQ98" s="1">
        <f t="shared" ca="1" si="69"/>
        <v>191</v>
      </c>
      <c r="AR98" s="1">
        <f t="shared" ca="1" si="70"/>
        <v>7</v>
      </c>
      <c r="AS98" s="1">
        <f t="shared" ca="1" si="71"/>
        <v>5</v>
      </c>
      <c r="AU98" s="1">
        <f t="shared" ca="1" si="72"/>
        <v>79</v>
      </c>
      <c r="AV98" s="1">
        <f t="shared" ca="1" si="73"/>
        <v>6</v>
      </c>
      <c r="AW98" s="1">
        <f t="shared" ca="1" si="74"/>
        <v>0.14328216127891177</v>
      </c>
      <c r="AY98" s="1">
        <f t="shared" ca="1" si="75"/>
        <v>1.5871117803691792</v>
      </c>
      <c r="AZ98" s="1">
        <f t="shared" ca="1" si="76"/>
        <v>428</v>
      </c>
      <c r="BA98" s="1">
        <f t="shared" ca="1" si="77"/>
        <v>2.2922864630591381E-3</v>
      </c>
    </row>
    <row r="99" spans="2:53" x14ac:dyDescent="0.25">
      <c r="B99">
        <f t="shared" ca="1" si="39"/>
        <v>241</v>
      </c>
      <c r="C99">
        <f t="shared" ca="1" si="40"/>
        <v>30</v>
      </c>
      <c r="D99">
        <f t="shared" ca="1" si="41"/>
        <v>0.13836344217554905</v>
      </c>
      <c r="F99" s="1">
        <f t="shared" ca="1" si="42"/>
        <v>8</v>
      </c>
      <c r="G99" s="1">
        <f t="shared" ca="1" si="43"/>
        <v>15</v>
      </c>
      <c r="H99" s="1">
        <f t="shared" ca="1" si="44"/>
        <v>6</v>
      </c>
      <c r="I99" s="1"/>
      <c r="J99" s="1">
        <f t="shared" ca="1" si="45"/>
        <v>29</v>
      </c>
      <c r="K99" s="1">
        <f t="shared" ca="1" si="46"/>
        <v>2.1487025830392779</v>
      </c>
      <c r="L99" s="1">
        <f t="shared" ca="1" si="47"/>
        <v>22</v>
      </c>
      <c r="M99" s="1"/>
      <c r="N99" s="1">
        <f t="shared" ca="1" si="48"/>
        <v>68</v>
      </c>
      <c r="O99" s="1">
        <f t="shared" ca="1" si="49"/>
        <v>31</v>
      </c>
      <c r="P99" s="1"/>
      <c r="Q99" s="1">
        <f t="shared" ca="1" si="50"/>
        <v>2.8828857790032365</v>
      </c>
      <c r="R99" s="1">
        <f t="shared" ca="1" si="51"/>
        <v>782</v>
      </c>
      <c r="S99" s="1"/>
      <c r="T99" s="1">
        <f t="shared" ca="1" si="52"/>
        <v>3.719585486092359E-2</v>
      </c>
      <c r="U99" s="1">
        <f t="shared" ca="1" si="53"/>
        <v>350</v>
      </c>
      <c r="V99" s="1">
        <f t="shared" ca="1" si="54"/>
        <v>46</v>
      </c>
      <c r="W99" s="1"/>
      <c r="X99" s="1">
        <f t="shared" ca="1" si="55"/>
        <v>3.9821158004592534</v>
      </c>
      <c r="Y99" s="1">
        <f t="shared" ca="1" si="56"/>
        <v>0.7935497320294872</v>
      </c>
      <c r="Z99" s="1">
        <f t="shared" ca="1" si="57"/>
        <v>1813</v>
      </c>
      <c r="AB99" s="1">
        <f t="shared" ca="1" si="58"/>
        <v>0.84438533745928601</v>
      </c>
      <c r="AC99" s="1">
        <f t="shared" ca="1" si="59"/>
        <v>145</v>
      </c>
      <c r="AD99" s="1">
        <f t="shared" ca="1" si="60"/>
        <v>7.8488089132162826E-3</v>
      </c>
      <c r="AE99" s="1"/>
      <c r="AF99" s="1">
        <f t="shared" ca="1" si="61"/>
        <v>0.12453964466142375</v>
      </c>
      <c r="AG99" s="1">
        <f t="shared" ca="1" si="62"/>
        <v>301</v>
      </c>
      <c r="AH99" s="1">
        <f t="shared" ca="1" si="63"/>
        <v>6.319413191116321E-3</v>
      </c>
      <c r="AJ99" s="1">
        <f t="shared" ca="1" si="64"/>
        <v>0.73312722100330363</v>
      </c>
      <c r="AK99" s="1">
        <f t="shared" ca="1" si="65"/>
        <v>8.5134145415097836E-4</v>
      </c>
      <c r="AL99" s="1"/>
      <c r="AM99" s="1">
        <f t="shared" ca="1" si="66"/>
        <v>0.14829948612405208</v>
      </c>
      <c r="AN99" s="1">
        <f t="shared" ca="1" si="67"/>
        <v>80</v>
      </c>
      <c r="AO99" s="1">
        <f t="shared" ca="1" si="68"/>
        <v>11</v>
      </c>
      <c r="AQ99" s="1">
        <f t="shared" ca="1" si="69"/>
        <v>35</v>
      </c>
      <c r="AR99" s="1">
        <f t="shared" ca="1" si="70"/>
        <v>10</v>
      </c>
      <c r="AS99" s="1">
        <f t="shared" ca="1" si="71"/>
        <v>41</v>
      </c>
      <c r="AU99" s="1">
        <f t="shared" ca="1" si="72"/>
        <v>147</v>
      </c>
      <c r="AV99" s="1">
        <f t="shared" ca="1" si="73"/>
        <v>10</v>
      </c>
      <c r="AW99" s="1">
        <f t="shared" ca="1" si="74"/>
        <v>0.19085780106183795</v>
      </c>
      <c r="AY99" s="1">
        <f t="shared" ca="1" si="75"/>
        <v>1.1054411321760023</v>
      </c>
      <c r="AZ99" s="1">
        <f t="shared" ca="1" si="76"/>
        <v>60</v>
      </c>
      <c r="BA99" s="1">
        <f t="shared" ca="1" si="77"/>
        <v>4.0471391734019967E-3</v>
      </c>
    </row>
    <row r="100" spans="2:53" x14ac:dyDescent="0.25">
      <c r="B100">
        <f t="shared" ca="1" si="39"/>
        <v>291</v>
      </c>
      <c r="C100">
        <f t="shared" ca="1" si="40"/>
        <v>19</v>
      </c>
      <c r="D100">
        <f t="shared" ca="1" si="41"/>
        <v>0.12904457892438831</v>
      </c>
      <c r="F100" s="1">
        <f t="shared" ca="1" si="42"/>
        <v>11</v>
      </c>
      <c r="G100" s="1">
        <f t="shared" ca="1" si="43"/>
        <v>28</v>
      </c>
      <c r="H100" s="1">
        <f t="shared" ca="1" si="44"/>
        <v>14</v>
      </c>
      <c r="I100" s="1"/>
      <c r="J100" s="1">
        <f t="shared" ca="1" si="45"/>
        <v>10</v>
      </c>
      <c r="K100" s="1">
        <f t="shared" ca="1" si="46"/>
        <v>2.2442205467787151</v>
      </c>
      <c r="L100" s="1">
        <f t="shared" ca="1" si="47"/>
        <v>27</v>
      </c>
      <c r="M100" s="1"/>
      <c r="N100" s="1">
        <f t="shared" ca="1" si="48"/>
        <v>362</v>
      </c>
      <c r="O100" s="1">
        <f t="shared" ca="1" si="49"/>
        <v>31</v>
      </c>
      <c r="P100" s="1"/>
      <c r="Q100" s="1">
        <f t="shared" ca="1" si="50"/>
        <v>4.9162851712622242</v>
      </c>
      <c r="R100" s="1">
        <f t="shared" ca="1" si="51"/>
        <v>507</v>
      </c>
      <c r="S100" s="1"/>
      <c r="T100" s="1">
        <f t="shared" ca="1" si="52"/>
        <v>6.3365419113569757E-2</v>
      </c>
      <c r="U100" s="1">
        <f t="shared" ca="1" si="53"/>
        <v>422</v>
      </c>
      <c r="V100" s="1">
        <f t="shared" ca="1" si="54"/>
        <v>21</v>
      </c>
      <c r="W100" s="1"/>
      <c r="X100" s="1">
        <f t="shared" ca="1" si="55"/>
        <v>1.2416482297560367</v>
      </c>
      <c r="Y100" s="1">
        <f t="shared" ca="1" si="56"/>
        <v>0.17412525613258339</v>
      </c>
      <c r="Z100" s="1">
        <f t="shared" ca="1" si="57"/>
        <v>1371</v>
      </c>
      <c r="AB100" s="1">
        <f t="shared" ca="1" si="58"/>
        <v>0.70076061995109895</v>
      </c>
      <c r="AC100" s="1">
        <f t="shared" ca="1" si="59"/>
        <v>941</v>
      </c>
      <c r="AD100" s="1">
        <f t="shared" ca="1" si="60"/>
        <v>7.1666583128004559E-3</v>
      </c>
      <c r="AE100" s="1"/>
      <c r="AF100" s="1">
        <f t="shared" ca="1" si="61"/>
        <v>0.11314426457435377</v>
      </c>
      <c r="AG100" s="1">
        <f t="shared" ca="1" si="62"/>
        <v>709</v>
      </c>
      <c r="AH100" s="1">
        <f t="shared" ca="1" si="63"/>
        <v>5.3135357078642823E-3</v>
      </c>
      <c r="AJ100" s="1">
        <f t="shared" ca="1" si="64"/>
        <v>0.94036786929200133</v>
      </c>
      <c r="AK100" s="1">
        <f t="shared" ca="1" si="65"/>
        <v>1.9945003401176356E-3</v>
      </c>
      <c r="AL100" s="1"/>
      <c r="AM100" s="1">
        <f t="shared" ca="1" si="66"/>
        <v>5.0681376818091615E-2</v>
      </c>
      <c r="AN100" s="1">
        <f t="shared" ca="1" si="67"/>
        <v>49</v>
      </c>
      <c r="AO100" s="1">
        <f t="shared" ca="1" si="68"/>
        <v>1</v>
      </c>
      <c r="AQ100" s="1">
        <f t="shared" ca="1" si="69"/>
        <v>86</v>
      </c>
      <c r="AR100" s="1">
        <f t="shared" ca="1" si="70"/>
        <v>0</v>
      </c>
      <c r="AS100" s="1">
        <f t="shared" ca="1" si="71"/>
        <v>11</v>
      </c>
      <c r="AU100" s="1">
        <f t="shared" ca="1" si="72"/>
        <v>302</v>
      </c>
      <c r="AV100" s="1">
        <f t="shared" ca="1" si="73"/>
        <v>10</v>
      </c>
      <c r="AW100" s="1">
        <f t="shared" ca="1" si="74"/>
        <v>0.11064718588654127</v>
      </c>
      <c r="AY100" s="1">
        <f t="shared" ca="1" si="75"/>
        <v>1.9278228419065999</v>
      </c>
      <c r="AZ100" s="1">
        <f t="shared" ca="1" si="76"/>
        <v>248</v>
      </c>
      <c r="BA100" s="1">
        <f t="shared" ca="1" si="77"/>
        <v>3.8685529622452695E-3</v>
      </c>
    </row>
    <row r="101" spans="2:53" x14ac:dyDescent="0.25">
      <c r="B101">
        <f t="shared" ca="1" si="39"/>
        <v>744</v>
      </c>
      <c r="C101">
        <f t="shared" ca="1" si="40"/>
        <v>35</v>
      </c>
      <c r="D101">
        <f t="shared" ca="1" si="41"/>
        <v>8.9613106132456155E-2</v>
      </c>
      <c r="F101" s="1">
        <f t="shared" ca="1" si="42"/>
        <v>17</v>
      </c>
      <c r="G101" s="1">
        <f t="shared" ca="1" si="43"/>
        <v>30</v>
      </c>
      <c r="H101" s="1">
        <f t="shared" ca="1" si="44"/>
        <v>8</v>
      </c>
      <c r="I101" s="1"/>
      <c r="J101" s="1">
        <f t="shared" ca="1" si="45"/>
        <v>10</v>
      </c>
      <c r="K101" s="1">
        <f t="shared" ca="1" si="46"/>
        <v>2.0378790558942717</v>
      </c>
      <c r="L101" s="1">
        <f t="shared" ca="1" si="47"/>
        <v>34</v>
      </c>
      <c r="M101" s="1"/>
      <c r="N101" s="1">
        <f t="shared" ca="1" si="48"/>
        <v>376</v>
      </c>
      <c r="O101" s="1">
        <f t="shared" ca="1" si="49"/>
        <v>41</v>
      </c>
      <c r="P101" s="1"/>
      <c r="Q101" s="1">
        <f t="shared" ca="1" si="50"/>
        <v>1.3945621238152504</v>
      </c>
      <c r="R101" s="1">
        <f t="shared" ca="1" si="51"/>
        <v>722</v>
      </c>
      <c r="S101" s="1"/>
      <c r="T101" s="1">
        <f t="shared" ca="1" si="52"/>
        <v>0.17865658752329378</v>
      </c>
      <c r="U101" s="1">
        <f t="shared" ca="1" si="53"/>
        <v>317</v>
      </c>
      <c r="V101" s="1">
        <f t="shared" ca="1" si="54"/>
        <v>41</v>
      </c>
      <c r="W101" s="1"/>
      <c r="X101" s="1">
        <f t="shared" ca="1" si="55"/>
        <v>2.687817489273526</v>
      </c>
      <c r="Y101" s="1">
        <f t="shared" ca="1" si="56"/>
        <v>0.42699331492454262</v>
      </c>
      <c r="Z101" s="1">
        <f t="shared" ca="1" si="57"/>
        <v>1132</v>
      </c>
      <c r="AB101" s="1">
        <f t="shared" ca="1" si="58"/>
        <v>0.77935881887703329</v>
      </c>
      <c r="AC101" s="1">
        <f t="shared" ca="1" si="59"/>
        <v>713</v>
      </c>
      <c r="AD101" s="1">
        <f t="shared" ca="1" si="60"/>
        <v>3.6711066248014297E-3</v>
      </c>
      <c r="AE101" s="1"/>
      <c r="AF101" s="1">
        <f t="shared" ca="1" si="61"/>
        <v>0.83198469325659175</v>
      </c>
      <c r="AG101" s="1">
        <f t="shared" ca="1" si="62"/>
        <v>873</v>
      </c>
      <c r="AH101" s="1">
        <f t="shared" ca="1" si="63"/>
        <v>9.4400172546286083E-3</v>
      </c>
      <c r="AJ101" s="1">
        <f t="shared" ca="1" si="64"/>
        <v>0.32128794751935541</v>
      </c>
      <c r="AK101" s="1">
        <f t="shared" ca="1" si="65"/>
        <v>1.6143517104525184E-3</v>
      </c>
      <c r="AL101" s="1"/>
      <c r="AM101" s="1">
        <f t="shared" ca="1" si="66"/>
        <v>0.18256420434527423</v>
      </c>
      <c r="AN101" s="1">
        <f t="shared" ca="1" si="67"/>
        <v>23</v>
      </c>
      <c r="AO101" s="1">
        <f t="shared" ca="1" si="68"/>
        <v>11</v>
      </c>
      <c r="AQ101" s="1">
        <f t="shared" ca="1" si="69"/>
        <v>25</v>
      </c>
      <c r="AR101" s="1">
        <f t="shared" ca="1" si="70"/>
        <v>6</v>
      </c>
      <c r="AS101" s="1">
        <f t="shared" ca="1" si="71"/>
        <v>64</v>
      </c>
      <c r="AU101" s="1">
        <f t="shared" ca="1" si="72"/>
        <v>172</v>
      </c>
      <c r="AV101" s="1">
        <f t="shared" ca="1" si="73"/>
        <v>4</v>
      </c>
      <c r="AW101" s="1">
        <f t="shared" ca="1" si="74"/>
        <v>0.16015329560076513</v>
      </c>
      <c r="AY101" s="1">
        <f t="shared" ca="1" si="75"/>
        <v>1.389480744564473</v>
      </c>
      <c r="AZ101" s="1">
        <f t="shared" ca="1" si="76"/>
        <v>487</v>
      </c>
      <c r="BA101" s="1">
        <f t="shared" ca="1" si="77"/>
        <v>4.6314812434197512E-3</v>
      </c>
    </row>
    <row r="102" spans="2:53" x14ac:dyDescent="0.25">
      <c r="B102">
        <f t="shared" ca="1" si="39"/>
        <v>490</v>
      </c>
      <c r="C102">
        <f t="shared" ca="1" si="40"/>
        <v>51</v>
      </c>
      <c r="D102">
        <f t="shared" ca="1" si="41"/>
        <v>0.23213326240043805</v>
      </c>
      <c r="F102" s="1">
        <f t="shared" ca="1" si="42"/>
        <v>16</v>
      </c>
      <c r="G102" s="1">
        <f t="shared" ca="1" si="43"/>
        <v>21</v>
      </c>
      <c r="H102" s="1">
        <f t="shared" ca="1" si="44"/>
        <v>5</v>
      </c>
      <c r="I102" s="1"/>
      <c r="J102" s="1">
        <f t="shared" ca="1" si="45"/>
        <v>5</v>
      </c>
      <c r="K102" s="1">
        <f t="shared" ca="1" si="46"/>
        <v>2.099068329399715</v>
      </c>
      <c r="L102" s="1">
        <f t="shared" ca="1" si="47"/>
        <v>21</v>
      </c>
      <c r="M102" s="1"/>
      <c r="N102" s="1">
        <f t="shared" ca="1" si="48"/>
        <v>801</v>
      </c>
      <c r="O102" s="1">
        <f t="shared" ca="1" si="49"/>
        <v>7</v>
      </c>
      <c r="P102" s="1"/>
      <c r="Q102" s="1">
        <f t="shared" ca="1" si="50"/>
        <v>2.4447780495363136</v>
      </c>
      <c r="R102" s="1">
        <f t="shared" ca="1" si="51"/>
        <v>621</v>
      </c>
      <c r="S102" s="1"/>
      <c r="T102" s="1">
        <f t="shared" ca="1" si="52"/>
        <v>0.14954751606752051</v>
      </c>
      <c r="U102" s="1">
        <f t="shared" ca="1" si="53"/>
        <v>297</v>
      </c>
      <c r="V102" s="1">
        <f t="shared" ca="1" si="54"/>
        <v>4</v>
      </c>
      <c r="W102" s="1"/>
      <c r="X102" s="1">
        <f t="shared" ca="1" si="55"/>
        <v>8.8384910970588972</v>
      </c>
      <c r="Y102" s="1">
        <f t="shared" ca="1" si="56"/>
        <v>0.93488858615014414</v>
      </c>
      <c r="Z102" s="1">
        <f t="shared" ca="1" si="57"/>
        <v>1997</v>
      </c>
      <c r="AB102" s="1">
        <f t="shared" ca="1" si="58"/>
        <v>0.48826397781708031</v>
      </c>
      <c r="AC102" s="1">
        <f t="shared" ca="1" si="59"/>
        <v>590</v>
      </c>
      <c r="AD102" s="1">
        <f t="shared" ca="1" si="60"/>
        <v>1.2851874242860689E-3</v>
      </c>
      <c r="AE102" s="1"/>
      <c r="AF102" s="1">
        <f t="shared" ca="1" si="61"/>
        <v>0.2926732975485325</v>
      </c>
      <c r="AG102" s="1">
        <f t="shared" ca="1" si="62"/>
        <v>401</v>
      </c>
      <c r="AH102" s="1">
        <f t="shared" ca="1" si="63"/>
        <v>3.6951725608672351E-3</v>
      </c>
      <c r="AJ102" s="1">
        <f t="shared" ca="1" si="64"/>
        <v>0.43436570171511435</v>
      </c>
      <c r="AK102" s="1">
        <f t="shared" ca="1" si="65"/>
        <v>8.7645505885510528E-3</v>
      </c>
      <c r="AL102" s="1"/>
      <c r="AM102" s="1">
        <f t="shared" ca="1" si="66"/>
        <v>0.10752514466721974</v>
      </c>
      <c r="AN102" s="1">
        <f t="shared" ca="1" si="67"/>
        <v>58</v>
      </c>
      <c r="AO102" s="1">
        <f t="shared" ca="1" si="68"/>
        <v>3</v>
      </c>
      <c r="AQ102" s="1">
        <f t="shared" ca="1" si="69"/>
        <v>126</v>
      </c>
      <c r="AR102" s="1">
        <f t="shared" ca="1" si="70"/>
        <v>5</v>
      </c>
      <c r="AS102" s="1">
        <f t="shared" ca="1" si="71"/>
        <v>93</v>
      </c>
      <c r="AU102" s="1">
        <f t="shared" ca="1" si="72"/>
        <v>304</v>
      </c>
      <c r="AV102" s="1">
        <f t="shared" ca="1" si="73"/>
        <v>8</v>
      </c>
      <c r="AW102" s="1">
        <f t="shared" ca="1" si="74"/>
        <v>0.12689071469046517</v>
      </c>
      <c r="AY102" s="1">
        <f t="shared" ca="1" si="75"/>
        <v>1.8767781714944629</v>
      </c>
      <c r="AZ102" s="1">
        <f t="shared" ca="1" si="76"/>
        <v>391</v>
      </c>
      <c r="BA102" s="1">
        <f t="shared" ca="1" si="77"/>
        <v>2.6230376947415789E-3</v>
      </c>
    </row>
    <row r="103" spans="2:53" x14ac:dyDescent="0.25">
      <c r="B103">
        <f t="shared" ca="1" si="39"/>
        <v>318</v>
      </c>
      <c r="C103">
        <f t="shared" ca="1" si="40"/>
        <v>10</v>
      </c>
      <c r="D103">
        <f t="shared" ca="1" si="41"/>
        <v>7.0451560605805444E-2</v>
      </c>
      <c r="F103" s="1">
        <f t="shared" ca="1" si="42"/>
        <v>47</v>
      </c>
      <c r="G103" s="1">
        <f t="shared" ca="1" si="43"/>
        <v>30</v>
      </c>
      <c r="H103" s="1">
        <f t="shared" ca="1" si="44"/>
        <v>6</v>
      </c>
      <c r="I103" s="1"/>
      <c r="J103" s="1">
        <f t="shared" ca="1" si="45"/>
        <v>27</v>
      </c>
      <c r="K103" s="1">
        <f t="shared" ca="1" si="46"/>
        <v>1.7376339235833518</v>
      </c>
      <c r="L103" s="1">
        <f t="shared" ca="1" si="47"/>
        <v>12</v>
      </c>
      <c r="M103" s="1"/>
      <c r="N103" s="1">
        <f t="shared" ca="1" si="48"/>
        <v>764</v>
      </c>
      <c r="O103" s="1">
        <f t="shared" ca="1" si="49"/>
        <v>49</v>
      </c>
      <c r="P103" s="1"/>
      <c r="Q103" s="1">
        <f t="shared" ca="1" si="50"/>
        <v>2.7087678115536149</v>
      </c>
      <c r="R103" s="1">
        <f t="shared" ca="1" si="51"/>
        <v>662</v>
      </c>
      <c r="S103" s="1"/>
      <c r="T103" s="1">
        <f t="shared" ca="1" si="52"/>
        <v>4.4914953285008184E-2</v>
      </c>
      <c r="U103" s="1">
        <f t="shared" ca="1" si="53"/>
        <v>358</v>
      </c>
      <c r="V103" s="1">
        <f t="shared" ca="1" si="54"/>
        <v>24</v>
      </c>
      <c r="W103" s="1"/>
      <c r="X103" s="1">
        <f t="shared" ca="1" si="55"/>
        <v>9.7522509624351823</v>
      </c>
      <c r="Y103" s="1">
        <f t="shared" ca="1" si="56"/>
        <v>0.54195518559646205</v>
      </c>
      <c r="Z103" s="1">
        <f t="shared" ca="1" si="57"/>
        <v>1463</v>
      </c>
      <c r="AB103" s="1">
        <f t="shared" ca="1" si="58"/>
        <v>0.72744604928614109</v>
      </c>
      <c r="AC103" s="1">
        <f t="shared" ca="1" si="59"/>
        <v>559</v>
      </c>
      <c r="AD103" s="1">
        <f t="shared" ca="1" si="60"/>
        <v>6.1481901473363311E-3</v>
      </c>
      <c r="AE103" s="1"/>
      <c r="AF103" s="1">
        <f t="shared" ca="1" si="61"/>
        <v>0.25348278187997497</v>
      </c>
      <c r="AG103" s="1">
        <f t="shared" ca="1" si="62"/>
        <v>577</v>
      </c>
      <c r="AH103" s="1">
        <f t="shared" ca="1" si="63"/>
        <v>6.6693822606968137E-3</v>
      </c>
      <c r="AJ103" s="1">
        <f t="shared" ca="1" si="64"/>
        <v>0.33670393622533967</v>
      </c>
      <c r="AK103" s="1">
        <f t="shared" ca="1" si="65"/>
        <v>7.4810327643028947E-3</v>
      </c>
      <c r="AL103" s="1"/>
      <c r="AM103" s="1">
        <f t="shared" ca="1" si="66"/>
        <v>0.10542572977770576</v>
      </c>
      <c r="AN103" s="1">
        <f t="shared" ca="1" si="67"/>
        <v>56</v>
      </c>
      <c r="AO103" s="1">
        <f t="shared" ca="1" si="68"/>
        <v>0</v>
      </c>
      <c r="AQ103" s="1">
        <f t="shared" ca="1" si="69"/>
        <v>105</v>
      </c>
      <c r="AR103" s="1">
        <f t="shared" ca="1" si="70"/>
        <v>6</v>
      </c>
      <c r="AS103" s="1">
        <f t="shared" ca="1" si="71"/>
        <v>36</v>
      </c>
      <c r="AU103" s="1">
        <f t="shared" ca="1" si="72"/>
        <v>277</v>
      </c>
      <c r="AV103" s="1">
        <f t="shared" ca="1" si="73"/>
        <v>4</v>
      </c>
      <c r="AW103" s="1">
        <f t="shared" ca="1" si="74"/>
        <v>0.12800959275895155</v>
      </c>
      <c r="AY103" s="1">
        <f t="shared" ca="1" si="75"/>
        <v>1.8737884764231729</v>
      </c>
      <c r="AZ103" s="1">
        <f t="shared" ca="1" si="76"/>
        <v>388</v>
      </c>
      <c r="BA103" s="1">
        <f t="shared" ca="1" si="77"/>
        <v>1.523062088541322E-3</v>
      </c>
    </row>
    <row r="104" spans="2:53" x14ac:dyDescent="0.25">
      <c r="B104">
        <f t="shared" ca="1" si="39"/>
        <v>129</v>
      </c>
      <c r="C104">
        <f t="shared" ca="1" si="40"/>
        <v>7</v>
      </c>
      <c r="D104">
        <f t="shared" ca="1" si="41"/>
        <v>0.16083522467089453</v>
      </c>
      <c r="F104" s="1">
        <f t="shared" ca="1" si="42"/>
        <v>47</v>
      </c>
      <c r="G104" s="1">
        <f t="shared" ca="1" si="43"/>
        <v>3</v>
      </c>
      <c r="H104" s="1">
        <f t="shared" ca="1" si="44"/>
        <v>6</v>
      </c>
      <c r="I104" s="1"/>
      <c r="J104" s="1">
        <f t="shared" ca="1" si="45"/>
        <v>27</v>
      </c>
      <c r="K104" s="1">
        <f t="shared" ca="1" si="46"/>
        <v>2.7512579276172633</v>
      </c>
      <c r="L104" s="1">
        <f t="shared" ca="1" si="47"/>
        <v>29</v>
      </c>
      <c r="M104" s="1"/>
      <c r="N104" s="1">
        <f t="shared" ca="1" si="48"/>
        <v>724</v>
      </c>
      <c r="O104" s="1">
        <f t="shared" ca="1" si="49"/>
        <v>27</v>
      </c>
      <c r="P104" s="1"/>
      <c r="Q104" s="1">
        <f t="shared" ca="1" si="50"/>
        <v>0.11248426455056205</v>
      </c>
      <c r="R104" s="1">
        <f t="shared" ca="1" si="51"/>
        <v>772</v>
      </c>
      <c r="S104" s="1"/>
      <c r="T104" s="1">
        <f t="shared" ca="1" si="52"/>
        <v>0.16352520412294991</v>
      </c>
      <c r="U104" s="1">
        <f t="shared" ca="1" si="53"/>
        <v>112</v>
      </c>
      <c r="V104" s="1">
        <f t="shared" ca="1" si="54"/>
        <v>33</v>
      </c>
      <c r="W104" s="1"/>
      <c r="X104" s="1">
        <f t="shared" ca="1" si="55"/>
        <v>6.6175369683626322</v>
      </c>
      <c r="Y104" s="1">
        <f t="shared" ca="1" si="56"/>
        <v>4.747465435254828E-2</v>
      </c>
      <c r="Z104" s="1">
        <f t="shared" ca="1" si="57"/>
        <v>165</v>
      </c>
      <c r="AB104" s="1">
        <f t="shared" ca="1" si="58"/>
        <v>0.29560521215274244</v>
      </c>
      <c r="AC104" s="1">
        <f t="shared" ca="1" si="59"/>
        <v>359</v>
      </c>
      <c r="AD104" s="1">
        <f t="shared" ca="1" si="60"/>
        <v>3.3121479747714225E-3</v>
      </c>
      <c r="AE104" s="1"/>
      <c r="AF104" s="1">
        <f t="shared" ca="1" si="61"/>
        <v>0.1503085435417405</v>
      </c>
      <c r="AG104" s="1">
        <f t="shared" ca="1" si="62"/>
        <v>938</v>
      </c>
      <c r="AH104" s="1">
        <f t="shared" ca="1" si="63"/>
        <v>6.4670654062357258E-3</v>
      </c>
      <c r="AJ104" s="1">
        <f t="shared" ca="1" si="64"/>
        <v>0.97255824296211657</v>
      </c>
      <c r="AK104" s="1">
        <f t="shared" ca="1" si="65"/>
        <v>1.6994441362186263E-3</v>
      </c>
      <c r="AL104" s="1"/>
      <c r="AM104" s="1">
        <f t="shared" ca="1" si="66"/>
        <v>0.11854002474560286</v>
      </c>
      <c r="AN104" s="1">
        <f t="shared" ca="1" si="67"/>
        <v>25</v>
      </c>
      <c r="AO104" s="1">
        <f t="shared" ca="1" si="68"/>
        <v>17</v>
      </c>
      <c r="AQ104" s="1">
        <f t="shared" ca="1" si="69"/>
        <v>175</v>
      </c>
      <c r="AR104" s="1">
        <f t="shared" ca="1" si="70"/>
        <v>1</v>
      </c>
      <c r="AS104" s="1">
        <f t="shared" ca="1" si="71"/>
        <v>84</v>
      </c>
      <c r="AU104" s="1">
        <f t="shared" ca="1" si="72"/>
        <v>210</v>
      </c>
      <c r="AV104" s="1">
        <f t="shared" ca="1" si="73"/>
        <v>2</v>
      </c>
      <c r="AW104" s="1">
        <f t="shared" ca="1" si="74"/>
        <v>0.17744744831096476</v>
      </c>
      <c r="AY104" s="1">
        <f t="shared" ca="1" si="75"/>
        <v>1.7407782661986206</v>
      </c>
      <c r="AZ104" s="1">
        <f t="shared" ca="1" si="76"/>
        <v>160</v>
      </c>
      <c r="BA104" s="1">
        <f t="shared" ca="1" si="77"/>
        <v>3.2158788407676431E-3</v>
      </c>
    </row>
    <row r="105" spans="2:53" x14ac:dyDescent="0.25">
      <c r="B105">
        <f t="shared" ca="1" si="39"/>
        <v>770</v>
      </c>
      <c r="C105">
        <f t="shared" ca="1" si="40"/>
        <v>9</v>
      </c>
      <c r="D105">
        <f t="shared" ca="1" si="41"/>
        <v>0.23160798623717319</v>
      </c>
      <c r="F105" s="1">
        <f t="shared" ca="1" si="42"/>
        <v>22</v>
      </c>
      <c r="G105" s="1">
        <f t="shared" ca="1" si="43"/>
        <v>26</v>
      </c>
      <c r="H105" s="1">
        <f t="shared" ca="1" si="44"/>
        <v>12</v>
      </c>
      <c r="I105" s="1"/>
      <c r="J105" s="1">
        <f t="shared" ca="1" si="45"/>
        <v>7</v>
      </c>
      <c r="K105" s="1">
        <f t="shared" ca="1" si="46"/>
        <v>1.1670389920493576</v>
      </c>
      <c r="L105" s="1">
        <f t="shared" ca="1" si="47"/>
        <v>13</v>
      </c>
      <c r="M105" s="1"/>
      <c r="N105" s="1">
        <f t="shared" ca="1" si="48"/>
        <v>427</v>
      </c>
      <c r="O105" s="1">
        <f t="shared" ca="1" si="49"/>
        <v>44</v>
      </c>
      <c r="P105" s="1"/>
      <c r="Q105" s="1">
        <f t="shared" ca="1" si="50"/>
        <v>1.5201688761666436</v>
      </c>
      <c r="R105" s="1">
        <f t="shared" ca="1" si="51"/>
        <v>757</v>
      </c>
      <c r="S105" s="1"/>
      <c r="T105" s="1">
        <f t="shared" ca="1" si="52"/>
        <v>4.6637215719882177E-2</v>
      </c>
      <c r="U105" s="1">
        <f t="shared" ca="1" si="53"/>
        <v>248</v>
      </c>
      <c r="V105" s="1">
        <f t="shared" ca="1" si="54"/>
        <v>22</v>
      </c>
      <c r="W105" s="1"/>
      <c r="X105" s="1">
        <f t="shared" ca="1" si="55"/>
        <v>8.8468430991213705</v>
      </c>
      <c r="Y105" s="1">
        <f t="shared" ca="1" si="56"/>
        <v>0.71205401299924365</v>
      </c>
      <c r="Z105" s="1">
        <f t="shared" ca="1" si="57"/>
        <v>139</v>
      </c>
      <c r="AB105" s="1">
        <f t="shared" ca="1" si="58"/>
        <v>0.19902295339049594</v>
      </c>
      <c r="AC105" s="1">
        <f t="shared" ca="1" si="59"/>
        <v>251</v>
      </c>
      <c r="AD105" s="1">
        <f t="shared" ca="1" si="60"/>
        <v>3.5715628889199558E-3</v>
      </c>
      <c r="AE105" s="1"/>
      <c r="AF105" s="1">
        <f t="shared" ca="1" si="61"/>
        <v>0.51793330645274993</v>
      </c>
      <c r="AG105" s="1">
        <f t="shared" ca="1" si="62"/>
        <v>943</v>
      </c>
      <c r="AH105" s="1">
        <f t="shared" ca="1" si="63"/>
        <v>4.7534012868423936E-3</v>
      </c>
      <c r="AJ105" s="1">
        <f t="shared" ca="1" si="64"/>
        <v>0.90725671512130279</v>
      </c>
      <c r="AK105" s="1">
        <f t="shared" ca="1" si="65"/>
        <v>1.5709467264586494E-4</v>
      </c>
      <c r="AL105" s="1"/>
      <c r="AM105" s="1">
        <f t="shared" ca="1" si="66"/>
        <v>3.2452959076948319E-2</v>
      </c>
      <c r="AN105" s="1">
        <f t="shared" ca="1" si="67"/>
        <v>38</v>
      </c>
      <c r="AO105" s="1">
        <f t="shared" ca="1" si="68"/>
        <v>4</v>
      </c>
      <c r="AQ105" s="1">
        <f t="shared" ca="1" si="69"/>
        <v>199</v>
      </c>
      <c r="AR105" s="1">
        <f t="shared" ca="1" si="70"/>
        <v>0</v>
      </c>
      <c r="AS105" s="1">
        <f t="shared" ca="1" si="71"/>
        <v>87</v>
      </c>
      <c r="AU105" s="1">
        <f t="shared" ca="1" si="72"/>
        <v>225</v>
      </c>
      <c r="AV105" s="1">
        <f t="shared" ca="1" si="73"/>
        <v>3</v>
      </c>
      <c r="AW105" s="1">
        <f t="shared" ca="1" si="74"/>
        <v>0.11384966944828399</v>
      </c>
      <c r="AY105" s="1">
        <f t="shared" ca="1" si="75"/>
        <v>1.6330320745103746</v>
      </c>
      <c r="AZ105" s="1">
        <f t="shared" ca="1" si="76"/>
        <v>315</v>
      </c>
      <c r="BA105" s="1">
        <f t="shared" ca="1" si="77"/>
        <v>5.1175236859755686E-3</v>
      </c>
    </row>
    <row r="106" spans="2:53" x14ac:dyDescent="0.25">
      <c r="B106">
        <f t="shared" ca="1" si="39"/>
        <v>50</v>
      </c>
      <c r="C106">
        <f t="shared" ca="1" si="40"/>
        <v>9</v>
      </c>
      <c r="D106">
        <f t="shared" ca="1" si="41"/>
        <v>0.20808595857395201</v>
      </c>
      <c r="F106" s="1">
        <f t="shared" ca="1" si="42"/>
        <v>20</v>
      </c>
      <c r="G106" s="1">
        <f t="shared" ca="1" si="43"/>
        <v>18</v>
      </c>
      <c r="H106" s="1">
        <f t="shared" ca="1" si="44"/>
        <v>12</v>
      </c>
      <c r="I106" s="1"/>
      <c r="J106" s="1">
        <f t="shared" ca="1" si="45"/>
        <v>36</v>
      </c>
      <c r="K106" s="1">
        <f t="shared" ca="1" si="46"/>
        <v>1.041311630729794</v>
      </c>
      <c r="L106" s="1">
        <f t="shared" ca="1" si="47"/>
        <v>15</v>
      </c>
      <c r="M106" s="1"/>
      <c r="N106" s="1">
        <f t="shared" ca="1" si="48"/>
        <v>483</v>
      </c>
      <c r="O106" s="1">
        <f t="shared" ca="1" si="49"/>
        <v>51</v>
      </c>
      <c r="P106" s="1"/>
      <c r="Q106" s="1">
        <f t="shared" ca="1" si="50"/>
        <v>2.0222319563556201</v>
      </c>
      <c r="R106" s="1">
        <f t="shared" ca="1" si="51"/>
        <v>274</v>
      </c>
      <c r="S106" s="1"/>
      <c r="T106" s="1">
        <f t="shared" ca="1" si="52"/>
        <v>9.6008695100778765E-2</v>
      </c>
      <c r="U106" s="1">
        <f t="shared" ca="1" si="53"/>
        <v>243</v>
      </c>
      <c r="V106" s="1">
        <f t="shared" ca="1" si="54"/>
        <v>35</v>
      </c>
      <c r="W106" s="1"/>
      <c r="X106" s="1">
        <f t="shared" ca="1" si="55"/>
        <v>6.0276120363064738</v>
      </c>
      <c r="Y106" s="1">
        <f t="shared" ca="1" si="56"/>
        <v>2.7401989581755902E-2</v>
      </c>
      <c r="Z106" s="1">
        <f t="shared" ca="1" si="57"/>
        <v>819</v>
      </c>
      <c r="AB106" s="1">
        <f t="shared" ca="1" si="58"/>
        <v>0.40424310054751889</v>
      </c>
      <c r="AC106" s="1">
        <f t="shared" ca="1" si="59"/>
        <v>681</v>
      </c>
      <c r="AD106" s="1">
        <f t="shared" ca="1" si="60"/>
        <v>6.827083017805006E-3</v>
      </c>
      <c r="AE106" s="1"/>
      <c r="AF106" s="1">
        <f t="shared" ca="1" si="61"/>
        <v>0.12803585617770719</v>
      </c>
      <c r="AG106" s="1">
        <f t="shared" ca="1" si="62"/>
        <v>998</v>
      </c>
      <c r="AH106" s="1">
        <f t="shared" ca="1" si="63"/>
        <v>7.6212222725059982E-3</v>
      </c>
      <c r="AJ106" s="1">
        <f t="shared" ca="1" si="64"/>
        <v>0.42740234388148435</v>
      </c>
      <c r="AK106" s="1">
        <f t="shared" ca="1" si="65"/>
        <v>9.556374080375243E-4</v>
      </c>
      <c r="AL106" s="1"/>
      <c r="AM106" s="1">
        <f t="shared" ca="1" si="66"/>
        <v>0.12006497838818807</v>
      </c>
      <c r="AN106" s="1">
        <f t="shared" ca="1" si="67"/>
        <v>17</v>
      </c>
      <c r="AO106" s="1">
        <f t="shared" ca="1" si="68"/>
        <v>7</v>
      </c>
      <c r="AQ106" s="1">
        <f t="shared" ca="1" si="69"/>
        <v>174</v>
      </c>
      <c r="AR106" s="1">
        <f t="shared" ca="1" si="70"/>
        <v>3</v>
      </c>
      <c r="AS106" s="1">
        <f t="shared" ca="1" si="71"/>
        <v>30</v>
      </c>
      <c r="AU106" s="1">
        <f t="shared" ca="1" si="72"/>
        <v>367</v>
      </c>
      <c r="AV106" s="1">
        <f t="shared" ca="1" si="73"/>
        <v>5</v>
      </c>
      <c r="AW106" s="1">
        <f t="shared" ca="1" si="74"/>
        <v>0.19388398906617194</v>
      </c>
      <c r="AY106" s="1">
        <f t="shared" ca="1" si="75"/>
        <v>1.5719902371594201</v>
      </c>
      <c r="AZ106" s="1">
        <f t="shared" ca="1" si="76"/>
        <v>372</v>
      </c>
      <c r="BA106" s="1">
        <f t="shared" ca="1" si="77"/>
        <v>4.1724407214124723E-4</v>
      </c>
    </row>
    <row r="107" spans="2:53" x14ac:dyDescent="0.25">
      <c r="B107">
        <f t="shared" ca="1" si="39"/>
        <v>564</v>
      </c>
      <c r="C107">
        <f t="shared" ca="1" si="40"/>
        <v>41</v>
      </c>
      <c r="D107">
        <f t="shared" ca="1" si="41"/>
        <v>1.9203336549567095E-2</v>
      </c>
      <c r="F107" s="1">
        <f t="shared" ca="1" si="42"/>
        <v>31</v>
      </c>
      <c r="G107" s="1">
        <f t="shared" ca="1" si="43"/>
        <v>28</v>
      </c>
      <c r="H107" s="1">
        <f t="shared" ca="1" si="44"/>
        <v>13</v>
      </c>
      <c r="I107" s="1"/>
      <c r="J107" s="1">
        <f t="shared" ca="1" si="45"/>
        <v>35</v>
      </c>
      <c r="K107" s="1">
        <f t="shared" ca="1" si="46"/>
        <v>2.5769831118907618</v>
      </c>
      <c r="L107" s="1">
        <f t="shared" ca="1" si="47"/>
        <v>32</v>
      </c>
      <c r="M107" s="1"/>
      <c r="N107" s="1">
        <f t="shared" ca="1" si="48"/>
        <v>954</v>
      </c>
      <c r="O107" s="1">
        <f t="shared" ca="1" si="49"/>
        <v>48</v>
      </c>
      <c r="P107" s="1"/>
      <c r="Q107" s="1">
        <f t="shared" ca="1" si="50"/>
        <v>1.5009325610198112</v>
      </c>
      <c r="R107" s="1">
        <f t="shared" ca="1" si="51"/>
        <v>716</v>
      </c>
      <c r="S107" s="1"/>
      <c r="T107" s="1">
        <f t="shared" ca="1" si="52"/>
        <v>0.18811534174286293</v>
      </c>
      <c r="U107" s="1">
        <f t="shared" ca="1" si="53"/>
        <v>439</v>
      </c>
      <c r="V107" s="1">
        <f t="shared" ca="1" si="54"/>
        <v>28</v>
      </c>
      <c r="W107" s="1"/>
      <c r="X107" s="1">
        <f t="shared" ca="1" si="55"/>
        <v>4.3450648094436648</v>
      </c>
      <c r="Y107" s="1">
        <f t="shared" ca="1" si="56"/>
        <v>0.40179340252264084</v>
      </c>
      <c r="Z107" s="1">
        <f t="shared" ca="1" si="57"/>
        <v>1367</v>
      </c>
      <c r="AB107" s="1">
        <f t="shared" ca="1" si="58"/>
        <v>0.2424181914339491</v>
      </c>
      <c r="AC107" s="1">
        <f t="shared" ca="1" si="59"/>
        <v>179</v>
      </c>
      <c r="AD107" s="1">
        <f t="shared" ca="1" si="60"/>
        <v>4.8361649118488746E-3</v>
      </c>
      <c r="AE107" s="1"/>
      <c r="AF107" s="1">
        <f t="shared" ca="1" si="61"/>
        <v>0.46126864071864815</v>
      </c>
      <c r="AG107" s="1">
        <f t="shared" ca="1" si="62"/>
        <v>443</v>
      </c>
      <c r="AH107" s="1">
        <f t="shared" ca="1" si="63"/>
        <v>8.1124620147462884E-3</v>
      </c>
      <c r="AJ107" s="1">
        <f t="shared" ca="1" si="64"/>
        <v>2.3715808837480368E-2</v>
      </c>
      <c r="AK107" s="1">
        <f t="shared" ca="1" si="65"/>
        <v>6.1153969112400118E-3</v>
      </c>
      <c r="AL107" s="1"/>
      <c r="AM107" s="1">
        <f t="shared" ca="1" si="66"/>
        <v>0.14767060924921249</v>
      </c>
      <c r="AN107" s="1">
        <f t="shared" ca="1" si="67"/>
        <v>38</v>
      </c>
      <c r="AO107" s="1">
        <f t="shared" ca="1" si="68"/>
        <v>12</v>
      </c>
      <c r="AQ107" s="1">
        <f t="shared" ca="1" si="69"/>
        <v>81</v>
      </c>
      <c r="AR107" s="1">
        <f t="shared" ca="1" si="70"/>
        <v>9</v>
      </c>
      <c r="AS107" s="1">
        <f t="shared" ca="1" si="71"/>
        <v>83</v>
      </c>
      <c r="AU107" s="1">
        <f t="shared" ca="1" si="72"/>
        <v>292</v>
      </c>
      <c r="AV107" s="1">
        <f t="shared" ca="1" si="73"/>
        <v>5</v>
      </c>
      <c r="AW107" s="1">
        <f t="shared" ca="1" si="74"/>
        <v>5.7719655689935652E-2</v>
      </c>
      <c r="AY107" s="1">
        <f t="shared" ca="1" si="75"/>
        <v>1.6775248731666785</v>
      </c>
      <c r="AZ107" s="1">
        <f t="shared" ca="1" si="76"/>
        <v>377</v>
      </c>
      <c r="BA107" s="1">
        <f t="shared" ca="1" si="77"/>
        <v>3.8213856557429505E-3</v>
      </c>
    </row>
    <row r="108" spans="2:53" x14ac:dyDescent="0.25">
      <c r="B108">
        <f t="shared" ca="1" si="39"/>
        <v>734</v>
      </c>
      <c r="C108">
        <f t="shared" ca="1" si="40"/>
        <v>19</v>
      </c>
      <c r="D108">
        <f t="shared" ca="1" si="41"/>
        <v>0.23996621167580068</v>
      </c>
      <c r="F108" s="1">
        <f t="shared" ca="1" si="42"/>
        <v>27</v>
      </c>
      <c r="G108" s="1">
        <f t="shared" ca="1" si="43"/>
        <v>25</v>
      </c>
      <c r="H108" s="1">
        <f t="shared" ca="1" si="44"/>
        <v>8</v>
      </c>
      <c r="I108" s="1"/>
      <c r="J108" s="1">
        <f t="shared" ca="1" si="45"/>
        <v>38</v>
      </c>
      <c r="K108" s="1">
        <f t="shared" ca="1" si="46"/>
        <v>2.9677916324446842</v>
      </c>
      <c r="L108" s="1">
        <f t="shared" ca="1" si="47"/>
        <v>22</v>
      </c>
      <c r="M108" s="1"/>
      <c r="N108" s="1">
        <f t="shared" ca="1" si="48"/>
        <v>238</v>
      </c>
      <c r="O108" s="1">
        <f t="shared" ca="1" si="49"/>
        <v>48</v>
      </c>
      <c r="P108" s="1"/>
      <c r="Q108" s="1">
        <f t="shared" ca="1" si="50"/>
        <v>4.0042415148051349</v>
      </c>
      <c r="R108" s="1">
        <f t="shared" ca="1" si="51"/>
        <v>422</v>
      </c>
      <c r="S108" s="1"/>
      <c r="T108" s="1">
        <f t="shared" ca="1" si="52"/>
        <v>1.1505761549936138E-2</v>
      </c>
      <c r="U108" s="1">
        <f t="shared" ca="1" si="53"/>
        <v>145</v>
      </c>
      <c r="V108" s="1">
        <f t="shared" ca="1" si="54"/>
        <v>9</v>
      </c>
      <c r="W108" s="1"/>
      <c r="X108" s="1">
        <f t="shared" ca="1" si="55"/>
        <v>3.7838805996156126</v>
      </c>
      <c r="Y108" s="1">
        <f t="shared" ca="1" si="56"/>
        <v>9.8819388415228485E-2</v>
      </c>
      <c r="Z108" s="1">
        <f t="shared" ca="1" si="57"/>
        <v>302</v>
      </c>
      <c r="AB108" s="1">
        <f t="shared" ca="1" si="58"/>
        <v>0.50714606017392505</v>
      </c>
      <c r="AC108" s="1">
        <f t="shared" ca="1" si="59"/>
        <v>565</v>
      </c>
      <c r="AD108" s="1">
        <f t="shared" ca="1" si="60"/>
        <v>1.3434056098679363E-3</v>
      </c>
      <c r="AE108" s="1"/>
      <c r="AF108" s="1">
        <f t="shared" ca="1" si="61"/>
        <v>0.63852948407517507</v>
      </c>
      <c r="AG108" s="1">
        <f t="shared" ca="1" si="62"/>
        <v>431</v>
      </c>
      <c r="AH108" s="1">
        <f t="shared" ca="1" si="63"/>
        <v>6.0836881668395546E-4</v>
      </c>
      <c r="AJ108" s="1">
        <f t="shared" ca="1" si="64"/>
        <v>0.26451303280732619</v>
      </c>
      <c r="AK108" s="1">
        <f t="shared" ca="1" si="65"/>
        <v>2.3520343148835535E-3</v>
      </c>
      <c r="AL108" s="1"/>
      <c r="AM108" s="1">
        <f t="shared" ca="1" si="66"/>
        <v>0.16594927934001097</v>
      </c>
      <c r="AN108" s="1">
        <f t="shared" ca="1" si="67"/>
        <v>56</v>
      </c>
      <c r="AO108" s="1">
        <f t="shared" ca="1" si="68"/>
        <v>14</v>
      </c>
      <c r="AQ108" s="1">
        <f t="shared" ca="1" si="69"/>
        <v>117</v>
      </c>
      <c r="AR108" s="1">
        <f t="shared" ca="1" si="70"/>
        <v>1</v>
      </c>
      <c r="AS108" s="1">
        <f t="shared" ca="1" si="71"/>
        <v>58</v>
      </c>
      <c r="AU108" s="1">
        <f t="shared" ca="1" si="72"/>
        <v>277</v>
      </c>
      <c r="AV108" s="1">
        <f t="shared" ca="1" si="73"/>
        <v>2</v>
      </c>
      <c r="AW108" s="1">
        <f t="shared" ca="1" si="74"/>
        <v>0.13341534082652709</v>
      </c>
      <c r="AY108" s="1">
        <f t="shared" ca="1" si="75"/>
        <v>1.648718168618065</v>
      </c>
      <c r="AZ108" s="1">
        <f t="shared" ca="1" si="76"/>
        <v>354</v>
      </c>
      <c r="BA108" s="1">
        <f t="shared" ca="1" si="77"/>
        <v>5.8328872732420515E-4</v>
      </c>
    </row>
    <row r="109" spans="2:53" x14ac:dyDescent="0.25">
      <c r="B109">
        <f t="shared" ca="1" si="39"/>
        <v>415</v>
      </c>
      <c r="C109">
        <f t="shared" ca="1" si="40"/>
        <v>7</v>
      </c>
      <c r="D109">
        <f t="shared" ca="1" si="41"/>
        <v>0.23307201765155613</v>
      </c>
      <c r="F109" s="1">
        <f t="shared" ca="1" si="42"/>
        <v>45</v>
      </c>
      <c r="G109" s="1">
        <f t="shared" ca="1" si="43"/>
        <v>24</v>
      </c>
      <c r="H109" s="1">
        <f t="shared" ca="1" si="44"/>
        <v>4</v>
      </c>
      <c r="I109" s="1"/>
      <c r="J109" s="1">
        <f t="shared" ca="1" si="45"/>
        <v>1</v>
      </c>
      <c r="K109" s="1">
        <f t="shared" ca="1" si="46"/>
        <v>1.6268612102413131</v>
      </c>
      <c r="L109" s="1">
        <f t="shared" ca="1" si="47"/>
        <v>26</v>
      </c>
      <c r="M109" s="1"/>
      <c r="N109" s="1">
        <f t="shared" ca="1" si="48"/>
        <v>700</v>
      </c>
      <c r="O109" s="1">
        <f t="shared" ca="1" si="49"/>
        <v>13</v>
      </c>
      <c r="P109" s="1"/>
      <c r="Q109" s="1">
        <f t="shared" ca="1" si="50"/>
        <v>0.45746864684878624</v>
      </c>
      <c r="R109" s="1">
        <f t="shared" ca="1" si="51"/>
        <v>767</v>
      </c>
      <c r="S109" s="1"/>
      <c r="T109" s="1">
        <f t="shared" ca="1" si="52"/>
        <v>0.12162071483848624</v>
      </c>
      <c r="U109" s="1">
        <f t="shared" ca="1" si="53"/>
        <v>161</v>
      </c>
      <c r="V109" s="1">
        <f t="shared" ca="1" si="54"/>
        <v>46</v>
      </c>
      <c r="W109" s="1"/>
      <c r="X109" s="1">
        <f t="shared" ca="1" si="55"/>
        <v>6.5978441120898443</v>
      </c>
      <c r="Y109" s="1">
        <f t="shared" ca="1" si="56"/>
        <v>6.5306067598325773E-2</v>
      </c>
      <c r="Z109" s="1">
        <f t="shared" ca="1" si="57"/>
        <v>1144</v>
      </c>
      <c r="AB109" s="1">
        <f t="shared" ca="1" si="58"/>
        <v>0.59497761981053998</v>
      </c>
      <c r="AC109" s="1">
        <f t="shared" ca="1" si="59"/>
        <v>604</v>
      </c>
      <c r="AD109" s="1">
        <f t="shared" ca="1" si="60"/>
        <v>3.4032690528657656E-3</v>
      </c>
      <c r="AE109" s="1"/>
      <c r="AF109" s="1">
        <f t="shared" ca="1" si="61"/>
        <v>0.3896248453461254</v>
      </c>
      <c r="AG109" s="1">
        <f t="shared" ca="1" si="62"/>
        <v>635</v>
      </c>
      <c r="AH109" s="1">
        <f t="shared" ca="1" si="63"/>
        <v>8.7281102868113289E-3</v>
      </c>
      <c r="AJ109" s="1">
        <f t="shared" ca="1" si="64"/>
        <v>0.77934945963508118</v>
      </c>
      <c r="AK109" s="1">
        <f t="shared" ca="1" si="65"/>
        <v>5.3864472134742478E-3</v>
      </c>
      <c r="AL109" s="1"/>
      <c r="AM109" s="1">
        <f t="shared" ca="1" si="66"/>
        <v>0.18368819701999295</v>
      </c>
      <c r="AN109" s="1">
        <f t="shared" ca="1" si="67"/>
        <v>20</v>
      </c>
      <c r="AO109" s="1">
        <f t="shared" ca="1" si="68"/>
        <v>3</v>
      </c>
      <c r="AQ109" s="1">
        <f t="shared" ca="1" si="69"/>
        <v>195</v>
      </c>
      <c r="AR109" s="1">
        <f t="shared" ca="1" si="70"/>
        <v>4</v>
      </c>
      <c r="AS109" s="1">
        <f t="shared" ca="1" si="71"/>
        <v>5</v>
      </c>
      <c r="AU109" s="1">
        <f t="shared" ca="1" si="72"/>
        <v>210</v>
      </c>
      <c r="AV109" s="1">
        <f t="shared" ca="1" si="73"/>
        <v>9</v>
      </c>
      <c r="AW109" s="1">
        <f t="shared" ca="1" si="74"/>
        <v>0.11658395701836641</v>
      </c>
      <c r="AY109" s="1">
        <f t="shared" ca="1" si="75"/>
        <v>1.6967167493611894</v>
      </c>
      <c r="AZ109" s="1">
        <f t="shared" ca="1" si="76"/>
        <v>232</v>
      </c>
      <c r="BA109" s="1">
        <f t="shared" ca="1" si="77"/>
        <v>7.6806108121436713E-5</v>
      </c>
    </row>
    <row r="110" spans="2:53" x14ac:dyDescent="0.25">
      <c r="B110">
        <f t="shared" ca="1" si="39"/>
        <v>485</v>
      </c>
      <c r="C110">
        <f t="shared" ca="1" si="40"/>
        <v>38</v>
      </c>
      <c r="D110">
        <f t="shared" ca="1" si="41"/>
        <v>6.1177742462176256E-2</v>
      </c>
      <c r="F110" s="1">
        <f t="shared" ca="1" si="42"/>
        <v>12</v>
      </c>
      <c r="G110" s="1">
        <f t="shared" ca="1" si="43"/>
        <v>9</v>
      </c>
      <c r="H110" s="1">
        <f t="shared" ca="1" si="44"/>
        <v>13</v>
      </c>
      <c r="I110" s="1"/>
      <c r="J110" s="1">
        <f t="shared" ca="1" si="45"/>
        <v>38</v>
      </c>
      <c r="K110" s="1">
        <f t="shared" ca="1" si="46"/>
        <v>1.2316612865373906</v>
      </c>
      <c r="L110" s="1">
        <f t="shared" ca="1" si="47"/>
        <v>4</v>
      </c>
      <c r="M110" s="1"/>
      <c r="N110" s="1">
        <f t="shared" ca="1" si="48"/>
        <v>840</v>
      </c>
      <c r="O110" s="1">
        <f t="shared" ca="1" si="49"/>
        <v>33</v>
      </c>
      <c r="P110" s="1"/>
      <c r="Q110" s="1">
        <f t="shared" ca="1" si="50"/>
        <v>3.8769590615048499</v>
      </c>
      <c r="R110" s="1">
        <f t="shared" ca="1" si="51"/>
        <v>622</v>
      </c>
      <c r="S110" s="1"/>
      <c r="T110" s="1">
        <f t="shared" ca="1" si="52"/>
        <v>0.18388168232528523</v>
      </c>
      <c r="U110" s="1">
        <f t="shared" ca="1" si="53"/>
        <v>412</v>
      </c>
      <c r="V110" s="1">
        <f t="shared" ca="1" si="54"/>
        <v>31</v>
      </c>
      <c r="W110" s="1"/>
      <c r="X110" s="1">
        <f t="shared" ca="1" si="55"/>
        <v>1.9177570022944779</v>
      </c>
      <c r="Y110" s="1">
        <f t="shared" ca="1" si="56"/>
        <v>0.86412353483204518</v>
      </c>
      <c r="Z110" s="1">
        <f t="shared" ca="1" si="57"/>
        <v>1879</v>
      </c>
      <c r="AB110" s="1">
        <f t="shared" ca="1" si="58"/>
        <v>0.49499279231938692</v>
      </c>
      <c r="AC110" s="1">
        <f t="shared" ca="1" si="59"/>
        <v>128</v>
      </c>
      <c r="AD110" s="1">
        <f t="shared" ca="1" si="60"/>
        <v>5.162572725668153E-3</v>
      </c>
      <c r="AE110" s="1"/>
      <c r="AF110" s="1">
        <f t="shared" ca="1" si="61"/>
        <v>0.16529330384975094</v>
      </c>
      <c r="AG110" s="1">
        <f t="shared" ca="1" si="62"/>
        <v>803</v>
      </c>
      <c r="AH110" s="1">
        <f t="shared" ca="1" si="63"/>
        <v>9.9429734504930976E-4</v>
      </c>
      <c r="AJ110" s="1">
        <f t="shared" ca="1" si="64"/>
        <v>0.30627499531597435</v>
      </c>
      <c r="AK110" s="1">
        <f t="shared" ca="1" si="65"/>
        <v>3.5977515636445509E-3</v>
      </c>
      <c r="AL110" s="1"/>
      <c r="AM110" s="1">
        <f t="shared" ca="1" si="66"/>
        <v>0.15756007222109825</v>
      </c>
      <c r="AN110" s="1">
        <f t="shared" ca="1" si="67"/>
        <v>46</v>
      </c>
      <c r="AO110" s="1">
        <f t="shared" ca="1" si="68"/>
        <v>6</v>
      </c>
      <c r="AQ110" s="1">
        <f t="shared" ca="1" si="69"/>
        <v>40</v>
      </c>
      <c r="AR110" s="1">
        <f t="shared" ca="1" si="70"/>
        <v>7</v>
      </c>
      <c r="AS110" s="1">
        <f t="shared" ca="1" si="71"/>
        <v>9</v>
      </c>
      <c r="AU110" s="1">
        <f t="shared" ca="1" si="72"/>
        <v>330</v>
      </c>
      <c r="AV110" s="1">
        <f t="shared" ca="1" si="73"/>
        <v>2</v>
      </c>
      <c r="AW110" s="1">
        <f t="shared" ca="1" si="74"/>
        <v>5.05044874309502E-2</v>
      </c>
      <c r="AY110" s="1">
        <f t="shared" ca="1" si="75"/>
        <v>1.9186146290182469</v>
      </c>
      <c r="AZ110" s="1">
        <f t="shared" ca="1" si="76"/>
        <v>161</v>
      </c>
      <c r="BA110" s="1">
        <f t="shared" ca="1" si="77"/>
        <v>5.6923977414927388E-3</v>
      </c>
    </row>
    <row r="111" spans="2:53" x14ac:dyDescent="0.25">
      <c r="B111">
        <f t="shared" ca="1" si="39"/>
        <v>943</v>
      </c>
      <c r="C111">
        <f t="shared" ca="1" si="40"/>
        <v>50</v>
      </c>
      <c r="D111">
        <f t="shared" ca="1" si="41"/>
        <v>5.7257785947719686E-2</v>
      </c>
      <c r="F111" s="1">
        <f t="shared" ca="1" si="42"/>
        <v>21</v>
      </c>
      <c r="G111" s="1">
        <f t="shared" ca="1" si="43"/>
        <v>2</v>
      </c>
      <c r="H111" s="1">
        <f t="shared" ca="1" si="44"/>
        <v>10</v>
      </c>
      <c r="I111" s="1"/>
      <c r="J111" s="1">
        <f t="shared" ca="1" si="45"/>
        <v>19</v>
      </c>
      <c r="K111" s="1">
        <f t="shared" ca="1" si="46"/>
        <v>1.0534159259618887</v>
      </c>
      <c r="L111" s="1">
        <f t="shared" ca="1" si="47"/>
        <v>20</v>
      </c>
      <c r="M111" s="1"/>
      <c r="N111" s="1">
        <f t="shared" ca="1" si="48"/>
        <v>489</v>
      </c>
      <c r="O111" s="1">
        <f t="shared" ca="1" si="49"/>
        <v>3</v>
      </c>
      <c r="P111" s="1"/>
      <c r="Q111" s="1">
        <f t="shared" ca="1" si="50"/>
        <v>1.5141690249963657</v>
      </c>
      <c r="R111" s="1">
        <f t="shared" ca="1" si="51"/>
        <v>559</v>
      </c>
      <c r="S111" s="1"/>
      <c r="T111" s="1">
        <f t="shared" ca="1" si="52"/>
        <v>0.14221154484103438</v>
      </c>
      <c r="U111" s="1">
        <f t="shared" ca="1" si="53"/>
        <v>409</v>
      </c>
      <c r="V111" s="1">
        <f t="shared" ca="1" si="54"/>
        <v>31</v>
      </c>
      <c r="W111" s="1"/>
      <c r="X111" s="1">
        <f t="shared" ca="1" si="55"/>
        <v>7.2097967202912896</v>
      </c>
      <c r="Y111" s="1">
        <f t="shared" ca="1" si="56"/>
        <v>0.10968612417846439</v>
      </c>
      <c r="Z111" s="1">
        <f t="shared" ca="1" si="57"/>
        <v>1409</v>
      </c>
      <c r="AB111" s="1">
        <f t="shared" ca="1" si="58"/>
        <v>0.18846208807001419</v>
      </c>
      <c r="AC111" s="1">
        <f t="shared" ca="1" si="59"/>
        <v>846</v>
      </c>
      <c r="AD111" s="1">
        <f t="shared" ca="1" si="60"/>
        <v>8.9921255637163315E-4</v>
      </c>
      <c r="AE111" s="1"/>
      <c r="AF111" s="1">
        <f t="shared" ca="1" si="61"/>
        <v>0.3034064503208212</v>
      </c>
      <c r="AG111" s="1">
        <f t="shared" ca="1" si="62"/>
        <v>962</v>
      </c>
      <c r="AH111" s="1">
        <f t="shared" ca="1" si="63"/>
        <v>2.6685817938262393E-3</v>
      </c>
      <c r="AJ111" s="1">
        <f t="shared" ca="1" si="64"/>
        <v>0.71655139247666866</v>
      </c>
      <c r="AK111" s="1">
        <f t="shared" ca="1" si="65"/>
        <v>9.8754070622518834E-3</v>
      </c>
      <c r="AL111" s="1"/>
      <c r="AM111" s="1">
        <f t="shared" ca="1" si="66"/>
        <v>0.10542046899566819</v>
      </c>
      <c r="AN111" s="1">
        <f t="shared" ca="1" si="67"/>
        <v>26</v>
      </c>
      <c r="AO111" s="1">
        <f t="shared" ca="1" si="68"/>
        <v>6</v>
      </c>
      <c r="AQ111" s="1">
        <f t="shared" ca="1" si="69"/>
        <v>34</v>
      </c>
      <c r="AR111" s="1">
        <f t="shared" ca="1" si="70"/>
        <v>7</v>
      </c>
      <c r="AS111" s="1">
        <f t="shared" ca="1" si="71"/>
        <v>86</v>
      </c>
      <c r="AU111" s="1">
        <f t="shared" ca="1" si="72"/>
        <v>264</v>
      </c>
      <c r="AV111" s="1">
        <f t="shared" ca="1" si="73"/>
        <v>4</v>
      </c>
      <c r="AW111" s="1">
        <f t="shared" ca="1" si="74"/>
        <v>3.4198185344722021E-2</v>
      </c>
      <c r="AY111" s="1">
        <f t="shared" ca="1" si="75"/>
        <v>1.8336599993840319</v>
      </c>
      <c r="AZ111" s="1">
        <f t="shared" ca="1" si="76"/>
        <v>410</v>
      </c>
      <c r="BA111" s="1">
        <f t="shared" ca="1" si="77"/>
        <v>4.5403848276786424E-3</v>
      </c>
    </row>
    <row r="112" spans="2:53" x14ac:dyDescent="0.25">
      <c r="B112">
        <f t="shared" ca="1" si="39"/>
        <v>840</v>
      </c>
      <c r="C112">
        <f t="shared" ca="1" si="40"/>
        <v>42</v>
      </c>
      <c r="D112">
        <f t="shared" ca="1" si="41"/>
        <v>9.0552401007672159E-2</v>
      </c>
      <c r="F112" s="1">
        <f t="shared" ca="1" si="42"/>
        <v>11</v>
      </c>
      <c r="G112" s="1">
        <f t="shared" ca="1" si="43"/>
        <v>2</v>
      </c>
      <c r="H112" s="1">
        <f t="shared" ca="1" si="44"/>
        <v>2</v>
      </c>
      <c r="I112" s="1"/>
      <c r="J112" s="1">
        <f t="shared" ca="1" si="45"/>
        <v>30</v>
      </c>
      <c r="K112" s="1">
        <f t="shared" ca="1" si="46"/>
        <v>1.3256306578597445</v>
      </c>
      <c r="L112" s="1">
        <f t="shared" ca="1" si="47"/>
        <v>18</v>
      </c>
      <c r="M112" s="1"/>
      <c r="N112" s="1">
        <f t="shared" ca="1" si="48"/>
        <v>657</v>
      </c>
      <c r="O112" s="1">
        <f t="shared" ca="1" si="49"/>
        <v>11</v>
      </c>
      <c r="P112" s="1"/>
      <c r="Q112" s="1">
        <f t="shared" ca="1" si="50"/>
        <v>4.8145411308490358</v>
      </c>
      <c r="R112" s="1">
        <f t="shared" ca="1" si="51"/>
        <v>776</v>
      </c>
      <c r="S112" s="1"/>
      <c r="T112" s="1">
        <f t="shared" ca="1" si="52"/>
        <v>9.0970759310471133E-2</v>
      </c>
      <c r="U112" s="1">
        <f t="shared" ca="1" si="53"/>
        <v>344</v>
      </c>
      <c r="V112" s="1">
        <f t="shared" ca="1" si="54"/>
        <v>43</v>
      </c>
      <c r="W112" s="1"/>
      <c r="X112" s="1">
        <f t="shared" ca="1" si="55"/>
        <v>8.7745101306065791</v>
      </c>
      <c r="Y112" s="1">
        <f t="shared" ca="1" si="56"/>
        <v>0.60804191163757149</v>
      </c>
      <c r="Z112" s="1">
        <f t="shared" ca="1" si="57"/>
        <v>508</v>
      </c>
      <c r="AB112" s="1">
        <f t="shared" ca="1" si="58"/>
        <v>0.58445441437280932</v>
      </c>
      <c r="AC112" s="1">
        <f t="shared" ca="1" si="59"/>
        <v>352</v>
      </c>
      <c r="AD112" s="1">
        <f t="shared" ca="1" si="60"/>
        <v>3.9815346079199581E-4</v>
      </c>
      <c r="AE112" s="1"/>
      <c r="AF112" s="1">
        <f t="shared" ca="1" si="61"/>
        <v>0.43027346070215688</v>
      </c>
      <c r="AG112" s="1">
        <f t="shared" ca="1" si="62"/>
        <v>890</v>
      </c>
      <c r="AH112" s="1">
        <f t="shared" ca="1" si="63"/>
        <v>5.4162737230624945E-3</v>
      </c>
      <c r="AJ112" s="1">
        <f t="shared" ca="1" si="64"/>
        <v>7.5134807319688468E-2</v>
      </c>
      <c r="AK112" s="1">
        <f t="shared" ca="1" si="65"/>
        <v>1.3199502000178058E-3</v>
      </c>
      <c r="AL112" s="1"/>
      <c r="AM112" s="1">
        <f t="shared" ca="1" si="66"/>
        <v>2.4685795949467317E-2</v>
      </c>
      <c r="AN112" s="1">
        <f t="shared" ca="1" si="67"/>
        <v>34</v>
      </c>
      <c r="AO112" s="1">
        <f t="shared" ca="1" si="68"/>
        <v>3</v>
      </c>
      <c r="AQ112" s="1">
        <f t="shared" ca="1" si="69"/>
        <v>110</v>
      </c>
      <c r="AR112" s="1">
        <f t="shared" ca="1" si="70"/>
        <v>1</v>
      </c>
      <c r="AS112" s="1">
        <f t="shared" ca="1" si="71"/>
        <v>50</v>
      </c>
      <c r="AU112" s="1">
        <f t="shared" ca="1" si="72"/>
        <v>314</v>
      </c>
      <c r="AV112" s="1">
        <f t="shared" ca="1" si="73"/>
        <v>10</v>
      </c>
      <c r="AW112" s="1">
        <f t="shared" ca="1" si="74"/>
        <v>2.3850026709177151E-2</v>
      </c>
      <c r="AY112" s="1">
        <f t="shared" ca="1" si="75"/>
        <v>1.3850744633259753</v>
      </c>
      <c r="AZ112" s="1">
        <f t="shared" ca="1" si="76"/>
        <v>324</v>
      </c>
      <c r="BA112" s="1">
        <f t="shared" ca="1" si="77"/>
        <v>6.531835473693271E-3</v>
      </c>
    </row>
    <row r="113" spans="2:53" x14ac:dyDescent="0.25">
      <c r="B113">
        <f t="shared" ca="1" si="39"/>
        <v>186</v>
      </c>
      <c r="C113">
        <f t="shared" ca="1" si="40"/>
        <v>43</v>
      </c>
      <c r="D113">
        <f t="shared" ca="1" si="41"/>
        <v>0.13148608818385207</v>
      </c>
      <c r="F113" s="1">
        <f t="shared" ca="1" si="42"/>
        <v>40</v>
      </c>
      <c r="G113" s="1">
        <f t="shared" ca="1" si="43"/>
        <v>12</v>
      </c>
      <c r="H113" s="1">
        <f t="shared" ca="1" si="44"/>
        <v>4</v>
      </c>
      <c r="I113" s="1"/>
      <c r="J113" s="1">
        <f t="shared" ca="1" si="45"/>
        <v>26</v>
      </c>
      <c r="K113" s="1">
        <f t="shared" ca="1" si="46"/>
        <v>2.5801002084532154</v>
      </c>
      <c r="L113" s="1">
        <f t="shared" ca="1" si="47"/>
        <v>27</v>
      </c>
      <c r="M113" s="1"/>
      <c r="N113" s="1">
        <f t="shared" ca="1" si="48"/>
        <v>619</v>
      </c>
      <c r="O113" s="1">
        <f t="shared" ca="1" si="49"/>
        <v>23</v>
      </c>
      <c r="P113" s="1"/>
      <c r="Q113" s="1">
        <f t="shared" ca="1" si="50"/>
        <v>2.5161831062071571</v>
      </c>
      <c r="R113" s="1">
        <f t="shared" ca="1" si="51"/>
        <v>920</v>
      </c>
      <c r="S113" s="1"/>
      <c r="T113" s="1">
        <f t="shared" ca="1" si="52"/>
        <v>0.18652357177665863</v>
      </c>
      <c r="U113" s="1">
        <f t="shared" ca="1" si="53"/>
        <v>70</v>
      </c>
      <c r="V113" s="1">
        <f t="shared" ca="1" si="54"/>
        <v>17</v>
      </c>
      <c r="W113" s="1"/>
      <c r="X113" s="1">
        <f t="shared" ca="1" si="55"/>
        <v>8.1448539589692999</v>
      </c>
      <c r="Y113" s="1">
        <f t="shared" ca="1" si="56"/>
        <v>0.12553599552810826</v>
      </c>
      <c r="Z113" s="1">
        <f t="shared" ca="1" si="57"/>
        <v>1937</v>
      </c>
      <c r="AB113" s="1">
        <f t="shared" ca="1" si="58"/>
        <v>0.60633371910728584</v>
      </c>
      <c r="AC113" s="1">
        <f t="shared" ca="1" si="59"/>
        <v>747</v>
      </c>
      <c r="AD113" s="1">
        <f t="shared" ca="1" si="60"/>
        <v>8.6054115741344417E-3</v>
      </c>
      <c r="AE113" s="1"/>
      <c r="AF113" s="1">
        <f t="shared" ca="1" si="61"/>
        <v>0.3935613358583524</v>
      </c>
      <c r="AG113" s="1">
        <f t="shared" ca="1" si="62"/>
        <v>905</v>
      </c>
      <c r="AH113" s="1">
        <f t="shared" ca="1" si="63"/>
        <v>2.7169607021517704E-3</v>
      </c>
      <c r="AJ113" s="1">
        <f t="shared" ca="1" si="64"/>
        <v>0.18398750181303614</v>
      </c>
      <c r="AK113" s="1">
        <f t="shared" ca="1" si="65"/>
        <v>8.5885534712366908E-3</v>
      </c>
      <c r="AL113" s="1"/>
      <c r="AM113" s="1">
        <f t="shared" ca="1" si="66"/>
        <v>0.17779162834034384</v>
      </c>
      <c r="AN113" s="1">
        <f t="shared" ca="1" si="67"/>
        <v>43</v>
      </c>
      <c r="AO113" s="1">
        <f t="shared" ca="1" si="68"/>
        <v>0</v>
      </c>
      <c r="AQ113" s="1">
        <f t="shared" ca="1" si="69"/>
        <v>155</v>
      </c>
      <c r="AR113" s="1">
        <f t="shared" ca="1" si="70"/>
        <v>8</v>
      </c>
      <c r="AS113" s="1">
        <f t="shared" ca="1" si="71"/>
        <v>93</v>
      </c>
      <c r="AU113" s="1">
        <f t="shared" ca="1" si="72"/>
        <v>104</v>
      </c>
      <c r="AV113" s="1">
        <f t="shared" ca="1" si="73"/>
        <v>2</v>
      </c>
      <c r="AW113" s="1">
        <f t="shared" ca="1" si="74"/>
        <v>8.7051021484798624E-2</v>
      </c>
      <c r="AY113" s="1">
        <f t="shared" ca="1" si="75"/>
        <v>1.6868617474040761</v>
      </c>
      <c r="AZ113" s="1">
        <f t="shared" ca="1" si="76"/>
        <v>361</v>
      </c>
      <c r="BA113" s="1">
        <f t="shared" ca="1" si="77"/>
        <v>8.9298207638063669E-3</v>
      </c>
    </row>
    <row r="114" spans="2:53" x14ac:dyDescent="0.25">
      <c r="B114">
        <f t="shared" ca="1" si="39"/>
        <v>432</v>
      </c>
      <c r="C114">
        <f t="shared" ca="1" si="40"/>
        <v>41</v>
      </c>
      <c r="D114">
        <f t="shared" ca="1" si="41"/>
        <v>6.5815933896486004E-2</v>
      </c>
      <c r="F114" s="1">
        <f t="shared" ca="1" si="42"/>
        <v>37</v>
      </c>
      <c r="G114" s="1">
        <f t="shared" ca="1" si="43"/>
        <v>29</v>
      </c>
      <c r="H114" s="1">
        <f t="shared" ca="1" si="44"/>
        <v>6</v>
      </c>
      <c r="I114" s="1"/>
      <c r="J114" s="1">
        <f t="shared" ca="1" si="45"/>
        <v>36</v>
      </c>
      <c r="K114" s="1">
        <f t="shared" ca="1" si="46"/>
        <v>2.6934197652884211</v>
      </c>
      <c r="L114" s="1">
        <f t="shared" ca="1" si="47"/>
        <v>17</v>
      </c>
      <c r="M114" s="1"/>
      <c r="N114" s="1">
        <f t="shared" ca="1" si="48"/>
        <v>108</v>
      </c>
      <c r="O114" s="1">
        <f t="shared" ca="1" si="49"/>
        <v>46</v>
      </c>
      <c r="P114" s="1"/>
      <c r="Q114" s="1">
        <f t="shared" ca="1" si="50"/>
        <v>0.69368761964323877</v>
      </c>
      <c r="R114" s="1">
        <f t="shared" ca="1" si="51"/>
        <v>615</v>
      </c>
      <c r="S114" s="1"/>
      <c r="T114" s="1">
        <f t="shared" ca="1" si="52"/>
        <v>3.1684014875310834E-2</v>
      </c>
      <c r="U114" s="1">
        <f t="shared" ca="1" si="53"/>
        <v>273</v>
      </c>
      <c r="V114" s="1">
        <f t="shared" ca="1" si="54"/>
        <v>19</v>
      </c>
      <c r="W114" s="1"/>
      <c r="X114" s="1">
        <f t="shared" ca="1" si="55"/>
        <v>3.0057408160220231</v>
      </c>
      <c r="Y114" s="1">
        <f t="shared" ca="1" si="56"/>
        <v>0.92038873309430591</v>
      </c>
      <c r="Z114" s="1">
        <f t="shared" ca="1" si="57"/>
        <v>782</v>
      </c>
      <c r="AB114" s="1">
        <f t="shared" ca="1" si="58"/>
        <v>0.66515626260023153</v>
      </c>
      <c r="AC114" s="1">
        <f t="shared" ca="1" si="59"/>
        <v>591</v>
      </c>
      <c r="AD114" s="1">
        <f t="shared" ca="1" si="60"/>
        <v>5.9623408106579262E-3</v>
      </c>
      <c r="AE114" s="1"/>
      <c r="AF114" s="1">
        <f t="shared" ca="1" si="61"/>
        <v>0.2836027956215128</v>
      </c>
      <c r="AG114" s="1">
        <f t="shared" ca="1" si="62"/>
        <v>716</v>
      </c>
      <c r="AH114" s="1">
        <f t="shared" ca="1" si="63"/>
        <v>9.7940510018843432E-3</v>
      </c>
      <c r="AJ114" s="1">
        <f t="shared" ca="1" si="64"/>
        <v>0.86110812164569139</v>
      </c>
      <c r="AK114" s="1">
        <f t="shared" ca="1" si="65"/>
        <v>9.0999790914633831E-3</v>
      </c>
      <c r="AL114" s="1"/>
      <c r="AM114" s="1">
        <f t="shared" ca="1" si="66"/>
        <v>0.16698501785168998</v>
      </c>
      <c r="AN114" s="1">
        <f t="shared" ca="1" si="67"/>
        <v>22</v>
      </c>
      <c r="AO114" s="1">
        <f t="shared" ca="1" si="68"/>
        <v>8</v>
      </c>
      <c r="AQ114" s="1">
        <f t="shared" ca="1" si="69"/>
        <v>138</v>
      </c>
      <c r="AR114" s="1">
        <f t="shared" ca="1" si="70"/>
        <v>0</v>
      </c>
      <c r="AS114" s="1">
        <f t="shared" ca="1" si="71"/>
        <v>29</v>
      </c>
      <c r="AU114" s="1">
        <f t="shared" ca="1" si="72"/>
        <v>101</v>
      </c>
      <c r="AV114" s="1">
        <f t="shared" ca="1" si="73"/>
        <v>6</v>
      </c>
      <c r="AW114" s="1">
        <f t="shared" ca="1" si="74"/>
        <v>2.2753305145575609E-2</v>
      </c>
      <c r="AY114" s="1">
        <f t="shared" ca="1" si="75"/>
        <v>1.885720439439545</v>
      </c>
      <c r="AZ114" s="1">
        <f t="shared" ca="1" si="76"/>
        <v>470</v>
      </c>
      <c r="BA114" s="1">
        <f t="shared" ca="1" si="77"/>
        <v>9.8098804025114599E-3</v>
      </c>
    </row>
    <row r="115" spans="2:53" x14ac:dyDescent="0.25">
      <c r="B115">
        <f t="shared" ca="1" si="39"/>
        <v>386</v>
      </c>
      <c r="C115">
        <f t="shared" ca="1" si="40"/>
        <v>20</v>
      </c>
      <c r="D115">
        <f t="shared" ca="1" si="41"/>
        <v>9.4695760653095581E-2</v>
      </c>
      <c r="F115" s="1">
        <f t="shared" ca="1" si="42"/>
        <v>2</v>
      </c>
      <c r="G115" s="1">
        <f t="shared" ca="1" si="43"/>
        <v>2</v>
      </c>
      <c r="H115" s="1">
        <f t="shared" ca="1" si="44"/>
        <v>13</v>
      </c>
      <c r="I115" s="1"/>
      <c r="J115" s="1">
        <f t="shared" ca="1" si="45"/>
        <v>16</v>
      </c>
      <c r="K115" s="1">
        <f t="shared" ca="1" si="46"/>
        <v>1.7863292214662734</v>
      </c>
      <c r="L115" s="1">
        <f t="shared" ca="1" si="47"/>
        <v>4</v>
      </c>
      <c r="M115" s="1"/>
      <c r="N115" s="1">
        <f t="shared" ca="1" si="48"/>
        <v>351</v>
      </c>
      <c r="O115" s="1">
        <f t="shared" ca="1" si="49"/>
        <v>28</v>
      </c>
      <c r="P115" s="1"/>
      <c r="Q115" s="1">
        <f t="shared" ca="1" si="50"/>
        <v>1.9844743724568845</v>
      </c>
      <c r="R115" s="1">
        <f t="shared" ca="1" si="51"/>
        <v>552</v>
      </c>
      <c r="S115" s="1"/>
      <c r="T115" s="1">
        <f t="shared" ca="1" si="52"/>
        <v>0.14718703465387162</v>
      </c>
      <c r="U115" s="1">
        <f t="shared" ca="1" si="53"/>
        <v>155</v>
      </c>
      <c r="V115" s="1">
        <f t="shared" ca="1" si="54"/>
        <v>2</v>
      </c>
      <c r="W115" s="1"/>
      <c r="X115" s="1">
        <f t="shared" ca="1" si="55"/>
        <v>6.8217241229562102</v>
      </c>
      <c r="Y115" s="1">
        <f t="shared" ca="1" si="56"/>
        <v>0.75340112634926115</v>
      </c>
      <c r="Z115" s="1">
        <f t="shared" ca="1" si="57"/>
        <v>132</v>
      </c>
      <c r="AB115" s="1">
        <f t="shared" ca="1" si="58"/>
        <v>0.11084395274955602</v>
      </c>
      <c r="AC115" s="1">
        <f t="shared" ca="1" si="59"/>
        <v>935</v>
      </c>
      <c r="AD115" s="1">
        <f t="shared" ca="1" si="60"/>
        <v>4.0626855522276549E-4</v>
      </c>
      <c r="AE115" s="1"/>
      <c r="AF115" s="1">
        <f t="shared" ca="1" si="61"/>
        <v>0.3884606557834771</v>
      </c>
      <c r="AG115" s="1">
        <f t="shared" ca="1" si="62"/>
        <v>377</v>
      </c>
      <c r="AH115" s="1">
        <f t="shared" ca="1" si="63"/>
        <v>8.7962270748602554E-3</v>
      </c>
      <c r="AJ115" s="1">
        <f t="shared" ca="1" si="64"/>
        <v>0.68639294430942199</v>
      </c>
      <c r="AK115" s="1">
        <f t="shared" ca="1" si="65"/>
        <v>3.4562564736704713E-3</v>
      </c>
      <c r="AL115" s="1"/>
      <c r="AM115" s="1">
        <f t="shared" ca="1" si="66"/>
        <v>0.15535184968094859</v>
      </c>
      <c r="AN115" s="1">
        <f t="shared" ca="1" si="67"/>
        <v>25</v>
      </c>
      <c r="AO115" s="1">
        <f t="shared" ca="1" si="68"/>
        <v>7</v>
      </c>
      <c r="AQ115" s="1">
        <f t="shared" ca="1" si="69"/>
        <v>113</v>
      </c>
      <c r="AR115" s="1">
        <f t="shared" ca="1" si="70"/>
        <v>6</v>
      </c>
      <c r="AS115" s="1">
        <f t="shared" ca="1" si="71"/>
        <v>46</v>
      </c>
      <c r="AU115" s="1">
        <f t="shared" ca="1" si="72"/>
        <v>63</v>
      </c>
      <c r="AV115" s="1">
        <f t="shared" ca="1" si="73"/>
        <v>7</v>
      </c>
      <c r="AW115" s="1">
        <f t="shared" ca="1" si="74"/>
        <v>6.1939818702249086E-2</v>
      </c>
      <c r="AY115" s="1">
        <f t="shared" ca="1" si="75"/>
        <v>1.3353128384495927</v>
      </c>
      <c r="AZ115" s="1">
        <f t="shared" ca="1" si="76"/>
        <v>205</v>
      </c>
      <c r="BA115" s="1">
        <f t="shared" ca="1" si="77"/>
        <v>1.383923270565353E-4</v>
      </c>
    </row>
    <row r="116" spans="2:53" x14ac:dyDescent="0.25">
      <c r="B116">
        <f t="shared" ca="1" si="39"/>
        <v>658</v>
      </c>
      <c r="C116">
        <f t="shared" ca="1" si="40"/>
        <v>41</v>
      </c>
      <c r="D116">
        <f t="shared" ca="1" si="41"/>
        <v>0.25529365087991346</v>
      </c>
      <c r="F116" s="1">
        <f t="shared" ca="1" si="42"/>
        <v>4</v>
      </c>
      <c r="G116" s="1">
        <f t="shared" ca="1" si="43"/>
        <v>16</v>
      </c>
      <c r="H116" s="1">
        <f t="shared" ca="1" si="44"/>
        <v>14</v>
      </c>
      <c r="I116" s="1"/>
      <c r="J116" s="1">
        <f t="shared" ca="1" si="45"/>
        <v>7</v>
      </c>
      <c r="K116" s="1">
        <f t="shared" ca="1" si="46"/>
        <v>2.8366304236847402</v>
      </c>
      <c r="L116" s="1">
        <f t="shared" ca="1" si="47"/>
        <v>27</v>
      </c>
      <c r="M116" s="1"/>
      <c r="N116" s="1">
        <f t="shared" ca="1" si="48"/>
        <v>410</v>
      </c>
      <c r="O116" s="1">
        <f t="shared" ca="1" si="49"/>
        <v>43</v>
      </c>
      <c r="P116" s="1"/>
      <c r="Q116" s="1">
        <f t="shared" ca="1" si="50"/>
        <v>2.163805029061578</v>
      </c>
      <c r="R116" s="1">
        <f t="shared" ca="1" si="51"/>
        <v>275</v>
      </c>
      <c r="S116" s="1"/>
      <c r="T116" s="1">
        <f t="shared" ca="1" si="52"/>
        <v>0.13128427054911548</v>
      </c>
      <c r="U116" s="1">
        <f t="shared" ca="1" si="53"/>
        <v>69</v>
      </c>
      <c r="V116" s="1">
        <f t="shared" ca="1" si="54"/>
        <v>43</v>
      </c>
      <c r="W116" s="1"/>
      <c r="X116" s="1">
        <f t="shared" ca="1" si="55"/>
        <v>3.4216822809893372</v>
      </c>
      <c r="Y116" s="1">
        <f t="shared" ca="1" si="56"/>
        <v>0.6430793582585278</v>
      </c>
      <c r="Z116" s="1">
        <f t="shared" ca="1" si="57"/>
        <v>356</v>
      </c>
      <c r="AB116" s="1">
        <f t="shared" ca="1" si="58"/>
        <v>0.17496130903261733</v>
      </c>
      <c r="AC116" s="1">
        <f t="shared" ca="1" si="59"/>
        <v>350</v>
      </c>
      <c r="AD116" s="1">
        <f t="shared" ca="1" si="60"/>
        <v>7.2130548066443425E-3</v>
      </c>
      <c r="AE116" s="1"/>
      <c r="AF116" s="1">
        <f t="shared" ca="1" si="61"/>
        <v>0.1575010280833487</v>
      </c>
      <c r="AG116" s="1">
        <f t="shared" ca="1" si="62"/>
        <v>666</v>
      </c>
      <c r="AH116" s="1">
        <f t="shared" ca="1" si="63"/>
        <v>1.2628393725481837E-3</v>
      </c>
      <c r="AJ116" s="1">
        <f t="shared" ca="1" si="64"/>
        <v>0.67247575967318507</v>
      </c>
      <c r="AK116" s="1">
        <f t="shared" ca="1" si="65"/>
        <v>5.4612415104630403E-3</v>
      </c>
      <c r="AL116" s="1"/>
      <c r="AM116" s="1">
        <f t="shared" ca="1" si="66"/>
        <v>0.17782113095046817</v>
      </c>
      <c r="AN116" s="1">
        <f t="shared" ca="1" si="67"/>
        <v>27</v>
      </c>
      <c r="AO116" s="1">
        <f t="shared" ca="1" si="68"/>
        <v>4</v>
      </c>
      <c r="AQ116" s="1">
        <f t="shared" ca="1" si="69"/>
        <v>169</v>
      </c>
      <c r="AR116" s="1">
        <f t="shared" ca="1" si="70"/>
        <v>1</v>
      </c>
      <c r="AS116" s="1">
        <f t="shared" ca="1" si="71"/>
        <v>59</v>
      </c>
      <c r="AU116" s="1">
        <f t="shared" ca="1" si="72"/>
        <v>391</v>
      </c>
      <c r="AV116" s="1">
        <f t="shared" ca="1" si="73"/>
        <v>2</v>
      </c>
      <c r="AW116" s="1">
        <f t="shared" ca="1" si="74"/>
        <v>0.15721837585047835</v>
      </c>
      <c r="AY116" s="1">
        <f t="shared" ca="1" si="75"/>
        <v>1.2985752227225851</v>
      </c>
      <c r="AZ116" s="1">
        <f t="shared" ca="1" si="76"/>
        <v>138</v>
      </c>
      <c r="BA116" s="1">
        <f t="shared" ca="1" si="77"/>
        <v>8.5121554387871719E-3</v>
      </c>
    </row>
    <row r="117" spans="2:53" x14ac:dyDescent="0.25">
      <c r="B117">
        <f t="shared" ca="1" si="39"/>
        <v>983</v>
      </c>
      <c r="C117">
        <f t="shared" ca="1" si="40"/>
        <v>31</v>
      </c>
      <c r="D117">
        <f t="shared" ca="1" si="41"/>
        <v>0.13204066779915566</v>
      </c>
      <c r="F117" s="1">
        <f t="shared" ca="1" si="42"/>
        <v>27</v>
      </c>
      <c r="G117" s="1">
        <f t="shared" ca="1" si="43"/>
        <v>22</v>
      </c>
      <c r="H117" s="1">
        <f t="shared" ca="1" si="44"/>
        <v>13</v>
      </c>
      <c r="I117" s="1"/>
      <c r="J117" s="1">
        <f t="shared" ca="1" si="45"/>
        <v>10</v>
      </c>
      <c r="K117" s="1">
        <f t="shared" ca="1" si="46"/>
        <v>2.7328524351117141</v>
      </c>
      <c r="L117" s="1">
        <f t="shared" ca="1" si="47"/>
        <v>34</v>
      </c>
      <c r="M117" s="1"/>
      <c r="N117" s="1">
        <f t="shared" ca="1" si="48"/>
        <v>32</v>
      </c>
      <c r="O117" s="1">
        <f t="shared" ca="1" si="49"/>
        <v>52</v>
      </c>
      <c r="P117" s="1"/>
      <c r="Q117" s="1">
        <f t="shared" ca="1" si="50"/>
        <v>3.0839997146467852</v>
      </c>
      <c r="R117" s="1">
        <f t="shared" ca="1" si="51"/>
        <v>1017</v>
      </c>
      <c r="S117" s="1"/>
      <c r="T117" s="1">
        <f t="shared" ca="1" si="52"/>
        <v>0.14343881973289602</v>
      </c>
      <c r="U117" s="1">
        <f t="shared" ca="1" si="53"/>
        <v>340</v>
      </c>
      <c r="V117" s="1">
        <f t="shared" ca="1" si="54"/>
        <v>30</v>
      </c>
      <c r="W117" s="1"/>
      <c r="X117" s="1">
        <f t="shared" ca="1" si="55"/>
        <v>8.6038474708567811</v>
      </c>
      <c r="Y117" s="1">
        <f t="shared" ca="1" si="56"/>
        <v>0.50763212156631599</v>
      </c>
      <c r="Z117" s="1">
        <f t="shared" ca="1" si="57"/>
        <v>1731</v>
      </c>
      <c r="AB117" s="1">
        <f t="shared" ca="1" si="58"/>
        <v>0.48261642082537082</v>
      </c>
      <c r="AC117" s="1">
        <f t="shared" ca="1" si="59"/>
        <v>891</v>
      </c>
      <c r="AD117" s="1">
        <f t="shared" ca="1" si="60"/>
        <v>5.9817341967942873E-3</v>
      </c>
      <c r="AE117" s="1"/>
      <c r="AF117" s="1">
        <f t="shared" ca="1" si="61"/>
        <v>0.34556331385777328</v>
      </c>
      <c r="AG117" s="1">
        <f t="shared" ca="1" si="62"/>
        <v>175</v>
      </c>
      <c r="AH117" s="1">
        <f t="shared" ca="1" si="63"/>
        <v>2.293983041459407E-3</v>
      </c>
      <c r="AJ117" s="1">
        <f t="shared" ca="1" si="64"/>
        <v>6.2359381248781376E-2</v>
      </c>
      <c r="AK117" s="1">
        <f t="shared" ca="1" si="65"/>
        <v>8.129463766442609E-3</v>
      </c>
      <c r="AL117" s="1"/>
      <c r="AM117" s="1">
        <f t="shared" ca="1" si="66"/>
        <v>6.3260499795412928E-2</v>
      </c>
      <c r="AN117" s="1">
        <f t="shared" ca="1" si="67"/>
        <v>80</v>
      </c>
      <c r="AO117" s="1">
        <f t="shared" ca="1" si="68"/>
        <v>12</v>
      </c>
      <c r="AQ117" s="1">
        <f t="shared" ca="1" si="69"/>
        <v>90</v>
      </c>
      <c r="AR117" s="1">
        <f t="shared" ca="1" si="70"/>
        <v>0</v>
      </c>
      <c r="AS117" s="1">
        <f t="shared" ca="1" si="71"/>
        <v>98</v>
      </c>
      <c r="AU117" s="1">
        <f t="shared" ca="1" si="72"/>
        <v>112</v>
      </c>
      <c r="AV117" s="1">
        <f t="shared" ca="1" si="73"/>
        <v>2</v>
      </c>
      <c r="AW117" s="1">
        <f t="shared" ca="1" si="74"/>
        <v>0.19091919007031768</v>
      </c>
      <c r="AY117" s="1">
        <f t="shared" ca="1" si="75"/>
        <v>1.9889495332341278</v>
      </c>
      <c r="AZ117" s="1">
        <f t="shared" ca="1" si="76"/>
        <v>198</v>
      </c>
      <c r="BA117" s="1">
        <f t="shared" ca="1" si="77"/>
        <v>8.9082583347256867E-4</v>
      </c>
    </row>
    <row r="118" spans="2:53" x14ac:dyDescent="0.25">
      <c r="B118">
        <f t="shared" ca="1" si="39"/>
        <v>701</v>
      </c>
      <c r="C118">
        <f t="shared" ca="1" si="40"/>
        <v>28</v>
      </c>
      <c r="D118">
        <f t="shared" ca="1" si="41"/>
        <v>0.29772928847525398</v>
      </c>
      <c r="F118" s="1">
        <f t="shared" ca="1" si="42"/>
        <v>15</v>
      </c>
      <c r="G118" s="1">
        <f t="shared" ca="1" si="43"/>
        <v>2</v>
      </c>
      <c r="H118" s="1">
        <f t="shared" ca="1" si="44"/>
        <v>4</v>
      </c>
      <c r="I118" s="1"/>
      <c r="J118" s="1">
        <f t="shared" ca="1" si="45"/>
        <v>34</v>
      </c>
      <c r="K118" s="1">
        <f t="shared" ca="1" si="46"/>
        <v>1.0004092235344217</v>
      </c>
      <c r="L118" s="1">
        <f t="shared" ca="1" si="47"/>
        <v>25</v>
      </c>
      <c r="M118" s="1"/>
      <c r="N118" s="1">
        <f t="shared" ca="1" si="48"/>
        <v>179</v>
      </c>
      <c r="O118" s="1">
        <f t="shared" ca="1" si="49"/>
        <v>13</v>
      </c>
      <c r="P118" s="1"/>
      <c r="Q118" s="1">
        <f t="shared" ca="1" si="50"/>
        <v>4.2797467639329954</v>
      </c>
      <c r="R118" s="1">
        <f t="shared" ca="1" si="51"/>
        <v>660</v>
      </c>
      <c r="S118" s="1"/>
      <c r="T118" s="1">
        <f t="shared" ca="1" si="52"/>
        <v>3.1695684056419531E-2</v>
      </c>
      <c r="U118" s="1">
        <f t="shared" ca="1" si="53"/>
        <v>345</v>
      </c>
      <c r="V118" s="1">
        <f t="shared" ca="1" si="54"/>
        <v>20</v>
      </c>
      <c r="W118" s="1"/>
      <c r="X118" s="1">
        <f t="shared" ca="1" si="55"/>
        <v>2.8149949154244154</v>
      </c>
      <c r="Y118" s="1">
        <f t="shared" ca="1" si="56"/>
        <v>0.55141374174302604</v>
      </c>
      <c r="Z118" s="1">
        <f t="shared" ca="1" si="57"/>
        <v>1780</v>
      </c>
      <c r="AB118" s="1">
        <f t="shared" ca="1" si="58"/>
        <v>0.13273334927456895</v>
      </c>
      <c r="AC118" s="1">
        <f t="shared" ca="1" si="59"/>
        <v>703</v>
      </c>
      <c r="AD118" s="1">
        <f t="shared" ca="1" si="60"/>
        <v>3.4936727944168307E-3</v>
      </c>
      <c r="AE118" s="1"/>
      <c r="AF118" s="1">
        <f t="shared" ca="1" si="61"/>
        <v>0.34624007734925111</v>
      </c>
      <c r="AG118" s="1">
        <f t="shared" ca="1" si="62"/>
        <v>796</v>
      </c>
      <c r="AH118" s="1">
        <f t="shared" ca="1" si="63"/>
        <v>7.9940829107895545E-3</v>
      </c>
      <c r="AJ118" s="1">
        <f t="shared" ca="1" si="64"/>
        <v>0.25963999839818208</v>
      </c>
      <c r="AK118" s="1">
        <f t="shared" ca="1" si="65"/>
        <v>2.0334414581892235E-3</v>
      </c>
      <c r="AL118" s="1"/>
      <c r="AM118" s="1">
        <f t="shared" ca="1" si="66"/>
        <v>7.9145165611375801E-2</v>
      </c>
      <c r="AN118" s="1">
        <f t="shared" ca="1" si="67"/>
        <v>65</v>
      </c>
      <c r="AO118" s="1">
        <f t="shared" ca="1" si="68"/>
        <v>18</v>
      </c>
      <c r="AQ118" s="1">
        <f t="shared" ca="1" si="69"/>
        <v>42</v>
      </c>
      <c r="AR118" s="1">
        <f t="shared" ca="1" si="70"/>
        <v>3</v>
      </c>
      <c r="AS118" s="1">
        <f t="shared" ca="1" si="71"/>
        <v>52</v>
      </c>
      <c r="AU118" s="1">
        <f t="shared" ca="1" si="72"/>
        <v>53</v>
      </c>
      <c r="AV118" s="1">
        <f t="shared" ca="1" si="73"/>
        <v>9</v>
      </c>
      <c r="AW118" s="1">
        <f t="shared" ca="1" si="74"/>
        <v>5.7926784374037442E-2</v>
      </c>
      <c r="AY118" s="1">
        <f t="shared" ca="1" si="75"/>
        <v>1.4467870903463456</v>
      </c>
      <c r="AZ118" s="1">
        <f t="shared" ca="1" si="76"/>
        <v>119</v>
      </c>
      <c r="BA118" s="1">
        <f t="shared" ca="1" si="77"/>
        <v>9.3672617840078898E-3</v>
      </c>
    </row>
    <row r="119" spans="2:53" x14ac:dyDescent="0.25">
      <c r="B119">
        <f t="shared" ca="1" si="39"/>
        <v>19</v>
      </c>
      <c r="C119">
        <f t="shared" ca="1" si="40"/>
        <v>32</v>
      </c>
      <c r="D119">
        <f t="shared" ca="1" si="41"/>
        <v>2.2006191254249546E-2</v>
      </c>
      <c r="F119" s="1">
        <f t="shared" ca="1" si="42"/>
        <v>22</v>
      </c>
      <c r="G119" s="1">
        <f t="shared" ca="1" si="43"/>
        <v>2</v>
      </c>
      <c r="H119" s="1">
        <f t="shared" ca="1" si="44"/>
        <v>12</v>
      </c>
      <c r="I119" s="1"/>
      <c r="J119" s="1">
        <f t="shared" ca="1" si="45"/>
        <v>22</v>
      </c>
      <c r="K119" s="1">
        <f t="shared" ca="1" si="46"/>
        <v>2.6901705858245561</v>
      </c>
      <c r="L119" s="1">
        <f t="shared" ca="1" si="47"/>
        <v>15</v>
      </c>
      <c r="M119" s="1"/>
      <c r="N119" s="1">
        <f t="shared" ca="1" si="48"/>
        <v>521</v>
      </c>
      <c r="O119" s="1">
        <f t="shared" ca="1" si="49"/>
        <v>49</v>
      </c>
      <c r="P119" s="1"/>
      <c r="Q119" s="1">
        <f t="shared" ca="1" si="50"/>
        <v>1.5832958987247117</v>
      </c>
      <c r="R119" s="1">
        <f t="shared" ca="1" si="51"/>
        <v>914</v>
      </c>
      <c r="S119" s="1"/>
      <c r="T119" s="1">
        <f t="shared" ca="1" si="52"/>
        <v>4.971053987511078E-2</v>
      </c>
      <c r="U119" s="1">
        <f t="shared" ca="1" si="53"/>
        <v>305</v>
      </c>
      <c r="V119" s="1">
        <f t="shared" ca="1" si="54"/>
        <v>32</v>
      </c>
      <c r="W119" s="1"/>
      <c r="X119" s="1">
        <f t="shared" ca="1" si="55"/>
        <v>7.4238242050886809</v>
      </c>
      <c r="Y119" s="1">
        <f t="shared" ca="1" si="56"/>
        <v>8.8384524439949791E-2</v>
      </c>
      <c r="Z119" s="1">
        <f t="shared" ca="1" si="57"/>
        <v>669</v>
      </c>
      <c r="AB119" s="1">
        <f t="shared" ca="1" si="58"/>
        <v>0.96404430199046476</v>
      </c>
      <c r="AC119" s="1">
        <f t="shared" ca="1" si="59"/>
        <v>718</v>
      </c>
      <c r="AD119" s="1">
        <f t="shared" ca="1" si="60"/>
        <v>4.7886560958346246E-3</v>
      </c>
      <c r="AE119" s="1"/>
      <c r="AF119" s="1">
        <f t="shared" ca="1" si="61"/>
        <v>0.21268598972607258</v>
      </c>
      <c r="AG119" s="1">
        <f t="shared" ca="1" si="62"/>
        <v>378</v>
      </c>
      <c r="AH119" s="1">
        <f t="shared" ca="1" si="63"/>
        <v>6.41546387592628E-3</v>
      </c>
      <c r="AJ119" s="1">
        <f t="shared" ca="1" si="64"/>
        <v>0.98178919507428353</v>
      </c>
      <c r="AK119" s="1">
        <f t="shared" ca="1" si="65"/>
        <v>5.4613203562474399E-3</v>
      </c>
      <c r="AL119" s="1"/>
      <c r="AM119" s="1">
        <f t="shared" ca="1" si="66"/>
        <v>4.4250210525829101E-2</v>
      </c>
      <c r="AN119" s="1">
        <f t="shared" ca="1" si="67"/>
        <v>48</v>
      </c>
      <c r="AO119" s="1">
        <f t="shared" ca="1" si="68"/>
        <v>10</v>
      </c>
      <c r="AQ119" s="1">
        <f t="shared" ca="1" si="69"/>
        <v>89</v>
      </c>
      <c r="AR119" s="1">
        <f t="shared" ca="1" si="70"/>
        <v>3</v>
      </c>
      <c r="AS119" s="1">
        <f t="shared" ca="1" si="71"/>
        <v>39</v>
      </c>
      <c r="AU119" s="1">
        <f t="shared" ca="1" si="72"/>
        <v>111</v>
      </c>
      <c r="AV119" s="1">
        <f t="shared" ca="1" si="73"/>
        <v>7</v>
      </c>
      <c r="AW119" s="1">
        <f t="shared" ca="1" si="74"/>
        <v>6.740521466967267E-2</v>
      </c>
      <c r="AY119" s="1">
        <f t="shared" ca="1" si="75"/>
        <v>1.3618845280568532</v>
      </c>
      <c r="AZ119" s="1">
        <f t="shared" ca="1" si="76"/>
        <v>444</v>
      </c>
      <c r="BA119" s="1">
        <f t="shared" ca="1" si="77"/>
        <v>2.356379523324938E-5</v>
      </c>
    </row>
    <row r="120" spans="2:53" x14ac:dyDescent="0.25">
      <c r="B120">
        <f t="shared" ca="1" si="39"/>
        <v>215</v>
      </c>
      <c r="C120">
        <f t="shared" ca="1" si="40"/>
        <v>22</v>
      </c>
      <c r="D120">
        <f t="shared" ca="1" si="41"/>
        <v>0.16005855843776445</v>
      </c>
      <c r="F120" s="1">
        <f t="shared" ca="1" si="42"/>
        <v>19</v>
      </c>
      <c r="G120" s="1">
        <f t="shared" ca="1" si="43"/>
        <v>19</v>
      </c>
      <c r="H120" s="1">
        <f t="shared" ca="1" si="44"/>
        <v>12</v>
      </c>
      <c r="I120" s="1"/>
      <c r="J120" s="1">
        <f t="shared" ca="1" si="45"/>
        <v>13</v>
      </c>
      <c r="K120" s="1">
        <f t="shared" ca="1" si="46"/>
        <v>2.3165458541906991</v>
      </c>
      <c r="L120" s="1">
        <f t="shared" ca="1" si="47"/>
        <v>5</v>
      </c>
      <c r="M120" s="1"/>
      <c r="N120" s="1">
        <f t="shared" ca="1" si="48"/>
        <v>444</v>
      </c>
      <c r="O120" s="1">
        <f t="shared" ca="1" si="49"/>
        <v>34</v>
      </c>
      <c r="P120" s="1"/>
      <c r="Q120" s="1">
        <f t="shared" ca="1" si="50"/>
        <v>3.6842662915672255</v>
      </c>
      <c r="R120" s="1">
        <f t="shared" ca="1" si="51"/>
        <v>569</v>
      </c>
      <c r="S120" s="1"/>
      <c r="T120" s="1">
        <f t="shared" ca="1" si="52"/>
        <v>5.7023058626156843E-2</v>
      </c>
      <c r="U120" s="1">
        <f t="shared" ca="1" si="53"/>
        <v>343</v>
      </c>
      <c r="V120" s="1">
        <f t="shared" ca="1" si="54"/>
        <v>26</v>
      </c>
      <c r="W120" s="1"/>
      <c r="X120" s="1">
        <f t="shared" ca="1" si="55"/>
        <v>7.253716522168471</v>
      </c>
      <c r="Y120" s="1">
        <f t="shared" ca="1" si="56"/>
        <v>0.73807233346533718</v>
      </c>
      <c r="Z120" s="1">
        <f t="shared" ca="1" si="57"/>
        <v>1673</v>
      </c>
      <c r="AB120" s="1">
        <f t="shared" ca="1" si="58"/>
        <v>0.42520606738590266</v>
      </c>
      <c r="AC120" s="1">
        <f t="shared" ca="1" si="59"/>
        <v>599</v>
      </c>
      <c r="AD120" s="1">
        <f t="shared" ca="1" si="60"/>
        <v>4.8839072188345462E-5</v>
      </c>
      <c r="AE120" s="1"/>
      <c r="AF120" s="1">
        <f t="shared" ca="1" si="61"/>
        <v>0.25593943484303661</v>
      </c>
      <c r="AG120" s="1">
        <f t="shared" ca="1" si="62"/>
        <v>135</v>
      </c>
      <c r="AH120" s="1">
        <f t="shared" ca="1" si="63"/>
        <v>4.1135527270837807E-3</v>
      </c>
      <c r="AJ120" s="1">
        <f t="shared" ca="1" si="64"/>
        <v>0.88302286020931164</v>
      </c>
      <c r="AK120" s="1">
        <f t="shared" ca="1" si="65"/>
        <v>8.5560894819953267E-4</v>
      </c>
      <c r="AL120" s="1"/>
      <c r="AM120" s="1">
        <f t="shared" ca="1" si="66"/>
        <v>1.7076542693900795E-2</v>
      </c>
      <c r="AN120" s="1">
        <f t="shared" ca="1" si="67"/>
        <v>56</v>
      </c>
      <c r="AO120" s="1">
        <f t="shared" ca="1" si="68"/>
        <v>15</v>
      </c>
      <c r="AQ120" s="1">
        <f t="shared" ca="1" si="69"/>
        <v>143</v>
      </c>
      <c r="AR120" s="1">
        <f t="shared" ca="1" si="70"/>
        <v>2</v>
      </c>
      <c r="AS120" s="1">
        <f t="shared" ca="1" si="71"/>
        <v>76</v>
      </c>
      <c r="AU120" s="1">
        <f t="shared" ca="1" si="72"/>
        <v>201</v>
      </c>
      <c r="AV120" s="1">
        <f t="shared" ca="1" si="73"/>
        <v>10</v>
      </c>
      <c r="AW120" s="1">
        <f t="shared" ca="1" si="74"/>
        <v>0.19085052356778259</v>
      </c>
      <c r="AY120" s="1">
        <f t="shared" ca="1" si="75"/>
        <v>1.5445902299535545</v>
      </c>
      <c r="AZ120" s="1">
        <f t="shared" ca="1" si="76"/>
        <v>380</v>
      </c>
      <c r="BA120" s="1">
        <f t="shared" ca="1" si="77"/>
        <v>5.2981132609077996E-4</v>
      </c>
    </row>
    <row r="121" spans="2:53" x14ac:dyDescent="0.25">
      <c r="B121">
        <f t="shared" ca="1" si="39"/>
        <v>365</v>
      </c>
      <c r="C121">
        <f t="shared" ca="1" si="40"/>
        <v>50</v>
      </c>
      <c r="D121">
        <f t="shared" ca="1" si="41"/>
        <v>3.4245042346770782E-2</v>
      </c>
      <c r="F121" s="1">
        <f t="shared" ca="1" si="42"/>
        <v>50</v>
      </c>
      <c r="G121" s="1">
        <f t="shared" ca="1" si="43"/>
        <v>10</v>
      </c>
      <c r="H121" s="1">
        <f t="shared" ca="1" si="44"/>
        <v>7</v>
      </c>
      <c r="I121" s="1"/>
      <c r="J121" s="1">
        <f t="shared" ca="1" si="45"/>
        <v>5</v>
      </c>
      <c r="K121" s="1">
        <f t="shared" ca="1" si="46"/>
        <v>1.5939013600917167</v>
      </c>
      <c r="L121" s="1">
        <f t="shared" ca="1" si="47"/>
        <v>11</v>
      </c>
      <c r="M121" s="1"/>
      <c r="N121" s="1">
        <f t="shared" ca="1" si="48"/>
        <v>381</v>
      </c>
      <c r="O121" s="1">
        <f t="shared" ca="1" si="49"/>
        <v>26</v>
      </c>
      <c r="P121" s="1"/>
      <c r="Q121" s="1">
        <f t="shared" ca="1" si="50"/>
        <v>0.59143059135734011</v>
      </c>
      <c r="R121" s="1">
        <f t="shared" ca="1" si="51"/>
        <v>353</v>
      </c>
      <c r="S121" s="1"/>
      <c r="T121" s="1">
        <f t="shared" ca="1" si="52"/>
        <v>0.19686542527087447</v>
      </c>
      <c r="U121" s="1">
        <f t="shared" ca="1" si="53"/>
        <v>298</v>
      </c>
      <c r="V121" s="1">
        <f t="shared" ca="1" si="54"/>
        <v>7</v>
      </c>
      <c r="W121" s="1"/>
      <c r="X121" s="1">
        <f t="shared" ca="1" si="55"/>
        <v>5.8041498219288785</v>
      </c>
      <c r="Y121" s="1">
        <f t="shared" ca="1" si="56"/>
        <v>4.3101072723557524E-2</v>
      </c>
      <c r="Z121" s="1">
        <f t="shared" ca="1" si="57"/>
        <v>1889</v>
      </c>
      <c r="AB121" s="1">
        <f t="shared" ca="1" si="58"/>
        <v>0.61411387432959808</v>
      </c>
      <c r="AC121" s="1">
        <f t="shared" ca="1" si="59"/>
        <v>283</v>
      </c>
      <c r="AD121" s="1">
        <f t="shared" ca="1" si="60"/>
        <v>5.896700966263867E-3</v>
      </c>
      <c r="AE121" s="1"/>
      <c r="AF121" s="1">
        <f t="shared" ca="1" si="61"/>
        <v>0.12622631188127001</v>
      </c>
      <c r="AG121" s="1">
        <f t="shared" ca="1" si="62"/>
        <v>989</v>
      </c>
      <c r="AH121" s="1">
        <f t="shared" ca="1" si="63"/>
        <v>3.9334663094003301E-4</v>
      </c>
      <c r="AJ121" s="1">
        <f t="shared" ca="1" si="64"/>
        <v>0.17973282710163208</v>
      </c>
      <c r="AK121" s="1">
        <f t="shared" ca="1" si="65"/>
        <v>9.080299017986803E-3</v>
      </c>
      <c r="AL121" s="1"/>
      <c r="AM121" s="1">
        <f t="shared" ca="1" si="66"/>
        <v>0.11638848003513567</v>
      </c>
      <c r="AN121" s="1">
        <f t="shared" ca="1" si="67"/>
        <v>73</v>
      </c>
      <c r="AO121" s="1">
        <f t="shared" ca="1" si="68"/>
        <v>5</v>
      </c>
      <c r="AQ121" s="1">
        <f t="shared" ca="1" si="69"/>
        <v>197</v>
      </c>
      <c r="AR121" s="1">
        <f t="shared" ca="1" si="70"/>
        <v>8</v>
      </c>
      <c r="AS121" s="1">
        <f t="shared" ca="1" si="71"/>
        <v>4</v>
      </c>
      <c r="AU121" s="1">
        <f t="shared" ca="1" si="72"/>
        <v>132</v>
      </c>
      <c r="AV121" s="1">
        <f t="shared" ca="1" si="73"/>
        <v>3</v>
      </c>
      <c r="AW121" s="1">
        <f t="shared" ca="1" si="74"/>
        <v>0.11510485939603841</v>
      </c>
      <c r="AY121" s="1">
        <f t="shared" ca="1" si="75"/>
        <v>1.2448901338460685</v>
      </c>
      <c r="AZ121" s="1">
        <f t="shared" ca="1" si="76"/>
        <v>419</v>
      </c>
      <c r="BA121" s="1">
        <f t="shared" ca="1" si="77"/>
        <v>8.7756511883117921E-3</v>
      </c>
    </row>
    <row r="122" spans="2:53" x14ac:dyDescent="0.25">
      <c r="B122">
        <f t="shared" ca="1" si="39"/>
        <v>433</v>
      </c>
      <c r="C122">
        <f t="shared" ca="1" si="40"/>
        <v>6</v>
      </c>
      <c r="D122">
        <f t="shared" ca="1" si="41"/>
        <v>0.22759488525543917</v>
      </c>
      <c r="F122" s="1">
        <f t="shared" ca="1" si="42"/>
        <v>32</v>
      </c>
      <c r="G122" s="1">
        <f t="shared" ca="1" si="43"/>
        <v>7</v>
      </c>
      <c r="H122" s="1">
        <f t="shared" ca="1" si="44"/>
        <v>13</v>
      </c>
      <c r="I122" s="1"/>
      <c r="J122" s="1">
        <f t="shared" ca="1" si="45"/>
        <v>18</v>
      </c>
      <c r="K122" s="1">
        <f t="shared" ca="1" si="46"/>
        <v>2.9727483426221157</v>
      </c>
      <c r="L122" s="1">
        <f t="shared" ca="1" si="47"/>
        <v>11</v>
      </c>
      <c r="M122" s="1"/>
      <c r="N122" s="1">
        <f t="shared" ca="1" si="48"/>
        <v>347</v>
      </c>
      <c r="O122" s="1">
        <f t="shared" ca="1" si="49"/>
        <v>44</v>
      </c>
      <c r="P122" s="1"/>
      <c r="Q122" s="1">
        <f t="shared" ca="1" si="50"/>
        <v>0.99832193240861733</v>
      </c>
      <c r="R122" s="1">
        <f t="shared" ca="1" si="51"/>
        <v>1174</v>
      </c>
      <c r="S122" s="1"/>
      <c r="T122" s="1">
        <f t="shared" ca="1" si="52"/>
        <v>7.1824744818437897E-2</v>
      </c>
      <c r="U122" s="1">
        <f t="shared" ca="1" si="53"/>
        <v>150</v>
      </c>
      <c r="V122" s="1">
        <f t="shared" ca="1" si="54"/>
        <v>41</v>
      </c>
      <c r="W122" s="1"/>
      <c r="X122" s="1">
        <f t="shared" ca="1" si="55"/>
        <v>9.2910006109082559</v>
      </c>
      <c r="Y122" s="1">
        <f t="shared" ca="1" si="56"/>
        <v>0.13806970032967233</v>
      </c>
      <c r="Z122" s="1">
        <f t="shared" ca="1" si="57"/>
        <v>1749</v>
      </c>
      <c r="AB122" s="1">
        <f t="shared" ca="1" si="58"/>
        <v>4.734768988506842E-2</v>
      </c>
      <c r="AC122" s="1">
        <f t="shared" ca="1" si="59"/>
        <v>976</v>
      </c>
      <c r="AD122" s="1">
        <f t="shared" ca="1" si="60"/>
        <v>6.8478530632932483E-3</v>
      </c>
      <c r="AE122" s="1"/>
      <c r="AF122" s="1">
        <f t="shared" ca="1" si="61"/>
        <v>0.68822640173288774</v>
      </c>
      <c r="AG122" s="1">
        <f t="shared" ca="1" si="62"/>
        <v>389</v>
      </c>
      <c r="AH122" s="1">
        <f t="shared" ca="1" si="63"/>
        <v>1.0949300659020243E-5</v>
      </c>
      <c r="AJ122" s="1">
        <f t="shared" ca="1" si="64"/>
        <v>0.74808188016379651</v>
      </c>
      <c r="AK122" s="1">
        <f t="shared" ca="1" si="65"/>
        <v>1.4491583271041908E-3</v>
      </c>
      <c r="AL122" s="1"/>
      <c r="AM122" s="1">
        <f t="shared" ca="1" si="66"/>
        <v>1.5323530937390632E-2</v>
      </c>
      <c r="AN122" s="1">
        <f t="shared" ca="1" si="67"/>
        <v>57</v>
      </c>
      <c r="AO122" s="1">
        <f t="shared" ca="1" si="68"/>
        <v>1</v>
      </c>
      <c r="AQ122" s="1">
        <f t="shared" ca="1" si="69"/>
        <v>140</v>
      </c>
      <c r="AR122" s="1">
        <f t="shared" ca="1" si="70"/>
        <v>7</v>
      </c>
      <c r="AS122" s="1">
        <f t="shared" ca="1" si="71"/>
        <v>3</v>
      </c>
      <c r="AU122" s="1">
        <f t="shared" ca="1" si="72"/>
        <v>205</v>
      </c>
      <c r="AV122" s="1">
        <f t="shared" ca="1" si="73"/>
        <v>5</v>
      </c>
      <c r="AW122" s="1">
        <f t="shared" ca="1" si="74"/>
        <v>8.0543464982208351E-2</v>
      </c>
      <c r="AY122" s="1">
        <f t="shared" ca="1" si="75"/>
        <v>1.2825480705835104</v>
      </c>
      <c r="AZ122" s="1">
        <f t="shared" ca="1" si="76"/>
        <v>436</v>
      </c>
      <c r="BA122" s="1">
        <f t="shared" ca="1" si="77"/>
        <v>5.0610999219280715E-3</v>
      </c>
    </row>
    <row r="123" spans="2:53" x14ac:dyDescent="0.25">
      <c r="B123">
        <f t="shared" ca="1" si="39"/>
        <v>120</v>
      </c>
      <c r="C123">
        <f t="shared" ca="1" si="40"/>
        <v>14</v>
      </c>
      <c r="D123">
        <f t="shared" ca="1" si="41"/>
        <v>7.824629175651851E-2</v>
      </c>
      <c r="F123" s="1">
        <f t="shared" ca="1" si="42"/>
        <v>42</v>
      </c>
      <c r="G123" s="1">
        <f t="shared" ca="1" si="43"/>
        <v>28</v>
      </c>
      <c r="H123" s="1">
        <f t="shared" ca="1" si="44"/>
        <v>13</v>
      </c>
      <c r="I123" s="1"/>
      <c r="J123" s="1">
        <f t="shared" ca="1" si="45"/>
        <v>20</v>
      </c>
      <c r="K123" s="1">
        <f t="shared" ca="1" si="46"/>
        <v>2.0578657465692074</v>
      </c>
      <c r="L123" s="1">
        <f t="shared" ca="1" si="47"/>
        <v>16</v>
      </c>
      <c r="M123" s="1"/>
      <c r="N123" s="1">
        <f t="shared" ca="1" si="48"/>
        <v>278</v>
      </c>
      <c r="O123" s="1">
        <f t="shared" ca="1" si="49"/>
        <v>25</v>
      </c>
      <c r="P123" s="1"/>
      <c r="Q123" s="1">
        <f t="shared" ca="1" si="50"/>
        <v>0.15224854786081973</v>
      </c>
      <c r="R123" s="1">
        <f t="shared" ca="1" si="51"/>
        <v>488</v>
      </c>
      <c r="S123" s="1"/>
      <c r="T123" s="1">
        <f t="shared" ca="1" si="52"/>
        <v>7.1196880680028579E-2</v>
      </c>
      <c r="U123" s="1">
        <f t="shared" ca="1" si="53"/>
        <v>367</v>
      </c>
      <c r="V123" s="1">
        <f t="shared" ca="1" si="54"/>
        <v>2</v>
      </c>
      <c r="W123" s="1"/>
      <c r="X123" s="1">
        <f t="shared" ca="1" si="55"/>
        <v>3.2059746894514856</v>
      </c>
      <c r="Y123" s="1">
        <f t="shared" ca="1" si="56"/>
        <v>0.56407851191236413</v>
      </c>
      <c r="Z123" s="1">
        <f t="shared" ca="1" si="57"/>
        <v>1038</v>
      </c>
      <c r="AB123" s="1">
        <f t="shared" ca="1" si="58"/>
        <v>0.80376333621213103</v>
      </c>
      <c r="AC123" s="1">
        <f t="shared" ca="1" si="59"/>
        <v>702</v>
      </c>
      <c r="AD123" s="1">
        <f t="shared" ca="1" si="60"/>
        <v>8.9041075839013505E-3</v>
      </c>
      <c r="AE123" s="1"/>
      <c r="AF123" s="1">
        <f t="shared" ca="1" si="61"/>
        <v>0.65372498046364425</v>
      </c>
      <c r="AG123" s="1">
        <f t="shared" ca="1" si="62"/>
        <v>964</v>
      </c>
      <c r="AH123" s="1">
        <f t="shared" ca="1" si="63"/>
        <v>6.5472102751672036E-3</v>
      </c>
      <c r="AJ123" s="1">
        <f t="shared" ca="1" si="64"/>
        <v>0.77994622507072098</v>
      </c>
      <c r="AK123" s="1">
        <f t="shared" ca="1" si="65"/>
        <v>7.6306191935761637E-3</v>
      </c>
      <c r="AL123" s="1"/>
      <c r="AM123" s="1">
        <f t="shared" ca="1" si="66"/>
        <v>8.024807837204774E-2</v>
      </c>
      <c r="AN123" s="1">
        <f t="shared" ca="1" si="67"/>
        <v>51</v>
      </c>
      <c r="AO123" s="1">
        <f t="shared" ca="1" si="68"/>
        <v>9</v>
      </c>
      <c r="AQ123" s="1">
        <f t="shared" ca="1" si="69"/>
        <v>152</v>
      </c>
      <c r="AR123" s="1">
        <f t="shared" ca="1" si="70"/>
        <v>6</v>
      </c>
      <c r="AS123" s="1">
        <f t="shared" ca="1" si="71"/>
        <v>31</v>
      </c>
      <c r="AU123" s="1">
        <f t="shared" ca="1" si="72"/>
        <v>61</v>
      </c>
      <c r="AV123" s="1">
        <f t="shared" ca="1" si="73"/>
        <v>5</v>
      </c>
      <c r="AW123" s="1">
        <f t="shared" ca="1" si="74"/>
        <v>0.1912317632344786</v>
      </c>
      <c r="AY123" s="1">
        <f t="shared" ca="1" si="75"/>
        <v>1.4749701831573425</v>
      </c>
      <c r="AZ123" s="1">
        <f t="shared" ca="1" si="76"/>
        <v>161</v>
      </c>
      <c r="BA123" s="1">
        <f t="shared" ca="1" si="77"/>
        <v>6.5693881535831694E-3</v>
      </c>
    </row>
    <row r="124" spans="2:53" x14ac:dyDescent="0.25">
      <c r="B124">
        <f t="shared" ca="1" si="39"/>
        <v>320</v>
      </c>
      <c r="C124">
        <f t="shared" ca="1" si="40"/>
        <v>49</v>
      </c>
      <c r="D124">
        <f t="shared" ca="1" si="41"/>
        <v>0.13199896667247424</v>
      </c>
      <c r="F124" s="1">
        <f t="shared" ca="1" si="42"/>
        <v>10</v>
      </c>
      <c r="G124" s="1">
        <f t="shared" ca="1" si="43"/>
        <v>3</v>
      </c>
      <c r="H124" s="1">
        <f t="shared" ca="1" si="44"/>
        <v>6</v>
      </c>
      <c r="I124" s="1"/>
      <c r="J124" s="1">
        <f t="shared" ca="1" si="45"/>
        <v>37</v>
      </c>
      <c r="K124" s="1">
        <f t="shared" ca="1" si="46"/>
        <v>2.7841019765539521</v>
      </c>
      <c r="L124" s="1">
        <f t="shared" ca="1" si="47"/>
        <v>14</v>
      </c>
      <c r="M124" s="1"/>
      <c r="N124" s="1">
        <f t="shared" ca="1" si="48"/>
        <v>278</v>
      </c>
      <c r="O124" s="1">
        <f t="shared" ca="1" si="49"/>
        <v>19</v>
      </c>
      <c r="P124" s="1"/>
      <c r="Q124" s="1">
        <f t="shared" ca="1" si="50"/>
        <v>0.85002169797822891</v>
      </c>
      <c r="R124" s="1">
        <f t="shared" ca="1" si="51"/>
        <v>932</v>
      </c>
      <c r="S124" s="1"/>
      <c r="T124" s="1">
        <f t="shared" ca="1" si="52"/>
        <v>8.0099360235350081E-2</v>
      </c>
      <c r="U124" s="1">
        <f t="shared" ca="1" si="53"/>
        <v>215</v>
      </c>
      <c r="V124" s="1">
        <f t="shared" ca="1" si="54"/>
        <v>21</v>
      </c>
      <c r="W124" s="1"/>
      <c r="X124" s="1">
        <f t="shared" ca="1" si="55"/>
        <v>7.7984732261145906</v>
      </c>
      <c r="Y124" s="1">
        <f t="shared" ca="1" si="56"/>
        <v>0.294082715619712</v>
      </c>
      <c r="Z124" s="1">
        <f t="shared" ca="1" si="57"/>
        <v>1858</v>
      </c>
      <c r="AB124" s="1">
        <f t="shared" ca="1" si="58"/>
        <v>0.91244344470178351</v>
      </c>
      <c r="AC124" s="1">
        <f t="shared" ca="1" si="59"/>
        <v>246</v>
      </c>
      <c r="AD124" s="1">
        <f t="shared" ca="1" si="60"/>
        <v>2.9828970214586183E-3</v>
      </c>
      <c r="AE124" s="1"/>
      <c r="AF124" s="1">
        <f t="shared" ca="1" si="61"/>
        <v>0.55036855471455848</v>
      </c>
      <c r="AG124" s="1">
        <f t="shared" ca="1" si="62"/>
        <v>823</v>
      </c>
      <c r="AH124" s="1">
        <f t="shared" ca="1" si="63"/>
        <v>6.7834279510792534E-3</v>
      </c>
      <c r="AJ124" s="1">
        <f t="shared" ca="1" si="64"/>
        <v>0.43154994061427843</v>
      </c>
      <c r="AK124" s="1">
        <f t="shared" ca="1" si="65"/>
        <v>5.2585684492702728E-3</v>
      </c>
      <c r="AL124" s="1"/>
      <c r="AM124" s="1">
        <f t="shared" ca="1" si="66"/>
        <v>3.9785677052968052E-2</v>
      </c>
      <c r="AN124" s="1">
        <f t="shared" ca="1" si="67"/>
        <v>10</v>
      </c>
      <c r="AO124" s="1">
        <f t="shared" ca="1" si="68"/>
        <v>13</v>
      </c>
      <c r="AQ124" s="1">
        <f t="shared" ca="1" si="69"/>
        <v>120</v>
      </c>
      <c r="AR124" s="1">
        <f t="shared" ca="1" si="70"/>
        <v>0</v>
      </c>
      <c r="AS124" s="1">
        <f t="shared" ca="1" si="71"/>
        <v>79</v>
      </c>
      <c r="AU124" s="1">
        <f t="shared" ca="1" si="72"/>
        <v>175</v>
      </c>
      <c r="AV124" s="1">
        <f t="shared" ca="1" si="73"/>
        <v>2</v>
      </c>
      <c r="AW124" s="1">
        <f t="shared" ca="1" si="74"/>
        <v>0.12862299218094009</v>
      </c>
      <c r="AY124" s="1">
        <f t="shared" ca="1" si="75"/>
        <v>1.2352177622720801</v>
      </c>
      <c r="AZ124" s="1">
        <f t="shared" ca="1" si="76"/>
        <v>426</v>
      </c>
      <c r="BA124" s="1">
        <f t="shared" ca="1" si="77"/>
        <v>5.4223006115435392E-4</v>
      </c>
    </row>
    <row r="125" spans="2:53" x14ac:dyDescent="0.25">
      <c r="B125">
        <f t="shared" ca="1" si="39"/>
        <v>646</v>
      </c>
      <c r="C125">
        <f t="shared" ca="1" si="40"/>
        <v>39</v>
      </c>
      <c r="D125">
        <f t="shared" ca="1" si="41"/>
        <v>0.19510506472781861</v>
      </c>
      <c r="F125" s="1">
        <f t="shared" ca="1" si="42"/>
        <v>39</v>
      </c>
      <c r="G125" s="1">
        <f t="shared" ca="1" si="43"/>
        <v>4</v>
      </c>
      <c r="H125" s="1">
        <f t="shared" ca="1" si="44"/>
        <v>1</v>
      </c>
      <c r="I125" s="1"/>
      <c r="J125" s="1">
        <f t="shared" ca="1" si="45"/>
        <v>36</v>
      </c>
      <c r="K125" s="1">
        <f t="shared" ca="1" si="46"/>
        <v>1.4421976966000012</v>
      </c>
      <c r="L125" s="1">
        <f t="shared" ca="1" si="47"/>
        <v>5</v>
      </c>
      <c r="M125" s="1"/>
      <c r="N125" s="1">
        <f t="shared" ca="1" si="48"/>
        <v>751</v>
      </c>
      <c r="O125" s="1">
        <f t="shared" ca="1" si="49"/>
        <v>32</v>
      </c>
      <c r="P125" s="1"/>
      <c r="Q125" s="1">
        <f t="shared" ca="1" si="50"/>
        <v>4.0705646106616689</v>
      </c>
      <c r="R125" s="1">
        <f t="shared" ca="1" si="51"/>
        <v>497</v>
      </c>
      <c r="S125" s="1"/>
      <c r="T125" s="1">
        <f t="shared" ca="1" si="52"/>
        <v>0.15520067786998262</v>
      </c>
      <c r="U125" s="1">
        <f t="shared" ca="1" si="53"/>
        <v>312</v>
      </c>
      <c r="V125" s="1">
        <f t="shared" ca="1" si="54"/>
        <v>38</v>
      </c>
      <c r="W125" s="1"/>
      <c r="X125" s="1">
        <f t="shared" ca="1" si="55"/>
        <v>8.4691626782124754</v>
      </c>
      <c r="Y125" s="1">
        <f t="shared" ca="1" si="56"/>
        <v>0.29774692143793396</v>
      </c>
      <c r="Z125" s="1">
        <f t="shared" ca="1" si="57"/>
        <v>217</v>
      </c>
      <c r="AB125" s="1">
        <f t="shared" ca="1" si="58"/>
        <v>4.4921567498890563E-2</v>
      </c>
      <c r="AC125" s="1">
        <f t="shared" ca="1" si="59"/>
        <v>901</v>
      </c>
      <c r="AD125" s="1">
        <f t="shared" ca="1" si="60"/>
        <v>2.8021713574567951E-3</v>
      </c>
      <c r="AE125" s="1"/>
      <c r="AF125" s="1">
        <f t="shared" ca="1" si="61"/>
        <v>0.75936561590269702</v>
      </c>
      <c r="AG125" s="1">
        <f t="shared" ca="1" si="62"/>
        <v>577</v>
      </c>
      <c r="AH125" s="1">
        <f t="shared" ca="1" si="63"/>
        <v>9.7674811621040348E-3</v>
      </c>
      <c r="AJ125" s="1">
        <f t="shared" ca="1" si="64"/>
        <v>0.47560553303730091</v>
      </c>
      <c r="AK125" s="1">
        <f t="shared" ca="1" si="65"/>
        <v>9.8076503944576725E-3</v>
      </c>
      <c r="AL125" s="1"/>
      <c r="AM125" s="1">
        <f t="shared" ca="1" si="66"/>
        <v>1.1736452268169252E-2</v>
      </c>
      <c r="AN125" s="1">
        <f t="shared" ca="1" si="67"/>
        <v>64</v>
      </c>
      <c r="AO125" s="1">
        <f t="shared" ca="1" si="68"/>
        <v>6</v>
      </c>
      <c r="AQ125" s="1">
        <f t="shared" ca="1" si="69"/>
        <v>103</v>
      </c>
      <c r="AR125" s="1">
        <f t="shared" ca="1" si="70"/>
        <v>1</v>
      </c>
      <c r="AS125" s="1">
        <f t="shared" ca="1" si="71"/>
        <v>13</v>
      </c>
      <c r="AU125" s="1">
        <f t="shared" ca="1" si="72"/>
        <v>131</v>
      </c>
      <c r="AV125" s="1">
        <f t="shared" ca="1" si="73"/>
        <v>4</v>
      </c>
      <c r="AW125" s="1">
        <f t="shared" ca="1" si="74"/>
        <v>8.2994667177060027E-2</v>
      </c>
      <c r="AY125" s="1">
        <f t="shared" ca="1" si="75"/>
        <v>1.6122936176339793</v>
      </c>
      <c r="AZ125" s="1">
        <f t="shared" ca="1" si="76"/>
        <v>342</v>
      </c>
      <c r="BA125" s="1">
        <f t="shared" ca="1" si="77"/>
        <v>9.708664155187324E-4</v>
      </c>
    </row>
    <row r="126" spans="2:53" x14ac:dyDescent="0.25">
      <c r="B126">
        <f t="shared" ca="1" si="39"/>
        <v>453</v>
      </c>
      <c r="C126">
        <f t="shared" ca="1" si="40"/>
        <v>43</v>
      </c>
      <c r="D126">
        <f t="shared" ca="1" si="41"/>
        <v>6.7244289027569806E-2</v>
      </c>
      <c r="F126" s="1">
        <f t="shared" ca="1" si="42"/>
        <v>3</v>
      </c>
      <c r="G126" s="1">
        <f t="shared" ca="1" si="43"/>
        <v>30</v>
      </c>
      <c r="H126" s="1">
        <f t="shared" ca="1" si="44"/>
        <v>12</v>
      </c>
      <c r="I126" s="1"/>
      <c r="J126" s="1">
        <f t="shared" ca="1" si="45"/>
        <v>36</v>
      </c>
      <c r="K126" s="1">
        <f t="shared" ca="1" si="46"/>
        <v>2.7300962454650994</v>
      </c>
      <c r="L126" s="1">
        <f t="shared" ca="1" si="47"/>
        <v>3</v>
      </c>
      <c r="M126" s="1"/>
      <c r="N126" s="1">
        <f t="shared" ca="1" si="48"/>
        <v>169</v>
      </c>
      <c r="O126" s="1">
        <f t="shared" ca="1" si="49"/>
        <v>20</v>
      </c>
      <c r="P126" s="1"/>
      <c r="Q126" s="1">
        <f t="shared" ca="1" si="50"/>
        <v>0.39308099974016353</v>
      </c>
      <c r="R126" s="1">
        <f t="shared" ca="1" si="51"/>
        <v>873</v>
      </c>
      <c r="S126" s="1"/>
      <c r="T126" s="1">
        <f t="shared" ca="1" si="52"/>
        <v>0.12634581281575458</v>
      </c>
      <c r="U126" s="1">
        <f t="shared" ca="1" si="53"/>
        <v>276</v>
      </c>
      <c r="V126" s="1">
        <f t="shared" ca="1" si="54"/>
        <v>19</v>
      </c>
      <c r="W126" s="1"/>
      <c r="X126" s="1">
        <f t="shared" ca="1" si="55"/>
        <v>5.0540569991595996</v>
      </c>
      <c r="Y126" s="1">
        <f t="shared" ca="1" si="56"/>
        <v>0.41603987045914886</v>
      </c>
      <c r="Z126" s="1">
        <f t="shared" ca="1" si="57"/>
        <v>1629</v>
      </c>
      <c r="AB126" s="1">
        <f t="shared" ca="1" si="58"/>
        <v>0.34489728733891478</v>
      </c>
      <c r="AC126" s="1">
        <f t="shared" ca="1" si="59"/>
        <v>585</v>
      </c>
      <c r="AD126" s="1">
        <f t="shared" ca="1" si="60"/>
        <v>5.9337096561644931E-3</v>
      </c>
      <c r="AE126" s="1"/>
      <c r="AF126" s="1">
        <f t="shared" ca="1" si="61"/>
        <v>0.1912506144077466</v>
      </c>
      <c r="AG126" s="1">
        <f t="shared" ca="1" si="62"/>
        <v>968</v>
      </c>
      <c r="AH126" s="1">
        <f t="shared" ca="1" si="63"/>
        <v>4.2839088100355563E-3</v>
      </c>
      <c r="AJ126" s="1">
        <f t="shared" ca="1" si="64"/>
        <v>0.92095967718353955</v>
      </c>
      <c r="AK126" s="1">
        <f t="shared" ca="1" si="65"/>
        <v>3.8856799655178067E-3</v>
      </c>
      <c r="AL126" s="1"/>
      <c r="AM126" s="1">
        <f t="shared" ca="1" si="66"/>
        <v>0.10180912353474343</v>
      </c>
      <c r="AN126" s="1">
        <f t="shared" ca="1" si="67"/>
        <v>39</v>
      </c>
      <c r="AO126" s="1">
        <f t="shared" ca="1" si="68"/>
        <v>6</v>
      </c>
      <c r="AQ126" s="1">
        <f t="shared" ca="1" si="69"/>
        <v>51</v>
      </c>
      <c r="AR126" s="1">
        <f t="shared" ca="1" si="70"/>
        <v>0</v>
      </c>
      <c r="AS126" s="1">
        <f t="shared" ca="1" si="71"/>
        <v>97</v>
      </c>
      <c r="AU126" s="1">
        <f t="shared" ca="1" si="72"/>
        <v>245</v>
      </c>
      <c r="AV126" s="1">
        <f t="shared" ca="1" si="73"/>
        <v>8</v>
      </c>
      <c r="AW126" s="1">
        <f t="shared" ca="1" si="74"/>
        <v>8.3799914414848659E-2</v>
      </c>
      <c r="AY126" s="1">
        <f t="shared" ca="1" si="75"/>
        <v>1.9753341202751233</v>
      </c>
      <c r="AZ126" s="1">
        <f t="shared" ca="1" si="76"/>
        <v>257</v>
      </c>
      <c r="BA126" s="1">
        <f t="shared" ca="1" si="77"/>
        <v>1.719906596909403E-3</v>
      </c>
    </row>
    <row r="127" spans="2:53" x14ac:dyDescent="0.25">
      <c r="B127">
        <f t="shared" ca="1" si="39"/>
        <v>745</v>
      </c>
      <c r="C127">
        <f t="shared" ca="1" si="40"/>
        <v>46</v>
      </c>
      <c r="D127">
        <f t="shared" ca="1" si="41"/>
        <v>0.26967344936925725</v>
      </c>
      <c r="F127" s="1">
        <f t="shared" ca="1" si="42"/>
        <v>25</v>
      </c>
      <c r="G127" s="1">
        <f t="shared" ca="1" si="43"/>
        <v>25</v>
      </c>
      <c r="H127" s="1">
        <f t="shared" ca="1" si="44"/>
        <v>8</v>
      </c>
      <c r="I127" s="1"/>
      <c r="J127" s="1">
        <f t="shared" ca="1" si="45"/>
        <v>1</v>
      </c>
      <c r="K127" s="1">
        <f t="shared" ca="1" si="46"/>
        <v>2.9890778709371384</v>
      </c>
      <c r="L127" s="1">
        <f t="shared" ca="1" si="47"/>
        <v>16</v>
      </c>
      <c r="M127" s="1"/>
      <c r="N127" s="1">
        <f t="shared" ca="1" si="48"/>
        <v>99</v>
      </c>
      <c r="O127" s="1">
        <f t="shared" ca="1" si="49"/>
        <v>35</v>
      </c>
      <c r="P127" s="1"/>
      <c r="Q127" s="1">
        <f t="shared" ca="1" si="50"/>
        <v>1.6532339843487691</v>
      </c>
      <c r="R127" s="1">
        <f t="shared" ca="1" si="51"/>
        <v>798</v>
      </c>
      <c r="S127" s="1"/>
      <c r="T127" s="1">
        <f t="shared" ca="1" si="52"/>
        <v>5.2391986594737885E-2</v>
      </c>
      <c r="U127" s="1">
        <f t="shared" ca="1" si="53"/>
        <v>349</v>
      </c>
      <c r="V127" s="1">
        <f t="shared" ca="1" si="54"/>
        <v>45</v>
      </c>
      <c r="W127" s="1"/>
      <c r="X127" s="1">
        <f t="shared" ca="1" si="55"/>
        <v>8.5507705018619866</v>
      </c>
      <c r="Y127" s="1">
        <f t="shared" ca="1" si="56"/>
        <v>0.91497897465050482</v>
      </c>
      <c r="Z127" s="1">
        <f t="shared" ca="1" si="57"/>
        <v>1854</v>
      </c>
      <c r="AB127" s="1">
        <f t="shared" ca="1" si="58"/>
        <v>0.42650041570358316</v>
      </c>
      <c r="AC127" s="1">
        <f t="shared" ca="1" si="59"/>
        <v>621</v>
      </c>
      <c r="AD127" s="1">
        <f t="shared" ca="1" si="60"/>
        <v>1.9612626710024251E-3</v>
      </c>
      <c r="AE127" s="1"/>
      <c r="AF127" s="1">
        <f t="shared" ca="1" si="61"/>
        <v>0.53166643213881992</v>
      </c>
      <c r="AG127" s="1">
        <f t="shared" ca="1" si="62"/>
        <v>816</v>
      </c>
      <c r="AH127" s="1">
        <f t="shared" ca="1" si="63"/>
        <v>3.5900223469334512E-3</v>
      </c>
      <c r="AJ127" s="1">
        <f t="shared" ca="1" si="64"/>
        <v>0.95849411118133243</v>
      </c>
      <c r="AK127" s="1">
        <f t="shared" ca="1" si="65"/>
        <v>7.5345705083794809E-3</v>
      </c>
      <c r="AL127" s="1"/>
      <c r="AM127" s="1">
        <f t="shared" ca="1" si="66"/>
        <v>0.17375472043038076</v>
      </c>
      <c r="AN127" s="1">
        <f t="shared" ca="1" si="67"/>
        <v>58</v>
      </c>
      <c r="AO127" s="1">
        <f t="shared" ca="1" si="68"/>
        <v>8</v>
      </c>
      <c r="AQ127" s="1">
        <f t="shared" ca="1" si="69"/>
        <v>69</v>
      </c>
      <c r="AR127" s="1">
        <f t="shared" ca="1" si="70"/>
        <v>6</v>
      </c>
      <c r="AS127" s="1">
        <f t="shared" ca="1" si="71"/>
        <v>90</v>
      </c>
      <c r="AU127" s="1">
        <f t="shared" ca="1" si="72"/>
        <v>170</v>
      </c>
      <c r="AV127" s="1">
        <f t="shared" ca="1" si="73"/>
        <v>2</v>
      </c>
      <c r="AW127" s="1">
        <f t="shared" ca="1" si="74"/>
        <v>3.7399282661052025E-2</v>
      </c>
      <c r="AY127" s="1">
        <f t="shared" ca="1" si="75"/>
        <v>1.7774031090199567</v>
      </c>
      <c r="AZ127" s="1">
        <f t="shared" ca="1" si="76"/>
        <v>178</v>
      </c>
      <c r="BA127" s="1">
        <f t="shared" ca="1" si="77"/>
        <v>1.3829094598608021E-3</v>
      </c>
    </row>
    <row r="128" spans="2:53" x14ac:dyDescent="0.25">
      <c r="B128">
        <f t="shared" ca="1" si="39"/>
        <v>964</v>
      </c>
      <c r="C128">
        <f t="shared" ca="1" si="40"/>
        <v>50</v>
      </c>
      <c r="D128">
        <f t="shared" ca="1" si="41"/>
        <v>7.8811915861976847E-2</v>
      </c>
      <c r="F128" s="1">
        <f t="shared" ca="1" si="42"/>
        <v>9</v>
      </c>
      <c r="G128" s="1">
        <f t="shared" ca="1" si="43"/>
        <v>11</v>
      </c>
      <c r="H128" s="1">
        <f t="shared" ca="1" si="44"/>
        <v>7</v>
      </c>
      <c r="I128" s="1"/>
      <c r="J128" s="1">
        <f t="shared" ca="1" si="45"/>
        <v>18</v>
      </c>
      <c r="K128" s="1">
        <f t="shared" ca="1" si="46"/>
        <v>1.8893409448097689</v>
      </c>
      <c r="L128" s="1">
        <f t="shared" ca="1" si="47"/>
        <v>15</v>
      </c>
      <c r="M128" s="1"/>
      <c r="N128" s="1">
        <f t="shared" ca="1" si="48"/>
        <v>650</v>
      </c>
      <c r="O128" s="1">
        <f t="shared" ca="1" si="49"/>
        <v>45</v>
      </c>
      <c r="P128" s="1"/>
      <c r="Q128" s="1">
        <f t="shared" ca="1" si="50"/>
        <v>3.9484887780981657</v>
      </c>
      <c r="R128" s="1">
        <f t="shared" ca="1" si="51"/>
        <v>978</v>
      </c>
      <c r="S128" s="1"/>
      <c r="T128" s="1">
        <f t="shared" ca="1" si="52"/>
        <v>0.10098723359705941</v>
      </c>
      <c r="U128" s="1">
        <f t="shared" ca="1" si="53"/>
        <v>185</v>
      </c>
      <c r="V128" s="1">
        <f t="shared" ca="1" si="54"/>
        <v>38</v>
      </c>
      <c r="W128" s="1"/>
      <c r="X128" s="1">
        <f t="shared" ca="1" si="55"/>
        <v>1.441973053467132</v>
      </c>
      <c r="Y128" s="1">
        <f t="shared" ca="1" si="56"/>
        <v>0.10071095705531638</v>
      </c>
      <c r="Z128" s="1">
        <f t="shared" ca="1" si="57"/>
        <v>1675</v>
      </c>
      <c r="AB128" s="1">
        <f t="shared" ca="1" si="58"/>
        <v>0.97203231449694261</v>
      </c>
      <c r="AC128" s="1">
        <f t="shared" ca="1" si="59"/>
        <v>137</v>
      </c>
      <c r="AD128" s="1">
        <f t="shared" ca="1" si="60"/>
        <v>3.5500117097495053E-3</v>
      </c>
      <c r="AE128" s="1"/>
      <c r="AF128" s="1">
        <f t="shared" ca="1" si="61"/>
        <v>0.88841065117286899</v>
      </c>
      <c r="AG128" s="1">
        <f t="shared" ca="1" si="62"/>
        <v>416</v>
      </c>
      <c r="AH128" s="1">
        <f t="shared" ca="1" si="63"/>
        <v>2.0340367131247207E-3</v>
      </c>
      <c r="AJ128" s="1">
        <f t="shared" ca="1" si="64"/>
        <v>0.15201883262505389</v>
      </c>
      <c r="AK128" s="1">
        <f t="shared" ca="1" si="65"/>
        <v>3.223072342277894E-3</v>
      </c>
      <c r="AL128" s="1"/>
      <c r="AM128" s="1">
        <f t="shared" ca="1" si="66"/>
        <v>0.14277469616911326</v>
      </c>
      <c r="AN128" s="1">
        <f t="shared" ca="1" si="67"/>
        <v>72</v>
      </c>
      <c r="AO128" s="1">
        <f t="shared" ca="1" si="68"/>
        <v>1</v>
      </c>
      <c r="AQ128" s="1">
        <f t="shared" ca="1" si="69"/>
        <v>141</v>
      </c>
      <c r="AR128" s="1">
        <f t="shared" ca="1" si="70"/>
        <v>1</v>
      </c>
      <c r="AS128" s="1">
        <f t="shared" ca="1" si="71"/>
        <v>50</v>
      </c>
      <c r="AU128" s="1">
        <f t="shared" ca="1" si="72"/>
        <v>315</v>
      </c>
      <c r="AV128" s="1">
        <f t="shared" ca="1" si="73"/>
        <v>9</v>
      </c>
      <c r="AW128" s="1">
        <f t="shared" ca="1" si="74"/>
        <v>7.9717928224551038E-2</v>
      </c>
      <c r="AY128" s="1">
        <f t="shared" ca="1" si="75"/>
        <v>1.1292028562605265</v>
      </c>
      <c r="AZ128" s="1">
        <f t="shared" ca="1" si="76"/>
        <v>313</v>
      </c>
      <c r="BA128" s="1">
        <f t="shared" ca="1" si="77"/>
        <v>4.2293032038556357E-3</v>
      </c>
    </row>
    <row r="129" spans="2:53" x14ac:dyDescent="0.25">
      <c r="B129">
        <f t="shared" ca="1" si="39"/>
        <v>999</v>
      </c>
      <c r="C129">
        <f t="shared" ca="1" si="40"/>
        <v>22</v>
      </c>
      <c r="D129">
        <f t="shared" ca="1" si="41"/>
        <v>6.2607724221666425E-2</v>
      </c>
      <c r="F129" s="1">
        <f t="shared" ca="1" si="42"/>
        <v>42</v>
      </c>
      <c r="G129" s="1">
        <f t="shared" ca="1" si="43"/>
        <v>23</v>
      </c>
      <c r="H129" s="1">
        <f t="shared" ca="1" si="44"/>
        <v>15</v>
      </c>
      <c r="I129" s="1"/>
      <c r="J129" s="1">
        <f t="shared" ca="1" si="45"/>
        <v>27</v>
      </c>
      <c r="K129" s="1">
        <f t="shared" ca="1" si="46"/>
        <v>1.4380126201587231</v>
      </c>
      <c r="L129" s="1">
        <f t="shared" ca="1" si="47"/>
        <v>3</v>
      </c>
      <c r="M129" s="1"/>
      <c r="N129" s="1">
        <f t="shared" ca="1" si="48"/>
        <v>614</v>
      </c>
      <c r="O129" s="1">
        <f t="shared" ca="1" si="49"/>
        <v>52</v>
      </c>
      <c r="P129" s="1"/>
      <c r="Q129" s="1">
        <f t="shared" ca="1" si="50"/>
        <v>2.7548773034199834</v>
      </c>
      <c r="R129" s="1">
        <f t="shared" ca="1" si="51"/>
        <v>205</v>
      </c>
      <c r="S129" s="1"/>
      <c r="T129" s="1">
        <f t="shared" ca="1" si="52"/>
        <v>0.19844681649321794</v>
      </c>
      <c r="U129" s="1">
        <f t="shared" ca="1" si="53"/>
        <v>149</v>
      </c>
      <c r="V129" s="1">
        <f t="shared" ca="1" si="54"/>
        <v>17</v>
      </c>
      <c r="W129" s="1"/>
      <c r="X129" s="1">
        <f t="shared" ca="1" si="55"/>
        <v>4.2511719021087728</v>
      </c>
      <c r="Y129" s="1">
        <f t="shared" ca="1" si="56"/>
        <v>0.46772106050801332</v>
      </c>
      <c r="Z129" s="1">
        <f t="shared" ca="1" si="57"/>
        <v>1371</v>
      </c>
      <c r="AB129" s="1">
        <f t="shared" ca="1" si="58"/>
        <v>0.84820672019864163</v>
      </c>
      <c r="AC129" s="1">
        <f t="shared" ca="1" si="59"/>
        <v>178</v>
      </c>
      <c r="AD129" s="1">
        <f t="shared" ca="1" si="60"/>
        <v>1.2429617827249724E-3</v>
      </c>
      <c r="AE129" s="1"/>
      <c r="AF129" s="1">
        <f t="shared" ca="1" si="61"/>
        <v>0.59429193942543301</v>
      </c>
      <c r="AG129" s="1">
        <f t="shared" ca="1" si="62"/>
        <v>638</v>
      </c>
      <c r="AH129" s="1">
        <f t="shared" ca="1" si="63"/>
        <v>4.3924261976162338E-3</v>
      </c>
      <c r="AJ129" s="1">
        <f t="shared" ca="1" si="64"/>
        <v>0.81103648921368643</v>
      </c>
      <c r="AK129" s="1">
        <f t="shared" ca="1" si="65"/>
        <v>1.7894005711875576E-4</v>
      </c>
      <c r="AL129" s="1"/>
      <c r="AM129" s="1">
        <f t="shared" ca="1" si="66"/>
        <v>0.13976901751033954</v>
      </c>
      <c r="AN129" s="1">
        <f t="shared" ca="1" si="67"/>
        <v>11</v>
      </c>
      <c r="AO129" s="1">
        <f t="shared" ca="1" si="68"/>
        <v>1</v>
      </c>
      <c r="AQ129" s="1">
        <f t="shared" ca="1" si="69"/>
        <v>183</v>
      </c>
      <c r="AR129" s="1">
        <f t="shared" ca="1" si="70"/>
        <v>5</v>
      </c>
      <c r="AS129" s="1">
        <f t="shared" ca="1" si="71"/>
        <v>25</v>
      </c>
      <c r="AU129" s="1">
        <f t="shared" ca="1" si="72"/>
        <v>196</v>
      </c>
      <c r="AV129" s="1">
        <f t="shared" ca="1" si="73"/>
        <v>9</v>
      </c>
      <c r="AW129" s="1">
        <f t="shared" ca="1" si="74"/>
        <v>0.18995956728037286</v>
      </c>
      <c r="AY129" s="1">
        <f t="shared" ca="1" si="75"/>
        <v>1.4802717394957452</v>
      </c>
      <c r="AZ129" s="1">
        <f t="shared" ca="1" si="76"/>
        <v>208</v>
      </c>
      <c r="BA129" s="1">
        <f t="shared" ca="1" si="77"/>
        <v>9.1804518007176233E-3</v>
      </c>
    </row>
    <row r="130" spans="2:53" x14ac:dyDescent="0.25">
      <c r="B130">
        <f t="shared" ca="1" si="39"/>
        <v>807</v>
      </c>
      <c r="C130">
        <f t="shared" ca="1" si="40"/>
        <v>2</v>
      </c>
      <c r="D130">
        <f t="shared" ca="1" si="41"/>
        <v>0.2352641080484914</v>
      </c>
      <c r="F130" s="1">
        <f t="shared" ca="1" si="42"/>
        <v>19</v>
      </c>
      <c r="G130" s="1">
        <f t="shared" ca="1" si="43"/>
        <v>30</v>
      </c>
      <c r="H130" s="1">
        <f t="shared" ca="1" si="44"/>
        <v>11</v>
      </c>
      <c r="I130" s="1"/>
      <c r="J130" s="1">
        <f t="shared" ca="1" si="45"/>
        <v>31</v>
      </c>
      <c r="K130" s="1">
        <f t="shared" ca="1" si="46"/>
        <v>2.6360570568824553</v>
      </c>
      <c r="L130" s="1">
        <f t="shared" ca="1" si="47"/>
        <v>18</v>
      </c>
      <c r="M130" s="1"/>
      <c r="N130" s="1">
        <f t="shared" ca="1" si="48"/>
        <v>731</v>
      </c>
      <c r="O130" s="1">
        <f t="shared" ca="1" si="49"/>
        <v>14</v>
      </c>
      <c r="P130" s="1"/>
      <c r="Q130" s="1">
        <f t="shared" ca="1" si="50"/>
        <v>1.8983686869860332</v>
      </c>
      <c r="R130" s="1">
        <f t="shared" ca="1" si="51"/>
        <v>205</v>
      </c>
      <c r="S130" s="1"/>
      <c r="T130" s="1">
        <f t="shared" ca="1" si="52"/>
        <v>0.11524195295404735</v>
      </c>
      <c r="U130" s="1">
        <f t="shared" ca="1" si="53"/>
        <v>161</v>
      </c>
      <c r="V130" s="1">
        <f t="shared" ca="1" si="54"/>
        <v>29</v>
      </c>
      <c r="W130" s="1"/>
      <c r="X130" s="1">
        <f t="shared" ca="1" si="55"/>
        <v>3.6650072876984425</v>
      </c>
      <c r="Y130" s="1">
        <f t="shared" ca="1" si="56"/>
        <v>0.77302873897831637</v>
      </c>
      <c r="Z130" s="1">
        <f t="shared" ca="1" si="57"/>
        <v>1672</v>
      </c>
      <c r="AB130" s="1">
        <f t="shared" ca="1" si="58"/>
        <v>0.50666421233758041</v>
      </c>
      <c r="AC130" s="1">
        <f t="shared" ca="1" si="59"/>
        <v>192</v>
      </c>
      <c r="AD130" s="1">
        <f t="shared" ca="1" si="60"/>
        <v>4.0127164449427861E-3</v>
      </c>
      <c r="AE130" s="1"/>
      <c r="AF130" s="1">
        <f t="shared" ca="1" si="61"/>
        <v>0.73269534898725608</v>
      </c>
      <c r="AG130" s="1">
        <f t="shared" ca="1" si="62"/>
        <v>651</v>
      </c>
      <c r="AH130" s="1">
        <f t="shared" ca="1" si="63"/>
        <v>1.4944775400821842E-3</v>
      </c>
      <c r="AJ130" s="1">
        <f t="shared" ca="1" si="64"/>
        <v>0.41437993744391022</v>
      </c>
      <c r="AK130" s="1">
        <f t="shared" ca="1" si="65"/>
        <v>8.3048415725620918E-3</v>
      </c>
      <c r="AL130" s="1"/>
      <c r="AM130" s="1">
        <f t="shared" ca="1" si="66"/>
        <v>0.11644696345832073</v>
      </c>
      <c r="AN130" s="1">
        <f t="shared" ca="1" si="67"/>
        <v>12</v>
      </c>
      <c r="AO130" s="1">
        <f t="shared" ca="1" si="68"/>
        <v>-1</v>
      </c>
      <c r="AQ130" s="1">
        <f t="shared" ca="1" si="69"/>
        <v>30</v>
      </c>
      <c r="AR130" s="1">
        <f t="shared" ca="1" si="70"/>
        <v>8</v>
      </c>
      <c r="AS130" s="1">
        <f t="shared" ca="1" si="71"/>
        <v>51</v>
      </c>
      <c r="AU130" s="1">
        <f t="shared" ca="1" si="72"/>
        <v>322</v>
      </c>
      <c r="AV130" s="1">
        <f t="shared" ca="1" si="73"/>
        <v>2</v>
      </c>
      <c r="AW130" s="1">
        <f t="shared" ca="1" si="74"/>
        <v>7.7522181242741378E-2</v>
      </c>
      <c r="AY130" s="1">
        <f t="shared" ca="1" si="75"/>
        <v>1.6860820313914813</v>
      </c>
      <c r="AZ130" s="1">
        <f t="shared" ca="1" si="76"/>
        <v>381</v>
      </c>
      <c r="BA130" s="1">
        <f t="shared" ca="1" si="77"/>
        <v>4.7289652637796838E-3</v>
      </c>
    </row>
    <row r="131" spans="2:53" x14ac:dyDescent="0.25">
      <c r="B131">
        <f t="shared" ca="1" si="39"/>
        <v>31</v>
      </c>
      <c r="C131">
        <f t="shared" ca="1" si="40"/>
        <v>2</v>
      </c>
      <c r="D131">
        <f t="shared" ca="1" si="41"/>
        <v>6.4930883210774809E-2</v>
      </c>
      <c r="F131" s="1">
        <f t="shared" ca="1" si="42"/>
        <v>22</v>
      </c>
      <c r="G131" s="1">
        <f t="shared" ca="1" si="43"/>
        <v>19</v>
      </c>
      <c r="H131" s="1">
        <f t="shared" ca="1" si="44"/>
        <v>13</v>
      </c>
      <c r="I131" s="1"/>
      <c r="J131" s="1">
        <f t="shared" ca="1" si="45"/>
        <v>2</v>
      </c>
      <c r="K131" s="1">
        <f t="shared" ca="1" si="46"/>
        <v>1.2227490951631741</v>
      </c>
      <c r="L131" s="1">
        <f t="shared" ca="1" si="47"/>
        <v>28</v>
      </c>
      <c r="M131" s="1"/>
      <c r="N131" s="1">
        <f t="shared" ca="1" si="48"/>
        <v>260</v>
      </c>
      <c r="O131" s="1">
        <f t="shared" ca="1" si="49"/>
        <v>19</v>
      </c>
      <c r="P131" s="1"/>
      <c r="Q131" s="1">
        <f t="shared" ca="1" si="50"/>
        <v>1.2393552559926058</v>
      </c>
      <c r="R131" s="1">
        <f t="shared" ca="1" si="51"/>
        <v>1069</v>
      </c>
      <c r="S131" s="1"/>
      <c r="T131" s="1">
        <f t="shared" ca="1" si="52"/>
        <v>0.15119774028270597</v>
      </c>
      <c r="U131" s="1">
        <f t="shared" ca="1" si="53"/>
        <v>88</v>
      </c>
      <c r="V131" s="1">
        <f t="shared" ca="1" si="54"/>
        <v>37</v>
      </c>
      <c r="W131" s="1"/>
      <c r="X131" s="1">
        <f t="shared" ca="1" si="55"/>
        <v>5.9478337126919829</v>
      </c>
      <c r="Y131" s="1">
        <f t="shared" ca="1" si="56"/>
        <v>0.44579821765104921</v>
      </c>
      <c r="Z131" s="1">
        <f t="shared" ca="1" si="57"/>
        <v>106</v>
      </c>
      <c r="AB131" s="1">
        <f t="shared" ca="1" si="58"/>
        <v>0.51662084677912856</v>
      </c>
      <c r="AC131" s="1">
        <f t="shared" ca="1" si="59"/>
        <v>287</v>
      </c>
      <c r="AD131" s="1">
        <f t="shared" ca="1" si="60"/>
        <v>3.296398856055253E-3</v>
      </c>
      <c r="AE131" s="1"/>
      <c r="AF131" s="1">
        <f t="shared" ca="1" si="61"/>
        <v>0.31703034174653977</v>
      </c>
      <c r="AG131" s="1">
        <f t="shared" ca="1" si="62"/>
        <v>161</v>
      </c>
      <c r="AH131" s="1">
        <f t="shared" ca="1" si="63"/>
        <v>5.4859229347242406E-3</v>
      </c>
      <c r="AJ131" s="1">
        <f t="shared" ca="1" si="64"/>
        <v>0.57316222378252091</v>
      </c>
      <c r="AK131" s="1">
        <f t="shared" ca="1" si="65"/>
        <v>7.9145028612175143E-3</v>
      </c>
      <c r="AL131" s="1"/>
      <c r="AM131" s="1">
        <f t="shared" ca="1" si="66"/>
        <v>4.9906869771288331E-2</v>
      </c>
      <c r="AN131" s="1">
        <f t="shared" ca="1" si="67"/>
        <v>26</v>
      </c>
      <c r="AO131" s="1">
        <f t="shared" ca="1" si="68"/>
        <v>-1</v>
      </c>
      <c r="AQ131" s="1">
        <f t="shared" ca="1" si="69"/>
        <v>100</v>
      </c>
      <c r="AR131" s="1">
        <f t="shared" ca="1" si="70"/>
        <v>9</v>
      </c>
      <c r="AS131" s="1">
        <f t="shared" ca="1" si="71"/>
        <v>64</v>
      </c>
      <c r="AU131" s="1">
        <f t="shared" ca="1" si="72"/>
        <v>319</v>
      </c>
      <c r="AV131" s="1">
        <f t="shared" ca="1" si="73"/>
        <v>3</v>
      </c>
      <c r="AW131" s="1">
        <f t="shared" ca="1" si="74"/>
        <v>0.14405045198056904</v>
      </c>
      <c r="AY131" s="1">
        <f t="shared" ca="1" si="75"/>
        <v>1.978650877051324</v>
      </c>
      <c r="AZ131" s="1">
        <f t="shared" ca="1" si="76"/>
        <v>152</v>
      </c>
      <c r="BA131" s="1">
        <f t="shared" ca="1" si="77"/>
        <v>6.0123866278201463E-3</v>
      </c>
    </row>
    <row r="132" spans="2:53" x14ac:dyDescent="0.25">
      <c r="B132">
        <f t="shared" ref="B132:B195" ca="1" si="78">RANDBETWEEN(15,1000)</f>
        <v>237</v>
      </c>
      <c r="C132">
        <f t="shared" ref="C132:C195" ca="1" si="79">RANDBETWEEN(2,52)</f>
        <v>41</v>
      </c>
      <c r="D132">
        <f t="shared" ref="D132:D195" ca="1" si="80">RAND()*(0.3-0.01)+0.01</f>
        <v>9.4449776176662587E-2</v>
      </c>
      <c r="F132" s="1">
        <f t="shared" ref="F132:F195" ca="1" si="81">RANDBETWEEN(2,52)</f>
        <v>43</v>
      </c>
      <c r="G132" s="1">
        <f t="shared" ref="G132:G195" ca="1" si="82">RANDBETWEEN(2,30)</f>
        <v>12</v>
      </c>
      <c r="H132" s="1">
        <f t="shared" ref="H132:H195" ca="1" si="83">RANDBETWEEN(1,15)</f>
        <v>1</v>
      </c>
      <c r="I132" s="1"/>
      <c r="J132" s="1">
        <f t="shared" ref="J132:J195" ca="1" si="84">RANDBETWEEN(1,39)</f>
        <v>37</v>
      </c>
      <c r="K132" s="1">
        <f t="shared" ref="K132:K195" ca="1" si="85">RAND()*(3-1)+1</f>
        <v>2.8357874739188675</v>
      </c>
      <c r="L132" s="1">
        <f t="shared" ref="L132:L195" ca="1" si="86">RANDBETWEEN(2,35)</f>
        <v>3</v>
      </c>
      <c r="M132" s="1"/>
      <c r="N132" s="1">
        <f t="shared" ref="N132:N195" ca="1" si="87">RANDBETWEEN(15,1000)</f>
        <v>928</v>
      </c>
      <c r="O132" s="1">
        <f t="shared" ref="O132:O195" ca="1" si="88">RANDBETWEEN(2,52)</f>
        <v>50</v>
      </c>
      <c r="P132" s="1"/>
      <c r="Q132" s="1">
        <f t="shared" ref="Q132:Q195" ca="1" si="89">RAND()*(5-0.01)+0.01</f>
        <v>4.1572515557378784</v>
      </c>
      <c r="R132" s="1">
        <f t="shared" ref="R132:R195" ca="1" si="90">RANDBETWEEN(200,1200)</f>
        <v>732</v>
      </c>
      <c r="S132" s="1"/>
      <c r="T132" s="1">
        <f t="shared" ref="T132:T195" ca="1" si="91">RAND()*(0.2-0.01)+0.01</f>
        <v>0.11201470525426736</v>
      </c>
      <c r="U132" s="1">
        <f t="shared" ref="U132:U195" ca="1" si="92">RANDBETWEEN(50,450)</f>
        <v>235</v>
      </c>
      <c r="V132" s="1">
        <f t="shared" ref="V132:V195" ca="1" si="93">RANDBETWEEN(2,52)</f>
        <v>41</v>
      </c>
      <c r="W132" s="1"/>
      <c r="X132" s="1">
        <f t="shared" ref="X132:X195" ca="1" si="94">RAND()*(10-0.01)+0.01</f>
        <v>6.4687686037493028</v>
      </c>
      <c r="Y132" s="1">
        <f t="shared" ref="Y132:Y195" ca="1" si="95">RAND()*(1-0.0001)+0.0001</f>
        <v>0.42454998918287989</v>
      </c>
      <c r="Z132" s="1">
        <f t="shared" ref="Z132:Z195" ca="1" si="96">RANDBETWEEN(100,2000)</f>
        <v>608</v>
      </c>
      <c r="AB132" s="1">
        <f t="shared" ref="AB132:AB195" ca="1" si="97">RAND()*(1-0.0001)+0.0001</f>
        <v>0.94158958716140662</v>
      </c>
      <c r="AC132" s="1">
        <f t="shared" ref="AC132:AC195" ca="1" si="98">RANDBETWEEN(100,1000)</f>
        <v>684</v>
      </c>
      <c r="AD132" s="1">
        <f t="shared" ref="AD132:AD195" ca="1" si="99">RAND()*(0.01-0.00001)+0.00001</f>
        <v>6.2063239857281646E-3</v>
      </c>
      <c r="AE132" s="1"/>
      <c r="AF132" s="1">
        <f t="shared" ref="AF132:AF195" ca="1" si="100">RAND()*(0.9-0.1)+0.1</f>
        <v>0.46560383701936503</v>
      </c>
      <c r="AG132" s="1">
        <f t="shared" ref="AG132:AG195" ca="1" si="101">RANDBETWEEN(100,1000)</f>
        <v>429</v>
      </c>
      <c r="AH132" s="1">
        <f t="shared" ref="AH132:AH195" ca="1" si="102">RAND()*(0.01-0.00001)+0.00001</f>
        <v>1.9616398118883528E-3</v>
      </c>
      <c r="AJ132" s="1">
        <f t="shared" ref="AJ132:AJ195" ca="1" si="103">RAND()*(1-0)+0</f>
        <v>0.26434688851167598</v>
      </c>
      <c r="AK132" s="1">
        <f t="shared" ref="AK132:AK195" ca="1" si="104">RAND()*(0.01-0.00001)+0.00001</f>
        <v>3.7484911561984188E-3</v>
      </c>
      <c r="AL132" s="1"/>
      <c r="AM132" s="1">
        <f t="shared" ref="AM132:AM195" ca="1" si="105">RAND()*(0.2-0.005)+0.005</f>
        <v>4.6031595616090056E-2</v>
      </c>
      <c r="AN132" s="1">
        <f t="shared" ref="AN132:AN195" ca="1" si="106">RANDBETWEEN(10,80)</f>
        <v>65</v>
      </c>
      <c r="AO132" s="1">
        <f t="shared" ref="AO132:AO195" ca="1" si="107">RANDBETWEEN(-1,20)</f>
        <v>18</v>
      </c>
      <c r="AQ132" s="1">
        <f t="shared" ref="AQ132:AQ195" ca="1" si="108">RANDBETWEEN(10,200)</f>
        <v>193</v>
      </c>
      <c r="AR132" s="1">
        <f t="shared" ref="AR132:AR195" ca="1" si="109">RANDBETWEEN(0,10)</f>
        <v>3</v>
      </c>
      <c r="AS132" s="1">
        <f t="shared" ref="AS132:AS195" ca="1" si="110">RANDBETWEEN(1,100)</f>
        <v>88</v>
      </c>
      <c r="AU132" s="1">
        <f t="shared" ref="AU132:AU195" ca="1" si="111">RANDBETWEEN(50,400)</f>
        <v>193</v>
      </c>
      <c r="AV132" s="1">
        <f t="shared" ref="AV132:AV195" ca="1" si="112">RANDBETWEEN(2,10)</f>
        <v>7</v>
      </c>
      <c r="AW132" s="1">
        <f t="shared" ref="AW132:AW195" ca="1" si="113">RAND()*(0.2-0.01)+0.01</f>
        <v>0.13354518634364576</v>
      </c>
      <c r="AY132" s="1">
        <f t="shared" ref="AY132:AY195" ca="1" si="114">RAND()*(2-1.1)+1.1</f>
        <v>1.5868266121725938</v>
      </c>
      <c r="AZ132" s="1">
        <f t="shared" ref="AZ132:AZ195" ca="1" si="115">RANDBETWEEN(50,500)</f>
        <v>442</v>
      </c>
      <c r="BA132" s="1">
        <f t="shared" ref="BA132:BA195" ca="1" si="116">RAND()*(0.01-0.00001)+0.00001</f>
        <v>7.9393958421814792E-3</v>
      </c>
    </row>
    <row r="133" spans="2:53" x14ac:dyDescent="0.25">
      <c r="B133">
        <f t="shared" ca="1" si="78"/>
        <v>775</v>
      </c>
      <c r="C133">
        <f t="shared" ca="1" si="79"/>
        <v>38</v>
      </c>
      <c r="D133">
        <f t="shared" ca="1" si="80"/>
        <v>0.29535543234071615</v>
      </c>
      <c r="F133" s="1">
        <f t="shared" ca="1" si="81"/>
        <v>52</v>
      </c>
      <c r="G133" s="1">
        <f t="shared" ca="1" si="82"/>
        <v>8</v>
      </c>
      <c r="H133" s="1">
        <f t="shared" ca="1" si="83"/>
        <v>7</v>
      </c>
      <c r="I133" s="1"/>
      <c r="J133" s="1">
        <f t="shared" ca="1" si="84"/>
        <v>24</v>
      </c>
      <c r="K133" s="1">
        <f t="shared" ca="1" si="85"/>
        <v>2.6753996715486532</v>
      </c>
      <c r="L133" s="1">
        <f t="shared" ca="1" si="86"/>
        <v>10</v>
      </c>
      <c r="M133" s="1"/>
      <c r="N133" s="1">
        <f t="shared" ca="1" si="87"/>
        <v>181</v>
      </c>
      <c r="O133" s="1">
        <f t="shared" ca="1" si="88"/>
        <v>16</v>
      </c>
      <c r="P133" s="1"/>
      <c r="Q133" s="1">
        <f t="shared" ca="1" si="89"/>
        <v>3.8729428372593717</v>
      </c>
      <c r="R133" s="1">
        <f t="shared" ca="1" si="90"/>
        <v>261</v>
      </c>
      <c r="S133" s="1"/>
      <c r="T133" s="1">
        <f t="shared" ca="1" si="91"/>
        <v>3.8325197509390216E-2</v>
      </c>
      <c r="U133" s="1">
        <f t="shared" ca="1" si="92"/>
        <v>225</v>
      </c>
      <c r="V133" s="1">
        <f t="shared" ca="1" si="93"/>
        <v>31</v>
      </c>
      <c r="W133" s="1"/>
      <c r="X133" s="1">
        <f t="shared" ca="1" si="94"/>
        <v>9.2575610180530052</v>
      </c>
      <c r="Y133" s="1">
        <f t="shared" ca="1" si="95"/>
        <v>0.10988759133300681</v>
      </c>
      <c r="Z133" s="1">
        <f t="shared" ca="1" si="96"/>
        <v>496</v>
      </c>
      <c r="AB133" s="1">
        <f t="shared" ca="1" si="97"/>
        <v>0.4557854296013783</v>
      </c>
      <c r="AC133" s="1">
        <f t="shared" ca="1" si="98"/>
        <v>857</v>
      </c>
      <c r="AD133" s="1">
        <f t="shared" ca="1" si="99"/>
        <v>4.021339155217735E-3</v>
      </c>
      <c r="AE133" s="1"/>
      <c r="AF133" s="1">
        <f t="shared" ca="1" si="100"/>
        <v>0.48660134552850853</v>
      </c>
      <c r="AG133" s="1">
        <f t="shared" ca="1" si="101"/>
        <v>984</v>
      </c>
      <c r="AH133" s="1">
        <f t="shared" ca="1" si="102"/>
        <v>7.0718773955832297E-4</v>
      </c>
      <c r="AJ133" s="1">
        <f t="shared" ca="1" si="103"/>
        <v>0.79859005359606861</v>
      </c>
      <c r="AK133" s="1">
        <f t="shared" ca="1" si="104"/>
        <v>7.5997023158318258E-3</v>
      </c>
      <c r="AL133" s="1"/>
      <c r="AM133" s="1">
        <f t="shared" ca="1" si="105"/>
        <v>3.8791969058396804E-2</v>
      </c>
      <c r="AN133" s="1">
        <f t="shared" ca="1" si="106"/>
        <v>18</v>
      </c>
      <c r="AO133" s="1">
        <f t="shared" ca="1" si="107"/>
        <v>14</v>
      </c>
      <c r="AQ133" s="1">
        <f t="shared" ca="1" si="108"/>
        <v>143</v>
      </c>
      <c r="AR133" s="1">
        <f t="shared" ca="1" si="109"/>
        <v>0</v>
      </c>
      <c r="AS133" s="1">
        <f t="shared" ca="1" si="110"/>
        <v>75</v>
      </c>
      <c r="AU133" s="1">
        <f t="shared" ca="1" si="111"/>
        <v>95</v>
      </c>
      <c r="AV133" s="1">
        <f t="shared" ca="1" si="112"/>
        <v>4</v>
      </c>
      <c r="AW133" s="1">
        <f t="shared" ca="1" si="113"/>
        <v>0.15703702058227201</v>
      </c>
      <c r="AY133" s="1">
        <f t="shared" ca="1" si="114"/>
        <v>1.9276903838428787</v>
      </c>
      <c r="AZ133" s="1">
        <f t="shared" ca="1" si="115"/>
        <v>495</v>
      </c>
      <c r="BA133" s="1">
        <f t="shared" ca="1" si="116"/>
        <v>8.0440650601921789E-3</v>
      </c>
    </row>
    <row r="134" spans="2:53" x14ac:dyDescent="0.25">
      <c r="B134">
        <f t="shared" ca="1" si="78"/>
        <v>765</v>
      </c>
      <c r="C134">
        <f t="shared" ca="1" si="79"/>
        <v>41</v>
      </c>
      <c r="D134">
        <f t="shared" ca="1" si="80"/>
        <v>0.27634824117162826</v>
      </c>
      <c r="F134" s="1">
        <f t="shared" ca="1" si="81"/>
        <v>5</v>
      </c>
      <c r="G134" s="1">
        <f t="shared" ca="1" si="82"/>
        <v>18</v>
      </c>
      <c r="H134" s="1">
        <f t="shared" ca="1" si="83"/>
        <v>11</v>
      </c>
      <c r="I134" s="1"/>
      <c r="J134" s="1">
        <f t="shared" ca="1" si="84"/>
        <v>30</v>
      </c>
      <c r="K134" s="1">
        <f t="shared" ca="1" si="85"/>
        <v>1.5672806600154345</v>
      </c>
      <c r="L134" s="1">
        <f t="shared" ca="1" si="86"/>
        <v>21</v>
      </c>
      <c r="M134" s="1"/>
      <c r="N134" s="1">
        <f t="shared" ca="1" si="87"/>
        <v>577</v>
      </c>
      <c r="O134" s="1">
        <f t="shared" ca="1" si="88"/>
        <v>34</v>
      </c>
      <c r="P134" s="1"/>
      <c r="Q134" s="1">
        <f t="shared" ca="1" si="89"/>
        <v>1.0409085601450008</v>
      </c>
      <c r="R134" s="1">
        <f t="shared" ca="1" si="90"/>
        <v>1111</v>
      </c>
      <c r="S134" s="1"/>
      <c r="T134" s="1">
        <f t="shared" ca="1" si="91"/>
        <v>0.19498643252769904</v>
      </c>
      <c r="U134" s="1">
        <f t="shared" ca="1" si="92"/>
        <v>343</v>
      </c>
      <c r="V134" s="1">
        <f t="shared" ca="1" si="93"/>
        <v>36</v>
      </c>
      <c r="W134" s="1"/>
      <c r="X134" s="1">
        <f t="shared" ca="1" si="94"/>
        <v>6.1525755594825347</v>
      </c>
      <c r="Y134" s="1">
        <f t="shared" ca="1" si="95"/>
        <v>0.71927559077435277</v>
      </c>
      <c r="Z134" s="1">
        <f t="shared" ca="1" si="96"/>
        <v>1675</v>
      </c>
      <c r="AB134" s="1">
        <f t="shared" ca="1" si="97"/>
        <v>0.73432614529905038</v>
      </c>
      <c r="AC134" s="1">
        <f t="shared" ca="1" si="98"/>
        <v>845</v>
      </c>
      <c r="AD134" s="1">
        <f t="shared" ca="1" si="99"/>
        <v>6.4183379670234878E-3</v>
      </c>
      <c r="AE134" s="1"/>
      <c r="AF134" s="1">
        <f t="shared" ca="1" si="100"/>
        <v>0.3768672776430434</v>
      </c>
      <c r="AG134" s="1">
        <f t="shared" ca="1" si="101"/>
        <v>240</v>
      </c>
      <c r="AH134" s="1">
        <f t="shared" ca="1" si="102"/>
        <v>4.1529675285620923E-4</v>
      </c>
      <c r="AJ134" s="1">
        <f t="shared" ca="1" si="103"/>
        <v>0.34252950659534542</v>
      </c>
      <c r="AK134" s="1">
        <f t="shared" ca="1" si="104"/>
        <v>4.2182459745777673E-3</v>
      </c>
      <c r="AL134" s="1"/>
      <c r="AM134" s="1">
        <f t="shared" ca="1" si="105"/>
        <v>0.16848997994476866</v>
      </c>
      <c r="AN134" s="1">
        <f t="shared" ca="1" si="106"/>
        <v>10</v>
      </c>
      <c r="AO134" s="1">
        <f t="shared" ca="1" si="107"/>
        <v>4</v>
      </c>
      <c r="AQ134" s="1">
        <f t="shared" ca="1" si="108"/>
        <v>107</v>
      </c>
      <c r="AR134" s="1">
        <f t="shared" ca="1" si="109"/>
        <v>9</v>
      </c>
      <c r="AS134" s="1">
        <f t="shared" ca="1" si="110"/>
        <v>75</v>
      </c>
      <c r="AU134" s="1">
        <f t="shared" ca="1" si="111"/>
        <v>372</v>
      </c>
      <c r="AV134" s="1">
        <f t="shared" ca="1" si="112"/>
        <v>9</v>
      </c>
      <c r="AW134" s="1">
        <f t="shared" ca="1" si="113"/>
        <v>0.13843912709908382</v>
      </c>
      <c r="AY134" s="1">
        <f t="shared" ca="1" si="114"/>
        <v>1.4147027955737683</v>
      </c>
      <c r="AZ134" s="1">
        <f t="shared" ca="1" si="115"/>
        <v>462</v>
      </c>
      <c r="BA134" s="1">
        <f t="shared" ca="1" si="116"/>
        <v>2.7533332219942387E-3</v>
      </c>
    </row>
    <row r="135" spans="2:53" x14ac:dyDescent="0.25">
      <c r="B135">
        <f t="shared" ca="1" si="78"/>
        <v>311</v>
      </c>
      <c r="C135">
        <f t="shared" ca="1" si="79"/>
        <v>50</v>
      </c>
      <c r="D135">
        <f t="shared" ca="1" si="80"/>
        <v>0.21670529439645558</v>
      </c>
      <c r="F135" s="1">
        <f t="shared" ca="1" si="81"/>
        <v>31</v>
      </c>
      <c r="G135" s="1">
        <f t="shared" ca="1" si="82"/>
        <v>6</v>
      </c>
      <c r="H135" s="1">
        <f t="shared" ca="1" si="83"/>
        <v>7</v>
      </c>
      <c r="I135" s="1"/>
      <c r="J135" s="1">
        <f t="shared" ca="1" si="84"/>
        <v>32</v>
      </c>
      <c r="K135" s="1">
        <f t="shared" ca="1" si="85"/>
        <v>1.0949388042365777</v>
      </c>
      <c r="L135" s="1">
        <f t="shared" ca="1" si="86"/>
        <v>29</v>
      </c>
      <c r="M135" s="1"/>
      <c r="N135" s="1">
        <f t="shared" ca="1" si="87"/>
        <v>147</v>
      </c>
      <c r="O135" s="1">
        <f t="shared" ca="1" si="88"/>
        <v>26</v>
      </c>
      <c r="P135" s="1"/>
      <c r="Q135" s="1">
        <f t="shared" ca="1" si="89"/>
        <v>2.1850032839173639</v>
      </c>
      <c r="R135" s="1">
        <f t="shared" ca="1" si="90"/>
        <v>931</v>
      </c>
      <c r="S135" s="1"/>
      <c r="T135" s="1">
        <f t="shared" ca="1" si="91"/>
        <v>0.16323919562930558</v>
      </c>
      <c r="U135" s="1">
        <f t="shared" ca="1" si="92"/>
        <v>250</v>
      </c>
      <c r="V135" s="1">
        <f t="shared" ca="1" si="93"/>
        <v>25</v>
      </c>
      <c r="W135" s="1"/>
      <c r="X135" s="1">
        <f t="shared" ca="1" si="94"/>
        <v>0.56904114032069031</v>
      </c>
      <c r="Y135" s="1">
        <f t="shared" ca="1" si="95"/>
        <v>0.86751867785727577</v>
      </c>
      <c r="Z135" s="1">
        <f t="shared" ca="1" si="96"/>
        <v>1176</v>
      </c>
      <c r="AB135" s="1">
        <f t="shared" ca="1" si="97"/>
        <v>0.84316933672923822</v>
      </c>
      <c r="AC135" s="1">
        <f t="shared" ca="1" si="98"/>
        <v>738</v>
      </c>
      <c r="AD135" s="1">
        <f t="shared" ca="1" si="99"/>
        <v>8.8321037809506418E-3</v>
      </c>
      <c r="AE135" s="1"/>
      <c r="AF135" s="1">
        <f t="shared" ca="1" si="100"/>
        <v>0.85554244343624875</v>
      </c>
      <c r="AG135" s="1">
        <f t="shared" ca="1" si="101"/>
        <v>192</v>
      </c>
      <c r="AH135" s="1">
        <f t="shared" ca="1" si="102"/>
        <v>1.4099378072651861E-3</v>
      </c>
      <c r="AJ135" s="1">
        <f t="shared" ca="1" si="103"/>
        <v>0.43416775419995823</v>
      </c>
      <c r="AK135" s="1">
        <f t="shared" ca="1" si="104"/>
        <v>9.8503017833458106E-3</v>
      </c>
      <c r="AL135" s="1"/>
      <c r="AM135" s="1">
        <f t="shared" ca="1" si="105"/>
        <v>0.1800579767074339</v>
      </c>
      <c r="AN135" s="1">
        <f t="shared" ca="1" si="106"/>
        <v>74</v>
      </c>
      <c r="AO135" s="1">
        <f t="shared" ca="1" si="107"/>
        <v>12</v>
      </c>
      <c r="AQ135" s="1">
        <f t="shared" ca="1" si="108"/>
        <v>98</v>
      </c>
      <c r="AR135" s="1">
        <f t="shared" ca="1" si="109"/>
        <v>6</v>
      </c>
      <c r="AS135" s="1">
        <f t="shared" ca="1" si="110"/>
        <v>10</v>
      </c>
      <c r="AU135" s="1">
        <f t="shared" ca="1" si="111"/>
        <v>398</v>
      </c>
      <c r="AV135" s="1">
        <f t="shared" ca="1" si="112"/>
        <v>9</v>
      </c>
      <c r="AW135" s="1">
        <f t="shared" ca="1" si="113"/>
        <v>3.7868523225908404E-2</v>
      </c>
      <c r="AY135" s="1">
        <f t="shared" ca="1" si="114"/>
        <v>1.3778359937893965</v>
      </c>
      <c r="AZ135" s="1">
        <f t="shared" ca="1" si="115"/>
        <v>272</v>
      </c>
      <c r="BA135" s="1">
        <f t="shared" ca="1" si="116"/>
        <v>1.12467198082562E-3</v>
      </c>
    </row>
    <row r="136" spans="2:53" x14ac:dyDescent="0.25">
      <c r="B136">
        <f t="shared" ca="1" si="78"/>
        <v>321</v>
      </c>
      <c r="C136">
        <f t="shared" ca="1" si="79"/>
        <v>25</v>
      </c>
      <c r="D136">
        <f t="shared" ca="1" si="80"/>
        <v>0.20461265833338885</v>
      </c>
      <c r="F136" s="1">
        <f t="shared" ca="1" si="81"/>
        <v>40</v>
      </c>
      <c r="G136" s="1">
        <f t="shared" ca="1" si="82"/>
        <v>28</v>
      </c>
      <c r="H136" s="1">
        <f t="shared" ca="1" si="83"/>
        <v>13</v>
      </c>
      <c r="I136" s="1"/>
      <c r="J136" s="1">
        <f t="shared" ca="1" si="84"/>
        <v>7</v>
      </c>
      <c r="K136" s="1">
        <f t="shared" ca="1" si="85"/>
        <v>2.1549062396719756</v>
      </c>
      <c r="L136" s="1">
        <f t="shared" ca="1" si="86"/>
        <v>5</v>
      </c>
      <c r="M136" s="1"/>
      <c r="N136" s="1">
        <f t="shared" ca="1" si="87"/>
        <v>62</v>
      </c>
      <c r="O136" s="1">
        <f t="shared" ca="1" si="88"/>
        <v>28</v>
      </c>
      <c r="P136" s="1"/>
      <c r="Q136" s="1">
        <f t="shared" ca="1" si="89"/>
        <v>1.5019653604437297</v>
      </c>
      <c r="R136" s="1">
        <f t="shared" ca="1" si="90"/>
        <v>320</v>
      </c>
      <c r="S136" s="1"/>
      <c r="T136" s="1">
        <f t="shared" ca="1" si="91"/>
        <v>0.12289531091873651</v>
      </c>
      <c r="U136" s="1">
        <f t="shared" ca="1" si="92"/>
        <v>55</v>
      </c>
      <c r="V136" s="1">
        <f t="shared" ca="1" si="93"/>
        <v>50</v>
      </c>
      <c r="W136" s="1"/>
      <c r="X136" s="1">
        <f t="shared" ca="1" si="94"/>
        <v>0.11579115413644019</v>
      </c>
      <c r="Y136" s="1">
        <f t="shared" ca="1" si="95"/>
        <v>0.6670254548881106</v>
      </c>
      <c r="Z136" s="1">
        <f t="shared" ca="1" si="96"/>
        <v>1394</v>
      </c>
      <c r="AB136" s="1">
        <f t="shared" ca="1" si="97"/>
        <v>0.43807949266828111</v>
      </c>
      <c r="AC136" s="1">
        <f t="shared" ca="1" si="98"/>
        <v>901</v>
      </c>
      <c r="AD136" s="1">
        <f t="shared" ca="1" si="99"/>
        <v>4.06860927585389E-3</v>
      </c>
      <c r="AE136" s="1"/>
      <c r="AF136" s="1">
        <f t="shared" ca="1" si="100"/>
        <v>0.31122964130508968</v>
      </c>
      <c r="AG136" s="1">
        <f t="shared" ca="1" si="101"/>
        <v>569</v>
      </c>
      <c r="AH136" s="1">
        <f t="shared" ca="1" si="102"/>
        <v>4.6364548273243669E-3</v>
      </c>
      <c r="AJ136" s="1">
        <f t="shared" ca="1" si="103"/>
        <v>0.5873273120398016</v>
      </c>
      <c r="AK136" s="1">
        <f t="shared" ca="1" si="104"/>
        <v>3.8648703449729172E-4</v>
      </c>
      <c r="AL136" s="1"/>
      <c r="AM136" s="1">
        <f t="shared" ca="1" si="105"/>
        <v>2.5724019812527109E-2</v>
      </c>
      <c r="AN136" s="1">
        <f t="shared" ca="1" si="106"/>
        <v>34</v>
      </c>
      <c r="AO136" s="1">
        <f t="shared" ca="1" si="107"/>
        <v>0</v>
      </c>
      <c r="AQ136" s="1">
        <f t="shared" ca="1" si="108"/>
        <v>24</v>
      </c>
      <c r="AR136" s="1">
        <f t="shared" ca="1" si="109"/>
        <v>0</v>
      </c>
      <c r="AS136" s="1">
        <f t="shared" ca="1" si="110"/>
        <v>41</v>
      </c>
      <c r="AU136" s="1">
        <f t="shared" ca="1" si="111"/>
        <v>388</v>
      </c>
      <c r="AV136" s="1">
        <f t="shared" ca="1" si="112"/>
        <v>5</v>
      </c>
      <c r="AW136" s="1">
        <f t="shared" ca="1" si="113"/>
        <v>7.2799158502543648E-2</v>
      </c>
      <c r="AY136" s="1">
        <f t="shared" ca="1" si="114"/>
        <v>1.6621222037949499</v>
      </c>
      <c r="AZ136" s="1">
        <f t="shared" ca="1" si="115"/>
        <v>56</v>
      </c>
      <c r="BA136" s="1">
        <f t="shared" ca="1" si="116"/>
        <v>7.3199420495924615E-3</v>
      </c>
    </row>
    <row r="137" spans="2:53" x14ac:dyDescent="0.25">
      <c r="B137">
        <f t="shared" ca="1" si="78"/>
        <v>651</v>
      </c>
      <c r="C137">
        <f t="shared" ca="1" si="79"/>
        <v>16</v>
      </c>
      <c r="D137">
        <f t="shared" ca="1" si="80"/>
        <v>9.6241776610539523E-2</v>
      </c>
      <c r="F137" s="1">
        <f t="shared" ca="1" si="81"/>
        <v>44</v>
      </c>
      <c r="G137" s="1">
        <f t="shared" ca="1" si="82"/>
        <v>16</v>
      </c>
      <c r="H137" s="1">
        <f t="shared" ca="1" si="83"/>
        <v>15</v>
      </c>
      <c r="I137" s="1"/>
      <c r="J137" s="1">
        <f t="shared" ca="1" si="84"/>
        <v>1</v>
      </c>
      <c r="K137" s="1">
        <f t="shared" ca="1" si="85"/>
        <v>2.5656653978943513</v>
      </c>
      <c r="L137" s="1">
        <f t="shared" ca="1" si="86"/>
        <v>32</v>
      </c>
      <c r="M137" s="1"/>
      <c r="N137" s="1">
        <f t="shared" ca="1" si="87"/>
        <v>277</v>
      </c>
      <c r="O137" s="1">
        <f t="shared" ca="1" si="88"/>
        <v>35</v>
      </c>
      <c r="P137" s="1"/>
      <c r="Q137" s="1">
        <f t="shared" ca="1" si="89"/>
        <v>0.95572960631682313</v>
      </c>
      <c r="R137" s="1">
        <f t="shared" ca="1" si="90"/>
        <v>1032</v>
      </c>
      <c r="S137" s="1"/>
      <c r="T137" s="1">
        <f t="shared" ca="1" si="91"/>
        <v>0.12279617867932099</v>
      </c>
      <c r="U137" s="1">
        <f t="shared" ca="1" si="92"/>
        <v>133</v>
      </c>
      <c r="V137" s="1">
        <f t="shared" ca="1" si="93"/>
        <v>23</v>
      </c>
      <c r="W137" s="1"/>
      <c r="X137" s="1">
        <f t="shared" ca="1" si="94"/>
        <v>0.54311421535794158</v>
      </c>
      <c r="Y137" s="1">
        <f t="shared" ca="1" si="95"/>
        <v>0.26795959555537591</v>
      </c>
      <c r="Z137" s="1">
        <f t="shared" ca="1" si="96"/>
        <v>612</v>
      </c>
      <c r="AB137" s="1">
        <f t="shared" ca="1" si="97"/>
        <v>0.5788582968364141</v>
      </c>
      <c r="AC137" s="1">
        <f t="shared" ca="1" si="98"/>
        <v>107</v>
      </c>
      <c r="AD137" s="1">
        <f t="shared" ca="1" si="99"/>
        <v>4.3677707417064116E-3</v>
      </c>
      <c r="AE137" s="1"/>
      <c r="AF137" s="1">
        <f t="shared" ca="1" si="100"/>
        <v>0.54779912410877685</v>
      </c>
      <c r="AG137" s="1">
        <f t="shared" ca="1" si="101"/>
        <v>335</v>
      </c>
      <c r="AH137" s="1">
        <f t="shared" ca="1" si="102"/>
        <v>6.5553253247904062E-3</v>
      </c>
      <c r="AJ137" s="1">
        <f t="shared" ca="1" si="103"/>
        <v>0.42328751928835617</v>
      </c>
      <c r="AK137" s="1">
        <f t="shared" ca="1" si="104"/>
        <v>5.7821725064647984E-3</v>
      </c>
      <c r="AL137" s="1"/>
      <c r="AM137" s="1">
        <f t="shared" ca="1" si="105"/>
        <v>8.5736362896676119E-2</v>
      </c>
      <c r="AN137" s="1">
        <f t="shared" ca="1" si="106"/>
        <v>48</v>
      </c>
      <c r="AO137" s="1">
        <f t="shared" ca="1" si="107"/>
        <v>7</v>
      </c>
      <c r="AQ137" s="1">
        <f t="shared" ca="1" si="108"/>
        <v>22</v>
      </c>
      <c r="AR137" s="1">
        <f t="shared" ca="1" si="109"/>
        <v>9</v>
      </c>
      <c r="AS137" s="1">
        <f t="shared" ca="1" si="110"/>
        <v>97</v>
      </c>
      <c r="AU137" s="1">
        <f t="shared" ca="1" si="111"/>
        <v>320</v>
      </c>
      <c r="AV137" s="1">
        <f t="shared" ca="1" si="112"/>
        <v>10</v>
      </c>
      <c r="AW137" s="1">
        <f t="shared" ca="1" si="113"/>
        <v>0.19204185585021227</v>
      </c>
      <c r="AY137" s="1">
        <f t="shared" ca="1" si="114"/>
        <v>1.8152323231792773</v>
      </c>
      <c r="AZ137" s="1">
        <f t="shared" ca="1" si="115"/>
        <v>431</v>
      </c>
      <c r="BA137" s="1">
        <f t="shared" ca="1" si="116"/>
        <v>7.9953873175257601E-5</v>
      </c>
    </row>
    <row r="138" spans="2:53" x14ac:dyDescent="0.25">
      <c r="B138">
        <f t="shared" ca="1" si="78"/>
        <v>627</v>
      </c>
      <c r="C138">
        <f t="shared" ca="1" si="79"/>
        <v>5</v>
      </c>
      <c r="D138">
        <f t="shared" ca="1" si="80"/>
        <v>0.2208780842070506</v>
      </c>
      <c r="F138" s="1">
        <f t="shared" ca="1" si="81"/>
        <v>6</v>
      </c>
      <c r="G138" s="1">
        <f t="shared" ca="1" si="82"/>
        <v>5</v>
      </c>
      <c r="H138" s="1">
        <f t="shared" ca="1" si="83"/>
        <v>5</v>
      </c>
      <c r="I138" s="1"/>
      <c r="J138" s="1">
        <f t="shared" ca="1" si="84"/>
        <v>8</v>
      </c>
      <c r="K138" s="1">
        <f t="shared" ca="1" si="85"/>
        <v>2.6102940050457311</v>
      </c>
      <c r="L138" s="1">
        <f t="shared" ca="1" si="86"/>
        <v>26</v>
      </c>
      <c r="M138" s="1"/>
      <c r="N138" s="1">
        <f t="shared" ca="1" si="87"/>
        <v>351</v>
      </c>
      <c r="O138" s="1">
        <f t="shared" ca="1" si="88"/>
        <v>28</v>
      </c>
      <c r="P138" s="1"/>
      <c r="Q138" s="1">
        <f t="shared" ca="1" si="89"/>
        <v>4.3243645090089524</v>
      </c>
      <c r="R138" s="1">
        <f t="shared" ca="1" si="90"/>
        <v>292</v>
      </c>
      <c r="S138" s="1"/>
      <c r="T138" s="1">
        <f t="shared" ca="1" si="91"/>
        <v>3.3331647259676904E-2</v>
      </c>
      <c r="U138" s="1">
        <f t="shared" ca="1" si="92"/>
        <v>409</v>
      </c>
      <c r="V138" s="1">
        <f t="shared" ca="1" si="93"/>
        <v>45</v>
      </c>
      <c r="W138" s="1"/>
      <c r="X138" s="1">
        <f t="shared" ca="1" si="94"/>
        <v>8.4470330976443435</v>
      </c>
      <c r="Y138" s="1">
        <f t="shared" ca="1" si="95"/>
        <v>0.4227727746260706</v>
      </c>
      <c r="Z138" s="1">
        <f t="shared" ca="1" si="96"/>
        <v>1138</v>
      </c>
      <c r="AB138" s="1">
        <f t="shared" ca="1" si="97"/>
        <v>0.67561380089606071</v>
      </c>
      <c r="AC138" s="1">
        <f t="shared" ca="1" si="98"/>
        <v>332</v>
      </c>
      <c r="AD138" s="1">
        <f t="shared" ca="1" si="99"/>
        <v>9.2496961612563867E-3</v>
      </c>
      <c r="AE138" s="1"/>
      <c r="AF138" s="1">
        <f t="shared" ca="1" si="100"/>
        <v>0.12055418513364541</v>
      </c>
      <c r="AG138" s="1">
        <f t="shared" ca="1" si="101"/>
        <v>250</v>
      </c>
      <c r="AH138" s="1">
        <f t="shared" ca="1" si="102"/>
        <v>4.9786337680827724E-3</v>
      </c>
      <c r="AJ138" s="1">
        <f t="shared" ca="1" si="103"/>
        <v>2.032324796603302E-2</v>
      </c>
      <c r="AK138" s="1">
        <f t="shared" ca="1" si="104"/>
        <v>2.6699432446810218E-4</v>
      </c>
      <c r="AL138" s="1"/>
      <c r="AM138" s="1">
        <f t="shared" ca="1" si="105"/>
        <v>0.16773810310353326</v>
      </c>
      <c r="AN138" s="1">
        <f t="shared" ca="1" si="106"/>
        <v>13</v>
      </c>
      <c r="AO138" s="1">
        <f t="shared" ca="1" si="107"/>
        <v>-1</v>
      </c>
      <c r="AQ138" s="1">
        <f t="shared" ca="1" si="108"/>
        <v>181</v>
      </c>
      <c r="AR138" s="1">
        <f t="shared" ca="1" si="109"/>
        <v>3</v>
      </c>
      <c r="AS138" s="1">
        <f t="shared" ca="1" si="110"/>
        <v>31</v>
      </c>
      <c r="AU138" s="1">
        <f t="shared" ca="1" si="111"/>
        <v>253</v>
      </c>
      <c r="AV138" s="1">
        <f t="shared" ca="1" si="112"/>
        <v>7</v>
      </c>
      <c r="AW138" s="1">
        <f t="shared" ca="1" si="113"/>
        <v>0.19541286485028839</v>
      </c>
      <c r="AY138" s="1">
        <f t="shared" ca="1" si="114"/>
        <v>1.4721048405005475</v>
      </c>
      <c r="AZ138" s="1">
        <f t="shared" ca="1" si="115"/>
        <v>462</v>
      </c>
      <c r="BA138" s="1">
        <f t="shared" ca="1" si="116"/>
        <v>9.7398941774017745E-3</v>
      </c>
    </row>
    <row r="139" spans="2:53" x14ac:dyDescent="0.25">
      <c r="B139">
        <f t="shared" ca="1" si="78"/>
        <v>351</v>
      </c>
      <c r="C139">
        <f t="shared" ca="1" si="79"/>
        <v>32</v>
      </c>
      <c r="D139">
        <f t="shared" ca="1" si="80"/>
        <v>0.27306791033343653</v>
      </c>
      <c r="F139" s="1">
        <f t="shared" ca="1" si="81"/>
        <v>28</v>
      </c>
      <c r="G139" s="1">
        <f t="shared" ca="1" si="82"/>
        <v>11</v>
      </c>
      <c r="H139" s="1">
        <f t="shared" ca="1" si="83"/>
        <v>11</v>
      </c>
      <c r="I139" s="1"/>
      <c r="J139" s="1">
        <f t="shared" ca="1" si="84"/>
        <v>34</v>
      </c>
      <c r="K139" s="1">
        <f t="shared" ca="1" si="85"/>
        <v>1.6225722148540753</v>
      </c>
      <c r="L139" s="1">
        <f t="shared" ca="1" si="86"/>
        <v>12</v>
      </c>
      <c r="M139" s="1"/>
      <c r="N139" s="1">
        <f t="shared" ca="1" si="87"/>
        <v>364</v>
      </c>
      <c r="O139" s="1">
        <f t="shared" ca="1" si="88"/>
        <v>13</v>
      </c>
      <c r="P139" s="1"/>
      <c r="Q139" s="1">
        <f t="shared" ca="1" si="89"/>
        <v>3.8187343686005568</v>
      </c>
      <c r="R139" s="1">
        <f t="shared" ca="1" si="90"/>
        <v>1116</v>
      </c>
      <c r="S139" s="1"/>
      <c r="T139" s="1">
        <f t="shared" ca="1" si="91"/>
        <v>0.1175124599513819</v>
      </c>
      <c r="U139" s="1">
        <f t="shared" ca="1" si="92"/>
        <v>233</v>
      </c>
      <c r="V139" s="1">
        <f t="shared" ca="1" si="93"/>
        <v>43</v>
      </c>
      <c r="W139" s="1"/>
      <c r="X139" s="1">
        <f t="shared" ca="1" si="94"/>
        <v>4.833378163071167</v>
      </c>
      <c r="Y139" s="1">
        <f t="shared" ca="1" si="95"/>
        <v>0.83586003785079721</v>
      </c>
      <c r="Z139" s="1">
        <f t="shared" ca="1" si="96"/>
        <v>1844</v>
      </c>
      <c r="AB139" s="1">
        <f t="shared" ca="1" si="97"/>
        <v>0.94192970525418995</v>
      </c>
      <c r="AC139" s="1">
        <f t="shared" ca="1" si="98"/>
        <v>324</v>
      </c>
      <c r="AD139" s="1">
        <f t="shared" ca="1" si="99"/>
        <v>8.4785479476595302E-3</v>
      </c>
      <c r="AE139" s="1"/>
      <c r="AF139" s="1">
        <f t="shared" ca="1" si="100"/>
        <v>0.43194060553355584</v>
      </c>
      <c r="AG139" s="1">
        <f t="shared" ca="1" si="101"/>
        <v>777</v>
      </c>
      <c r="AH139" s="1">
        <f t="shared" ca="1" si="102"/>
        <v>2.4705141869530633E-3</v>
      </c>
      <c r="AJ139" s="1">
        <f t="shared" ca="1" si="103"/>
        <v>0.75410804593855629</v>
      </c>
      <c r="AK139" s="1">
        <f t="shared" ca="1" si="104"/>
        <v>1.8520335087460135E-3</v>
      </c>
      <c r="AL139" s="1"/>
      <c r="AM139" s="1">
        <f t="shared" ca="1" si="105"/>
        <v>0.12912675721323402</v>
      </c>
      <c r="AN139" s="1">
        <f t="shared" ca="1" si="106"/>
        <v>70</v>
      </c>
      <c r="AO139" s="1">
        <f t="shared" ca="1" si="107"/>
        <v>14</v>
      </c>
      <c r="AQ139" s="1">
        <f t="shared" ca="1" si="108"/>
        <v>160</v>
      </c>
      <c r="AR139" s="1">
        <f t="shared" ca="1" si="109"/>
        <v>6</v>
      </c>
      <c r="AS139" s="1">
        <f t="shared" ca="1" si="110"/>
        <v>62</v>
      </c>
      <c r="AU139" s="1">
        <f t="shared" ca="1" si="111"/>
        <v>392</v>
      </c>
      <c r="AV139" s="1">
        <f t="shared" ca="1" si="112"/>
        <v>7</v>
      </c>
      <c r="AW139" s="1">
        <f t="shared" ca="1" si="113"/>
        <v>0.19140435994883551</v>
      </c>
      <c r="AY139" s="1">
        <f t="shared" ca="1" si="114"/>
        <v>1.7460140971291325</v>
      </c>
      <c r="AZ139" s="1">
        <f t="shared" ca="1" si="115"/>
        <v>288</v>
      </c>
      <c r="BA139" s="1">
        <f t="shared" ca="1" si="116"/>
        <v>3.5113612750924035E-3</v>
      </c>
    </row>
    <row r="140" spans="2:53" x14ac:dyDescent="0.25">
      <c r="B140">
        <f t="shared" ca="1" si="78"/>
        <v>901</v>
      </c>
      <c r="C140">
        <f t="shared" ca="1" si="79"/>
        <v>12</v>
      </c>
      <c r="D140">
        <f t="shared" ca="1" si="80"/>
        <v>0.29684044106604912</v>
      </c>
      <c r="F140" s="1">
        <f t="shared" ca="1" si="81"/>
        <v>27</v>
      </c>
      <c r="G140" s="1">
        <f t="shared" ca="1" si="82"/>
        <v>28</v>
      </c>
      <c r="H140" s="1">
        <f t="shared" ca="1" si="83"/>
        <v>6</v>
      </c>
      <c r="I140" s="1"/>
      <c r="J140" s="1">
        <f t="shared" ca="1" si="84"/>
        <v>23</v>
      </c>
      <c r="K140" s="1">
        <f t="shared" ca="1" si="85"/>
        <v>1.8932361746288491</v>
      </c>
      <c r="L140" s="1">
        <f t="shared" ca="1" si="86"/>
        <v>12</v>
      </c>
      <c r="M140" s="1"/>
      <c r="N140" s="1">
        <f t="shared" ca="1" si="87"/>
        <v>577</v>
      </c>
      <c r="O140" s="1">
        <f t="shared" ca="1" si="88"/>
        <v>23</v>
      </c>
      <c r="P140" s="1"/>
      <c r="Q140" s="1">
        <f t="shared" ca="1" si="89"/>
        <v>1.0496416261754256</v>
      </c>
      <c r="R140" s="1">
        <f t="shared" ca="1" si="90"/>
        <v>441</v>
      </c>
      <c r="S140" s="1"/>
      <c r="T140" s="1">
        <f t="shared" ca="1" si="91"/>
        <v>0.16426384941568556</v>
      </c>
      <c r="U140" s="1">
        <f t="shared" ca="1" si="92"/>
        <v>129</v>
      </c>
      <c r="V140" s="1">
        <f t="shared" ca="1" si="93"/>
        <v>32</v>
      </c>
      <c r="W140" s="1"/>
      <c r="X140" s="1">
        <f t="shared" ca="1" si="94"/>
        <v>5.4363882832301114</v>
      </c>
      <c r="Y140" s="1">
        <f t="shared" ca="1" si="95"/>
        <v>0.7170646945818866</v>
      </c>
      <c r="Z140" s="1">
        <f t="shared" ca="1" si="96"/>
        <v>323</v>
      </c>
      <c r="AB140" s="1">
        <f t="shared" ca="1" si="97"/>
        <v>0.16582786841188399</v>
      </c>
      <c r="AC140" s="1">
        <f t="shared" ca="1" si="98"/>
        <v>1000</v>
      </c>
      <c r="AD140" s="1">
        <f t="shared" ca="1" si="99"/>
        <v>3.3599251612004563E-3</v>
      </c>
      <c r="AE140" s="1"/>
      <c r="AF140" s="1">
        <f t="shared" ca="1" si="100"/>
        <v>0.16243075693802594</v>
      </c>
      <c r="AG140" s="1">
        <f t="shared" ca="1" si="101"/>
        <v>416</v>
      </c>
      <c r="AH140" s="1">
        <f t="shared" ca="1" si="102"/>
        <v>2.0596073309233922E-3</v>
      </c>
      <c r="AJ140" s="1">
        <f t="shared" ca="1" si="103"/>
        <v>0.17584710461308617</v>
      </c>
      <c r="AK140" s="1">
        <f t="shared" ca="1" si="104"/>
        <v>6.2616189078054663E-4</v>
      </c>
      <c r="AL140" s="1"/>
      <c r="AM140" s="1">
        <f t="shared" ca="1" si="105"/>
        <v>3.8724215825334612E-2</v>
      </c>
      <c r="AN140" s="1">
        <f t="shared" ca="1" si="106"/>
        <v>56</v>
      </c>
      <c r="AO140" s="1">
        <f t="shared" ca="1" si="107"/>
        <v>7</v>
      </c>
      <c r="AQ140" s="1">
        <f t="shared" ca="1" si="108"/>
        <v>172</v>
      </c>
      <c r="AR140" s="1">
        <f t="shared" ca="1" si="109"/>
        <v>3</v>
      </c>
      <c r="AS140" s="1">
        <f t="shared" ca="1" si="110"/>
        <v>25</v>
      </c>
      <c r="AU140" s="1">
        <f t="shared" ca="1" si="111"/>
        <v>101</v>
      </c>
      <c r="AV140" s="1">
        <f t="shared" ca="1" si="112"/>
        <v>3</v>
      </c>
      <c r="AW140" s="1">
        <f t="shared" ca="1" si="113"/>
        <v>3.0571438807945162E-2</v>
      </c>
      <c r="AY140" s="1">
        <f t="shared" ca="1" si="114"/>
        <v>1.123580815497047</v>
      </c>
      <c r="AZ140" s="1">
        <f t="shared" ca="1" si="115"/>
        <v>215</v>
      </c>
      <c r="BA140" s="1">
        <f t="shared" ca="1" si="116"/>
        <v>7.7688027135194015E-3</v>
      </c>
    </row>
    <row r="141" spans="2:53" x14ac:dyDescent="0.25">
      <c r="B141">
        <f t="shared" ca="1" si="78"/>
        <v>558</v>
      </c>
      <c r="C141">
        <f t="shared" ca="1" si="79"/>
        <v>26</v>
      </c>
      <c r="D141">
        <f t="shared" ca="1" si="80"/>
        <v>9.8376444915519876E-2</v>
      </c>
      <c r="F141" s="1">
        <f t="shared" ca="1" si="81"/>
        <v>3</v>
      </c>
      <c r="G141" s="1">
        <f t="shared" ca="1" si="82"/>
        <v>24</v>
      </c>
      <c r="H141" s="1">
        <f t="shared" ca="1" si="83"/>
        <v>10</v>
      </c>
      <c r="I141" s="1"/>
      <c r="J141" s="1">
        <f t="shared" ca="1" si="84"/>
        <v>21</v>
      </c>
      <c r="K141" s="1">
        <f t="shared" ca="1" si="85"/>
        <v>2.6805145656948208</v>
      </c>
      <c r="L141" s="1">
        <f t="shared" ca="1" si="86"/>
        <v>34</v>
      </c>
      <c r="M141" s="1"/>
      <c r="N141" s="1">
        <f t="shared" ca="1" si="87"/>
        <v>45</v>
      </c>
      <c r="O141" s="1">
        <f t="shared" ca="1" si="88"/>
        <v>12</v>
      </c>
      <c r="P141" s="1"/>
      <c r="Q141" s="1">
        <f t="shared" ca="1" si="89"/>
        <v>0.21728076902447352</v>
      </c>
      <c r="R141" s="1">
        <f t="shared" ca="1" si="90"/>
        <v>480</v>
      </c>
      <c r="S141" s="1"/>
      <c r="T141" s="1">
        <f t="shared" ca="1" si="91"/>
        <v>0.14715929670561556</v>
      </c>
      <c r="U141" s="1">
        <f t="shared" ca="1" si="92"/>
        <v>144</v>
      </c>
      <c r="V141" s="1">
        <f t="shared" ca="1" si="93"/>
        <v>17</v>
      </c>
      <c r="W141" s="1"/>
      <c r="X141" s="1">
        <f t="shared" ca="1" si="94"/>
        <v>6.5525295097873784</v>
      </c>
      <c r="Y141" s="1">
        <f t="shared" ca="1" si="95"/>
        <v>0.22235735190740272</v>
      </c>
      <c r="Z141" s="1">
        <f t="shared" ca="1" si="96"/>
        <v>797</v>
      </c>
      <c r="AB141" s="1">
        <f t="shared" ca="1" si="97"/>
        <v>0.83709680811749143</v>
      </c>
      <c r="AC141" s="1">
        <f t="shared" ca="1" si="98"/>
        <v>856</v>
      </c>
      <c r="AD141" s="1">
        <f t="shared" ca="1" si="99"/>
        <v>5.6011089818848066E-3</v>
      </c>
      <c r="AE141" s="1"/>
      <c r="AF141" s="1">
        <f t="shared" ca="1" si="100"/>
        <v>0.8822722311076705</v>
      </c>
      <c r="AG141" s="1">
        <f t="shared" ca="1" si="101"/>
        <v>527</v>
      </c>
      <c r="AH141" s="1">
        <f t="shared" ca="1" si="102"/>
        <v>8.4184686947683784E-3</v>
      </c>
      <c r="AJ141" s="1">
        <f t="shared" ca="1" si="103"/>
        <v>0.51385489021261854</v>
      </c>
      <c r="AK141" s="1">
        <f t="shared" ca="1" si="104"/>
        <v>9.1060447482407408E-3</v>
      </c>
      <c r="AL141" s="1"/>
      <c r="AM141" s="1">
        <f t="shared" ca="1" si="105"/>
        <v>9.7863427402838696E-2</v>
      </c>
      <c r="AN141" s="1">
        <f t="shared" ca="1" si="106"/>
        <v>55</v>
      </c>
      <c r="AO141" s="1">
        <f t="shared" ca="1" si="107"/>
        <v>10</v>
      </c>
      <c r="AQ141" s="1">
        <f t="shared" ca="1" si="108"/>
        <v>30</v>
      </c>
      <c r="AR141" s="1">
        <f t="shared" ca="1" si="109"/>
        <v>1</v>
      </c>
      <c r="AS141" s="1">
        <f t="shared" ca="1" si="110"/>
        <v>70</v>
      </c>
      <c r="AU141" s="1">
        <f t="shared" ca="1" si="111"/>
        <v>208</v>
      </c>
      <c r="AV141" s="1">
        <f t="shared" ca="1" si="112"/>
        <v>4</v>
      </c>
      <c r="AW141" s="1">
        <f t="shared" ca="1" si="113"/>
        <v>0.18278811403316689</v>
      </c>
      <c r="AY141" s="1">
        <f t="shared" ca="1" si="114"/>
        <v>1.6517996298818685</v>
      </c>
      <c r="AZ141" s="1">
        <f t="shared" ca="1" si="115"/>
        <v>255</v>
      </c>
      <c r="BA141" s="1">
        <f t="shared" ca="1" si="116"/>
        <v>3.679816785115093E-3</v>
      </c>
    </row>
    <row r="142" spans="2:53" x14ac:dyDescent="0.25">
      <c r="B142">
        <f t="shared" ca="1" si="78"/>
        <v>825</v>
      </c>
      <c r="C142">
        <f t="shared" ca="1" si="79"/>
        <v>8</v>
      </c>
      <c r="D142">
        <f t="shared" ca="1" si="80"/>
        <v>0.10687988142777699</v>
      </c>
      <c r="F142" s="1">
        <f t="shared" ca="1" si="81"/>
        <v>36</v>
      </c>
      <c r="G142" s="1">
        <f t="shared" ca="1" si="82"/>
        <v>18</v>
      </c>
      <c r="H142" s="1">
        <f t="shared" ca="1" si="83"/>
        <v>14</v>
      </c>
      <c r="I142" s="1"/>
      <c r="J142" s="1">
        <f t="shared" ca="1" si="84"/>
        <v>7</v>
      </c>
      <c r="K142" s="1">
        <f t="shared" ca="1" si="85"/>
        <v>1.3132634999732111</v>
      </c>
      <c r="L142" s="1">
        <f t="shared" ca="1" si="86"/>
        <v>23</v>
      </c>
      <c r="M142" s="1"/>
      <c r="N142" s="1">
        <f t="shared" ca="1" si="87"/>
        <v>593</v>
      </c>
      <c r="O142" s="1">
        <f t="shared" ca="1" si="88"/>
        <v>27</v>
      </c>
      <c r="P142" s="1"/>
      <c r="Q142" s="1">
        <f t="shared" ca="1" si="89"/>
        <v>4.3194577133860426</v>
      </c>
      <c r="R142" s="1">
        <f t="shared" ca="1" si="90"/>
        <v>837</v>
      </c>
      <c r="S142" s="1"/>
      <c r="T142" s="1">
        <f t="shared" ca="1" si="91"/>
        <v>7.4264885097368588E-2</v>
      </c>
      <c r="U142" s="1">
        <f t="shared" ca="1" si="92"/>
        <v>81</v>
      </c>
      <c r="V142" s="1">
        <f t="shared" ca="1" si="93"/>
        <v>49</v>
      </c>
      <c r="W142" s="1"/>
      <c r="X142" s="1">
        <f t="shared" ca="1" si="94"/>
        <v>1.537184766516694</v>
      </c>
      <c r="Y142" s="1">
        <f t="shared" ca="1" si="95"/>
        <v>0.67437302904201035</v>
      </c>
      <c r="Z142" s="1">
        <f t="shared" ca="1" si="96"/>
        <v>1031</v>
      </c>
      <c r="AB142" s="1">
        <f t="shared" ca="1" si="97"/>
        <v>0.20767521038023168</v>
      </c>
      <c r="AC142" s="1">
        <f t="shared" ca="1" si="98"/>
        <v>488</v>
      </c>
      <c r="AD142" s="1">
        <f t="shared" ca="1" si="99"/>
        <v>6.414175443613339E-3</v>
      </c>
      <c r="AE142" s="1"/>
      <c r="AF142" s="1">
        <f t="shared" ca="1" si="100"/>
        <v>0.59876227511166957</v>
      </c>
      <c r="AG142" s="1">
        <f t="shared" ca="1" si="101"/>
        <v>891</v>
      </c>
      <c r="AH142" s="1">
        <f t="shared" ca="1" si="102"/>
        <v>5.1333172660906782E-3</v>
      </c>
      <c r="AJ142" s="1">
        <f t="shared" ca="1" si="103"/>
        <v>0.10646273943449136</v>
      </c>
      <c r="AK142" s="1">
        <f t="shared" ca="1" si="104"/>
        <v>9.5895893634274539E-3</v>
      </c>
      <c r="AL142" s="1"/>
      <c r="AM142" s="1">
        <f t="shared" ca="1" si="105"/>
        <v>9.0900472115234221E-2</v>
      </c>
      <c r="AN142" s="1">
        <f t="shared" ca="1" si="106"/>
        <v>23</v>
      </c>
      <c r="AO142" s="1">
        <f t="shared" ca="1" si="107"/>
        <v>8</v>
      </c>
      <c r="AQ142" s="1">
        <f t="shared" ca="1" si="108"/>
        <v>73</v>
      </c>
      <c r="AR142" s="1">
        <f t="shared" ca="1" si="109"/>
        <v>10</v>
      </c>
      <c r="AS142" s="1">
        <f t="shared" ca="1" si="110"/>
        <v>82</v>
      </c>
      <c r="AU142" s="1">
        <f t="shared" ca="1" si="111"/>
        <v>123</v>
      </c>
      <c r="AV142" s="1">
        <f t="shared" ca="1" si="112"/>
        <v>3</v>
      </c>
      <c r="AW142" s="1">
        <f t="shared" ca="1" si="113"/>
        <v>4.8076966755149247E-2</v>
      </c>
      <c r="AY142" s="1">
        <f t="shared" ca="1" si="114"/>
        <v>1.66147560809243</v>
      </c>
      <c r="AZ142" s="1">
        <f t="shared" ca="1" si="115"/>
        <v>438</v>
      </c>
      <c r="BA142" s="1">
        <f t="shared" ca="1" si="116"/>
        <v>8.4476620778218634E-3</v>
      </c>
    </row>
    <row r="143" spans="2:53" x14ac:dyDescent="0.25">
      <c r="B143">
        <f t="shared" ca="1" si="78"/>
        <v>395</v>
      </c>
      <c r="C143">
        <f t="shared" ca="1" si="79"/>
        <v>35</v>
      </c>
      <c r="D143">
        <f t="shared" ca="1" si="80"/>
        <v>0.28244390266106956</v>
      </c>
      <c r="F143" s="1">
        <f t="shared" ca="1" si="81"/>
        <v>30</v>
      </c>
      <c r="G143" s="1">
        <f t="shared" ca="1" si="82"/>
        <v>13</v>
      </c>
      <c r="H143" s="1">
        <f t="shared" ca="1" si="83"/>
        <v>15</v>
      </c>
      <c r="I143" s="1"/>
      <c r="J143" s="1">
        <f t="shared" ca="1" si="84"/>
        <v>26</v>
      </c>
      <c r="K143" s="1">
        <f t="shared" ca="1" si="85"/>
        <v>1.9187342836519299</v>
      </c>
      <c r="L143" s="1">
        <f t="shared" ca="1" si="86"/>
        <v>21</v>
      </c>
      <c r="M143" s="1"/>
      <c r="N143" s="1">
        <f t="shared" ca="1" si="87"/>
        <v>414</v>
      </c>
      <c r="O143" s="1">
        <f t="shared" ca="1" si="88"/>
        <v>17</v>
      </c>
      <c r="P143" s="1"/>
      <c r="Q143" s="1">
        <f t="shared" ca="1" si="89"/>
        <v>4.929601354652644</v>
      </c>
      <c r="R143" s="1">
        <f t="shared" ca="1" si="90"/>
        <v>1120</v>
      </c>
      <c r="S143" s="1"/>
      <c r="T143" s="1">
        <f t="shared" ca="1" si="91"/>
        <v>4.7105441511959674E-2</v>
      </c>
      <c r="U143" s="1">
        <f t="shared" ca="1" si="92"/>
        <v>373</v>
      </c>
      <c r="V143" s="1">
        <f t="shared" ca="1" si="93"/>
        <v>33</v>
      </c>
      <c r="W143" s="1"/>
      <c r="X143" s="1">
        <f t="shared" ca="1" si="94"/>
        <v>0.23950708538211293</v>
      </c>
      <c r="Y143" s="1">
        <f t="shared" ca="1" si="95"/>
        <v>0.76459724928716455</v>
      </c>
      <c r="Z143" s="1">
        <f t="shared" ca="1" si="96"/>
        <v>727</v>
      </c>
      <c r="AB143" s="1">
        <f t="shared" ca="1" si="97"/>
        <v>0.70245559497360088</v>
      </c>
      <c r="AC143" s="1">
        <f t="shared" ca="1" si="98"/>
        <v>796</v>
      </c>
      <c r="AD143" s="1">
        <f t="shared" ca="1" si="99"/>
        <v>3.9476326703755289E-3</v>
      </c>
      <c r="AE143" s="1"/>
      <c r="AF143" s="1">
        <f t="shared" ca="1" si="100"/>
        <v>0.66245475356196315</v>
      </c>
      <c r="AG143" s="1">
        <f t="shared" ca="1" si="101"/>
        <v>672</v>
      </c>
      <c r="AH143" s="1">
        <f t="shared" ca="1" si="102"/>
        <v>1.8660187838671876E-3</v>
      </c>
      <c r="AJ143" s="1">
        <f t="shared" ca="1" si="103"/>
        <v>0.53966517391636171</v>
      </c>
      <c r="AK143" s="1">
        <f t="shared" ca="1" si="104"/>
        <v>5.8691246201742885E-3</v>
      </c>
      <c r="AL143" s="1"/>
      <c r="AM143" s="1">
        <f t="shared" ca="1" si="105"/>
        <v>7.2352531583077417E-2</v>
      </c>
      <c r="AN143" s="1">
        <f t="shared" ca="1" si="106"/>
        <v>40</v>
      </c>
      <c r="AO143" s="1">
        <f t="shared" ca="1" si="107"/>
        <v>19</v>
      </c>
      <c r="AQ143" s="1">
        <f t="shared" ca="1" si="108"/>
        <v>81</v>
      </c>
      <c r="AR143" s="1">
        <f t="shared" ca="1" si="109"/>
        <v>1</v>
      </c>
      <c r="AS143" s="1">
        <f t="shared" ca="1" si="110"/>
        <v>62</v>
      </c>
      <c r="AU143" s="1">
        <f t="shared" ca="1" si="111"/>
        <v>82</v>
      </c>
      <c r="AV143" s="1">
        <f t="shared" ca="1" si="112"/>
        <v>2</v>
      </c>
      <c r="AW143" s="1">
        <f t="shared" ca="1" si="113"/>
        <v>1.1387205668922129E-2</v>
      </c>
      <c r="AY143" s="1">
        <f t="shared" ca="1" si="114"/>
        <v>1.5335473527674266</v>
      </c>
      <c r="AZ143" s="1">
        <f t="shared" ca="1" si="115"/>
        <v>226</v>
      </c>
      <c r="BA143" s="1">
        <f t="shared" ca="1" si="116"/>
        <v>6.3271492776113976E-4</v>
      </c>
    </row>
    <row r="144" spans="2:53" x14ac:dyDescent="0.25">
      <c r="B144">
        <f t="shared" ca="1" si="78"/>
        <v>366</v>
      </c>
      <c r="C144">
        <f t="shared" ca="1" si="79"/>
        <v>43</v>
      </c>
      <c r="D144">
        <f t="shared" ca="1" si="80"/>
        <v>0.1670444172417295</v>
      </c>
      <c r="F144" s="1">
        <f t="shared" ca="1" si="81"/>
        <v>17</v>
      </c>
      <c r="G144" s="1">
        <f t="shared" ca="1" si="82"/>
        <v>10</v>
      </c>
      <c r="H144" s="1">
        <f t="shared" ca="1" si="83"/>
        <v>5</v>
      </c>
      <c r="I144" s="1"/>
      <c r="J144" s="1">
        <f t="shared" ca="1" si="84"/>
        <v>3</v>
      </c>
      <c r="K144" s="1">
        <f t="shared" ca="1" si="85"/>
        <v>2.2295889032156899</v>
      </c>
      <c r="L144" s="1">
        <f t="shared" ca="1" si="86"/>
        <v>23</v>
      </c>
      <c r="M144" s="1"/>
      <c r="N144" s="1">
        <f t="shared" ca="1" si="87"/>
        <v>222</v>
      </c>
      <c r="O144" s="1">
        <f t="shared" ca="1" si="88"/>
        <v>2</v>
      </c>
      <c r="P144" s="1"/>
      <c r="Q144" s="1">
        <f t="shared" ca="1" si="89"/>
        <v>2.0584865729382744</v>
      </c>
      <c r="R144" s="1">
        <f t="shared" ca="1" si="90"/>
        <v>513</v>
      </c>
      <c r="S144" s="1"/>
      <c r="T144" s="1">
        <f t="shared" ca="1" si="91"/>
        <v>0.13874610960730202</v>
      </c>
      <c r="U144" s="1">
        <f t="shared" ca="1" si="92"/>
        <v>198</v>
      </c>
      <c r="V144" s="1">
        <f t="shared" ca="1" si="93"/>
        <v>30</v>
      </c>
      <c r="W144" s="1"/>
      <c r="X144" s="1">
        <f t="shared" ca="1" si="94"/>
        <v>4.1598073547723011</v>
      </c>
      <c r="Y144" s="1">
        <f t="shared" ca="1" si="95"/>
        <v>0.40295576204094602</v>
      </c>
      <c r="Z144" s="1">
        <f t="shared" ca="1" si="96"/>
        <v>1189</v>
      </c>
      <c r="AB144" s="1">
        <f t="shared" ca="1" si="97"/>
        <v>0.98178109330850927</v>
      </c>
      <c r="AC144" s="1">
        <f t="shared" ca="1" si="98"/>
        <v>343</v>
      </c>
      <c r="AD144" s="1">
        <f t="shared" ca="1" si="99"/>
        <v>3.2850296649813045E-3</v>
      </c>
      <c r="AE144" s="1"/>
      <c r="AF144" s="1">
        <f t="shared" ca="1" si="100"/>
        <v>0.79898333878242089</v>
      </c>
      <c r="AG144" s="1">
        <f t="shared" ca="1" si="101"/>
        <v>166</v>
      </c>
      <c r="AH144" s="1">
        <f t="shared" ca="1" si="102"/>
        <v>7.194051279686026E-3</v>
      </c>
      <c r="AJ144" s="1">
        <f t="shared" ca="1" si="103"/>
        <v>0.26765770631785379</v>
      </c>
      <c r="AK144" s="1">
        <f t="shared" ca="1" si="104"/>
        <v>4.9569984085689025E-3</v>
      </c>
      <c r="AL144" s="1"/>
      <c r="AM144" s="1">
        <f t="shared" ca="1" si="105"/>
        <v>0.10514444179243632</v>
      </c>
      <c r="AN144" s="1">
        <f t="shared" ca="1" si="106"/>
        <v>32</v>
      </c>
      <c r="AO144" s="1">
        <f t="shared" ca="1" si="107"/>
        <v>12</v>
      </c>
      <c r="AQ144" s="1">
        <f t="shared" ca="1" si="108"/>
        <v>71</v>
      </c>
      <c r="AR144" s="1">
        <f t="shared" ca="1" si="109"/>
        <v>10</v>
      </c>
      <c r="AS144" s="1">
        <f t="shared" ca="1" si="110"/>
        <v>45</v>
      </c>
      <c r="AU144" s="1">
        <f t="shared" ca="1" si="111"/>
        <v>53</v>
      </c>
      <c r="AV144" s="1">
        <f t="shared" ca="1" si="112"/>
        <v>2</v>
      </c>
      <c r="AW144" s="1">
        <f t="shared" ca="1" si="113"/>
        <v>4.8838990261794647E-2</v>
      </c>
      <c r="AY144" s="1">
        <f t="shared" ca="1" si="114"/>
        <v>1.7661842693983172</v>
      </c>
      <c r="AZ144" s="1">
        <f t="shared" ca="1" si="115"/>
        <v>463</v>
      </c>
      <c r="BA144" s="1">
        <f t="shared" ca="1" si="116"/>
        <v>3.7647102133497776E-3</v>
      </c>
    </row>
    <row r="145" spans="2:53" x14ac:dyDescent="0.25">
      <c r="B145">
        <f t="shared" ca="1" si="78"/>
        <v>989</v>
      </c>
      <c r="C145">
        <f t="shared" ca="1" si="79"/>
        <v>17</v>
      </c>
      <c r="D145">
        <f t="shared" ca="1" si="80"/>
        <v>0.17179963922337263</v>
      </c>
      <c r="F145" s="1">
        <f t="shared" ca="1" si="81"/>
        <v>33</v>
      </c>
      <c r="G145" s="1">
        <f t="shared" ca="1" si="82"/>
        <v>29</v>
      </c>
      <c r="H145" s="1">
        <f t="shared" ca="1" si="83"/>
        <v>12</v>
      </c>
      <c r="I145" s="1"/>
      <c r="J145" s="1">
        <f t="shared" ca="1" si="84"/>
        <v>38</v>
      </c>
      <c r="K145" s="1">
        <f t="shared" ca="1" si="85"/>
        <v>1.3242662849419531</v>
      </c>
      <c r="L145" s="1">
        <f t="shared" ca="1" si="86"/>
        <v>17</v>
      </c>
      <c r="M145" s="1"/>
      <c r="N145" s="1">
        <f t="shared" ca="1" si="87"/>
        <v>482</v>
      </c>
      <c r="O145" s="1">
        <f t="shared" ca="1" si="88"/>
        <v>28</v>
      </c>
      <c r="P145" s="1"/>
      <c r="Q145" s="1">
        <f t="shared" ca="1" si="89"/>
        <v>1.741500476593496</v>
      </c>
      <c r="R145" s="1">
        <f t="shared" ca="1" si="90"/>
        <v>689</v>
      </c>
      <c r="S145" s="1"/>
      <c r="T145" s="1">
        <f t="shared" ca="1" si="91"/>
        <v>2.0269579818942972E-2</v>
      </c>
      <c r="U145" s="1">
        <f t="shared" ca="1" si="92"/>
        <v>93</v>
      </c>
      <c r="V145" s="1">
        <f t="shared" ca="1" si="93"/>
        <v>2</v>
      </c>
      <c r="W145" s="1"/>
      <c r="X145" s="1">
        <f t="shared" ca="1" si="94"/>
        <v>5.4776439018782881</v>
      </c>
      <c r="Y145" s="1">
        <f t="shared" ca="1" si="95"/>
        <v>0.36000006682264957</v>
      </c>
      <c r="Z145" s="1">
        <f t="shared" ca="1" si="96"/>
        <v>530</v>
      </c>
      <c r="AB145" s="1">
        <f t="shared" ca="1" si="97"/>
        <v>0.46855500305285092</v>
      </c>
      <c r="AC145" s="1">
        <f t="shared" ca="1" si="98"/>
        <v>354</v>
      </c>
      <c r="AD145" s="1">
        <f t="shared" ca="1" si="99"/>
        <v>4.5475671459266004E-3</v>
      </c>
      <c r="AE145" s="1"/>
      <c r="AF145" s="1">
        <f t="shared" ca="1" si="100"/>
        <v>0.77849859431282598</v>
      </c>
      <c r="AG145" s="1">
        <f t="shared" ca="1" si="101"/>
        <v>691</v>
      </c>
      <c r="AH145" s="1">
        <f t="shared" ca="1" si="102"/>
        <v>4.8160396165571693E-3</v>
      </c>
      <c r="AJ145" s="1">
        <f t="shared" ca="1" si="103"/>
        <v>0.41639840718832499</v>
      </c>
      <c r="AK145" s="1">
        <f t="shared" ca="1" si="104"/>
        <v>6.4830162118306705E-3</v>
      </c>
      <c r="AL145" s="1"/>
      <c r="AM145" s="1">
        <f t="shared" ca="1" si="105"/>
        <v>0.15978482595951007</v>
      </c>
      <c r="AN145" s="1">
        <f t="shared" ca="1" si="106"/>
        <v>47</v>
      </c>
      <c r="AO145" s="1">
        <f t="shared" ca="1" si="107"/>
        <v>4</v>
      </c>
      <c r="AQ145" s="1">
        <f t="shared" ca="1" si="108"/>
        <v>169</v>
      </c>
      <c r="AR145" s="1">
        <f t="shared" ca="1" si="109"/>
        <v>8</v>
      </c>
      <c r="AS145" s="1">
        <f t="shared" ca="1" si="110"/>
        <v>68</v>
      </c>
      <c r="AU145" s="1">
        <f t="shared" ca="1" si="111"/>
        <v>382</v>
      </c>
      <c r="AV145" s="1">
        <f t="shared" ca="1" si="112"/>
        <v>5</v>
      </c>
      <c r="AW145" s="1">
        <f t="shared" ca="1" si="113"/>
        <v>3.0172478211488642E-2</v>
      </c>
      <c r="AY145" s="1">
        <f t="shared" ca="1" si="114"/>
        <v>1.532789166763129</v>
      </c>
      <c r="AZ145" s="1">
        <f t="shared" ca="1" si="115"/>
        <v>264</v>
      </c>
      <c r="BA145" s="1">
        <f t="shared" ca="1" si="116"/>
        <v>9.6441361053794562E-3</v>
      </c>
    </row>
    <row r="146" spans="2:53" x14ac:dyDescent="0.25">
      <c r="B146">
        <f t="shared" ca="1" si="78"/>
        <v>475</v>
      </c>
      <c r="C146">
        <f t="shared" ca="1" si="79"/>
        <v>37</v>
      </c>
      <c r="D146">
        <f t="shared" ca="1" si="80"/>
        <v>0.21536364832475272</v>
      </c>
      <c r="F146" s="1">
        <f t="shared" ca="1" si="81"/>
        <v>47</v>
      </c>
      <c r="G146" s="1">
        <f t="shared" ca="1" si="82"/>
        <v>7</v>
      </c>
      <c r="H146" s="1">
        <f t="shared" ca="1" si="83"/>
        <v>4</v>
      </c>
      <c r="I146" s="1"/>
      <c r="J146" s="1">
        <f t="shared" ca="1" si="84"/>
        <v>4</v>
      </c>
      <c r="K146" s="1">
        <f t="shared" ca="1" si="85"/>
        <v>2.8660401185702034</v>
      </c>
      <c r="L146" s="1">
        <f t="shared" ca="1" si="86"/>
        <v>30</v>
      </c>
      <c r="M146" s="1"/>
      <c r="N146" s="1">
        <f t="shared" ca="1" si="87"/>
        <v>687</v>
      </c>
      <c r="O146" s="1">
        <f t="shared" ca="1" si="88"/>
        <v>14</v>
      </c>
      <c r="P146" s="1"/>
      <c r="Q146" s="1">
        <f t="shared" ca="1" si="89"/>
        <v>2.8088438876597612</v>
      </c>
      <c r="R146" s="1">
        <f t="shared" ca="1" si="90"/>
        <v>911</v>
      </c>
      <c r="S146" s="1"/>
      <c r="T146" s="1">
        <f t="shared" ca="1" si="91"/>
        <v>7.2423951429361075E-2</v>
      </c>
      <c r="U146" s="1">
        <f t="shared" ca="1" si="92"/>
        <v>52</v>
      </c>
      <c r="V146" s="1">
        <f t="shared" ca="1" si="93"/>
        <v>31</v>
      </c>
      <c r="W146" s="1"/>
      <c r="X146" s="1">
        <f t="shared" ca="1" si="94"/>
        <v>3.5223269780487492</v>
      </c>
      <c r="Y146" s="1">
        <f t="shared" ca="1" si="95"/>
        <v>0.1988157479815692</v>
      </c>
      <c r="Z146" s="1">
        <f t="shared" ca="1" si="96"/>
        <v>1808</v>
      </c>
      <c r="AB146" s="1">
        <f t="shared" ca="1" si="97"/>
        <v>0.34540099423933018</v>
      </c>
      <c r="AC146" s="1">
        <f t="shared" ca="1" si="98"/>
        <v>130</v>
      </c>
      <c r="AD146" s="1">
        <f t="shared" ca="1" si="99"/>
        <v>3.4094465821743431E-4</v>
      </c>
      <c r="AE146" s="1"/>
      <c r="AF146" s="1">
        <f t="shared" ca="1" si="100"/>
        <v>0.4261747020265374</v>
      </c>
      <c r="AG146" s="1">
        <f t="shared" ca="1" si="101"/>
        <v>667</v>
      </c>
      <c r="AH146" s="1">
        <f t="shared" ca="1" si="102"/>
        <v>4.5533880834240578E-3</v>
      </c>
      <c r="AJ146" s="1">
        <f t="shared" ca="1" si="103"/>
        <v>3.7641049040182617E-2</v>
      </c>
      <c r="AK146" s="1">
        <f t="shared" ca="1" si="104"/>
        <v>1.8205531706604276E-3</v>
      </c>
      <c r="AL146" s="1"/>
      <c r="AM146" s="1">
        <f t="shared" ca="1" si="105"/>
        <v>0.18655879992699262</v>
      </c>
      <c r="AN146" s="1">
        <f t="shared" ca="1" si="106"/>
        <v>40</v>
      </c>
      <c r="AO146" s="1">
        <f t="shared" ca="1" si="107"/>
        <v>10</v>
      </c>
      <c r="AQ146" s="1">
        <f t="shared" ca="1" si="108"/>
        <v>19</v>
      </c>
      <c r="AR146" s="1">
        <f t="shared" ca="1" si="109"/>
        <v>0</v>
      </c>
      <c r="AS146" s="1">
        <f t="shared" ca="1" si="110"/>
        <v>95</v>
      </c>
      <c r="AU146" s="1">
        <f t="shared" ca="1" si="111"/>
        <v>202</v>
      </c>
      <c r="AV146" s="1">
        <f t="shared" ca="1" si="112"/>
        <v>2</v>
      </c>
      <c r="AW146" s="1">
        <f t="shared" ca="1" si="113"/>
        <v>0.16446203484558247</v>
      </c>
      <c r="AY146" s="1">
        <f t="shared" ca="1" si="114"/>
        <v>1.3480859519401922</v>
      </c>
      <c r="AZ146" s="1">
        <f t="shared" ca="1" si="115"/>
        <v>70</v>
      </c>
      <c r="BA146" s="1">
        <f t="shared" ca="1" si="116"/>
        <v>2.4409002684043241E-3</v>
      </c>
    </row>
    <row r="147" spans="2:53" x14ac:dyDescent="0.25">
      <c r="B147">
        <f t="shared" ca="1" si="78"/>
        <v>777</v>
      </c>
      <c r="C147">
        <f t="shared" ca="1" si="79"/>
        <v>28</v>
      </c>
      <c r="D147">
        <f t="shared" ca="1" si="80"/>
        <v>3.3818485481940684E-2</v>
      </c>
      <c r="F147" s="1">
        <f t="shared" ca="1" si="81"/>
        <v>35</v>
      </c>
      <c r="G147" s="1">
        <f t="shared" ca="1" si="82"/>
        <v>21</v>
      </c>
      <c r="H147" s="1">
        <f t="shared" ca="1" si="83"/>
        <v>7</v>
      </c>
      <c r="I147" s="1"/>
      <c r="J147" s="1">
        <f t="shared" ca="1" si="84"/>
        <v>9</v>
      </c>
      <c r="K147" s="1">
        <f t="shared" ca="1" si="85"/>
        <v>2.0542289895276529</v>
      </c>
      <c r="L147" s="1">
        <f t="shared" ca="1" si="86"/>
        <v>11</v>
      </c>
      <c r="M147" s="1"/>
      <c r="N147" s="1">
        <f t="shared" ca="1" si="87"/>
        <v>366</v>
      </c>
      <c r="O147" s="1">
        <f t="shared" ca="1" si="88"/>
        <v>15</v>
      </c>
      <c r="P147" s="1"/>
      <c r="Q147" s="1">
        <f t="shared" ca="1" si="89"/>
        <v>1.7587664487962162</v>
      </c>
      <c r="R147" s="1">
        <f t="shared" ca="1" si="90"/>
        <v>673</v>
      </c>
      <c r="S147" s="1"/>
      <c r="T147" s="1">
        <f t="shared" ca="1" si="91"/>
        <v>7.1806328040417131E-2</v>
      </c>
      <c r="U147" s="1">
        <f t="shared" ca="1" si="92"/>
        <v>257</v>
      </c>
      <c r="V147" s="1">
        <f t="shared" ca="1" si="93"/>
        <v>8</v>
      </c>
      <c r="W147" s="1"/>
      <c r="X147" s="1">
        <f t="shared" ca="1" si="94"/>
        <v>8.175065583593458</v>
      </c>
      <c r="Y147" s="1">
        <f t="shared" ca="1" si="95"/>
        <v>0.10339344828616699</v>
      </c>
      <c r="Z147" s="1">
        <f t="shared" ca="1" si="96"/>
        <v>484</v>
      </c>
      <c r="AB147" s="1">
        <f t="shared" ca="1" si="97"/>
        <v>0.33810248440950069</v>
      </c>
      <c r="AC147" s="1">
        <f t="shared" ca="1" si="98"/>
        <v>643</v>
      </c>
      <c r="AD147" s="1">
        <f t="shared" ca="1" si="99"/>
        <v>5.7607036287576291E-3</v>
      </c>
      <c r="AE147" s="1"/>
      <c r="AF147" s="1">
        <f t="shared" ca="1" si="100"/>
        <v>0.71827902897707396</v>
      </c>
      <c r="AG147" s="1">
        <f t="shared" ca="1" si="101"/>
        <v>905</v>
      </c>
      <c r="AH147" s="1">
        <f t="shared" ca="1" si="102"/>
        <v>8.2763660980317132E-3</v>
      </c>
      <c r="AJ147" s="1">
        <f t="shared" ca="1" si="103"/>
        <v>0.2999852333891494</v>
      </c>
      <c r="AK147" s="1">
        <f t="shared" ca="1" si="104"/>
        <v>7.6055459623192443E-3</v>
      </c>
      <c r="AL147" s="1"/>
      <c r="AM147" s="1">
        <f t="shared" ca="1" si="105"/>
        <v>1.2715654120160355E-2</v>
      </c>
      <c r="AN147" s="1">
        <f t="shared" ca="1" si="106"/>
        <v>31</v>
      </c>
      <c r="AO147" s="1">
        <f t="shared" ca="1" si="107"/>
        <v>4</v>
      </c>
      <c r="AQ147" s="1">
        <f t="shared" ca="1" si="108"/>
        <v>11</v>
      </c>
      <c r="AR147" s="1">
        <f t="shared" ca="1" si="109"/>
        <v>10</v>
      </c>
      <c r="AS147" s="1">
        <f t="shared" ca="1" si="110"/>
        <v>98</v>
      </c>
      <c r="AU147" s="1">
        <f t="shared" ca="1" si="111"/>
        <v>317</v>
      </c>
      <c r="AV147" s="1">
        <f t="shared" ca="1" si="112"/>
        <v>5</v>
      </c>
      <c r="AW147" s="1">
        <f t="shared" ca="1" si="113"/>
        <v>0.14197298675488781</v>
      </c>
      <c r="AY147" s="1">
        <f t="shared" ca="1" si="114"/>
        <v>1.5112878499150115</v>
      </c>
      <c r="AZ147" s="1">
        <f t="shared" ca="1" si="115"/>
        <v>128</v>
      </c>
      <c r="BA147" s="1">
        <f t="shared" ca="1" si="116"/>
        <v>3.085261995405541E-4</v>
      </c>
    </row>
    <row r="148" spans="2:53" x14ac:dyDescent="0.25">
      <c r="B148">
        <f t="shared" ca="1" si="78"/>
        <v>885</v>
      </c>
      <c r="C148">
        <f t="shared" ca="1" si="79"/>
        <v>3</v>
      </c>
      <c r="D148">
        <f t="shared" ca="1" si="80"/>
        <v>0.21486653805293957</v>
      </c>
      <c r="F148" s="1">
        <f t="shared" ca="1" si="81"/>
        <v>45</v>
      </c>
      <c r="G148" s="1">
        <f t="shared" ca="1" si="82"/>
        <v>21</v>
      </c>
      <c r="H148" s="1">
        <f t="shared" ca="1" si="83"/>
        <v>7</v>
      </c>
      <c r="I148" s="1"/>
      <c r="J148" s="1">
        <f t="shared" ca="1" si="84"/>
        <v>22</v>
      </c>
      <c r="K148" s="1">
        <f t="shared" ca="1" si="85"/>
        <v>1.1454031536084979</v>
      </c>
      <c r="L148" s="1">
        <f t="shared" ca="1" si="86"/>
        <v>25</v>
      </c>
      <c r="M148" s="1"/>
      <c r="N148" s="1">
        <f t="shared" ca="1" si="87"/>
        <v>455</v>
      </c>
      <c r="O148" s="1">
        <f t="shared" ca="1" si="88"/>
        <v>9</v>
      </c>
      <c r="P148" s="1"/>
      <c r="Q148" s="1">
        <f t="shared" ca="1" si="89"/>
        <v>0.32214183405013153</v>
      </c>
      <c r="R148" s="1">
        <f t="shared" ca="1" si="90"/>
        <v>456</v>
      </c>
      <c r="S148" s="1"/>
      <c r="T148" s="1">
        <f t="shared" ca="1" si="91"/>
        <v>0.19544428313100309</v>
      </c>
      <c r="U148" s="1">
        <f t="shared" ca="1" si="92"/>
        <v>228</v>
      </c>
      <c r="V148" s="1">
        <f t="shared" ca="1" si="93"/>
        <v>6</v>
      </c>
      <c r="W148" s="1"/>
      <c r="X148" s="1">
        <f t="shared" ca="1" si="94"/>
        <v>6.4048877110116216</v>
      </c>
      <c r="Y148" s="1">
        <f t="shared" ca="1" si="95"/>
        <v>0.35716816834927939</v>
      </c>
      <c r="Z148" s="1">
        <f t="shared" ca="1" si="96"/>
        <v>1622</v>
      </c>
      <c r="AB148" s="1">
        <f t="shared" ca="1" si="97"/>
        <v>0.29860536551187261</v>
      </c>
      <c r="AC148" s="1">
        <f t="shared" ca="1" si="98"/>
        <v>798</v>
      </c>
      <c r="AD148" s="1">
        <f t="shared" ca="1" si="99"/>
        <v>5.3455267546371867E-3</v>
      </c>
      <c r="AE148" s="1"/>
      <c r="AF148" s="1">
        <f t="shared" ca="1" si="100"/>
        <v>0.4616500970849301</v>
      </c>
      <c r="AG148" s="1">
        <f t="shared" ca="1" si="101"/>
        <v>232</v>
      </c>
      <c r="AH148" s="1">
        <f t="shared" ca="1" si="102"/>
        <v>8.0829258610883338E-3</v>
      </c>
      <c r="AJ148" s="1">
        <f t="shared" ca="1" si="103"/>
        <v>0.17093631192122327</v>
      </c>
      <c r="AK148" s="1">
        <f t="shared" ca="1" si="104"/>
        <v>9.6598777936226423E-3</v>
      </c>
      <c r="AL148" s="1"/>
      <c r="AM148" s="1">
        <f t="shared" ca="1" si="105"/>
        <v>0.16422523878474263</v>
      </c>
      <c r="AN148" s="1">
        <f t="shared" ca="1" si="106"/>
        <v>30</v>
      </c>
      <c r="AO148" s="1">
        <f t="shared" ca="1" si="107"/>
        <v>17</v>
      </c>
      <c r="AQ148" s="1">
        <f t="shared" ca="1" si="108"/>
        <v>91</v>
      </c>
      <c r="AR148" s="1">
        <f t="shared" ca="1" si="109"/>
        <v>7</v>
      </c>
      <c r="AS148" s="1">
        <f t="shared" ca="1" si="110"/>
        <v>28</v>
      </c>
      <c r="AU148" s="1">
        <f t="shared" ca="1" si="111"/>
        <v>82</v>
      </c>
      <c r="AV148" s="1">
        <f t="shared" ca="1" si="112"/>
        <v>5</v>
      </c>
      <c r="AW148" s="1">
        <f t="shared" ca="1" si="113"/>
        <v>3.5173660446610008E-2</v>
      </c>
      <c r="AY148" s="1">
        <f t="shared" ca="1" si="114"/>
        <v>1.5347657165254607</v>
      </c>
      <c r="AZ148" s="1">
        <f t="shared" ca="1" si="115"/>
        <v>170</v>
      </c>
      <c r="BA148" s="1">
        <f t="shared" ca="1" si="116"/>
        <v>4.0365497426805728E-3</v>
      </c>
    </row>
    <row r="149" spans="2:53" x14ac:dyDescent="0.25">
      <c r="B149">
        <f t="shared" ca="1" si="78"/>
        <v>838</v>
      </c>
      <c r="C149">
        <f t="shared" ca="1" si="79"/>
        <v>41</v>
      </c>
      <c r="D149">
        <f t="shared" ca="1" si="80"/>
        <v>8.2438168040053675E-2</v>
      </c>
      <c r="F149" s="1">
        <f t="shared" ca="1" si="81"/>
        <v>9</v>
      </c>
      <c r="G149" s="1">
        <f t="shared" ca="1" si="82"/>
        <v>21</v>
      </c>
      <c r="H149" s="1">
        <f t="shared" ca="1" si="83"/>
        <v>6</v>
      </c>
      <c r="I149" s="1"/>
      <c r="J149" s="1">
        <f t="shared" ca="1" si="84"/>
        <v>7</v>
      </c>
      <c r="K149" s="1">
        <f t="shared" ca="1" si="85"/>
        <v>1.2294800222036724</v>
      </c>
      <c r="L149" s="1">
        <f t="shared" ca="1" si="86"/>
        <v>13</v>
      </c>
      <c r="M149" s="1"/>
      <c r="N149" s="1">
        <f t="shared" ca="1" si="87"/>
        <v>551</v>
      </c>
      <c r="O149" s="1">
        <f t="shared" ca="1" si="88"/>
        <v>12</v>
      </c>
      <c r="P149" s="1"/>
      <c r="Q149" s="1">
        <f t="shared" ca="1" si="89"/>
        <v>3.2012942858418829</v>
      </c>
      <c r="R149" s="1">
        <f t="shared" ca="1" si="90"/>
        <v>470</v>
      </c>
      <c r="S149" s="1"/>
      <c r="T149" s="1">
        <f t="shared" ca="1" si="91"/>
        <v>2.9184968405897932E-2</v>
      </c>
      <c r="U149" s="1">
        <f t="shared" ca="1" si="92"/>
        <v>385</v>
      </c>
      <c r="V149" s="1">
        <f t="shared" ca="1" si="93"/>
        <v>4</v>
      </c>
      <c r="W149" s="1"/>
      <c r="X149" s="1">
        <f t="shared" ca="1" si="94"/>
        <v>0.68276191519188156</v>
      </c>
      <c r="Y149" s="1">
        <f t="shared" ca="1" si="95"/>
        <v>0.77263446363633048</v>
      </c>
      <c r="Z149" s="1">
        <f t="shared" ca="1" si="96"/>
        <v>1723</v>
      </c>
      <c r="AB149" s="1">
        <f t="shared" ca="1" si="97"/>
        <v>0.7310580385347345</v>
      </c>
      <c r="AC149" s="1">
        <f t="shared" ca="1" si="98"/>
        <v>498</v>
      </c>
      <c r="AD149" s="1">
        <f t="shared" ca="1" si="99"/>
        <v>5.0759999442425941E-3</v>
      </c>
      <c r="AE149" s="1"/>
      <c r="AF149" s="1">
        <f t="shared" ca="1" si="100"/>
        <v>0.65444644778534466</v>
      </c>
      <c r="AG149" s="1">
        <f t="shared" ca="1" si="101"/>
        <v>129</v>
      </c>
      <c r="AH149" s="1">
        <f t="shared" ca="1" si="102"/>
        <v>4.0677740131971627E-3</v>
      </c>
      <c r="AJ149" s="1">
        <f t="shared" ca="1" si="103"/>
        <v>0.95967554865290816</v>
      </c>
      <c r="AK149" s="1">
        <f t="shared" ca="1" si="104"/>
        <v>1.1292771561064972E-3</v>
      </c>
      <c r="AL149" s="1"/>
      <c r="AM149" s="1">
        <f t="shared" ca="1" si="105"/>
        <v>0.1176363369090736</v>
      </c>
      <c r="AN149" s="1">
        <f t="shared" ca="1" si="106"/>
        <v>33</v>
      </c>
      <c r="AO149" s="1">
        <f t="shared" ca="1" si="107"/>
        <v>0</v>
      </c>
      <c r="AQ149" s="1">
        <f t="shared" ca="1" si="108"/>
        <v>23</v>
      </c>
      <c r="AR149" s="1">
        <f t="shared" ca="1" si="109"/>
        <v>3</v>
      </c>
      <c r="AS149" s="1">
        <f t="shared" ca="1" si="110"/>
        <v>40</v>
      </c>
      <c r="AU149" s="1">
        <f t="shared" ca="1" si="111"/>
        <v>361</v>
      </c>
      <c r="AV149" s="1">
        <f t="shared" ca="1" si="112"/>
        <v>10</v>
      </c>
      <c r="AW149" s="1">
        <f t="shared" ca="1" si="113"/>
        <v>0.16648476371067331</v>
      </c>
      <c r="AY149" s="1">
        <f t="shared" ca="1" si="114"/>
        <v>1.6293233477697284</v>
      </c>
      <c r="AZ149" s="1">
        <f t="shared" ca="1" si="115"/>
        <v>383</v>
      </c>
      <c r="BA149" s="1">
        <f t="shared" ca="1" si="116"/>
        <v>9.2341003717752671E-3</v>
      </c>
    </row>
    <row r="150" spans="2:53" x14ac:dyDescent="0.25">
      <c r="B150">
        <f t="shared" ca="1" si="78"/>
        <v>92</v>
      </c>
      <c r="C150">
        <f t="shared" ca="1" si="79"/>
        <v>34</v>
      </c>
      <c r="D150">
        <f t="shared" ca="1" si="80"/>
        <v>0.18624500761760091</v>
      </c>
      <c r="F150" s="1">
        <f t="shared" ca="1" si="81"/>
        <v>24</v>
      </c>
      <c r="G150" s="1">
        <f t="shared" ca="1" si="82"/>
        <v>14</v>
      </c>
      <c r="H150" s="1">
        <f t="shared" ca="1" si="83"/>
        <v>14</v>
      </c>
      <c r="I150" s="1"/>
      <c r="J150" s="1">
        <f t="shared" ca="1" si="84"/>
        <v>23</v>
      </c>
      <c r="K150" s="1">
        <f t="shared" ca="1" si="85"/>
        <v>1.1306514049539118</v>
      </c>
      <c r="L150" s="1">
        <f t="shared" ca="1" si="86"/>
        <v>31</v>
      </c>
      <c r="M150" s="1"/>
      <c r="N150" s="1">
        <f t="shared" ca="1" si="87"/>
        <v>511</v>
      </c>
      <c r="O150" s="1">
        <f t="shared" ca="1" si="88"/>
        <v>50</v>
      </c>
      <c r="P150" s="1"/>
      <c r="Q150" s="1">
        <f t="shared" ca="1" si="89"/>
        <v>1.277954573365585</v>
      </c>
      <c r="R150" s="1">
        <f t="shared" ca="1" si="90"/>
        <v>453</v>
      </c>
      <c r="S150" s="1"/>
      <c r="T150" s="1">
        <f t="shared" ca="1" si="91"/>
        <v>5.9954811089460748E-2</v>
      </c>
      <c r="U150" s="1">
        <f t="shared" ca="1" si="92"/>
        <v>258</v>
      </c>
      <c r="V150" s="1">
        <f t="shared" ca="1" si="93"/>
        <v>34</v>
      </c>
      <c r="W150" s="1"/>
      <c r="X150" s="1">
        <f t="shared" ca="1" si="94"/>
        <v>3.5835468634172707</v>
      </c>
      <c r="Y150" s="1">
        <f t="shared" ca="1" si="95"/>
        <v>0.91743618725897802</v>
      </c>
      <c r="Z150" s="1">
        <f t="shared" ca="1" si="96"/>
        <v>385</v>
      </c>
      <c r="AB150" s="1">
        <f t="shared" ca="1" si="97"/>
        <v>0.84012448811412488</v>
      </c>
      <c r="AC150" s="1">
        <f t="shared" ca="1" si="98"/>
        <v>435</v>
      </c>
      <c r="AD150" s="1">
        <f t="shared" ca="1" si="99"/>
        <v>3.616944862327704E-3</v>
      </c>
      <c r="AE150" s="1"/>
      <c r="AF150" s="1">
        <f t="shared" ca="1" si="100"/>
        <v>0.87785321498362046</v>
      </c>
      <c r="AG150" s="1">
        <f t="shared" ca="1" si="101"/>
        <v>448</v>
      </c>
      <c r="AH150" s="1">
        <f t="shared" ca="1" si="102"/>
        <v>9.2527844091021116E-3</v>
      </c>
      <c r="AJ150" s="1">
        <f t="shared" ca="1" si="103"/>
        <v>0.26359421696733065</v>
      </c>
      <c r="AK150" s="1">
        <f t="shared" ca="1" si="104"/>
        <v>4.7452768972252295E-3</v>
      </c>
      <c r="AL150" s="1"/>
      <c r="AM150" s="1">
        <f t="shared" ca="1" si="105"/>
        <v>0.12696708594928149</v>
      </c>
      <c r="AN150" s="1">
        <f t="shared" ca="1" si="106"/>
        <v>24</v>
      </c>
      <c r="AO150" s="1">
        <f t="shared" ca="1" si="107"/>
        <v>3</v>
      </c>
      <c r="AQ150" s="1">
        <f t="shared" ca="1" si="108"/>
        <v>190</v>
      </c>
      <c r="AR150" s="1">
        <f t="shared" ca="1" si="109"/>
        <v>0</v>
      </c>
      <c r="AS150" s="1">
        <f t="shared" ca="1" si="110"/>
        <v>47</v>
      </c>
      <c r="AU150" s="1">
        <f t="shared" ca="1" si="111"/>
        <v>349</v>
      </c>
      <c r="AV150" s="1">
        <f t="shared" ca="1" si="112"/>
        <v>7</v>
      </c>
      <c r="AW150" s="1">
        <f t="shared" ca="1" si="113"/>
        <v>2.7613816660812841E-2</v>
      </c>
      <c r="AY150" s="1">
        <f t="shared" ca="1" si="114"/>
        <v>1.2198955843162933</v>
      </c>
      <c r="AZ150" s="1">
        <f t="shared" ca="1" si="115"/>
        <v>364</v>
      </c>
      <c r="BA150" s="1">
        <f t="shared" ca="1" si="116"/>
        <v>1.4414312558314779E-3</v>
      </c>
    </row>
    <row r="151" spans="2:53" x14ac:dyDescent="0.25">
      <c r="B151">
        <f t="shared" ca="1" si="78"/>
        <v>839</v>
      </c>
      <c r="C151">
        <f t="shared" ca="1" si="79"/>
        <v>9</v>
      </c>
      <c r="D151">
        <f t="shared" ca="1" si="80"/>
        <v>1.92637864683083E-2</v>
      </c>
      <c r="F151" s="1">
        <f t="shared" ca="1" si="81"/>
        <v>6</v>
      </c>
      <c r="G151" s="1">
        <f t="shared" ca="1" si="82"/>
        <v>10</v>
      </c>
      <c r="H151" s="1">
        <f t="shared" ca="1" si="83"/>
        <v>12</v>
      </c>
      <c r="I151" s="1"/>
      <c r="J151" s="1">
        <f t="shared" ca="1" si="84"/>
        <v>26</v>
      </c>
      <c r="K151" s="1">
        <f t="shared" ca="1" si="85"/>
        <v>2.3993160156416309</v>
      </c>
      <c r="L151" s="1">
        <f t="shared" ca="1" si="86"/>
        <v>14</v>
      </c>
      <c r="M151" s="1"/>
      <c r="N151" s="1">
        <f t="shared" ca="1" si="87"/>
        <v>348</v>
      </c>
      <c r="O151" s="1">
        <f t="shared" ca="1" si="88"/>
        <v>21</v>
      </c>
      <c r="P151" s="1"/>
      <c r="Q151" s="1">
        <f t="shared" ca="1" si="89"/>
        <v>0.70562726668539599</v>
      </c>
      <c r="R151" s="1">
        <f t="shared" ca="1" si="90"/>
        <v>813</v>
      </c>
      <c r="S151" s="1"/>
      <c r="T151" s="1">
        <f t="shared" ca="1" si="91"/>
        <v>3.3577653414623834E-2</v>
      </c>
      <c r="U151" s="1">
        <f t="shared" ca="1" si="92"/>
        <v>107</v>
      </c>
      <c r="V151" s="1">
        <f t="shared" ca="1" si="93"/>
        <v>16</v>
      </c>
      <c r="W151" s="1"/>
      <c r="X151" s="1">
        <f t="shared" ca="1" si="94"/>
        <v>5.4864102961182448</v>
      </c>
      <c r="Y151" s="1">
        <f t="shared" ca="1" si="95"/>
        <v>0.8185628048707263</v>
      </c>
      <c r="Z151" s="1">
        <f t="shared" ca="1" si="96"/>
        <v>740</v>
      </c>
      <c r="AB151" s="1">
        <f t="shared" ca="1" si="97"/>
        <v>0.29052063103514181</v>
      </c>
      <c r="AC151" s="1">
        <f t="shared" ca="1" si="98"/>
        <v>254</v>
      </c>
      <c r="AD151" s="1">
        <f t="shared" ca="1" si="99"/>
        <v>6.415960634339463E-3</v>
      </c>
      <c r="AE151" s="1"/>
      <c r="AF151" s="1">
        <f t="shared" ca="1" si="100"/>
        <v>0.74416416452251621</v>
      </c>
      <c r="AG151" s="1">
        <f t="shared" ca="1" si="101"/>
        <v>195</v>
      </c>
      <c r="AH151" s="1">
        <f t="shared" ca="1" si="102"/>
        <v>5.5922949402141837E-3</v>
      </c>
      <c r="AJ151" s="1">
        <f t="shared" ca="1" si="103"/>
        <v>0.48198632837395472</v>
      </c>
      <c r="AK151" s="1">
        <f t="shared" ca="1" si="104"/>
        <v>2.1265879959422268E-3</v>
      </c>
      <c r="AL151" s="1"/>
      <c r="AM151" s="1">
        <f t="shared" ca="1" si="105"/>
        <v>5.3629036978670677E-2</v>
      </c>
      <c r="AN151" s="1">
        <f t="shared" ca="1" si="106"/>
        <v>18</v>
      </c>
      <c r="AO151" s="1">
        <f t="shared" ca="1" si="107"/>
        <v>5</v>
      </c>
      <c r="AQ151" s="1">
        <f t="shared" ca="1" si="108"/>
        <v>18</v>
      </c>
      <c r="AR151" s="1">
        <f t="shared" ca="1" si="109"/>
        <v>1</v>
      </c>
      <c r="AS151" s="1">
        <f t="shared" ca="1" si="110"/>
        <v>59</v>
      </c>
      <c r="AU151" s="1">
        <f t="shared" ca="1" si="111"/>
        <v>186</v>
      </c>
      <c r="AV151" s="1">
        <f t="shared" ca="1" si="112"/>
        <v>8</v>
      </c>
      <c r="AW151" s="1">
        <f t="shared" ca="1" si="113"/>
        <v>0.13825854675543606</v>
      </c>
      <c r="AY151" s="1">
        <f t="shared" ca="1" si="114"/>
        <v>1.1093522042657595</v>
      </c>
      <c r="AZ151" s="1">
        <f t="shared" ca="1" si="115"/>
        <v>455</v>
      </c>
      <c r="BA151" s="1">
        <f t="shared" ca="1" si="116"/>
        <v>7.8139768856162507E-3</v>
      </c>
    </row>
    <row r="152" spans="2:53" x14ac:dyDescent="0.25">
      <c r="B152">
        <f t="shared" ca="1" si="78"/>
        <v>698</v>
      </c>
      <c r="C152">
        <f t="shared" ca="1" si="79"/>
        <v>37</v>
      </c>
      <c r="D152">
        <f t="shared" ca="1" si="80"/>
        <v>4.9696854880415829E-2</v>
      </c>
      <c r="F152" s="1">
        <f t="shared" ca="1" si="81"/>
        <v>4</v>
      </c>
      <c r="G152" s="1">
        <f t="shared" ca="1" si="82"/>
        <v>8</v>
      </c>
      <c r="H152" s="1">
        <f t="shared" ca="1" si="83"/>
        <v>12</v>
      </c>
      <c r="I152" s="1"/>
      <c r="J152" s="1">
        <f t="shared" ca="1" si="84"/>
        <v>9</v>
      </c>
      <c r="K152" s="1">
        <f t="shared" ca="1" si="85"/>
        <v>1.370733575901381</v>
      </c>
      <c r="L152" s="1">
        <f t="shared" ca="1" si="86"/>
        <v>8</v>
      </c>
      <c r="M152" s="1"/>
      <c r="N152" s="1">
        <f t="shared" ca="1" si="87"/>
        <v>353</v>
      </c>
      <c r="O152" s="1">
        <f t="shared" ca="1" si="88"/>
        <v>10</v>
      </c>
      <c r="P152" s="1"/>
      <c r="Q152" s="1">
        <f t="shared" ca="1" si="89"/>
        <v>4.3168955237008841</v>
      </c>
      <c r="R152" s="1">
        <f t="shared" ca="1" si="90"/>
        <v>742</v>
      </c>
      <c r="S152" s="1"/>
      <c r="T152" s="1">
        <f t="shared" ca="1" si="91"/>
        <v>8.1014609518767156E-2</v>
      </c>
      <c r="U152" s="1">
        <f t="shared" ca="1" si="92"/>
        <v>352</v>
      </c>
      <c r="V152" s="1">
        <f t="shared" ca="1" si="93"/>
        <v>9</v>
      </c>
      <c r="W152" s="1"/>
      <c r="X152" s="1">
        <f t="shared" ca="1" si="94"/>
        <v>2.4951250317317895</v>
      </c>
      <c r="Y152" s="1">
        <f t="shared" ca="1" si="95"/>
        <v>0.81731385440750426</v>
      </c>
      <c r="Z152" s="1">
        <f t="shared" ca="1" si="96"/>
        <v>1614</v>
      </c>
      <c r="AB152" s="1">
        <f t="shared" ca="1" si="97"/>
        <v>0.74384042318512611</v>
      </c>
      <c r="AC152" s="1">
        <f t="shared" ca="1" si="98"/>
        <v>178</v>
      </c>
      <c r="AD152" s="1">
        <f t="shared" ca="1" si="99"/>
        <v>6.0275099934111592E-3</v>
      </c>
      <c r="AE152" s="1"/>
      <c r="AF152" s="1">
        <f t="shared" ca="1" si="100"/>
        <v>0.26256778979179957</v>
      </c>
      <c r="AG152" s="1">
        <f t="shared" ca="1" si="101"/>
        <v>776</v>
      </c>
      <c r="AH152" s="1">
        <f t="shared" ca="1" si="102"/>
        <v>1.5154558384416943E-3</v>
      </c>
      <c r="AJ152" s="1">
        <f t="shared" ca="1" si="103"/>
        <v>0.18347024850036875</v>
      </c>
      <c r="AK152" s="1">
        <f t="shared" ca="1" si="104"/>
        <v>6.9199481032342974E-3</v>
      </c>
      <c r="AL152" s="1"/>
      <c r="AM152" s="1">
        <f t="shared" ca="1" si="105"/>
        <v>0.12253979533371029</v>
      </c>
      <c r="AN152" s="1">
        <f t="shared" ca="1" si="106"/>
        <v>64</v>
      </c>
      <c r="AO152" s="1">
        <f t="shared" ca="1" si="107"/>
        <v>18</v>
      </c>
      <c r="AQ152" s="1">
        <f t="shared" ca="1" si="108"/>
        <v>131</v>
      </c>
      <c r="AR152" s="1">
        <f t="shared" ca="1" si="109"/>
        <v>9</v>
      </c>
      <c r="AS152" s="1">
        <f t="shared" ca="1" si="110"/>
        <v>99</v>
      </c>
      <c r="AU152" s="1">
        <f t="shared" ca="1" si="111"/>
        <v>275</v>
      </c>
      <c r="AV152" s="1">
        <f t="shared" ca="1" si="112"/>
        <v>9</v>
      </c>
      <c r="AW152" s="1">
        <f t="shared" ca="1" si="113"/>
        <v>9.5331126635862032E-2</v>
      </c>
      <c r="AY152" s="1">
        <f t="shared" ca="1" si="114"/>
        <v>1.8733348810518731</v>
      </c>
      <c r="AZ152" s="1">
        <f t="shared" ca="1" si="115"/>
        <v>212</v>
      </c>
      <c r="BA152" s="1">
        <f t="shared" ca="1" si="116"/>
        <v>1.4581784187543958E-3</v>
      </c>
    </row>
    <row r="153" spans="2:53" x14ac:dyDescent="0.25">
      <c r="B153">
        <f t="shared" ca="1" si="78"/>
        <v>715</v>
      </c>
      <c r="C153">
        <f t="shared" ca="1" si="79"/>
        <v>18</v>
      </c>
      <c r="D153">
        <f t="shared" ca="1" si="80"/>
        <v>5.2480805498064886E-2</v>
      </c>
      <c r="F153" s="1">
        <f t="shared" ca="1" si="81"/>
        <v>19</v>
      </c>
      <c r="G153" s="1">
        <f t="shared" ca="1" si="82"/>
        <v>12</v>
      </c>
      <c r="H153" s="1">
        <f t="shared" ca="1" si="83"/>
        <v>11</v>
      </c>
      <c r="I153" s="1"/>
      <c r="J153" s="1">
        <f t="shared" ca="1" si="84"/>
        <v>33</v>
      </c>
      <c r="K153" s="1">
        <f t="shared" ca="1" si="85"/>
        <v>1.2605869579854942</v>
      </c>
      <c r="L153" s="1">
        <f t="shared" ca="1" si="86"/>
        <v>22</v>
      </c>
      <c r="M153" s="1"/>
      <c r="N153" s="1">
        <f t="shared" ca="1" si="87"/>
        <v>782</v>
      </c>
      <c r="O153" s="1">
        <f t="shared" ca="1" si="88"/>
        <v>48</v>
      </c>
      <c r="P153" s="1"/>
      <c r="Q153" s="1">
        <f t="shared" ca="1" si="89"/>
        <v>4.7718210093732205</v>
      </c>
      <c r="R153" s="1">
        <f t="shared" ca="1" si="90"/>
        <v>1053</v>
      </c>
      <c r="S153" s="1"/>
      <c r="T153" s="1">
        <f t="shared" ca="1" si="91"/>
        <v>0.1225247571987237</v>
      </c>
      <c r="U153" s="1">
        <f t="shared" ca="1" si="92"/>
        <v>381</v>
      </c>
      <c r="V153" s="1">
        <f t="shared" ca="1" si="93"/>
        <v>3</v>
      </c>
      <c r="W153" s="1"/>
      <c r="X153" s="1">
        <f t="shared" ca="1" si="94"/>
        <v>0.93849422827540852</v>
      </c>
      <c r="Y153" s="1">
        <f t="shared" ca="1" si="95"/>
        <v>0.94970147246565517</v>
      </c>
      <c r="Z153" s="1">
        <f t="shared" ca="1" si="96"/>
        <v>619</v>
      </c>
      <c r="AB153" s="1">
        <f t="shared" ca="1" si="97"/>
        <v>0.38405459368139094</v>
      </c>
      <c r="AC153" s="1">
        <f t="shared" ca="1" si="98"/>
        <v>119</v>
      </c>
      <c r="AD153" s="1">
        <f t="shared" ca="1" si="99"/>
        <v>8.4535911385521332E-3</v>
      </c>
      <c r="AE153" s="1"/>
      <c r="AF153" s="1">
        <f t="shared" ca="1" si="100"/>
        <v>0.17622275902790677</v>
      </c>
      <c r="AG153" s="1">
        <f t="shared" ca="1" si="101"/>
        <v>660</v>
      </c>
      <c r="AH153" s="1">
        <f t="shared" ca="1" si="102"/>
        <v>5.0085015940339005E-3</v>
      </c>
      <c r="AJ153" s="1">
        <f t="shared" ca="1" si="103"/>
        <v>0.4844943107747578</v>
      </c>
      <c r="AK153" s="1">
        <f t="shared" ca="1" si="104"/>
        <v>5.6975567136268281E-3</v>
      </c>
      <c r="AL153" s="1"/>
      <c r="AM153" s="1">
        <f t="shared" ca="1" si="105"/>
        <v>0.15911829763561414</v>
      </c>
      <c r="AN153" s="1">
        <f t="shared" ca="1" si="106"/>
        <v>17</v>
      </c>
      <c r="AO153" s="1">
        <f t="shared" ca="1" si="107"/>
        <v>13</v>
      </c>
      <c r="AQ153" s="1">
        <f t="shared" ca="1" si="108"/>
        <v>27</v>
      </c>
      <c r="AR153" s="1">
        <f t="shared" ca="1" si="109"/>
        <v>7</v>
      </c>
      <c r="AS153" s="1">
        <f t="shared" ca="1" si="110"/>
        <v>48</v>
      </c>
      <c r="AU153" s="1">
        <f t="shared" ca="1" si="111"/>
        <v>328</v>
      </c>
      <c r="AV153" s="1">
        <f t="shared" ca="1" si="112"/>
        <v>10</v>
      </c>
      <c r="AW153" s="1">
        <f t="shared" ca="1" si="113"/>
        <v>0.16532489963061894</v>
      </c>
      <c r="AY153" s="1">
        <f t="shared" ca="1" si="114"/>
        <v>1.5722167597494556</v>
      </c>
      <c r="AZ153" s="1">
        <f t="shared" ca="1" si="115"/>
        <v>237</v>
      </c>
      <c r="BA153" s="1">
        <f t="shared" ca="1" si="116"/>
        <v>6.7529427440121486E-4</v>
      </c>
    </row>
    <row r="154" spans="2:53" x14ac:dyDescent="0.25">
      <c r="B154">
        <f t="shared" ca="1" si="78"/>
        <v>724</v>
      </c>
      <c r="C154">
        <f t="shared" ca="1" si="79"/>
        <v>13</v>
      </c>
      <c r="D154">
        <f t="shared" ca="1" si="80"/>
        <v>2.4804363495301816E-2</v>
      </c>
      <c r="F154" s="1">
        <f t="shared" ca="1" si="81"/>
        <v>18</v>
      </c>
      <c r="G154" s="1">
        <f t="shared" ca="1" si="82"/>
        <v>8</v>
      </c>
      <c r="H154" s="1">
        <f t="shared" ca="1" si="83"/>
        <v>9</v>
      </c>
      <c r="I154" s="1"/>
      <c r="J154" s="1">
        <f t="shared" ca="1" si="84"/>
        <v>17</v>
      </c>
      <c r="K154" s="1">
        <f t="shared" ca="1" si="85"/>
        <v>2.4379964138035675</v>
      </c>
      <c r="L154" s="1">
        <f t="shared" ca="1" si="86"/>
        <v>11</v>
      </c>
      <c r="M154" s="1"/>
      <c r="N154" s="1">
        <f t="shared" ca="1" si="87"/>
        <v>480</v>
      </c>
      <c r="O154" s="1">
        <f t="shared" ca="1" si="88"/>
        <v>8</v>
      </c>
      <c r="P154" s="1"/>
      <c r="Q154" s="1">
        <f t="shared" ca="1" si="89"/>
        <v>3.1554950734003202</v>
      </c>
      <c r="R154" s="1">
        <f t="shared" ca="1" si="90"/>
        <v>960</v>
      </c>
      <c r="S154" s="1"/>
      <c r="T154" s="1">
        <f t="shared" ca="1" si="91"/>
        <v>6.5703974285050232E-2</v>
      </c>
      <c r="U154" s="1">
        <f t="shared" ca="1" si="92"/>
        <v>204</v>
      </c>
      <c r="V154" s="1">
        <f t="shared" ca="1" si="93"/>
        <v>23</v>
      </c>
      <c r="W154" s="1"/>
      <c r="X154" s="1">
        <f t="shared" ca="1" si="94"/>
        <v>7.8383865133644184</v>
      </c>
      <c r="Y154" s="1">
        <f t="shared" ca="1" si="95"/>
        <v>0.34742352894426487</v>
      </c>
      <c r="Z154" s="1">
        <f t="shared" ca="1" si="96"/>
        <v>1499</v>
      </c>
      <c r="AB154" s="1">
        <f t="shared" ca="1" si="97"/>
        <v>0.11535448128124658</v>
      </c>
      <c r="AC154" s="1">
        <f t="shared" ca="1" si="98"/>
        <v>391</v>
      </c>
      <c r="AD154" s="1">
        <f t="shared" ca="1" si="99"/>
        <v>5.190604234090266E-4</v>
      </c>
      <c r="AE154" s="1"/>
      <c r="AF154" s="1">
        <f t="shared" ca="1" si="100"/>
        <v>0.42565220433188655</v>
      </c>
      <c r="AG154" s="1">
        <f t="shared" ca="1" si="101"/>
        <v>287</v>
      </c>
      <c r="AH154" s="1">
        <f t="shared" ca="1" si="102"/>
        <v>3.771700776727757E-3</v>
      </c>
      <c r="AJ154" s="1">
        <f t="shared" ca="1" si="103"/>
        <v>0.37798800386143672</v>
      </c>
      <c r="AK154" s="1">
        <f t="shared" ca="1" si="104"/>
        <v>1.7522234739434004E-3</v>
      </c>
      <c r="AL154" s="1"/>
      <c r="AM154" s="1">
        <f t="shared" ca="1" si="105"/>
        <v>5.3216616667282508E-2</v>
      </c>
      <c r="AN154" s="1">
        <f t="shared" ca="1" si="106"/>
        <v>54</v>
      </c>
      <c r="AO154" s="1">
        <f t="shared" ca="1" si="107"/>
        <v>14</v>
      </c>
      <c r="AQ154" s="1">
        <f t="shared" ca="1" si="108"/>
        <v>138</v>
      </c>
      <c r="AR154" s="1">
        <f t="shared" ca="1" si="109"/>
        <v>3</v>
      </c>
      <c r="AS154" s="1">
        <f t="shared" ca="1" si="110"/>
        <v>62</v>
      </c>
      <c r="AU154" s="1">
        <f t="shared" ca="1" si="111"/>
        <v>82</v>
      </c>
      <c r="AV154" s="1">
        <f t="shared" ca="1" si="112"/>
        <v>6</v>
      </c>
      <c r="AW154" s="1">
        <f t="shared" ca="1" si="113"/>
        <v>6.9118787954374442E-2</v>
      </c>
      <c r="AY154" s="1">
        <f t="shared" ca="1" si="114"/>
        <v>1.3825652722037831</v>
      </c>
      <c r="AZ154" s="1">
        <f t="shared" ca="1" si="115"/>
        <v>404</v>
      </c>
      <c r="BA154" s="1">
        <f t="shared" ca="1" si="116"/>
        <v>9.7070342191246731E-3</v>
      </c>
    </row>
    <row r="155" spans="2:53" x14ac:dyDescent="0.25">
      <c r="B155">
        <f t="shared" ca="1" si="78"/>
        <v>118</v>
      </c>
      <c r="C155">
        <f t="shared" ca="1" si="79"/>
        <v>28</v>
      </c>
      <c r="D155">
        <f t="shared" ca="1" si="80"/>
        <v>0.21290567934246088</v>
      </c>
      <c r="F155" s="1">
        <f t="shared" ca="1" si="81"/>
        <v>50</v>
      </c>
      <c r="G155" s="1">
        <f t="shared" ca="1" si="82"/>
        <v>25</v>
      </c>
      <c r="H155" s="1">
        <f t="shared" ca="1" si="83"/>
        <v>11</v>
      </c>
      <c r="I155" s="1"/>
      <c r="J155" s="1">
        <f t="shared" ca="1" si="84"/>
        <v>16</v>
      </c>
      <c r="K155" s="1">
        <f t="shared" ca="1" si="85"/>
        <v>1.03479841147767</v>
      </c>
      <c r="L155" s="1">
        <f t="shared" ca="1" si="86"/>
        <v>13</v>
      </c>
      <c r="M155" s="1"/>
      <c r="N155" s="1">
        <f t="shared" ca="1" si="87"/>
        <v>89</v>
      </c>
      <c r="O155" s="1">
        <f t="shared" ca="1" si="88"/>
        <v>24</v>
      </c>
      <c r="P155" s="1"/>
      <c r="Q155" s="1">
        <f t="shared" ca="1" si="89"/>
        <v>0.83608505098105557</v>
      </c>
      <c r="R155" s="1">
        <f t="shared" ca="1" si="90"/>
        <v>338</v>
      </c>
      <c r="S155" s="1"/>
      <c r="T155" s="1">
        <f t="shared" ca="1" si="91"/>
        <v>5.5789052055096211E-2</v>
      </c>
      <c r="U155" s="1">
        <f t="shared" ca="1" si="92"/>
        <v>213</v>
      </c>
      <c r="V155" s="1">
        <f t="shared" ca="1" si="93"/>
        <v>27</v>
      </c>
      <c r="W155" s="1"/>
      <c r="X155" s="1">
        <f t="shared" ca="1" si="94"/>
        <v>4.6069085835584085</v>
      </c>
      <c r="Y155" s="1">
        <f t="shared" ca="1" si="95"/>
        <v>0.7280462728695235</v>
      </c>
      <c r="Z155" s="1">
        <f t="shared" ca="1" si="96"/>
        <v>163</v>
      </c>
      <c r="AB155" s="1">
        <f t="shared" ca="1" si="97"/>
        <v>0.35631820106635015</v>
      </c>
      <c r="AC155" s="1">
        <f t="shared" ca="1" si="98"/>
        <v>579</v>
      </c>
      <c r="AD155" s="1">
        <f t="shared" ca="1" si="99"/>
        <v>1.812856490843373E-3</v>
      </c>
      <c r="AE155" s="1"/>
      <c r="AF155" s="1">
        <f t="shared" ca="1" si="100"/>
        <v>0.14151435951154323</v>
      </c>
      <c r="AG155" s="1">
        <f t="shared" ca="1" si="101"/>
        <v>182</v>
      </c>
      <c r="AH155" s="1">
        <f t="shared" ca="1" si="102"/>
        <v>6.3217913648364165E-3</v>
      </c>
      <c r="AJ155" s="1">
        <f t="shared" ca="1" si="103"/>
        <v>0.88560137987772458</v>
      </c>
      <c r="AK155" s="1">
        <f t="shared" ca="1" si="104"/>
        <v>4.646690606554307E-3</v>
      </c>
      <c r="AL155" s="1"/>
      <c r="AM155" s="1">
        <f t="shared" ca="1" si="105"/>
        <v>0.11497394554889716</v>
      </c>
      <c r="AN155" s="1">
        <f t="shared" ca="1" si="106"/>
        <v>33</v>
      </c>
      <c r="AO155" s="1">
        <f t="shared" ca="1" si="107"/>
        <v>15</v>
      </c>
      <c r="AQ155" s="1">
        <f t="shared" ca="1" si="108"/>
        <v>150</v>
      </c>
      <c r="AR155" s="1">
        <f t="shared" ca="1" si="109"/>
        <v>8</v>
      </c>
      <c r="AS155" s="1">
        <f t="shared" ca="1" si="110"/>
        <v>85</v>
      </c>
      <c r="AU155" s="1">
        <f t="shared" ca="1" si="111"/>
        <v>262</v>
      </c>
      <c r="AV155" s="1">
        <f t="shared" ca="1" si="112"/>
        <v>4</v>
      </c>
      <c r="AW155" s="1">
        <f t="shared" ca="1" si="113"/>
        <v>0.13907460554146409</v>
      </c>
      <c r="AY155" s="1">
        <f t="shared" ca="1" si="114"/>
        <v>1.1692515250209867</v>
      </c>
      <c r="AZ155" s="1">
        <f t="shared" ca="1" si="115"/>
        <v>217</v>
      </c>
      <c r="BA155" s="1">
        <f t="shared" ca="1" si="116"/>
        <v>1.5650913368733502E-3</v>
      </c>
    </row>
    <row r="156" spans="2:53" x14ac:dyDescent="0.25">
      <c r="B156">
        <f t="shared" ca="1" si="78"/>
        <v>654</v>
      </c>
      <c r="C156">
        <f t="shared" ca="1" si="79"/>
        <v>11</v>
      </c>
      <c r="D156">
        <f t="shared" ca="1" si="80"/>
        <v>0.26743876059658223</v>
      </c>
      <c r="F156" s="1">
        <f t="shared" ca="1" si="81"/>
        <v>42</v>
      </c>
      <c r="G156" s="1">
        <f t="shared" ca="1" si="82"/>
        <v>17</v>
      </c>
      <c r="H156" s="1">
        <f t="shared" ca="1" si="83"/>
        <v>12</v>
      </c>
      <c r="I156" s="1"/>
      <c r="J156" s="1">
        <f t="shared" ca="1" si="84"/>
        <v>26</v>
      </c>
      <c r="K156" s="1">
        <f t="shared" ca="1" si="85"/>
        <v>1.4754888371421886</v>
      </c>
      <c r="L156" s="1">
        <f t="shared" ca="1" si="86"/>
        <v>3</v>
      </c>
      <c r="M156" s="1"/>
      <c r="N156" s="1">
        <f t="shared" ca="1" si="87"/>
        <v>659</v>
      </c>
      <c r="O156" s="1">
        <f t="shared" ca="1" si="88"/>
        <v>23</v>
      </c>
      <c r="P156" s="1"/>
      <c r="Q156" s="1">
        <f t="shared" ca="1" si="89"/>
        <v>2.0252570918461252</v>
      </c>
      <c r="R156" s="1">
        <f t="shared" ca="1" si="90"/>
        <v>765</v>
      </c>
      <c r="S156" s="1"/>
      <c r="T156" s="1">
        <f t="shared" ca="1" si="91"/>
        <v>7.1157864987001981E-2</v>
      </c>
      <c r="U156" s="1">
        <f t="shared" ca="1" si="92"/>
        <v>288</v>
      </c>
      <c r="V156" s="1">
        <f t="shared" ca="1" si="93"/>
        <v>15</v>
      </c>
      <c r="W156" s="1"/>
      <c r="X156" s="1">
        <f t="shared" ca="1" si="94"/>
        <v>6.6341188792352996</v>
      </c>
      <c r="Y156" s="1">
        <f t="shared" ca="1" si="95"/>
        <v>0.92907069933831987</v>
      </c>
      <c r="Z156" s="1">
        <f t="shared" ca="1" si="96"/>
        <v>1208</v>
      </c>
      <c r="AB156" s="1">
        <f t="shared" ca="1" si="97"/>
        <v>0.18959261633308422</v>
      </c>
      <c r="AC156" s="1">
        <f t="shared" ca="1" si="98"/>
        <v>920</v>
      </c>
      <c r="AD156" s="1">
        <f t="shared" ca="1" si="99"/>
        <v>5.4087496422094627E-3</v>
      </c>
      <c r="AE156" s="1"/>
      <c r="AF156" s="1">
        <f t="shared" ca="1" si="100"/>
        <v>0.79007464248291537</v>
      </c>
      <c r="AG156" s="1">
        <f t="shared" ca="1" si="101"/>
        <v>761</v>
      </c>
      <c r="AH156" s="1">
        <f t="shared" ca="1" si="102"/>
        <v>9.4609917588118105E-3</v>
      </c>
      <c r="AJ156" s="1">
        <f t="shared" ca="1" si="103"/>
        <v>3.4341084454189041E-2</v>
      </c>
      <c r="AK156" s="1">
        <f t="shared" ca="1" si="104"/>
        <v>4.5604712380763607E-3</v>
      </c>
      <c r="AL156" s="1"/>
      <c r="AM156" s="1">
        <f t="shared" ca="1" si="105"/>
        <v>6.3814586391457276E-2</v>
      </c>
      <c r="AN156" s="1">
        <f t="shared" ca="1" si="106"/>
        <v>24</v>
      </c>
      <c r="AO156" s="1">
        <f t="shared" ca="1" si="107"/>
        <v>13</v>
      </c>
      <c r="AQ156" s="1">
        <f t="shared" ca="1" si="108"/>
        <v>40</v>
      </c>
      <c r="AR156" s="1">
        <f t="shared" ca="1" si="109"/>
        <v>3</v>
      </c>
      <c r="AS156" s="1">
        <f t="shared" ca="1" si="110"/>
        <v>81</v>
      </c>
      <c r="AU156" s="1">
        <f t="shared" ca="1" si="111"/>
        <v>281</v>
      </c>
      <c r="AV156" s="1">
        <f t="shared" ca="1" si="112"/>
        <v>10</v>
      </c>
      <c r="AW156" s="1">
        <f t="shared" ca="1" si="113"/>
        <v>4.9826337831024609E-2</v>
      </c>
      <c r="AY156" s="1">
        <f t="shared" ca="1" si="114"/>
        <v>1.4367021697835913</v>
      </c>
      <c r="AZ156" s="1">
        <f t="shared" ca="1" si="115"/>
        <v>468</v>
      </c>
      <c r="BA156" s="1">
        <f t="shared" ca="1" si="116"/>
        <v>1.7199770232341528E-3</v>
      </c>
    </row>
    <row r="157" spans="2:53" x14ac:dyDescent="0.25">
      <c r="B157">
        <f t="shared" ca="1" si="78"/>
        <v>301</v>
      </c>
      <c r="C157">
        <f t="shared" ca="1" si="79"/>
        <v>4</v>
      </c>
      <c r="D157">
        <f t="shared" ca="1" si="80"/>
        <v>0.23216532408154178</v>
      </c>
      <c r="F157" s="1">
        <f t="shared" ca="1" si="81"/>
        <v>19</v>
      </c>
      <c r="G157" s="1">
        <f t="shared" ca="1" si="82"/>
        <v>8</v>
      </c>
      <c r="H157" s="1">
        <f t="shared" ca="1" si="83"/>
        <v>9</v>
      </c>
      <c r="I157" s="1"/>
      <c r="J157" s="1">
        <f t="shared" ca="1" si="84"/>
        <v>29</v>
      </c>
      <c r="K157" s="1">
        <f t="shared" ca="1" si="85"/>
        <v>1.3480360038341674</v>
      </c>
      <c r="L157" s="1">
        <f t="shared" ca="1" si="86"/>
        <v>21</v>
      </c>
      <c r="M157" s="1"/>
      <c r="N157" s="1">
        <f t="shared" ca="1" si="87"/>
        <v>217</v>
      </c>
      <c r="O157" s="1">
        <f t="shared" ca="1" si="88"/>
        <v>29</v>
      </c>
      <c r="P157" s="1"/>
      <c r="Q157" s="1">
        <f t="shared" ca="1" si="89"/>
        <v>0.95663821108482561</v>
      </c>
      <c r="R157" s="1">
        <f t="shared" ca="1" si="90"/>
        <v>549</v>
      </c>
      <c r="S157" s="1"/>
      <c r="T157" s="1">
        <f t="shared" ca="1" si="91"/>
        <v>0.13786309693192458</v>
      </c>
      <c r="U157" s="1">
        <f t="shared" ca="1" si="92"/>
        <v>226</v>
      </c>
      <c r="V157" s="1">
        <f t="shared" ca="1" si="93"/>
        <v>48</v>
      </c>
      <c r="W157" s="1"/>
      <c r="X157" s="1">
        <f t="shared" ca="1" si="94"/>
        <v>9.1835309563409773</v>
      </c>
      <c r="Y157" s="1">
        <f t="shared" ca="1" si="95"/>
        <v>0.89616239237971473</v>
      </c>
      <c r="Z157" s="1">
        <f t="shared" ca="1" si="96"/>
        <v>198</v>
      </c>
      <c r="AB157" s="1">
        <f t="shared" ca="1" si="97"/>
        <v>0.11488176503279565</v>
      </c>
      <c r="AC157" s="1">
        <f t="shared" ca="1" si="98"/>
        <v>267</v>
      </c>
      <c r="AD157" s="1">
        <f t="shared" ca="1" si="99"/>
        <v>1.8483838515989646E-3</v>
      </c>
      <c r="AE157" s="1"/>
      <c r="AF157" s="1">
        <f t="shared" ca="1" si="100"/>
        <v>0.41476295382066686</v>
      </c>
      <c r="AG157" s="1">
        <f t="shared" ca="1" si="101"/>
        <v>389</v>
      </c>
      <c r="AH157" s="1">
        <f t="shared" ca="1" si="102"/>
        <v>8.4285871900190573E-3</v>
      </c>
      <c r="AJ157" s="1">
        <f t="shared" ca="1" si="103"/>
        <v>0.88189801184787775</v>
      </c>
      <c r="AK157" s="1">
        <f t="shared" ca="1" si="104"/>
        <v>5.4634441203648149E-3</v>
      </c>
      <c r="AL157" s="1"/>
      <c r="AM157" s="1">
        <f t="shared" ca="1" si="105"/>
        <v>0.12297346557566946</v>
      </c>
      <c r="AN157" s="1">
        <f t="shared" ca="1" si="106"/>
        <v>80</v>
      </c>
      <c r="AO157" s="1">
        <f t="shared" ca="1" si="107"/>
        <v>14</v>
      </c>
      <c r="AQ157" s="1">
        <f t="shared" ca="1" si="108"/>
        <v>69</v>
      </c>
      <c r="AR157" s="1">
        <f t="shared" ca="1" si="109"/>
        <v>9</v>
      </c>
      <c r="AS157" s="1">
        <f t="shared" ca="1" si="110"/>
        <v>70</v>
      </c>
      <c r="AU157" s="1">
        <f t="shared" ca="1" si="111"/>
        <v>361</v>
      </c>
      <c r="AV157" s="1">
        <f t="shared" ca="1" si="112"/>
        <v>5</v>
      </c>
      <c r="AW157" s="1">
        <f t="shared" ca="1" si="113"/>
        <v>0.10554508435269888</v>
      </c>
      <c r="AY157" s="1">
        <f t="shared" ca="1" si="114"/>
        <v>1.3135776822428809</v>
      </c>
      <c r="AZ157" s="1">
        <f t="shared" ca="1" si="115"/>
        <v>169</v>
      </c>
      <c r="BA157" s="1">
        <f t="shared" ca="1" si="116"/>
        <v>2.2458200604027344E-3</v>
      </c>
    </row>
    <row r="158" spans="2:53" x14ac:dyDescent="0.25">
      <c r="B158">
        <f t="shared" ca="1" si="78"/>
        <v>428</v>
      </c>
      <c r="C158">
        <f t="shared" ca="1" si="79"/>
        <v>2</v>
      </c>
      <c r="D158">
        <f t="shared" ca="1" si="80"/>
        <v>3.6629866827596419E-2</v>
      </c>
      <c r="F158" s="1">
        <f t="shared" ca="1" si="81"/>
        <v>7</v>
      </c>
      <c r="G158" s="1">
        <f t="shared" ca="1" si="82"/>
        <v>24</v>
      </c>
      <c r="H158" s="1">
        <f t="shared" ca="1" si="83"/>
        <v>8</v>
      </c>
      <c r="I158" s="1"/>
      <c r="J158" s="1">
        <f t="shared" ca="1" si="84"/>
        <v>30</v>
      </c>
      <c r="K158" s="1">
        <f t="shared" ca="1" si="85"/>
        <v>2.2049774902082895</v>
      </c>
      <c r="L158" s="1">
        <f t="shared" ca="1" si="86"/>
        <v>16</v>
      </c>
      <c r="M158" s="1"/>
      <c r="N158" s="1">
        <f t="shared" ca="1" si="87"/>
        <v>156</v>
      </c>
      <c r="O158" s="1">
        <f t="shared" ca="1" si="88"/>
        <v>10</v>
      </c>
      <c r="P158" s="1"/>
      <c r="Q158" s="1">
        <f t="shared" ca="1" si="89"/>
        <v>3.808324647163785</v>
      </c>
      <c r="R158" s="1">
        <f t="shared" ca="1" si="90"/>
        <v>780</v>
      </c>
      <c r="S158" s="1"/>
      <c r="T158" s="1">
        <f t="shared" ca="1" si="91"/>
        <v>0.11847319272522375</v>
      </c>
      <c r="U158" s="1">
        <f t="shared" ca="1" si="92"/>
        <v>110</v>
      </c>
      <c r="V158" s="1">
        <f t="shared" ca="1" si="93"/>
        <v>45</v>
      </c>
      <c r="W158" s="1"/>
      <c r="X158" s="1">
        <f t="shared" ca="1" si="94"/>
        <v>6.199956844783463</v>
      </c>
      <c r="Y158" s="1">
        <f t="shared" ca="1" si="95"/>
        <v>0.33529593082801618</v>
      </c>
      <c r="Z158" s="1">
        <f t="shared" ca="1" si="96"/>
        <v>1516</v>
      </c>
      <c r="AB158" s="1">
        <f t="shared" ca="1" si="97"/>
        <v>0.78540065254850178</v>
      </c>
      <c r="AC158" s="1">
        <f t="shared" ca="1" si="98"/>
        <v>324</v>
      </c>
      <c r="AD158" s="1">
        <f t="shared" ca="1" si="99"/>
        <v>9.5519986449241288E-3</v>
      </c>
      <c r="AE158" s="1"/>
      <c r="AF158" s="1">
        <f t="shared" ca="1" si="100"/>
        <v>0.27972379801935443</v>
      </c>
      <c r="AG158" s="1">
        <f t="shared" ca="1" si="101"/>
        <v>234</v>
      </c>
      <c r="AH158" s="1">
        <f t="shared" ca="1" si="102"/>
        <v>1.6065478358818165E-3</v>
      </c>
      <c r="AJ158" s="1">
        <f t="shared" ca="1" si="103"/>
        <v>0.49614944997856203</v>
      </c>
      <c r="AK158" s="1">
        <f t="shared" ca="1" si="104"/>
        <v>1.0595673509851144E-3</v>
      </c>
      <c r="AL158" s="1"/>
      <c r="AM158" s="1">
        <f t="shared" ca="1" si="105"/>
        <v>0.14885947359589718</v>
      </c>
      <c r="AN158" s="1">
        <f t="shared" ca="1" si="106"/>
        <v>65</v>
      </c>
      <c r="AO158" s="1">
        <f t="shared" ca="1" si="107"/>
        <v>14</v>
      </c>
      <c r="AQ158" s="1">
        <f t="shared" ca="1" si="108"/>
        <v>103</v>
      </c>
      <c r="AR158" s="1">
        <f t="shared" ca="1" si="109"/>
        <v>9</v>
      </c>
      <c r="AS158" s="1">
        <f t="shared" ca="1" si="110"/>
        <v>5</v>
      </c>
      <c r="AU158" s="1">
        <f t="shared" ca="1" si="111"/>
        <v>272</v>
      </c>
      <c r="AV158" s="1">
        <f t="shared" ca="1" si="112"/>
        <v>8</v>
      </c>
      <c r="AW158" s="1">
        <f t="shared" ca="1" si="113"/>
        <v>0.19864980329242657</v>
      </c>
      <c r="AY158" s="1">
        <f t="shared" ca="1" si="114"/>
        <v>1.148792229914319</v>
      </c>
      <c r="AZ158" s="1">
        <f t="shared" ca="1" si="115"/>
        <v>98</v>
      </c>
      <c r="BA158" s="1">
        <f t="shared" ca="1" si="116"/>
        <v>1.8679531736821885E-3</v>
      </c>
    </row>
    <row r="159" spans="2:53" x14ac:dyDescent="0.25">
      <c r="B159">
        <f t="shared" ca="1" si="78"/>
        <v>658</v>
      </c>
      <c r="C159">
        <f t="shared" ca="1" si="79"/>
        <v>23</v>
      </c>
      <c r="D159">
        <f t="shared" ca="1" si="80"/>
        <v>0.22058137725987517</v>
      </c>
      <c r="F159" s="1">
        <f t="shared" ca="1" si="81"/>
        <v>34</v>
      </c>
      <c r="G159" s="1">
        <f t="shared" ca="1" si="82"/>
        <v>7</v>
      </c>
      <c r="H159" s="1">
        <f t="shared" ca="1" si="83"/>
        <v>10</v>
      </c>
      <c r="I159" s="1"/>
      <c r="J159" s="1">
        <f t="shared" ca="1" si="84"/>
        <v>18</v>
      </c>
      <c r="K159" s="1">
        <f t="shared" ca="1" si="85"/>
        <v>2.0762535565042981</v>
      </c>
      <c r="L159" s="1">
        <f t="shared" ca="1" si="86"/>
        <v>2</v>
      </c>
      <c r="M159" s="1"/>
      <c r="N159" s="1">
        <f t="shared" ca="1" si="87"/>
        <v>681</v>
      </c>
      <c r="O159" s="1">
        <f t="shared" ca="1" si="88"/>
        <v>12</v>
      </c>
      <c r="P159" s="1"/>
      <c r="Q159" s="1">
        <f t="shared" ca="1" si="89"/>
        <v>4.7862769911069591</v>
      </c>
      <c r="R159" s="1">
        <f t="shared" ca="1" si="90"/>
        <v>1092</v>
      </c>
      <c r="S159" s="1"/>
      <c r="T159" s="1">
        <f t="shared" ca="1" si="91"/>
        <v>6.702022609903939E-2</v>
      </c>
      <c r="U159" s="1">
        <f t="shared" ca="1" si="92"/>
        <v>67</v>
      </c>
      <c r="V159" s="1">
        <f t="shared" ca="1" si="93"/>
        <v>6</v>
      </c>
      <c r="W159" s="1"/>
      <c r="X159" s="1">
        <f t="shared" ca="1" si="94"/>
        <v>2.6989843215355687</v>
      </c>
      <c r="Y159" s="1">
        <f t="shared" ca="1" si="95"/>
        <v>0.43449807604283192</v>
      </c>
      <c r="Z159" s="1">
        <f t="shared" ca="1" si="96"/>
        <v>1331</v>
      </c>
      <c r="AB159" s="1">
        <f t="shared" ca="1" si="97"/>
        <v>0.3200186524705903</v>
      </c>
      <c r="AC159" s="1">
        <f t="shared" ca="1" si="98"/>
        <v>339</v>
      </c>
      <c r="AD159" s="1">
        <f t="shared" ca="1" si="99"/>
        <v>6.0578050718838811E-3</v>
      </c>
      <c r="AE159" s="1"/>
      <c r="AF159" s="1">
        <f t="shared" ca="1" si="100"/>
        <v>0.15036162687425467</v>
      </c>
      <c r="AG159" s="1">
        <f t="shared" ca="1" si="101"/>
        <v>457</v>
      </c>
      <c r="AH159" s="1">
        <f t="shared" ca="1" si="102"/>
        <v>8.6511771669126811E-3</v>
      </c>
      <c r="AJ159" s="1">
        <f t="shared" ca="1" si="103"/>
        <v>5.9585986170664906E-2</v>
      </c>
      <c r="AK159" s="1">
        <f t="shared" ca="1" si="104"/>
        <v>8.9358581643756829E-3</v>
      </c>
      <c r="AL159" s="1"/>
      <c r="AM159" s="1">
        <f t="shared" ca="1" si="105"/>
        <v>9.0967816389133982E-2</v>
      </c>
      <c r="AN159" s="1">
        <f t="shared" ca="1" si="106"/>
        <v>28</v>
      </c>
      <c r="AO159" s="1">
        <f t="shared" ca="1" si="107"/>
        <v>6</v>
      </c>
      <c r="AQ159" s="1">
        <f t="shared" ca="1" si="108"/>
        <v>89</v>
      </c>
      <c r="AR159" s="1">
        <f t="shared" ca="1" si="109"/>
        <v>8</v>
      </c>
      <c r="AS159" s="1">
        <f t="shared" ca="1" si="110"/>
        <v>64</v>
      </c>
      <c r="AU159" s="1">
        <f t="shared" ca="1" si="111"/>
        <v>144</v>
      </c>
      <c r="AV159" s="1">
        <f t="shared" ca="1" si="112"/>
        <v>6</v>
      </c>
      <c r="AW159" s="1">
        <f t="shared" ca="1" si="113"/>
        <v>0.15958631446747157</v>
      </c>
      <c r="AY159" s="1">
        <f t="shared" ca="1" si="114"/>
        <v>1.5927980445484369</v>
      </c>
      <c r="AZ159" s="1">
        <f t="shared" ca="1" si="115"/>
        <v>113</v>
      </c>
      <c r="BA159" s="1">
        <f t="shared" ca="1" si="116"/>
        <v>3.9063787878425736E-3</v>
      </c>
    </row>
    <row r="160" spans="2:53" x14ac:dyDescent="0.25">
      <c r="B160">
        <f t="shared" ca="1" si="78"/>
        <v>847</v>
      </c>
      <c r="C160">
        <f t="shared" ca="1" si="79"/>
        <v>15</v>
      </c>
      <c r="D160">
        <f t="shared" ca="1" si="80"/>
        <v>1.6114453960574496E-2</v>
      </c>
      <c r="F160" s="1">
        <f t="shared" ca="1" si="81"/>
        <v>38</v>
      </c>
      <c r="G160" s="1">
        <f t="shared" ca="1" si="82"/>
        <v>29</v>
      </c>
      <c r="H160" s="1">
        <f t="shared" ca="1" si="83"/>
        <v>3</v>
      </c>
      <c r="I160" s="1"/>
      <c r="J160" s="1">
        <f t="shared" ca="1" si="84"/>
        <v>15</v>
      </c>
      <c r="K160" s="1">
        <f t="shared" ca="1" si="85"/>
        <v>1.7023147633415001</v>
      </c>
      <c r="L160" s="1">
        <f t="shared" ca="1" si="86"/>
        <v>3</v>
      </c>
      <c r="M160" s="1"/>
      <c r="N160" s="1">
        <f t="shared" ca="1" si="87"/>
        <v>648</v>
      </c>
      <c r="O160" s="1">
        <f t="shared" ca="1" si="88"/>
        <v>28</v>
      </c>
      <c r="P160" s="1"/>
      <c r="Q160" s="1">
        <f t="shared" ca="1" si="89"/>
        <v>1.1460878908377754</v>
      </c>
      <c r="R160" s="1">
        <f t="shared" ca="1" si="90"/>
        <v>208</v>
      </c>
      <c r="S160" s="1"/>
      <c r="T160" s="1">
        <f t="shared" ca="1" si="91"/>
        <v>0.19762262003492645</v>
      </c>
      <c r="U160" s="1">
        <f t="shared" ca="1" si="92"/>
        <v>87</v>
      </c>
      <c r="V160" s="1">
        <f t="shared" ca="1" si="93"/>
        <v>22</v>
      </c>
      <c r="W160" s="1"/>
      <c r="X160" s="1">
        <f t="shared" ca="1" si="94"/>
        <v>7.9767065141309796</v>
      </c>
      <c r="Y160" s="1">
        <f t="shared" ca="1" si="95"/>
        <v>0.93584728139329321</v>
      </c>
      <c r="Z160" s="1">
        <f t="shared" ca="1" si="96"/>
        <v>906</v>
      </c>
      <c r="AB160" s="1">
        <f t="shared" ca="1" si="97"/>
        <v>0.84895173401209256</v>
      </c>
      <c r="AC160" s="1">
        <f t="shared" ca="1" si="98"/>
        <v>335</v>
      </c>
      <c r="AD160" s="1">
        <f t="shared" ca="1" si="99"/>
        <v>5.5139242676629473E-3</v>
      </c>
      <c r="AE160" s="1"/>
      <c r="AF160" s="1">
        <f t="shared" ca="1" si="100"/>
        <v>0.1263275572256215</v>
      </c>
      <c r="AG160" s="1">
        <f t="shared" ca="1" si="101"/>
        <v>508</v>
      </c>
      <c r="AH160" s="1">
        <f t="shared" ca="1" si="102"/>
        <v>6.8677932988056153E-3</v>
      </c>
      <c r="AJ160" s="1">
        <f t="shared" ca="1" si="103"/>
        <v>0.17007587394881707</v>
      </c>
      <c r="AK160" s="1">
        <f t="shared" ca="1" si="104"/>
        <v>1.8104405144818419E-3</v>
      </c>
      <c r="AL160" s="1"/>
      <c r="AM160" s="1">
        <f t="shared" ca="1" si="105"/>
        <v>3.5383000664137979E-2</v>
      </c>
      <c r="AN160" s="1">
        <f t="shared" ca="1" si="106"/>
        <v>24</v>
      </c>
      <c r="AO160" s="1">
        <f t="shared" ca="1" si="107"/>
        <v>5</v>
      </c>
      <c r="AQ160" s="1">
        <f t="shared" ca="1" si="108"/>
        <v>50</v>
      </c>
      <c r="AR160" s="1">
        <f t="shared" ca="1" si="109"/>
        <v>10</v>
      </c>
      <c r="AS160" s="1">
        <f t="shared" ca="1" si="110"/>
        <v>60</v>
      </c>
      <c r="AU160" s="1">
        <f t="shared" ca="1" si="111"/>
        <v>278</v>
      </c>
      <c r="AV160" s="1">
        <f t="shared" ca="1" si="112"/>
        <v>6</v>
      </c>
      <c r="AW160" s="1">
        <f t="shared" ca="1" si="113"/>
        <v>0.16054565322260014</v>
      </c>
      <c r="AY160" s="1">
        <f t="shared" ca="1" si="114"/>
        <v>1.1023003953493165</v>
      </c>
      <c r="AZ160" s="1">
        <f t="shared" ca="1" si="115"/>
        <v>387</v>
      </c>
      <c r="BA160" s="1">
        <f t="shared" ca="1" si="116"/>
        <v>7.2435271416635572E-3</v>
      </c>
    </row>
    <row r="161" spans="2:53" x14ac:dyDescent="0.25">
      <c r="B161">
        <f t="shared" ca="1" si="78"/>
        <v>224</v>
      </c>
      <c r="C161">
        <f t="shared" ca="1" si="79"/>
        <v>48</v>
      </c>
      <c r="D161">
        <f t="shared" ca="1" si="80"/>
        <v>0.13918535383235869</v>
      </c>
      <c r="F161" s="1">
        <f t="shared" ca="1" si="81"/>
        <v>23</v>
      </c>
      <c r="G161" s="1">
        <f t="shared" ca="1" si="82"/>
        <v>6</v>
      </c>
      <c r="H161" s="1">
        <f t="shared" ca="1" si="83"/>
        <v>4</v>
      </c>
      <c r="I161" s="1"/>
      <c r="J161" s="1">
        <f t="shared" ca="1" si="84"/>
        <v>17</v>
      </c>
      <c r="K161" s="1">
        <f t="shared" ca="1" si="85"/>
        <v>1.1139237043593055</v>
      </c>
      <c r="L161" s="1">
        <f t="shared" ca="1" si="86"/>
        <v>8</v>
      </c>
      <c r="M161" s="1"/>
      <c r="N161" s="1">
        <f t="shared" ca="1" si="87"/>
        <v>978</v>
      </c>
      <c r="O161" s="1">
        <f t="shared" ca="1" si="88"/>
        <v>2</v>
      </c>
      <c r="P161" s="1"/>
      <c r="Q161" s="1">
        <f t="shared" ca="1" si="89"/>
        <v>2.8581646756029668</v>
      </c>
      <c r="R161" s="1">
        <f t="shared" ca="1" si="90"/>
        <v>698</v>
      </c>
      <c r="S161" s="1"/>
      <c r="T161" s="1">
        <f t="shared" ca="1" si="91"/>
        <v>6.3231137086079012E-2</v>
      </c>
      <c r="U161" s="1">
        <f t="shared" ca="1" si="92"/>
        <v>86</v>
      </c>
      <c r="V161" s="1">
        <f t="shared" ca="1" si="93"/>
        <v>24</v>
      </c>
      <c r="W161" s="1"/>
      <c r="X161" s="1">
        <f t="shared" ca="1" si="94"/>
        <v>2.3302901744593938</v>
      </c>
      <c r="Y161" s="1">
        <f t="shared" ca="1" si="95"/>
        <v>0.95657580470173798</v>
      </c>
      <c r="Z161" s="1">
        <f t="shared" ca="1" si="96"/>
        <v>1603</v>
      </c>
      <c r="AB161" s="1">
        <f t="shared" ca="1" si="97"/>
        <v>0.67830765230679779</v>
      </c>
      <c r="AC161" s="1">
        <f t="shared" ca="1" si="98"/>
        <v>681</v>
      </c>
      <c r="AD161" s="1">
        <f t="shared" ca="1" si="99"/>
        <v>1.9220555632214363E-4</v>
      </c>
      <c r="AE161" s="1"/>
      <c r="AF161" s="1">
        <f t="shared" ca="1" si="100"/>
        <v>0.29368643025832847</v>
      </c>
      <c r="AG161" s="1">
        <f t="shared" ca="1" si="101"/>
        <v>586</v>
      </c>
      <c r="AH161" s="1">
        <f t="shared" ca="1" si="102"/>
        <v>2.2189814935586944E-3</v>
      </c>
      <c r="AJ161" s="1">
        <f t="shared" ca="1" si="103"/>
        <v>0.36726524967672347</v>
      </c>
      <c r="AK161" s="1">
        <f t="shared" ca="1" si="104"/>
        <v>4.6038503974579993E-3</v>
      </c>
      <c r="AL161" s="1"/>
      <c r="AM161" s="1">
        <f t="shared" ca="1" si="105"/>
        <v>2.7840578773656404E-2</v>
      </c>
      <c r="AN161" s="1">
        <f t="shared" ca="1" si="106"/>
        <v>28</v>
      </c>
      <c r="AO161" s="1">
        <f t="shared" ca="1" si="107"/>
        <v>0</v>
      </c>
      <c r="AQ161" s="1">
        <f t="shared" ca="1" si="108"/>
        <v>198</v>
      </c>
      <c r="AR161" s="1">
        <f t="shared" ca="1" si="109"/>
        <v>7</v>
      </c>
      <c r="AS161" s="1">
        <f t="shared" ca="1" si="110"/>
        <v>25</v>
      </c>
      <c r="AU161" s="1">
        <f t="shared" ca="1" si="111"/>
        <v>146</v>
      </c>
      <c r="AV161" s="1">
        <f t="shared" ca="1" si="112"/>
        <v>8</v>
      </c>
      <c r="AW161" s="1">
        <f t="shared" ca="1" si="113"/>
        <v>8.927031229082967E-2</v>
      </c>
      <c r="AY161" s="1">
        <f t="shared" ca="1" si="114"/>
        <v>1.7605839314807317</v>
      </c>
      <c r="AZ161" s="1">
        <f t="shared" ca="1" si="115"/>
        <v>291</v>
      </c>
      <c r="BA161" s="1">
        <f t="shared" ca="1" si="116"/>
        <v>8.3777473585308748E-3</v>
      </c>
    </row>
    <row r="162" spans="2:53" x14ac:dyDescent="0.25">
      <c r="B162">
        <f t="shared" ca="1" si="78"/>
        <v>99</v>
      </c>
      <c r="C162">
        <f t="shared" ca="1" si="79"/>
        <v>27</v>
      </c>
      <c r="D162">
        <f t="shared" ca="1" si="80"/>
        <v>8.1967137297928788E-2</v>
      </c>
      <c r="F162" s="1">
        <f t="shared" ca="1" si="81"/>
        <v>14</v>
      </c>
      <c r="G162" s="1">
        <f t="shared" ca="1" si="82"/>
        <v>3</v>
      </c>
      <c r="H162" s="1">
        <f t="shared" ca="1" si="83"/>
        <v>7</v>
      </c>
      <c r="I162" s="1"/>
      <c r="J162" s="1">
        <f t="shared" ca="1" si="84"/>
        <v>5</v>
      </c>
      <c r="K162" s="1">
        <f t="shared" ca="1" si="85"/>
        <v>2.3929483174279511</v>
      </c>
      <c r="L162" s="1">
        <f t="shared" ca="1" si="86"/>
        <v>15</v>
      </c>
      <c r="M162" s="1"/>
      <c r="N162" s="1">
        <f t="shared" ca="1" si="87"/>
        <v>124</v>
      </c>
      <c r="O162" s="1">
        <f t="shared" ca="1" si="88"/>
        <v>12</v>
      </c>
      <c r="P162" s="1"/>
      <c r="Q162" s="1">
        <f t="shared" ca="1" si="89"/>
        <v>3.9103978728584998</v>
      </c>
      <c r="R162" s="1">
        <f t="shared" ca="1" si="90"/>
        <v>955</v>
      </c>
      <c r="S162" s="1"/>
      <c r="T162" s="1">
        <f t="shared" ca="1" si="91"/>
        <v>1.3067626693765103E-2</v>
      </c>
      <c r="U162" s="1">
        <f t="shared" ca="1" si="92"/>
        <v>83</v>
      </c>
      <c r="V162" s="1">
        <f t="shared" ca="1" si="93"/>
        <v>13</v>
      </c>
      <c r="W162" s="1"/>
      <c r="X162" s="1">
        <f t="shared" ca="1" si="94"/>
        <v>4.8936737638615888</v>
      </c>
      <c r="Y162" s="1">
        <f t="shared" ca="1" si="95"/>
        <v>0.54681530165484038</v>
      </c>
      <c r="Z162" s="1">
        <f t="shared" ca="1" si="96"/>
        <v>1556</v>
      </c>
      <c r="AB162" s="1">
        <f t="shared" ca="1" si="97"/>
        <v>0.8874653471876911</v>
      </c>
      <c r="AC162" s="1">
        <f t="shared" ca="1" si="98"/>
        <v>750</v>
      </c>
      <c r="AD162" s="1">
        <f t="shared" ca="1" si="99"/>
        <v>7.9917271061823603E-3</v>
      </c>
      <c r="AE162" s="1"/>
      <c r="AF162" s="1">
        <f t="shared" ca="1" si="100"/>
        <v>0.67461366730571437</v>
      </c>
      <c r="AG162" s="1">
        <f t="shared" ca="1" si="101"/>
        <v>447</v>
      </c>
      <c r="AH162" s="1">
        <f t="shared" ca="1" si="102"/>
        <v>6.8728822685867998E-3</v>
      </c>
      <c r="AJ162" s="1">
        <f t="shared" ca="1" si="103"/>
        <v>0.97326923756512995</v>
      </c>
      <c r="AK162" s="1">
        <f t="shared" ca="1" si="104"/>
        <v>6.3689449567708766E-3</v>
      </c>
      <c r="AL162" s="1"/>
      <c r="AM162" s="1">
        <f t="shared" ca="1" si="105"/>
        <v>0.14665346353452577</v>
      </c>
      <c r="AN162" s="1">
        <f t="shared" ca="1" si="106"/>
        <v>39</v>
      </c>
      <c r="AO162" s="1">
        <f t="shared" ca="1" si="107"/>
        <v>3</v>
      </c>
      <c r="AQ162" s="1">
        <f t="shared" ca="1" si="108"/>
        <v>170</v>
      </c>
      <c r="AR162" s="1">
        <f t="shared" ca="1" si="109"/>
        <v>9</v>
      </c>
      <c r="AS162" s="1">
        <f t="shared" ca="1" si="110"/>
        <v>34</v>
      </c>
      <c r="AU162" s="1">
        <f t="shared" ca="1" si="111"/>
        <v>356</v>
      </c>
      <c r="AV162" s="1">
        <f t="shared" ca="1" si="112"/>
        <v>4</v>
      </c>
      <c r="AW162" s="1">
        <f t="shared" ca="1" si="113"/>
        <v>0.18365886915681426</v>
      </c>
      <c r="AY162" s="1">
        <f t="shared" ca="1" si="114"/>
        <v>1.2949020670832894</v>
      </c>
      <c r="AZ162" s="1">
        <f t="shared" ca="1" si="115"/>
        <v>426</v>
      </c>
      <c r="BA162" s="1">
        <f t="shared" ca="1" si="116"/>
        <v>4.1547039659838155E-3</v>
      </c>
    </row>
    <row r="163" spans="2:53" x14ac:dyDescent="0.25">
      <c r="B163">
        <f t="shared" ca="1" si="78"/>
        <v>639</v>
      </c>
      <c r="C163">
        <f t="shared" ca="1" si="79"/>
        <v>46</v>
      </c>
      <c r="D163">
        <f t="shared" ca="1" si="80"/>
        <v>0.26856760955512654</v>
      </c>
      <c r="F163" s="1">
        <f t="shared" ca="1" si="81"/>
        <v>26</v>
      </c>
      <c r="G163" s="1">
        <f t="shared" ca="1" si="82"/>
        <v>29</v>
      </c>
      <c r="H163" s="1">
        <f t="shared" ca="1" si="83"/>
        <v>7</v>
      </c>
      <c r="I163" s="1"/>
      <c r="J163" s="1">
        <f t="shared" ca="1" si="84"/>
        <v>28</v>
      </c>
      <c r="K163" s="1">
        <f t="shared" ca="1" si="85"/>
        <v>1.0373260222810701</v>
      </c>
      <c r="L163" s="1">
        <f t="shared" ca="1" si="86"/>
        <v>10</v>
      </c>
      <c r="M163" s="1"/>
      <c r="N163" s="1">
        <f t="shared" ca="1" si="87"/>
        <v>661</v>
      </c>
      <c r="O163" s="1">
        <f t="shared" ca="1" si="88"/>
        <v>11</v>
      </c>
      <c r="P163" s="1"/>
      <c r="Q163" s="1">
        <f t="shared" ca="1" si="89"/>
        <v>1.1772500503161811</v>
      </c>
      <c r="R163" s="1">
        <f t="shared" ca="1" si="90"/>
        <v>638</v>
      </c>
      <c r="S163" s="1"/>
      <c r="T163" s="1">
        <f t="shared" ca="1" si="91"/>
        <v>0.11381985156782466</v>
      </c>
      <c r="U163" s="1">
        <f t="shared" ca="1" si="92"/>
        <v>69</v>
      </c>
      <c r="V163" s="1">
        <f t="shared" ca="1" si="93"/>
        <v>11</v>
      </c>
      <c r="W163" s="1"/>
      <c r="X163" s="1">
        <f t="shared" ca="1" si="94"/>
        <v>8.7465812819915758</v>
      </c>
      <c r="Y163" s="1">
        <f t="shared" ca="1" si="95"/>
        <v>0.46605589113421803</v>
      </c>
      <c r="Z163" s="1">
        <f t="shared" ca="1" si="96"/>
        <v>1002</v>
      </c>
      <c r="AB163" s="1">
        <f t="shared" ca="1" si="97"/>
        <v>0.62448274879588317</v>
      </c>
      <c r="AC163" s="1">
        <f t="shared" ca="1" si="98"/>
        <v>121</v>
      </c>
      <c r="AD163" s="1">
        <f t="shared" ca="1" si="99"/>
        <v>4.1518505382641879E-3</v>
      </c>
      <c r="AE163" s="1"/>
      <c r="AF163" s="1">
        <f t="shared" ca="1" si="100"/>
        <v>0.58676112008982872</v>
      </c>
      <c r="AG163" s="1">
        <f t="shared" ca="1" si="101"/>
        <v>512</v>
      </c>
      <c r="AH163" s="1">
        <f t="shared" ca="1" si="102"/>
        <v>4.7152628905613265E-3</v>
      </c>
      <c r="AJ163" s="1">
        <f t="shared" ca="1" si="103"/>
        <v>0.7444737632628049</v>
      </c>
      <c r="AK163" s="1">
        <f t="shared" ca="1" si="104"/>
        <v>9.0294370959945486E-3</v>
      </c>
      <c r="AL163" s="1"/>
      <c r="AM163" s="1">
        <f t="shared" ca="1" si="105"/>
        <v>0.11771388088472053</v>
      </c>
      <c r="AN163" s="1">
        <f t="shared" ca="1" si="106"/>
        <v>28</v>
      </c>
      <c r="AO163" s="1">
        <f t="shared" ca="1" si="107"/>
        <v>19</v>
      </c>
      <c r="AQ163" s="1">
        <f t="shared" ca="1" si="108"/>
        <v>188</v>
      </c>
      <c r="AR163" s="1">
        <f t="shared" ca="1" si="109"/>
        <v>8</v>
      </c>
      <c r="AS163" s="1">
        <f t="shared" ca="1" si="110"/>
        <v>96</v>
      </c>
      <c r="AU163" s="1">
        <f t="shared" ca="1" si="111"/>
        <v>223</v>
      </c>
      <c r="AV163" s="1">
        <f t="shared" ca="1" si="112"/>
        <v>3</v>
      </c>
      <c r="AW163" s="1">
        <f t="shared" ca="1" si="113"/>
        <v>0.15620211515160964</v>
      </c>
      <c r="AY163" s="1">
        <f t="shared" ca="1" si="114"/>
        <v>1.7761755529911976</v>
      </c>
      <c r="AZ163" s="1">
        <f t="shared" ca="1" si="115"/>
        <v>131</v>
      </c>
      <c r="BA163" s="1">
        <f t="shared" ca="1" si="116"/>
        <v>3.0717592596955783E-3</v>
      </c>
    </row>
    <row r="164" spans="2:53" x14ac:dyDescent="0.25">
      <c r="B164">
        <f t="shared" ca="1" si="78"/>
        <v>759</v>
      </c>
      <c r="C164">
        <f t="shared" ca="1" si="79"/>
        <v>16</v>
      </c>
      <c r="D164">
        <f t="shared" ca="1" si="80"/>
        <v>0.1976083922782377</v>
      </c>
      <c r="F164" s="1">
        <f t="shared" ca="1" si="81"/>
        <v>13</v>
      </c>
      <c r="G164" s="1">
        <f t="shared" ca="1" si="82"/>
        <v>11</v>
      </c>
      <c r="H164" s="1">
        <f t="shared" ca="1" si="83"/>
        <v>9</v>
      </c>
      <c r="I164" s="1"/>
      <c r="J164" s="1">
        <f t="shared" ca="1" si="84"/>
        <v>3</v>
      </c>
      <c r="K164" s="1">
        <f t="shared" ca="1" si="85"/>
        <v>1.4905022860341748</v>
      </c>
      <c r="L164" s="1">
        <f t="shared" ca="1" si="86"/>
        <v>4</v>
      </c>
      <c r="M164" s="1"/>
      <c r="N164" s="1">
        <f t="shared" ca="1" si="87"/>
        <v>131</v>
      </c>
      <c r="O164" s="1">
        <f t="shared" ca="1" si="88"/>
        <v>26</v>
      </c>
      <c r="P164" s="1"/>
      <c r="Q164" s="1">
        <f t="shared" ca="1" si="89"/>
        <v>2.3832365841518359</v>
      </c>
      <c r="R164" s="1">
        <f t="shared" ca="1" si="90"/>
        <v>268</v>
      </c>
      <c r="S164" s="1"/>
      <c r="T164" s="1">
        <f t="shared" ca="1" si="91"/>
        <v>6.231931710981619E-2</v>
      </c>
      <c r="U164" s="1">
        <f t="shared" ca="1" si="92"/>
        <v>57</v>
      </c>
      <c r="V164" s="1">
        <f t="shared" ca="1" si="93"/>
        <v>50</v>
      </c>
      <c r="W164" s="1"/>
      <c r="X164" s="1">
        <f t="shared" ca="1" si="94"/>
        <v>5.1522672771020108</v>
      </c>
      <c r="Y164" s="1">
        <f t="shared" ca="1" si="95"/>
        <v>0.13904934625301005</v>
      </c>
      <c r="Z164" s="1">
        <f t="shared" ca="1" si="96"/>
        <v>200</v>
      </c>
      <c r="AB164" s="1">
        <f t="shared" ca="1" si="97"/>
        <v>7.8886704242027123E-2</v>
      </c>
      <c r="AC164" s="1">
        <f t="shared" ca="1" si="98"/>
        <v>944</v>
      </c>
      <c r="AD164" s="1">
        <f t="shared" ca="1" si="99"/>
        <v>2.3684230965864887E-4</v>
      </c>
      <c r="AE164" s="1"/>
      <c r="AF164" s="1">
        <f t="shared" ca="1" si="100"/>
        <v>0.2612570824482659</v>
      </c>
      <c r="AG164" s="1">
        <f t="shared" ca="1" si="101"/>
        <v>280</v>
      </c>
      <c r="AH164" s="1">
        <f t="shared" ca="1" si="102"/>
        <v>8.8699871705309897E-3</v>
      </c>
      <c r="AJ164" s="1">
        <f t="shared" ca="1" si="103"/>
        <v>0.18466201597942444</v>
      </c>
      <c r="AK164" s="1">
        <f t="shared" ca="1" si="104"/>
        <v>6.7698469399114078E-3</v>
      </c>
      <c r="AL164" s="1"/>
      <c r="AM164" s="1">
        <f t="shared" ca="1" si="105"/>
        <v>4.1403975930396561E-2</v>
      </c>
      <c r="AN164" s="1">
        <f t="shared" ca="1" si="106"/>
        <v>11</v>
      </c>
      <c r="AO164" s="1">
        <f t="shared" ca="1" si="107"/>
        <v>2</v>
      </c>
      <c r="AQ164" s="1">
        <f t="shared" ca="1" si="108"/>
        <v>126</v>
      </c>
      <c r="AR164" s="1">
        <f t="shared" ca="1" si="109"/>
        <v>7</v>
      </c>
      <c r="AS164" s="1">
        <f t="shared" ca="1" si="110"/>
        <v>93</v>
      </c>
      <c r="AU164" s="1">
        <f t="shared" ca="1" si="111"/>
        <v>218</v>
      </c>
      <c r="AV164" s="1">
        <f t="shared" ca="1" si="112"/>
        <v>10</v>
      </c>
      <c r="AW164" s="1">
        <f t="shared" ca="1" si="113"/>
        <v>0.17747137256314291</v>
      </c>
      <c r="AY164" s="1">
        <f t="shared" ca="1" si="114"/>
        <v>1.4821756451087427</v>
      </c>
      <c r="AZ164" s="1">
        <f t="shared" ca="1" si="115"/>
        <v>179</v>
      </c>
      <c r="BA164" s="1">
        <f t="shared" ca="1" si="116"/>
        <v>4.2928428355633406E-3</v>
      </c>
    </row>
    <row r="165" spans="2:53" x14ac:dyDescent="0.25">
      <c r="B165">
        <f t="shared" ca="1" si="78"/>
        <v>954</v>
      </c>
      <c r="C165">
        <f t="shared" ca="1" si="79"/>
        <v>28</v>
      </c>
      <c r="D165">
        <f t="shared" ca="1" si="80"/>
        <v>0.24923552524368503</v>
      </c>
      <c r="F165" s="1">
        <f t="shared" ca="1" si="81"/>
        <v>26</v>
      </c>
      <c r="G165" s="1">
        <f t="shared" ca="1" si="82"/>
        <v>29</v>
      </c>
      <c r="H165" s="1">
        <f t="shared" ca="1" si="83"/>
        <v>4</v>
      </c>
      <c r="I165" s="1"/>
      <c r="J165" s="1">
        <f t="shared" ca="1" si="84"/>
        <v>39</v>
      </c>
      <c r="K165" s="1">
        <f t="shared" ca="1" si="85"/>
        <v>1.3652392699095668</v>
      </c>
      <c r="L165" s="1">
        <f t="shared" ca="1" si="86"/>
        <v>32</v>
      </c>
      <c r="M165" s="1"/>
      <c r="N165" s="1">
        <f t="shared" ca="1" si="87"/>
        <v>450</v>
      </c>
      <c r="O165" s="1">
        <f t="shared" ca="1" si="88"/>
        <v>21</v>
      </c>
      <c r="P165" s="1"/>
      <c r="Q165" s="1">
        <f t="shared" ca="1" si="89"/>
        <v>4.9185062943664066</v>
      </c>
      <c r="R165" s="1">
        <f t="shared" ca="1" si="90"/>
        <v>368</v>
      </c>
      <c r="S165" s="1"/>
      <c r="T165" s="1">
        <f t="shared" ca="1" si="91"/>
        <v>2.378132837057579E-2</v>
      </c>
      <c r="U165" s="1">
        <f t="shared" ca="1" si="92"/>
        <v>197</v>
      </c>
      <c r="V165" s="1">
        <f t="shared" ca="1" si="93"/>
        <v>2</v>
      </c>
      <c r="W165" s="1"/>
      <c r="X165" s="1">
        <f t="shared" ca="1" si="94"/>
        <v>2.9528938515356944</v>
      </c>
      <c r="Y165" s="1">
        <f t="shared" ca="1" si="95"/>
        <v>0.24516963941294775</v>
      </c>
      <c r="Z165" s="1">
        <f t="shared" ca="1" si="96"/>
        <v>348</v>
      </c>
      <c r="AB165" s="1">
        <f t="shared" ca="1" si="97"/>
        <v>0.26677256290900125</v>
      </c>
      <c r="AC165" s="1">
        <f t="shared" ca="1" si="98"/>
        <v>599</v>
      </c>
      <c r="AD165" s="1">
        <f t="shared" ca="1" si="99"/>
        <v>1.8008005453095375E-3</v>
      </c>
      <c r="AE165" s="1"/>
      <c r="AF165" s="1">
        <f t="shared" ca="1" si="100"/>
        <v>0.40302463326674209</v>
      </c>
      <c r="AG165" s="1">
        <f t="shared" ca="1" si="101"/>
        <v>402</v>
      </c>
      <c r="AH165" s="1">
        <f t="shared" ca="1" si="102"/>
        <v>1.8228226053728226E-3</v>
      </c>
      <c r="AJ165" s="1">
        <f t="shared" ca="1" si="103"/>
        <v>0.36035928199298495</v>
      </c>
      <c r="AK165" s="1">
        <f t="shared" ca="1" si="104"/>
        <v>6.1082418321505667E-3</v>
      </c>
      <c r="AL165" s="1"/>
      <c r="AM165" s="1">
        <f t="shared" ca="1" si="105"/>
        <v>2.8259044374823728E-2</v>
      </c>
      <c r="AN165" s="1">
        <f t="shared" ca="1" si="106"/>
        <v>71</v>
      </c>
      <c r="AO165" s="1">
        <f t="shared" ca="1" si="107"/>
        <v>9</v>
      </c>
      <c r="AQ165" s="1">
        <f t="shared" ca="1" si="108"/>
        <v>174</v>
      </c>
      <c r="AR165" s="1">
        <f t="shared" ca="1" si="109"/>
        <v>7</v>
      </c>
      <c r="AS165" s="1">
        <f t="shared" ca="1" si="110"/>
        <v>96</v>
      </c>
      <c r="AU165" s="1">
        <f t="shared" ca="1" si="111"/>
        <v>162</v>
      </c>
      <c r="AV165" s="1">
        <f t="shared" ca="1" si="112"/>
        <v>8</v>
      </c>
      <c r="AW165" s="1">
        <f t="shared" ca="1" si="113"/>
        <v>0.19366041863533756</v>
      </c>
      <c r="AY165" s="1">
        <f t="shared" ca="1" si="114"/>
        <v>1.1747240016121074</v>
      </c>
      <c r="AZ165" s="1">
        <f t="shared" ca="1" si="115"/>
        <v>405</v>
      </c>
      <c r="BA165" s="1">
        <f t="shared" ca="1" si="116"/>
        <v>1.812952680685899E-3</v>
      </c>
    </row>
    <row r="166" spans="2:53" x14ac:dyDescent="0.25">
      <c r="B166">
        <f t="shared" ca="1" si="78"/>
        <v>156</v>
      </c>
      <c r="C166">
        <f t="shared" ca="1" si="79"/>
        <v>38</v>
      </c>
      <c r="D166">
        <f t="shared" ca="1" si="80"/>
        <v>0.15475549719421328</v>
      </c>
      <c r="F166" s="1">
        <f t="shared" ca="1" si="81"/>
        <v>20</v>
      </c>
      <c r="G166" s="1">
        <f t="shared" ca="1" si="82"/>
        <v>26</v>
      </c>
      <c r="H166" s="1">
        <f t="shared" ca="1" si="83"/>
        <v>11</v>
      </c>
      <c r="I166" s="1"/>
      <c r="J166" s="1">
        <f t="shared" ca="1" si="84"/>
        <v>5</v>
      </c>
      <c r="K166" s="1">
        <f t="shared" ca="1" si="85"/>
        <v>2.8052746187158979</v>
      </c>
      <c r="L166" s="1">
        <f t="shared" ca="1" si="86"/>
        <v>28</v>
      </c>
      <c r="M166" s="1"/>
      <c r="N166" s="1">
        <f t="shared" ca="1" si="87"/>
        <v>902</v>
      </c>
      <c r="O166" s="1">
        <f t="shared" ca="1" si="88"/>
        <v>32</v>
      </c>
      <c r="P166" s="1"/>
      <c r="Q166" s="1">
        <f t="shared" ca="1" si="89"/>
        <v>0.86632725751941553</v>
      </c>
      <c r="R166" s="1">
        <f t="shared" ca="1" si="90"/>
        <v>1028</v>
      </c>
      <c r="S166" s="1"/>
      <c r="T166" s="1">
        <f t="shared" ca="1" si="91"/>
        <v>4.2561578432266052E-2</v>
      </c>
      <c r="U166" s="1">
        <f t="shared" ca="1" si="92"/>
        <v>390</v>
      </c>
      <c r="V166" s="1">
        <f t="shared" ca="1" si="93"/>
        <v>35</v>
      </c>
      <c r="W166" s="1"/>
      <c r="X166" s="1">
        <f t="shared" ca="1" si="94"/>
        <v>8.412721421884271</v>
      </c>
      <c r="Y166" s="1">
        <f t="shared" ca="1" si="95"/>
        <v>0.43630460252801356</v>
      </c>
      <c r="Z166" s="1">
        <f t="shared" ca="1" si="96"/>
        <v>1995</v>
      </c>
      <c r="AB166" s="1">
        <f t="shared" ca="1" si="97"/>
        <v>0.93814892128238914</v>
      </c>
      <c r="AC166" s="1">
        <f t="shared" ca="1" si="98"/>
        <v>671</v>
      </c>
      <c r="AD166" s="1">
        <f t="shared" ca="1" si="99"/>
        <v>8.4164958256814828E-3</v>
      </c>
      <c r="AE166" s="1"/>
      <c r="AF166" s="1">
        <f t="shared" ca="1" si="100"/>
        <v>0.66061627949885637</v>
      </c>
      <c r="AG166" s="1">
        <f t="shared" ca="1" si="101"/>
        <v>276</v>
      </c>
      <c r="AH166" s="1">
        <f t="shared" ca="1" si="102"/>
        <v>9.5725582790706591E-3</v>
      </c>
      <c r="AJ166" s="1">
        <f t="shared" ca="1" si="103"/>
        <v>0.63784931168481285</v>
      </c>
      <c r="AK166" s="1">
        <f t="shared" ca="1" si="104"/>
        <v>6.8774308430693681E-3</v>
      </c>
      <c r="AL166" s="1"/>
      <c r="AM166" s="1">
        <f t="shared" ca="1" si="105"/>
        <v>4.4496569841158705E-2</v>
      </c>
      <c r="AN166" s="1">
        <f t="shared" ca="1" si="106"/>
        <v>48</v>
      </c>
      <c r="AO166" s="1">
        <f t="shared" ca="1" si="107"/>
        <v>6</v>
      </c>
      <c r="AQ166" s="1">
        <f t="shared" ca="1" si="108"/>
        <v>136</v>
      </c>
      <c r="AR166" s="1">
        <f t="shared" ca="1" si="109"/>
        <v>10</v>
      </c>
      <c r="AS166" s="1">
        <f t="shared" ca="1" si="110"/>
        <v>53</v>
      </c>
      <c r="AU166" s="1">
        <f t="shared" ca="1" si="111"/>
        <v>190</v>
      </c>
      <c r="AV166" s="1">
        <f t="shared" ca="1" si="112"/>
        <v>8</v>
      </c>
      <c r="AW166" s="1">
        <f t="shared" ca="1" si="113"/>
        <v>3.2422041273089973E-2</v>
      </c>
      <c r="AY166" s="1">
        <f t="shared" ca="1" si="114"/>
        <v>1.9675489785847613</v>
      </c>
      <c r="AZ166" s="1">
        <f t="shared" ca="1" si="115"/>
        <v>197</v>
      </c>
      <c r="BA166" s="1">
        <f t="shared" ca="1" si="116"/>
        <v>2.0082033657195623E-3</v>
      </c>
    </row>
    <row r="167" spans="2:53" x14ac:dyDescent="0.25">
      <c r="B167">
        <f t="shared" ca="1" si="78"/>
        <v>725</v>
      </c>
      <c r="C167">
        <f t="shared" ca="1" si="79"/>
        <v>51</v>
      </c>
      <c r="D167">
        <f t="shared" ca="1" si="80"/>
        <v>0.18224981706216822</v>
      </c>
      <c r="F167" s="1">
        <f t="shared" ca="1" si="81"/>
        <v>36</v>
      </c>
      <c r="G167" s="1">
        <f t="shared" ca="1" si="82"/>
        <v>23</v>
      </c>
      <c r="H167" s="1">
        <f t="shared" ca="1" si="83"/>
        <v>2</v>
      </c>
      <c r="I167" s="1"/>
      <c r="J167" s="1">
        <f t="shared" ca="1" si="84"/>
        <v>14</v>
      </c>
      <c r="K167" s="1">
        <f t="shared" ca="1" si="85"/>
        <v>2.5290426634752436</v>
      </c>
      <c r="L167" s="1">
        <f t="shared" ca="1" si="86"/>
        <v>13</v>
      </c>
      <c r="M167" s="1"/>
      <c r="N167" s="1">
        <f t="shared" ca="1" si="87"/>
        <v>233</v>
      </c>
      <c r="O167" s="1">
        <f t="shared" ca="1" si="88"/>
        <v>39</v>
      </c>
      <c r="P167" s="1"/>
      <c r="Q167" s="1">
        <f t="shared" ca="1" si="89"/>
        <v>4.2240590035165928</v>
      </c>
      <c r="R167" s="1">
        <f t="shared" ca="1" si="90"/>
        <v>441</v>
      </c>
      <c r="S167" s="1"/>
      <c r="T167" s="1">
        <f t="shared" ca="1" si="91"/>
        <v>0.15217470180512579</v>
      </c>
      <c r="U167" s="1">
        <f t="shared" ca="1" si="92"/>
        <v>342</v>
      </c>
      <c r="V167" s="1">
        <f t="shared" ca="1" si="93"/>
        <v>33</v>
      </c>
      <c r="W167" s="1"/>
      <c r="X167" s="1">
        <f t="shared" ca="1" si="94"/>
        <v>2.1197817224060658</v>
      </c>
      <c r="Y167" s="1">
        <f t="shared" ca="1" si="95"/>
        <v>0.42647830420032745</v>
      </c>
      <c r="Z167" s="1">
        <f t="shared" ca="1" si="96"/>
        <v>1358</v>
      </c>
      <c r="AB167" s="1">
        <f t="shared" ca="1" si="97"/>
        <v>0.4916617654810656</v>
      </c>
      <c r="AC167" s="1">
        <f t="shared" ca="1" si="98"/>
        <v>529</v>
      </c>
      <c r="AD167" s="1">
        <f t="shared" ca="1" si="99"/>
        <v>3.4208600079253348E-4</v>
      </c>
      <c r="AE167" s="1"/>
      <c r="AF167" s="1">
        <f t="shared" ca="1" si="100"/>
        <v>0.40521216766122048</v>
      </c>
      <c r="AG167" s="1">
        <f t="shared" ca="1" si="101"/>
        <v>444</v>
      </c>
      <c r="AH167" s="1">
        <f t="shared" ca="1" si="102"/>
        <v>5.5397027087250332E-3</v>
      </c>
      <c r="AJ167" s="1">
        <f t="shared" ca="1" si="103"/>
        <v>0.83438991670778395</v>
      </c>
      <c r="AK167" s="1">
        <f t="shared" ca="1" si="104"/>
        <v>7.3316363649677928E-3</v>
      </c>
      <c r="AL167" s="1"/>
      <c r="AM167" s="1">
        <f t="shared" ca="1" si="105"/>
        <v>7.1966138199858504E-2</v>
      </c>
      <c r="AN167" s="1">
        <f t="shared" ca="1" si="106"/>
        <v>72</v>
      </c>
      <c r="AO167" s="1">
        <f t="shared" ca="1" si="107"/>
        <v>9</v>
      </c>
      <c r="AQ167" s="1">
        <f t="shared" ca="1" si="108"/>
        <v>135</v>
      </c>
      <c r="AR167" s="1">
        <f t="shared" ca="1" si="109"/>
        <v>6</v>
      </c>
      <c r="AS167" s="1">
        <f t="shared" ca="1" si="110"/>
        <v>19</v>
      </c>
      <c r="AU167" s="1">
        <f t="shared" ca="1" si="111"/>
        <v>193</v>
      </c>
      <c r="AV167" s="1">
        <f t="shared" ca="1" si="112"/>
        <v>6</v>
      </c>
      <c r="AW167" s="1">
        <f t="shared" ca="1" si="113"/>
        <v>0.10429728531269224</v>
      </c>
      <c r="AY167" s="1">
        <f t="shared" ca="1" si="114"/>
        <v>1.5768621317388118</v>
      </c>
      <c r="AZ167" s="1">
        <f t="shared" ca="1" si="115"/>
        <v>168</v>
      </c>
      <c r="BA167" s="1">
        <f t="shared" ca="1" si="116"/>
        <v>9.1398052912165257E-3</v>
      </c>
    </row>
    <row r="168" spans="2:53" x14ac:dyDescent="0.25">
      <c r="B168">
        <f t="shared" ca="1" si="78"/>
        <v>804</v>
      </c>
      <c r="C168">
        <f t="shared" ca="1" si="79"/>
        <v>16</v>
      </c>
      <c r="D168">
        <f t="shared" ca="1" si="80"/>
        <v>0.1330298920981742</v>
      </c>
      <c r="F168" s="1">
        <f t="shared" ca="1" si="81"/>
        <v>20</v>
      </c>
      <c r="G168" s="1">
        <f t="shared" ca="1" si="82"/>
        <v>12</v>
      </c>
      <c r="H168" s="1">
        <f t="shared" ca="1" si="83"/>
        <v>13</v>
      </c>
      <c r="I168" s="1"/>
      <c r="J168" s="1">
        <f t="shared" ca="1" si="84"/>
        <v>34</v>
      </c>
      <c r="K168" s="1">
        <f t="shared" ca="1" si="85"/>
        <v>1.1023356523592425</v>
      </c>
      <c r="L168" s="1">
        <f t="shared" ca="1" si="86"/>
        <v>23</v>
      </c>
      <c r="M168" s="1"/>
      <c r="N168" s="1">
        <f t="shared" ca="1" si="87"/>
        <v>466</v>
      </c>
      <c r="O168" s="1">
        <f t="shared" ca="1" si="88"/>
        <v>31</v>
      </c>
      <c r="P168" s="1"/>
      <c r="Q168" s="1">
        <f t="shared" ca="1" si="89"/>
        <v>0.93450978944200236</v>
      </c>
      <c r="R168" s="1">
        <f t="shared" ca="1" si="90"/>
        <v>321</v>
      </c>
      <c r="S168" s="1"/>
      <c r="T168" s="1">
        <f t="shared" ca="1" si="91"/>
        <v>5.0042758088823878E-2</v>
      </c>
      <c r="U168" s="1">
        <f t="shared" ca="1" si="92"/>
        <v>313</v>
      </c>
      <c r="V168" s="1">
        <f t="shared" ca="1" si="93"/>
        <v>39</v>
      </c>
      <c r="W168" s="1"/>
      <c r="X168" s="1">
        <f t="shared" ca="1" si="94"/>
        <v>7.7012782316201038</v>
      </c>
      <c r="Y168" s="1">
        <f t="shared" ca="1" si="95"/>
        <v>0.39823413084710269</v>
      </c>
      <c r="Z168" s="1">
        <f t="shared" ca="1" si="96"/>
        <v>345</v>
      </c>
      <c r="AB168" s="1">
        <f t="shared" ca="1" si="97"/>
        <v>0.73362709189388831</v>
      </c>
      <c r="AC168" s="1">
        <f t="shared" ca="1" si="98"/>
        <v>948</v>
      </c>
      <c r="AD168" s="1">
        <f t="shared" ca="1" si="99"/>
        <v>5.2749610344964334E-3</v>
      </c>
      <c r="AE168" s="1"/>
      <c r="AF168" s="1">
        <f t="shared" ca="1" si="100"/>
        <v>0.28768063197023752</v>
      </c>
      <c r="AG168" s="1">
        <f t="shared" ca="1" si="101"/>
        <v>809</v>
      </c>
      <c r="AH168" s="1">
        <f t="shared" ca="1" si="102"/>
        <v>7.2830470456748241E-3</v>
      </c>
      <c r="AJ168" s="1">
        <f t="shared" ca="1" si="103"/>
        <v>0.52146868221415443</v>
      </c>
      <c r="AK168" s="1">
        <f t="shared" ca="1" si="104"/>
        <v>6.2511751532526956E-3</v>
      </c>
      <c r="AL168" s="1"/>
      <c r="AM168" s="1">
        <f t="shared" ca="1" si="105"/>
        <v>0.1973931451069135</v>
      </c>
      <c r="AN168" s="1">
        <f t="shared" ca="1" si="106"/>
        <v>40</v>
      </c>
      <c r="AO168" s="1">
        <f t="shared" ca="1" si="107"/>
        <v>8</v>
      </c>
      <c r="AQ168" s="1">
        <f t="shared" ca="1" si="108"/>
        <v>132</v>
      </c>
      <c r="AR168" s="1">
        <f t="shared" ca="1" si="109"/>
        <v>3</v>
      </c>
      <c r="AS168" s="1">
        <f t="shared" ca="1" si="110"/>
        <v>77</v>
      </c>
      <c r="AU168" s="1">
        <f t="shared" ca="1" si="111"/>
        <v>79</v>
      </c>
      <c r="AV168" s="1">
        <f t="shared" ca="1" si="112"/>
        <v>3</v>
      </c>
      <c r="AW168" s="1">
        <f t="shared" ca="1" si="113"/>
        <v>0.12104155877621951</v>
      </c>
      <c r="AY168" s="1">
        <f t="shared" ca="1" si="114"/>
        <v>1.1263036468550609</v>
      </c>
      <c r="AZ168" s="1">
        <f t="shared" ca="1" si="115"/>
        <v>341</v>
      </c>
      <c r="BA168" s="1">
        <f t="shared" ca="1" si="116"/>
        <v>5.7213737919564302E-3</v>
      </c>
    </row>
    <row r="169" spans="2:53" x14ac:dyDescent="0.25">
      <c r="B169">
        <f t="shared" ca="1" si="78"/>
        <v>834</v>
      </c>
      <c r="C169">
        <f t="shared" ca="1" si="79"/>
        <v>52</v>
      </c>
      <c r="D169">
        <f t="shared" ca="1" si="80"/>
        <v>6.5451077681466102E-2</v>
      </c>
      <c r="F169" s="1">
        <f t="shared" ca="1" si="81"/>
        <v>5</v>
      </c>
      <c r="G169" s="1">
        <f t="shared" ca="1" si="82"/>
        <v>28</v>
      </c>
      <c r="H169" s="1">
        <f t="shared" ca="1" si="83"/>
        <v>12</v>
      </c>
      <c r="I169" s="1"/>
      <c r="J169" s="1">
        <f t="shared" ca="1" si="84"/>
        <v>29</v>
      </c>
      <c r="K169" s="1">
        <f t="shared" ca="1" si="85"/>
        <v>2.7727670964904689</v>
      </c>
      <c r="L169" s="1">
        <f t="shared" ca="1" si="86"/>
        <v>10</v>
      </c>
      <c r="M169" s="1"/>
      <c r="N169" s="1">
        <f t="shared" ca="1" si="87"/>
        <v>649</v>
      </c>
      <c r="O169" s="1">
        <f t="shared" ca="1" si="88"/>
        <v>49</v>
      </c>
      <c r="P169" s="1"/>
      <c r="Q169" s="1">
        <f t="shared" ca="1" si="89"/>
        <v>2.4464360959292852</v>
      </c>
      <c r="R169" s="1">
        <f t="shared" ca="1" si="90"/>
        <v>966</v>
      </c>
      <c r="S169" s="1"/>
      <c r="T169" s="1">
        <f t="shared" ca="1" si="91"/>
        <v>7.4121217758014446E-2</v>
      </c>
      <c r="U169" s="1">
        <f t="shared" ca="1" si="92"/>
        <v>446</v>
      </c>
      <c r="V169" s="1">
        <f t="shared" ca="1" si="93"/>
        <v>9</v>
      </c>
      <c r="W169" s="1"/>
      <c r="X169" s="1">
        <f t="shared" ca="1" si="94"/>
        <v>2.4734817488503658</v>
      </c>
      <c r="Y169" s="1">
        <f t="shared" ca="1" si="95"/>
        <v>0.91185532563558225</v>
      </c>
      <c r="Z169" s="1">
        <f t="shared" ca="1" si="96"/>
        <v>688</v>
      </c>
      <c r="AB169" s="1">
        <f t="shared" ca="1" si="97"/>
        <v>0.61764340797885153</v>
      </c>
      <c r="AC169" s="1">
        <f t="shared" ca="1" si="98"/>
        <v>797</v>
      </c>
      <c r="AD169" s="1">
        <f t="shared" ca="1" si="99"/>
        <v>6.5888172198671124E-4</v>
      </c>
      <c r="AE169" s="1"/>
      <c r="AF169" s="1">
        <f t="shared" ca="1" si="100"/>
        <v>0.58154501951192339</v>
      </c>
      <c r="AG169" s="1">
        <f t="shared" ca="1" si="101"/>
        <v>758</v>
      </c>
      <c r="AH169" s="1">
        <f t="shared" ca="1" si="102"/>
        <v>5.9733829257029849E-3</v>
      </c>
      <c r="AJ169" s="1">
        <f t="shared" ca="1" si="103"/>
        <v>0.2612646813686923</v>
      </c>
      <c r="AK169" s="1">
        <f t="shared" ca="1" si="104"/>
        <v>1.8409979490424321E-3</v>
      </c>
      <c r="AL169" s="1"/>
      <c r="AM169" s="1">
        <f t="shared" ca="1" si="105"/>
        <v>4.0024689288292475E-2</v>
      </c>
      <c r="AN169" s="1">
        <f t="shared" ca="1" si="106"/>
        <v>61</v>
      </c>
      <c r="AO169" s="1">
        <f t="shared" ca="1" si="107"/>
        <v>10</v>
      </c>
      <c r="AQ169" s="1">
        <f t="shared" ca="1" si="108"/>
        <v>145</v>
      </c>
      <c r="AR169" s="1">
        <f t="shared" ca="1" si="109"/>
        <v>0</v>
      </c>
      <c r="AS169" s="1">
        <f t="shared" ca="1" si="110"/>
        <v>88</v>
      </c>
      <c r="AU169" s="1">
        <f t="shared" ca="1" si="111"/>
        <v>354</v>
      </c>
      <c r="AV169" s="1">
        <f t="shared" ca="1" si="112"/>
        <v>10</v>
      </c>
      <c r="AW169" s="1">
        <f t="shared" ca="1" si="113"/>
        <v>0.16283777841351749</v>
      </c>
      <c r="AY169" s="1">
        <f t="shared" ca="1" si="114"/>
        <v>1.1069039901003306</v>
      </c>
      <c r="AZ169" s="1">
        <f t="shared" ca="1" si="115"/>
        <v>51</v>
      </c>
      <c r="BA169" s="1">
        <f t="shared" ca="1" si="116"/>
        <v>1.9611743363070156E-3</v>
      </c>
    </row>
    <row r="170" spans="2:53" x14ac:dyDescent="0.25">
      <c r="B170">
        <f t="shared" ca="1" si="78"/>
        <v>228</v>
      </c>
      <c r="C170">
        <f t="shared" ca="1" si="79"/>
        <v>4</v>
      </c>
      <c r="D170">
        <f t="shared" ca="1" si="80"/>
        <v>0.18650040857662253</v>
      </c>
      <c r="F170" s="1">
        <f t="shared" ca="1" si="81"/>
        <v>35</v>
      </c>
      <c r="G170" s="1">
        <f t="shared" ca="1" si="82"/>
        <v>9</v>
      </c>
      <c r="H170" s="1">
        <f t="shared" ca="1" si="83"/>
        <v>15</v>
      </c>
      <c r="I170" s="1"/>
      <c r="J170" s="1">
        <f t="shared" ca="1" si="84"/>
        <v>18</v>
      </c>
      <c r="K170" s="1">
        <f t="shared" ca="1" si="85"/>
        <v>1.955023463032588</v>
      </c>
      <c r="L170" s="1">
        <f t="shared" ca="1" si="86"/>
        <v>19</v>
      </c>
      <c r="M170" s="1"/>
      <c r="N170" s="1">
        <f t="shared" ca="1" si="87"/>
        <v>855</v>
      </c>
      <c r="O170" s="1">
        <f t="shared" ca="1" si="88"/>
        <v>49</v>
      </c>
      <c r="P170" s="1"/>
      <c r="Q170" s="1">
        <f t="shared" ca="1" si="89"/>
        <v>0.81687149918478297</v>
      </c>
      <c r="R170" s="1">
        <f t="shared" ca="1" si="90"/>
        <v>1078</v>
      </c>
      <c r="S170" s="1"/>
      <c r="T170" s="1">
        <f t="shared" ca="1" si="91"/>
        <v>6.826143697035042E-2</v>
      </c>
      <c r="U170" s="1">
        <f t="shared" ca="1" si="92"/>
        <v>284</v>
      </c>
      <c r="V170" s="1">
        <f t="shared" ca="1" si="93"/>
        <v>51</v>
      </c>
      <c r="W170" s="1"/>
      <c r="X170" s="1">
        <f t="shared" ca="1" si="94"/>
        <v>5.8965207346727402</v>
      </c>
      <c r="Y170" s="1">
        <f t="shared" ca="1" si="95"/>
        <v>0.99539300765271344</v>
      </c>
      <c r="Z170" s="1">
        <f t="shared" ca="1" si="96"/>
        <v>620</v>
      </c>
      <c r="AB170" s="1">
        <f t="shared" ca="1" si="97"/>
        <v>9.2319637488195189E-2</v>
      </c>
      <c r="AC170" s="1">
        <f t="shared" ca="1" si="98"/>
        <v>439</v>
      </c>
      <c r="AD170" s="1">
        <f t="shared" ca="1" si="99"/>
        <v>4.5360910238259914E-3</v>
      </c>
      <c r="AE170" s="1"/>
      <c r="AF170" s="1">
        <f t="shared" ca="1" si="100"/>
        <v>0.85659341142748746</v>
      </c>
      <c r="AG170" s="1">
        <f t="shared" ca="1" si="101"/>
        <v>780</v>
      </c>
      <c r="AH170" s="1">
        <f t="shared" ca="1" si="102"/>
        <v>1.685262227817467E-3</v>
      </c>
      <c r="AJ170" s="1">
        <f t="shared" ca="1" si="103"/>
        <v>0.52085801964856282</v>
      </c>
      <c r="AK170" s="1">
        <f t="shared" ca="1" si="104"/>
        <v>8.902138490809057E-3</v>
      </c>
      <c r="AL170" s="1"/>
      <c r="AM170" s="1">
        <f t="shared" ca="1" si="105"/>
        <v>6.8546171063890826E-2</v>
      </c>
      <c r="AN170" s="1">
        <f t="shared" ca="1" si="106"/>
        <v>19</v>
      </c>
      <c r="AO170" s="1">
        <f t="shared" ca="1" si="107"/>
        <v>0</v>
      </c>
      <c r="AQ170" s="1">
        <f t="shared" ca="1" si="108"/>
        <v>72</v>
      </c>
      <c r="AR170" s="1">
        <f t="shared" ca="1" si="109"/>
        <v>6</v>
      </c>
      <c r="AS170" s="1">
        <f t="shared" ca="1" si="110"/>
        <v>62</v>
      </c>
      <c r="AU170" s="1">
        <f t="shared" ca="1" si="111"/>
        <v>216</v>
      </c>
      <c r="AV170" s="1">
        <f t="shared" ca="1" si="112"/>
        <v>2</v>
      </c>
      <c r="AW170" s="1">
        <f t="shared" ca="1" si="113"/>
        <v>7.610293684772941E-2</v>
      </c>
      <c r="AY170" s="1">
        <f t="shared" ca="1" si="114"/>
        <v>1.6276392996742226</v>
      </c>
      <c r="AZ170" s="1">
        <f t="shared" ca="1" si="115"/>
        <v>271</v>
      </c>
      <c r="BA170" s="1">
        <f t="shared" ca="1" si="116"/>
        <v>8.7381382426115204E-4</v>
      </c>
    </row>
    <row r="171" spans="2:53" x14ac:dyDescent="0.25">
      <c r="B171">
        <f t="shared" ca="1" si="78"/>
        <v>910</v>
      </c>
      <c r="C171">
        <f t="shared" ca="1" si="79"/>
        <v>24</v>
      </c>
      <c r="D171">
        <f t="shared" ca="1" si="80"/>
        <v>9.5649332926264097E-2</v>
      </c>
      <c r="F171" s="1">
        <f t="shared" ca="1" si="81"/>
        <v>36</v>
      </c>
      <c r="G171" s="1">
        <f t="shared" ca="1" si="82"/>
        <v>25</v>
      </c>
      <c r="H171" s="1">
        <f t="shared" ca="1" si="83"/>
        <v>13</v>
      </c>
      <c r="I171" s="1"/>
      <c r="J171" s="1">
        <f t="shared" ca="1" si="84"/>
        <v>3</v>
      </c>
      <c r="K171" s="1">
        <f t="shared" ca="1" si="85"/>
        <v>2.1806851270964476</v>
      </c>
      <c r="L171" s="1">
        <f t="shared" ca="1" si="86"/>
        <v>8</v>
      </c>
      <c r="M171" s="1"/>
      <c r="N171" s="1">
        <f t="shared" ca="1" si="87"/>
        <v>790</v>
      </c>
      <c r="O171" s="1">
        <f t="shared" ca="1" si="88"/>
        <v>44</v>
      </c>
      <c r="P171" s="1"/>
      <c r="Q171" s="1">
        <f t="shared" ca="1" si="89"/>
        <v>4.733169441208168</v>
      </c>
      <c r="R171" s="1">
        <f t="shared" ca="1" si="90"/>
        <v>215</v>
      </c>
      <c r="S171" s="1"/>
      <c r="T171" s="1">
        <f t="shared" ca="1" si="91"/>
        <v>0.10571022701932435</v>
      </c>
      <c r="U171" s="1">
        <f t="shared" ca="1" si="92"/>
        <v>174</v>
      </c>
      <c r="V171" s="1">
        <f t="shared" ca="1" si="93"/>
        <v>49</v>
      </c>
      <c r="W171" s="1"/>
      <c r="X171" s="1">
        <f t="shared" ca="1" si="94"/>
        <v>1.1710061083130716</v>
      </c>
      <c r="Y171" s="1">
        <f t="shared" ca="1" si="95"/>
        <v>0.29083607782411602</v>
      </c>
      <c r="Z171" s="1">
        <f t="shared" ca="1" si="96"/>
        <v>1550</v>
      </c>
      <c r="AB171" s="1">
        <f t="shared" ca="1" si="97"/>
        <v>0.52746170610429999</v>
      </c>
      <c r="AC171" s="1">
        <f t="shared" ca="1" si="98"/>
        <v>833</v>
      </c>
      <c r="AD171" s="1">
        <f t="shared" ca="1" si="99"/>
        <v>6.6573659672127918E-3</v>
      </c>
      <c r="AE171" s="1"/>
      <c r="AF171" s="1">
        <f t="shared" ca="1" si="100"/>
        <v>0.10132245515986203</v>
      </c>
      <c r="AG171" s="1">
        <f t="shared" ca="1" si="101"/>
        <v>103</v>
      </c>
      <c r="AH171" s="1">
        <f t="shared" ca="1" si="102"/>
        <v>2.6153695795991277E-4</v>
      </c>
      <c r="AJ171" s="1">
        <f t="shared" ca="1" si="103"/>
        <v>0.48517036904658939</v>
      </c>
      <c r="AK171" s="1">
        <f t="shared" ca="1" si="104"/>
        <v>7.5485025466699223E-3</v>
      </c>
      <c r="AL171" s="1"/>
      <c r="AM171" s="1">
        <f t="shared" ca="1" si="105"/>
        <v>0.1605300187897549</v>
      </c>
      <c r="AN171" s="1">
        <f t="shared" ca="1" si="106"/>
        <v>57</v>
      </c>
      <c r="AO171" s="1">
        <f t="shared" ca="1" si="107"/>
        <v>6</v>
      </c>
      <c r="AQ171" s="1">
        <f t="shared" ca="1" si="108"/>
        <v>71</v>
      </c>
      <c r="AR171" s="1">
        <f t="shared" ca="1" si="109"/>
        <v>3</v>
      </c>
      <c r="AS171" s="1">
        <f t="shared" ca="1" si="110"/>
        <v>98</v>
      </c>
      <c r="AU171" s="1">
        <f t="shared" ca="1" si="111"/>
        <v>120</v>
      </c>
      <c r="AV171" s="1">
        <f t="shared" ca="1" si="112"/>
        <v>8</v>
      </c>
      <c r="AW171" s="1">
        <f t="shared" ca="1" si="113"/>
        <v>0.11092578131587222</v>
      </c>
      <c r="AY171" s="1">
        <f t="shared" ca="1" si="114"/>
        <v>1.8403983272542979</v>
      </c>
      <c r="AZ171" s="1">
        <f t="shared" ca="1" si="115"/>
        <v>399</v>
      </c>
      <c r="BA171" s="1">
        <f t="shared" ca="1" si="116"/>
        <v>9.2642849605568036E-3</v>
      </c>
    </row>
    <row r="172" spans="2:53" x14ac:dyDescent="0.25">
      <c r="B172">
        <f t="shared" ca="1" si="78"/>
        <v>458</v>
      </c>
      <c r="C172">
        <f t="shared" ca="1" si="79"/>
        <v>38</v>
      </c>
      <c r="D172">
        <f t="shared" ca="1" si="80"/>
        <v>8.276247003092746E-2</v>
      </c>
      <c r="F172" s="1">
        <f t="shared" ca="1" si="81"/>
        <v>33</v>
      </c>
      <c r="G172" s="1">
        <f t="shared" ca="1" si="82"/>
        <v>7</v>
      </c>
      <c r="H172" s="1">
        <f t="shared" ca="1" si="83"/>
        <v>7</v>
      </c>
      <c r="I172" s="1"/>
      <c r="J172" s="1">
        <f t="shared" ca="1" si="84"/>
        <v>37</v>
      </c>
      <c r="K172" s="1">
        <f t="shared" ca="1" si="85"/>
        <v>1.7651122559547165</v>
      </c>
      <c r="L172" s="1">
        <f t="shared" ca="1" si="86"/>
        <v>25</v>
      </c>
      <c r="M172" s="1"/>
      <c r="N172" s="1">
        <f t="shared" ca="1" si="87"/>
        <v>737</v>
      </c>
      <c r="O172" s="1">
        <f t="shared" ca="1" si="88"/>
        <v>17</v>
      </c>
      <c r="P172" s="1"/>
      <c r="Q172" s="1">
        <f t="shared" ca="1" si="89"/>
        <v>1.5328011273985493</v>
      </c>
      <c r="R172" s="1">
        <f t="shared" ca="1" si="90"/>
        <v>1159</v>
      </c>
      <c r="S172" s="1"/>
      <c r="T172" s="1">
        <f t="shared" ca="1" si="91"/>
        <v>5.3101151692509362E-2</v>
      </c>
      <c r="U172" s="1">
        <f t="shared" ca="1" si="92"/>
        <v>305</v>
      </c>
      <c r="V172" s="1">
        <f t="shared" ca="1" si="93"/>
        <v>14</v>
      </c>
      <c r="W172" s="1"/>
      <c r="X172" s="1">
        <f t="shared" ca="1" si="94"/>
        <v>2.4554777942586865</v>
      </c>
      <c r="Y172" s="1">
        <f t="shared" ca="1" si="95"/>
        <v>0.96487346231843663</v>
      </c>
      <c r="Z172" s="1">
        <f t="shared" ca="1" si="96"/>
        <v>926</v>
      </c>
      <c r="AB172" s="1">
        <f t="shared" ca="1" si="97"/>
        <v>0.96283994774341597</v>
      </c>
      <c r="AC172" s="1">
        <f t="shared" ca="1" si="98"/>
        <v>550</v>
      </c>
      <c r="AD172" s="1">
        <f t="shared" ca="1" si="99"/>
        <v>2.4666820608219885E-3</v>
      </c>
      <c r="AE172" s="1"/>
      <c r="AF172" s="1">
        <f t="shared" ca="1" si="100"/>
        <v>0.17534056722613789</v>
      </c>
      <c r="AG172" s="1">
        <f t="shared" ca="1" si="101"/>
        <v>206</v>
      </c>
      <c r="AH172" s="1">
        <f t="shared" ca="1" si="102"/>
        <v>8.6279058330523701E-3</v>
      </c>
      <c r="AJ172" s="1">
        <f t="shared" ca="1" si="103"/>
        <v>0.33592597335882046</v>
      </c>
      <c r="AK172" s="1">
        <f t="shared" ca="1" si="104"/>
        <v>2.2217799382858887E-4</v>
      </c>
      <c r="AL172" s="1"/>
      <c r="AM172" s="1">
        <f t="shared" ca="1" si="105"/>
        <v>0.16158345531793228</v>
      </c>
      <c r="AN172" s="1">
        <f t="shared" ca="1" si="106"/>
        <v>24</v>
      </c>
      <c r="AO172" s="1">
        <f t="shared" ca="1" si="107"/>
        <v>20</v>
      </c>
      <c r="AQ172" s="1">
        <f t="shared" ca="1" si="108"/>
        <v>141</v>
      </c>
      <c r="AR172" s="1">
        <f t="shared" ca="1" si="109"/>
        <v>6</v>
      </c>
      <c r="AS172" s="1">
        <f t="shared" ca="1" si="110"/>
        <v>69</v>
      </c>
      <c r="AU172" s="1">
        <f t="shared" ca="1" si="111"/>
        <v>313</v>
      </c>
      <c r="AV172" s="1">
        <f t="shared" ca="1" si="112"/>
        <v>4</v>
      </c>
      <c r="AW172" s="1">
        <f t="shared" ca="1" si="113"/>
        <v>8.2076398867670444E-2</v>
      </c>
      <c r="AY172" s="1">
        <f t="shared" ca="1" si="114"/>
        <v>1.8330835680206379</v>
      </c>
      <c r="AZ172" s="1">
        <f t="shared" ca="1" si="115"/>
        <v>402</v>
      </c>
      <c r="BA172" s="1">
        <f t="shared" ca="1" si="116"/>
        <v>1.1695289012565485E-3</v>
      </c>
    </row>
    <row r="173" spans="2:53" x14ac:dyDescent="0.25">
      <c r="B173">
        <f t="shared" ca="1" si="78"/>
        <v>417</v>
      </c>
      <c r="C173">
        <f t="shared" ca="1" si="79"/>
        <v>22</v>
      </c>
      <c r="D173">
        <f t="shared" ca="1" si="80"/>
        <v>0.2439908037764815</v>
      </c>
      <c r="F173" s="1">
        <f t="shared" ca="1" si="81"/>
        <v>26</v>
      </c>
      <c r="G173" s="1">
        <f t="shared" ca="1" si="82"/>
        <v>9</v>
      </c>
      <c r="H173" s="1">
        <f t="shared" ca="1" si="83"/>
        <v>7</v>
      </c>
      <c r="I173" s="1"/>
      <c r="J173" s="1">
        <f t="shared" ca="1" si="84"/>
        <v>34</v>
      </c>
      <c r="K173" s="1">
        <f t="shared" ca="1" si="85"/>
        <v>2.1042095785064645</v>
      </c>
      <c r="L173" s="1">
        <f t="shared" ca="1" si="86"/>
        <v>3</v>
      </c>
      <c r="M173" s="1"/>
      <c r="N173" s="1">
        <f t="shared" ca="1" si="87"/>
        <v>753</v>
      </c>
      <c r="O173" s="1">
        <f t="shared" ca="1" si="88"/>
        <v>13</v>
      </c>
      <c r="P173" s="1"/>
      <c r="Q173" s="1">
        <f t="shared" ca="1" si="89"/>
        <v>1.5736171745371128</v>
      </c>
      <c r="R173" s="1">
        <f t="shared" ca="1" si="90"/>
        <v>1037</v>
      </c>
      <c r="S173" s="1"/>
      <c r="T173" s="1">
        <f t="shared" ca="1" si="91"/>
        <v>0.19322238065114772</v>
      </c>
      <c r="U173" s="1">
        <f t="shared" ca="1" si="92"/>
        <v>204</v>
      </c>
      <c r="V173" s="1">
        <f t="shared" ca="1" si="93"/>
        <v>7</v>
      </c>
      <c r="W173" s="1"/>
      <c r="X173" s="1">
        <f t="shared" ca="1" si="94"/>
        <v>6.8466438832221863</v>
      </c>
      <c r="Y173" s="1">
        <f t="shared" ca="1" si="95"/>
        <v>0.18910824351341549</v>
      </c>
      <c r="Z173" s="1">
        <f t="shared" ca="1" si="96"/>
        <v>439</v>
      </c>
      <c r="AB173" s="1">
        <f t="shared" ca="1" si="97"/>
        <v>0.67241426384953729</v>
      </c>
      <c r="AC173" s="1">
        <f t="shared" ca="1" si="98"/>
        <v>156</v>
      </c>
      <c r="AD173" s="1">
        <f t="shared" ca="1" si="99"/>
        <v>9.6260486986670547E-3</v>
      </c>
      <c r="AE173" s="1"/>
      <c r="AF173" s="1">
        <f t="shared" ca="1" si="100"/>
        <v>0.5443205823184607</v>
      </c>
      <c r="AG173" s="1">
        <f t="shared" ca="1" si="101"/>
        <v>613</v>
      </c>
      <c r="AH173" s="1">
        <f t="shared" ca="1" si="102"/>
        <v>4.8515789954988765E-3</v>
      </c>
      <c r="AJ173" s="1">
        <f t="shared" ca="1" si="103"/>
        <v>0.94964118890738569</v>
      </c>
      <c r="AK173" s="1">
        <f t="shared" ca="1" si="104"/>
        <v>9.4085888526241716E-3</v>
      </c>
      <c r="AL173" s="1"/>
      <c r="AM173" s="1">
        <f t="shared" ca="1" si="105"/>
        <v>0.12490793128372475</v>
      </c>
      <c r="AN173" s="1">
        <f t="shared" ca="1" si="106"/>
        <v>42</v>
      </c>
      <c r="AO173" s="1">
        <f t="shared" ca="1" si="107"/>
        <v>5</v>
      </c>
      <c r="AQ173" s="1">
        <f t="shared" ca="1" si="108"/>
        <v>55</v>
      </c>
      <c r="AR173" s="1">
        <f t="shared" ca="1" si="109"/>
        <v>7</v>
      </c>
      <c r="AS173" s="1">
        <f t="shared" ca="1" si="110"/>
        <v>23</v>
      </c>
      <c r="AU173" s="1">
        <f t="shared" ca="1" si="111"/>
        <v>199</v>
      </c>
      <c r="AV173" s="1">
        <f t="shared" ca="1" si="112"/>
        <v>10</v>
      </c>
      <c r="AW173" s="1">
        <f t="shared" ca="1" si="113"/>
        <v>0.16638219285898953</v>
      </c>
      <c r="AY173" s="1">
        <f t="shared" ca="1" si="114"/>
        <v>1.6448203382583246</v>
      </c>
      <c r="AZ173" s="1">
        <f t="shared" ca="1" si="115"/>
        <v>414</v>
      </c>
      <c r="BA173" s="1">
        <f t="shared" ca="1" si="116"/>
        <v>8.9541103658227882E-3</v>
      </c>
    </row>
    <row r="174" spans="2:53" x14ac:dyDescent="0.25">
      <c r="B174">
        <f t="shared" ca="1" si="78"/>
        <v>507</v>
      </c>
      <c r="C174">
        <f t="shared" ca="1" si="79"/>
        <v>45</v>
      </c>
      <c r="D174">
        <f t="shared" ca="1" si="80"/>
        <v>1.0492000378214877E-2</v>
      </c>
      <c r="F174" s="1">
        <f t="shared" ca="1" si="81"/>
        <v>10</v>
      </c>
      <c r="G174" s="1">
        <f t="shared" ca="1" si="82"/>
        <v>28</v>
      </c>
      <c r="H174" s="1">
        <f t="shared" ca="1" si="83"/>
        <v>1</v>
      </c>
      <c r="I174" s="1"/>
      <c r="J174" s="1">
        <f t="shared" ca="1" si="84"/>
        <v>14</v>
      </c>
      <c r="K174" s="1">
        <f t="shared" ca="1" si="85"/>
        <v>2.1639680356232178</v>
      </c>
      <c r="L174" s="1">
        <f t="shared" ca="1" si="86"/>
        <v>26</v>
      </c>
      <c r="M174" s="1"/>
      <c r="N174" s="1">
        <f t="shared" ca="1" si="87"/>
        <v>346</v>
      </c>
      <c r="O174" s="1">
        <f t="shared" ca="1" si="88"/>
        <v>37</v>
      </c>
      <c r="P174" s="1"/>
      <c r="Q174" s="1">
        <f t="shared" ca="1" si="89"/>
        <v>2.2666517767224503</v>
      </c>
      <c r="R174" s="1">
        <f t="shared" ca="1" si="90"/>
        <v>734</v>
      </c>
      <c r="S174" s="1"/>
      <c r="T174" s="1">
        <f t="shared" ca="1" si="91"/>
        <v>0.17828103516904747</v>
      </c>
      <c r="U174" s="1">
        <f t="shared" ca="1" si="92"/>
        <v>65</v>
      </c>
      <c r="V174" s="1">
        <f t="shared" ca="1" si="93"/>
        <v>33</v>
      </c>
      <c r="W174" s="1"/>
      <c r="X174" s="1">
        <f t="shared" ca="1" si="94"/>
        <v>0.51842413761886164</v>
      </c>
      <c r="Y174" s="1">
        <f t="shared" ca="1" si="95"/>
        <v>0.11707684893997274</v>
      </c>
      <c r="Z174" s="1">
        <f t="shared" ca="1" si="96"/>
        <v>1701</v>
      </c>
      <c r="AB174" s="1">
        <f t="shared" ca="1" si="97"/>
        <v>0.20381901973653749</v>
      </c>
      <c r="AC174" s="1">
        <f t="shared" ca="1" si="98"/>
        <v>386</v>
      </c>
      <c r="AD174" s="1">
        <f t="shared" ca="1" si="99"/>
        <v>8.1458055634746496E-3</v>
      </c>
      <c r="AE174" s="1"/>
      <c r="AF174" s="1">
        <f t="shared" ca="1" si="100"/>
        <v>0.26036412290841215</v>
      </c>
      <c r="AG174" s="1">
        <f t="shared" ca="1" si="101"/>
        <v>371</v>
      </c>
      <c r="AH174" s="1">
        <f t="shared" ca="1" si="102"/>
        <v>8.3131101283030414E-4</v>
      </c>
      <c r="AJ174" s="1">
        <f t="shared" ca="1" si="103"/>
        <v>0.52245806719997723</v>
      </c>
      <c r="AK174" s="1">
        <f t="shared" ca="1" si="104"/>
        <v>3.1782584283111021E-3</v>
      </c>
      <c r="AL174" s="1"/>
      <c r="AM174" s="1">
        <f t="shared" ca="1" si="105"/>
        <v>1.861891470127354E-2</v>
      </c>
      <c r="AN174" s="1">
        <f t="shared" ca="1" si="106"/>
        <v>11</v>
      </c>
      <c r="AO174" s="1">
        <f t="shared" ca="1" si="107"/>
        <v>7</v>
      </c>
      <c r="AQ174" s="1">
        <f t="shared" ca="1" si="108"/>
        <v>167</v>
      </c>
      <c r="AR174" s="1">
        <f t="shared" ca="1" si="109"/>
        <v>8</v>
      </c>
      <c r="AS174" s="1">
        <f t="shared" ca="1" si="110"/>
        <v>84</v>
      </c>
      <c r="AU174" s="1">
        <f t="shared" ca="1" si="111"/>
        <v>257</v>
      </c>
      <c r="AV174" s="1">
        <f t="shared" ca="1" si="112"/>
        <v>7</v>
      </c>
      <c r="AW174" s="1">
        <f t="shared" ca="1" si="113"/>
        <v>9.0643071984472995E-2</v>
      </c>
      <c r="AY174" s="1">
        <f t="shared" ca="1" si="114"/>
        <v>1.1406908410369823</v>
      </c>
      <c r="AZ174" s="1">
        <f t="shared" ca="1" si="115"/>
        <v>291</v>
      </c>
      <c r="BA174" s="1">
        <f t="shared" ca="1" si="116"/>
        <v>3.108426889717522E-3</v>
      </c>
    </row>
    <row r="175" spans="2:53" x14ac:dyDescent="0.25">
      <c r="B175">
        <f t="shared" ca="1" si="78"/>
        <v>501</v>
      </c>
      <c r="C175">
        <f t="shared" ca="1" si="79"/>
        <v>28</v>
      </c>
      <c r="D175">
        <f t="shared" ca="1" si="80"/>
        <v>8.2968899146992028E-2</v>
      </c>
      <c r="F175" s="1">
        <f t="shared" ca="1" si="81"/>
        <v>29</v>
      </c>
      <c r="G175" s="1">
        <f t="shared" ca="1" si="82"/>
        <v>20</v>
      </c>
      <c r="H175" s="1">
        <f t="shared" ca="1" si="83"/>
        <v>10</v>
      </c>
      <c r="I175" s="1"/>
      <c r="J175" s="1">
        <f t="shared" ca="1" si="84"/>
        <v>5</v>
      </c>
      <c r="K175" s="1">
        <f t="shared" ca="1" si="85"/>
        <v>2.8446186990112166</v>
      </c>
      <c r="L175" s="1">
        <f t="shared" ca="1" si="86"/>
        <v>14</v>
      </c>
      <c r="M175" s="1"/>
      <c r="N175" s="1">
        <f t="shared" ca="1" si="87"/>
        <v>382</v>
      </c>
      <c r="O175" s="1">
        <f t="shared" ca="1" si="88"/>
        <v>6</v>
      </c>
      <c r="P175" s="1"/>
      <c r="Q175" s="1">
        <f t="shared" ca="1" si="89"/>
        <v>0.62651086729596184</v>
      </c>
      <c r="R175" s="1">
        <f t="shared" ca="1" si="90"/>
        <v>1024</v>
      </c>
      <c r="S175" s="1"/>
      <c r="T175" s="1">
        <f t="shared" ca="1" si="91"/>
        <v>0.10629273868188538</v>
      </c>
      <c r="U175" s="1">
        <f t="shared" ca="1" si="92"/>
        <v>188</v>
      </c>
      <c r="V175" s="1">
        <f t="shared" ca="1" si="93"/>
        <v>41</v>
      </c>
      <c r="W175" s="1"/>
      <c r="X175" s="1">
        <f t="shared" ca="1" si="94"/>
        <v>0.32622425673431832</v>
      </c>
      <c r="Y175" s="1">
        <f t="shared" ca="1" si="95"/>
        <v>0.52693700156526191</v>
      </c>
      <c r="Z175" s="1">
        <f t="shared" ca="1" si="96"/>
        <v>1553</v>
      </c>
      <c r="AB175" s="1">
        <f t="shared" ca="1" si="97"/>
        <v>0.39144505275382402</v>
      </c>
      <c r="AC175" s="1">
        <f t="shared" ca="1" si="98"/>
        <v>152</v>
      </c>
      <c r="AD175" s="1">
        <f t="shared" ca="1" si="99"/>
        <v>2.286534783317412E-3</v>
      </c>
      <c r="AE175" s="1"/>
      <c r="AF175" s="1">
        <f t="shared" ca="1" si="100"/>
        <v>0.35946945218109805</v>
      </c>
      <c r="AG175" s="1">
        <f t="shared" ca="1" si="101"/>
        <v>367</v>
      </c>
      <c r="AH175" s="1">
        <f t="shared" ca="1" si="102"/>
        <v>3.7976647240103864E-3</v>
      </c>
      <c r="AJ175" s="1">
        <f t="shared" ca="1" si="103"/>
        <v>0.62226502443303888</v>
      </c>
      <c r="AK175" s="1">
        <f t="shared" ca="1" si="104"/>
        <v>9.0607425757007372E-3</v>
      </c>
      <c r="AL175" s="1"/>
      <c r="AM175" s="1">
        <f t="shared" ca="1" si="105"/>
        <v>3.8707372517809049E-2</v>
      </c>
      <c r="AN175" s="1">
        <f t="shared" ca="1" si="106"/>
        <v>73</v>
      </c>
      <c r="AO175" s="1">
        <f t="shared" ca="1" si="107"/>
        <v>18</v>
      </c>
      <c r="AQ175" s="1">
        <f t="shared" ca="1" si="108"/>
        <v>132</v>
      </c>
      <c r="AR175" s="1">
        <f t="shared" ca="1" si="109"/>
        <v>4</v>
      </c>
      <c r="AS175" s="1">
        <f t="shared" ca="1" si="110"/>
        <v>17</v>
      </c>
      <c r="AU175" s="1">
        <f t="shared" ca="1" si="111"/>
        <v>280</v>
      </c>
      <c r="AV175" s="1">
        <f t="shared" ca="1" si="112"/>
        <v>6</v>
      </c>
      <c r="AW175" s="1">
        <f t="shared" ca="1" si="113"/>
        <v>0.12841546171774196</v>
      </c>
      <c r="AY175" s="1">
        <f t="shared" ca="1" si="114"/>
        <v>1.8135755805828593</v>
      </c>
      <c r="AZ175" s="1">
        <f t="shared" ca="1" si="115"/>
        <v>116</v>
      </c>
      <c r="BA175" s="1">
        <f t="shared" ca="1" si="116"/>
        <v>6.4771616936173506E-3</v>
      </c>
    </row>
    <row r="176" spans="2:53" x14ac:dyDescent="0.25">
      <c r="B176">
        <f t="shared" ca="1" si="78"/>
        <v>112</v>
      </c>
      <c r="C176">
        <f t="shared" ca="1" si="79"/>
        <v>19</v>
      </c>
      <c r="D176">
        <f t="shared" ca="1" si="80"/>
        <v>0.29082670355735096</v>
      </c>
      <c r="F176" s="1">
        <f t="shared" ca="1" si="81"/>
        <v>52</v>
      </c>
      <c r="G176" s="1">
        <f t="shared" ca="1" si="82"/>
        <v>2</v>
      </c>
      <c r="H176" s="1">
        <f t="shared" ca="1" si="83"/>
        <v>9</v>
      </c>
      <c r="I176" s="1"/>
      <c r="J176" s="1">
        <f t="shared" ca="1" si="84"/>
        <v>32</v>
      </c>
      <c r="K176" s="1">
        <f t="shared" ca="1" si="85"/>
        <v>2.5175100558878034</v>
      </c>
      <c r="L176" s="1">
        <f t="shared" ca="1" si="86"/>
        <v>18</v>
      </c>
      <c r="M176" s="1"/>
      <c r="N176" s="1">
        <f t="shared" ca="1" si="87"/>
        <v>761</v>
      </c>
      <c r="O176" s="1">
        <f t="shared" ca="1" si="88"/>
        <v>6</v>
      </c>
      <c r="P176" s="1"/>
      <c r="Q176" s="1">
        <f t="shared" ca="1" si="89"/>
        <v>3.795104250294655</v>
      </c>
      <c r="R176" s="1">
        <f t="shared" ca="1" si="90"/>
        <v>333</v>
      </c>
      <c r="S176" s="1"/>
      <c r="T176" s="1">
        <f t="shared" ca="1" si="91"/>
        <v>0.14310409840243965</v>
      </c>
      <c r="U176" s="1">
        <f t="shared" ca="1" si="92"/>
        <v>372</v>
      </c>
      <c r="V176" s="1">
        <f t="shared" ca="1" si="93"/>
        <v>39</v>
      </c>
      <c r="W176" s="1"/>
      <c r="X176" s="1">
        <f t="shared" ca="1" si="94"/>
        <v>1.6389829212226041</v>
      </c>
      <c r="Y176" s="1">
        <f t="shared" ca="1" si="95"/>
        <v>0.16240743470774421</v>
      </c>
      <c r="Z176" s="1">
        <f t="shared" ca="1" si="96"/>
        <v>818</v>
      </c>
      <c r="AB176" s="1">
        <f t="shared" ca="1" si="97"/>
        <v>0.20471128867650784</v>
      </c>
      <c r="AC176" s="1">
        <f t="shared" ca="1" si="98"/>
        <v>772</v>
      </c>
      <c r="AD176" s="1">
        <f t="shared" ca="1" si="99"/>
        <v>9.8995137188472582E-3</v>
      </c>
      <c r="AE176" s="1"/>
      <c r="AF176" s="1">
        <f t="shared" ca="1" si="100"/>
        <v>0.77466009275661962</v>
      </c>
      <c r="AG176" s="1">
        <f t="shared" ca="1" si="101"/>
        <v>373</v>
      </c>
      <c r="AH176" s="1">
        <f t="shared" ca="1" si="102"/>
        <v>6.3621431341813403E-3</v>
      </c>
      <c r="AJ176" s="1">
        <f t="shared" ca="1" si="103"/>
        <v>0.7230912753105444</v>
      </c>
      <c r="AK176" s="1">
        <f t="shared" ca="1" si="104"/>
        <v>1.6365957117068066E-3</v>
      </c>
      <c r="AL176" s="1"/>
      <c r="AM176" s="1">
        <f t="shared" ca="1" si="105"/>
        <v>8.3883810657966767E-2</v>
      </c>
      <c r="AN176" s="1">
        <f t="shared" ca="1" si="106"/>
        <v>32</v>
      </c>
      <c r="AO176" s="1">
        <f t="shared" ca="1" si="107"/>
        <v>0</v>
      </c>
      <c r="AQ176" s="1">
        <f t="shared" ca="1" si="108"/>
        <v>127</v>
      </c>
      <c r="AR176" s="1">
        <f t="shared" ca="1" si="109"/>
        <v>4</v>
      </c>
      <c r="AS176" s="1">
        <f t="shared" ca="1" si="110"/>
        <v>33</v>
      </c>
      <c r="AU176" s="1">
        <f t="shared" ca="1" si="111"/>
        <v>98</v>
      </c>
      <c r="AV176" s="1">
        <f t="shared" ca="1" si="112"/>
        <v>5</v>
      </c>
      <c r="AW176" s="1">
        <f t="shared" ca="1" si="113"/>
        <v>0.16884472739184656</v>
      </c>
      <c r="AY176" s="1">
        <f t="shared" ca="1" si="114"/>
        <v>1.6792644551825806</v>
      </c>
      <c r="AZ176" s="1">
        <f t="shared" ca="1" si="115"/>
        <v>350</v>
      </c>
      <c r="BA176" s="1">
        <f t="shared" ca="1" si="116"/>
        <v>5.3516179069655872E-4</v>
      </c>
    </row>
    <row r="177" spans="2:53" x14ac:dyDescent="0.25">
      <c r="B177">
        <f t="shared" ca="1" si="78"/>
        <v>248</v>
      </c>
      <c r="C177">
        <f t="shared" ca="1" si="79"/>
        <v>7</v>
      </c>
      <c r="D177">
        <f t="shared" ca="1" si="80"/>
        <v>2.749599653297178E-2</v>
      </c>
      <c r="F177" s="1">
        <f t="shared" ca="1" si="81"/>
        <v>44</v>
      </c>
      <c r="G177" s="1">
        <f t="shared" ca="1" si="82"/>
        <v>13</v>
      </c>
      <c r="H177" s="1">
        <f t="shared" ca="1" si="83"/>
        <v>4</v>
      </c>
      <c r="I177" s="1"/>
      <c r="J177" s="1">
        <f t="shared" ca="1" si="84"/>
        <v>29</v>
      </c>
      <c r="K177" s="1">
        <f t="shared" ca="1" si="85"/>
        <v>1.3181587298235597</v>
      </c>
      <c r="L177" s="1">
        <f t="shared" ca="1" si="86"/>
        <v>32</v>
      </c>
      <c r="M177" s="1"/>
      <c r="N177" s="1">
        <f t="shared" ca="1" si="87"/>
        <v>988</v>
      </c>
      <c r="O177" s="1">
        <f t="shared" ca="1" si="88"/>
        <v>6</v>
      </c>
      <c r="P177" s="1"/>
      <c r="Q177" s="1">
        <f t="shared" ca="1" si="89"/>
        <v>2.8941383393140425</v>
      </c>
      <c r="R177" s="1">
        <f t="shared" ca="1" si="90"/>
        <v>488</v>
      </c>
      <c r="S177" s="1"/>
      <c r="T177" s="1">
        <f t="shared" ca="1" si="91"/>
        <v>0.11764662056265003</v>
      </c>
      <c r="U177" s="1">
        <f t="shared" ca="1" si="92"/>
        <v>81</v>
      </c>
      <c r="V177" s="1">
        <f t="shared" ca="1" si="93"/>
        <v>11</v>
      </c>
      <c r="W177" s="1"/>
      <c r="X177" s="1">
        <f t="shared" ca="1" si="94"/>
        <v>7.146920136866032</v>
      </c>
      <c r="Y177" s="1">
        <f t="shared" ca="1" si="95"/>
        <v>0.16811862748848586</v>
      </c>
      <c r="Z177" s="1">
        <f t="shared" ca="1" si="96"/>
        <v>503</v>
      </c>
      <c r="AB177" s="1">
        <f t="shared" ca="1" si="97"/>
        <v>0.49780560025132847</v>
      </c>
      <c r="AC177" s="1">
        <f t="shared" ca="1" si="98"/>
        <v>401</v>
      </c>
      <c r="AD177" s="1">
        <f t="shared" ca="1" si="99"/>
        <v>8.2638754879371147E-3</v>
      </c>
      <c r="AE177" s="1"/>
      <c r="AF177" s="1">
        <f t="shared" ca="1" si="100"/>
        <v>0.19456469620943909</v>
      </c>
      <c r="AG177" s="1">
        <f t="shared" ca="1" si="101"/>
        <v>115</v>
      </c>
      <c r="AH177" s="1">
        <f t="shared" ca="1" si="102"/>
        <v>7.4840082591397048E-3</v>
      </c>
      <c r="AJ177" s="1">
        <f t="shared" ca="1" si="103"/>
        <v>0.11064161987543464</v>
      </c>
      <c r="AK177" s="1">
        <f t="shared" ca="1" si="104"/>
        <v>4.2592321154445653E-3</v>
      </c>
      <c r="AL177" s="1"/>
      <c r="AM177" s="1">
        <f t="shared" ca="1" si="105"/>
        <v>5.6642941897759251E-2</v>
      </c>
      <c r="AN177" s="1">
        <f t="shared" ca="1" si="106"/>
        <v>40</v>
      </c>
      <c r="AO177" s="1">
        <f t="shared" ca="1" si="107"/>
        <v>8</v>
      </c>
      <c r="AQ177" s="1">
        <f t="shared" ca="1" si="108"/>
        <v>181</v>
      </c>
      <c r="AR177" s="1">
        <f t="shared" ca="1" si="109"/>
        <v>0</v>
      </c>
      <c r="AS177" s="1">
        <f t="shared" ca="1" si="110"/>
        <v>91</v>
      </c>
      <c r="AU177" s="1">
        <f t="shared" ca="1" si="111"/>
        <v>254</v>
      </c>
      <c r="AV177" s="1">
        <f t="shared" ca="1" si="112"/>
        <v>4</v>
      </c>
      <c r="AW177" s="1">
        <f t="shared" ca="1" si="113"/>
        <v>0.1871395531895978</v>
      </c>
      <c r="AY177" s="1">
        <f t="shared" ca="1" si="114"/>
        <v>1.2997846009664196</v>
      </c>
      <c r="AZ177" s="1">
        <f t="shared" ca="1" si="115"/>
        <v>323</v>
      </c>
      <c r="BA177" s="1">
        <f t="shared" ca="1" si="116"/>
        <v>4.2200821654132473E-3</v>
      </c>
    </row>
    <row r="178" spans="2:53" x14ac:dyDescent="0.25">
      <c r="B178">
        <f t="shared" ca="1" si="78"/>
        <v>362</v>
      </c>
      <c r="C178">
        <f t="shared" ca="1" si="79"/>
        <v>11</v>
      </c>
      <c r="D178">
        <f t="shared" ca="1" si="80"/>
        <v>0.17674076768794472</v>
      </c>
      <c r="F178" s="1">
        <f t="shared" ca="1" si="81"/>
        <v>18</v>
      </c>
      <c r="G178" s="1">
        <f t="shared" ca="1" si="82"/>
        <v>29</v>
      </c>
      <c r="H178" s="1">
        <f t="shared" ca="1" si="83"/>
        <v>10</v>
      </c>
      <c r="I178" s="1"/>
      <c r="J178" s="1">
        <f t="shared" ca="1" si="84"/>
        <v>32</v>
      </c>
      <c r="K178" s="1">
        <f t="shared" ca="1" si="85"/>
        <v>2.3447874444467915</v>
      </c>
      <c r="L178" s="1">
        <f t="shared" ca="1" si="86"/>
        <v>3</v>
      </c>
      <c r="M178" s="1"/>
      <c r="N178" s="1">
        <f t="shared" ca="1" si="87"/>
        <v>31</v>
      </c>
      <c r="O178" s="1">
        <f t="shared" ca="1" si="88"/>
        <v>7</v>
      </c>
      <c r="P178" s="1"/>
      <c r="Q178" s="1">
        <f t="shared" ca="1" si="89"/>
        <v>3.5677960272875491</v>
      </c>
      <c r="R178" s="1">
        <f t="shared" ca="1" si="90"/>
        <v>630</v>
      </c>
      <c r="S178" s="1"/>
      <c r="T178" s="1">
        <f t="shared" ca="1" si="91"/>
        <v>9.2474455978180992E-2</v>
      </c>
      <c r="U178" s="1">
        <f t="shared" ca="1" si="92"/>
        <v>413</v>
      </c>
      <c r="V178" s="1">
        <f t="shared" ca="1" si="93"/>
        <v>45</v>
      </c>
      <c r="W178" s="1"/>
      <c r="X178" s="1">
        <f t="shared" ca="1" si="94"/>
        <v>4.5144295091988482</v>
      </c>
      <c r="Y178" s="1">
        <f t="shared" ca="1" si="95"/>
        <v>9.585130666449157E-2</v>
      </c>
      <c r="Z178" s="1">
        <f t="shared" ca="1" si="96"/>
        <v>1225</v>
      </c>
      <c r="AB178" s="1">
        <f t="shared" ca="1" si="97"/>
        <v>0.46246945510091575</v>
      </c>
      <c r="AC178" s="1">
        <f t="shared" ca="1" si="98"/>
        <v>717</v>
      </c>
      <c r="AD178" s="1">
        <f t="shared" ca="1" si="99"/>
        <v>9.2027788917656041E-3</v>
      </c>
      <c r="AE178" s="1"/>
      <c r="AF178" s="1">
        <f t="shared" ca="1" si="100"/>
        <v>0.53835494468196854</v>
      </c>
      <c r="AG178" s="1">
        <f t="shared" ca="1" si="101"/>
        <v>665</v>
      </c>
      <c r="AH178" s="1">
        <f t="shared" ca="1" si="102"/>
        <v>6.6264694016865862E-3</v>
      </c>
      <c r="AJ178" s="1">
        <f t="shared" ca="1" si="103"/>
        <v>0.62067146745533575</v>
      </c>
      <c r="AK178" s="1">
        <f t="shared" ca="1" si="104"/>
        <v>5.8138966685693533E-3</v>
      </c>
      <c r="AL178" s="1"/>
      <c r="AM178" s="1">
        <f t="shared" ca="1" si="105"/>
        <v>0.12992065937160155</v>
      </c>
      <c r="AN178" s="1">
        <f t="shared" ca="1" si="106"/>
        <v>14</v>
      </c>
      <c r="AO178" s="1">
        <f t="shared" ca="1" si="107"/>
        <v>-1</v>
      </c>
      <c r="AQ178" s="1">
        <f t="shared" ca="1" si="108"/>
        <v>68</v>
      </c>
      <c r="AR178" s="1">
        <f t="shared" ca="1" si="109"/>
        <v>4</v>
      </c>
      <c r="AS178" s="1">
        <f t="shared" ca="1" si="110"/>
        <v>68</v>
      </c>
      <c r="AU178" s="1">
        <f t="shared" ca="1" si="111"/>
        <v>257</v>
      </c>
      <c r="AV178" s="1">
        <f t="shared" ca="1" si="112"/>
        <v>7</v>
      </c>
      <c r="AW178" s="1">
        <f t="shared" ca="1" si="113"/>
        <v>6.6821911216246282E-2</v>
      </c>
      <c r="AY178" s="1">
        <f t="shared" ca="1" si="114"/>
        <v>1.4582456412848874</v>
      </c>
      <c r="AZ178" s="1">
        <f t="shared" ca="1" si="115"/>
        <v>304</v>
      </c>
      <c r="BA178" s="1">
        <f t="shared" ca="1" si="116"/>
        <v>5.602957164311151E-3</v>
      </c>
    </row>
    <row r="179" spans="2:53" x14ac:dyDescent="0.25">
      <c r="B179">
        <f t="shared" ca="1" si="78"/>
        <v>456</v>
      </c>
      <c r="C179">
        <f t="shared" ca="1" si="79"/>
        <v>25</v>
      </c>
      <c r="D179">
        <f t="shared" ca="1" si="80"/>
        <v>0.2133166068468611</v>
      </c>
      <c r="F179" s="1">
        <f t="shared" ca="1" si="81"/>
        <v>39</v>
      </c>
      <c r="G179" s="1">
        <f t="shared" ca="1" si="82"/>
        <v>20</v>
      </c>
      <c r="H179" s="1">
        <f t="shared" ca="1" si="83"/>
        <v>13</v>
      </c>
      <c r="I179" s="1"/>
      <c r="J179" s="1">
        <f t="shared" ca="1" si="84"/>
        <v>9</v>
      </c>
      <c r="K179" s="1">
        <f t="shared" ca="1" si="85"/>
        <v>2.6001333537366476</v>
      </c>
      <c r="L179" s="1">
        <f t="shared" ca="1" si="86"/>
        <v>18</v>
      </c>
      <c r="M179" s="1"/>
      <c r="N179" s="1">
        <f t="shared" ca="1" si="87"/>
        <v>498</v>
      </c>
      <c r="O179" s="1">
        <f t="shared" ca="1" si="88"/>
        <v>33</v>
      </c>
      <c r="P179" s="1"/>
      <c r="Q179" s="1">
        <f t="shared" ca="1" si="89"/>
        <v>2.3487427447314149</v>
      </c>
      <c r="R179" s="1">
        <f t="shared" ca="1" si="90"/>
        <v>865</v>
      </c>
      <c r="S179" s="1"/>
      <c r="T179" s="1">
        <f t="shared" ca="1" si="91"/>
        <v>6.5890925753071844E-2</v>
      </c>
      <c r="U179" s="1">
        <f t="shared" ca="1" si="92"/>
        <v>358</v>
      </c>
      <c r="V179" s="1">
        <f t="shared" ca="1" si="93"/>
        <v>46</v>
      </c>
      <c r="W179" s="1"/>
      <c r="X179" s="1">
        <f t="shared" ca="1" si="94"/>
        <v>4.8852460959814179</v>
      </c>
      <c r="Y179" s="1">
        <f t="shared" ca="1" si="95"/>
        <v>0.23194777833876962</v>
      </c>
      <c r="Z179" s="1">
        <f t="shared" ca="1" si="96"/>
        <v>1375</v>
      </c>
      <c r="AB179" s="1">
        <f t="shared" ca="1" si="97"/>
        <v>0.28619515269288004</v>
      </c>
      <c r="AC179" s="1">
        <f t="shared" ca="1" si="98"/>
        <v>588</v>
      </c>
      <c r="AD179" s="1">
        <f t="shared" ca="1" si="99"/>
        <v>7.3195173962960726E-3</v>
      </c>
      <c r="AE179" s="1"/>
      <c r="AF179" s="1">
        <f t="shared" ca="1" si="100"/>
        <v>0.70907017439726683</v>
      </c>
      <c r="AG179" s="1">
        <f t="shared" ca="1" si="101"/>
        <v>252</v>
      </c>
      <c r="AH179" s="1">
        <f t="shared" ca="1" si="102"/>
        <v>4.3485676465599386E-3</v>
      </c>
      <c r="AJ179" s="1">
        <f t="shared" ca="1" si="103"/>
        <v>0.80845825916249381</v>
      </c>
      <c r="AK179" s="1">
        <f t="shared" ca="1" si="104"/>
        <v>6.2356153769150026E-3</v>
      </c>
      <c r="AL179" s="1"/>
      <c r="AM179" s="1">
        <f t="shared" ca="1" si="105"/>
        <v>0.14587292806050328</v>
      </c>
      <c r="AN179" s="1">
        <f t="shared" ca="1" si="106"/>
        <v>24</v>
      </c>
      <c r="AO179" s="1">
        <f t="shared" ca="1" si="107"/>
        <v>13</v>
      </c>
      <c r="AQ179" s="1">
        <f t="shared" ca="1" si="108"/>
        <v>197</v>
      </c>
      <c r="AR179" s="1">
        <f t="shared" ca="1" si="109"/>
        <v>3</v>
      </c>
      <c r="AS179" s="1">
        <f t="shared" ca="1" si="110"/>
        <v>69</v>
      </c>
      <c r="AU179" s="1">
        <f t="shared" ca="1" si="111"/>
        <v>200</v>
      </c>
      <c r="AV179" s="1">
        <f t="shared" ca="1" si="112"/>
        <v>3</v>
      </c>
      <c r="AW179" s="1">
        <f t="shared" ca="1" si="113"/>
        <v>7.4008600292349735E-2</v>
      </c>
      <c r="AY179" s="1">
        <f t="shared" ca="1" si="114"/>
        <v>1.7180837590373672</v>
      </c>
      <c r="AZ179" s="1">
        <f t="shared" ca="1" si="115"/>
        <v>259</v>
      </c>
      <c r="BA179" s="1">
        <f t="shared" ca="1" si="116"/>
        <v>1.622976684095721E-4</v>
      </c>
    </row>
    <row r="180" spans="2:53" x14ac:dyDescent="0.25">
      <c r="B180">
        <f t="shared" ca="1" si="78"/>
        <v>752</v>
      </c>
      <c r="C180">
        <f t="shared" ca="1" si="79"/>
        <v>29</v>
      </c>
      <c r="D180">
        <f t="shared" ca="1" si="80"/>
        <v>0.29082739757188492</v>
      </c>
      <c r="F180" s="1">
        <f t="shared" ca="1" si="81"/>
        <v>31</v>
      </c>
      <c r="G180" s="1">
        <f t="shared" ca="1" si="82"/>
        <v>3</v>
      </c>
      <c r="H180" s="1">
        <f t="shared" ca="1" si="83"/>
        <v>6</v>
      </c>
      <c r="I180" s="1"/>
      <c r="J180" s="1">
        <f t="shared" ca="1" si="84"/>
        <v>17</v>
      </c>
      <c r="K180" s="1">
        <f t="shared" ca="1" si="85"/>
        <v>1.0628961537476804</v>
      </c>
      <c r="L180" s="1">
        <f t="shared" ca="1" si="86"/>
        <v>10</v>
      </c>
      <c r="M180" s="1"/>
      <c r="N180" s="1">
        <f t="shared" ca="1" si="87"/>
        <v>567</v>
      </c>
      <c r="O180" s="1">
        <f t="shared" ca="1" si="88"/>
        <v>49</v>
      </c>
      <c r="P180" s="1"/>
      <c r="Q180" s="1">
        <f t="shared" ca="1" si="89"/>
        <v>3.7924980645089867</v>
      </c>
      <c r="R180" s="1">
        <f t="shared" ca="1" si="90"/>
        <v>722</v>
      </c>
      <c r="S180" s="1"/>
      <c r="T180" s="1">
        <f t="shared" ca="1" si="91"/>
        <v>0.18382022693865624</v>
      </c>
      <c r="U180" s="1">
        <f t="shared" ca="1" si="92"/>
        <v>96</v>
      </c>
      <c r="V180" s="1">
        <f t="shared" ca="1" si="93"/>
        <v>29</v>
      </c>
      <c r="W180" s="1"/>
      <c r="X180" s="1">
        <f t="shared" ca="1" si="94"/>
        <v>3.6199794525601794</v>
      </c>
      <c r="Y180" s="1">
        <f t="shared" ca="1" si="95"/>
        <v>0.47371321268520022</v>
      </c>
      <c r="Z180" s="1">
        <f t="shared" ca="1" si="96"/>
        <v>791</v>
      </c>
      <c r="AB180" s="1">
        <f t="shared" ca="1" si="97"/>
        <v>0.76213051309663293</v>
      </c>
      <c r="AC180" s="1">
        <f t="shared" ca="1" si="98"/>
        <v>607</v>
      </c>
      <c r="AD180" s="1">
        <f t="shared" ca="1" si="99"/>
        <v>4.4583033080417226E-3</v>
      </c>
      <c r="AE180" s="1"/>
      <c r="AF180" s="1">
        <f t="shared" ca="1" si="100"/>
        <v>0.36529641869340868</v>
      </c>
      <c r="AG180" s="1">
        <f t="shared" ca="1" si="101"/>
        <v>834</v>
      </c>
      <c r="AH180" s="1">
        <f t="shared" ca="1" si="102"/>
        <v>7.4247060891085197E-3</v>
      </c>
      <c r="AJ180" s="1">
        <f t="shared" ca="1" si="103"/>
        <v>7.6151513390166903E-2</v>
      </c>
      <c r="AK180" s="1">
        <f t="shared" ca="1" si="104"/>
        <v>9.256782062586939E-3</v>
      </c>
      <c r="AL180" s="1"/>
      <c r="AM180" s="1">
        <f t="shared" ca="1" si="105"/>
        <v>8.7387517624081812E-3</v>
      </c>
      <c r="AN180" s="1">
        <f t="shared" ca="1" si="106"/>
        <v>28</v>
      </c>
      <c r="AO180" s="1">
        <f t="shared" ca="1" si="107"/>
        <v>-1</v>
      </c>
      <c r="AQ180" s="1">
        <f t="shared" ca="1" si="108"/>
        <v>99</v>
      </c>
      <c r="AR180" s="1">
        <f t="shared" ca="1" si="109"/>
        <v>2</v>
      </c>
      <c r="AS180" s="1">
        <f t="shared" ca="1" si="110"/>
        <v>9</v>
      </c>
      <c r="AU180" s="1">
        <f t="shared" ca="1" si="111"/>
        <v>349</v>
      </c>
      <c r="AV180" s="1">
        <f t="shared" ca="1" si="112"/>
        <v>9</v>
      </c>
      <c r="AW180" s="1">
        <f t="shared" ca="1" si="113"/>
        <v>0.10802953500012268</v>
      </c>
      <c r="AY180" s="1">
        <f t="shared" ca="1" si="114"/>
        <v>1.451185373726199</v>
      </c>
      <c r="AZ180" s="1">
        <f t="shared" ca="1" si="115"/>
        <v>245</v>
      </c>
      <c r="BA180" s="1">
        <f t="shared" ca="1" si="116"/>
        <v>9.1403082707096576E-3</v>
      </c>
    </row>
    <row r="181" spans="2:53" x14ac:dyDescent="0.25">
      <c r="B181">
        <f t="shared" ca="1" si="78"/>
        <v>291</v>
      </c>
      <c r="C181">
        <f t="shared" ca="1" si="79"/>
        <v>25</v>
      </c>
      <c r="D181">
        <f t="shared" ca="1" si="80"/>
        <v>0.1945242406427031</v>
      </c>
      <c r="F181" s="1">
        <f t="shared" ca="1" si="81"/>
        <v>45</v>
      </c>
      <c r="G181" s="1">
        <f t="shared" ca="1" si="82"/>
        <v>2</v>
      </c>
      <c r="H181" s="1">
        <f t="shared" ca="1" si="83"/>
        <v>13</v>
      </c>
      <c r="I181" s="1"/>
      <c r="J181" s="1">
        <f t="shared" ca="1" si="84"/>
        <v>34</v>
      </c>
      <c r="K181" s="1">
        <f t="shared" ca="1" si="85"/>
        <v>2.2271755370870236</v>
      </c>
      <c r="L181" s="1">
        <f t="shared" ca="1" si="86"/>
        <v>7</v>
      </c>
      <c r="M181" s="1"/>
      <c r="N181" s="1">
        <f t="shared" ca="1" si="87"/>
        <v>611</v>
      </c>
      <c r="O181" s="1">
        <f t="shared" ca="1" si="88"/>
        <v>37</v>
      </c>
      <c r="P181" s="1"/>
      <c r="Q181" s="1">
        <f t="shared" ca="1" si="89"/>
        <v>3.536425682915521</v>
      </c>
      <c r="R181" s="1">
        <f t="shared" ca="1" si="90"/>
        <v>378</v>
      </c>
      <c r="S181" s="1"/>
      <c r="T181" s="1">
        <f t="shared" ca="1" si="91"/>
        <v>0.12977348897236402</v>
      </c>
      <c r="U181" s="1">
        <f t="shared" ca="1" si="92"/>
        <v>305</v>
      </c>
      <c r="V181" s="1">
        <f t="shared" ca="1" si="93"/>
        <v>52</v>
      </c>
      <c r="W181" s="1"/>
      <c r="X181" s="1">
        <f t="shared" ca="1" si="94"/>
        <v>3.8438422765007689</v>
      </c>
      <c r="Y181" s="1">
        <f t="shared" ca="1" si="95"/>
        <v>5.74112036570322E-2</v>
      </c>
      <c r="Z181" s="1">
        <f t="shared" ca="1" si="96"/>
        <v>1508</v>
      </c>
      <c r="AB181" s="1">
        <f t="shared" ca="1" si="97"/>
        <v>0.82205165483153053</v>
      </c>
      <c r="AC181" s="1">
        <f t="shared" ca="1" si="98"/>
        <v>926</v>
      </c>
      <c r="AD181" s="1">
        <f t="shared" ca="1" si="99"/>
        <v>8.6889769506063187E-3</v>
      </c>
      <c r="AE181" s="1"/>
      <c r="AF181" s="1">
        <f t="shared" ca="1" si="100"/>
        <v>0.89117364418942679</v>
      </c>
      <c r="AG181" s="1">
        <f t="shared" ca="1" si="101"/>
        <v>524</v>
      </c>
      <c r="AH181" s="1">
        <f t="shared" ca="1" si="102"/>
        <v>1.2619105232644415E-3</v>
      </c>
      <c r="AJ181" s="1">
        <f t="shared" ca="1" si="103"/>
        <v>7.7279726362465939E-2</v>
      </c>
      <c r="AK181" s="1">
        <f t="shared" ca="1" si="104"/>
        <v>6.4740425995061506E-3</v>
      </c>
      <c r="AL181" s="1"/>
      <c r="AM181" s="1">
        <f t="shared" ca="1" si="105"/>
        <v>7.3395992591841028E-2</v>
      </c>
      <c r="AN181" s="1">
        <f t="shared" ca="1" si="106"/>
        <v>66</v>
      </c>
      <c r="AO181" s="1">
        <f t="shared" ca="1" si="107"/>
        <v>7</v>
      </c>
      <c r="AQ181" s="1">
        <f t="shared" ca="1" si="108"/>
        <v>167</v>
      </c>
      <c r="AR181" s="1">
        <f t="shared" ca="1" si="109"/>
        <v>6</v>
      </c>
      <c r="AS181" s="1">
        <f t="shared" ca="1" si="110"/>
        <v>88</v>
      </c>
      <c r="AU181" s="1">
        <f t="shared" ca="1" si="111"/>
        <v>162</v>
      </c>
      <c r="AV181" s="1">
        <f t="shared" ca="1" si="112"/>
        <v>2</v>
      </c>
      <c r="AW181" s="1">
        <f t="shared" ca="1" si="113"/>
        <v>0.16926094264931246</v>
      </c>
      <c r="AY181" s="1">
        <f t="shared" ca="1" si="114"/>
        <v>1.7167523114385999</v>
      </c>
      <c r="AZ181" s="1">
        <f t="shared" ca="1" si="115"/>
        <v>408</v>
      </c>
      <c r="BA181" s="1">
        <f t="shared" ca="1" si="116"/>
        <v>6.201903321525956E-3</v>
      </c>
    </row>
    <row r="182" spans="2:53" x14ac:dyDescent="0.25">
      <c r="B182">
        <f t="shared" ca="1" si="78"/>
        <v>132</v>
      </c>
      <c r="C182">
        <f t="shared" ca="1" si="79"/>
        <v>50</v>
      </c>
      <c r="D182">
        <f t="shared" ca="1" si="80"/>
        <v>0.20085047931500788</v>
      </c>
      <c r="F182" s="1">
        <f t="shared" ca="1" si="81"/>
        <v>44</v>
      </c>
      <c r="G182" s="1">
        <f t="shared" ca="1" si="82"/>
        <v>6</v>
      </c>
      <c r="H182" s="1">
        <f t="shared" ca="1" si="83"/>
        <v>2</v>
      </c>
      <c r="I182" s="1"/>
      <c r="J182" s="1">
        <f t="shared" ca="1" si="84"/>
        <v>23</v>
      </c>
      <c r="K182" s="1">
        <f t="shared" ca="1" si="85"/>
        <v>1.720904245797559</v>
      </c>
      <c r="L182" s="1">
        <f t="shared" ca="1" si="86"/>
        <v>10</v>
      </c>
      <c r="M182" s="1"/>
      <c r="N182" s="1">
        <f t="shared" ca="1" si="87"/>
        <v>243</v>
      </c>
      <c r="O182" s="1">
        <f t="shared" ca="1" si="88"/>
        <v>48</v>
      </c>
      <c r="P182" s="1"/>
      <c r="Q182" s="1">
        <f t="shared" ca="1" si="89"/>
        <v>1.6243839762072763</v>
      </c>
      <c r="R182" s="1">
        <f t="shared" ca="1" si="90"/>
        <v>568</v>
      </c>
      <c r="S182" s="1"/>
      <c r="T182" s="1">
        <f t="shared" ca="1" si="91"/>
        <v>0.17250442370444105</v>
      </c>
      <c r="U182" s="1">
        <f t="shared" ca="1" si="92"/>
        <v>172</v>
      </c>
      <c r="V182" s="1">
        <f t="shared" ca="1" si="93"/>
        <v>35</v>
      </c>
      <c r="W182" s="1"/>
      <c r="X182" s="1">
        <f t="shared" ca="1" si="94"/>
        <v>7.0076933025422532</v>
      </c>
      <c r="Y182" s="1">
        <f t="shared" ca="1" si="95"/>
        <v>0.68342979042298813</v>
      </c>
      <c r="Z182" s="1">
        <f t="shared" ca="1" si="96"/>
        <v>1943</v>
      </c>
      <c r="AB182" s="1">
        <f t="shared" ca="1" si="97"/>
        <v>0.84620515594294654</v>
      </c>
      <c r="AC182" s="1">
        <f t="shared" ca="1" si="98"/>
        <v>363</v>
      </c>
      <c r="AD182" s="1">
        <f t="shared" ca="1" si="99"/>
        <v>5.1439708140758609E-3</v>
      </c>
      <c r="AE182" s="1"/>
      <c r="AF182" s="1">
        <f t="shared" ca="1" si="100"/>
        <v>0.51282928527014338</v>
      </c>
      <c r="AG182" s="1">
        <f t="shared" ca="1" si="101"/>
        <v>183</v>
      </c>
      <c r="AH182" s="1">
        <f t="shared" ca="1" si="102"/>
        <v>6.9012206934679502E-3</v>
      </c>
      <c r="AJ182" s="1">
        <f t="shared" ca="1" si="103"/>
        <v>0.9036638326140598</v>
      </c>
      <c r="AK182" s="1">
        <f t="shared" ca="1" si="104"/>
        <v>1.2076919185672118E-3</v>
      </c>
      <c r="AL182" s="1"/>
      <c r="AM182" s="1">
        <f t="shared" ca="1" si="105"/>
        <v>3.2427644460513542E-2</v>
      </c>
      <c r="AN182" s="1">
        <f t="shared" ca="1" si="106"/>
        <v>74</v>
      </c>
      <c r="AO182" s="1">
        <f t="shared" ca="1" si="107"/>
        <v>18</v>
      </c>
      <c r="AQ182" s="1">
        <f t="shared" ca="1" si="108"/>
        <v>178</v>
      </c>
      <c r="AR182" s="1">
        <f t="shared" ca="1" si="109"/>
        <v>5</v>
      </c>
      <c r="AS182" s="1">
        <f t="shared" ca="1" si="110"/>
        <v>56</v>
      </c>
      <c r="AU182" s="1">
        <f t="shared" ca="1" si="111"/>
        <v>189</v>
      </c>
      <c r="AV182" s="1">
        <f t="shared" ca="1" si="112"/>
        <v>2</v>
      </c>
      <c r="AW182" s="1">
        <f t="shared" ca="1" si="113"/>
        <v>3.1643003496363238E-2</v>
      </c>
      <c r="AY182" s="1">
        <f t="shared" ca="1" si="114"/>
        <v>1.517528431797436</v>
      </c>
      <c r="AZ182" s="1">
        <f t="shared" ca="1" si="115"/>
        <v>289</v>
      </c>
      <c r="BA182" s="1">
        <f t="shared" ca="1" si="116"/>
        <v>3.3247679111780182E-3</v>
      </c>
    </row>
    <row r="183" spans="2:53" x14ac:dyDescent="0.25">
      <c r="B183">
        <f t="shared" ca="1" si="78"/>
        <v>471</v>
      </c>
      <c r="C183">
        <f t="shared" ca="1" si="79"/>
        <v>48</v>
      </c>
      <c r="D183">
        <f t="shared" ca="1" si="80"/>
        <v>0.18847674657819785</v>
      </c>
      <c r="F183" s="1">
        <f t="shared" ca="1" si="81"/>
        <v>47</v>
      </c>
      <c r="G183" s="1">
        <f t="shared" ca="1" si="82"/>
        <v>10</v>
      </c>
      <c r="H183" s="1">
        <f t="shared" ca="1" si="83"/>
        <v>7</v>
      </c>
      <c r="I183" s="1"/>
      <c r="J183" s="1">
        <f t="shared" ca="1" si="84"/>
        <v>24</v>
      </c>
      <c r="K183" s="1">
        <f t="shared" ca="1" si="85"/>
        <v>2.4253679275925624</v>
      </c>
      <c r="L183" s="1">
        <f t="shared" ca="1" si="86"/>
        <v>16</v>
      </c>
      <c r="M183" s="1"/>
      <c r="N183" s="1">
        <f t="shared" ca="1" si="87"/>
        <v>361</v>
      </c>
      <c r="O183" s="1">
        <f t="shared" ca="1" si="88"/>
        <v>17</v>
      </c>
      <c r="P183" s="1"/>
      <c r="Q183" s="1">
        <f t="shared" ca="1" si="89"/>
        <v>0.47733129665452695</v>
      </c>
      <c r="R183" s="1">
        <f t="shared" ca="1" si="90"/>
        <v>542</v>
      </c>
      <c r="S183" s="1"/>
      <c r="T183" s="1">
        <f t="shared" ca="1" si="91"/>
        <v>3.2348216529009662E-2</v>
      </c>
      <c r="U183" s="1">
        <f t="shared" ca="1" si="92"/>
        <v>189</v>
      </c>
      <c r="V183" s="1">
        <f t="shared" ca="1" si="93"/>
        <v>42</v>
      </c>
      <c r="W183" s="1"/>
      <c r="X183" s="1">
        <f t="shared" ca="1" si="94"/>
        <v>6.9506484437934617</v>
      </c>
      <c r="Y183" s="1">
        <f t="shared" ca="1" si="95"/>
        <v>0.53786182228232549</v>
      </c>
      <c r="Z183" s="1">
        <f t="shared" ca="1" si="96"/>
        <v>1439</v>
      </c>
      <c r="AB183" s="1">
        <f t="shared" ca="1" si="97"/>
        <v>0.51309196769730503</v>
      </c>
      <c r="AC183" s="1">
        <f t="shared" ca="1" si="98"/>
        <v>669</v>
      </c>
      <c r="AD183" s="1">
        <f t="shared" ca="1" si="99"/>
        <v>7.2843866497841036E-3</v>
      </c>
      <c r="AE183" s="1"/>
      <c r="AF183" s="1">
        <f t="shared" ca="1" si="100"/>
        <v>0.54687499327072009</v>
      </c>
      <c r="AG183" s="1">
        <f t="shared" ca="1" si="101"/>
        <v>225</v>
      </c>
      <c r="AH183" s="1">
        <f t="shared" ca="1" si="102"/>
        <v>4.0084218813218392E-3</v>
      </c>
      <c r="AJ183" s="1">
        <f t="shared" ca="1" si="103"/>
        <v>0.61837725893136031</v>
      </c>
      <c r="AK183" s="1">
        <f t="shared" ca="1" si="104"/>
        <v>8.5530370383745252E-3</v>
      </c>
      <c r="AL183" s="1"/>
      <c r="AM183" s="1">
        <f t="shared" ca="1" si="105"/>
        <v>5.107638862127159E-2</v>
      </c>
      <c r="AN183" s="1">
        <f t="shared" ca="1" si="106"/>
        <v>55</v>
      </c>
      <c r="AO183" s="1">
        <f t="shared" ca="1" si="107"/>
        <v>17</v>
      </c>
      <c r="AQ183" s="1">
        <f t="shared" ca="1" si="108"/>
        <v>48</v>
      </c>
      <c r="AR183" s="1">
        <f t="shared" ca="1" si="109"/>
        <v>6</v>
      </c>
      <c r="AS183" s="1">
        <f t="shared" ca="1" si="110"/>
        <v>81</v>
      </c>
      <c r="AU183" s="1">
        <f t="shared" ca="1" si="111"/>
        <v>146</v>
      </c>
      <c r="AV183" s="1">
        <f t="shared" ca="1" si="112"/>
        <v>5</v>
      </c>
      <c r="AW183" s="1">
        <f t="shared" ca="1" si="113"/>
        <v>0.12891465352911322</v>
      </c>
      <c r="AY183" s="1">
        <f t="shared" ca="1" si="114"/>
        <v>1.5493605139541151</v>
      </c>
      <c r="AZ183" s="1">
        <f t="shared" ca="1" si="115"/>
        <v>397</v>
      </c>
      <c r="BA183" s="1">
        <f t="shared" ca="1" si="116"/>
        <v>5.224533227922744E-3</v>
      </c>
    </row>
    <row r="184" spans="2:53" x14ac:dyDescent="0.25">
      <c r="B184">
        <f t="shared" ca="1" si="78"/>
        <v>995</v>
      </c>
      <c r="C184">
        <f t="shared" ca="1" si="79"/>
        <v>25</v>
      </c>
      <c r="D184">
        <f t="shared" ca="1" si="80"/>
        <v>8.2821091229233923E-2</v>
      </c>
      <c r="F184" s="1">
        <f t="shared" ca="1" si="81"/>
        <v>50</v>
      </c>
      <c r="G184" s="1">
        <f t="shared" ca="1" si="82"/>
        <v>22</v>
      </c>
      <c r="H184" s="1">
        <f t="shared" ca="1" si="83"/>
        <v>9</v>
      </c>
      <c r="I184" s="1"/>
      <c r="J184" s="1">
        <f t="shared" ca="1" si="84"/>
        <v>35</v>
      </c>
      <c r="K184" s="1">
        <f t="shared" ca="1" si="85"/>
        <v>2.9921913212162319</v>
      </c>
      <c r="L184" s="1">
        <f t="shared" ca="1" si="86"/>
        <v>20</v>
      </c>
      <c r="M184" s="1"/>
      <c r="N184" s="1">
        <f t="shared" ca="1" si="87"/>
        <v>678</v>
      </c>
      <c r="O184" s="1">
        <f t="shared" ca="1" si="88"/>
        <v>30</v>
      </c>
      <c r="P184" s="1"/>
      <c r="Q184" s="1">
        <f t="shared" ca="1" si="89"/>
        <v>4.3594427822782107</v>
      </c>
      <c r="R184" s="1">
        <f t="shared" ca="1" si="90"/>
        <v>490</v>
      </c>
      <c r="S184" s="1"/>
      <c r="T184" s="1">
        <f t="shared" ca="1" si="91"/>
        <v>0.19053774826059738</v>
      </c>
      <c r="U184" s="1">
        <f t="shared" ca="1" si="92"/>
        <v>320</v>
      </c>
      <c r="V184" s="1">
        <f t="shared" ca="1" si="93"/>
        <v>28</v>
      </c>
      <c r="W184" s="1"/>
      <c r="X184" s="1">
        <f t="shared" ca="1" si="94"/>
        <v>0.27254427394886671</v>
      </c>
      <c r="Y184" s="1">
        <f t="shared" ca="1" si="95"/>
        <v>0.58777008272857501</v>
      </c>
      <c r="Z184" s="1">
        <f t="shared" ca="1" si="96"/>
        <v>985</v>
      </c>
      <c r="AB184" s="1">
        <f t="shared" ca="1" si="97"/>
        <v>0.45873912443217796</v>
      </c>
      <c r="AC184" s="1">
        <f t="shared" ca="1" si="98"/>
        <v>964</v>
      </c>
      <c r="AD184" s="1">
        <f t="shared" ca="1" si="99"/>
        <v>8.6735766892286721E-4</v>
      </c>
      <c r="AE184" s="1"/>
      <c r="AF184" s="1">
        <f t="shared" ca="1" si="100"/>
        <v>0.56966232749315582</v>
      </c>
      <c r="AG184" s="1">
        <f t="shared" ca="1" si="101"/>
        <v>432</v>
      </c>
      <c r="AH184" s="1">
        <f t="shared" ca="1" si="102"/>
        <v>8.9498110676261935E-4</v>
      </c>
      <c r="AJ184" s="1">
        <f t="shared" ca="1" si="103"/>
        <v>0.92147740985128512</v>
      </c>
      <c r="AK184" s="1">
        <f t="shared" ca="1" si="104"/>
        <v>3.4625337375295199E-3</v>
      </c>
      <c r="AL184" s="1"/>
      <c r="AM184" s="1">
        <f t="shared" ca="1" si="105"/>
        <v>0.14630492323898645</v>
      </c>
      <c r="AN184" s="1">
        <f t="shared" ca="1" si="106"/>
        <v>40</v>
      </c>
      <c r="AO184" s="1">
        <f t="shared" ca="1" si="107"/>
        <v>4</v>
      </c>
      <c r="AQ184" s="1">
        <f t="shared" ca="1" si="108"/>
        <v>122</v>
      </c>
      <c r="AR184" s="1">
        <f t="shared" ca="1" si="109"/>
        <v>4</v>
      </c>
      <c r="AS184" s="1">
        <f t="shared" ca="1" si="110"/>
        <v>21</v>
      </c>
      <c r="AU184" s="1">
        <f t="shared" ca="1" si="111"/>
        <v>129</v>
      </c>
      <c r="AV184" s="1">
        <f t="shared" ca="1" si="112"/>
        <v>6</v>
      </c>
      <c r="AW184" s="1">
        <f t="shared" ca="1" si="113"/>
        <v>0.11996369187950938</v>
      </c>
      <c r="AY184" s="1">
        <f t="shared" ca="1" si="114"/>
        <v>1.5374222814428822</v>
      </c>
      <c r="AZ184" s="1">
        <f t="shared" ca="1" si="115"/>
        <v>213</v>
      </c>
      <c r="BA184" s="1">
        <f t="shared" ca="1" si="116"/>
        <v>7.8152152884671238E-3</v>
      </c>
    </row>
    <row r="185" spans="2:53" x14ac:dyDescent="0.25">
      <c r="B185">
        <f t="shared" ca="1" si="78"/>
        <v>345</v>
      </c>
      <c r="C185">
        <f t="shared" ca="1" si="79"/>
        <v>48</v>
      </c>
      <c r="D185">
        <f t="shared" ca="1" si="80"/>
        <v>0.26680623399369985</v>
      </c>
      <c r="F185" s="1">
        <f t="shared" ca="1" si="81"/>
        <v>14</v>
      </c>
      <c r="G185" s="1">
        <f t="shared" ca="1" si="82"/>
        <v>11</v>
      </c>
      <c r="H185" s="1">
        <f t="shared" ca="1" si="83"/>
        <v>12</v>
      </c>
      <c r="I185" s="1"/>
      <c r="J185" s="1">
        <f t="shared" ca="1" si="84"/>
        <v>25</v>
      </c>
      <c r="K185" s="1">
        <f t="shared" ca="1" si="85"/>
        <v>2.6118826289479298</v>
      </c>
      <c r="L185" s="1">
        <f t="shared" ca="1" si="86"/>
        <v>27</v>
      </c>
      <c r="M185" s="1"/>
      <c r="N185" s="1">
        <f t="shared" ca="1" si="87"/>
        <v>257</v>
      </c>
      <c r="O185" s="1">
        <f t="shared" ca="1" si="88"/>
        <v>14</v>
      </c>
      <c r="P185" s="1"/>
      <c r="Q185" s="1">
        <f t="shared" ca="1" si="89"/>
        <v>4.2679769563459971</v>
      </c>
      <c r="R185" s="1">
        <f t="shared" ca="1" si="90"/>
        <v>264</v>
      </c>
      <c r="S185" s="1"/>
      <c r="T185" s="1">
        <f t="shared" ca="1" si="91"/>
        <v>5.8884619095573486E-2</v>
      </c>
      <c r="U185" s="1">
        <f t="shared" ca="1" si="92"/>
        <v>310</v>
      </c>
      <c r="V185" s="1">
        <f t="shared" ca="1" si="93"/>
        <v>50</v>
      </c>
      <c r="W185" s="1"/>
      <c r="X185" s="1">
        <f t="shared" ca="1" si="94"/>
        <v>6.6323062420447894</v>
      </c>
      <c r="Y185" s="1">
        <f t="shared" ca="1" si="95"/>
        <v>0.59342586217554583</v>
      </c>
      <c r="Z185" s="1">
        <f t="shared" ca="1" si="96"/>
        <v>1574</v>
      </c>
      <c r="AB185" s="1">
        <f t="shared" ca="1" si="97"/>
        <v>0.66471943298853142</v>
      </c>
      <c r="AC185" s="1">
        <f t="shared" ca="1" si="98"/>
        <v>551</v>
      </c>
      <c r="AD185" s="1">
        <f t="shared" ca="1" si="99"/>
        <v>2.914876307186105E-3</v>
      </c>
      <c r="AE185" s="1"/>
      <c r="AF185" s="1">
        <f t="shared" ca="1" si="100"/>
        <v>0.52654655824326702</v>
      </c>
      <c r="AG185" s="1">
        <f t="shared" ca="1" si="101"/>
        <v>401</v>
      </c>
      <c r="AH185" s="1">
        <f t="shared" ca="1" si="102"/>
        <v>8.5237955591509068E-3</v>
      </c>
      <c r="AJ185" s="1">
        <f t="shared" ca="1" si="103"/>
        <v>0.81797961409004039</v>
      </c>
      <c r="AK185" s="1">
        <f t="shared" ca="1" si="104"/>
        <v>7.1769629321660339E-3</v>
      </c>
      <c r="AL185" s="1"/>
      <c r="AM185" s="1">
        <f t="shared" ca="1" si="105"/>
        <v>2.2529798939289629E-2</v>
      </c>
      <c r="AN185" s="1">
        <f t="shared" ca="1" si="106"/>
        <v>66</v>
      </c>
      <c r="AO185" s="1">
        <f t="shared" ca="1" si="107"/>
        <v>10</v>
      </c>
      <c r="AQ185" s="1">
        <f t="shared" ca="1" si="108"/>
        <v>176</v>
      </c>
      <c r="AR185" s="1">
        <f t="shared" ca="1" si="109"/>
        <v>6</v>
      </c>
      <c r="AS185" s="1">
        <f t="shared" ca="1" si="110"/>
        <v>74</v>
      </c>
      <c r="AU185" s="1">
        <f t="shared" ca="1" si="111"/>
        <v>252</v>
      </c>
      <c r="AV185" s="1">
        <f t="shared" ca="1" si="112"/>
        <v>5</v>
      </c>
      <c r="AW185" s="1">
        <f t="shared" ca="1" si="113"/>
        <v>0.14349501104506598</v>
      </c>
      <c r="AY185" s="1">
        <f t="shared" ca="1" si="114"/>
        <v>1.9718688991805151</v>
      </c>
      <c r="AZ185" s="1">
        <f t="shared" ca="1" si="115"/>
        <v>121</v>
      </c>
      <c r="BA185" s="1">
        <f t="shared" ca="1" si="116"/>
        <v>5.272677886596738E-4</v>
      </c>
    </row>
    <row r="186" spans="2:53" x14ac:dyDescent="0.25">
      <c r="B186">
        <f t="shared" ca="1" si="78"/>
        <v>296</v>
      </c>
      <c r="C186">
        <f t="shared" ca="1" si="79"/>
        <v>11</v>
      </c>
      <c r="D186">
        <f t="shared" ca="1" si="80"/>
        <v>5.6510497783538408E-2</v>
      </c>
      <c r="F186" s="1">
        <f t="shared" ca="1" si="81"/>
        <v>5</v>
      </c>
      <c r="G186" s="1">
        <f t="shared" ca="1" si="82"/>
        <v>24</v>
      </c>
      <c r="H186" s="1">
        <f t="shared" ca="1" si="83"/>
        <v>12</v>
      </c>
      <c r="I186" s="1"/>
      <c r="J186" s="1">
        <f t="shared" ca="1" si="84"/>
        <v>29</v>
      </c>
      <c r="K186" s="1">
        <f t="shared" ca="1" si="85"/>
        <v>1.8954295270342059</v>
      </c>
      <c r="L186" s="1">
        <f t="shared" ca="1" si="86"/>
        <v>10</v>
      </c>
      <c r="M186" s="1"/>
      <c r="N186" s="1">
        <f t="shared" ca="1" si="87"/>
        <v>76</v>
      </c>
      <c r="O186" s="1">
        <f t="shared" ca="1" si="88"/>
        <v>11</v>
      </c>
      <c r="P186" s="1"/>
      <c r="Q186" s="1">
        <f t="shared" ca="1" si="89"/>
        <v>1.4522559680663298</v>
      </c>
      <c r="R186" s="1">
        <f t="shared" ca="1" si="90"/>
        <v>742</v>
      </c>
      <c r="S186" s="1"/>
      <c r="T186" s="1">
        <f t="shared" ca="1" si="91"/>
        <v>0.16769050628678855</v>
      </c>
      <c r="U186" s="1">
        <f t="shared" ca="1" si="92"/>
        <v>402</v>
      </c>
      <c r="V186" s="1">
        <f t="shared" ca="1" si="93"/>
        <v>22</v>
      </c>
      <c r="W186" s="1"/>
      <c r="X186" s="1">
        <f t="shared" ca="1" si="94"/>
        <v>5.6790743881218084</v>
      </c>
      <c r="Y186" s="1">
        <f t="shared" ca="1" si="95"/>
        <v>0.49009147137475034</v>
      </c>
      <c r="Z186" s="1">
        <f t="shared" ca="1" si="96"/>
        <v>1208</v>
      </c>
      <c r="AB186" s="1">
        <f t="shared" ca="1" si="97"/>
        <v>0.2200398957615568</v>
      </c>
      <c r="AC186" s="1">
        <f t="shared" ca="1" si="98"/>
        <v>781</v>
      </c>
      <c r="AD186" s="1">
        <f t="shared" ca="1" si="99"/>
        <v>9.3620762892169685E-3</v>
      </c>
      <c r="AE186" s="1"/>
      <c r="AF186" s="1">
        <f t="shared" ca="1" si="100"/>
        <v>0.47655469528853511</v>
      </c>
      <c r="AG186" s="1">
        <f t="shared" ca="1" si="101"/>
        <v>109</v>
      </c>
      <c r="AH186" s="1">
        <f t="shared" ca="1" si="102"/>
        <v>8.9814381482025332E-3</v>
      </c>
      <c r="AJ186" s="1">
        <f t="shared" ca="1" si="103"/>
        <v>0.24538117998206543</v>
      </c>
      <c r="AK186" s="1">
        <f t="shared" ca="1" si="104"/>
        <v>9.1085649947914449E-3</v>
      </c>
      <c r="AL186" s="1"/>
      <c r="AM186" s="1">
        <f t="shared" ca="1" si="105"/>
        <v>1.7540507665634964E-2</v>
      </c>
      <c r="AN186" s="1">
        <f t="shared" ca="1" si="106"/>
        <v>56</v>
      </c>
      <c r="AO186" s="1">
        <f t="shared" ca="1" si="107"/>
        <v>2</v>
      </c>
      <c r="AQ186" s="1">
        <f t="shared" ca="1" si="108"/>
        <v>38</v>
      </c>
      <c r="AR186" s="1">
        <f t="shared" ca="1" si="109"/>
        <v>7</v>
      </c>
      <c r="AS186" s="1">
        <f t="shared" ca="1" si="110"/>
        <v>11</v>
      </c>
      <c r="AU186" s="1">
        <f t="shared" ca="1" si="111"/>
        <v>219</v>
      </c>
      <c r="AV186" s="1">
        <f t="shared" ca="1" si="112"/>
        <v>4</v>
      </c>
      <c r="AW186" s="1">
        <f t="shared" ca="1" si="113"/>
        <v>0.169421197500252</v>
      </c>
      <c r="AY186" s="1">
        <f t="shared" ca="1" si="114"/>
        <v>1.8908305592774837</v>
      </c>
      <c r="AZ186" s="1">
        <f t="shared" ca="1" si="115"/>
        <v>134</v>
      </c>
      <c r="BA186" s="1">
        <f t="shared" ca="1" si="116"/>
        <v>9.8012326968379537E-3</v>
      </c>
    </row>
    <row r="187" spans="2:53" x14ac:dyDescent="0.25">
      <c r="B187">
        <f t="shared" ca="1" si="78"/>
        <v>125</v>
      </c>
      <c r="C187">
        <f t="shared" ca="1" si="79"/>
        <v>6</v>
      </c>
      <c r="D187">
        <f t="shared" ca="1" si="80"/>
        <v>7.1085817563973711E-2</v>
      </c>
      <c r="F187" s="1">
        <f t="shared" ca="1" si="81"/>
        <v>40</v>
      </c>
      <c r="G187" s="1">
        <f t="shared" ca="1" si="82"/>
        <v>3</v>
      </c>
      <c r="H187" s="1">
        <f t="shared" ca="1" si="83"/>
        <v>1</v>
      </c>
      <c r="I187" s="1"/>
      <c r="J187" s="1">
        <f t="shared" ca="1" si="84"/>
        <v>27</v>
      </c>
      <c r="K187" s="1">
        <f t="shared" ca="1" si="85"/>
        <v>2.2238678547622821</v>
      </c>
      <c r="L187" s="1">
        <f t="shared" ca="1" si="86"/>
        <v>27</v>
      </c>
      <c r="M187" s="1"/>
      <c r="N187" s="1">
        <f t="shared" ca="1" si="87"/>
        <v>76</v>
      </c>
      <c r="O187" s="1">
        <f t="shared" ca="1" si="88"/>
        <v>33</v>
      </c>
      <c r="P187" s="1"/>
      <c r="Q187" s="1">
        <f t="shared" ca="1" si="89"/>
        <v>2.6112209025905417</v>
      </c>
      <c r="R187" s="1">
        <f t="shared" ca="1" si="90"/>
        <v>780</v>
      </c>
      <c r="S187" s="1"/>
      <c r="T187" s="1">
        <f t="shared" ca="1" si="91"/>
        <v>0.1730962996970539</v>
      </c>
      <c r="U187" s="1">
        <f t="shared" ca="1" si="92"/>
        <v>288</v>
      </c>
      <c r="V187" s="1">
        <f t="shared" ca="1" si="93"/>
        <v>38</v>
      </c>
      <c r="W187" s="1"/>
      <c r="X187" s="1">
        <f t="shared" ca="1" si="94"/>
        <v>7.171576781176543</v>
      </c>
      <c r="Y187" s="1">
        <f t="shared" ca="1" si="95"/>
        <v>0.14680176678837903</v>
      </c>
      <c r="Z187" s="1">
        <f t="shared" ca="1" si="96"/>
        <v>1833</v>
      </c>
      <c r="AB187" s="1">
        <f t="shared" ca="1" si="97"/>
        <v>0.85420359182270178</v>
      </c>
      <c r="AC187" s="1">
        <f t="shared" ca="1" si="98"/>
        <v>759</v>
      </c>
      <c r="AD187" s="1">
        <f t="shared" ca="1" si="99"/>
        <v>5.8835241836560064E-3</v>
      </c>
      <c r="AE187" s="1"/>
      <c r="AF187" s="1">
        <f t="shared" ca="1" si="100"/>
        <v>0.6328019633137989</v>
      </c>
      <c r="AG187" s="1">
        <f t="shared" ca="1" si="101"/>
        <v>575</v>
      </c>
      <c r="AH187" s="1">
        <f t="shared" ca="1" si="102"/>
        <v>8.4950182560043202E-3</v>
      </c>
      <c r="AJ187" s="1">
        <f t="shared" ca="1" si="103"/>
        <v>0.73187454558150544</v>
      </c>
      <c r="AK187" s="1">
        <f t="shared" ca="1" si="104"/>
        <v>7.7171419258297326E-3</v>
      </c>
      <c r="AL187" s="1"/>
      <c r="AM187" s="1">
        <f t="shared" ca="1" si="105"/>
        <v>0.12075386156730494</v>
      </c>
      <c r="AN187" s="1">
        <f t="shared" ca="1" si="106"/>
        <v>69</v>
      </c>
      <c r="AO187" s="1">
        <f t="shared" ca="1" si="107"/>
        <v>1</v>
      </c>
      <c r="AQ187" s="1">
        <f t="shared" ca="1" si="108"/>
        <v>58</v>
      </c>
      <c r="AR187" s="1">
        <f t="shared" ca="1" si="109"/>
        <v>7</v>
      </c>
      <c r="AS187" s="1">
        <f t="shared" ca="1" si="110"/>
        <v>2</v>
      </c>
      <c r="AU187" s="1">
        <f t="shared" ca="1" si="111"/>
        <v>99</v>
      </c>
      <c r="AV187" s="1">
        <f t="shared" ca="1" si="112"/>
        <v>5</v>
      </c>
      <c r="AW187" s="1">
        <f t="shared" ca="1" si="113"/>
        <v>1.9439075542342588E-2</v>
      </c>
      <c r="AY187" s="1">
        <f t="shared" ca="1" si="114"/>
        <v>1.8784728697031179</v>
      </c>
      <c r="AZ187" s="1">
        <f t="shared" ca="1" si="115"/>
        <v>273</v>
      </c>
      <c r="BA187" s="1">
        <f t="shared" ca="1" si="116"/>
        <v>4.360592297549727E-3</v>
      </c>
    </row>
    <row r="188" spans="2:53" x14ac:dyDescent="0.25">
      <c r="B188">
        <f t="shared" ca="1" si="78"/>
        <v>277</v>
      </c>
      <c r="C188">
        <f t="shared" ca="1" si="79"/>
        <v>50</v>
      </c>
      <c r="D188">
        <f t="shared" ca="1" si="80"/>
        <v>0.25106056871461718</v>
      </c>
      <c r="F188" s="1">
        <f t="shared" ca="1" si="81"/>
        <v>16</v>
      </c>
      <c r="G188" s="1">
        <f t="shared" ca="1" si="82"/>
        <v>23</v>
      </c>
      <c r="H188" s="1">
        <f t="shared" ca="1" si="83"/>
        <v>5</v>
      </c>
      <c r="I188" s="1"/>
      <c r="J188" s="1">
        <f t="shared" ca="1" si="84"/>
        <v>8</v>
      </c>
      <c r="K188" s="1">
        <f t="shared" ca="1" si="85"/>
        <v>2.4816609998761905</v>
      </c>
      <c r="L188" s="1">
        <f t="shared" ca="1" si="86"/>
        <v>28</v>
      </c>
      <c r="M188" s="1"/>
      <c r="N188" s="1">
        <f t="shared" ca="1" si="87"/>
        <v>738</v>
      </c>
      <c r="O188" s="1">
        <f t="shared" ca="1" si="88"/>
        <v>30</v>
      </c>
      <c r="P188" s="1"/>
      <c r="Q188" s="1">
        <f t="shared" ca="1" si="89"/>
        <v>1.4781533594674299</v>
      </c>
      <c r="R188" s="1">
        <f t="shared" ca="1" si="90"/>
        <v>1055</v>
      </c>
      <c r="S188" s="1"/>
      <c r="T188" s="1">
        <f t="shared" ca="1" si="91"/>
        <v>0.11375369625586072</v>
      </c>
      <c r="U188" s="1">
        <f t="shared" ca="1" si="92"/>
        <v>149</v>
      </c>
      <c r="V188" s="1">
        <f t="shared" ca="1" si="93"/>
        <v>13</v>
      </c>
      <c r="W188" s="1"/>
      <c r="X188" s="1">
        <f t="shared" ca="1" si="94"/>
        <v>8.2977458897967438</v>
      </c>
      <c r="Y188" s="1">
        <f t="shared" ca="1" si="95"/>
        <v>0.43818700766958069</v>
      </c>
      <c r="Z188" s="1">
        <f t="shared" ca="1" si="96"/>
        <v>652</v>
      </c>
      <c r="AB188" s="1">
        <f t="shared" ca="1" si="97"/>
        <v>0.57340969520484253</v>
      </c>
      <c r="AC188" s="1">
        <f t="shared" ca="1" si="98"/>
        <v>563</v>
      </c>
      <c r="AD188" s="1">
        <f t="shared" ca="1" si="99"/>
        <v>4.7526090019025542E-3</v>
      </c>
      <c r="AE188" s="1"/>
      <c r="AF188" s="1">
        <f t="shared" ca="1" si="100"/>
        <v>0.29289102888172025</v>
      </c>
      <c r="AG188" s="1">
        <f t="shared" ca="1" si="101"/>
        <v>287</v>
      </c>
      <c r="AH188" s="1">
        <f t="shared" ca="1" si="102"/>
        <v>2.0254414495231273E-3</v>
      </c>
      <c r="AJ188" s="1">
        <f t="shared" ca="1" si="103"/>
        <v>0.78510916084381099</v>
      </c>
      <c r="AK188" s="1">
        <f t="shared" ca="1" si="104"/>
        <v>7.4617854592340547E-3</v>
      </c>
      <c r="AL188" s="1"/>
      <c r="AM188" s="1">
        <f t="shared" ca="1" si="105"/>
        <v>0.11217214965549178</v>
      </c>
      <c r="AN188" s="1">
        <f t="shared" ca="1" si="106"/>
        <v>53</v>
      </c>
      <c r="AO188" s="1">
        <f t="shared" ca="1" si="107"/>
        <v>6</v>
      </c>
      <c r="AQ188" s="1">
        <f t="shared" ca="1" si="108"/>
        <v>182</v>
      </c>
      <c r="AR188" s="1">
        <f t="shared" ca="1" si="109"/>
        <v>3</v>
      </c>
      <c r="AS188" s="1">
        <f t="shared" ca="1" si="110"/>
        <v>14</v>
      </c>
      <c r="AU188" s="1">
        <f t="shared" ca="1" si="111"/>
        <v>363</v>
      </c>
      <c r="AV188" s="1">
        <f t="shared" ca="1" si="112"/>
        <v>7</v>
      </c>
      <c r="AW188" s="1">
        <f t="shared" ca="1" si="113"/>
        <v>0.11677864648654228</v>
      </c>
      <c r="AY188" s="1">
        <f t="shared" ca="1" si="114"/>
        <v>1.6893103960537572</v>
      </c>
      <c r="AZ188" s="1">
        <f t="shared" ca="1" si="115"/>
        <v>350</v>
      </c>
      <c r="BA188" s="1">
        <f t="shared" ca="1" si="116"/>
        <v>9.258867917100894E-3</v>
      </c>
    </row>
    <row r="189" spans="2:53" x14ac:dyDescent="0.25">
      <c r="B189">
        <f t="shared" ca="1" si="78"/>
        <v>133</v>
      </c>
      <c r="C189">
        <f t="shared" ca="1" si="79"/>
        <v>40</v>
      </c>
      <c r="D189">
        <f t="shared" ca="1" si="80"/>
        <v>5.2525357784123372E-2</v>
      </c>
      <c r="F189" s="1">
        <f t="shared" ca="1" si="81"/>
        <v>15</v>
      </c>
      <c r="G189" s="1">
        <f t="shared" ca="1" si="82"/>
        <v>27</v>
      </c>
      <c r="H189" s="1">
        <f t="shared" ca="1" si="83"/>
        <v>12</v>
      </c>
      <c r="I189" s="1"/>
      <c r="J189" s="1">
        <f t="shared" ca="1" si="84"/>
        <v>31</v>
      </c>
      <c r="K189" s="1">
        <f t="shared" ca="1" si="85"/>
        <v>1.3276962116037927</v>
      </c>
      <c r="L189" s="1">
        <f t="shared" ca="1" si="86"/>
        <v>8</v>
      </c>
      <c r="M189" s="1"/>
      <c r="N189" s="1">
        <f t="shared" ca="1" si="87"/>
        <v>996</v>
      </c>
      <c r="O189" s="1">
        <f t="shared" ca="1" si="88"/>
        <v>47</v>
      </c>
      <c r="P189" s="1"/>
      <c r="Q189" s="1">
        <f t="shared" ca="1" si="89"/>
        <v>2.3639304646791199</v>
      </c>
      <c r="R189" s="1">
        <f t="shared" ca="1" si="90"/>
        <v>443</v>
      </c>
      <c r="S189" s="1"/>
      <c r="T189" s="1">
        <f t="shared" ca="1" si="91"/>
        <v>0.14366681216890551</v>
      </c>
      <c r="U189" s="1">
        <f t="shared" ca="1" si="92"/>
        <v>356</v>
      </c>
      <c r="V189" s="1">
        <f t="shared" ca="1" si="93"/>
        <v>31</v>
      </c>
      <c r="W189" s="1"/>
      <c r="X189" s="1">
        <f t="shared" ca="1" si="94"/>
        <v>4.7370116270590348</v>
      </c>
      <c r="Y189" s="1">
        <f t="shared" ca="1" si="95"/>
        <v>1.5370526630736235E-2</v>
      </c>
      <c r="Z189" s="1">
        <f t="shared" ca="1" si="96"/>
        <v>1236</v>
      </c>
      <c r="AB189" s="1">
        <f t="shared" ca="1" si="97"/>
        <v>0.88514493902412916</v>
      </c>
      <c r="AC189" s="1">
        <f t="shared" ca="1" si="98"/>
        <v>968</v>
      </c>
      <c r="AD189" s="1">
        <f t="shared" ca="1" si="99"/>
        <v>9.7702480793454365E-4</v>
      </c>
      <c r="AE189" s="1"/>
      <c r="AF189" s="1">
        <f t="shared" ca="1" si="100"/>
        <v>0.40327017132763321</v>
      </c>
      <c r="AG189" s="1">
        <f t="shared" ca="1" si="101"/>
        <v>710</v>
      </c>
      <c r="AH189" s="1">
        <f t="shared" ca="1" si="102"/>
        <v>9.0877940395378675E-3</v>
      </c>
      <c r="AJ189" s="1">
        <f t="shared" ca="1" si="103"/>
        <v>0.68149439803253753</v>
      </c>
      <c r="AK189" s="1">
        <f t="shared" ca="1" si="104"/>
        <v>2.4481290483450934E-3</v>
      </c>
      <c r="AL189" s="1"/>
      <c r="AM189" s="1">
        <f t="shared" ca="1" si="105"/>
        <v>7.4114489119207191E-2</v>
      </c>
      <c r="AN189" s="1">
        <f t="shared" ca="1" si="106"/>
        <v>54</v>
      </c>
      <c r="AO189" s="1">
        <f t="shared" ca="1" si="107"/>
        <v>11</v>
      </c>
      <c r="AQ189" s="1">
        <f t="shared" ca="1" si="108"/>
        <v>120</v>
      </c>
      <c r="AR189" s="1">
        <f t="shared" ca="1" si="109"/>
        <v>0</v>
      </c>
      <c r="AS189" s="1">
        <f t="shared" ca="1" si="110"/>
        <v>94</v>
      </c>
      <c r="AU189" s="1">
        <f t="shared" ca="1" si="111"/>
        <v>112</v>
      </c>
      <c r="AV189" s="1">
        <f t="shared" ca="1" si="112"/>
        <v>9</v>
      </c>
      <c r="AW189" s="1">
        <f t="shared" ca="1" si="113"/>
        <v>0.17023504020736357</v>
      </c>
      <c r="AY189" s="1">
        <f t="shared" ca="1" si="114"/>
        <v>1.1366509949455217</v>
      </c>
      <c r="AZ189" s="1">
        <f t="shared" ca="1" si="115"/>
        <v>409</v>
      </c>
      <c r="BA189" s="1">
        <f t="shared" ca="1" si="116"/>
        <v>7.1316326405641587E-3</v>
      </c>
    </row>
    <row r="190" spans="2:53" x14ac:dyDescent="0.25">
      <c r="B190">
        <f t="shared" ca="1" si="78"/>
        <v>367</v>
      </c>
      <c r="C190">
        <f t="shared" ca="1" si="79"/>
        <v>24</v>
      </c>
      <c r="D190">
        <f t="shared" ca="1" si="80"/>
        <v>0.17000976733471768</v>
      </c>
      <c r="F190" s="1">
        <f t="shared" ca="1" si="81"/>
        <v>12</v>
      </c>
      <c r="G190" s="1">
        <f t="shared" ca="1" si="82"/>
        <v>6</v>
      </c>
      <c r="H190" s="1">
        <f t="shared" ca="1" si="83"/>
        <v>11</v>
      </c>
      <c r="I190" s="1"/>
      <c r="J190" s="1">
        <f t="shared" ca="1" si="84"/>
        <v>2</v>
      </c>
      <c r="K190" s="1">
        <f t="shared" ca="1" si="85"/>
        <v>2.7488713949467369</v>
      </c>
      <c r="L190" s="1">
        <f t="shared" ca="1" si="86"/>
        <v>14</v>
      </c>
      <c r="M190" s="1"/>
      <c r="N190" s="1">
        <f t="shared" ca="1" si="87"/>
        <v>84</v>
      </c>
      <c r="O190" s="1">
        <f t="shared" ca="1" si="88"/>
        <v>42</v>
      </c>
      <c r="P190" s="1"/>
      <c r="Q190" s="1">
        <f t="shared" ca="1" si="89"/>
        <v>1.7343219143352466</v>
      </c>
      <c r="R190" s="1">
        <f t="shared" ca="1" si="90"/>
        <v>646</v>
      </c>
      <c r="S190" s="1"/>
      <c r="T190" s="1">
        <f t="shared" ca="1" si="91"/>
        <v>0.17271492027526825</v>
      </c>
      <c r="U190" s="1">
        <f t="shared" ca="1" si="92"/>
        <v>64</v>
      </c>
      <c r="V190" s="1">
        <f t="shared" ca="1" si="93"/>
        <v>35</v>
      </c>
      <c r="W190" s="1"/>
      <c r="X190" s="1">
        <f t="shared" ca="1" si="94"/>
        <v>4.8260954892884058</v>
      </c>
      <c r="Y190" s="1">
        <f t="shared" ca="1" si="95"/>
        <v>0.81172201400933808</v>
      </c>
      <c r="Z190" s="1">
        <f t="shared" ca="1" si="96"/>
        <v>923</v>
      </c>
      <c r="AB190" s="1">
        <f t="shared" ca="1" si="97"/>
        <v>0.34257481542151752</v>
      </c>
      <c r="AC190" s="1">
        <f t="shared" ca="1" si="98"/>
        <v>484</v>
      </c>
      <c r="AD190" s="1">
        <f t="shared" ca="1" si="99"/>
        <v>2.1770358891221378E-4</v>
      </c>
      <c r="AE190" s="1"/>
      <c r="AF190" s="1">
        <f t="shared" ca="1" si="100"/>
        <v>0.17465716658692615</v>
      </c>
      <c r="AG190" s="1">
        <f t="shared" ca="1" si="101"/>
        <v>193</v>
      </c>
      <c r="AH190" s="1">
        <f t="shared" ca="1" si="102"/>
        <v>8.9577698970274653E-3</v>
      </c>
      <c r="AJ190" s="1">
        <f t="shared" ca="1" si="103"/>
        <v>0.33303864037731257</v>
      </c>
      <c r="AK190" s="1">
        <f t="shared" ca="1" si="104"/>
        <v>9.4021441725975659E-3</v>
      </c>
      <c r="AL190" s="1"/>
      <c r="AM190" s="1">
        <f t="shared" ca="1" si="105"/>
        <v>1.3431791415179226E-2</v>
      </c>
      <c r="AN190" s="1">
        <f t="shared" ca="1" si="106"/>
        <v>40</v>
      </c>
      <c r="AO190" s="1">
        <f t="shared" ca="1" si="107"/>
        <v>2</v>
      </c>
      <c r="AQ190" s="1">
        <f t="shared" ca="1" si="108"/>
        <v>122</v>
      </c>
      <c r="AR190" s="1">
        <f t="shared" ca="1" si="109"/>
        <v>7</v>
      </c>
      <c r="AS190" s="1">
        <f t="shared" ca="1" si="110"/>
        <v>36</v>
      </c>
      <c r="AU190" s="1">
        <f t="shared" ca="1" si="111"/>
        <v>382</v>
      </c>
      <c r="AV190" s="1">
        <f t="shared" ca="1" si="112"/>
        <v>6</v>
      </c>
      <c r="AW190" s="1">
        <f t="shared" ca="1" si="113"/>
        <v>0.10703235801814988</v>
      </c>
      <c r="AY190" s="1">
        <f t="shared" ca="1" si="114"/>
        <v>1.6124442448205532</v>
      </c>
      <c r="AZ190" s="1">
        <f t="shared" ca="1" si="115"/>
        <v>344</v>
      </c>
      <c r="BA190" s="1">
        <f t="shared" ca="1" si="116"/>
        <v>8.3230004500027179E-3</v>
      </c>
    </row>
    <row r="191" spans="2:53" x14ac:dyDescent="0.25">
      <c r="B191">
        <f t="shared" ca="1" si="78"/>
        <v>939</v>
      </c>
      <c r="C191">
        <f t="shared" ca="1" si="79"/>
        <v>30</v>
      </c>
      <c r="D191">
        <f t="shared" ca="1" si="80"/>
        <v>0.2949401753510098</v>
      </c>
      <c r="F191" s="1">
        <f t="shared" ca="1" si="81"/>
        <v>5</v>
      </c>
      <c r="G191" s="1">
        <f t="shared" ca="1" si="82"/>
        <v>12</v>
      </c>
      <c r="H191" s="1">
        <f t="shared" ca="1" si="83"/>
        <v>2</v>
      </c>
      <c r="I191" s="1"/>
      <c r="J191" s="1">
        <f t="shared" ca="1" si="84"/>
        <v>26</v>
      </c>
      <c r="K191" s="1">
        <f t="shared" ca="1" si="85"/>
        <v>1.0702714675175213</v>
      </c>
      <c r="L191" s="1">
        <f t="shared" ca="1" si="86"/>
        <v>27</v>
      </c>
      <c r="M191" s="1"/>
      <c r="N191" s="1">
        <f t="shared" ca="1" si="87"/>
        <v>33</v>
      </c>
      <c r="O191" s="1">
        <f t="shared" ca="1" si="88"/>
        <v>15</v>
      </c>
      <c r="P191" s="1"/>
      <c r="Q191" s="1">
        <f t="shared" ca="1" si="89"/>
        <v>0.34325997330098373</v>
      </c>
      <c r="R191" s="1">
        <f t="shared" ca="1" si="90"/>
        <v>1063</v>
      </c>
      <c r="S191" s="1"/>
      <c r="T191" s="1">
        <f t="shared" ca="1" si="91"/>
        <v>0.14848743649991078</v>
      </c>
      <c r="U191" s="1">
        <f t="shared" ca="1" si="92"/>
        <v>411</v>
      </c>
      <c r="V191" s="1">
        <f t="shared" ca="1" si="93"/>
        <v>20</v>
      </c>
      <c r="W191" s="1"/>
      <c r="X191" s="1">
        <f t="shared" ca="1" si="94"/>
        <v>4.9983313698828891</v>
      </c>
      <c r="Y191" s="1">
        <f t="shared" ca="1" si="95"/>
        <v>0.36730749462139239</v>
      </c>
      <c r="Z191" s="1">
        <f t="shared" ca="1" si="96"/>
        <v>347</v>
      </c>
      <c r="AB191" s="1">
        <f t="shared" ca="1" si="97"/>
        <v>0.15117151104308049</v>
      </c>
      <c r="AC191" s="1">
        <f t="shared" ca="1" si="98"/>
        <v>891</v>
      </c>
      <c r="AD191" s="1">
        <f t="shared" ca="1" si="99"/>
        <v>8.3622133261875165E-3</v>
      </c>
      <c r="AE191" s="1"/>
      <c r="AF191" s="1">
        <f t="shared" ca="1" si="100"/>
        <v>0.28439522448860483</v>
      </c>
      <c r="AG191" s="1">
        <f t="shared" ca="1" si="101"/>
        <v>751</v>
      </c>
      <c r="AH191" s="1">
        <f t="shared" ca="1" si="102"/>
        <v>2.6526019359639943E-3</v>
      </c>
      <c r="AJ191" s="1">
        <f t="shared" ca="1" si="103"/>
        <v>0.33263016508893017</v>
      </c>
      <c r="AK191" s="1">
        <f t="shared" ca="1" si="104"/>
        <v>1.0302839694662281E-3</v>
      </c>
      <c r="AL191" s="1"/>
      <c r="AM191" s="1">
        <f t="shared" ca="1" si="105"/>
        <v>0.14725860446183195</v>
      </c>
      <c r="AN191" s="1">
        <f t="shared" ca="1" si="106"/>
        <v>71</v>
      </c>
      <c r="AO191" s="1">
        <f t="shared" ca="1" si="107"/>
        <v>2</v>
      </c>
      <c r="AQ191" s="1">
        <f t="shared" ca="1" si="108"/>
        <v>112</v>
      </c>
      <c r="AR191" s="1">
        <f t="shared" ca="1" si="109"/>
        <v>1</v>
      </c>
      <c r="AS191" s="1">
        <f t="shared" ca="1" si="110"/>
        <v>1</v>
      </c>
      <c r="AU191" s="1">
        <f t="shared" ca="1" si="111"/>
        <v>122</v>
      </c>
      <c r="AV191" s="1">
        <f t="shared" ca="1" si="112"/>
        <v>7</v>
      </c>
      <c r="AW191" s="1">
        <f t="shared" ca="1" si="113"/>
        <v>1.2875879327704854E-2</v>
      </c>
      <c r="AY191" s="1">
        <f t="shared" ca="1" si="114"/>
        <v>1.5271964882747779</v>
      </c>
      <c r="AZ191" s="1">
        <f t="shared" ca="1" si="115"/>
        <v>482</v>
      </c>
      <c r="BA191" s="1">
        <f t="shared" ca="1" si="116"/>
        <v>8.6576919433064021E-3</v>
      </c>
    </row>
    <row r="192" spans="2:53" x14ac:dyDescent="0.25">
      <c r="B192">
        <f t="shared" ca="1" si="78"/>
        <v>817</v>
      </c>
      <c r="C192">
        <f t="shared" ca="1" si="79"/>
        <v>24</v>
      </c>
      <c r="D192">
        <f t="shared" ca="1" si="80"/>
        <v>0.22691271153483789</v>
      </c>
      <c r="F192" s="1">
        <f t="shared" ca="1" si="81"/>
        <v>21</v>
      </c>
      <c r="G192" s="1">
        <f t="shared" ca="1" si="82"/>
        <v>26</v>
      </c>
      <c r="H192" s="1">
        <f t="shared" ca="1" si="83"/>
        <v>15</v>
      </c>
      <c r="I192" s="1"/>
      <c r="J192" s="1">
        <f t="shared" ca="1" si="84"/>
        <v>28</v>
      </c>
      <c r="K192" s="1">
        <f t="shared" ca="1" si="85"/>
        <v>1.2546437978323159</v>
      </c>
      <c r="L192" s="1">
        <f t="shared" ca="1" si="86"/>
        <v>10</v>
      </c>
      <c r="M192" s="1"/>
      <c r="N192" s="1">
        <f t="shared" ca="1" si="87"/>
        <v>829</v>
      </c>
      <c r="O192" s="1">
        <f t="shared" ca="1" si="88"/>
        <v>25</v>
      </c>
      <c r="P192" s="1"/>
      <c r="Q192" s="1">
        <f t="shared" ca="1" si="89"/>
        <v>1.3370068247283298</v>
      </c>
      <c r="R192" s="1">
        <f t="shared" ca="1" si="90"/>
        <v>683</v>
      </c>
      <c r="S192" s="1"/>
      <c r="T192" s="1">
        <f t="shared" ca="1" si="91"/>
        <v>6.201495148876604E-2</v>
      </c>
      <c r="U192" s="1">
        <f t="shared" ca="1" si="92"/>
        <v>422</v>
      </c>
      <c r="V192" s="1">
        <f t="shared" ca="1" si="93"/>
        <v>45</v>
      </c>
      <c r="W192" s="1"/>
      <c r="X192" s="1">
        <f t="shared" ca="1" si="94"/>
        <v>8.8821930920911711</v>
      </c>
      <c r="Y192" s="1">
        <f t="shared" ca="1" si="95"/>
        <v>0.44012566794361635</v>
      </c>
      <c r="Z192" s="1">
        <f t="shared" ca="1" si="96"/>
        <v>1882</v>
      </c>
      <c r="AB192" s="1">
        <f t="shared" ca="1" si="97"/>
        <v>0.6902213054687194</v>
      </c>
      <c r="AC192" s="1">
        <f t="shared" ca="1" si="98"/>
        <v>419</v>
      </c>
      <c r="AD192" s="1">
        <f t="shared" ca="1" si="99"/>
        <v>3.5178309399517753E-3</v>
      </c>
      <c r="AE192" s="1"/>
      <c r="AF192" s="1">
        <f t="shared" ca="1" si="100"/>
        <v>0.28980528549821705</v>
      </c>
      <c r="AG192" s="1">
        <f t="shared" ca="1" si="101"/>
        <v>343</v>
      </c>
      <c r="AH192" s="1">
        <f t="shared" ca="1" si="102"/>
        <v>2.8321094997145629E-3</v>
      </c>
      <c r="AJ192" s="1">
        <f t="shared" ca="1" si="103"/>
        <v>0.69159330681350173</v>
      </c>
      <c r="AK192" s="1">
        <f t="shared" ca="1" si="104"/>
        <v>1.3345255283122516E-3</v>
      </c>
      <c r="AL192" s="1"/>
      <c r="AM192" s="1">
        <f t="shared" ca="1" si="105"/>
        <v>5.510361203164147E-2</v>
      </c>
      <c r="AN192" s="1">
        <f t="shared" ca="1" si="106"/>
        <v>34</v>
      </c>
      <c r="AO192" s="1">
        <f t="shared" ca="1" si="107"/>
        <v>14</v>
      </c>
      <c r="AQ192" s="1">
        <f t="shared" ca="1" si="108"/>
        <v>168</v>
      </c>
      <c r="AR192" s="1">
        <f t="shared" ca="1" si="109"/>
        <v>2</v>
      </c>
      <c r="AS192" s="1">
        <f t="shared" ca="1" si="110"/>
        <v>23</v>
      </c>
      <c r="AU192" s="1">
        <f t="shared" ca="1" si="111"/>
        <v>269</v>
      </c>
      <c r="AV192" s="1">
        <f t="shared" ca="1" si="112"/>
        <v>9</v>
      </c>
      <c r="AW192" s="1">
        <f t="shared" ca="1" si="113"/>
        <v>2.7679881460871462E-2</v>
      </c>
      <c r="AY192" s="1">
        <f t="shared" ca="1" si="114"/>
        <v>1.6540093149700297</v>
      </c>
      <c r="AZ192" s="1">
        <f t="shared" ca="1" si="115"/>
        <v>229</v>
      </c>
      <c r="BA192" s="1">
        <f t="shared" ca="1" si="116"/>
        <v>1.4636092768656043E-3</v>
      </c>
    </row>
    <row r="193" spans="2:53" x14ac:dyDescent="0.25">
      <c r="B193">
        <f t="shared" ca="1" si="78"/>
        <v>865</v>
      </c>
      <c r="C193">
        <f t="shared" ca="1" si="79"/>
        <v>19</v>
      </c>
      <c r="D193">
        <f t="shared" ca="1" si="80"/>
        <v>0.29442895984676404</v>
      </c>
      <c r="F193" s="1">
        <f t="shared" ca="1" si="81"/>
        <v>52</v>
      </c>
      <c r="G193" s="1">
        <f t="shared" ca="1" si="82"/>
        <v>18</v>
      </c>
      <c r="H193" s="1">
        <f t="shared" ca="1" si="83"/>
        <v>14</v>
      </c>
      <c r="I193" s="1"/>
      <c r="J193" s="1">
        <f t="shared" ca="1" si="84"/>
        <v>24</v>
      </c>
      <c r="K193" s="1">
        <f t="shared" ca="1" si="85"/>
        <v>2.5889140811781779</v>
      </c>
      <c r="L193" s="1">
        <f t="shared" ca="1" si="86"/>
        <v>33</v>
      </c>
      <c r="M193" s="1"/>
      <c r="N193" s="1">
        <f t="shared" ca="1" si="87"/>
        <v>607</v>
      </c>
      <c r="O193" s="1">
        <f t="shared" ca="1" si="88"/>
        <v>45</v>
      </c>
      <c r="P193" s="1"/>
      <c r="Q193" s="1">
        <f t="shared" ca="1" si="89"/>
        <v>0.18803438231523228</v>
      </c>
      <c r="R193" s="1">
        <f t="shared" ca="1" si="90"/>
        <v>1023</v>
      </c>
      <c r="S193" s="1"/>
      <c r="T193" s="1">
        <f t="shared" ca="1" si="91"/>
        <v>0.13970844381241437</v>
      </c>
      <c r="U193" s="1">
        <f t="shared" ca="1" si="92"/>
        <v>216</v>
      </c>
      <c r="V193" s="1">
        <f t="shared" ca="1" si="93"/>
        <v>17</v>
      </c>
      <c r="W193" s="1"/>
      <c r="X193" s="1">
        <f t="shared" ca="1" si="94"/>
        <v>4.1981946923523079</v>
      </c>
      <c r="Y193" s="1">
        <f t="shared" ca="1" si="95"/>
        <v>0.21696020789511994</v>
      </c>
      <c r="Z193" s="1">
        <f t="shared" ca="1" si="96"/>
        <v>705</v>
      </c>
      <c r="AB193" s="1">
        <f t="shared" ca="1" si="97"/>
        <v>0.54985656604689814</v>
      </c>
      <c r="AC193" s="1">
        <f t="shared" ca="1" si="98"/>
        <v>371</v>
      </c>
      <c r="AD193" s="1">
        <f t="shared" ca="1" si="99"/>
        <v>5.4889545417388681E-3</v>
      </c>
      <c r="AE193" s="1"/>
      <c r="AF193" s="1">
        <f t="shared" ca="1" si="100"/>
        <v>0.18590317680522228</v>
      </c>
      <c r="AG193" s="1">
        <f t="shared" ca="1" si="101"/>
        <v>152</v>
      </c>
      <c r="AH193" s="1">
        <f t="shared" ca="1" si="102"/>
        <v>5.0501791214564162E-3</v>
      </c>
      <c r="AJ193" s="1">
        <f t="shared" ca="1" si="103"/>
        <v>0.93494644843692454</v>
      </c>
      <c r="AK193" s="1">
        <f t="shared" ca="1" si="104"/>
        <v>7.472062217619261E-3</v>
      </c>
      <c r="AL193" s="1"/>
      <c r="AM193" s="1">
        <f t="shared" ca="1" si="105"/>
        <v>4.4999110267623869E-2</v>
      </c>
      <c r="AN193" s="1">
        <f t="shared" ca="1" si="106"/>
        <v>41</v>
      </c>
      <c r="AO193" s="1">
        <f t="shared" ca="1" si="107"/>
        <v>17</v>
      </c>
      <c r="AQ193" s="1">
        <f t="shared" ca="1" si="108"/>
        <v>110</v>
      </c>
      <c r="AR193" s="1">
        <f t="shared" ca="1" si="109"/>
        <v>8</v>
      </c>
      <c r="AS193" s="1">
        <f t="shared" ca="1" si="110"/>
        <v>77</v>
      </c>
      <c r="AU193" s="1">
        <f t="shared" ca="1" si="111"/>
        <v>219</v>
      </c>
      <c r="AV193" s="1">
        <f t="shared" ca="1" si="112"/>
        <v>9</v>
      </c>
      <c r="AW193" s="1">
        <f t="shared" ca="1" si="113"/>
        <v>9.3873186094979758E-2</v>
      </c>
      <c r="AY193" s="1">
        <f t="shared" ca="1" si="114"/>
        <v>1.7421833452776194</v>
      </c>
      <c r="AZ193" s="1">
        <f t="shared" ca="1" si="115"/>
        <v>224</v>
      </c>
      <c r="BA193" s="1">
        <f t="shared" ca="1" si="116"/>
        <v>1.3391833986059652E-4</v>
      </c>
    </row>
    <row r="194" spans="2:53" x14ac:dyDescent="0.25">
      <c r="B194">
        <f t="shared" ca="1" si="78"/>
        <v>974</v>
      </c>
      <c r="C194">
        <f t="shared" ca="1" si="79"/>
        <v>20</v>
      </c>
      <c r="D194">
        <f t="shared" ca="1" si="80"/>
        <v>0.28873867124014146</v>
      </c>
      <c r="F194" s="1">
        <f t="shared" ca="1" si="81"/>
        <v>16</v>
      </c>
      <c r="G194" s="1">
        <f t="shared" ca="1" si="82"/>
        <v>7</v>
      </c>
      <c r="H194" s="1">
        <f t="shared" ca="1" si="83"/>
        <v>11</v>
      </c>
      <c r="I194" s="1"/>
      <c r="J194" s="1">
        <f t="shared" ca="1" si="84"/>
        <v>31</v>
      </c>
      <c r="K194" s="1">
        <f t="shared" ca="1" si="85"/>
        <v>2.8584831378658584</v>
      </c>
      <c r="L194" s="1">
        <f t="shared" ca="1" si="86"/>
        <v>10</v>
      </c>
      <c r="M194" s="1"/>
      <c r="N194" s="1">
        <f t="shared" ca="1" si="87"/>
        <v>763</v>
      </c>
      <c r="O194" s="1">
        <f t="shared" ca="1" si="88"/>
        <v>15</v>
      </c>
      <c r="P194" s="1"/>
      <c r="Q194" s="1">
        <f t="shared" ca="1" si="89"/>
        <v>4.0724135803198491</v>
      </c>
      <c r="R194" s="1">
        <f t="shared" ca="1" si="90"/>
        <v>606</v>
      </c>
      <c r="S194" s="1"/>
      <c r="T194" s="1">
        <f t="shared" ca="1" si="91"/>
        <v>3.8552211840507236E-2</v>
      </c>
      <c r="U194" s="1">
        <f t="shared" ca="1" si="92"/>
        <v>366</v>
      </c>
      <c r="V194" s="1">
        <f t="shared" ca="1" si="93"/>
        <v>45</v>
      </c>
      <c r="W194" s="1"/>
      <c r="X194" s="1">
        <f t="shared" ca="1" si="94"/>
        <v>6.9684016118802798</v>
      </c>
      <c r="Y194" s="1">
        <f t="shared" ca="1" si="95"/>
        <v>0.62087577797327198</v>
      </c>
      <c r="Z194" s="1">
        <f t="shared" ca="1" si="96"/>
        <v>884</v>
      </c>
      <c r="AB194" s="1">
        <f t="shared" ca="1" si="97"/>
        <v>0.11282787569811743</v>
      </c>
      <c r="AC194" s="1">
        <f t="shared" ca="1" si="98"/>
        <v>723</v>
      </c>
      <c r="AD194" s="1">
        <f t="shared" ca="1" si="99"/>
        <v>2.7051080885392444E-3</v>
      </c>
      <c r="AE194" s="1"/>
      <c r="AF194" s="1">
        <f t="shared" ca="1" si="100"/>
        <v>0.38427687532348254</v>
      </c>
      <c r="AG194" s="1">
        <f t="shared" ca="1" si="101"/>
        <v>749</v>
      </c>
      <c r="AH194" s="1">
        <f t="shared" ca="1" si="102"/>
        <v>7.5302872202022185E-3</v>
      </c>
      <c r="AJ194" s="1">
        <f t="shared" ca="1" si="103"/>
        <v>0.14792757142551338</v>
      </c>
      <c r="AK194" s="1">
        <f t="shared" ca="1" si="104"/>
        <v>5.7118137633060872E-3</v>
      </c>
      <c r="AL194" s="1"/>
      <c r="AM194" s="1">
        <f t="shared" ca="1" si="105"/>
        <v>7.9646145890493E-2</v>
      </c>
      <c r="AN194" s="1">
        <f t="shared" ca="1" si="106"/>
        <v>50</v>
      </c>
      <c r="AO194" s="1">
        <f t="shared" ca="1" si="107"/>
        <v>3</v>
      </c>
      <c r="AQ194" s="1">
        <f t="shared" ca="1" si="108"/>
        <v>184</v>
      </c>
      <c r="AR194" s="1">
        <f t="shared" ca="1" si="109"/>
        <v>10</v>
      </c>
      <c r="AS194" s="1">
        <f t="shared" ca="1" si="110"/>
        <v>74</v>
      </c>
      <c r="AU194" s="1">
        <f t="shared" ca="1" si="111"/>
        <v>158</v>
      </c>
      <c r="AV194" s="1">
        <f t="shared" ca="1" si="112"/>
        <v>10</v>
      </c>
      <c r="AW194" s="1">
        <f t="shared" ca="1" si="113"/>
        <v>8.9155771402254475E-2</v>
      </c>
      <c r="AY194" s="1">
        <f t="shared" ca="1" si="114"/>
        <v>1.690596776033559</v>
      </c>
      <c r="AZ194" s="1">
        <f t="shared" ca="1" si="115"/>
        <v>269</v>
      </c>
      <c r="BA194" s="1">
        <f t="shared" ca="1" si="116"/>
        <v>1.2763051211099588E-3</v>
      </c>
    </row>
    <row r="195" spans="2:53" x14ac:dyDescent="0.25">
      <c r="B195">
        <f t="shared" ca="1" si="78"/>
        <v>452</v>
      </c>
      <c r="C195">
        <f t="shared" ca="1" si="79"/>
        <v>29</v>
      </c>
      <c r="D195">
        <f t="shared" ca="1" si="80"/>
        <v>3.8888415801702242E-2</v>
      </c>
      <c r="F195" s="1">
        <f t="shared" ca="1" si="81"/>
        <v>45</v>
      </c>
      <c r="G195" s="1">
        <f t="shared" ca="1" si="82"/>
        <v>11</v>
      </c>
      <c r="H195" s="1">
        <f t="shared" ca="1" si="83"/>
        <v>4</v>
      </c>
      <c r="I195" s="1"/>
      <c r="J195" s="1">
        <f t="shared" ca="1" si="84"/>
        <v>24</v>
      </c>
      <c r="K195" s="1">
        <f t="shared" ca="1" si="85"/>
        <v>1.4309967515928237</v>
      </c>
      <c r="L195" s="1">
        <f t="shared" ca="1" si="86"/>
        <v>5</v>
      </c>
      <c r="M195" s="1"/>
      <c r="N195" s="1">
        <f t="shared" ca="1" si="87"/>
        <v>278</v>
      </c>
      <c r="O195" s="1">
        <f t="shared" ca="1" si="88"/>
        <v>23</v>
      </c>
      <c r="P195" s="1"/>
      <c r="Q195" s="1">
        <f t="shared" ca="1" si="89"/>
        <v>4.5674591841797136</v>
      </c>
      <c r="R195" s="1">
        <f t="shared" ca="1" si="90"/>
        <v>791</v>
      </c>
      <c r="S195" s="1"/>
      <c r="T195" s="1">
        <f t="shared" ca="1" si="91"/>
        <v>0.15595264989539534</v>
      </c>
      <c r="U195" s="1">
        <f t="shared" ca="1" si="92"/>
        <v>215</v>
      </c>
      <c r="V195" s="1">
        <f t="shared" ca="1" si="93"/>
        <v>3</v>
      </c>
      <c r="W195" s="1"/>
      <c r="X195" s="1">
        <f t="shared" ca="1" si="94"/>
        <v>3.6336455275859745</v>
      </c>
      <c r="Y195" s="1">
        <f t="shared" ca="1" si="95"/>
        <v>0.75954019125432426</v>
      </c>
      <c r="Z195" s="1">
        <f t="shared" ca="1" si="96"/>
        <v>840</v>
      </c>
      <c r="AB195" s="1">
        <f t="shared" ca="1" si="97"/>
        <v>0.62859762897578131</v>
      </c>
      <c r="AC195" s="1">
        <f t="shared" ca="1" si="98"/>
        <v>645</v>
      </c>
      <c r="AD195" s="1">
        <f t="shared" ca="1" si="99"/>
        <v>9.0948138043629913E-3</v>
      </c>
      <c r="AE195" s="1"/>
      <c r="AF195" s="1">
        <f t="shared" ca="1" si="100"/>
        <v>0.62133719010212118</v>
      </c>
      <c r="AG195" s="1">
        <f t="shared" ca="1" si="101"/>
        <v>929</v>
      </c>
      <c r="AH195" s="1">
        <f t="shared" ca="1" si="102"/>
        <v>5.6261892176726535E-3</v>
      </c>
      <c r="AJ195" s="1">
        <f t="shared" ca="1" si="103"/>
        <v>0.67504304909895618</v>
      </c>
      <c r="AK195" s="1">
        <f t="shared" ca="1" si="104"/>
        <v>2.3458220336517632E-3</v>
      </c>
      <c r="AL195" s="1"/>
      <c r="AM195" s="1">
        <f t="shared" ca="1" si="105"/>
        <v>0.13542818581448279</v>
      </c>
      <c r="AN195" s="1">
        <f t="shared" ca="1" si="106"/>
        <v>57</v>
      </c>
      <c r="AO195" s="1">
        <f t="shared" ca="1" si="107"/>
        <v>7</v>
      </c>
      <c r="AQ195" s="1">
        <f t="shared" ca="1" si="108"/>
        <v>94</v>
      </c>
      <c r="AR195" s="1">
        <f t="shared" ca="1" si="109"/>
        <v>7</v>
      </c>
      <c r="AS195" s="1">
        <f t="shared" ca="1" si="110"/>
        <v>44</v>
      </c>
      <c r="AU195" s="1">
        <f t="shared" ca="1" si="111"/>
        <v>113</v>
      </c>
      <c r="AV195" s="1">
        <f t="shared" ca="1" si="112"/>
        <v>2</v>
      </c>
      <c r="AW195" s="1">
        <f t="shared" ca="1" si="113"/>
        <v>6.0831748209117027E-2</v>
      </c>
      <c r="AY195" s="1">
        <f t="shared" ca="1" si="114"/>
        <v>1.5439227800793216</v>
      </c>
      <c r="AZ195" s="1">
        <f t="shared" ca="1" si="115"/>
        <v>209</v>
      </c>
      <c r="BA195" s="1">
        <f t="shared" ca="1" si="116"/>
        <v>8.8658356230312825E-4</v>
      </c>
    </row>
    <row r="196" spans="2:53" x14ac:dyDescent="0.25">
      <c r="B196">
        <f t="shared" ref="B196:B202" ca="1" si="117">RANDBETWEEN(15,1000)</f>
        <v>439</v>
      </c>
      <c r="C196">
        <f t="shared" ref="C196:C202" ca="1" si="118">RANDBETWEEN(2,52)</f>
        <v>13</v>
      </c>
      <c r="D196">
        <f t="shared" ref="D196:D202" ca="1" si="119">RAND()*(0.3-0.01)+0.01</f>
        <v>1.178094810544783E-2</v>
      </c>
      <c r="F196" s="1">
        <f t="shared" ref="F196:F202" ca="1" si="120">RANDBETWEEN(2,52)</f>
        <v>15</v>
      </c>
      <c r="G196" s="1">
        <f t="shared" ref="G196:G202" ca="1" si="121">RANDBETWEEN(2,30)</f>
        <v>7</v>
      </c>
      <c r="H196" s="1">
        <f t="shared" ref="H196:H202" ca="1" si="122">RANDBETWEEN(1,15)</f>
        <v>3</v>
      </c>
      <c r="I196" s="1"/>
      <c r="J196" s="1">
        <f t="shared" ref="J196:J202" ca="1" si="123">RANDBETWEEN(1,39)</f>
        <v>22</v>
      </c>
      <c r="K196" s="1">
        <f t="shared" ref="K196:K202" ca="1" si="124">RAND()*(3-1)+1</f>
        <v>2.9932251140974886</v>
      </c>
      <c r="L196" s="1">
        <f t="shared" ref="L196:L202" ca="1" si="125">RANDBETWEEN(2,35)</f>
        <v>22</v>
      </c>
      <c r="M196" s="1"/>
      <c r="N196" s="1">
        <f t="shared" ref="N196:N202" ca="1" si="126">RANDBETWEEN(15,1000)</f>
        <v>874</v>
      </c>
      <c r="O196" s="1">
        <f t="shared" ref="O196:O202" ca="1" si="127">RANDBETWEEN(2,52)</f>
        <v>51</v>
      </c>
      <c r="P196" s="1"/>
      <c r="Q196" s="1">
        <f t="shared" ref="Q196:Q202" ca="1" si="128">RAND()*(5-0.01)+0.01</f>
        <v>1.6810265281611358</v>
      </c>
      <c r="R196" s="1">
        <f t="shared" ref="R196:R202" ca="1" si="129">RANDBETWEEN(200,1200)</f>
        <v>632</v>
      </c>
      <c r="S196" s="1"/>
      <c r="T196" s="1">
        <f t="shared" ref="T196:T202" ca="1" si="130">RAND()*(0.2-0.01)+0.01</f>
        <v>0.12248620637233811</v>
      </c>
      <c r="U196" s="1">
        <f t="shared" ref="U196:U202" ca="1" si="131">RANDBETWEEN(50,450)</f>
        <v>52</v>
      </c>
      <c r="V196" s="1">
        <f t="shared" ref="V196:V202" ca="1" si="132">RANDBETWEEN(2,52)</f>
        <v>45</v>
      </c>
      <c r="W196" s="1"/>
      <c r="X196" s="1">
        <f t="shared" ref="X196:X202" ca="1" si="133">RAND()*(10-0.01)+0.01</f>
        <v>9.0283468375276996</v>
      </c>
      <c r="Y196" s="1">
        <f t="shared" ref="Y196:Y202" ca="1" si="134">RAND()*(1-0.0001)+0.0001</f>
        <v>0.15722594015076424</v>
      </c>
      <c r="Z196" s="1">
        <f t="shared" ref="Z196:Z202" ca="1" si="135">RANDBETWEEN(100,2000)</f>
        <v>1184</v>
      </c>
      <c r="AB196" s="1">
        <f t="shared" ref="AB196:AB202" ca="1" si="136">RAND()*(1-0.0001)+0.0001</f>
        <v>0.39724864927987513</v>
      </c>
      <c r="AC196" s="1">
        <f t="shared" ref="AC196:AC202" ca="1" si="137">RANDBETWEEN(100,1000)</f>
        <v>859</v>
      </c>
      <c r="AD196" s="1">
        <f t="shared" ref="AD196:AD202" ca="1" si="138">RAND()*(0.01-0.00001)+0.00001</f>
        <v>7.3243631658952094E-3</v>
      </c>
      <c r="AE196" s="1"/>
      <c r="AF196" s="1">
        <f t="shared" ref="AF196:AF202" ca="1" si="139">RAND()*(0.9-0.1)+0.1</f>
        <v>0.75910256542558219</v>
      </c>
      <c r="AG196" s="1">
        <f t="shared" ref="AG196:AG202" ca="1" si="140">RANDBETWEEN(100,1000)</f>
        <v>368</v>
      </c>
      <c r="AH196" s="1">
        <f t="shared" ref="AH196:AH202" ca="1" si="141">RAND()*(0.01-0.00001)+0.00001</f>
        <v>2.6359981103628908E-3</v>
      </c>
      <c r="AJ196" s="1">
        <f t="shared" ref="AJ196:AJ202" ca="1" si="142">RAND()*(1-0)+0</f>
        <v>0.40527901606355199</v>
      </c>
      <c r="AK196" s="1">
        <f t="shared" ref="AK196:AK202" ca="1" si="143">RAND()*(0.01-0.00001)+0.00001</f>
        <v>8.3967011902584575E-4</v>
      </c>
      <c r="AL196" s="1"/>
      <c r="AM196" s="1">
        <f t="shared" ref="AM196:AM202" ca="1" si="144">RAND()*(0.2-0.005)+0.005</f>
        <v>1.4314961524670742E-2</v>
      </c>
      <c r="AN196" s="1">
        <f t="shared" ref="AN196:AN202" ca="1" si="145">RANDBETWEEN(10,80)</f>
        <v>24</v>
      </c>
      <c r="AO196" s="1">
        <f t="shared" ref="AO196:AO202" ca="1" si="146">RANDBETWEEN(-1,20)</f>
        <v>7</v>
      </c>
      <c r="AQ196" s="1">
        <f t="shared" ref="AQ196:AQ202" ca="1" si="147">RANDBETWEEN(10,200)</f>
        <v>109</v>
      </c>
      <c r="AR196" s="1">
        <f t="shared" ref="AR196:AR202" ca="1" si="148">RANDBETWEEN(0,10)</f>
        <v>8</v>
      </c>
      <c r="AS196" s="1">
        <f t="shared" ref="AS196:AS202" ca="1" si="149">RANDBETWEEN(1,100)</f>
        <v>31</v>
      </c>
      <c r="AU196" s="1">
        <f t="shared" ref="AU196:AU202" ca="1" si="150">RANDBETWEEN(50,400)</f>
        <v>240</v>
      </c>
      <c r="AV196" s="1">
        <f t="shared" ref="AV196:AV202" ca="1" si="151">RANDBETWEEN(2,10)</f>
        <v>2</v>
      </c>
      <c r="AW196" s="1">
        <f t="shared" ref="AW196:AW202" ca="1" si="152">RAND()*(0.2-0.01)+0.01</f>
        <v>6.7362164828596249E-2</v>
      </c>
      <c r="AY196" s="1">
        <f t="shared" ref="AY196:AY202" ca="1" si="153">RAND()*(2-1.1)+1.1</f>
        <v>1.3520810833513117</v>
      </c>
      <c r="AZ196" s="1">
        <f t="shared" ref="AZ196:AZ202" ca="1" si="154">RANDBETWEEN(50,500)</f>
        <v>481</v>
      </c>
      <c r="BA196" s="1">
        <f t="shared" ref="BA196:BA202" ca="1" si="155">RAND()*(0.01-0.00001)+0.00001</f>
        <v>3.6427590769139663E-3</v>
      </c>
    </row>
    <row r="197" spans="2:53" x14ac:dyDescent="0.25">
      <c r="B197">
        <f t="shared" ca="1" si="117"/>
        <v>724</v>
      </c>
      <c r="C197">
        <f t="shared" ca="1" si="118"/>
        <v>42</v>
      </c>
      <c r="D197">
        <f t="shared" ca="1" si="119"/>
        <v>0.13492728216846325</v>
      </c>
      <c r="F197" s="1">
        <f t="shared" ca="1" si="120"/>
        <v>26</v>
      </c>
      <c r="G197" s="1">
        <f t="shared" ca="1" si="121"/>
        <v>18</v>
      </c>
      <c r="H197" s="1">
        <f t="shared" ca="1" si="122"/>
        <v>4</v>
      </c>
      <c r="I197" s="1"/>
      <c r="J197" s="1">
        <f t="shared" ca="1" si="123"/>
        <v>12</v>
      </c>
      <c r="K197" s="1">
        <f t="shared" ca="1" si="124"/>
        <v>1.3990349642700322</v>
      </c>
      <c r="L197" s="1">
        <f t="shared" ca="1" si="125"/>
        <v>27</v>
      </c>
      <c r="M197" s="1"/>
      <c r="N197" s="1">
        <f t="shared" ca="1" si="126"/>
        <v>960</v>
      </c>
      <c r="O197" s="1">
        <f t="shared" ca="1" si="127"/>
        <v>16</v>
      </c>
      <c r="P197" s="1"/>
      <c r="Q197" s="1">
        <f t="shared" ca="1" si="128"/>
        <v>2.3710855244193607</v>
      </c>
      <c r="R197" s="1">
        <f t="shared" ca="1" si="129"/>
        <v>697</v>
      </c>
      <c r="S197" s="1"/>
      <c r="T197" s="1">
        <f t="shared" ca="1" si="130"/>
        <v>2.0961833018640338E-2</v>
      </c>
      <c r="U197" s="1">
        <f t="shared" ca="1" si="131"/>
        <v>110</v>
      </c>
      <c r="V197" s="1">
        <f t="shared" ca="1" si="132"/>
        <v>18</v>
      </c>
      <c r="W197" s="1"/>
      <c r="X197" s="1">
        <f t="shared" ca="1" si="133"/>
        <v>3.4268514663965091</v>
      </c>
      <c r="Y197" s="1">
        <f t="shared" ca="1" si="134"/>
        <v>8.2344309350101064E-2</v>
      </c>
      <c r="Z197" s="1">
        <f t="shared" ca="1" si="135"/>
        <v>1819</v>
      </c>
      <c r="AB197" s="1">
        <f t="shared" ca="1" si="136"/>
        <v>0.81878080831049604</v>
      </c>
      <c r="AC197" s="1">
        <f t="shared" ca="1" si="137"/>
        <v>363</v>
      </c>
      <c r="AD197" s="1">
        <f t="shared" ca="1" si="138"/>
        <v>2.5553857571831676E-3</v>
      </c>
      <c r="AE197" s="1"/>
      <c r="AF197" s="1">
        <f t="shared" ca="1" si="139"/>
        <v>0.62348817365671849</v>
      </c>
      <c r="AG197" s="1">
        <f t="shared" ca="1" si="140"/>
        <v>587</v>
      </c>
      <c r="AH197" s="1">
        <f t="shared" ca="1" si="141"/>
        <v>6.9063516537704872E-3</v>
      </c>
      <c r="AJ197" s="1">
        <f t="shared" ca="1" si="142"/>
        <v>0.26025129804599922</v>
      </c>
      <c r="AK197" s="1">
        <f t="shared" ca="1" si="143"/>
        <v>2.1173982615333539E-3</v>
      </c>
      <c r="AL197" s="1"/>
      <c r="AM197" s="1">
        <f t="shared" ca="1" si="144"/>
        <v>0.19867843476456093</v>
      </c>
      <c r="AN197" s="1">
        <f t="shared" ca="1" si="145"/>
        <v>62</v>
      </c>
      <c r="AO197" s="1">
        <f t="shared" ca="1" si="146"/>
        <v>12</v>
      </c>
      <c r="AQ197" s="1">
        <f t="shared" ca="1" si="147"/>
        <v>123</v>
      </c>
      <c r="AR197" s="1">
        <f t="shared" ca="1" si="148"/>
        <v>0</v>
      </c>
      <c r="AS197" s="1">
        <f t="shared" ca="1" si="149"/>
        <v>15</v>
      </c>
      <c r="AU197" s="1">
        <f t="shared" ca="1" si="150"/>
        <v>295</v>
      </c>
      <c r="AV197" s="1">
        <f t="shared" ca="1" si="151"/>
        <v>4</v>
      </c>
      <c r="AW197" s="1">
        <f t="shared" ca="1" si="152"/>
        <v>6.6824943894641969E-2</v>
      </c>
      <c r="AY197" s="1">
        <f t="shared" ca="1" si="153"/>
        <v>1.523535422886475</v>
      </c>
      <c r="AZ197" s="1">
        <f t="shared" ca="1" si="154"/>
        <v>94</v>
      </c>
      <c r="BA197" s="1">
        <f t="shared" ca="1" si="155"/>
        <v>7.2321239723380617E-4</v>
      </c>
    </row>
    <row r="198" spans="2:53" x14ac:dyDescent="0.25">
      <c r="B198">
        <f t="shared" ca="1" si="117"/>
        <v>871</v>
      </c>
      <c r="C198">
        <f t="shared" ca="1" si="118"/>
        <v>16</v>
      </c>
      <c r="D198">
        <f t="shared" ca="1" si="119"/>
        <v>0.2217405365324551</v>
      </c>
      <c r="F198" s="1">
        <f t="shared" ca="1" si="120"/>
        <v>23</v>
      </c>
      <c r="G198" s="1">
        <f t="shared" ca="1" si="121"/>
        <v>2</v>
      </c>
      <c r="H198" s="1">
        <f t="shared" ca="1" si="122"/>
        <v>7</v>
      </c>
      <c r="I198" s="1"/>
      <c r="J198" s="1">
        <f t="shared" ca="1" si="123"/>
        <v>23</v>
      </c>
      <c r="K198" s="1">
        <f t="shared" ca="1" si="124"/>
        <v>1.0842052797441648</v>
      </c>
      <c r="L198" s="1">
        <f t="shared" ca="1" si="125"/>
        <v>9</v>
      </c>
      <c r="M198" s="1"/>
      <c r="N198" s="1">
        <f t="shared" ca="1" si="126"/>
        <v>452</v>
      </c>
      <c r="O198" s="1">
        <f t="shared" ca="1" si="127"/>
        <v>51</v>
      </c>
      <c r="P198" s="1"/>
      <c r="Q198" s="1">
        <f t="shared" ca="1" si="128"/>
        <v>1.3141489913600508</v>
      </c>
      <c r="R198" s="1">
        <f t="shared" ca="1" si="129"/>
        <v>527</v>
      </c>
      <c r="S198" s="1"/>
      <c r="T198" s="1">
        <f t="shared" ca="1" si="130"/>
        <v>0.13217000680522289</v>
      </c>
      <c r="U198" s="1">
        <f t="shared" ca="1" si="131"/>
        <v>342</v>
      </c>
      <c r="V198" s="1">
        <f t="shared" ca="1" si="132"/>
        <v>8</v>
      </c>
      <c r="W198" s="1"/>
      <c r="X198" s="1">
        <f t="shared" ca="1" si="133"/>
        <v>4.0595411802778525</v>
      </c>
      <c r="Y198" s="1">
        <f t="shared" ca="1" si="134"/>
        <v>0.35777707792544033</v>
      </c>
      <c r="Z198" s="1">
        <f t="shared" ca="1" si="135"/>
        <v>883</v>
      </c>
      <c r="AB198" s="1">
        <f t="shared" ca="1" si="136"/>
        <v>9.8770696416248416E-2</v>
      </c>
      <c r="AC198" s="1">
        <f t="shared" ca="1" si="137"/>
        <v>224</v>
      </c>
      <c r="AD198" s="1">
        <f t="shared" ca="1" si="138"/>
        <v>8.5444409792681981E-3</v>
      </c>
      <c r="AE198" s="1"/>
      <c r="AF198" s="1">
        <f t="shared" ca="1" si="139"/>
        <v>0.83572745228121359</v>
      </c>
      <c r="AG198" s="1">
        <f t="shared" ca="1" si="140"/>
        <v>236</v>
      </c>
      <c r="AH198" s="1">
        <f t="shared" ca="1" si="141"/>
        <v>9.5069642042883411E-3</v>
      </c>
      <c r="AJ198" s="1">
        <f t="shared" ca="1" si="142"/>
        <v>0.12781945839055464</v>
      </c>
      <c r="AK198" s="1">
        <f t="shared" ca="1" si="143"/>
        <v>4.83541138490713E-3</v>
      </c>
      <c r="AL198" s="1"/>
      <c r="AM198" s="1">
        <f t="shared" ca="1" si="144"/>
        <v>1.8945391767108157E-2</v>
      </c>
      <c r="AN198" s="1">
        <f t="shared" ca="1" si="145"/>
        <v>20</v>
      </c>
      <c r="AO198" s="1">
        <f t="shared" ca="1" si="146"/>
        <v>15</v>
      </c>
      <c r="AQ198" s="1">
        <f t="shared" ca="1" si="147"/>
        <v>24</v>
      </c>
      <c r="AR198" s="1">
        <f t="shared" ca="1" si="148"/>
        <v>1</v>
      </c>
      <c r="AS198" s="1">
        <f t="shared" ca="1" si="149"/>
        <v>29</v>
      </c>
      <c r="AU198" s="1">
        <f t="shared" ca="1" si="150"/>
        <v>157</v>
      </c>
      <c r="AV198" s="1">
        <f t="shared" ca="1" si="151"/>
        <v>10</v>
      </c>
      <c r="AW198" s="1">
        <f t="shared" ca="1" si="152"/>
        <v>1.1029883311048028E-2</v>
      </c>
      <c r="AY198" s="1">
        <f t="shared" ca="1" si="153"/>
        <v>1.443091824281213</v>
      </c>
      <c r="AZ198" s="1">
        <f t="shared" ca="1" si="154"/>
        <v>319</v>
      </c>
      <c r="BA198" s="1">
        <f t="shared" ca="1" si="155"/>
        <v>3.6304779288268236E-3</v>
      </c>
    </row>
    <row r="199" spans="2:53" x14ac:dyDescent="0.25">
      <c r="B199">
        <f t="shared" ca="1" si="117"/>
        <v>240</v>
      </c>
      <c r="C199">
        <f t="shared" ca="1" si="118"/>
        <v>2</v>
      </c>
      <c r="D199">
        <f t="shared" ca="1" si="119"/>
        <v>0.12202291747928289</v>
      </c>
      <c r="F199" s="1">
        <f t="shared" ca="1" si="120"/>
        <v>15</v>
      </c>
      <c r="G199" s="1">
        <f t="shared" ca="1" si="121"/>
        <v>10</v>
      </c>
      <c r="H199" s="1">
        <f t="shared" ca="1" si="122"/>
        <v>5</v>
      </c>
      <c r="I199" s="1"/>
      <c r="J199" s="1">
        <f t="shared" ca="1" si="123"/>
        <v>25</v>
      </c>
      <c r="K199" s="1">
        <f t="shared" ca="1" si="124"/>
        <v>2.1646761279619349</v>
      </c>
      <c r="L199" s="1">
        <f t="shared" ca="1" si="125"/>
        <v>28</v>
      </c>
      <c r="M199" s="1"/>
      <c r="N199" s="1">
        <f t="shared" ca="1" si="126"/>
        <v>706</v>
      </c>
      <c r="O199" s="1">
        <f t="shared" ca="1" si="127"/>
        <v>20</v>
      </c>
      <c r="P199" s="1"/>
      <c r="Q199" s="1">
        <f t="shared" ca="1" si="128"/>
        <v>1.3140676263225177</v>
      </c>
      <c r="R199" s="1">
        <f t="shared" ca="1" si="129"/>
        <v>282</v>
      </c>
      <c r="S199" s="1"/>
      <c r="T199" s="1">
        <f t="shared" ca="1" si="130"/>
        <v>0.15415426224254808</v>
      </c>
      <c r="U199" s="1">
        <f t="shared" ca="1" si="131"/>
        <v>236</v>
      </c>
      <c r="V199" s="1">
        <f t="shared" ca="1" si="132"/>
        <v>14</v>
      </c>
      <c r="W199" s="1"/>
      <c r="X199" s="1">
        <f t="shared" ca="1" si="133"/>
        <v>6.0096401305627909</v>
      </c>
      <c r="Y199" s="1">
        <f t="shared" ca="1" si="134"/>
        <v>0.88413530610985358</v>
      </c>
      <c r="Z199" s="1">
        <f t="shared" ca="1" si="135"/>
        <v>1307</v>
      </c>
      <c r="AB199" s="1">
        <f t="shared" ca="1" si="136"/>
        <v>0.62352971073023822</v>
      </c>
      <c r="AC199" s="1">
        <f t="shared" ca="1" si="137"/>
        <v>491</v>
      </c>
      <c r="AD199" s="1">
        <f t="shared" ca="1" si="138"/>
        <v>5.8426487012670399E-3</v>
      </c>
      <c r="AE199" s="1"/>
      <c r="AF199" s="1">
        <f t="shared" ca="1" si="139"/>
        <v>0.1589766151514331</v>
      </c>
      <c r="AG199" s="1">
        <f t="shared" ca="1" si="140"/>
        <v>178</v>
      </c>
      <c r="AH199" s="1">
        <f t="shared" ca="1" si="141"/>
        <v>8.9485327284090262E-3</v>
      </c>
      <c r="AJ199" s="1">
        <f t="shared" ca="1" si="142"/>
        <v>0.38804183995562935</v>
      </c>
      <c r="AK199" s="1">
        <f t="shared" ca="1" si="143"/>
        <v>4.540489685902158E-3</v>
      </c>
      <c r="AL199" s="1"/>
      <c r="AM199" s="1">
        <f t="shared" ca="1" si="144"/>
        <v>4.6780091672393991E-2</v>
      </c>
      <c r="AN199" s="1">
        <f t="shared" ca="1" si="145"/>
        <v>44</v>
      </c>
      <c r="AO199" s="1">
        <f t="shared" ca="1" si="146"/>
        <v>20</v>
      </c>
      <c r="AQ199" s="1">
        <f t="shared" ca="1" si="147"/>
        <v>65</v>
      </c>
      <c r="AR199" s="1">
        <f t="shared" ca="1" si="148"/>
        <v>8</v>
      </c>
      <c r="AS199" s="1">
        <f t="shared" ca="1" si="149"/>
        <v>91</v>
      </c>
      <c r="AU199" s="1">
        <f t="shared" ca="1" si="150"/>
        <v>375</v>
      </c>
      <c r="AV199" s="1">
        <f t="shared" ca="1" si="151"/>
        <v>2</v>
      </c>
      <c r="AW199" s="1">
        <f t="shared" ca="1" si="152"/>
        <v>1.2660351711362886E-2</v>
      </c>
      <c r="AY199" s="1">
        <f t="shared" ca="1" si="153"/>
        <v>1.185422079452443</v>
      </c>
      <c r="AZ199" s="1">
        <f t="shared" ca="1" si="154"/>
        <v>208</v>
      </c>
      <c r="BA199" s="1">
        <f t="shared" ca="1" si="155"/>
        <v>5.5440483565611905E-3</v>
      </c>
    </row>
    <row r="200" spans="2:53" x14ac:dyDescent="0.25">
      <c r="B200">
        <f t="shared" ca="1" si="117"/>
        <v>720</v>
      </c>
      <c r="C200">
        <f t="shared" ca="1" si="118"/>
        <v>29</v>
      </c>
      <c r="D200">
        <f t="shared" ca="1" si="119"/>
        <v>5.3231146093918921E-2</v>
      </c>
      <c r="F200" s="1">
        <f t="shared" ca="1" si="120"/>
        <v>9</v>
      </c>
      <c r="G200" s="1">
        <f t="shared" ca="1" si="121"/>
        <v>11</v>
      </c>
      <c r="H200" s="1">
        <f t="shared" ca="1" si="122"/>
        <v>15</v>
      </c>
      <c r="I200" s="1"/>
      <c r="J200" s="1">
        <f t="shared" ca="1" si="123"/>
        <v>30</v>
      </c>
      <c r="K200" s="1">
        <f t="shared" ca="1" si="124"/>
        <v>1.9651760374876068</v>
      </c>
      <c r="L200" s="1">
        <f t="shared" ca="1" si="125"/>
        <v>33</v>
      </c>
      <c r="M200" s="1"/>
      <c r="N200" s="1">
        <f t="shared" ca="1" si="126"/>
        <v>903</v>
      </c>
      <c r="O200" s="1">
        <f t="shared" ca="1" si="127"/>
        <v>25</v>
      </c>
      <c r="P200" s="1"/>
      <c r="Q200" s="1">
        <f t="shared" ca="1" si="128"/>
        <v>4.1973338702113097</v>
      </c>
      <c r="R200" s="1">
        <f t="shared" ca="1" si="129"/>
        <v>698</v>
      </c>
      <c r="S200" s="1"/>
      <c r="T200" s="1">
        <f t="shared" ca="1" si="130"/>
        <v>0.13844736079331843</v>
      </c>
      <c r="U200" s="1">
        <f t="shared" ca="1" si="131"/>
        <v>115</v>
      </c>
      <c r="V200" s="1">
        <f t="shared" ca="1" si="132"/>
        <v>10</v>
      </c>
      <c r="W200" s="1"/>
      <c r="X200" s="1">
        <f t="shared" ca="1" si="133"/>
        <v>8.6986274904897627</v>
      </c>
      <c r="Y200" s="1">
        <f t="shared" ca="1" si="134"/>
        <v>4.5012557355706279E-2</v>
      </c>
      <c r="Z200" s="1">
        <f t="shared" ca="1" si="135"/>
        <v>696</v>
      </c>
      <c r="AB200" s="1">
        <f t="shared" ca="1" si="136"/>
        <v>0.64509944583476175</v>
      </c>
      <c r="AC200" s="1">
        <f t="shared" ca="1" si="137"/>
        <v>537</v>
      </c>
      <c r="AD200" s="1">
        <f t="shared" ca="1" si="138"/>
        <v>3.4131830515448615E-3</v>
      </c>
      <c r="AE200" s="1"/>
      <c r="AF200" s="1">
        <f t="shared" ca="1" si="139"/>
        <v>0.58245209253237362</v>
      </c>
      <c r="AG200" s="1">
        <f t="shared" ca="1" si="140"/>
        <v>133</v>
      </c>
      <c r="AH200" s="1">
        <f t="shared" ca="1" si="141"/>
        <v>2.3497850158227018E-4</v>
      </c>
      <c r="AJ200" s="1">
        <f t="shared" ca="1" si="142"/>
        <v>0.36230672673015751</v>
      </c>
      <c r="AK200" s="1">
        <f t="shared" ca="1" si="143"/>
        <v>5.0332395554522494E-3</v>
      </c>
      <c r="AL200" s="1"/>
      <c r="AM200" s="1">
        <f t="shared" ca="1" si="144"/>
        <v>0.13600687941239414</v>
      </c>
      <c r="AN200" s="1">
        <f t="shared" ca="1" si="145"/>
        <v>19</v>
      </c>
      <c r="AO200" s="1">
        <f t="shared" ca="1" si="146"/>
        <v>4</v>
      </c>
      <c r="AQ200" s="1">
        <f t="shared" ca="1" si="147"/>
        <v>119</v>
      </c>
      <c r="AR200" s="1">
        <f t="shared" ca="1" si="148"/>
        <v>6</v>
      </c>
      <c r="AS200" s="1">
        <f t="shared" ca="1" si="149"/>
        <v>48</v>
      </c>
      <c r="AU200" s="1">
        <f t="shared" ca="1" si="150"/>
        <v>191</v>
      </c>
      <c r="AV200" s="1">
        <f t="shared" ca="1" si="151"/>
        <v>7</v>
      </c>
      <c r="AW200" s="1">
        <f t="shared" ca="1" si="152"/>
        <v>0.10155649392237037</v>
      </c>
      <c r="AY200" s="1">
        <f t="shared" ca="1" si="153"/>
        <v>1.3066645102618981</v>
      </c>
      <c r="AZ200" s="1">
        <f t="shared" ca="1" si="154"/>
        <v>86</v>
      </c>
      <c r="BA200" s="1">
        <f t="shared" ca="1" si="155"/>
        <v>2.1169655759852558E-3</v>
      </c>
    </row>
    <row r="201" spans="2:53" x14ac:dyDescent="0.25">
      <c r="B201">
        <f t="shared" ca="1" si="117"/>
        <v>211</v>
      </c>
      <c r="C201">
        <f t="shared" ca="1" si="118"/>
        <v>29</v>
      </c>
      <c r="D201">
        <f t="shared" ca="1" si="119"/>
        <v>0.26593359758752361</v>
      </c>
      <c r="F201" s="1">
        <f t="shared" ca="1" si="120"/>
        <v>11</v>
      </c>
      <c r="G201" s="1">
        <f t="shared" ca="1" si="121"/>
        <v>11</v>
      </c>
      <c r="H201" s="1">
        <f t="shared" ca="1" si="122"/>
        <v>4</v>
      </c>
      <c r="I201" s="1"/>
      <c r="J201" s="1">
        <f t="shared" ca="1" si="123"/>
        <v>31</v>
      </c>
      <c r="K201" s="1">
        <f t="shared" ca="1" si="124"/>
        <v>1.5159350024091611</v>
      </c>
      <c r="L201" s="1">
        <f t="shared" ca="1" si="125"/>
        <v>23</v>
      </c>
      <c r="M201" s="1"/>
      <c r="N201" s="1">
        <f t="shared" ca="1" si="126"/>
        <v>332</v>
      </c>
      <c r="O201" s="1">
        <f t="shared" ca="1" si="127"/>
        <v>26</v>
      </c>
      <c r="P201" s="1"/>
      <c r="Q201" s="1">
        <f t="shared" ca="1" si="128"/>
        <v>3.3477838850721389</v>
      </c>
      <c r="R201" s="1">
        <f t="shared" ca="1" si="129"/>
        <v>722</v>
      </c>
      <c r="S201" s="1"/>
      <c r="T201" s="1">
        <f t="shared" ca="1" si="130"/>
        <v>0.13430098659711037</v>
      </c>
      <c r="U201" s="1">
        <f t="shared" ca="1" si="131"/>
        <v>183</v>
      </c>
      <c r="V201" s="1">
        <f t="shared" ca="1" si="132"/>
        <v>24</v>
      </c>
      <c r="W201" s="1"/>
      <c r="X201" s="1">
        <f t="shared" ca="1" si="133"/>
        <v>0.70686663894538004</v>
      </c>
      <c r="Y201" s="1">
        <f t="shared" ca="1" si="134"/>
        <v>0.2312369770554237</v>
      </c>
      <c r="Z201" s="1">
        <f t="shared" ca="1" si="135"/>
        <v>781</v>
      </c>
      <c r="AB201" s="1">
        <f t="shared" ca="1" si="136"/>
        <v>0.72585849380890322</v>
      </c>
      <c r="AC201" s="1">
        <f t="shared" ca="1" si="137"/>
        <v>653</v>
      </c>
      <c r="AD201" s="1">
        <f t="shared" ca="1" si="138"/>
        <v>8.6669466325695835E-3</v>
      </c>
      <c r="AE201" s="1"/>
      <c r="AF201" s="1">
        <f t="shared" ca="1" si="139"/>
        <v>0.84276671084956101</v>
      </c>
      <c r="AG201" s="1">
        <f t="shared" ca="1" si="140"/>
        <v>512</v>
      </c>
      <c r="AH201" s="1">
        <f t="shared" ca="1" si="141"/>
        <v>8.4297729057154699E-3</v>
      </c>
      <c r="AJ201" s="1">
        <f t="shared" ca="1" si="142"/>
        <v>0.42741209806428215</v>
      </c>
      <c r="AK201" s="1">
        <f t="shared" ca="1" si="143"/>
        <v>8.2573926814646145E-3</v>
      </c>
      <c r="AL201" s="1"/>
      <c r="AM201" s="1">
        <f t="shared" ca="1" si="144"/>
        <v>5.1938299882645037E-3</v>
      </c>
      <c r="AN201" s="1">
        <f t="shared" ca="1" si="145"/>
        <v>35</v>
      </c>
      <c r="AO201" s="1">
        <f t="shared" ca="1" si="146"/>
        <v>4</v>
      </c>
      <c r="AQ201" s="1">
        <f t="shared" ca="1" si="147"/>
        <v>163</v>
      </c>
      <c r="AR201" s="1">
        <f t="shared" ca="1" si="148"/>
        <v>8</v>
      </c>
      <c r="AS201" s="1">
        <f t="shared" ca="1" si="149"/>
        <v>3</v>
      </c>
      <c r="AU201" s="1">
        <f t="shared" ca="1" si="150"/>
        <v>112</v>
      </c>
      <c r="AV201" s="1">
        <f t="shared" ca="1" si="151"/>
        <v>9</v>
      </c>
      <c r="AW201" s="1">
        <f t="shared" ca="1" si="152"/>
        <v>0.10631784808478156</v>
      </c>
      <c r="AY201" s="1">
        <f t="shared" ca="1" si="153"/>
        <v>1.5626099354143335</v>
      </c>
      <c r="AZ201" s="1">
        <f t="shared" ca="1" si="154"/>
        <v>113</v>
      </c>
      <c r="BA201" s="1">
        <f t="shared" ca="1" si="155"/>
        <v>1.8766954195357699E-3</v>
      </c>
    </row>
    <row r="202" spans="2:53" x14ac:dyDescent="0.25">
      <c r="B202">
        <f t="shared" ca="1" si="117"/>
        <v>845</v>
      </c>
      <c r="C202">
        <f t="shared" ca="1" si="118"/>
        <v>17</v>
      </c>
      <c r="D202">
        <f t="shared" ca="1" si="119"/>
        <v>0.13476302330083773</v>
      </c>
      <c r="F202" s="1">
        <f t="shared" ca="1" si="120"/>
        <v>40</v>
      </c>
      <c r="G202" s="1">
        <f t="shared" ca="1" si="121"/>
        <v>20</v>
      </c>
      <c r="H202" s="1">
        <f t="shared" ca="1" si="122"/>
        <v>15</v>
      </c>
      <c r="I202" s="1"/>
      <c r="J202" s="1">
        <f t="shared" ca="1" si="123"/>
        <v>37</v>
      </c>
      <c r="K202" s="1">
        <f t="shared" ca="1" si="124"/>
        <v>1.6497309779172664</v>
      </c>
      <c r="L202" s="1">
        <f t="shared" ca="1" si="125"/>
        <v>8</v>
      </c>
      <c r="M202" s="1"/>
      <c r="N202" s="1">
        <f t="shared" ca="1" si="126"/>
        <v>639</v>
      </c>
      <c r="O202" s="1">
        <f t="shared" ca="1" si="127"/>
        <v>19</v>
      </c>
      <c r="P202" s="1"/>
      <c r="Q202" s="1">
        <f t="shared" ca="1" si="128"/>
        <v>0.81986093142955452</v>
      </c>
      <c r="R202" s="1">
        <f t="shared" ca="1" si="129"/>
        <v>629</v>
      </c>
      <c r="S202" s="1"/>
      <c r="T202" s="1">
        <f t="shared" ca="1" si="130"/>
        <v>2.3116159910048697E-2</v>
      </c>
      <c r="U202" s="1">
        <f t="shared" ca="1" si="131"/>
        <v>327</v>
      </c>
      <c r="V202" s="1">
        <f t="shared" ca="1" si="132"/>
        <v>7</v>
      </c>
      <c r="W202" s="1"/>
      <c r="X202" s="1">
        <f t="shared" ca="1" si="133"/>
        <v>5.4495227635084067</v>
      </c>
      <c r="Y202" s="1">
        <f t="shared" ca="1" si="134"/>
        <v>0.32647124080136164</v>
      </c>
      <c r="Z202" s="1">
        <f t="shared" ca="1" si="135"/>
        <v>134</v>
      </c>
      <c r="AB202" s="1">
        <f t="shared" ca="1" si="136"/>
        <v>0.39362028767418761</v>
      </c>
      <c r="AC202" s="1">
        <f t="shared" ca="1" si="137"/>
        <v>626</v>
      </c>
      <c r="AD202" s="1">
        <f t="shared" ca="1" si="138"/>
        <v>6.9775305159746467E-3</v>
      </c>
      <c r="AE202" s="1"/>
      <c r="AF202" s="1">
        <f t="shared" ca="1" si="139"/>
        <v>0.36412313974672184</v>
      </c>
      <c r="AG202" s="1">
        <f t="shared" ca="1" si="140"/>
        <v>551</v>
      </c>
      <c r="AH202" s="1">
        <f t="shared" ca="1" si="141"/>
        <v>3.7312505504240431E-4</v>
      </c>
      <c r="AJ202" s="1">
        <f t="shared" ca="1" si="142"/>
        <v>0.52867233797786672</v>
      </c>
      <c r="AK202" s="1">
        <f t="shared" ca="1" si="143"/>
        <v>2.0098412824943543E-4</v>
      </c>
      <c r="AL202" s="1"/>
      <c r="AM202" s="1">
        <f t="shared" ca="1" si="144"/>
        <v>0.12558922135372461</v>
      </c>
      <c r="AN202" s="1">
        <f t="shared" ca="1" si="145"/>
        <v>33</v>
      </c>
      <c r="AO202" s="1">
        <f t="shared" ca="1" si="146"/>
        <v>16</v>
      </c>
      <c r="AQ202" s="1">
        <f t="shared" ca="1" si="147"/>
        <v>10</v>
      </c>
      <c r="AR202" s="1">
        <f t="shared" ca="1" si="148"/>
        <v>1</v>
      </c>
      <c r="AS202" s="1">
        <f t="shared" ca="1" si="149"/>
        <v>6</v>
      </c>
      <c r="AU202" s="1">
        <f t="shared" ca="1" si="150"/>
        <v>236</v>
      </c>
      <c r="AV202" s="1">
        <f t="shared" ca="1" si="151"/>
        <v>9</v>
      </c>
      <c r="AW202" s="1">
        <f t="shared" ca="1" si="152"/>
        <v>0.16030217038191205</v>
      </c>
      <c r="AY202" s="1">
        <f t="shared" ca="1" si="153"/>
        <v>1.3323417471052463</v>
      </c>
      <c r="AZ202" s="1">
        <f t="shared" ca="1" si="154"/>
        <v>360</v>
      </c>
      <c r="BA202" s="1">
        <f t="shared" ca="1" si="155"/>
        <v>7.6077103093162247E-3</v>
      </c>
    </row>
  </sheetData>
  <mergeCells count="15">
    <mergeCell ref="AY1:BA1"/>
    <mergeCell ref="BC1:BE1"/>
    <mergeCell ref="AU1:AW1"/>
    <mergeCell ref="AQ1:AS1"/>
    <mergeCell ref="AM1:AO1"/>
    <mergeCell ref="B1:D1"/>
    <mergeCell ref="F1:H1"/>
    <mergeCell ref="J1:L1"/>
    <mergeCell ref="N1:O1"/>
    <mergeCell ref="Q1:R1"/>
    <mergeCell ref="AJ1:AK1"/>
    <mergeCell ref="AB1:AD1"/>
    <mergeCell ref="AF1:AH1"/>
    <mergeCell ref="T1:V1"/>
    <mergeCell ref="X1:Z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2026-04-25T10:30:14Z</dcterms:modified>
</cp:coreProperties>
</file>