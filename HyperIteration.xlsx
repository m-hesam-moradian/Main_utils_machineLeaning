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am\Desktop\ML\"/>
    </mc:Choice>
  </mc:AlternateContent>
  <xr:revisionPtr revIDLastSave="0" documentId="13_ncr:1_{29AA229E-BD08-405D-B25F-2A0BCDC57309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3" i="1" l="1"/>
  <c r="AV3" i="1"/>
  <c r="AW3" i="1"/>
  <c r="AQ3" i="1"/>
  <c r="AR3" i="1"/>
  <c r="AS3" i="1"/>
  <c r="AM4" i="1"/>
  <c r="AN4" i="1"/>
  <c r="AO4" i="1"/>
  <c r="AM5" i="1"/>
  <c r="AN5" i="1"/>
  <c r="AO5" i="1"/>
  <c r="AM6" i="1"/>
  <c r="AN6" i="1"/>
  <c r="AO6" i="1"/>
  <c r="AM7" i="1"/>
  <c r="AN7" i="1"/>
  <c r="AO7" i="1"/>
  <c r="AM8" i="1"/>
  <c r="AN8" i="1"/>
  <c r="AO8" i="1"/>
  <c r="AM9" i="1"/>
  <c r="AN9" i="1"/>
  <c r="AO9" i="1"/>
  <c r="AM10" i="1"/>
  <c r="AN10" i="1"/>
  <c r="AO10" i="1"/>
  <c r="AM11" i="1"/>
  <c r="AN11" i="1"/>
  <c r="AO11" i="1"/>
  <c r="AM12" i="1"/>
  <c r="AN12" i="1"/>
  <c r="AO12" i="1"/>
  <c r="AM13" i="1"/>
  <c r="AN13" i="1"/>
  <c r="AO13" i="1"/>
  <c r="AM14" i="1"/>
  <c r="AN14" i="1"/>
  <c r="AO14" i="1"/>
  <c r="AM15" i="1"/>
  <c r="AN15" i="1"/>
  <c r="AO15" i="1"/>
  <c r="AM16" i="1"/>
  <c r="AN16" i="1"/>
  <c r="AO16" i="1"/>
  <c r="AM17" i="1"/>
  <c r="AN17" i="1"/>
  <c r="AO17" i="1"/>
  <c r="AM18" i="1"/>
  <c r="AN18" i="1"/>
  <c r="AO18" i="1"/>
  <c r="AM19" i="1"/>
  <c r="AN19" i="1"/>
  <c r="AO19" i="1"/>
  <c r="AM20" i="1"/>
  <c r="AN20" i="1"/>
  <c r="AO20" i="1"/>
  <c r="AM21" i="1"/>
  <c r="AN21" i="1"/>
  <c r="AO21" i="1"/>
  <c r="AM22" i="1"/>
  <c r="AN22" i="1"/>
  <c r="AO22" i="1"/>
  <c r="AM23" i="1"/>
  <c r="AN23" i="1"/>
  <c r="AO23" i="1"/>
  <c r="AM24" i="1"/>
  <c r="AN24" i="1"/>
  <c r="AO24" i="1"/>
  <c r="AM25" i="1"/>
  <c r="AN25" i="1"/>
  <c r="AO25" i="1"/>
  <c r="AM26" i="1"/>
  <c r="AN26" i="1"/>
  <c r="AO26" i="1"/>
  <c r="AM27" i="1"/>
  <c r="AN27" i="1"/>
  <c r="AO27" i="1"/>
  <c r="AM28" i="1"/>
  <c r="AN28" i="1"/>
  <c r="AO28" i="1"/>
  <c r="AM29" i="1"/>
  <c r="AN29" i="1"/>
  <c r="AO29" i="1"/>
  <c r="AM30" i="1"/>
  <c r="AN30" i="1"/>
  <c r="AO30" i="1"/>
  <c r="AM31" i="1"/>
  <c r="AN31" i="1"/>
  <c r="AO31" i="1"/>
  <c r="AM32" i="1"/>
  <c r="AN32" i="1"/>
  <c r="AO32" i="1"/>
  <c r="AM33" i="1"/>
  <c r="AN33" i="1"/>
  <c r="AO33" i="1"/>
  <c r="AM34" i="1"/>
  <c r="AN34" i="1"/>
  <c r="AO34" i="1"/>
  <c r="AM35" i="1"/>
  <c r="AN35" i="1"/>
  <c r="AO35" i="1"/>
  <c r="AM36" i="1"/>
  <c r="AN36" i="1"/>
  <c r="AO36" i="1"/>
  <c r="AM37" i="1"/>
  <c r="AN37" i="1"/>
  <c r="AO37" i="1"/>
  <c r="AM38" i="1"/>
  <c r="AN38" i="1"/>
  <c r="AO38" i="1"/>
  <c r="AM39" i="1"/>
  <c r="AN39" i="1"/>
  <c r="AO39" i="1"/>
  <c r="AM40" i="1"/>
  <c r="AN40" i="1"/>
  <c r="AO40" i="1"/>
  <c r="AM41" i="1"/>
  <c r="AN41" i="1"/>
  <c r="AO41" i="1"/>
  <c r="AM42" i="1"/>
  <c r="AN42" i="1"/>
  <c r="AO42" i="1"/>
  <c r="AM43" i="1"/>
  <c r="AN43" i="1"/>
  <c r="AO43" i="1"/>
  <c r="AM44" i="1"/>
  <c r="AN44" i="1"/>
  <c r="AO44" i="1"/>
  <c r="AM45" i="1"/>
  <c r="AN45" i="1"/>
  <c r="AO45" i="1"/>
  <c r="AM46" i="1"/>
  <c r="AN46" i="1"/>
  <c r="AO46" i="1"/>
  <c r="AM47" i="1"/>
  <c r="AN47" i="1"/>
  <c r="AO47" i="1"/>
  <c r="AM48" i="1"/>
  <c r="AN48" i="1"/>
  <c r="AO48" i="1"/>
  <c r="AM49" i="1"/>
  <c r="AN49" i="1"/>
  <c r="AO49" i="1"/>
  <c r="AM50" i="1"/>
  <c r="AN50" i="1"/>
  <c r="AO50" i="1"/>
  <c r="AM51" i="1"/>
  <c r="AN51" i="1"/>
  <c r="AO51" i="1"/>
  <c r="AM52" i="1"/>
  <c r="AN52" i="1"/>
  <c r="AO52" i="1"/>
  <c r="AM53" i="1"/>
  <c r="AN53" i="1"/>
  <c r="AO53" i="1"/>
  <c r="AM54" i="1"/>
  <c r="AN54" i="1"/>
  <c r="AO54" i="1"/>
  <c r="AM55" i="1"/>
  <c r="AN55" i="1"/>
  <c r="AO55" i="1"/>
  <c r="AM56" i="1"/>
  <c r="AN56" i="1"/>
  <c r="AO56" i="1"/>
  <c r="AM57" i="1"/>
  <c r="AN57" i="1"/>
  <c r="AO57" i="1"/>
  <c r="AM58" i="1"/>
  <c r="AN58" i="1"/>
  <c r="AO58" i="1"/>
  <c r="AM59" i="1"/>
  <c r="AN59" i="1"/>
  <c r="AO59" i="1"/>
  <c r="AM60" i="1"/>
  <c r="AN60" i="1"/>
  <c r="AO60" i="1"/>
  <c r="AM61" i="1"/>
  <c r="AN61" i="1"/>
  <c r="AO61" i="1"/>
  <c r="AM62" i="1"/>
  <c r="AN62" i="1"/>
  <c r="AO62" i="1"/>
  <c r="AM63" i="1"/>
  <c r="AN63" i="1"/>
  <c r="AO63" i="1"/>
  <c r="AM64" i="1"/>
  <c r="AN64" i="1"/>
  <c r="AO64" i="1"/>
  <c r="AM65" i="1"/>
  <c r="AN65" i="1"/>
  <c r="AO65" i="1"/>
  <c r="AM66" i="1"/>
  <c r="AN66" i="1"/>
  <c r="AO66" i="1"/>
  <c r="AM67" i="1"/>
  <c r="AN67" i="1"/>
  <c r="AO67" i="1"/>
  <c r="AM68" i="1"/>
  <c r="AN68" i="1"/>
  <c r="AO68" i="1"/>
  <c r="AM69" i="1"/>
  <c r="AN69" i="1"/>
  <c r="AO69" i="1"/>
  <c r="AM70" i="1"/>
  <c r="AN70" i="1"/>
  <c r="AO70" i="1"/>
  <c r="AM71" i="1"/>
  <c r="AN71" i="1"/>
  <c r="AO71" i="1"/>
  <c r="AM72" i="1"/>
  <c r="AN72" i="1"/>
  <c r="AO72" i="1"/>
  <c r="AM73" i="1"/>
  <c r="AN73" i="1"/>
  <c r="AO73" i="1"/>
  <c r="AM74" i="1"/>
  <c r="AN74" i="1"/>
  <c r="AO74" i="1"/>
  <c r="AM75" i="1"/>
  <c r="AN75" i="1"/>
  <c r="AO75" i="1"/>
  <c r="AM76" i="1"/>
  <c r="AN76" i="1"/>
  <c r="AO76" i="1"/>
  <c r="AM77" i="1"/>
  <c r="AN77" i="1"/>
  <c r="AO77" i="1"/>
  <c r="AM78" i="1"/>
  <c r="AN78" i="1"/>
  <c r="AO78" i="1"/>
  <c r="AM79" i="1"/>
  <c r="AN79" i="1"/>
  <c r="AO79" i="1"/>
  <c r="AM80" i="1"/>
  <c r="AN80" i="1"/>
  <c r="AO80" i="1"/>
  <c r="AM81" i="1"/>
  <c r="AN81" i="1"/>
  <c r="AO81" i="1"/>
  <c r="AM82" i="1"/>
  <c r="AN82" i="1"/>
  <c r="AO82" i="1"/>
  <c r="AM83" i="1"/>
  <c r="AN83" i="1"/>
  <c r="AO83" i="1"/>
  <c r="AM84" i="1"/>
  <c r="AN84" i="1"/>
  <c r="AO84" i="1"/>
  <c r="AM85" i="1"/>
  <c r="AN85" i="1"/>
  <c r="AO85" i="1"/>
  <c r="AM86" i="1"/>
  <c r="AN86" i="1"/>
  <c r="AO86" i="1"/>
  <c r="AM87" i="1"/>
  <c r="AN87" i="1"/>
  <c r="AO87" i="1"/>
  <c r="AM88" i="1"/>
  <c r="AN88" i="1"/>
  <c r="AO88" i="1"/>
  <c r="AM89" i="1"/>
  <c r="AN89" i="1"/>
  <c r="AO89" i="1"/>
  <c r="AM90" i="1"/>
  <c r="AN90" i="1"/>
  <c r="AO90" i="1"/>
  <c r="AM91" i="1"/>
  <c r="AN91" i="1"/>
  <c r="AO91" i="1"/>
  <c r="AM92" i="1"/>
  <c r="AN92" i="1"/>
  <c r="AO92" i="1"/>
  <c r="AM93" i="1"/>
  <c r="AN93" i="1"/>
  <c r="AO93" i="1"/>
  <c r="AM94" i="1"/>
  <c r="AN94" i="1"/>
  <c r="AO94" i="1"/>
  <c r="AM95" i="1"/>
  <c r="AN95" i="1"/>
  <c r="AO95" i="1"/>
  <c r="AM96" i="1"/>
  <c r="AN96" i="1"/>
  <c r="AO96" i="1"/>
  <c r="AM97" i="1"/>
  <c r="AN97" i="1"/>
  <c r="AO97" i="1"/>
  <c r="AM98" i="1"/>
  <c r="AN98" i="1"/>
  <c r="AO98" i="1"/>
  <c r="AM99" i="1"/>
  <c r="AN99" i="1"/>
  <c r="AO99" i="1"/>
  <c r="AM100" i="1"/>
  <c r="AN100" i="1"/>
  <c r="AO100" i="1"/>
  <c r="AM101" i="1"/>
  <c r="AN101" i="1"/>
  <c r="AO101" i="1"/>
  <c r="AM102" i="1"/>
  <c r="AN102" i="1"/>
  <c r="AO102" i="1"/>
  <c r="AM103" i="1"/>
  <c r="AN103" i="1"/>
  <c r="AO103" i="1"/>
  <c r="AM104" i="1"/>
  <c r="AN104" i="1"/>
  <c r="AO104" i="1"/>
  <c r="AM105" i="1"/>
  <c r="AN105" i="1"/>
  <c r="AO105" i="1"/>
  <c r="AM106" i="1"/>
  <c r="AN106" i="1"/>
  <c r="AO106" i="1"/>
  <c r="AM107" i="1"/>
  <c r="AN107" i="1"/>
  <c r="AO107" i="1"/>
  <c r="AM108" i="1"/>
  <c r="AN108" i="1"/>
  <c r="AO108" i="1"/>
  <c r="AM109" i="1"/>
  <c r="AN109" i="1"/>
  <c r="AO109" i="1"/>
  <c r="AM110" i="1"/>
  <c r="AN110" i="1"/>
  <c r="AO110" i="1"/>
  <c r="AM111" i="1"/>
  <c r="AN111" i="1"/>
  <c r="AO111" i="1"/>
  <c r="AM112" i="1"/>
  <c r="AN112" i="1"/>
  <c r="AO112" i="1"/>
  <c r="AM113" i="1"/>
  <c r="AN113" i="1"/>
  <c r="AO113" i="1"/>
  <c r="AM114" i="1"/>
  <c r="AN114" i="1"/>
  <c r="AO114" i="1"/>
  <c r="AM115" i="1"/>
  <c r="AN115" i="1"/>
  <c r="AO115" i="1"/>
  <c r="AM116" i="1"/>
  <c r="AN116" i="1"/>
  <c r="AO116" i="1"/>
  <c r="AM117" i="1"/>
  <c r="AN117" i="1"/>
  <c r="AO117" i="1"/>
  <c r="AM118" i="1"/>
  <c r="AN118" i="1"/>
  <c r="AO118" i="1"/>
  <c r="AM119" i="1"/>
  <c r="AN119" i="1"/>
  <c r="AO119" i="1"/>
  <c r="AM120" i="1"/>
  <c r="AN120" i="1"/>
  <c r="AO120" i="1"/>
  <c r="AM121" i="1"/>
  <c r="AN121" i="1"/>
  <c r="AO121" i="1"/>
  <c r="AM122" i="1"/>
  <c r="AN122" i="1"/>
  <c r="AO122" i="1"/>
  <c r="AM123" i="1"/>
  <c r="AN123" i="1"/>
  <c r="AO123" i="1"/>
  <c r="AM124" i="1"/>
  <c r="AN124" i="1"/>
  <c r="AO124" i="1"/>
  <c r="AM125" i="1"/>
  <c r="AN125" i="1"/>
  <c r="AO125" i="1"/>
  <c r="AM126" i="1"/>
  <c r="AN126" i="1"/>
  <c r="AO126" i="1"/>
  <c r="AM127" i="1"/>
  <c r="AN127" i="1"/>
  <c r="AO127" i="1"/>
  <c r="AM128" i="1"/>
  <c r="AN128" i="1"/>
  <c r="AO128" i="1"/>
  <c r="AM129" i="1"/>
  <c r="AN129" i="1"/>
  <c r="AO129" i="1"/>
  <c r="AM130" i="1"/>
  <c r="AN130" i="1"/>
  <c r="AO130" i="1"/>
  <c r="AM131" i="1"/>
  <c r="AN131" i="1"/>
  <c r="AO131" i="1"/>
  <c r="AM132" i="1"/>
  <c r="AN132" i="1"/>
  <c r="AO132" i="1"/>
  <c r="AM133" i="1"/>
  <c r="AN133" i="1"/>
  <c r="AO133" i="1"/>
  <c r="AM134" i="1"/>
  <c r="AN134" i="1"/>
  <c r="AO134" i="1"/>
  <c r="AM135" i="1"/>
  <c r="AN135" i="1"/>
  <c r="AO135" i="1"/>
  <c r="AM136" i="1"/>
  <c r="AN136" i="1"/>
  <c r="AO136" i="1"/>
  <c r="AM137" i="1"/>
  <c r="AN137" i="1"/>
  <c r="AO137" i="1"/>
  <c r="AM138" i="1"/>
  <c r="AN138" i="1"/>
  <c r="AO138" i="1"/>
  <c r="AM139" i="1"/>
  <c r="AN139" i="1"/>
  <c r="AO139" i="1"/>
  <c r="AM140" i="1"/>
  <c r="AN140" i="1"/>
  <c r="AO140" i="1"/>
  <c r="AM141" i="1"/>
  <c r="AN141" i="1"/>
  <c r="AO141" i="1"/>
  <c r="AM142" i="1"/>
  <c r="AN142" i="1"/>
  <c r="AO142" i="1"/>
  <c r="AM143" i="1"/>
  <c r="AN143" i="1"/>
  <c r="AO143" i="1"/>
  <c r="AM144" i="1"/>
  <c r="AN144" i="1"/>
  <c r="AO144" i="1"/>
  <c r="AM145" i="1"/>
  <c r="AN145" i="1"/>
  <c r="AO145" i="1"/>
  <c r="AM146" i="1"/>
  <c r="AN146" i="1"/>
  <c r="AO146" i="1"/>
  <c r="AM147" i="1"/>
  <c r="AN147" i="1"/>
  <c r="AO147" i="1"/>
  <c r="AM148" i="1"/>
  <c r="AN148" i="1"/>
  <c r="AO148" i="1"/>
  <c r="AM149" i="1"/>
  <c r="AN149" i="1"/>
  <c r="AO149" i="1"/>
  <c r="AM150" i="1"/>
  <c r="AN150" i="1"/>
  <c r="AO150" i="1"/>
  <c r="AM151" i="1"/>
  <c r="AN151" i="1"/>
  <c r="AO151" i="1"/>
  <c r="AM152" i="1"/>
  <c r="AN152" i="1"/>
  <c r="AO152" i="1"/>
  <c r="AM153" i="1"/>
  <c r="AN153" i="1"/>
  <c r="AO153" i="1"/>
  <c r="AM154" i="1"/>
  <c r="AN154" i="1"/>
  <c r="AO154" i="1"/>
  <c r="AM155" i="1"/>
  <c r="AN155" i="1"/>
  <c r="AO155" i="1"/>
  <c r="AM156" i="1"/>
  <c r="AN156" i="1"/>
  <c r="AO156" i="1"/>
  <c r="AM157" i="1"/>
  <c r="AN157" i="1"/>
  <c r="AO157" i="1"/>
  <c r="AM158" i="1"/>
  <c r="AN158" i="1"/>
  <c r="AO158" i="1"/>
  <c r="AM159" i="1"/>
  <c r="AN159" i="1"/>
  <c r="AO159" i="1"/>
  <c r="AM160" i="1"/>
  <c r="AN160" i="1"/>
  <c r="AO160" i="1"/>
  <c r="AM161" i="1"/>
  <c r="AN161" i="1"/>
  <c r="AO161" i="1"/>
  <c r="AM162" i="1"/>
  <c r="AN162" i="1"/>
  <c r="AO162" i="1"/>
  <c r="AM163" i="1"/>
  <c r="AN163" i="1"/>
  <c r="AO163" i="1"/>
  <c r="AM164" i="1"/>
  <c r="AN164" i="1"/>
  <c r="AO164" i="1"/>
  <c r="AM165" i="1"/>
  <c r="AN165" i="1"/>
  <c r="AO165" i="1"/>
  <c r="AM166" i="1"/>
  <c r="AN166" i="1"/>
  <c r="AO166" i="1"/>
  <c r="AM167" i="1"/>
  <c r="AN167" i="1"/>
  <c r="AO167" i="1"/>
  <c r="AM168" i="1"/>
  <c r="AN168" i="1"/>
  <c r="AO168" i="1"/>
  <c r="AM169" i="1"/>
  <c r="AN169" i="1"/>
  <c r="AO169" i="1"/>
  <c r="AM170" i="1"/>
  <c r="AN170" i="1"/>
  <c r="AO170" i="1"/>
  <c r="AM171" i="1"/>
  <c r="AN171" i="1"/>
  <c r="AO171" i="1"/>
  <c r="AM172" i="1"/>
  <c r="AN172" i="1"/>
  <c r="AO172" i="1"/>
  <c r="AM173" i="1"/>
  <c r="AN173" i="1"/>
  <c r="AO173" i="1"/>
  <c r="AM174" i="1"/>
  <c r="AN174" i="1"/>
  <c r="AO174" i="1"/>
  <c r="AM175" i="1"/>
  <c r="AN175" i="1"/>
  <c r="AO175" i="1"/>
  <c r="AM176" i="1"/>
  <c r="AN176" i="1"/>
  <c r="AO176" i="1"/>
  <c r="AM177" i="1"/>
  <c r="AN177" i="1"/>
  <c r="AO177" i="1"/>
  <c r="AM178" i="1"/>
  <c r="AN178" i="1"/>
  <c r="AO178" i="1"/>
  <c r="AM179" i="1"/>
  <c r="AN179" i="1"/>
  <c r="AO179" i="1"/>
  <c r="AM180" i="1"/>
  <c r="AN180" i="1"/>
  <c r="AO180" i="1"/>
  <c r="AM181" i="1"/>
  <c r="AN181" i="1"/>
  <c r="AO181" i="1"/>
  <c r="AM182" i="1"/>
  <c r="AN182" i="1"/>
  <c r="AO182" i="1"/>
  <c r="AM183" i="1"/>
  <c r="AN183" i="1"/>
  <c r="AO183" i="1"/>
  <c r="AM184" i="1"/>
  <c r="AN184" i="1"/>
  <c r="AO184" i="1"/>
  <c r="AM185" i="1"/>
  <c r="AN185" i="1"/>
  <c r="AO185" i="1"/>
  <c r="AM186" i="1"/>
  <c r="AN186" i="1"/>
  <c r="AO186" i="1"/>
  <c r="AM187" i="1"/>
  <c r="AN187" i="1"/>
  <c r="AO187" i="1"/>
  <c r="AM188" i="1"/>
  <c r="AN188" i="1"/>
  <c r="AO188" i="1"/>
  <c r="AM189" i="1"/>
  <c r="AN189" i="1"/>
  <c r="AO189" i="1"/>
  <c r="AM190" i="1"/>
  <c r="AN190" i="1"/>
  <c r="AO190" i="1"/>
  <c r="AM191" i="1"/>
  <c r="AN191" i="1"/>
  <c r="AO191" i="1"/>
  <c r="AM192" i="1"/>
  <c r="AN192" i="1"/>
  <c r="AO192" i="1"/>
  <c r="AM193" i="1"/>
  <c r="AN193" i="1"/>
  <c r="AO193" i="1"/>
  <c r="AM194" i="1"/>
  <c r="AN194" i="1"/>
  <c r="AO194" i="1"/>
  <c r="AM195" i="1"/>
  <c r="AN195" i="1"/>
  <c r="AO195" i="1"/>
  <c r="AM196" i="1"/>
  <c r="AN196" i="1"/>
  <c r="AO196" i="1"/>
  <c r="AM197" i="1"/>
  <c r="AN197" i="1"/>
  <c r="AO197" i="1"/>
  <c r="AM198" i="1"/>
  <c r="AN198" i="1"/>
  <c r="AO198" i="1"/>
  <c r="AM199" i="1"/>
  <c r="AN199" i="1"/>
  <c r="AO199" i="1"/>
  <c r="AM200" i="1"/>
  <c r="AN200" i="1"/>
  <c r="AO200" i="1"/>
  <c r="AM201" i="1"/>
  <c r="AN201" i="1"/>
  <c r="AO201" i="1"/>
  <c r="AM202" i="1"/>
  <c r="AN202" i="1"/>
  <c r="AO202" i="1"/>
  <c r="AM3" i="1"/>
  <c r="AN3" i="1"/>
  <c r="AO3" i="1"/>
  <c r="AJ4" i="1"/>
  <c r="AK4" i="1"/>
  <c r="AJ5" i="1"/>
  <c r="AK5" i="1"/>
  <c r="AJ6" i="1"/>
  <c r="AK6" i="1"/>
  <c r="AJ7" i="1"/>
  <c r="AK7" i="1"/>
  <c r="AJ8" i="1"/>
  <c r="AK8" i="1"/>
  <c r="AJ9" i="1"/>
  <c r="AK9" i="1"/>
  <c r="AJ10" i="1"/>
  <c r="AK10" i="1"/>
  <c r="AJ11" i="1"/>
  <c r="AK11" i="1"/>
  <c r="AJ12" i="1"/>
  <c r="AK12" i="1"/>
  <c r="AJ13" i="1"/>
  <c r="AK13" i="1"/>
  <c r="AJ14" i="1"/>
  <c r="AK14" i="1"/>
  <c r="AJ15" i="1"/>
  <c r="AK15" i="1"/>
  <c r="AJ16" i="1"/>
  <c r="AK16" i="1"/>
  <c r="AJ17" i="1"/>
  <c r="AK17" i="1"/>
  <c r="AJ18" i="1"/>
  <c r="AK18" i="1"/>
  <c r="AJ19" i="1"/>
  <c r="AK19" i="1"/>
  <c r="AJ20" i="1"/>
  <c r="AK20" i="1"/>
  <c r="AJ21" i="1"/>
  <c r="AK21" i="1"/>
  <c r="AJ22" i="1"/>
  <c r="AK22" i="1"/>
  <c r="AJ23" i="1"/>
  <c r="AK23" i="1"/>
  <c r="AJ24" i="1"/>
  <c r="AK24" i="1"/>
  <c r="AJ25" i="1"/>
  <c r="AK25" i="1"/>
  <c r="AJ26" i="1"/>
  <c r="AK26" i="1"/>
  <c r="AJ27" i="1"/>
  <c r="AK27" i="1"/>
  <c r="AJ28" i="1"/>
  <c r="AK28" i="1"/>
  <c r="AJ29" i="1"/>
  <c r="AK29" i="1"/>
  <c r="AJ30" i="1"/>
  <c r="AK30" i="1"/>
  <c r="AJ31" i="1"/>
  <c r="AK31" i="1"/>
  <c r="AJ32" i="1"/>
  <c r="AK32" i="1"/>
  <c r="AJ33" i="1"/>
  <c r="AK33" i="1"/>
  <c r="AJ34" i="1"/>
  <c r="AK34" i="1"/>
  <c r="AJ35" i="1"/>
  <c r="AK35" i="1"/>
  <c r="AJ36" i="1"/>
  <c r="AK36" i="1"/>
  <c r="AJ37" i="1"/>
  <c r="AK37" i="1"/>
  <c r="AJ38" i="1"/>
  <c r="AK38" i="1"/>
  <c r="AJ39" i="1"/>
  <c r="AK39" i="1"/>
  <c r="AJ40" i="1"/>
  <c r="AK40" i="1"/>
  <c r="AJ41" i="1"/>
  <c r="AK41" i="1"/>
  <c r="AJ42" i="1"/>
  <c r="AK42" i="1"/>
  <c r="AJ43" i="1"/>
  <c r="AK43" i="1"/>
  <c r="AJ44" i="1"/>
  <c r="AK44" i="1"/>
  <c r="AJ45" i="1"/>
  <c r="AK45" i="1"/>
  <c r="AJ46" i="1"/>
  <c r="AK46" i="1"/>
  <c r="AJ47" i="1"/>
  <c r="AK47" i="1"/>
  <c r="AJ48" i="1"/>
  <c r="AK48" i="1"/>
  <c r="AJ49" i="1"/>
  <c r="AK49" i="1"/>
  <c r="AJ50" i="1"/>
  <c r="AK50" i="1"/>
  <c r="AJ51" i="1"/>
  <c r="AK51" i="1"/>
  <c r="AJ52" i="1"/>
  <c r="AK52" i="1"/>
  <c r="AJ53" i="1"/>
  <c r="AK53" i="1"/>
  <c r="AJ54" i="1"/>
  <c r="AK54" i="1"/>
  <c r="AJ55" i="1"/>
  <c r="AK55" i="1"/>
  <c r="AJ56" i="1"/>
  <c r="AK56" i="1"/>
  <c r="AJ57" i="1"/>
  <c r="AK57" i="1"/>
  <c r="AJ58" i="1"/>
  <c r="AK58" i="1"/>
  <c r="AJ59" i="1"/>
  <c r="AK59" i="1"/>
  <c r="AJ60" i="1"/>
  <c r="AK60" i="1"/>
  <c r="AJ61" i="1"/>
  <c r="AK61" i="1"/>
  <c r="AJ62" i="1"/>
  <c r="AK62" i="1"/>
  <c r="AJ63" i="1"/>
  <c r="AK63" i="1"/>
  <c r="AJ64" i="1"/>
  <c r="AK64" i="1"/>
  <c r="AJ65" i="1"/>
  <c r="AK65" i="1"/>
  <c r="AJ66" i="1"/>
  <c r="AK66" i="1"/>
  <c r="AJ67" i="1"/>
  <c r="AK67" i="1"/>
  <c r="AJ68" i="1"/>
  <c r="AK68" i="1"/>
  <c r="AJ69" i="1"/>
  <c r="AK69" i="1"/>
  <c r="AJ70" i="1"/>
  <c r="AK70" i="1"/>
  <c r="AJ71" i="1"/>
  <c r="AK71" i="1"/>
  <c r="AJ72" i="1"/>
  <c r="AK72" i="1"/>
  <c r="AJ73" i="1"/>
  <c r="AK73" i="1"/>
  <c r="AJ74" i="1"/>
  <c r="AK74" i="1"/>
  <c r="AJ75" i="1"/>
  <c r="AK75" i="1"/>
  <c r="AJ76" i="1"/>
  <c r="AK76" i="1"/>
  <c r="AJ77" i="1"/>
  <c r="AK77" i="1"/>
  <c r="AJ78" i="1"/>
  <c r="AK78" i="1"/>
  <c r="AJ79" i="1"/>
  <c r="AK79" i="1"/>
  <c r="AJ80" i="1"/>
  <c r="AK80" i="1"/>
  <c r="AJ81" i="1"/>
  <c r="AK81" i="1"/>
  <c r="AJ82" i="1"/>
  <c r="AK82" i="1"/>
  <c r="AJ83" i="1"/>
  <c r="AK83" i="1"/>
  <c r="AJ84" i="1"/>
  <c r="AK84" i="1"/>
  <c r="AJ85" i="1"/>
  <c r="AK85" i="1"/>
  <c r="AJ86" i="1"/>
  <c r="AK86" i="1"/>
  <c r="AJ87" i="1"/>
  <c r="AK87" i="1"/>
  <c r="AJ88" i="1"/>
  <c r="AK88" i="1"/>
  <c r="AJ89" i="1"/>
  <c r="AK89" i="1"/>
  <c r="AJ90" i="1"/>
  <c r="AK90" i="1"/>
  <c r="AJ91" i="1"/>
  <c r="AK91" i="1"/>
  <c r="AJ92" i="1"/>
  <c r="AK92" i="1"/>
  <c r="AJ93" i="1"/>
  <c r="AK93" i="1"/>
  <c r="AJ94" i="1"/>
  <c r="AK94" i="1"/>
  <c r="AJ95" i="1"/>
  <c r="AK95" i="1"/>
  <c r="AJ96" i="1"/>
  <c r="AK96" i="1"/>
  <c r="AJ97" i="1"/>
  <c r="AK97" i="1"/>
  <c r="AJ98" i="1"/>
  <c r="AK98" i="1"/>
  <c r="AJ99" i="1"/>
  <c r="AK99" i="1"/>
  <c r="AJ100" i="1"/>
  <c r="AK100" i="1"/>
  <c r="AJ101" i="1"/>
  <c r="AK101" i="1"/>
  <c r="AJ102" i="1"/>
  <c r="AK102" i="1"/>
  <c r="AJ103" i="1"/>
  <c r="AK103" i="1"/>
  <c r="AJ104" i="1"/>
  <c r="AK104" i="1"/>
  <c r="AJ105" i="1"/>
  <c r="AK105" i="1"/>
  <c r="AJ106" i="1"/>
  <c r="AK106" i="1"/>
  <c r="AJ107" i="1"/>
  <c r="AK107" i="1"/>
  <c r="AJ108" i="1"/>
  <c r="AK108" i="1"/>
  <c r="AJ109" i="1"/>
  <c r="AK109" i="1"/>
  <c r="AJ110" i="1"/>
  <c r="AK110" i="1"/>
  <c r="AJ111" i="1"/>
  <c r="AK111" i="1"/>
  <c r="AJ112" i="1"/>
  <c r="AK112" i="1"/>
  <c r="AJ113" i="1"/>
  <c r="AK113" i="1"/>
  <c r="AJ114" i="1"/>
  <c r="AK114" i="1"/>
  <c r="AJ115" i="1"/>
  <c r="AK115" i="1"/>
  <c r="AJ116" i="1"/>
  <c r="AK116" i="1"/>
  <c r="AJ117" i="1"/>
  <c r="AK117" i="1"/>
  <c r="AJ118" i="1"/>
  <c r="AK118" i="1"/>
  <c r="AJ119" i="1"/>
  <c r="AK119" i="1"/>
  <c r="AJ120" i="1"/>
  <c r="AK120" i="1"/>
  <c r="AJ121" i="1"/>
  <c r="AK121" i="1"/>
  <c r="AJ122" i="1"/>
  <c r="AK122" i="1"/>
  <c r="AJ123" i="1"/>
  <c r="AK123" i="1"/>
  <c r="AJ124" i="1"/>
  <c r="AK124" i="1"/>
  <c r="AJ125" i="1"/>
  <c r="AK125" i="1"/>
  <c r="AJ126" i="1"/>
  <c r="AK126" i="1"/>
  <c r="AJ127" i="1"/>
  <c r="AK127" i="1"/>
  <c r="AJ128" i="1"/>
  <c r="AK128" i="1"/>
  <c r="AJ129" i="1"/>
  <c r="AK129" i="1"/>
  <c r="AJ130" i="1"/>
  <c r="AK130" i="1"/>
  <c r="AJ131" i="1"/>
  <c r="AK131" i="1"/>
  <c r="AJ132" i="1"/>
  <c r="AK132" i="1"/>
  <c r="AJ133" i="1"/>
  <c r="AK133" i="1"/>
  <c r="AJ134" i="1"/>
  <c r="AK134" i="1"/>
  <c r="AJ135" i="1"/>
  <c r="AK135" i="1"/>
  <c r="AJ136" i="1"/>
  <c r="AK136" i="1"/>
  <c r="AJ137" i="1"/>
  <c r="AK137" i="1"/>
  <c r="AJ138" i="1"/>
  <c r="AK138" i="1"/>
  <c r="AJ139" i="1"/>
  <c r="AK139" i="1"/>
  <c r="AJ140" i="1"/>
  <c r="AK140" i="1"/>
  <c r="AJ141" i="1"/>
  <c r="AK141" i="1"/>
  <c r="AJ142" i="1"/>
  <c r="AK142" i="1"/>
  <c r="AJ143" i="1"/>
  <c r="AK143" i="1"/>
  <c r="AJ144" i="1"/>
  <c r="AK144" i="1"/>
  <c r="AJ145" i="1"/>
  <c r="AK145" i="1"/>
  <c r="AJ146" i="1"/>
  <c r="AK146" i="1"/>
  <c r="AJ147" i="1"/>
  <c r="AK147" i="1"/>
  <c r="AJ148" i="1"/>
  <c r="AK148" i="1"/>
  <c r="AJ149" i="1"/>
  <c r="AK149" i="1"/>
  <c r="AJ150" i="1"/>
  <c r="AK150" i="1"/>
  <c r="AJ151" i="1"/>
  <c r="AK151" i="1"/>
  <c r="AJ152" i="1"/>
  <c r="AK152" i="1"/>
  <c r="AJ153" i="1"/>
  <c r="AK153" i="1"/>
  <c r="AJ154" i="1"/>
  <c r="AK154" i="1"/>
  <c r="AJ155" i="1"/>
  <c r="AK155" i="1"/>
  <c r="AJ156" i="1"/>
  <c r="AK156" i="1"/>
  <c r="AJ157" i="1"/>
  <c r="AK157" i="1"/>
  <c r="AJ158" i="1"/>
  <c r="AK158" i="1"/>
  <c r="AJ159" i="1"/>
  <c r="AK159" i="1"/>
  <c r="AJ160" i="1"/>
  <c r="AK160" i="1"/>
  <c r="AJ161" i="1"/>
  <c r="AK161" i="1"/>
  <c r="AJ162" i="1"/>
  <c r="AK162" i="1"/>
  <c r="AJ163" i="1"/>
  <c r="AK163" i="1"/>
  <c r="AJ164" i="1"/>
  <c r="AK164" i="1"/>
  <c r="AJ165" i="1"/>
  <c r="AK165" i="1"/>
  <c r="AJ166" i="1"/>
  <c r="AK166" i="1"/>
  <c r="AJ167" i="1"/>
  <c r="AK167" i="1"/>
  <c r="AJ168" i="1"/>
  <c r="AK168" i="1"/>
  <c r="AJ169" i="1"/>
  <c r="AK169" i="1"/>
  <c r="AJ170" i="1"/>
  <c r="AK170" i="1"/>
  <c r="AJ171" i="1"/>
  <c r="AK171" i="1"/>
  <c r="AJ172" i="1"/>
  <c r="AK172" i="1"/>
  <c r="AJ173" i="1"/>
  <c r="AK173" i="1"/>
  <c r="AJ174" i="1"/>
  <c r="AK174" i="1"/>
  <c r="AJ175" i="1"/>
  <c r="AK175" i="1"/>
  <c r="AJ176" i="1"/>
  <c r="AK176" i="1"/>
  <c r="AJ177" i="1"/>
  <c r="AK177" i="1"/>
  <c r="AJ178" i="1"/>
  <c r="AK178" i="1"/>
  <c r="AJ179" i="1"/>
  <c r="AK179" i="1"/>
  <c r="AJ180" i="1"/>
  <c r="AK180" i="1"/>
  <c r="AJ181" i="1"/>
  <c r="AK181" i="1"/>
  <c r="AJ182" i="1"/>
  <c r="AK182" i="1"/>
  <c r="AJ183" i="1"/>
  <c r="AK183" i="1"/>
  <c r="AJ184" i="1"/>
  <c r="AK184" i="1"/>
  <c r="AJ185" i="1"/>
  <c r="AK185" i="1"/>
  <c r="AJ186" i="1"/>
  <c r="AK186" i="1"/>
  <c r="AJ187" i="1"/>
  <c r="AK187" i="1"/>
  <c r="AJ188" i="1"/>
  <c r="AK188" i="1"/>
  <c r="AJ189" i="1"/>
  <c r="AK189" i="1"/>
  <c r="AJ190" i="1"/>
  <c r="AK190" i="1"/>
  <c r="AJ191" i="1"/>
  <c r="AK191" i="1"/>
  <c r="AJ192" i="1"/>
  <c r="AK192" i="1"/>
  <c r="AJ193" i="1"/>
  <c r="AK193" i="1"/>
  <c r="AJ194" i="1"/>
  <c r="AK194" i="1"/>
  <c r="AJ195" i="1"/>
  <c r="AK195" i="1"/>
  <c r="AJ196" i="1"/>
  <c r="AK196" i="1"/>
  <c r="AJ197" i="1"/>
  <c r="AK197" i="1"/>
  <c r="AJ198" i="1"/>
  <c r="AK198" i="1"/>
  <c r="AJ199" i="1"/>
  <c r="AK199" i="1"/>
  <c r="AJ200" i="1"/>
  <c r="AK200" i="1"/>
  <c r="AJ201" i="1"/>
  <c r="AK201" i="1"/>
  <c r="AJ202" i="1"/>
  <c r="AK202" i="1"/>
  <c r="AJ3" i="1"/>
  <c r="AK3" i="1"/>
  <c r="AF4" i="1"/>
  <c r="AG4" i="1"/>
  <c r="AH4" i="1"/>
  <c r="AF5" i="1"/>
  <c r="AG5" i="1"/>
  <c r="AH5" i="1"/>
  <c r="AF6" i="1"/>
  <c r="AG6" i="1"/>
  <c r="AH6" i="1"/>
  <c r="AF7" i="1"/>
  <c r="AG7" i="1"/>
  <c r="AH7" i="1"/>
  <c r="AF8" i="1"/>
  <c r="AG8" i="1"/>
  <c r="AH8" i="1"/>
  <c r="AF9" i="1"/>
  <c r="AG9" i="1"/>
  <c r="AH9" i="1"/>
  <c r="AF10" i="1"/>
  <c r="AG10" i="1"/>
  <c r="AH10" i="1"/>
  <c r="AF11" i="1"/>
  <c r="AG11" i="1"/>
  <c r="AH11" i="1"/>
  <c r="AF12" i="1"/>
  <c r="AG12" i="1"/>
  <c r="AH12" i="1"/>
  <c r="AF13" i="1"/>
  <c r="AG13" i="1"/>
  <c r="AH13" i="1"/>
  <c r="AF14" i="1"/>
  <c r="AG14" i="1"/>
  <c r="AH14" i="1"/>
  <c r="AF15" i="1"/>
  <c r="AG15" i="1"/>
  <c r="AH15" i="1"/>
  <c r="AF16" i="1"/>
  <c r="AG16" i="1"/>
  <c r="AH16" i="1"/>
  <c r="AF17" i="1"/>
  <c r="AG17" i="1"/>
  <c r="AH17" i="1"/>
  <c r="AF18" i="1"/>
  <c r="AG18" i="1"/>
  <c r="AH18" i="1"/>
  <c r="AF19" i="1"/>
  <c r="AG19" i="1"/>
  <c r="AH19" i="1"/>
  <c r="AF20" i="1"/>
  <c r="AG20" i="1"/>
  <c r="AH20" i="1"/>
  <c r="AF21" i="1"/>
  <c r="AG21" i="1"/>
  <c r="AH21" i="1"/>
  <c r="AF22" i="1"/>
  <c r="AG22" i="1"/>
  <c r="AH22" i="1"/>
  <c r="AF23" i="1"/>
  <c r="AG23" i="1"/>
  <c r="AH23" i="1"/>
  <c r="AF24" i="1"/>
  <c r="AG24" i="1"/>
  <c r="AH24" i="1"/>
  <c r="AF25" i="1"/>
  <c r="AG25" i="1"/>
  <c r="AH25" i="1"/>
  <c r="AF26" i="1"/>
  <c r="AG26" i="1"/>
  <c r="AH26" i="1"/>
  <c r="AF27" i="1"/>
  <c r="AG27" i="1"/>
  <c r="AH27" i="1"/>
  <c r="AF28" i="1"/>
  <c r="AG28" i="1"/>
  <c r="AH28" i="1"/>
  <c r="AF29" i="1"/>
  <c r="AG29" i="1"/>
  <c r="AH29" i="1"/>
  <c r="AF30" i="1"/>
  <c r="AG30" i="1"/>
  <c r="AH30" i="1"/>
  <c r="AF31" i="1"/>
  <c r="AG31" i="1"/>
  <c r="AH31" i="1"/>
  <c r="AF32" i="1"/>
  <c r="AG32" i="1"/>
  <c r="AH32" i="1"/>
  <c r="AF33" i="1"/>
  <c r="AG33" i="1"/>
  <c r="AH33" i="1"/>
  <c r="AF34" i="1"/>
  <c r="AG34" i="1"/>
  <c r="AH34" i="1"/>
  <c r="AF35" i="1"/>
  <c r="AG35" i="1"/>
  <c r="AH35" i="1"/>
  <c r="AF36" i="1"/>
  <c r="AG36" i="1"/>
  <c r="AH36" i="1"/>
  <c r="AF37" i="1"/>
  <c r="AG37" i="1"/>
  <c r="AH37" i="1"/>
  <c r="AF38" i="1"/>
  <c r="AG38" i="1"/>
  <c r="AH38" i="1"/>
  <c r="AF39" i="1"/>
  <c r="AG39" i="1"/>
  <c r="AH39" i="1"/>
  <c r="AF40" i="1"/>
  <c r="AG40" i="1"/>
  <c r="AH40" i="1"/>
  <c r="AF41" i="1"/>
  <c r="AG41" i="1"/>
  <c r="AH41" i="1"/>
  <c r="AF42" i="1"/>
  <c r="AG42" i="1"/>
  <c r="AH42" i="1"/>
  <c r="AF43" i="1"/>
  <c r="AG43" i="1"/>
  <c r="AH43" i="1"/>
  <c r="AF44" i="1"/>
  <c r="AG44" i="1"/>
  <c r="AH44" i="1"/>
  <c r="AF45" i="1"/>
  <c r="AG45" i="1"/>
  <c r="AH45" i="1"/>
  <c r="AF46" i="1"/>
  <c r="AG46" i="1"/>
  <c r="AH46" i="1"/>
  <c r="AF47" i="1"/>
  <c r="AG47" i="1"/>
  <c r="AH47" i="1"/>
  <c r="AF48" i="1"/>
  <c r="AG48" i="1"/>
  <c r="AH48" i="1"/>
  <c r="AF49" i="1"/>
  <c r="AG49" i="1"/>
  <c r="AH49" i="1"/>
  <c r="AF50" i="1"/>
  <c r="AG50" i="1"/>
  <c r="AH50" i="1"/>
  <c r="AF51" i="1"/>
  <c r="AG51" i="1"/>
  <c r="AH51" i="1"/>
  <c r="AF52" i="1"/>
  <c r="AG52" i="1"/>
  <c r="AH52" i="1"/>
  <c r="AF53" i="1"/>
  <c r="AG53" i="1"/>
  <c r="AH53" i="1"/>
  <c r="AF54" i="1"/>
  <c r="AG54" i="1"/>
  <c r="AH54" i="1"/>
  <c r="AF55" i="1"/>
  <c r="AG55" i="1"/>
  <c r="AH55" i="1"/>
  <c r="AF56" i="1"/>
  <c r="AG56" i="1"/>
  <c r="AH56" i="1"/>
  <c r="AF57" i="1"/>
  <c r="AG57" i="1"/>
  <c r="AH57" i="1"/>
  <c r="AF58" i="1"/>
  <c r="AG58" i="1"/>
  <c r="AH58" i="1"/>
  <c r="AF59" i="1"/>
  <c r="AG59" i="1"/>
  <c r="AH59" i="1"/>
  <c r="AF60" i="1"/>
  <c r="AG60" i="1"/>
  <c r="AH60" i="1"/>
  <c r="AF61" i="1"/>
  <c r="AG61" i="1"/>
  <c r="AH61" i="1"/>
  <c r="AF62" i="1"/>
  <c r="AG62" i="1"/>
  <c r="AH62" i="1"/>
  <c r="AF63" i="1"/>
  <c r="AG63" i="1"/>
  <c r="AH63" i="1"/>
  <c r="AF64" i="1"/>
  <c r="AG64" i="1"/>
  <c r="AH64" i="1"/>
  <c r="AF65" i="1"/>
  <c r="AG65" i="1"/>
  <c r="AH65" i="1"/>
  <c r="AF66" i="1"/>
  <c r="AG66" i="1"/>
  <c r="AH66" i="1"/>
  <c r="AF67" i="1"/>
  <c r="AG67" i="1"/>
  <c r="AH67" i="1"/>
  <c r="AF68" i="1"/>
  <c r="AG68" i="1"/>
  <c r="AH68" i="1"/>
  <c r="AF69" i="1"/>
  <c r="AG69" i="1"/>
  <c r="AH69" i="1"/>
  <c r="AF70" i="1"/>
  <c r="AG70" i="1"/>
  <c r="AH70" i="1"/>
  <c r="AF71" i="1"/>
  <c r="AG71" i="1"/>
  <c r="AH71" i="1"/>
  <c r="AF72" i="1"/>
  <c r="AG72" i="1"/>
  <c r="AH72" i="1"/>
  <c r="AF73" i="1"/>
  <c r="AG73" i="1"/>
  <c r="AH73" i="1"/>
  <c r="AF74" i="1"/>
  <c r="AG74" i="1"/>
  <c r="AH74" i="1"/>
  <c r="AF75" i="1"/>
  <c r="AG75" i="1"/>
  <c r="AH75" i="1"/>
  <c r="AF76" i="1"/>
  <c r="AG76" i="1"/>
  <c r="AH76" i="1"/>
  <c r="AF77" i="1"/>
  <c r="AG77" i="1"/>
  <c r="AH77" i="1"/>
  <c r="AF78" i="1"/>
  <c r="AG78" i="1"/>
  <c r="AH78" i="1"/>
  <c r="AF79" i="1"/>
  <c r="AG79" i="1"/>
  <c r="AH79" i="1"/>
  <c r="AF80" i="1"/>
  <c r="AG80" i="1"/>
  <c r="AH80" i="1"/>
  <c r="AF81" i="1"/>
  <c r="AG81" i="1"/>
  <c r="AH81" i="1"/>
  <c r="AF82" i="1"/>
  <c r="AG82" i="1"/>
  <c r="AH82" i="1"/>
  <c r="AF83" i="1"/>
  <c r="AG83" i="1"/>
  <c r="AH83" i="1"/>
  <c r="AF84" i="1"/>
  <c r="AG84" i="1"/>
  <c r="AH84" i="1"/>
  <c r="AF85" i="1"/>
  <c r="AG85" i="1"/>
  <c r="AH85" i="1"/>
  <c r="AF86" i="1"/>
  <c r="AG86" i="1"/>
  <c r="AH86" i="1"/>
  <c r="AF87" i="1"/>
  <c r="AG87" i="1"/>
  <c r="AH87" i="1"/>
  <c r="AF88" i="1"/>
  <c r="AG88" i="1"/>
  <c r="AH88" i="1"/>
  <c r="AF89" i="1"/>
  <c r="AG89" i="1"/>
  <c r="AH89" i="1"/>
  <c r="AF90" i="1"/>
  <c r="AG90" i="1"/>
  <c r="AH90" i="1"/>
  <c r="AF91" i="1"/>
  <c r="AG91" i="1"/>
  <c r="AH91" i="1"/>
  <c r="AF92" i="1"/>
  <c r="AG92" i="1"/>
  <c r="AH92" i="1"/>
  <c r="AF93" i="1"/>
  <c r="AG93" i="1"/>
  <c r="AH93" i="1"/>
  <c r="AF94" i="1"/>
  <c r="AG94" i="1"/>
  <c r="AH94" i="1"/>
  <c r="AF95" i="1"/>
  <c r="AG95" i="1"/>
  <c r="AH95" i="1"/>
  <c r="AF96" i="1"/>
  <c r="AG96" i="1"/>
  <c r="AH96" i="1"/>
  <c r="AF97" i="1"/>
  <c r="AG97" i="1"/>
  <c r="AH97" i="1"/>
  <c r="AF98" i="1"/>
  <c r="AG98" i="1"/>
  <c r="AH98" i="1"/>
  <c r="AF99" i="1"/>
  <c r="AG99" i="1"/>
  <c r="AH99" i="1"/>
  <c r="AF100" i="1"/>
  <c r="AG100" i="1"/>
  <c r="AH100" i="1"/>
  <c r="AF101" i="1"/>
  <c r="AG101" i="1"/>
  <c r="AH101" i="1"/>
  <c r="AF102" i="1"/>
  <c r="AG102" i="1"/>
  <c r="AH102" i="1"/>
  <c r="AF103" i="1"/>
  <c r="AG103" i="1"/>
  <c r="AH103" i="1"/>
  <c r="AF104" i="1"/>
  <c r="AG104" i="1"/>
  <c r="AH104" i="1"/>
  <c r="AF105" i="1"/>
  <c r="AG105" i="1"/>
  <c r="AH105" i="1"/>
  <c r="AF106" i="1"/>
  <c r="AG106" i="1"/>
  <c r="AH106" i="1"/>
  <c r="AF107" i="1"/>
  <c r="AG107" i="1"/>
  <c r="AH107" i="1"/>
  <c r="AF108" i="1"/>
  <c r="AG108" i="1"/>
  <c r="AH108" i="1"/>
  <c r="AF109" i="1"/>
  <c r="AG109" i="1"/>
  <c r="AH109" i="1"/>
  <c r="AF110" i="1"/>
  <c r="AG110" i="1"/>
  <c r="AH110" i="1"/>
  <c r="AF111" i="1"/>
  <c r="AG111" i="1"/>
  <c r="AH111" i="1"/>
  <c r="AF112" i="1"/>
  <c r="AG112" i="1"/>
  <c r="AH112" i="1"/>
  <c r="AF113" i="1"/>
  <c r="AG113" i="1"/>
  <c r="AH113" i="1"/>
  <c r="AF114" i="1"/>
  <c r="AG114" i="1"/>
  <c r="AH114" i="1"/>
  <c r="AF115" i="1"/>
  <c r="AG115" i="1"/>
  <c r="AH115" i="1"/>
  <c r="AF116" i="1"/>
  <c r="AG116" i="1"/>
  <c r="AH116" i="1"/>
  <c r="AF117" i="1"/>
  <c r="AG117" i="1"/>
  <c r="AH117" i="1"/>
  <c r="AF118" i="1"/>
  <c r="AG118" i="1"/>
  <c r="AH118" i="1"/>
  <c r="AF119" i="1"/>
  <c r="AG119" i="1"/>
  <c r="AH119" i="1"/>
  <c r="AF120" i="1"/>
  <c r="AG120" i="1"/>
  <c r="AH120" i="1"/>
  <c r="AF121" i="1"/>
  <c r="AG121" i="1"/>
  <c r="AH121" i="1"/>
  <c r="AF122" i="1"/>
  <c r="AG122" i="1"/>
  <c r="AH122" i="1"/>
  <c r="AF123" i="1"/>
  <c r="AG123" i="1"/>
  <c r="AH123" i="1"/>
  <c r="AF124" i="1"/>
  <c r="AG124" i="1"/>
  <c r="AH124" i="1"/>
  <c r="AF125" i="1"/>
  <c r="AG125" i="1"/>
  <c r="AH125" i="1"/>
  <c r="AF126" i="1"/>
  <c r="AG126" i="1"/>
  <c r="AH126" i="1"/>
  <c r="AF127" i="1"/>
  <c r="AG127" i="1"/>
  <c r="AH127" i="1"/>
  <c r="AF128" i="1"/>
  <c r="AG128" i="1"/>
  <c r="AH128" i="1"/>
  <c r="AF129" i="1"/>
  <c r="AG129" i="1"/>
  <c r="AH129" i="1"/>
  <c r="AF130" i="1"/>
  <c r="AG130" i="1"/>
  <c r="AH130" i="1"/>
  <c r="AF131" i="1"/>
  <c r="AG131" i="1"/>
  <c r="AH131" i="1"/>
  <c r="AF132" i="1"/>
  <c r="AG132" i="1"/>
  <c r="AH132" i="1"/>
  <c r="AF133" i="1"/>
  <c r="AG133" i="1"/>
  <c r="AH133" i="1"/>
  <c r="AF134" i="1"/>
  <c r="AG134" i="1"/>
  <c r="AH134" i="1"/>
  <c r="AF135" i="1"/>
  <c r="AG135" i="1"/>
  <c r="AH135" i="1"/>
  <c r="AF136" i="1"/>
  <c r="AG136" i="1"/>
  <c r="AH136" i="1"/>
  <c r="AF137" i="1"/>
  <c r="AG137" i="1"/>
  <c r="AH137" i="1"/>
  <c r="AF138" i="1"/>
  <c r="AG138" i="1"/>
  <c r="AH138" i="1"/>
  <c r="AF139" i="1"/>
  <c r="AG139" i="1"/>
  <c r="AH139" i="1"/>
  <c r="AF140" i="1"/>
  <c r="AG140" i="1"/>
  <c r="AH140" i="1"/>
  <c r="AF141" i="1"/>
  <c r="AG141" i="1"/>
  <c r="AH141" i="1"/>
  <c r="AF142" i="1"/>
  <c r="AG142" i="1"/>
  <c r="AH142" i="1"/>
  <c r="AF143" i="1"/>
  <c r="AG143" i="1"/>
  <c r="AH143" i="1"/>
  <c r="AF144" i="1"/>
  <c r="AG144" i="1"/>
  <c r="AH144" i="1"/>
  <c r="AF145" i="1"/>
  <c r="AG145" i="1"/>
  <c r="AH145" i="1"/>
  <c r="AF146" i="1"/>
  <c r="AG146" i="1"/>
  <c r="AH146" i="1"/>
  <c r="AF147" i="1"/>
  <c r="AG147" i="1"/>
  <c r="AH147" i="1"/>
  <c r="AF148" i="1"/>
  <c r="AG148" i="1"/>
  <c r="AH148" i="1"/>
  <c r="AF149" i="1"/>
  <c r="AG149" i="1"/>
  <c r="AH149" i="1"/>
  <c r="AF150" i="1"/>
  <c r="AG150" i="1"/>
  <c r="AH150" i="1"/>
  <c r="AF151" i="1"/>
  <c r="AG151" i="1"/>
  <c r="AH151" i="1"/>
  <c r="AF152" i="1"/>
  <c r="AG152" i="1"/>
  <c r="AH152" i="1"/>
  <c r="AF153" i="1"/>
  <c r="AG153" i="1"/>
  <c r="AH153" i="1"/>
  <c r="AF154" i="1"/>
  <c r="AG154" i="1"/>
  <c r="AH154" i="1"/>
  <c r="AF155" i="1"/>
  <c r="AG155" i="1"/>
  <c r="AH155" i="1"/>
  <c r="AF156" i="1"/>
  <c r="AG156" i="1"/>
  <c r="AH156" i="1"/>
  <c r="AF157" i="1"/>
  <c r="AG157" i="1"/>
  <c r="AH157" i="1"/>
  <c r="AF158" i="1"/>
  <c r="AG158" i="1"/>
  <c r="AH158" i="1"/>
  <c r="AF159" i="1"/>
  <c r="AG159" i="1"/>
  <c r="AH159" i="1"/>
  <c r="AF160" i="1"/>
  <c r="AG160" i="1"/>
  <c r="AH160" i="1"/>
  <c r="AF161" i="1"/>
  <c r="AG161" i="1"/>
  <c r="AH161" i="1"/>
  <c r="AF162" i="1"/>
  <c r="AG162" i="1"/>
  <c r="AH162" i="1"/>
  <c r="AF163" i="1"/>
  <c r="AG163" i="1"/>
  <c r="AH163" i="1"/>
  <c r="AF164" i="1"/>
  <c r="AG164" i="1"/>
  <c r="AH164" i="1"/>
  <c r="AF165" i="1"/>
  <c r="AG165" i="1"/>
  <c r="AH165" i="1"/>
  <c r="AF166" i="1"/>
  <c r="AG166" i="1"/>
  <c r="AH166" i="1"/>
  <c r="AF167" i="1"/>
  <c r="AG167" i="1"/>
  <c r="AH167" i="1"/>
  <c r="AF168" i="1"/>
  <c r="AG168" i="1"/>
  <c r="AH168" i="1"/>
  <c r="AF169" i="1"/>
  <c r="AG169" i="1"/>
  <c r="AH169" i="1"/>
  <c r="AF170" i="1"/>
  <c r="AG170" i="1"/>
  <c r="AH170" i="1"/>
  <c r="AF171" i="1"/>
  <c r="AG171" i="1"/>
  <c r="AH171" i="1"/>
  <c r="AF172" i="1"/>
  <c r="AG172" i="1"/>
  <c r="AH172" i="1"/>
  <c r="AF173" i="1"/>
  <c r="AG173" i="1"/>
  <c r="AH173" i="1"/>
  <c r="AF174" i="1"/>
  <c r="AG174" i="1"/>
  <c r="AH174" i="1"/>
  <c r="AF175" i="1"/>
  <c r="AG175" i="1"/>
  <c r="AH175" i="1"/>
  <c r="AF176" i="1"/>
  <c r="AG176" i="1"/>
  <c r="AH176" i="1"/>
  <c r="AF177" i="1"/>
  <c r="AG177" i="1"/>
  <c r="AH177" i="1"/>
  <c r="AF178" i="1"/>
  <c r="AG178" i="1"/>
  <c r="AH178" i="1"/>
  <c r="AF179" i="1"/>
  <c r="AG179" i="1"/>
  <c r="AH179" i="1"/>
  <c r="AF180" i="1"/>
  <c r="AG180" i="1"/>
  <c r="AH180" i="1"/>
  <c r="AF181" i="1"/>
  <c r="AG181" i="1"/>
  <c r="AH181" i="1"/>
  <c r="AF182" i="1"/>
  <c r="AG182" i="1"/>
  <c r="AH182" i="1"/>
  <c r="AF183" i="1"/>
  <c r="AG183" i="1"/>
  <c r="AH183" i="1"/>
  <c r="AF184" i="1"/>
  <c r="AG184" i="1"/>
  <c r="AH184" i="1"/>
  <c r="AF185" i="1"/>
  <c r="AG185" i="1"/>
  <c r="AH185" i="1"/>
  <c r="AF186" i="1"/>
  <c r="AG186" i="1"/>
  <c r="AH186" i="1"/>
  <c r="AF187" i="1"/>
  <c r="AG187" i="1"/>
  <c r="AH187" i="1"/>
  <c r="AF188" i="1"/>
  <c r="AG188" i="1"/>
  <c r="AH188" i="1"/>
  <c r="AF189" i="1"/>
  <c r="AG189" i="1"/>
  <c r="AH189" i="1"/>
  <c r="AF190" i="1"/>
  <c r="AG190" i="1"/>
  <c r="AH190" i="1"/>
  <c r="AF191" i="1"/>
  <c r="AG191" i="1"/>
  <c r="AH191" i="1"/>
  <c r="AF192" i="1"/>
  <c r="AG192" i="1"/>
  <c r="AH192" i="1"/>
  <c r="AF193" i="1"/>
  <c r="AG193" i="1"/>
  <c r="AH193" i="1"/>
  <c r="AF194" i="1"/>
  <c r="AG194" i="1"/>
  <c r="AH194" i="1"/>
  <c r="AF195" i="1"/>
  <c r="AG195" i="1"/>
  <c r="AH195" i="1"/>
  <c r="AF196" i="1"/>
  <c r="AG196" i="1"/>
  <c r="AH196" i="1"/>
  <c r="AF197" i="1"/>
  <c r="AG197" i="1"/>
  <c r="AH197" i="1"/>
  <c r="AF198" i="1"/>
  <c r="AG198" i="1"/>
  <c r="AH198" i="1"/>
  <c r="AF199" i="1"/>
  <c r="AG199" i="1"/>
  <c r="AH199" i="1"/>
  <c r="AF200" i="1"/>
  <c r="AG200" i="1"/>
  <c r="AH200" i="1"/>
  <c r="AF201" i="1"/>
  <c r="AG201" i="1"/>
  <c r="AH201" i="1"/>
  <c r="AF202" i="1"/>
  <c r="AG202" i="1"/>
  <c r="AH202" i="1"/>
  <c r="AF3" i="1"/>
  <c r="AG3" i="1"/>
  <c r="AH3" i="1"/>
  <c r="AB4" i="1"/>
  <c r="AC4" i="1"/>
  <c r="AD4" i="1"/>
  <c r="AB5" i="1"/>
  <c r="AC5" i="1"/>
  <c r="AD5" i="1"/>
  <c r="AB6" i="1"/>
  <c r="AC6" i="1"/>
  <c r="AD6" i="1"/>
  <c r="AB7" i="1"/>
  <c r="AC7" i="1"/>
  <c r="AD7" i="1"/>
  <c r="AB8" i="1"/>
  <c r="AC8" i="1"/>
  <c r="AD8" i="1"/>
  <c r="AB9" i="1"/>
  <c r="AC9" i="1"/>
  <c r="AD9" i="1"/>
  <c r="AB10" i="1"/>
  <c r="AC10" i="1"/>
  <c r="AD10" i="1"/>
  <c r="AB11" i="1"/>
  <c r="AC11" i="1"/>
  <c r="AD11" i="1"/>
  <c r="AB12" i="1"/>
  <c r="AC12" i="1"/>
  <c r="AD12" i="1"/>
  <c r="AB13" i="1"/>
  <c r="AC13" i="1"/>
  <c r="AD13" i="1"/>
  <c r="AB14" i="1"/>
  <c r="AC14" i="1"/>
  <c r="AD14" i="1"/>
  <c r="AB15" i="1"/>
  <c r="AC15" i="1"/>
  <c r="AD15" i="1"/>
  <c r="AB16" i="1"/>
  <c r="AC16" i="1"/>
  <c r="AD16" i="1"/>
  <c r="AB17" i="1"/>
  <c r="AC17" i="1"/>
  <c r="AD17" i="1"/>
  <c r="AB18" i="1"/>
  <c r="AC18" i="1"/>
  <c r="AD18" i="1"/>
  <c r="AB19" i="1"/>
  <c r="AC19" i="1"/>
  <c r="AD19" i="1"/>
  <c r="AB20" i="1"/>
  <c r="AC20" i="1"/>
  <c r="AD20" i="1"/>
  <c r="AB21" i="1"/>
  <c r="AC21" i="1"/>
  <c r="AD21" i="1"/>
  <c r="AB22" i="1"/>
  <c r="AC22" i="1"/>
  <c r="AD22" i="1"/>
  <c r="AB23" i="1"/>
  <c r="AC23" i="1"/>
  <c r="AD23" i="1"/>
  <c r="AB24" i="1"/>
  <c r="AC24" i="1"/>
  <c r="AD24" i="1"/>
  <c r="AB25" i="1"/>
  <c r="AC25" i="1"/>
  <c r="AD25" i="1"/>
  <c r="AB26" i="1"/>
  <c r="AC26" i="1"/>
  <c r="AD26" i="1"/>
  <c r="AB27" i="1"/>
  <c r="AC27" i="1"/>
  <c r="AD27" i="1"/>
  <c r="AB28" i="1"/>
  <c r="AC28" i="1"/>
  <c r="AD28" i="1"/>
  <c r="AB29" i="1"/>
  <c r="AC29" i="1"/>
  <c r="AD29" i="1"/>
  <c r="AB30" i="1"/>
  <c r="AC30" i="1"/>
  <c r="AD30" i="1"/>
  <c r="AB31" i="1"/>
  <c r="AC31" i="1"/>
  <c r="AD31" i="1"/>
  <c r="AB32" i="1"/>
  <c r="AC32" i="1"/>
  <c r="AD32" i="1"/>
  <c r="AB33" i="1"/>
  <c r="AC33" i="1"/>
  <c r="AD33" i="1"/>
  <c r="AB34" i="1"/>
  <c r="AC34" i="1"/>
  <c r="AD34" i="1"/>
  <c r="AB35" i="1"/>
  <c r="AC35" i="1"/>
  <c r="AD35" i="1"/>
  <c r="AB36" i="1"/>
  <c r="AC36" i="1"/>
  <c r="AD36" i="1"/>
  <c r="AB37" i="1"/>
  <c r="AC37" i="1"/>
  <c r="AD37" i="1"/>
  <c r="AB38" i="1"/>
  <c r="AC38" i="1"/>
  <c r="AD38" i="1"/>
  <c r="AB39" i="1"/>
  <c r="AC39" i="1"/>
  <c r="AD39" i="1"/>
  <c r="AB40" i="1"/>
  <c r="AC40" i="1"/>
  <c r="AD40" i="1"/>
  <c r="AB41" i="1"/>
  <c r="AC41" i="1"/>
  <c r="AD41" i="1"/>
  <c r="AB42" i="1"/>
  <c r="AC42" i="1"/>
  <c r="AD42" i="1"/>
  <c r="AB43" i="1"/>
  <c r="AC43" i="1"/>
  <c r="AD43" i="1"/>
  <c r="AB44" i="1"/>
  <c r="AC44" i="1"/>
  <c r="AD44" i="1"/>
  <c r="AB45" i="1"/>
  <c r="AC45" i="1"/>
  <c r="AD45" i="1"/>
  <c r="AB46" i="1"/>
  <c r="AC46" i="1"/>
  <c r="AD46" i="1"/>
  <c r="AB47" i="1"/>
  <c r="AC47" i="1"/>
  <c r="AD47" i="1"/>
  <c r="AB48" i="1"/>
  <c r="AC48" i="1"/>
  <c r="AD48" i="1"/>
  <c r="AB49" i="1"/>
  <c r="AC49" i="1"/>
  <c r="AD49" i="1"/>
  <c r="AB50" i="1"/>
  <c r="AC50" i="1"/>
  <c r="AD50" i="1"/>
  <c r="AB51" i="1"/>
  <c r="AC51" i="1"/>
  <c r="AD51" i="1"/>
  <c r="AB52" i="1"/>
  <c r="AC52" i="1"/>
  <c r="AD52" i="1"/>
  <c r="AB53" i="1"/>
  <c r="AC53" i="1"/>
  <c r="AD53" i="1"/>
  <c r="AB54" i="1"/>
  <c r="AC54" i="1"/>
  <c r="AD54" i="1"/>
  <c r="AB55" i="1"/>
  <c r="AC55" i="1"/>
  <c r="AD55" i="1"/>
  <c r="AB56" i="1"/>
  <c r="AC56" i="1"/>
  <c r="AD56" i="1"/>
  <c r="AB57" i="1"/>
  <c r="AC57" i="1"/>
  <c r="AD57" i="1"/>
  <c r="AB58" i="1"/>
  <c r="AC58" i="1"/>
  <c r="AD58" i="1"/>
  <c r="AB59" i="1"/>
  <c r="AC59" i="1"/>
  <c r="AD59" i="1"/>
  <c r="AB60" i="1"/>
  <c r="AC60" i="1"/>
  <c r="AD60" i="1"/>
  <c r="AB61" i="1"/>
  <c r="AC61" i="1"/>
  <c r="AD61" i="1"/>
  <c r="AB62" i="1"/>
  <c r="AC62" i="1"/>
  <c r="AD62" i="1"/>
  <c r="AB63" i="1"/>
  <c r="AC63" i="1"/>
  <c r="AD63" i="1"/>
  <c r="AB64" i="1"/>
  <c r="AC64" i="1"/>
  <c r="AD64" i="1"/>
  <c r="AB65" i="1"/>
  <c r="AC65" i="1"/>
  <c r="AD65" i="1"/>
  <c r="AB66" i="1"/>
  <c r="AC66" i="1"/>
  <c r="AD66" i="1"/>
  <c r="AB67" i="1"/>
  <c r="AC67" i="1"/>
  <c r="AD67" i="1"/>
  <c r="AB68" i="1"/>
  <c r="AC68" i="1"/>
  <c r="AD68" i="1"/>
  <c r="AB69" i="1"/>
  <c r="AC69" i="1"/>
  <c r="AD69" i="1"/>
  <c r="AB70" i="1"/>
  <c r="AC70" i="1"/>
  <c r="AD70" i="1"/>
  <c r="AB71" i="1"/>
  <c r="AC71" i="1"/>
  <c r="AD71" i="1"/>
  <c r="AB72" i="1"/>
  <c r="AC72" i="1"/>
  <c r="AD72" i="1"/>
  <c r="AB73" i="1"/>
  <c r="AC73" i="1"/>
  <c r="AD73" i="1"/>
  <c r="AB74" i="1"/>
  <c r="AC74" i="1"/>
  <c r="AD74" i="1"/>
  <c r="AB75" i="1"/>
  <c r="AC75" i="1"/>
  <c r="AD75" i="1"/>
  <c r="AB76" i="1"/>
  <c r="AC76" i="1"/>
  <c r="AD76" i="1"/>
  <c r="AB77" i="1"/>
  <c r="AC77" i="1"/>
  <c r="AD77" i="1"/>
  <c r="AB78" i="1"/>
  <c r="AC78" i="1"/>
  <c r="AD78" i="1"/>
  <c r="AB79" i="1"/>
  <c r="AC79" i="1"/>
  <c r="AD79" i="1"/>
  <c r="AB80" i="1"/>
  <c r="AC80" i="1"/>
  <c r="AD80" i="1"/>
  <c r="AB81" i="1"/>
  <c r="AC81" i="1"/>
  <c r="AD81" i="1"/>
  <c r="AB82" i="1"/>
  <c r="AC82" i="1"/>
  <c r="AD82" i="1"/>
  <c r="AB83" i="1"/>
  <c r="AC83" i="1"/>
  <c r="AD83" i="1"/>
  <c r="AB84" i="1"/>
  <c r="AC84" i="1"/>
  <c r="AD84" i="1"/>
  <c r="AB85" i="1"/>
  <c r="AC85" i="1"/>
  <c r="AD85" i="1"/>
  <c r="AB86" i="1"/>
  <c r="AC86" i="1"/>
  <c r="AD86" i="1"/>
  <c r="AB87" i="1"/>
  <c r="AC87" i="1"/>
  <c r="AD87" i="1"/>
  <c r="AB88" i="1"/>
  <c r="AC88" i="1"/>
  <c r="AD88" i="1"/>
  <c r="AB89" i="1"/>
  <c r="AC89" i="1"/>
  <c r="AD89" i="1"/>
  <c r="AB90" i="1"/>
  <c r="AC90" i="1"/>
  <c r="AD90" i="1"/>
  <c r="AB91" i="1"/>
  <c r="AC91" i="1"/>
  <c r="AD91" i="1"/>
  <c r="AB92" i="1"/>
  <c r="AC92" i="1"/>
  <c r="AD92" i="1"/>
  <c r="AB93" i="1"/>
  <c r="AC93" i="1"/>
  <c r="AD93" i="1"/>
  <c r="AB94" i="1"/>
  <c r="AC94" i="1"/>
  <c r="AD94" i="1"/>
  <c r="AB95" i="1"/>
  <c r="AC95" i="1"/>
  <c r="AD95" i="1"/>
  <c r="AB96" i="1"/>
  <c r="AC96" i="1"/>
  <c r="AD96" i="1"/>
  <c r="AB97" i="1"/>
  <c r="AC97" i="1"/>
  <c r="AD97" i="1"/>
  <c r="AB98" i="1"/>
  <c r="AC98" i="1"/>
  <c r="AD98" i="1"/>
  <c r="AB99" i="1"/>
  <c r="AC99" i="1"/>
  <c r="AD99" i="1"/>
  <c r="AB100" i="1"/>
  <c r="AC100" i="1"/>
  <c r="AD100" i="1"/>
  <c r="AB101" i="1"/>
  <c r="AC101" i="1"/>
  <c r="AD101" i="1"/>
  <c r="AB102" i="1"/>
  <c r="AC102" i="1"/>
  <c r="AD102" i="1"/>
  <c r="AB103" i="1"/>
  <c r="AC103" i="1"/>
  <c r="AD103" i="1"/>
  <c r="AB104" i="1"/>
  <c r="AC104" i="1"/>
  <c r="AD104" i="1"/>
  <c r="AB105" i="1"/>
  <c r="AC105" i="1"/>
  <c r="AD105" i="1"/>
  <c r="AB106" i="1"/>
  <c r="AC106" i="1"/>
  <c r="AD106" i="1"/>
  <c r="AB107" i="1"/>
  <c r="AC107" i="1"/>
  <c r="AD107" i="1"/>
  <c r="AB108" i="1"/>
  <c r="AC108" i="1"/>
  <c r="AD108" i="1"/>
  <c r="AB109" i="1"/>
  <c r="AC109" i="1"/>
  <c r="AD109" i="1"/>
  <c r="AB110" i="1"/>
  <c r="AC110" i="1"/>
  <c r="AD110" i="1"/>
  <c r="AB111" i="1"/>
  <c r="AC111" i="1"/>
  <c r="AD111" i="1"/>
  <c r="AB112" i="1"/>
  <c r="AC112" i="1"/>
  <c r="AD112" i="1"/>
  <c r="AB113" i="1"/>
  <c r="AC113" i="1"/>
  <c r="AD113" i="1"/>
  <c r="AB114" i="1"/>
  <c r="AC114" i="1"/>
  <c r="AD114" i="1"/>
  <c r="AB115" i="1"/>
  <c r="AC115" i="1"/>
  <c r="AD115" i="1"/>
  <c r="AB116" i="1"/>
  <c r="AC116" i="1"/>
  <c r="AD116" i="1"/>
  <c r="AB117" i="1"/>
  <c r="AC117" i="1"/>
  <c r="AD117" i="1"/>
  <c r="AB118" i="1"/>
  <c r="AC118" i="1"/>
  <c r="AD118" i="1"/>
  <c r="AB119" i="1"/>
  <c r="AC119" i="1"/>
  <c r="AD119" i="1"/>
  <c r="AB120" i="1"/>
  <c r="AC120" i="1"/>
  <c r="AD120" i="1"/>
  <c r="AB121" i="1"/>
  <c r="AC121" i="1"/>
  <c r="AD121" i="1"/>
  <c r="AB122" i="1"/>
  <c r="AC122" i="1"/>
  <c r="AD122" i="1"/>
  <c r="AB123" i="1"/>
  <c r="AC123" i="1"/>
  <c r="AD123" i="1"/>
  <c r="AB124" i="1"/>
  <c r="AC124" i="1"/>
  <c r="AD124" i="1"/>
  <c r="AB125" i="1"/>
  <c r="AC125" i="1"/>
  <c r="AD125" i="1"/>
  <c r="AB126" i="1"/>
  <c r="AC126" i="1"/>
  <c r="AD126" i="1"/>
  <c r="AB127" i="1"/>
  <c r="AC127" i="1"/>
  <c r="AD127" i="1"/>
  <c r="AB128" i="1"/>
  <c r="AC128" i="1"/>
  <c r="AD128" i="1"/>
  <c r="AB129" i="1"/>
  <c r="AC129" i="1"/>
  <c r="AD129" i="1"/>
  <c r="AB130" i="1"/>
  <c r="AC130" i="1"/>
  <c r="AD130" i="1"/>
  <c r="AB131" i="1"/>
  <c r="AC131" i="1"/>
  <c r="AD131" i="1"/>
  <c r="AB132" i="1"/>
  <c r="AC132" i="1"/>
  <c r="AD132" i="1"/>
  <c r="AB133" i="1"/>
  <c r="AC133" i="1"/>
  <c r="AD133" i="1"/>
  <c r="AB134" i="1"/>
  <c r="AC134" i="1"/>
  <c r="AD134" i="1"/>
  <c r="AB135" i="1"/>
  <c r="AC135" i="1"/>
  <c r="AD135" i="1"/>
  <c r="AB136" i="1"/>
  <c r="AC136" i="1"/>
  <c r="AD136" i="1"/>
  <c r="AB137" i="1"/>
  <c r="AC137" i="1"/>
  <c r="AD137" i="1"/>
  <c r="AB138" i="1"/>
  <c r="AC138" i="1"/>
  <c r="AD138" i="1"/>
  <c r="AB139" i="1"/>
  <c r="AC139" i="1"/>
  <c r="AD139" i="1"/>
  <c r="AB140" i="1"/>
  <c r="AC140" i="1"/>
  <c r="AD140" i="1"/>
  <c r="AB141" i="1"/>
  <c r="AC141" i="1"/>
  <c r="AD141" i="1"/>
  <c r="AB142" i="1"/>
  <c r="AC142" i="1"/>
  <c r="AD142" i="1"/>
  <c r="AB143" i="1"/>
  <c r="AC143" i="1"/>
  <c r="AD143" i="1"/>
  <c r="AB144" i="1"/>
  <c r="AC144" i="1"/>
  <c r="AD144" i="1"/>
  <c r="AB145" i="1"/>
  <c r="AC145" i="1"/>
  <c r="AD145" i="1"/>
  <c r="AB146" i="1"/>
  <c r="AC146" i="1"/>
  <c r="AD146" i="1"/>
  <c r="AB147" i="1"/>
  <c r="AC147" i="1"/>
  <c r="AD147" i="1"/>
  <c r="AB148" i="1"/>
  <c r="AC148" i="1"/>
  <c r="AD148" i="1"/>
  <c r="AB149" i="1"/>
  <c r="AC149" i="1"/>
  <c r="AD149" i="1"/>
  <c r="AB150" i="1"/>
  <c r="AC150" i="1"/>
  <c r="AD150" i="1"/>
  <c r="AB151" i="1"/>
  <c r="AC151" i="1"/>
  <c r="AD151" i="1"/>
  <c r="AB152" i="1"/>
  <c r="AC152" i="1"/>
  <c r="AD152" i="1"/>
  <c r="AB153" i="1"/>
  <c r="AC153" i="1"/>
  <c r="AD153" i="1"/>
  <c r="AB154" i="1"/>
  <c r="AC154" i="1"/>
  <c r="AD154" i="1"/>
  <c r="AB155" i="1"/>
  <c r="AC155" i="1"/>
  <c r="AD155" i="1"/>
  <c r="AB156" i="1"/>
  <c r="AC156" i="1"/>
  <c r="AD156" i="1"/>
  <c r="AB157" i="1"/>
  <c r="AC157" i="1"/>
  <c r="AD157" i="1"/>
  <c r="AB158" i="1"/>
  <c r="AC158" i="1"/>
  <c r="AD158" i="1"/>
  <c r="AB159" i="1"/>
  <c r="AC159" i="1"/>
  <c r="AD159" i="1"/>
  <c r="AB160" i="1"/>
  <c r="AC160" i="1"/>
  <c r="AD160" i="1"/>
  <c r="AB161" i="1"/>
  <c r="AC161" i="1"/>
  <c r="AD161" i="1"/>
  <c r="AB162" i="1"/>
  <c r="AC162" i="1"/>
  <c r="AD162" i="1"/>
  <c r="AB163" i="1"/>
  <c r="AC163" i="1"/>
  <c r="AD163" i="1"/>
  <c r="AB164" i="1"/>
  <c r="AC164" i="1"/>
  <c r="AD164" i="1"/>
  <c r="AB165" i="1"/>
  <c r="AC165" i="1"/>
  <c r="AD165" i="1"/>
  <c r="AB166" i="1"/>
  <c r="AC166" i="1"/>
  <c r="AD166" i="1"/>
  <c r="AB167" i="1"/>
  <c r="AC167" i="1"/>
  <c r="AD167" i="1"/>
  <c r="AB168" i="1"/>
  <c r="AC168" i="1"/>
  <c r="AD168" i="1"/>
  <c r="AB169" i="1"/>
  <c r="AC169" i="1"/>
  <c r="AD169" i="1"/>
  <c r="AB170" i="1"/>
  <c r="AC170" i="1"/>
  <c r="AD170" i="1"/>
  <c r="AB171" i="1"/>
  <c r="AC171" i="1"/>
  <c r="AD171" i="1"/>
  <c r="AB172" i="1"/>
  <c r="AC172" i="1"/>
  <c r="AD172" i="1"/>
  <c r="AB173" i="1"/>
  <c r="AC173" i="1"/>
  <c r="AD173" i="1"/>
  <c r="AB174" i="1"/>
  <c r="AC174" i="1"/>
  <c r="AD174" i="1"/>
  <c r="AB175" i="1"/>
  <c r="AC175" i="1"/>
  <c r="AD175" i="1"/>
  <c r="AB176" i="1"/>
  <c r="AC176" i="1"/>
  <c r="AD176" i="1"/>
  <c r="AB177" i="1"/>
  <c r="AC177" i="1"/>
  <c r="AD177" i="1"/>
  <c r="AB178" i="1"/>
  <c r="AC178" i="1"/>
  <c r="AD178" i="1"/>
  <c r="AB179" i="1"/>
  <c r="AC179" i="1"/>
  <c r="AD179" i="1"/>
  <c r="AB180" i="1"/>
  <c r="AC180" i="1"/>
  <c r="AD180" i="1"/>
  <c r="AB181" i="1"/>
  <c r="AC181" i="1"/>
  <c r="AD181" i="1"/>
  <c r="AB182" i="1"/>
  <c r="AC182" i="1"/>
  <c r="AD182" i="1"/>
  <c r="AB183" i="1"/>
  <c r="AC183" i="1"/>
  <c r="AD183" i="1"/>
  <c r="AB184" i="1"/>
  <c r="AC184" i="1"/>
  <c r="AD184" i="1"/>
  <c r="AB185" i="1"/>
  <c r="AC185" i="1"/>
  <c r="AD185" i="1"/>
  <c r="AB186" i="1"/>
  <c r="AC186" i="1"/>
  <c r="AD186" i="1"/>
  <c r="AB187" i="1"/>
  <c r="AC187" i="1"/>
  <c r="AD187" i="1"/>
  <c r="AB188" i="1"/>
  <c r="AC188" i="1"/>
  <c r="AD188" i="1"/>
  <c r="AB189" i="1"/>
  <c r="AC189" i="1"/>
  <c r="AD189" i="1"/>
  <c r="AB190" i="1"/>
  <c r="AC190" i="1"/>
  <c r="AD190" i="1"/>
  <c r="AB191" i="1"/>
  <c r="AC191" i="1"/>
  <c r="AD191" i="1"/>
  <c r="AB192" i="1"/>
  <c r="AC192" i="1"/>
  <c r="AD192" i="1"/>
  <c r="AB193" i="1"/>
  <c r="AC193" i="1"/>
  <c r="AD193" i="1"/>
  <c r="AB194" i="1"/>
  <c r="AC194" i="1"/>
  <c r="AD194" i="1"/>
  <c r="AB195" i="1"/>
  <c r="AC195" i="1"/>
  <c r="AD195" i="1"/>
  <c r="AB196" i="1"/>
  <c r="AC196" i="1"/>
  <c r="AD196" i="1"/>
  <c r="AB197" i="1"/>
  <c r="AC197" i="1"/>
  <c r="AD197" i="1"/>
  <c r="AB198" i="1"/>
  <c r="AC198" i="1"/>
  <c r="AD198" i="1"/>
  <c r="AB199" i="1"/>
  <c r="AC199" i="1"/>
  <c r="AD199" i="1"/>
  <c r="AB200" i="1"/>
  <c r="AC200" i="1"/>
  <c r="AD200" i="1"/>
  <c r="AB201" i="1"/>
  <c r="AC201" i="1"/>
  <c r="AD201" i="1"/>
  <c r="AB202" i="1"/>
  <c r="AC202" i="1"/>
  <c r="AD202" i="1"/>
  <c r="AB3" i="1"/>
  <c r="AC3" i="1"/>
  <c r="AD3" i="1"/>
  <c r="J4" i="1"/>
  <c r="K4" i="1"/>
  <c r="L4" i="1"/>
  <c r="N4" i="1"/>
  <c r="O4" i="1"/>
  <c r="Q4" i="1"/>
  <c r="R4" i="1"/>
  <c r="T4" i="1"/>
  <c r="U4" i="1"/>
  <c r="V4" i="1"/>
  <c r="X4" i="1"/>
  <c r="Y4" i="1"/>
  <c r="Z4" i="1"/>
  <c r="J5" i="1"/>
  <c r="K5" i="1"/>
  <c r="L5" i="1"/>
  <c r="N5" i="1"/>
  <c r="O5" i="1"/>
  <c r="Q5" i="1"/>
  <c r="R5" i="1"/>
  <c r="T5" i="1"/>
  <c r="U5" i="1"/>
  <c r="V5" i="1"/>
  <c r="X5" i="1"/>
  <c r="Y5" i="1"/>
  <c r="Z5" i="1"/>
  <c r="J6" i="1"/>
  <c r="K6" i="1"/>
  <c r="L6" i="1"/>
  <c r="N6" i="1"/>
  <c r="O6" i="1"/>
  <c r="Q6" i="1"/>
  <c r="R6" i="1"/>
  <c r="T6" i="1"/>
  <c r="U6" i="1"/>
  <c r="V6" i="1"/>
  <c r="X6" i="1"/>
  <c r="Y6" i="1"/>
  <c r="Z6" i="1"/>
  <c r="J7" i="1"/>
  <c r="K7" i="1"/>
  <c r="L7" i="1"/>
  <c r="N7" i="1"/>
  <c r="O7" i="1"/>
  <c r="Q7" i="1"/>
  <c r="R7" i="1"/>
  <c r="T7" i="1"/>
  <c r="U7" i="1"/>
  <c r="V7" i="1"/>
  <c r="X7" i="1"/>
  <c r="Y7" i="1"/>
  <c r="Z7" i="1"/>
  <c r="J8" i="1"/>
  <c r="K8" i="1"/>
  <c r="L8" i="1"/>
  <c r="N8" i="1"/>
  <c r="O8" i="1"/>
  <c r="Q8" i="1"/>
  <c r="R8" i="1"/>
  <c r="T8" i="1"/>
  <c r="U8" i="1"/>
  <c r="V8" i="1"/>
  <c r="X8" i="1"/>
  <c r="Y8" i="1"/>
  <c r="Z8" i="1"/>
  <c r="J9" i="1"/>
  <c r="K9" i="1"/>
  <c r="L9" i="1"/>
  <c r="N9" i="1"/>
  <c r="O9" i="1"/>
  <c r="Q9" i="1"/>
  <c r="R9" i="1"/>
  <c r="T9" i="1"/>
  <c r="U9" i="1"/>
  <c r="V9" i="1"/>
  <c r="X9" i="1"/>
  <c r="Y9" i="1"/>
  <c r="Z9" i="1"/>
  <c r="J10" i="1"/>
  <c r="K10" i="1"/>
  <c r="L10" i="1"/>
  <c r="N10" i="1"/>
  <c r="O10" i="1"/>
  <c r="Q10" i="1"/>
  <c r="R10" i="1"/>
  <c r="T10" i="1"/>
  <c r="U10" i="1"/>
  <c r="V10" i="1"/>
  <c r="X10" i="1"/>
  <c r="Y10" i="1"/>
  <c r="Z10" i="1"/>
  <c r="J11" i="1"/>
  <c r="K11" i="1"/>
  <c r="L11" i="1"/>
  <c r="N11" i="1"/>
  <c r="O11" i="1"/>
  <c r="Q11" i="1"/>
  <c r="R11" i="1"/>
  <c r="T11" i="1"/>
  <c r="U11" i="1"/>
  <c r="V11" i="1"/>
  <c r="X11" i="1"/>
  <c r="Y11" i="1"/>
  <c r="Z11" i="1"/>
  <c r="J12" i="1"/>
  <c r="K12" i="1"/>
  <c r="L12" i="1"/>
  <c r="N12" i="1"/>
  <c r="O12" i="1"/>
  <c r="Q12" i="1"/>
  <c r="R12" i="1"/>
  <c r="T12" i="1"/>
  <c r="U12" i="1"/>
  <c r="V12" i="1"/>
  <c r="X12" i="1"/>
  <c r="Y12" i="1"/>
  <c r="Z12" i="1"/>
  <c r="J13" i="1"/>
  <c r="K13" i="1"/>
  <c r="L13" i="1"/>
  <c r="N13" i="1"/>
  <c r="O13" i="1"/>
  <c r="Q13" i="1"/>
  <c r="R13" i="1"/>
  <c r="T13" i="1"/>
  <c r="U13" i="1"/>
  <c r="V13" i="1"/>
  <c r="X13" i="1"/>
  <c r="Y13" i="1"/>
  <c r="Z13" i="1"/>
  <c r="J14" i="1"/>
  <c r="K14" i="1"/>
  <c r="L14" i="1"/>
  <c r="N14" i="1"/>
  <c r="O14" i="1"/>
  <c r="Q14" i="1"/>
  <c r="R14" i="1"/>
  <c r="T14" i="1"/>
  <c r="U14" i="1"/>
  <c r="V14" i="1"/>
  <c r="X14" i="1"/>
  <c r="Y14" i="1"/>
  <c r="Z14" i="1"/>
  <c r="J15" i="1"/>
  <c r="K15" i="1"/>
  <c r="L15" i="1"/>
  <c r="N15" i="1"/>
  <c r="O15" i="1"/>
  <c r="Q15" i="1"/>
  <c r="R15" i="1"/>
  <c r="T15" i="1"/>
  <c r="U15" i="1"/>
  <c r="V15" i="1"/>
  <c r="X15" i="1"/>
  <c r="Y15" i="1"/>
  <c r="Z15" i="1"/>
  <c r="J16" i="1"/>
  <c r="K16" i="1"/>
  <c r="L16" i="1"/>
  <c r="N16" i="1"/>
  <c r="O16" i="1"/>
  <c r="Q16" i="1"/>
  <c r="R16" i="1"/>
  <c r="T16" i="1"/>
  <c r="U16" i="1"/>
  <c r="V16" i="1"/>
  <c r="X16" i="1"/>
  <c r="Y16" i="1"/>
  <c r="Z16" i="1"/>
  <c r="J17" i="1"/>
  <c r="K17" i="1"/>
  <c r="L17" i="1"/>
  <c r="N17" i="1"/>
  <c r="O17" i="1"/>
  <c r="Q17" i="1"/>
  <c r="R17" i="1"/>
  <c r="T17" i="1"/>
  <c r="U17" i="1"/>
  <c r="V17" i="1"/>
  <c r="X17" i="1"/>
  <c r="Y17" i="1"/>
  <c r="Z17" i="1"/>
  <c r="J18" i="1"/>
  <c r="K18" i="1"/>
  <c r="L18" i="1"/>
  <c r="N18" i="1"/>
  <c r="O18" i="1"/>
  <c r="Q18" i="1"/>
  <c r="R18" i="1"/>
  <c r="T18" i="1"/>
  <c r="U18" i="1"/>
  <c r="V18" i="1"/>
  <c r="X18" i="1"/>
  <c r="Y18" i="1"/>
  <c r="Z18" i="1"/>
  <c r="J19" i="1"/>
  <c r="K19" i="1"/>
  <c r="L19" i="1"/>
  <c r="N19" i="1"/>
  <c r="O19" i="1"/>
  <c r="Q19" i="1"/>
  <c r="R19" i="1"/>
  <c r="T19" i="1"/>
  <c r="U19" i="1"/>
  <c r="V19" i="1"/>
  <c r="X19" i="1"/>
  <c r="Y19" i="1"/>
  <c r="Z19" i="1"/>
  <c r="J20" i="1"/>
  <c r="K20" i="1"/>
  <c r="L20" i="1"/>
  <c r="N20" i="1"/>
  <c r="O20" i="1"/>
  <c r="Q20" i="1"/>
  <c r="R20" i="1"/>
  <c r="T20" i="1"/>
  <c r="U20" i="1"/>
  <c r="V20" i="1"/>
  <c r="X20" i="1"/>
  <c r="Y20" i="1"/>
  <c r="Z20" i="1"/>
  <c r="J21" i="1"/>
  <c r="K21" i="1"/>
  <c r="L21" i="1"/>
  <c r="N21" i="1"/>
  <c r="O21" i="1"/>
  <c r="Q21" i="1"/>
  <c r="R21" i="1"/>
  <c r="T21" i="1"/>
  <c r="U21" i="1"/>
  <c r="V21" i="1"/>
  <c r="X21" i="1"/>
  <c r="Y21" i="1"/>
  <c r="Z21" i="1"/>
  <c r="J22" i="1"/>
  <c r="K22" i="1"/>
  <c r="L22" i="1"/>
  <c r="N22" i="1"/>
  <c r="O22" i="1"/>
  <c r="Q22" i="1"/>
  <c r="R22" i="1"/>
  <c r="T22" i="1"/>
  <c r="U22" i="1"/>
  <c r="V22" i="1"/>
  <c r="X22" i="1"/>
  <c r="Y22" i="1"/>
  <c r="Z22" i="1"/>
  <c r="J23" i="1"/>
  <c r="K23" i="1"/>
  <c r="L23" i="1"/>
  <c r="N23" i="1"/>
  <c r="O23" i="1"/>
  <c r="Q23" i="1"/>
  <c r="R23" i="1"/>
  <c r="T23" i="1"/>
  <c r="U23" i="1"/>
  <c r="V23" i="1"/>
  <c r="X23" i="1"/>
  <c r="Y23" i="1"/>
  <c r="Z23" i="1"/>
  <c r="J24" i="1"/>
  <c r="K24" i="1"/>
  <c r="L24" i="1"/>
  <c r="N24" i="1"/>
  <c r="O24" i="1"/>
  <c r="Q24" i="1"/>
  <c r="R24" i="1"/>
  <c r="T24" i="1"/>
  <c r="U24" i="1"/>
  <c r="V24" i="1"/>
  <c r="X24" i="1"/>
  <c r="Y24" i="1"/>
  <c r="Z24" i="1"/>
  <c r="J25" i="1"/>
  <c r="K25" i="1"/>
  <c r="L25" i="1"/>
  <c r="N25" i="1"/>
  <c r="O25" i="1"/>
  <c r="Q25" i="1"/>
  <c r="R25" i="1"/>
  <c r="T25" i="1"/>
  <c r="U25" i="1"/>
  <c r="V25" i="1"/>
  <c r="X25" i="1"/>
  <c r="Y25" i="1"/>
  <c r="Z25" i="1"/>
  <c r="J26" i="1"/>
  <c r="K26" i="1"/>
  <c r="L26" i="1"/>
  <c r="N26" i="1"/>
  <c r="O26" i="1"/>
  <c r="Q26" i="1"/>
  <c r="R26" i="1"/>
  <c r="T26" i="1"/>
  <c r="U26" i="1"/>
  <c r="V26" i="1"/>
  <c r="X26" i="1"/>
  <c r="Y26" i="1"/>
  <c r="Z26" i="1"/>
  <c r="J27" i="1"/>
  <c r="K27" i="1"/>
  <c r="L27" i="1"/>
  <c r="N27" i="1"/>
  <c r="O27" i="1"/>
  <c r="Q27" i="1"/>
  <c r="R27" i="1"/>
  <c r="T27" i="1"/>
  <c r="U27" i="1"/>
  <c r="V27" i="1"/>
  <c r="X27" i="1"/>
  <c r="Y27" i="1"/>
  <c r="Z27" i="1"/>
  <c r="J28" i="1"/>
  <c r="K28" i="1"/>
  <c r="L28" i="1"/>
  <c r="N28" i="1"/>
  <c r="O28" i="1"/>
  <c r="Q28" i="1"/>
  <c r="R28" i="1"/>
  <c r="T28" i="1"/>
  <c r="U28" i="1"/>
  <c r="V28" i="1"/>
  <c r="X28" i="1"/>
  <c r="Y28" i="1"/>
  <c r="Z28" i="1"/>
  <c r="J29" i="1"/>
  <c r="K29" i="1"/>
  <c r="L29" i="1"/>
  <c r="N29" i="1"/>
  <c r="O29" i="1"/>
  <c r="Q29" i="1"/>
  <c r="R29" i="1"/>
  <c r="T29" i="1"/>
  <c r="U29" i="1"/>
  <c r="V29" i="1"/>
  <c r="X29" i="1"/>
  <c r="Y29" i="1"/>
  <c r="Z29" i="1"/>
  <c r="J30" i="1"/>
  <c r="K30" i="1"/>
  <c r="L30" i="1"/>
  <c r="N30" i="1"/>
  <c r="O30" i="1"/>
  <c r="Q30" i="1"/>
  <c r="R30" i="1"/>
  <c r="T30" i="1"/>
  <c r="U30" i="1"/>
  <c r="V30" i="1"/>
  <c r="X30" i="1"/>
  <c r="Y30" i="1"/>
  <c r="Z30" i="1"/>
  <c r="J31" i="1"/>
  <c r="K31" i="1"/>
  <c r="L31" i="1"/>
  <c r="N31" i="1"/>
  <c r="O31" i="1"/>
  <c r="Q31" i="1"/>
  <c r="R31" i="1"/>
  <c r="T31" i="1"/>
  <c r="U31" i="1"/>
  <c r="V31" i="1"/>
  <c r="X31" i="1"/>
  <c r="Y31" i="1"/>
  <c r="Z31" i="1"/>
  <c r="J32" i="1"/>
  <c r="K32" i="1"/>
  <c r="L32" i="1"/>
  <c r="N32" i="1"/>
  <c r="O32" i="1"/>
  <c r="Q32" i="1"/>
  <c r="R32" i="1"/>
  <c r="T32" i="1"/>
  <c r="U32" i="1"/>
  <c r="V32" i="1"/>
  <c r="X32" i="1"/>
  <c r="Y32" i="1"/>
  <c r="Z32" i="1"/>
  <c r="J33" i="1"/>
  <c r="K33" i="1"/>
  <c r="L33" i="1"/>
  <c r="N33" i="1"/>
  <c r="O33" i="1"/>
  <c r="Q33" i="1"/>
  <c r="R33" i="1"/>
  <c r="T33" i="1"/>
  <c r="U33" i="1"/>
  <c r="V33" i="1"/>
  <c r="X33" i="1"/>
  <c r="Y33" i="1"/>
  <c r="Z33" i="1"/>
  <c r="J34" i="1"/>
  <c r="K34" i="1"/>
  <c r="L34" i="1"/>
  <c r="N34" i="1"/>
  <c r="O34" i="1"/>
  <c r="Q34" i="1"/>
  <c r="R34" i="1"/>
  <c r="T34" i="1"/>
  <c r="U34" i="1"/>
  <c r="V34" i="1"/>
  <c r="X34" i="1"/>
  <c r="Y34" i="1"/>
  <c r="Z34" i="1"/>
  <c r="J35" i="1"/>
  <c r="K35" i="1"/>
  <c r="L35" i="1"/>
  <c r="N35" i="1"/>
  <c r="O35" i="1"/>
  <c r="Q35" i="1"/>
  <c r="R35" i="1"/>
  <c r="T35" i="1"/>
  <c r="U35" i="1"/>
  <c r="V35" i="1"/>
  <c r="X35" i="1"/>
  <c r="Y35" i="1"/>
  <c r="Z35" i="1"/>
  <c r="J36" i="1"/>
  <c r="K36" i="1"/>
  <c r="L36" i="1"/>
  <c r="N36" i="1"/>
  <c r="O36" i="1"/>
  <c r="Q36" i="1"/>
  <c r="R36" i="1"/>
  <c r="T36" i="1"/>
  <c r="U36" i="1"/>
  <c r="V36" i="1"/>
  <c r="X36" i="1"/>
  <c r="Y36" i="1"/>
  <c r="Z36" i="1"/>
  <c r="J37" i="1"/>
  <c r="K37" i="1"/>
  <c r="L37" i="1"/>
  <c r="N37" i="1"/>
  <c r="O37" i="1"/>
  <c r="Q37" i="1"/>
  <c r="R37" i="1"/>
  <c r="T37" i="1"/>
  <c r="U37" i="1"/>
  <c r="V37" i="1"/>
  <c r="X37" i="1"/>
  <c r="Y37" i="1"/>
  <c r="Z37" i="1"/>
  <c r="J38" i="1"/>
  <c r="K38" i="1"/>
  <c r="L38" i="1"/>
  <c r="N38" i="1"/>
  <c r="O38" i="1"/>
  <c r="Q38" i="1"/>
  <c r="R38" i="1"/>
  <c r="T38" i="1"/>
  <c r="U38" i="1"/>
  <c r="V38" i="1"/>
  <c r="X38" i="1"/>
  <c r="Y38" i="1"/>
  <c r="Z38" i="1"/>
  <c r="J39" i="1"/>
  <c r="K39" i="1"/>
  <c r="L39" i="1"/>
  <c r="N39" i="1"/>
  <c r="O39" i="1"/>
  <c r="Q39" i="1"/>
  <c r="R39" i="1"/>
  <c r="T39" i="1"/>
  <c r="U39" i="1"/>
  <c r="V39" i="1"/>
  <c r="X39" i="1"/>
  <c r="Y39" i="1"/>
  <c r="Z39" i="1"/>
  <c r="J40" i="1"/>
  <c r="K40" i="1"/>
  <c r="L40" i="1"/>
  <c r="N40" i="1"/>
  <c r="O40" i="1"/>
  <c r="Q40" i="1"/>
  <c r="R40" i="1"/>
  <c r="T40" i="1"/>
  <c r="U40" i="1"/>
  <c r="V40" i="1"/>
  <c r="X40" i="1"/>
  <c r="Y40" i="1"/>
  <c r="Z40" i="1"/>
  <c r="J41" i="1"/>
  <c r="K41" i="1"/>
  <c r="L41" i="1"/>
  <c r="N41" i="1"/>
  <c r="O41" i="1"/>
  <c r="Q41" i="1"/>
  <c r="R41" i="1"/>
  <c r="T41" i="1"/>
  <c r="U41" i="1"/>
  <c r="V41" i="1"/>
  <c r="X41" i="1"/>
  <c r="Y41" i="1"/>
  <c r="Z41" i="1"/>
  <c r="J42" i="1"/>
  <c r="K42" i="1"/>
  <c r="L42" i="1"/>
  <c r="N42" i="1"/>
  <c r="O42" i="1"/>
  <c r="Q42" i="1"/>
  <c r="R42" i="1"/>
  <c r="T42" i="1"/>
  <c r="U42" i="1"/>
  <c r="V42" i="1"/>
  <c r="X42" i="1"/>
  <c r="Y42" i="1"/>
  <c r="Z42" i="1"/>
  <c r="J43" i="1"/>
  <c r="K43" i="1"/>
  <c r="L43" i="1"/>
  <c r="N43" i="1"/>
  <c r="O43" i="1"/>
  <c r="Q43" i="1"/>
  <c r="R43" i="1"/>
  <c r="T43" i="1"/>
  <c r="U43" i="1"/>
  <c r="V43" i="1"/>
  <c r="X43" i="1"/>
  <c r="Y43" i="1"/>
  <c r="Z43" i="1"/>
  <c r="J44" i="1"/>
  <c r="K44" i="1"/>
  <c r="L44" i="1"/>
  <c r="N44" i="1"/>
  <c r="O44" i="1"/>
  <c r="Q44" i="1"/>
  <c r="R44" i="1"/>
  <c r="T44" i="1"/>
  <c r="U44" i="1"/>
  <c r="V44" i="1"/>
  <c r="X44" i="1"/>
  <c r="Y44" i="1"/>
  <c r="Z44" i="1"/>
  <c r="J45" i="1"/>
  <c r="K45" i="1"/>
  <c r="L45" i="1"/>
  <c r="N45" i="1"/>
  <c r="O45" i="1"/>
  <c r="Q45" i="1"/>
  <c r="R45" i="1"/>
  <c r="T45" i="1"/>
  <c r="U45" i="1"/>
  <c r="V45" i="1"/>
  <c r="X45" i="1"/>
  <c r="Y45" i="1"/>
  <c r="Z45" i="1"/>
  <c r="J46" i="1"/>
  <c r="K46" i="1"/>
  <c r="L46" i="1"/>
  <c r="N46" i="1"/>
  <c r="O46" i="1"/>
  <c r="Q46" i="1"/>
  <c r="R46" i="1"/>
  <c r="T46" i="1"/>
  <c r="U46" i="1"/>
  <c r="V46" i="1"/>
  <c r="X46" i="1"/>
  <c r="Y46" i="1"/>
  <c r="Z46" i="1"/>
  <c r="J47" i="1"/>
  <c r="K47" i="1"/>
  <c r="L47" i="1"/>
  <c r="N47" i="1"/>
  <c r="O47" i="1"/>
  <c r="Q47" i="1"/>
  <c r="R47" i="1"/>
  <c r="T47" i="1"/>
  <c r="U47" i="1"/>
  <c r="V47" i="1"/>
  <c r="X47" i="1"/>
  <c r="Y47" i="1"/>
  <c r="Z47" i="1"/>
  <c r="J48" i="1"/>
  <c r="K48" i="1"/>
  <c r="L48" i="1"/>
  <c r="N48" i="1"/>
  <c r="O48" i="1"/>
  <c r="Q48" i="1"/>
  <c r="R48" i="1"/>
  <c r="T48" i="1"/>
  <c r="U48" i="1"/>
  <c r="V48" i="1"/>
  <c r="X48" i="1"/>
  <c r="Y48" i="1"/>
  <c r="Z48" i="1"/>
  <c r="J49" i="1"/>
  <c r="K49" i="1"/>
  <c r="L49" i="1"/>
  <c r="N49" i="1"/>
  <c r="O49" i="1"/>
  <c r="Q49" i="1"/>
  <c r="R49" i="1"/>
  <c r="T49" i="1"/>
  <c r="U49" i="1"/>
  <c r="V49" i="1"/>
  <c r="X49" i="1"/>
  <c r="Y49" i="1"/>
  <c r="Z49" i="1"/>
  <c r="J50" i="1"/>
  <c r="K50" i="1"/>
  <c r="L50" i="1"/>
  <c r="N50" i="1"/>
  <c r="O50" i="1"/>
  <c r="Q50" i="1"/>
  <c r="R50" i="1"/>
  <c r="T50" i="1"/>
  <c r="U50" i="1"/>
  <c r="V50" i="1"/>
  <c r="X50" i="1"/>
  <c r="Y50" i="1"/>
  <c r="Z50" i="1"/>
  <c r="J51" i="1"/>
  <c r="K51" i="1"/>
  <c r="L51" i="1"/>
  <c r="N51" i="1"/>
  <c r="O51" i="1"/>
  <c r="Q51" i="1"/>
  <c r="R51" i="1"/>
  <c r="T51" i="1"/>
  <c r="U51" i="1"/>
  <c r="V51" i="1"/>
  <c r="X51" i="1"/>
  <c r="Y51" i="1"/>
  <c r="Z51" i="1"/>
  <c r="J52" i="1"/>
  <c r="K52" i="1"/>
  <c r="L52" i="1"/>
  <c r="N52" i="1"/>
  <c r="O52" i="1"/>
  <c r="Q52" i="1"/>
  <c r="R52" i="1"/>
  <c r="T52" i="1"/>
  <c r="U52" i="1"/>
  <c r="V52" i="1"/>
  <c r="X52" i="1"/>
  <c r="Y52" i="1"/>
  <c r="Z52" i="1"/>
  <c r="J53" i="1"/>
  <c r="K53" i="1"/>
  <c r="L53" i="1"/>
  <c r="N53" i="1"/>
  <c r="O53" i="1"/>
  <c r="Q53" i="1"/>
  <c r="R53" i="1"/>
  <c r="T53" i="1"/>
  <c r="U53" i="1"/>
  <c r="V53" i="1"/>
  <c r="X53" i="1"/>
  <c r="Y53" i="1"/>
  <c r="Z53" i="1"/>
  <c r="J54" i="1"/>
  <c r="K54" i="1"/>
  <c r="L54" i="1"/>
  <c r="N54" i="1"/>
  <c r="O54" i="1"/>
  <c r="Q54" i="1"/>
  <c r="R54" i="1"/>
  <c r="T54" i="1"/>
  <c r="U54" i="1"/>
  <c r="V54" i="1"/>
  <c r="X54" i="1"/>
  <c r="Y54" i="1"/>
  <c r="Z54" i="1"/>
  <c r="J55" i="1"/>
  <c r="K55" i="1"/>
  <c r="L55" i="1"/>
  <c r="N55" i="1"/>
  <c r="O55" i="1"/>
  <c r="Q55" i="1"/>
  <c r="R55" i="1"/>
  <c r="T55" i="1"/>
  <c r="U55" i="1"/>
  <c r="V55" i="1"/>
  <c r="X55" i="1"/>
  <c r="Y55" i="1"/>
  <c r="Z55" i="1"/>
  <c r="J56" i="1"/>
  <c r="K56" i="1"/>
  <c r="L56" i="1"/>
  <c r="N56" i="1"/>
  <c r="O56" i="1"/>
  <c r="Q56" i="1"/>
  <c r="R56" i="1"/>
  <c r="T56" i="1"/>
  <c r="U56" i="1"/>
  <c r="V56" i="1"/>
  <c r="X56" i="1"/>
  <c r="Y56" i="1"/>
  <c r="Z56" i="1"/>
  <c r="J57" i="1"/>
  <c r="K57" i="1"/>
  <c r="L57" i="1"/>
  <c r="N57" i="1"/>
  <c r="O57" i="1"/>
  <c r="Q57" i="1"/>
  <c r="R57" i="1"/>
  <c r="T57" i="1"/>
  <c r="U57" i="1"/>
  <c r="V57" i="1"/>
  <c r="X57" i="1"/>
  <c r="Y57" i="1"/>
  <c r="Z57" i="1"/>
  <c r="J58" i="1"/>
  <c r="K58" i="1"/>
  <c r="L58" i="1"/>
  <c r="N58" i="1"/>
  <c r="O58" i="1"/>
  <c r="Q58" i="1"/>
  <c r="R58" i="1"/>
  <c r="T58" i="1"/>
  <c r="U58" i="1"/>
  <c r="V58" i="1"/>
  <c r="X58" i="1"/>
  <c r="Y58" i="1"/>
  <c r="Z58" i="1"/>
  <c r="J59" i="1"/>
  <c r="K59" i="1"/>
  <c r="L59" i="1"/>
  <c r="N59" i="1"/>
  <c r="O59" i="1"/>
  <c r="Q59" i="1"/>
  <c r="R59" i="1"/>
  <c r="T59" i="1"/>
  <c r="U59" i="1"/>
  <c r="V59" i="1"/>
  <c r="X59" i="1"/>
  <c r="Y59" i="1"/>
  <c r="Z59" i="1"/>
  <c r="J60" i="1"/>
  <c r="K60" i="1"/>
  <c r="L60" i="1"/>
  <c r="N60" i="1"/>
  <c r="O60" i="1"/>
  <c r="Q60" i="1"/>
  <c r="R60" i="1"/>
  <c r="T60" i="1"/>
  <c r="U60" i="1"/>
  <c r="V60" i="1"/>
  <c r="X60" i="1"/>
  <c r="Y60" i="1"/>
  <c r="Z60" i="1"/>
  <c r="J61" i="1"/>
  <c r="K61" i="1"/>
  <c r="L61" i="1"/>
  <c r="N61" i="1"/>
  <c r="O61" i="1"/>
  <c r="Q61" i="1"/>
  <c r="R61" i="1"/>
  <c r="T61" i="1"/>
  <c r="U61" i="1"/>
  <c r="V61" i="1"/>
  <c r="X61" i="1"/>
  <c r="Y61" i="1"/>
  <c r="Z61" i="1"/>
  <c r="J62" i="1"/>
  <c r="K62" i="1"/>
  <c r="L62" i="1"/>
  <c r="N62" i="1"/>
  <c r="O62" i="1"/>
  <c r="Q62" i="1"/>
  <c r="R62" i="1"/>
  <c r="T62" i="1"/>
  <c r="U62" i="1"/>
  <c r="V62" i="1"/>
  <c r="X62" i="1"/>
  <c r="Y62" i="1"/>
  <c r="Z62" i="1"/>
  <c r="J63" i="1"/>
  <c r="K63" i="1"/>
  <c r="L63" i="1"/>
  <c r="N63" i="1"/>
  <c r="O63" i="1"/>
  <c r="Q63" i="1"/>
  <c r="R63" i="1"/>
  <c r="T63" i="1"/>
  <c r="U63" i="1"/>
  <c r="V63" i="1"/>
  <c r="X63" i="1"/>
  <c r="Y63" i="1"/>
  <c r="Z63" i="1"/>
  <c r="J64" i="1"/>
  <c r="K64" i="1"/>
  <c r="L64" i="1"/>
  <c r="N64" i="1"/>
  <c r="O64" i="1"/>
  <c r="Q64" i="1"/>
  <c r="R64" i="1"/>
  <c r="T64" i="1"/>
  <c r="U64" i="1"/>
  <c r="V64" i="1"/>
  <c r="X64" i="1"/>
  <c r="Y64" i="1"/>
  <c r="Z64" i="1"/>
  <c r="J65" i="1"/>
  <c r="K65" i="1"/>
  <c r="L65" i="1"/>
  <c r="N65" i="1"/>
  <c r="O65" i="1"/>
  <c r="Q65" i="1"/>
  <c r="R65" i="1"/>
  <c r="T65" i="1"/>
  <c r="U65" i="1"/>
  <c r="V65" i="1"/>
  <c r="X65" i="1"/>
  <c r="Y65" i="1"/>
  <c r="Z65" i="1"/>
  <c r="J66" i="1"/>
  <c r="K66" i="1"/>
  <c r="L66" i="1"/>
  <c r="N66" i="1"/>
  <c r="O66" i="1"/>
  <c r="Q66" i="1"/>
  <c r="R66" i="1"/>
  <c r="T66" i="1"/>
  <c r="U66" i="1"/>
  <c r="V66" i="1"/>
  <c r="X66" i="1"/>
  <c r="Y66" i="1"/>
  <c r="Z66" i="1"/>
  <c r="J67" i="1"/>
  <c r="K67" i="1"/>
  <c r="L67" i="1"/>
  <c r="N67" i="1"/>
  <c r="O67" i="1"/>
  <c r="Q67" i="1"/>
  <c r="R67" i="1"/>
  <c r="T67" i="1"/>
  <c r="U67" i="1"/>
  <c r="V67" i="1"/>
  <c r="X67" i="1"/>
  <c r="Y67" i="1"/>
  <c r="Z67" i="1"/>
  <c r="J68" i="1"/>
  <c r="K68" i="1"/>
  <c r="L68" i="1"/>
  <c r="N68" i="1"/>
  <c r="O68" i="1"/>
  <c r="Q68" i="1"/>
  <c r="R68" i="1"/>
  <c r="T68" i="1"/>
  <c r="U68" i="1"/>
  <c r="V68" i="1"/>
  <c r="X68" i="1"/>
  <c r="Y68" i="1"/>
  <c r="Z68" i="1"/>
  <c r="J69" i="1"/>
  <c r="K69" i="1"/>
  <c r="L69" i="1"/>
  <c r="N69" i="1"/>
  <c r="O69" i="1"/>
  <c r="Q69" i="1"/>
  <c r="R69" i="1"/>
  <c r="T69" i="1"/>
  <c r="U69" i="1"/>
  <c r="V69" i="1"/>
  <c r="X69" i="1"/>
  <c r="Y69" i="1"/>
  <c r="Z69" i="1"/>
  <c r="J70" i="1"/>
  <c r="K70" i="1"/>
  <c r="L70" i="1"/>
  <c r="N70" i="1"/>
  <c r="O70" i="1"/>
  <c r="Q70" i="1"/>
  <c r="R70" i="1"/>
  <c r="T70" i="1"/>
  <c r="U70" i="1"/>
  <c r="V70" i="1"/>
  <c r="X70" i="1"/>
  <c r="Y70" i="1"/>
  <c r="Z70" i="1"/>
  <c r="J71" i="1"/>
  <c r="K71" i="1"/>
  <c r="L71" i="1"/>
  <c r="N71" i="1"/>
  <c r="O71" i="1"/>
  <c r="Q71" i="1"/>
  <c r="R71" i="1"/>
  <c r="T71" i="1"/>
  <c r="U71" i="1"/>
  <c r="V71" i="1"/>
  <c r="X71" i="1"/>
  <c r="Y71" i="1"/>
  <c r="Z71" i="1"/>
  <c r="J72" i="1"/>
  <c r="K72" i="1"/>
  <c r="L72" i="1"/>
  <c r="N72" i="1"/>
  <c r="O72" i="1"/>
  <c r="Q72" i="1"/>
  <c r="R72" i="1"/>
  <c r="T72" i="1"/>
  <c r="U72" i="1"/>
  <c r="V72" i="1"/>
  <c r="X72" i="1"/>
  <c r="Y72" i="1"/>
  <c r="Z72" i="1"/>
  <c r="J73" i="1"/>
  <c r="K73" i="1"/>
  <c r="L73" i="1"/>
  <c r="N73" i="1"/>
  <c r="O73" i="1"/>
  <c r="Q73" i="1"/>
  <c r="R73" i="1"/>
  <c r="T73" i="1"/>
  <c r="U73" i="1"/>
  <c r="V73" i="1"/>
  <c r="X73" i="1"/>
  <c r="Y73" i="1"/>
  <c r="Z73" i="1"/>
  <c r="J74" i="1"/>
  <c r="K74" i="1"/>
  <c r="L74" i="1"/>
  <c r="N74" i="1"/>
  <c r="O74" i="1"/>
  <c r="Q74" i="1"/>
  <c r="R74" i="1"/>
  <c r="T74" i="1"/>
  <c r="U74" i="1"/>
  <c r="V74" i="1"/>
  <c r="X74" i="1"/>
  <c r="Y74" i="1"/>
  <c r="Z74" i="1"/>
  <c r="J75" i="1"/>
  <c r="K75" i="1"/>
  <c r="L75" i="1"/>
  <c r="N75" i="1"/>
  <c r="O75" i="1"/>
  <c r="Q75" i="1"/>
  <c r="R75" i="1"/>
  <c r="T75" i="1"/>
  <c r="U75" i="1"/>
  <c r="V75" i="1"/>
  <c r="X75" i="1"/>
  <c r="Y75" i="1"/>
  <c r="Z75" i="1"/>
  <c r="J76" i="1"/>
  <c r="K76" i="1"/>
  <c r="L76" i="1"/>
  <c r="N76" i="1"/>
  <c r="O76" i="1"/>
  <c r="Q76" i="1"/>
  <c r="R76" i="1"/>
  <c r="T76" i="1"/>
  <c r="U76" i="1"/>
  <c r="V76" i="1"/>
  <c r="X76" i="1"/>
  <c r="Y76" i="1"/>
  <c r="Z76" i="1"/>
  <c r="J77" i="1"/>
  <c r="K77" i="1"/>
  <c r="L77" i="1"/>
  <c r="N77" i="1"/>
  <c r="O77" i="1"/>
  <c r="Q77" i="1"/>
  <c r="R77" i="1"/>
  <c r="T77" i="1"/>
  <c r="U77" i="1"/>
  <c r="V77" i="1"/>
  <c r="X77" i="1"/>
  <c r="Y77" i="1"/>
  <c r="Z77" i="1"/>
  <c r="J78" i="1"/>
  <c r="K78" i="1"/>
  <c r="L78" i="1"/>
  <c r="N78" i="1"/>
  <c r="O78" i="1"/>
  <c r="Q78" i="1"/>
  <c r="R78" i="1"/>
  <c r="T78" i="1"/>
  <c r="U78" i="1"/>
  <c r="V78" i="1"/>
  <c r="X78" i="1"/>
  <c r="Y78" i="1"/>
  <c r="Z78" i="1"/>
  <c r="J79" i="1"/>
  <c r="K79" i="1"/>
  <c r="L79" i="1"/>
  <c r="N79" i="1"/>
  <c r="O79" i="1"/>
  <c r="Q79" i="1"/>
  <c r="R79" i="1"/>
  <c r="T79" i="1"/>
  <c r="U79" i="1"/>
  <c r="V79" i="1"/>
  <c r="X79" i="1"/>
  <c r="Y79" i="1"/>
  <c r="Z79" i="1"/>
  <c r="J80" i="1"/>
  <c r="K80" i="1"/>
  <c r="L80" i="1"/>
  <c r="N80" i="1"/>
  <c r="O80" i="1"/>
  <c r="Q80" i="1"/>
  <c r="R80" i="1"/>
  <c r="T80" i="1"/>
  <c r="U80" i="1"/>
  <c r="V80" i="1"/>
  <c r="X80" i="1"/>
  <c r="Y80" i="1"/>
  <c r="Z80" i="1"/>
  <c r="J81" i="1"/>
  <c r="K81" i="1"/>
  <c r="L81" i="1"/>
  <c r="N81" i="1"/>
  <c r="O81" i="1"/>
  <c r="Q81" i="1"/>
  <c r="R81" i="1"/>
  <c r="T81" i="1"/>
  <c r="U81" i="1"/>
  <c r="V81" i="1"/>
  <c r="X81" i="1"/>
  <c r="Y81" i="1"/>
  <c r="Z81" i="1"/>
  <c r="J82" i="1"/>
  <c r="K82" i="1"/>
  <c r="L82" i="1"/>
  <c r="N82" i="1"/>
  <c r="O82" i="1"/>
  <c r="Q82" i="1"/>
  <c r="R82" i="1"/>
  <c r="T82" i="1"/>
  <c r="U82" i="1"/>
  <c r="V82" i="1"/>
  <c r="X82" i="1"/>
  <c r="Y82" i="1"/>
  <c r="Z82" i="1"/>
  <c r="J83" i="1"/>
  <c r="K83" i="1"/>
  <c r="L83" i="1"/>
  <c r="N83" i="1"/>
  <c r="O83" i="1"/>
  <c r="Q83" i="1"/>
  <c r="R83" i="1"/>
  <c r="T83" i="1"/>
  <c r="U83" i="1"/>
  <c r="V83" i="1"/>
  <c r="X83" i="1"/>
  <c r="Y83" i="1"/>
  <c r="Z83" i="1"/>
  <c r="J84" i="1"/>
  <c r="K84" i="1"/>
  <c r="L84" i="1"/>
  <c r="N84" i="1"/>
  <c r="O84" i="1"/>
  <c r="Q84" i="1"/>
  <c r="R84" i="1"/>
  <c r="T84" i="1"/>
  <c r="U84" i="1"/>
  <c r="V84" i="1"/>
  <c r="X84" i="1"/>
  <c r="Y84" i="1"/>
  <c r="Z84" i="1"/>
  <c r="J85" i="1"/>
  <c r="K85" i="1"/>
  <c r="L85" i="1"/>
  <c r="N85" i="1"/>
  <c r="O85" i="1"/>
  <c r="Q85" i="1"/>
  <c r="R85" i="1"/>
  <c r="T85" i="1"/>
  <c r="U85" i="1"/>
  <c r="V85" i="1"/>
  <c r="X85" i="1"/>
  <c r="Y85" i="1"/>
  <c r="Z85" i="1"/>
  <c r="J86" i="1"/>
  <c r="K86" i="1"/>
  <c r="L86" i="1"/>
  <c r="N86" i="1"/>
  <c r="O86" i="1"/>
  <c r="Q86" i="1"/>
  <c r="R86" i="1"/>
  <c r="T86" i="1"/>
  <c r="U86" i="1"/>
  <c r="V86" i="1"/>
  <c r="X86" i="1"/>
  <c r="Y86" i="1"/>
  <c r="Z86" i="1"/>
  <c r="J87" i="1"/>
  <c r="K87" i="1"/>
  <c r="L87" i="1"/>
  <c r="N87" i="1"/>
  <c r="O87" i="1"/>
  <c r="Q87" i="1"/>
  <c r="R87" i="1"/>
  <c r="T87" i="1"/>
  <c r="U87" i="1"/>
  <c r="V87" i="1"/>
  <c r="X87" i="1"/>
  <c r="Y87" i="1"/>
  <c r="Z87" i="1"/>
  <c r="J88" i="1"/>
  <c r="K88" i="1"/>
  <c r="L88" i="1"/>
  <c r="N88" i="1"/>
  <c r="O88" i="1"/>
  <c r="Q88" i="1"/>
  <c r="R88" i="1"/>
  <c r="T88" i="1"/>
  <c r="U88" i="1"/>
  <c r="V88" i="1"/>
  <c r="X88" i="1"/>
  <c r="Y88" i="1"/>
  <c r="Z88" i="1"/>
  <c r="J89" i="1"/>
  <c r="K89" i="1"/>
  <c r="L89" i="1"/>
  <c r="N89" i="1"/>
  <c r="O89" i="1"/>
  <c r="Q89" i="1"/>
  <c r="R89" i="1"/>
  <c r="T89" i="1"/>
  <c r="U89" i="1"/>
  <c r="V89" i="1"/>
  <c r="X89" i="1"/>
  <c r="Y89" i="1"/>
  <c r="Z89" i="1"/>
  <c r="J90" i="1"/>
  <c r="K90" i="1"/>
  <c r="L90" i="1"/>
  <c r="N90" i="1"/>
  <c r="O90" i="1"/>
  <c r="Q90" i="1"/>
  <c r="R90" i="1"/>
  <c r="T90" i="1"/>
  <c r="U90" i="1"/>
  <c r="V90" i="1"/>
  <c r="X90" i="1"/>
  <c r="Y90" i="1"/>
  <c r="Z90" i="1"/>
  <c r="J91" i="1"/>
  <c r="K91" i="1"/>
  <c r="L91" i="1"/>
  <c r="N91" i="1"/>
  <c r="O91" i="1"/>
  <c r="Q91" i="1"/>
  <c r="R91" i="1"/>
  <c r="T91" i="1"/>
  <c r="U91" i="1"/>
  <c r="V91" i="1"/>
  <c r="X91" i="1"/>
  <c r="Y91" i="1"/>
  <c r="Z91" i="1"/>
  <c r="J92" i="1"/>
  <c r="K92" i="1"/>
  <c r="L92" i="1"/>
  <c r="N92" i="1"/>
  <c r="O92" i="1"/>
  <c r="Q92" i="1"/>
  <c r="R92" i="1"/>
  <c r="T92" i="1"/>
  <c r="U92" i="1"/>
  <c r="V92" i="1"/>
  <c r="X92" i="1"/>
  <c r="Y92" i="1"/>
  <c r="Z92" i="1"/>
  <c r="J93" i="1"/>
  <c r="K93" i="1"/>
  <c r="L93" i="1"/>
  <c r="N93" i="1"/>
  <c r="O93" i="1"/>
  <c r="Q93" i="1"/>
  <c r="R93" i="1"/>
  <c r="T93" i="1"/>
  <c r="U93" i="1"/>
  <c r="V93" i="1"/>
  <c r="X93" i="1"/>
  <c r="Y93" i="1"/>
  <c r="Z93" i="1"/>
  <c r="J94" i="1"/>
  <c r="K94" i="1"/>
  <c r="L94" i="1"/>
  <c r="N94" i="1"/>
  <c r="O94" i="1"/>
  <c r="Q94" i="1"/>
  <c r="R94" i="1"/>
  <c r="T94" i="1"/>
  <c r="U94" i="1"/>
  <c r="V94" i="1"/>
  <c r="X94" i="1"/>
  <c r="Y94" i="1"/>
  <c r="Z94" i="1"/>
  <c r="J95" i="1"/>
  <c r="K95" i="1"/>
  <c r="L95" i="1"/>
  <c r="N95" i="1"/>
  <c r="O95" i="1"/>
  <c r="Q95" i="1"/>
  <c r="R95" i="1"/>
  <c r="T95" i="1"/>
  <c r="U95" i="1"/>
  <c r="V95" i="1"/>
  <c r="X95" i="1"/>
  <c r="Y95" i="1"/>
  <c r="Z95" i="1"/>
  <c r="J96" i="1"/>
  <c r="K96" i="1"/>
  <c r="L96" i="1"/>
  <c r="N96" i="1"/>
  <c r="O96" i="1"/>
  <c r="Q96" i="1"/>
  <c r="R96" i="1"/>
  <c r="T96" i="1"/>
  <c r="U96" i="1"/>
  <c r="V96" i="1"/>
  <c r="X96" i="1"/>
  <c r="Y96" i="1"/>
  <c r="Z96" i="1"/>
  <c r="J97" i="1"/>
  <c r="K97" i="1"/>
  <c r="L97" i="1"/>
  <c r="N97" i="1"/>
  <c r="O97" i="1"/>
  <c r="Q97" i="1"/>
  <c r="R97" i="1"/>
  <c r="T97" i="1"/>
  <c r="U97" i="1"/>
  <c r="V97" i="1"/>
  <c r="X97" i="1"/>
  <c r="Y97" i="1"/>
  <c r="Z97" i="1"/>
  <c r="J98" i="1"/>
  <c r="K98" i="1"/>
  <c r="L98" i="1"/>
  <c r="N98" i="1"/>
  <c r="O98" i="1"/>
  <c r="Q98" i="1"/>
  <c r="R98" i="1"/>
  <c r="T98" i="1"/>
  <c r="U98" i="1"/>
  <c r="V98" i="1"/>
  <c r="X98" i="1"/>
  <c r="Y98" i="1"/>
  <c r="Z98" i="1"/>
  <c r="J99" i="1"/>
  <c r="K99" i="1"/>
  <c r="L99" i="1"/>
  <c r="N99" i="1"/>
  <c r="O99" i="1"/>
  <c r="Q99" i="1"/>
  <c r="R99" i="1"/>
  <c r="T99" i="1"/>
  <c r="U99" i="1"/>
  <c r="V99" i="1"/>
  <c r="X99" i="1"/>
  <c r="Y99" i="1"/>
  <c r="Z99" i="1"/>
  <c r="J100" i="1"/>
  <c r="K100" i="1"/>
  <c r="L100" i="1"/>
  <c r="N100" i="1"/>
  <c r="O100" i="1"/>
  <c r="Q100" i="1"/>
  <c r="R100" i="1"/>
  <c r="T100" i="1"/>
  <c r="U100" i="1"/>
  <c r="V100" i="1"/>
  <c r="X100" i="1"/>
  <c r="Y100" i="1"/>
  <c r="Z100" i="1"/>
  <c r="J101" i="1"/>
  <c r="K101" i="1"/>
  <c r="L101" i="1"/>
  <c r="N101" i="1"/>
  <c r="O101" i="1"/>
  <c r="Q101" i="1"/>
  <c r="R101" i="1"/>
  <c r="T101" i="1"/>
  <c r="U101" i="1"/>
  <c r="V101" i="1"/>
  <c r="X101" i="1"/>
  <c r="Y101" i="1"/>
  <c r="Z101" i="1"/>
  <c r="J102" i="1"/>
  <c r="K102" i="1"/>
  <c r="L102" i="1"/>
  <c r="N102" i="1"/>
  <c r="O102" i="1"/>
  <c r="Q102" i="1"/>
  <c r="R102" i="1"/>
  <c r="T102" i="1"/>
  <c r="U102" i="1"/>
  <c r="V102" i="1"/>
  <c r="X102" i="1"/>
  <c r="Y102" i="1"/>
  <c r="Z102" i="1"/>
  <c r="J103" i="1"/>
  <c r="K103" i="1"/>
  <c r="L103" i="1"/>
  <c r="N103" i="1"/>
  <c r="O103" i="1"/>
  <c r="Q103" i="1"/>
  <c r="R103" i="1"/>
  <c r="T103" i="1"/>
  <c r="U103" i="1"/>
  <c r="V103" i="1"/>
  <c r="X103" i="1"/>
  <c r="Y103" i="1"/>
  <c r="Z103" i="1"/>
  <c r="J104" i="1"/>
  <c r="K104" i="1"/>
  <c r="L104" i="1"/>
  <c r="N104" i="1"/>
  <c r="O104" i="1"/>
  <c r="Q104" i="1"/>
  <c r="R104" i="1"/>
  <c r="T104" i="1"/>
  <c r="U104" i="1"/>
  <c r="V104" i="1"/>
  <c r="X104" i="1"/>
  <c r="Y104" i="1"/>
  <c r="Z104" i="1"/>
  <c r="J105" i="1"/>
  <c r="K105" i="1"/>
  <c r="L105" i="1"/>
  <c r="N105" i="1"/>
  <c r="O105" i="1"/>
  <c r="Q105" i="1"/>
  <c r="R105" i="1"/>
  <c r="T105" i="1"/>
  <c r="U105" i="1"/>
  <c r="V105" i="1"/>
  <c r="X105" i="1"/>
  <c r="Y105" i="1"/>
  <c r="Z105" i="1"/>
  <c r="J106" i="1"/>
  <c r="K106" i="1"/>
  <c r="L106" i="1"/>
  <c r="N106" i="1"/>
  <c r="O106" i="1"/>
  <c r="Q106" i="1"/>
  <c r="R106" i="1"/>
  <c r="T106" i="1"/>
  <c r="U106" i="1"/>
  <c r="V106" i="1"/>
  <c r="X106" i="1"/>
  <c r="Y106" i="1"/>
  <c r="Z106" i="1"/>
  <c r="J107" i="1"/>
  <c r="K107" i="1"/>
  <c r="L107" i="1"/>
  <c r="N107" i="1"/>
  <c r="O107" i="1"/>
  <c r="Q107" i="1"/>
  <c r="R107" i="1"/>
  <c r="T107" i="1"/>
  <c r="U107" i="1"/>
  <c r="V107" i="1"/>
  <c r="X107" i="1"/>
  <c r="Y107" i="1"/>
  <c r="Z107" i="1"/>
  <c r="J108" i="1"/>
  <c r="K108" i="1"/>
  <c r="L108" i="1"/>
  <c r="N108" i="1"/>
  <c r="O108" i="1"/>
  <c r="Q108" i="1"/>
  <c r="R108" i="1"/>
  <c r="T108" i="1"/>
  <c r="U108" i="1"/>
  <c r="V108" i="1"/>
  <c r="X108" i="1"/>
  <c r="Y108" i="1"/>
  <c r="Z108" i="1"/>
  <c r="J109" i="1"/>
  <c r="K109" i="1"/>
  <c r="L109" i="1"/>
  <c r="N109" i="1"/>
  <c r="O109" i="1"/>
  <c r="Q109" i="1"/>
  <c r="R109" i="1"/>
  <c r="T109" i="1"/>
  <c r="U109" i="1"/>
  <c r="V109" i="1"/>
  <c r="X109" i="1"/>
  <c r="Y109" i="1"/>
  <c r="Z109" i="1"/>
  <c r="J110" i="1"/>
  <c r="K110" i="1"/>
  <c r="L110" i="1"/>
  <c r="N110" i="1"/>
  <c r="O110" i="1"/>
  <c r="Q110" i="1"/>
  <c r="R110" i="1"/>
  <c r="T110" i="1"/>
  <c r="U110" i="1"/>
  <c r="V110" i="1"/>
  <c r="X110" i="1"/>
  <c r="Y110" i="1"/>
  <c r="Z110" i="1"/>
  <c r="J111" i="1"/>
  <c r="K111" i="1"/>
  <c r="L111" i="1"/>
  <c r="N111" i="1"/>
  <c r="O111" i="1"/>
  <c r="Q111" i="1"/>
  <c r="R111" i="1"/>
  <c r="T111" i="1"/>
  <c r="U111" i="1"/>
  <c r="V111" i="1"/>
  <c r="X111" i="1"/>
  <c r="Y111" i="1"/>
  <c r="Z111" i="1"/>
  <c r="J112" i="1"/>
  <c r="K112" i="1"/>
  <c r="L112" i="1"/>
  <c r="N112" i="1"/>
  <c r="O112" i="1"/>
  <c r="Q112" i="1"/>
  <c r="R112" i="1"/>
  <c r="T112" i="1"/>
  <c r="U112" i="1"/>
  <c r="V112" i="1"/>
  <c r="X112" i="1"/>
  <c r="Y112" i="1"/>
  <c r="Z112" i="1"/>
  <c r="J113" i="1"/>
  <c r="K113" i="1"/>
  <c r="L113" i="1"/>
  <c r="N113" i="1"/>
  <c r="O113" i="1"/>
  <c r="Q113" i="1"/>
  <c r="R113" i="1"/>
  <c r="T113" i="1"/>
  <c r="U113" i="1"/>
  <c r="V113" i="1"/>
  <c r="X113" i="1"/>
  <c r="Y113" i="1"/>
  <c r="Z113" i="1"/>
  <c r="J114" i="1"/>
  <c r="K114" i="1"/>
  <c r="L114" i="1"/>
  <c r="N114" i="1"/>
  <c r="O114" i="1"/>
  <c r="Q114" i="1"/>
  <c r="R114" i="1"/>
  <c r="T114" i="1"/>
  <c r="U114" i="1"/>
  <c r="V114" i="1"/>
  <c r="X114" i="1"/>
  <c r="Y114" i="1"/>
  <c r="Z114" i="1"/>
  <c r="J115" i="1"/>
  <c r="K115" i="1"/>
  <c r="L115" i="1"/>
  <c r="N115" i="1"/>
  <c r="O115" i="1"/>
  <c r="Q115" i="1"/>
  <c r="R115" i="1"/>
  <c r="T115" i="1"/>
  <c r="U115" i="1"/>
  <c r="V115" i="1"/>
  <c r="X115" i="1"/>
  <c r="Y115" i="1"/>
  <c r="Z115" i="1"/>
  <c r="J116" i="1"/>
  <c r="K116" i="1"/>
  <c r="L116" i="1"/>
  <c r="N116" i="1"/>
  <c r="O116" i="1"/>
  <c r="Q116" i="1"/>
  <c r="R116" i="1"/>
  <c r="T116" i="1"/>
  <c r="U116" i="1"/>
  <c r="V116" i="1"/>
  <c r="X116" i="1"/>
  <c r="Y116" i="1"/>
  <c r="Z116" i="1"/>
  <c r="J117" i="1"/>
  <c r="K117" i="1"/>
  <c r="L117" i="1"/>
  <c r="N117" i="1"/>
  <c r="O117" i="1"/>
  <c r="Q117" i="1"/>
  <c r="R117" i="1"/>
  <c r="T117" i="1"/>
  <c r="U117" i="1"/>
  <c r="V117" i="1"/>
  <c r="X117" i="1"/>
  <c r="Y117" i="1"/>
  <c r="Z117" i="1"/>
  <c r="J118" i="1"/>
  <c r="K118" i="1"/>
  <c r="L118" i="1"/>
  <c r="N118" i="1"/>
  <c r="O118" i="1"/>
  <c r="Q118" i="1"/>
  <c r="R118" i="1"/>
  <c r="T118" i="1"/>
  <c r="U118" i="1"/>
  <c r="V118" i="1"/>
  <c r="X118" i="1"/>
  <c r="Y118" i="1"/>
  <c r="Z118" i="1"/>
  <c r="J119" i="1"/>
  <c r="K119" i="1"/>
  <c r="L119" i="1"/>
  <c r="N119" i="1"/>
  <c r="O119" i="1"/>
  <c r="Q119" i="1"/>
  <c r="R119" i="1"/>
  <c r="T119" i="1"/>
  <c r="U119" i="1"/>
  <c r="V119" i="1"/>
  <c r="X119" i="1"/>
  <c r="Y119" i="1"/>
  <c r="Z119" i="1"/>
  <c r="J120" i="1"/>
  <c r="K120" i="1"/>
  <c r="L120" i="1"/>
  <c r="N120" i="1"/>
  <c r="O120" i="1"/>
  <c r="Q120" i="1"/>
  <c r="R120" i="1"/>
  <c r="T120" i="1"/>
  <c r="U120" i="1"/>
  <c r="V120" i="1"/>
  <c r="X120" i="1"/>
  <c r="Y120" i="1"/>
  <c r="Z120" i="1"/>
  <c r="J121" i="1"/>
  <c r="K121" i="1"/>
  <c r="L121" i="1"/>
  <c r="N121" i="1"/>
  <c r="O121" i="1"/>
  <c r="Q121" i="1"/>
  <c r="R121" i="1"/>
  <c r="T121" i="1"/>
  <c r="U121" i="1"/>
  <c r="V121" i="1"/>
  <c r="X121" i="1"/>
  <c r="Y121" i="1"/>
  <c r="Z121" i="1"/>
  <c r="J122" i="1"/>
  <c r="K122" i="1"/>
  <c r="L122" i="1"/>
  <c r="N122" i="1"/>
  <c r="O122" i="1"/>
  <c r="Q122" i="1"/>
  <c r="R122" i="1"/>
  <c r="T122" i="1"/>
  <c r="U122" i="1"/>
  <c r="V122" i="1"/>
  <c r="X122" i="1"/>
  <c r="Y122" i="1"/>
  <c r="Z122" i="1"/>
  <c r="J123" i="1"/>
  <c r="K123" i="1"/>
  <c r="L123" i="1"/>
  <c r="N123" i="1"/>
  <c r="O123" i="1"/>
  <c r="Q123" i="1"/>
  <c r="R123" i="1"/>
  <c r="T123" i="1"/>
  <c r="U123" i="1"/>
  <c r="V123" i="1"/>
  <c r="X123" i="1"/>
  <c r="Y123" i="1"/>
  <c r="Z123" i="1"/>
  <c r="J124" i="1"/>
  <c r="K124" i="1"/>
  <c r="L124" i="1"/>
  <c r="N124" i="1"/>
  <c r="O124" i="1"/>
  <c r="Q124" i="1"/>
  <c r="R124" i="1"/>
  <c r="T124" i="1"/>
  <c r="U124" i="1"/>
  <c r="V124" i="1"/>
  <c r="X124" i="1"/>
  <c r="Y124" i="1"/>
  <c r="Z124" i="1"/>
  <c r="J125" i="1"/>
  <c r="K125" i="1"/>
  <c r="L125" i="1"/>
  <c r="N125" i="1"/>
  <c r="O125" i="1"/>
  <c r="Q125" i="1"/>
  <c r="R125" i="1"/>
  <c r="T125" i="1"/>
  <c r="U125" i="1"/>
  <c r="V125" i="1"/>
  <c r="X125" i="1"/>
  <c r="Y125" i="1"/>
  <c r="Z125" i="1"/>
  <c r="J126" i="1"/>
  <c r="K126" i="1"/>
  <c r="L126" i="1"/>
  <c r="N126" i="1"/>
  <c r="O126" i="1"/>
  <c r="Q126" i="1"/>
  <c r="R126" i="1"/>
  <c r="T126" i="1"/>
  <c r="U126" i="1"/>
  <c r="V126" i="1"/>
  <c r="X126" i="1"/>
  <c r="Y126" i="1"/>
  <c r="Z126" i="1"/>
  <c r="J127" i="1"/>
  <c r="K127" i="1"/>
  <c r="L127" i="1"/>
  <c r="N127" i="1"/>
  <c r="O127" i="1"/>
  <c r="Q127" i="1"/>
  <c r="R127" i="1"/>
  <c r="T127" i="1"/>
  <c r="U127" i="1"/>
  <c r="V127" i="1"/>
  <c r="X127" i="1"/>
  <c r="Y127" i="1"/>
  <c r="Z127" i="1"/>
  <c r="J128" i="1"/>
  <c r="K128" i="1"/>
  <c r="L128" i="1"/>
  <c r="N128" i="1"/>
  <c r="O128" i="1"/>
  <c r="Q128" i="1"/>
  <c r="R128" i="1"/>
  <c r="T128" i="1"/>
  <c r="U128" i="1"/>
  <c r="V128" i="1"/>
  <c r="X128" i="1"/>
  <c r="Y128" i="1"/>
  <c r="Z128" i="1"/>
  <c r="J129" i="1"/>
  <c r="K129" i="1"/>
  <c r="L129" i="1"/>
  <c r="N129" i="1"/>
  <c r="O129" i="1"/>
  <c r="Q129" i="1"/>
  <c r="R129" i="1"/>
  <c r="T129" i="1"/>
  <c r="U129" i="1"/>
  <c r="V129" i="1"/>
  <c r="X129" i="1"/>
  <c r="Y129" i="1"/>
  <c r="Z129" i="1"/>
  <c r="J130" i="1"/>
  <c r="K130" i="1"/>
  <c r="L130" i="1"/>
  <c r="N130" i="1"/>
  <c r="O130" i="1"/>
  <c r="Q130" i="1"/>
  <c r="R130" i="1"/>
  <c r="T130" i="1"/>
  <c r="U130" i="1"/>
  <c r="V130" i="1"/>
  <c r="X130" i="1"/>
  <c r="Y130" i="1"/>
  <c r="Z130" i="1"/>
  <c r="J131" i="1"/>
  <c r="K131" i="1"/>
  <c r="L131" i="1"/>
  <c r="N131" i="1"/>
  <c r="O131" i="1"/>
  <c r="Q131" i="1"/>
  <c r="R131" i="1"/>
  <c r="T131" i="1"/>
  <c r="U131" i="1"/>
  <c r="V131" i="1"/>
  <c r="X131" i="1"/>
  <c r="Y131" i="1"/>
  <c r="Z131" i="1"/>
  <c r="J132" i="1"/>
  <c r="K132" i="1"/>
  <c r="L132" i="1"/>
  <c r="N132" i="1"/>
  <c r="O132" i="1"/>
  <c r="Q132" i="1"/>
  <c r="R132" i="1"/>
  <c r="T132" i="1"/>
  <c r="U132" i="1"/>
  <c r="V132" i="1"/>
  <c r="X132" i="1"/>
  <c r="Y132" i="1"/>
  <c r="Z132" i="1"/>
  <c r="J133" i="1"/>
  <c r="K133" i="1"/>
  <c r="L133" i="1"/>
  <c r="N133" i="1"/>
  <c r="O133" i="1"/>
  <c r="Q133" i="1"/>
  <c r="R133" i="1"/>
  <c r="T133" i="1"/>
  <c r="U133" i="1"/>
  <c r="V133" i="1"/>
  <c r="X133" i="1"/>
  <c r="Y133" i="1"/>
  <c r="Z133" i="1"/>
  <c r="J134" i="1"/>
  <c r="K134" i="1"/>
  <c r="L134" i="1"/>
  <c r="N134" i="1"/>
  <c r="O134" i="1"/>
  <c r="Q134" i="1"/>
  <c r="R134" i="1"/>
  <c r="T134" i="1"/>
  <c r="U134" i="1"/>
  <c r="V134" i="1"/>
  <c r="X134" i="1"/>
  <c r="Y134" i="1"/>
  <c r="Z134" i="1"/>
  <c r="J135" i="1"/>
  <c r="K135" i="1"/>
  <c r="L135" i="1"/>
  <c r="N135" i="1"/>
  <c r="O135" i="1"/>
  <c r="Q135" i="1"/>
  <c r="R135" i="1"/>
  <c r="T135" i="1"/>
  <c r="U135" i="1"/>
  <c r="V135" i="1"/>
  <c r="X135" i="1"/>
  <c r="Y135" i="1"/>
  <c r="Z135" i="1"/>
  <c r="J136" i="1"/>
  <c r="K136" i="1"/>
  <c r="L136" i="1"/>
  <c r="N136" i="1"/>
  <c r="O136" i="1"/>
  <c r="Q136" i="1"/>
  <c r="R136" i="1"/>
  <c r="T136" i="1"/>
  <c r="U136" i="1"/>
  <c r="V136" i="1"/>
  <c r="X136" i="1"/>
  <c r="Y136" i="1"/>
  <c r="Z136" i="1"/>
  <c r="J137" i="1"/>
  <c r="K137" i="1"/>
  <c r="L137" i="1"/>
  <c r="N137" i="1"/>
  <c r="O137" i="1"/>
  <c r="Q137" i="1"/>
  <c r="R137" i="1"/>
  <c r="T137" i="1"/>
  <c r="U137" i="1"/>
  <c r="V137" i="1"/>
  <c r="X137" i="1"/>
  <c r="Y137" i="1"/>
  <c r="Z137" i="1"/>
  <c r="J138" i="1"/>
  <c r="K138" i="1"/>
  <c r="L138" i="1"/>
  <c r="N138" i="1"/>
  <c r="O138" i="1"/>
  <c r="Q138" i="1"/>
  <c r="R138" i="1"/>
  <c r="T138" i="1"/>
  <c r="U138" i="1"/>
  <c r="V138" i="1"/>
  <c r="X138" i="1"/>
  <c r="Y138" i="1"/>
  <c r="Z138" i="1"/>
  <c r="J139" i="1"/>
  <c r="K139" i="1"/>
  <c r="L139" i="1"/>
  <c r="N139" i="1"/>
  <c r="O139" i="1"/>
  <c r="Q139" i="1"/>
  <c r="R139" i="1"/>
  <c r="T139" i="1"/>
  <c r="U139" i="1"/>
  <c r="V139" i="1"/>
  <c r="X139" i="1"/>
  <c r="Y139" i="1"/>
  <c r="Z139" i="1"/>
  <c r="J140" i="1"/>
  <c r="K140" i="1"/>
  <c r="L140" i="1"/>
  <c r="N140" i="1"/>
  <c r="O140" i="1"/>
  <c r="Q140" i="1"/>
  <c r="R140" i="1"/>
  <c r="T140" i="1"/>
  <c r="U140" i="1"/>
  <c r="V140" i="1"/>
  <c r="X140" i="1"/>
  <c r="Y140" i="1"/>
  <c r="Z140" i="1"/>
  <c r="J141" i="1"/>
  <c r="K141" i="1"/>
  <c r="L141" i="1"/>
  <c r="N141" i="1"/>
  <c r="O141" i="1"/>
  <c r="Q141" i="1"/>
  <c r="R141" i="1"/>
  <c r="T141" i="1"/>
  <c r="U141" i="1"/>
  <c r="V141" i="1"/>
  <c r="X141" i="1"/>
  <c r="Y141" i="1"/>
  <c r="Z141" i="1"/>
  <c r="J142" i="1"/>
  <c r="K142" i="1"/>
  <c r="L142" i="1"/>
  <c r="N142" i="1"/>
  <c r="O142" i="1"/>
  <c r="Q142" i="1"/>
  <c r="R142" i="1"/>
  <c r="T142" i="1"/>
  <c r="U142" i="1"/>
  <c r="V142" i="1"/>
  <c r="X142" i="1"/>
  <c r="Y142" i="1"/>
  <c r="Z142" i="1"/>
  <c r="J143" i="1"/>
  <c r="K143" i="1"/>
  <c r="L143" i="1"/>
  <c r="N143" i="1"/>
  <c r="O143" i="1"/>
  <c r="Q143" i="1"/>
  <c r="R143" i="1"/>
  <c r="T143" i="1"/>
  <c r="U143" i="1"/>
  <c r="V143" i="1"/>
  <c r="X143" i="1"/>
  <c r="Y143" i="1"/>
  <c r="Z143" i="1"/>
  <c r="J144" i="1"/>
  <c r="K144" i="1"/>
  <c r="L144" i="1"/>
  <c r="N144" i="1"/>
  <c r="O144" i="1"/>
  <c r="Q144" i="1"/>
  <c r="R144" i="1"/>
  <c r="T144" i="1"/>
  <c r="U144" i="1"/>
  <c r="V144" i="1"/>
  <c r="X144" i="1"/>
  <c r="Y144" i="1"/>
  <c r="Z144" i="1"/>
  <c r="J145" i="1"/>
  <c r="K145" i="1"/>
  <c r="L145" i="1"/>
  <c r="N145" i="1"/>
  <c r="O145" i="1"/>
  <c r="Q145" i="1"/>
  <c r="R145" i="1"/>
  <c r="T145" i="1"/>
  <c r="U145" i="1"/>
  <c r="V145" i="1"/>
  <c r="X145" i="1"/>
  <c r="Y145" i="1"/>
  <c r="Z145" i="1"/>
  <c r="J146" i="1"/>
  <c r="K146" i="1"/>
  <c r="L146" i="1"/>
  <c r="N146" i="1"/>
  <c r="O146" i="1"/>
  <c r="Q146" i="1"/>
  <c r="R146" i="1"/>
  <c r="T146" i="1"/>
  <c r="U146" i="1"/>
  <c r="V146" i="1"/>
  <c r="X146" i="1"/>
  <c r="Y146" i="1"/>
  <c r="Z146" i="1"/>
  <c r="J147" i="1"/>
  <c r="K147" i="1"/>
  <c r="L147" i="1"/>
  <c r="N147" i="1"/>
  <c r="O147" i="1"/>
  <c r="Q147" i="1"/>
  <c r="R147" i="1"/>
  <c r="T147" i="1"/>
  <c r="U147" i="1"/>
  <c r="V147" i="1"/>
  <c r="X147" i="1"/>
  <c r="Y147" i="1"/>
  <c r="Z147" i="1"/>
  <c r="J148" i="1"/>
  <c r="K148" i="1"/>
  <c r="L148" i="1"/>
  <c r="N148" i="1"/>
  <c r="O148" i="1"/>
  <c r="Q148" i="1"/>
  <c r="R148" i="1"/>
  <c r="T148" i="1"/>
  <c r="U148" i="1"/>
  <c r="V148" i="1"/>
  <c r="X148" i="1"/>
  <c r="Y148" i="1"/>
  <c r="Z148" i="1"/>
  <c r="J149" i="1"/>
  <c r="K149" i="1"/>
  <c r="L149" i="1"/>
  <c r="N149" i="1"/>
  <c r="O149" i="1"/>
  <c r="Q149" i="1"/>
  <c r="R149" i="1"/>
  <c r="T149" i="1"/>
  <c r="U149" i="1"/>
  <c r="V149" i="1"/>
  <c r="X149" i="1"/>
  <c r="Y149" i="1"/>
  <c r="Z149" i="1"/>
  <c r="J150" i="1"/>
  <c r="K150" i="1"/>
  <c r="L150" i="1"/>
  <c r="N150" i="1"/>
  <c r="O150" i="1"/>
  <c r="Q150" i="1"/>
  <c r="R150" i="1"/>
  <c r="T150" i="1"/>
  <c r="U150" i="1"/>
  <c r="V150" i="1"/>
  <c r="X150" i="1"/>
  <c r="Y150" i="1"/>
  <c r="Z150" i="1"/>
  <c r="J151" i="1"/>
  <c r="K151" i="1"/>
  <c r="L151" i="1"/>
  <c r="N151" i="1"/>
  <c r="O151" i="1"/>
  <c r="Q151" i="1"/>
  <c r="R151" i="1"/>
  <c r="T151" i="1"/>
  <c r="U151" i="1"/>
  <c r="V151" i="1"/>
  <c r="X151" i="1"/>
  <c r="Y151" i="1"/>
  <c r="Z151" i="1"/>
  <c r="J152" i="1"/>
  <c r="K152" i="1"/>
  <c r="L152" i="1"/>
  <c r="N152" i="1"/>
  <c r="O152" i="1"/>
  <c r="Q152" i="1"/>
  <c r="R152" i="1"/>
  <c r="T152" i="1"/>
  <c r="U152" i="1"/>
  <c r="V152" i="1"/>
  <c r="X152" i="1"/>
  <c r="Y152" i="1"/>
  <c r="Z152" i="1"/>
  <c r="J153" i="1"/>
  <c r="K153" i="1"/>
  <c r="L153" i="1"/>
  <c r="N153" i="1"/>
  <c r="O153" i="1"/>
  <c r="Q153" i="1"/>
  <c r="R153" i="1"/>
  <c r="T153" i="1"/>
  <c r="U153" i="1"/>
  <c r="V153" i="1"/>
  <c r="X153" i="1"/>
  <c r="Y153" i="1"/>
  <c r="Z153" i="1"/>
  <c r="J154" i="1"/>
  <c r="K154" i="1"/>
  <c r="L154" i="1"/>
  <c r="N154" i="1"/>
  <c r="O154" i="1"/>
  <c r="Q154" i="1"/>
  <c r="R154" i="1"/>
  <c r="T154" i="1"/>
  <c r="U154" i="1"/>
  <c r="V154" i="1"/>
  <c r="X154" i="1"/>
  <c r="Y154" i="1"/>
  <c r="Z154" i="1"/>
  <c r="J155" i="1"/>
  <c r="K155" i="1"/>
  <c r="L155" i="1"/>
  <c r="N155" i="1"/>
  <c r="O155" i="1"/>
  <c r="Q155" i="1"/>
  <c r="R155" i="1"/>
  <c r="T155" i="1"/>
  <c r="U155" i="1"/>
  <c r="V155" i="1"/>
  <c r="X155" i="1"/>
  <c r="Y155" i="1"/>
  <c r="Z155" i="1"/>
  <c r="J156" i="1"/>
  <c r="K156" i="1"/>
  <c r="L156" i="1"/>
  <c r="N156" i="1"/>
  <c r="O156" i="1"/>
  <c r="Q156" i="1"/>
  <c r="R156" i="1"/>
  <c r="T156" i="1"/>
  <c r="U156" i="1"/>
  <c r="V156" i="1"/>
  <c r="X156" i="1"/>
  <c r="Y156" i="1"/>
  <c r="Z156" i="1"/>
  <c r="J157" i="1"/>
  <c r="K157" i="1"/>
  <c r="L157" i="1"/>
  <c r="N157" i="1"/>
  <c r="O157" i="1"/>
  <c r="Q157" i="1"/>
  <c r="R157" i="1"/>
  <c r="T157" i="1"/>
  <c r="U157" i="1"/>
  <c r="V157" i="1"/>
  <c r="X157" i="1"/>
  <c r="Y157" i="1"/>
  <c r="Z157" i="1"/>
  <c r="J158" i="1"/>
  <c r="K158" i="1"/>
  <c r="L158" i="1"/>
  <c r="N158" i="1"/>
  <c r="O158" i="1"/>
  <c r="Q158" i="1"/>
  <c r="R158" i="1"/>
  <c r="T158" i="1"/>
  <c r="U158" i="1"/>
  <c r="V158" i="1"/>
  <c r="X158" i="1"/>
  <c r="Y158" i="1"/>
  <c r="Z158" i="1"/>
  <c r="J159" i="1"/>
  <c r="K159" i="1"/>
  <c r="L159" i="1"/>
  <c r="N159" i="1"/>
  <c r="O159" i="1"/>
  <c r="Q159" i="1"/>
  <c r="R159" i="1"/>
  <c r="T159" i="1"/>
  <c r="U159" i="1"/>
  <c r="V159" i="1"/>
  <c r="X159" i="1"/>
  <c r="Y159" i="1"/>
  <c r="Z159" i="1"/>
  <c r="J160" i="1"/>
  <c r="K160" i="1"/>
  <c r="L160" i="1"/>
  <c r="N160" i="1"/>
  <c r="O160" i="1"/>
  <c r="Q160" i="1"/>
  <c r="R160" i="1"/>
  <c r="T160" i="1"/>
  <c r="U160" i="1"/>
  <c r="V160" i="1"/>
  <c r="X160" i="1"/>
  <c r="Y160" i="1"/>
  <c r="Z160" i="1"/>
  <c r="J161" i="1"/>
  <c r="K161" i="1"/>
  <c r="L161" i="1"/>
  <c r="N161" i="1"/>
  <c r="O161" i="1"/>
  <c r="Q161" i="1"/>
  <c r="R161" i="1"/>
  <c r="T161" i="1"/>
  <c r="U161" i="1"/>
  <c r="V161" i="1"/>
  <c r="X161" i="1"/>
  <c r="Y161" i="1"/>
  <c r="Z161" i="1"/>
  <c r="J162" i="1"/>
  <c r="K162" i="1"/>
  <c r="L162" i="1"/>
  <c r="N162" i="1"/>
  <c r="O162" i="1"/>
  <c r="Q162" i="1"/>
  <c r="R162" i="1"/>
  <c r="T162" i="1"/>
  <c r="U162" i="1"/>
  <c r="V162" i="1"/>
  <c r="X162" i="1"/>
  <c r="Y162" i="1"/>
  <c r="Z162" i="1"/>
  <c r="J163" i="1"/>
  <c r="K163" i="1"/>
  <c r="L163" i="1"/>
  <c r="N163" i="1"/>
  <c r="O163" i="1"/>
  <c r="Q163" i="1"/>
  <c r="R163" i="1"/>
  <c r="T163" i="1"/>
  <c r="U163" i="1"/>
  <c r="V163" i="1"/>
  <c r="X163" i="1"/>
  <c r="Y163" i="1"/>
  <c r="Z163" i="1"/>
  <c r="J164" i="1"/>
  <c r="K164" i="1"/>
  <c r="L164" i="1"/>
  <c r="N164" i="1"/>
  <c r="O164" i="1"/>
  <c r="Q164" i="1"/>
  <c r="R164" i="1"/>
  <c r="T164" i="1"/>
  <c r="U164" i="1"/>
  <c r="V164" i="1"/>
  <c r="X164" i="1"/>
  <c r="Y164" i="1"/>
  <c r="Z164" i="1"/>
  <c r="J165" i="1"/>
  <c r="K165" i="1"/>
  <c r="L165" i="1"/>
  <c r="N165" i="1"/>
  <c r="O165" i="1"/>
  <c r="Q165" i="1"/>
  <c r="R165" i="1"/>
  <c r="T165" i="1"/>
  <c r="U165" i="1"/>
  <c r="V165" i="1"/>
  <c r="X165" i="1"/>
  <c r="Y165" i="1"/>
  <c r="Z165" i="1"/>
  <c r="J166" i="1"/>
  <c r="K166" i="1"/>
  <c r="L166" i="1"/>
  <c r="N166" i="1"/>
  <c r="O166" i="1"/>
  <c r="Q166" i="1"/>
  <c r="R166" i="1"/>
  <c r="T166" i="1"/>
  <c r="U166" i="1"/>
  <c r="V166" i="1"/>
  <c r="X166" i="1"/>
  <c r="Y166" i="1"/>
  <c r="Z166" i="1"/>
  <c r="J167" i="1"/>
  <c r="K167" i="1"/>
  <c r="L167" i="1"/>
  <c r="N167" i="1"/>
  <c r="O167" i="1"/>
  <c r="Q167" i="1"/>
  <c r="R167" i="1"/>
  <c r="T167" i="1"/>
  <c r="U167" i="1"/>
  <c r="V167" i="1"/>
  <c r="X167" i="1"/>
  <c r="Y167" i="1"/>
  <c r="Z167" i="1"/>
  <c r="J168" i="1"/>
  <c r="K168" i="1"/>
  <c r="L168" i="1"/>
  <c r="N168" i="1"/>
  <c r="O168" i="1"/>
  <c r="Q168" i="1"/>
  <c r="R168" i="1"/>
  <c r="T168" i="1"/>
  <c r="U168" i="1"/>
  <c r="V168" i="1"/>
  <c r="X168" i="1"/>
  <c r="Y168" i="1"/>
  <c r="Z168" i="1"/>
  <c r="J169" i="1"/>
  <c r="K169" i="1"/>
  <c r="L169" i="1"/>
  <c r="N169" i="1"/>
  <c r="O169" i="1"/>
  <c r="Q169" i="1"/>
  <c r="R169" i="1"/>
  <c r="T169" i="1"/>
  <c r="U169" i="1"/>
  <c r="V169" i="1"/>
  <c r="X169" i="1"/>
  <c r="Y169" i="1"/>
  <c r="Z169" i="1"/>
  <c r="J170" i="1"/>
  <c r="K170" i="1"/>
  <c r="L170" i="1"/>
  <c r="N170" i="1"/>
  <c r="O170" i="1"/>
  <c r="Q170" i="1"/>
  <c r="R170" i="1"/>
  <c r="T170" i="1"/>
  <c r="U170" i="1"/>
  <c r="V170" i="1"/>
  <c r="X170" i="1"/>
  <c r="Y170" i="1"/>
  <c r="Z170" i="1"/>
  <c r="J171" i="1"/>
  <c r="K171" i="1"/>
  <c r="L171" i="1"/>
  <c r="N171" i="1"/>
  <c r="O171" i="1"/>
  <c r="Q171" i="1"/>
  <c r="R171" i="1"/>
  <c r="T171" i="1"/>
  <c r="U171" i="1"/>
  <c r="V171" i="1"/>
  <c r="X171" i="1"/>
  <c r="Y171" i="1"/>
  <c r="Z171" i="1"/>
  <c r="J172" i="1"/>
  <c r="K172" i="1"/>
  <c r="L172" i="1"/>
  <c r="N172" i="1"/>
  <c r="O172" i="1"/>
  <c r="Q172" i="1"/>
  <c r="R172" i="1"/>
  <c r="T172" i="1"/>
  <c r="U172" i="1"/>
  <c r="V172" i="1"/>
  <c r="X172" i="1"/>
  <c r="Y172" i="1"/>
  <c r="Z172" i="1"/>
  <c r="J173" i="1"/>
  <c r="K173" i="1"/>
  <c r="L173" i="1"/>
  <c r="N173" i="1"/>
  <c r="O173" i="1"/>
  <c r="Q173" i="1"/>
  <c r="R173" i="1"/>
  <c r="T173" i="1"/>
  <c r="U173" i="1"/>
  <c r="V173" i="1"/>
  <c r="X173" i="1"/>
  <c r="Y173" i="1"/>
  <c r="Z173" i="1"/>
  <c r="J174" i="1"/>
  <c r="K174" i="1"/>
  <c r="L174" i="1"/>
  <c r="N174" i="1"/>
  <c r="O174" i="1"/>
  <c r="Q174" i="1"/>
  <c r="R174" i="1"/>
  <c r="T174" i="1"/>
  <c r="U174" i="1"/>
  <c r="V174" i="1"/>
  <c r="X174" i="1"/>
  <c r="Y174" i="1"/>
  <c r="Z174" i="1"/>
  <c r="J175" i="1"/>
  <c r="K175" i="1"/>
  <c r="L175" i="1"/>
  <c r="N175" i="1"/>
  <c r="O175" i="1"/>
  <c r="Q175" i="1"/>
  <c r="R175" i="1"/>
  <c r="T175" i="1"/>
  <c r="U175" i="1"/>
  <c r="V175" i="1"/>
  <c r="X175" i="1"/>
  <c r="Y175" i="1"/>
  <c r="Z175" i="1"/>
  <c r="J176" i="1"/>
  <c r="K176" i="1"/>
  <c r="L176" i="1"/>
  <c r="N176" i="1"/>
  <c r="O176" i="1"/>
  <c r="Q176" i="1"/>
  <c r="R176" i="1"/>
  <c r="T176" i="1"/>
  <c r="U176" i="1"/>
  <c r="V176" i="1"/>
  <c r="X176" i="1"/>
  <c r="Y176" i="1"/>
  <c r="Z176" i="1"/>
  <c r="J177" i="1"/>
  <c r="K177" i="1"/>
  <c r="L177" i="1"/>
  <c r="N177" i="1"/>
  <c r="O177" i="1"/>
  <c r="Q177" i="1"/>
  <c r="R177" i="1"/>
  <c r="T177" i="1"/>
  <c r="U177" i="1"/>
  <c r="V177" i="1"/>
  <c r="X177" i="1"/>
  <c r="Y177" i="1"/>
  <c r="Z177" i="1"/>
  <c r="J178" i="1"/>
  <c r="K178" i="1"/>
  <c r="L178" i="1"/>
  <c r="N178" i="1"/>
  <c r="O178" i="1"/>
  <c r="Q178" i="1"/>
  <c r="R178" i="1"/>
  <c r="T178" i="1"/>
  <c r="U178" i="1"/>
  <c r="V178" i="1"/>
  <c r="X178" i="1"/>
  <c r="Y178" i="1"/>
  <c r="Z178" i="1"/>
  <c r="J179" i="1"/>
  <c r="K179" i="1"/>
  <c r="L179" i="1"/>
  <c r="N179" i="1"/>
  <c r="O179" i="1"/>
  <c r="Q179" i="1"/>
  <c r="R179" i="1"/>
  <c r="T179" i="1"/>
  <c r="U179" i="1"/>
  <c r="V179" i="1"/>
  <c r="X179" i="1"/>
  <c r="Y179" i="1"/>
  <c r="Z179" i="1"/>
  <c r="J180" i="1"/>
  <c r="K180" i="1"/>
  <c r="L180" i="1"/>
  <c r="N180" i="1"/>
  <c r="O180" i="1"/>
  <c r="Q180" i="1"/>
  <c r="R180" i="1"/>
  <c r="T180" i="1"/>
  <c r="U180" i="1"/>
  <c r="V180" i="1"/>
  <c r="X180" i="1"/>
  <c r="Y180" i="1"/>
  <c r="Z180" i="1"/>
  <c r="J181" i="1"/>
  <c r="K181" i="1"/>
  <c r="L181" i="1"/>
  <c r="N181" i="1"/>
  <c r="O181" i="1"/>
  <c r="Q181" i="1"/>
  <c r="R181" i="1"/>
  <c r="T181" i="1"/>
  <c r="U181" i="1"/>
  <c r="V181" i="1"/>
  <c r="X181" i="1"/>
  <c r="Y181" i="1"/>
  <c r="Z181" i="1"/>
  <c r="J182" i="1"/>
  <c r="K182" i="1"/>
  <c r="L182" i="1"/>
  <c r="N182" i="1"/>
  <c r="O182" i="1"/>
  <c r="Q182" i="1"/>
  <c r="R182" i="1"/>
  <c r="T182" i="1"/>
  <c r="U182" i="1"/>
  <c r="V182" i="1"/>
  <c r="X182" i="1"/>
  <c r="Y182" i="1"/>
  <c r="Z182" i="1"/>
  <c r="J183" i="1"/>
  <c r="K183" i="1"/>
  <c r="L183" i="1"/>
  <c r="N183" i="1"/>
  <c r="O183" i="1"/>
  <c r="Q183" i="1"/>
  <c r="R183" i="1"/>
  <c r="T183" i="1"/>
  <c r="U183" i="1"/>
  <c r="V183" i="1"/>
  <c r="X183" i="1"/>
  <c r="Y183" i="1"/>
  <c r="Z183" i="1"/>
  <c r="J184" i="1"/>
  <c r="K184" i="1"/>
  <c r="L184" i="1"/>
  <c r="N184" i="1"/>
  <c r="O184" i="1"/>
  <c r="Q184" i="1"/>
  <c r="R184" i="1"/>
  <c r="T184" i="1"/>
  <c r="U184" i="1"/>
  <c r="V184" i="1"/>
  <c r="X184" i="1"/>
  <c r="Y184" i="1"/>
  <c r="Z184" i="1"/>
  <c r="J185" i="1"/>
  <c r="K185" i="1"/>
  <c r="L185" i="1"/>
  <c r="N185" i="1"/>
  <c r="O185" i="1"/>
  <c r="Q185" i="1"/>
  <c r="R185" i="1"/>
  <c r="T185" i="1"/>
  <c r="U185" i="1"/>
  <c r="V185" i="1"/>
  <c r="X185" i="1"/>
  <c r="Y185" i="1"/>
  <c r="Z185" i="1"/>
  <c r="J186" i="1"/>
  <c r="K186" i="1"/>
  <c r="L186" i="1"/>
  <c r="N186" i="1"/>
  <c r="O186" i="1"/>
  <c r="Q186" i="1"/>
  <c r="R186" i="1"/>
  <c r="T186" i="1"/>
  <c r="U186" i="1"/>
  <c r="V186" i="1"/>
  <c r="X186" i="1"/>
  <c r="Y186" i="1"/>
  <c r="Z186" i="1"/>
  <c r="J187" i="1"/>
  <c r="K187" i="1"/>
  <c r="L187" i="1"/>
  <c r="N187" i="1"/>
  <c r="O187" i="1"/>
  <c r="Q187" i="1"/>
  <c r="R187" i="1"/>
  <c r="T187" i="1"/>
  <c r="U187" i="1"/>
  <c r="V187" i="1"/>
  <c r="X187" i="1"/>
  <c r="Y187" i="1"/>
  <c r="Z187" i="1"/>
  <c r="J188" i="1"/>
  <c r="K188" i="1"/>
  <c r="L188" i="1"/>
  <c r="N188" i="1"/>
  <c r="O188" i="1"/>
  <c r="Q188" i="1"/>
  <c r="R188" i="1"/>
  <c r="T188" i="1"/>
  <c r="U188" i="1"/>
  <c r="V188" i="1"/>
  <c r="X188" i="1"/>
  <c r="Y188" i="1"/>
  <c r="Z188" i="1"/>
  <c r="J189" i="1"/>
  <c r="K189" i="1"/>
  <c r="L189" i="1"/>
  <c r="N189" i="1"/>
  <c r="O189" i="1"/>
  <c r="Q189" i="1"/>
  <c r="R189" i="1"/>
  <c r="T189" i="1"/>
  <c r="U189" i="1"/>
  <c r="V189" i="1"/>
  <c r="X189" i="1"/>
  <c r="Y189" i="1"/>
  <c r="Z189" i="1"/>
  <c r="J190" i="1"/>
  <c r="K190" i="1"/>
  <c r="L190" i="1"/>
  <c r="N190" i="1"/>
  <c r="O190" i="1"/>
  <c r="Q190" i="1"/>
  <c r="R190" i="1"/>
  <c r="T190" i="1"/>
  <c r="U190" i="1"/>
  <c r="V190" i="1"/>
  <c r="X190" i="1"/>
  <c r="Y190" i="1"/>
  <c r="Z190" i="1"/>
  <c r="J191" i="1"/>
  <c r="K191" i="1"/>
  <c r="L191" i="1"/>
  <c r="N191" i="1"/>
  <c r="O191" i="1"/>
  <c r="Q191" i="1"/>
  <c r="R191" i="1"/>
  <c r="T191" i="1"/>
  <c r="U191" i="1"/>
  <c r="V191" i="1"/>
  <c r="X191" i="1"/>
  <c r="Y191" i="1"/>
  <c r="Z191" i="1"/>
  <c r="J192" i="1"/>
  <c r="K192" i="1"/>
  <c r="L192" i="1"/>
  <c r="N192" i="1"/>
  <c r="O192" i="1"/>
  <c r="Q192" i="1"/>
  <c r="R192" i="1"/>
  <c r="T192" i="1"/>
  <c r="U192" i="1"/>
  <c r="V192" i="1"/>
  <c r="X192" i="1"/>
  <c r="Y192" i="1"/>
  <c r="Z192" i="1"/>
  <c r="J193" i="1"/>
  <c r="K193" i="1"/>
  <c r="L193" i="1"/>
  <c r="N193" i="1"/>
  <c r="O193" i="1"/>
  <c r="Q193" i="1"/>
  <c r="R193" i="1"/>
  <c r="T193" i="1"/>
  <c r="U193" i="1"/>
  <c r="V193" i="1"/>
  <c r="X193" i="1"/>
  <c r="Y193" i="1"/>
  <c r="Z193" i="1"/>
  <c r="J194" i="1"/>
  <c r="K194" i="1"/>
  <c r="L194" i="1"/>
  <c r="N194" i="1"/>
  <c r="O194" i="1"/>
  <c r="Q194" i="1"/>
  <c r="R194" i="1"/>
  <c r="T194" i="1"/>
  <c r="U194" i="1"/>
  <c r="V194" i="1"/>
  <c r="X194" i="1"/>
  <c r="Y194" i="1"/>
  <c r="Z194" i="1"/>
  <c r="J195" i="1"/>
  <c r="K195" i="1"/>
  <c r="L195" i="1"/>
  <c r="N195" i="1"/>
  <c r="O195" i="1"/>
  <c r="Q195" i="1"/>
  <c r="R195" i="1"/>
  <c r="T195" i="1"/>
  <c r="U195" i="1"/>
  <c r="V195" i="1"/>
  <c r="X195" i="1"/>
  <c r="Y195" i="1"/>
  <c r="Z195" i="1"/>
  <c r="J196" i="1"/>
  <c r="K196" i="1"/>
  <c r="L196" i="1"/>
  <c r="N196" i="1"/>
  <c r="O196" i="1"/>
  <c r="Q196" i="1"/>
  <c r="R196" i="1"/>
  <c r="T196" i="1"/>
  <c r="U196" i="1"/>
  <c r="V196" i="1"/>
  <c r="X196" i="1"/>
  <c r="Y196" i="1"/>
  <c r="Z196" i="1"/>
  <c r="J197" i="1"/>
  <c r="K197" i="1"/>
  <c r="L197" i="1"/>
  <c r="N197" i="1"/>
  <c r="O197" i="1"/>
  <c r="Q197" i="1"/>
  <c r="R197" i="1"/>
  <c r="T197" i="1"/>
  <c r="U197" i="1"/>
  <c r="V197" i="1"/>
  <c r="X197" i="1"/>
  <c r="Y197" i="1"/>
  <c r="Z197" i="1"/>
  <c r="J198" i="1"/>
  <c r="K198" i="1"/>
  <c r="L198" i="1"/>
  <c r="N198" i="1"/>
  <c r="O198" i="1"/>
  <c r="Q198" i="1"/>
  <c r="R198" i="1"/>
  <c r="T198" i="1"/>
  <c r="U198" i="1"/>
  <c r="V198" i="1"/>
  <c r="X198" i="1"/>
  <c r="Y198" i="1"/>
  <c r="Z198" i="1"/>
  <c r="J199" i="1"/>
  <c r="K199" i="1"/>
  <c r="L199" i="1"/>
  <c r="N199" i="1"/>
  <c r="O199" i="1"/>
  <c r="Q199" i="1"/>
  <c r="R199" i="1"/>
  <c r="T199" i="1"/>
  <c r="U199" i="1"/>
  <c r="V199" i="1"/>
  <c r="X199" i="1"/>
  <c r="Y199" i="1"/>
  <c r="Z199" i="1"/>
  <c r="J200" i="1"/>
  <c r="K200" i="1"/>
  <c r="L200" i="1"/>
  <c r="N200" i="1"/>
  <c r="O200" i="1"/>
  <c r="Q200" i="1"/>
  <c r="R200" i="1"/>
  <c r="T200" i="1"/>
  <c r="U200" i="1"/>
  <c r="V200" i="1"/>
  <c r="X200" i="1"/>
  <c r="Y200" i="1"/>
  <c r="Z200" i="1"/>
  <c r="J201" i="1"/>
  <c r="K201" i="1"/>
  <c r="L201" i="1"/>
  <c r="N201" i="1"/>
  <c r="O201" i="1"/>
  <c r="Q201" i="1"/>
  <c r="R201" i="1"/>
  <c r="T201" i="1"/>
  <c r="U201" i="1"/>
  <c r="V201" i="1"/>
  <c r="X201" i="1"/>
  <c r="Y201" i="1"/>
  <c r="Z201" i="1"/>
  <c r="J202" i="1"/>
  <c r="K202" i="1"/>
  <c r="L202" i="1"/>
  <c r="N202" i="1"/>
  <c r="O202" i="1"/>
  <c r="Q202" i="1"/>
  <c r="R202" i="1"/>
  <c r="T202" i="1"/>
  <c r="U202" i="1"/>
  <c r="V202" i="1"/>
  <c r="X202" i="1"/>
  <c r="Y202" i="1"/>
  <c r="Z202" i="1"/>
  <c r="Z3" i="1"/>
  <c r="Y3" i="1"/>
  <c r="X3" i="1"/>
  <c r="R3" i="1"/>
  <c r="Q3" i="1"/>
  <c r="O3" i="1"/>
  <c r="N3" i="1"/>
  <c r="L3" i="1"/>
  <c r="K3" i="1"/>
  <c r="J3" i="1"/>
  <c r="F4" i="1"/>
  <c r="G4" i="1"/>
  <c r="H4" i="1"/>
  <c r="F5" i="1"/>
  <c r="G5" i="1"/>
  <c r="H5" i="1"/>
  <c r="F6" i="1"/>
  <c r="G6" i="1"/>
  <c r="H6" i="1"/>
  <c r="F7" i="1"/>
  <c r="G7" i="1"/>
  <c r="H7" i="1"/>
  <c r="F8" i="1"/>
  <c r="G8" i="1"/>
  <c r="H8" i="1"/>
  <c r="F9" i="1"/>
  <c r="G9" i="1"/>
  <c r="H9" i="1"/>
  <c r="F10" i="1"/>
  <c r="G10" i="1"/>
  <c r="H10" i="1"/>
  <c r="F11" i="1"/>
  <c r="G11" i="1"/>
  <c r="H11" i="1"/>
  <c r="F12" i="1"/>
  <c r="G12" i="1"/>
  <c r="H12" i="1"/>
  <c r="F13" i="1"/>
  <c r="G13" i="1"/>
  <c r="H13" i="1"/>
  <c r="F14" i="1"/>
  <c r="G14" i="1"/>
  <c r="H14" i="1"/>
  <c r="F15" i="1"/>
  <c r="G15" i="1"/>
  <c r="H15" i="1"/>
  <c r="F16" i="1"/>
  <c r="G16" i="1"/>
  <c r="H16" i="1"/>
  <c r="F17" i="1"/>
  <c r="G17" i="1"/>
  <c r="H17" i="1"/>
  <c r="F18" i="1"/>
  <c r="G18" i="1"/>
  <c r="H18" i="1"/>
  <c r="F19" i="1"/>
  <c r="G19" i="1"/>
  <c r="H19" i="1"/>
  <c r="F20" i="1"/>
  <c r="G20" i="1"/>
  <c r="H20" i="1"/>
  <c r="F21" i="1"/>
  <c r="G21" i="1"/>
  <c r="H21" i="1"/>
  <c r="F22" i="1"/>
  <c r="G22" i="1"/>
  <c r="H22" i="1"/>
  <c r="F23" i="1"/>
  <c r="G23" i="1"/>
  <c r="H23" i="1"/>
  <c r="F24" i="1"/>
  <c r="G24" i="1"/>
  <c r="H24" i="1"/>
  <c r="F25" i="1"/>
  <c r="G25" i="1"/>
  <c r="H25" i="1"/>
  <c r="F26" i="1"/>
  <c r="G26" i="1"/>
  <c r="H26" i="1"/>
  <c r="F27" i="1"/>
  <c r="G27" i="1"/>
  <c r="H27" i="1"/>
  <c r="F28" i="1"/>
  <c r="G28" i="1"/>
  <c r="H28" i="1"/>
  <c r="F29" i="1"/>
  <c r="G29" i="1"/>
  <c r="H29" i="1"/>
  <c r="F30" i="1"/>
  <c r="G30" i="1"/>
  <c r="H30" i="1"/>
  <c r="F31" i="1"/>
  <c r="G31" i="1"/>
  <c r="H31" i="1"/>
  <c r="F32" i="1"/>
  <c r="G32" i="1"/>
  <c r="H32" i="1"/>
  <c r="F33" i="1"/>
  <c r="G33" i="1"/>
  <c r="H33" i="1"/>
  <c r="F34" i="1"/>
  <c r="G34" i="1"/>
  <c r="H34" i="1"/>
  <c r="F35" i="1"/>
  <c r="G35" i="1"/>
  <c r="H35" i="1"/>
  <c r="F36" i="1"/>
  <c r="G36" i="1"/>
  <c r="H36" i="1"/>
  <c r="F37" i="1"/>
  <c r="G37" i="1"/>
  <c r="H37" i="1"/>
  <c r="F38" i="1"/>
  <c r="G38" i="1"/>
  <c r="H38" i="1"/>
  <c r="F39" i="1"/>
  <c r="G39" i="1"/>
  <c r="H39" i="1"/>
  <c r="F40" i="1"/>
  <c r="G40" i="1"/>
  <c r="H40" i="1"/>
  <c r="F41" i="1"/>
  <c r="G41" i="1"/>
  <c r="H41" i="1"/>
  <c r="F42" i="1"/>
  <c r="G42" i="1"/>
  <c r="H42" i="1"/>
  <c r="F43" i="1"/>
  <c r="G43" i="1"/>
  <c r="H43" i="1"/>
  <c r="F44" i="1"/>
  <c r="G44" i="1"/>
  <c r="H44" i="1"/>
  <c r="F45" i="1"/>
  <c r="G45" i="1"/>
  <c r="H45" i="1"/>
  <c r="F46" i="1"/>
  <c r="G46" i="1"/>
  <c r="H46" i="1"/>
  <c r="F47" i="1"/>
  <c r="G47" i="1"/>
  <c r="H47" i="1"/>
  <c r="F48" i="1"/>
  <c r="G48" i="1"/>
  <c r="H48" i="1"/>
  <c r="F49" i="1"/>
  <c r="G49" i="1"/>
  <c r="H49" i="1"/>
  <c r="F50" i="1"/>
  <c r="G50" i="1"/>
  <c r="H50" i="1"/>
  <c r="F51" i="1"/>
  <c r="G51" i="1"/>
  <c r="H51" i="1"/>
  <c r="F52" i="1"/>
  <c r="G52" i="1"/>
  <c r="H52" i="1"/>
  <c r="F53" i="1"/>
  <c r="G53" i="1"/>
  <c r="H53" i="1"/>
  <c r="F54" i="1"/>
  <c r="G54" i="1"/>
  <c r="H54" i="1"/>
  <c r="F55" i="1"/>
  <c r="G55" i="1"/>
  <c r="H55" i="1"/>
  <c r="F56" i="1"/>
  <c r="G56" i="1"/>
  <c r="H56" i="1"/>
  <c r="F57" i="1"/>
  <c r="G57" i="1"/>
  <c r="H57" i="1"/>
  <c r="F58" i="1"/>
  <c r="G58" i="1"/>
  <c r="H58" i="1"/>
  <c r="F59" i="1"/>
  <c r="G59" i="1"/>
  <c r="H59" i="1"/>
  <c r="F60" i="1"/>
  <c r="G60" i="1"/>
  <c r="H60" i="1"/>
  <c r="F61" i="1"/>
  <c r="G61" i="1"/>
  <c r="H61" i="1"/>
  <c r="F62" i="1"/>
  <c r="G62" i="1"/>
  <c r="H62" i="1"/>
  <c r="F63" i="1"/>
  <c r="G63" i="1"/>
  <c r="H63" i="1"/>
  <c r="F64" i="1"/>
  <c r="G64" i="1"/>
  <c r="H64" i="1"/>
  <c r="F65" i="1"/>
  <c r="G65" i="1"/>
  <c r="H65" i="1"/>
  <c r="F66" i="1"/>
  <c r="G66" i="1"/>
  <c r="H66" i="1"/>
  <c r="F67" i="1"/>
  <c r="G67" i="1"/>
  <c r="H67" i="1"/>
  <c r="F68" i="1"/>
  <c r="G68" i="1"/>
  <c r="H68" i="1"/>
  <c r="F69" i="1"/>
  <c r="G69" i="1"/>
  <c r="H69" i="1"/>
  <c r="F70" i="1"/>
  <c r="G70" i="1"/>
  <c r="H70" i="1"/>
  <c r="F71" i="1"/>
  <c r="G71" i="1"/>
  <c r="H71" i="1"/>
  <c r="F72" i="1"/>
  <c r="G72" i="1"/>
  <c r="H72" i="1"/>
  <c r="F73" i="1"/>
  <c r="G73" i="1"/>
  <c r="H73" i="1"/>
  <c r="F74" i="1"/>
  <c r="G74" i="1"/>
  <c r="H74" i="1"/>
  <c r="F75" i="1"/>
  <c r="G75" i="1"/>
  <c r="H75" i="1"/>
  <c r="F76" i="1"/>
  <c r="G76" i="1"/>
  <c r="H76" i="1"/>
  <c r="F77" i="1"/>
  <c r="G77" i="1"/>
  <c r="H77" i="1"/>
  <c r="F78" i="1"/>
  <c r="G78" i="1"/>
  <c r="H78" i="1"/>
  <c r="F79" i="1"/>
  <c r="G79" i="1"/>
  <c r="H79" i="1"/>
  <c r="F80" i="1"/>
  <c r="G80" i="1"/>
  <c r="H80" i="1"/>
  <c r="F81" i="1"/>
  <c r="G81" i="1"/>
  <c r="H81" i="1"/>
  <c r="F82" i="1"/>
  <c r="G82" i="1"/>
  <c r="H82" i="1"/>
  <c r="F83" i="1"/>
  <c r="G83" i="1"/>
  <c r="H83" i="1"/>
  <c r="F84" i="1"/>
  <c r="G84" i="1"/>
  <c r="H84" i="1"/>
  <c r="F85" i="1"/>
  <c r="G85" i="1"/>
  <c r="H85" i="1"/>
  <c r="F86" i="1"/>
  <c r="G86" i="1"/>
  <c r="H86" i="1"/>
  <c r="F87" i="1"/>
  <c r="G87" i="1"/>
  <c r="H87" i="1"/>
  <c r="F88" i="1"/>
  <c r="G88" i="1"/>
  <c r="H88" i="1"/>
  <c r="F89" i="1"/>
  <c r="G89" i="1"/>
  <c r="H89" i="1"/>
  <c r="F90" i="1"/>
  <c r="G90" i="1"/>
  <c r="H90" i="1"/>
  <c r="F91" i="1"/>
  <c r="G91" i="1"/>
  <c r="H91" i="1"/>
  <c r="F92" i="1"/>
  <c r="G92" i="1"/>
  <c r="H92" i="1"/>
  <c r="F93" i="1"/>
  <c r="G93" i="1"/>
  <c r="H93" i="1"/>
  <c r="F94" i="1"/>
  <c r="G94" i="1"/>
  <c r="H94" i="1"/>
  <c r="F95" i="1"/>
  <c r="G95" i="1"/>
  <c r="H95" i="1"/>
  <c r="F96" i="1"/>
  <c r="G96" i="1"/>
  <c r="H96" i="1"/>
  <c r="F97" i="1"/>
  <c r="G97" i="1"/>
  <c r="H97" i="1"/>
  <c r="F98" i="1"/>
  <c r="G98" i="1"/>
  <c r="H98" i="1"/>
  <c r="F99" i="1"/>
  <c r="G99" i="1"/>
  <c r="H99" i="1"/>
  <c r="F100" i="1"/>
  <c r="G100" i="1"/>
  <c r="H100" i="1"/>
  <c r="F101" i="1"/>
  <c r="G101" i="1"/>
  <c r="H101" i="1"/>
  <c r="F102" i="1"/>
  <c r="G102" i="1"/>
  <c r="H102" i="1"/>
  <c r="F103" i="1"/>
  <c r="G103" i="1"/>
  <c r="H103" i="1"/>
  <c r="F104" i="1"/>
  <c r="G104" i="1"/>
  <c r="H104" i="1"/>
  <c r="F105" i="1"/>
  <c r="G105" i="1"/>
  <c r="H105" i="1"/>
  <c r="F106" i="1"/>
  <c r="G106" i="1"/>
  <c r="H106" i="1"/>
  <c r="F107" i="1"/>
  <c r="G107" i="1"/>
  <c r="H107" i="1"/>
  <c r="F108" i="1"/>
  <c r="G108" i="1"/>
  <c r="H108" i="1"/>
  <c r="F109" i="1"/>
  <c r="G109" i="1"/>
  <c r="H109" i="1"/>
  <c r="F110" i="1"/>
  <c r="G110" i="1"/>
  <c r="H110" i="1"/>
  <c r="F111" i="1"/>
  <c r="G111" i="1"/>
  <c r="H111" i="1"/>
  <c r="F112" i="1"/>
  <c r="G112" i="1"/>
  <c r="H112" i="1"/>
  <c r="F113" i="1"/>
  <c r="G113" i="1"/>
  <c r="H113" i="1"/>
  <c r="F114" i="1"/>
  <c r="G114" i="1"/>
  <c r="H114" i="1"/>
  <c r="F115" i="1"/>
  <c r="G115" i="1"/>
  <c r="H115" i="1"/>
  <c r="F116" i="1"/>
  <c r="G116" i="1"/>
  <c r="H116" i="1"/>
  <c r="F117" i="1"/>
  <c r="G117" i="1"/>
  <c r="H117" i="1"/>
  <c r="F118" i="1"/>
  <c r="G118" i="1"/>
  <c r="H118" i="1"/>
  <c r="F119" i="1"/>
  <c r="G119" i="1"/>
  <c r="H119" i="1"/>
  <c r="F120" i="1"/>
  <c r="G120" i="1"/>
  <c r="H120" i="1"/>
  <c r="F121" i="1"/>
  <c r="G121" i="1"/>
  <c r="H121" i="1"/>
  <c r="F122" i="1"/>
  <c r="G122" i="1"/>
  <c r="H122" i="1"/>
  <c r="F123" i="1"/>
  <c r="G123" i="1"/>
  <c r="H123" i="1"/>
  <c r="F124" i="1"/>
  <c r="G124" i="1"/>
  <c r="H124" i="1"/>
  <c r="F125" i="1"/>
  <c r="G125" i="1"/>
  <c r="H125" i="1"/>
  <c r="F126" i="1"/>
  <c r="G126" i="1"/>
  <c r="H126" i="1"/>
  <c r="F127" i="1"/>
  <c r="G127" i="1"/>
  <c r="H127" i="1"/>
  <c r="F128" i="1"/>
  <c r="G128" i="1"/>
  <c r="H128" i="1"/>
  <c r="F129" i="1"/>
  <c r="G129" i="1"/>
  <c r="H129" i="1"/>
  <c r="F130" i="1"/>
  <c r="G130" i="1"/>
  <c r="H130" i="1"/>
  <c r="F131" i="1"/>
  <c r="G131" i="1"/>
  <c r="H131" i="1"/>
  <c r="F132" i="1"/>
  <c r="G132" i="1"/>
  <c r="H132" i="1"/>
  <c r="F133" i="1"/>
  <c r="G133" i="1"/>
  <c r="H133" i="1"/>
  <c r="F134" i="1"/>
  <c r="G134" i="1"/>
  <c r="H134" i="1"/>
  <c r="F135" i="1"/>
  <c r="G135" i="1"/>
  <c r="H135" i="1"/>
  <c r="F136" i="1"/>
  <c r="G136" i="1"/>
  <c r="H136" i="1"/>
  <c r="F137" i="1"/>
  <c r="G137" i="1"/>
  <c r="H137" i="1"/>
  <c r="F138" i="1"/>
  <c r="G138" i="1"/>
  <c r="H138" i="1"/>
  <c r="F139" i="1"/>
  <c r="G139" i="1"/>
  <c r="H139" i="1"/>
  <c r="F140" i="1"/>
  <c r="G140" i="1"/>
  <c r="H140" i="1"/>
  <c r="F141" i="1"/>
  <c r="G141" i="1"/>
  <c r="H141" i="1"/>
  <c r="F142" i="1"/>
  <c r="G142" i="1"/>
  <c r="H142" i="1"/>
  <c r="F143" i="1"/>
  <c r="G143" i="1"/>
  <c r="H143" i="1"/>
  <c r="F144" i="1"/>
  <c r="G144" i="1"/>
  <c r="H144" i="1"/>
  <c r="F145" i="1"/>
  <c r="G145" i="1"/>
  <c r="H145" i="1"/>
  <c r="F146" i="1"/>
  <c r="G146" i="1"/>
  <c r="H146" i="1"/>
  <c r="F147" i="1"/>
  <c r="G147" i="1"/>
  <c r="H147" i="1"/>
  <c r="F148" i="1"/>
  <c r="G148" i="1"/>
  <c r="H148" i="1"/>
  <c r="F149" i="1"/>
  <c r="G149" i="1"/>
  <c r="H149" i="1"/>
  <c r="F150" i="1"/>
  <c r="G150" i="1"/>
  <c r="H150" i="1"/>
  <c r="F151" i="1"/>
  <c r="G151" i="1"/>
  <c r="H151" i="1"/>
  <c r="F152" i="1"/>
  <c r="G152" i="1"/>
  <c r="H152" i="1"/>
  <c r="F153" i="1"/>
  <c r="G153" i="1"/>
  <c r="H153" i="1"/>
  <c r="F154" i="1"/>
  <c r="G154" i="1"/>
  <c r="H154" i="1"/>
  <c r="F155" i="1"/>
  <c r="G155" i="1"/>
  <c r="H155" i="1"/>
  <c r="F156" i="1"/>
  <c r="G156" i="1"/>
  <c r="H156" i="1"/>
  <c r="F157" i="1"/>
  <c r="G157" i="1"/>
  <c r="H157" i="1"/>
  <c r="F158" i="1"/>
  <c r="G158" i="1"/>
  <c r="H158" i="1"/>
  <c r="F159" i="1"/>
  <c r="G159" i="1"/>
  <c r="H159" i="1"/>
  <c r="F160" i="1"/>
  <c r="G160" i="1"/>
  <c r="H160" i="1"/>
  <c r="F161" i="1"/>
  <c r="G161" i="1"/>
  <c r="H161" i="1"/>
  <c r="F162" i="1"/>
  <c r="G162" i="1"/>
  <c r="H162" i="1"/>
  <c r="F163" i="1"/>
  <c r="G163" i="1"/>
  <c r="H163" i="1"/>
  <c r="F164" i="1"/>
  <c r="G164" i="1"/>
  <c r="H164" i="1"/>
  <c r="F165" i="1"/>
  <c r="G165" i="1"/>
  <c r="H165" i="1"/>
  <c r="F166" i="1"/>
  <c r="G166" i="1"/>
  <c r="H166" i="1"/>
  <c r="F167" i="1"/>
  <c r="G167" i="1"/>
  <c r="H167" i="1"/>
  <c r="F168" i="1"/>
  <c r="G168" i="1"/>
  <c r="H168" i="1"/>
  <c r="F169" i="1"/>
  <c r="G169" i="1"/>
  <c r="H169" i="1"/>
  <c r="F170" i="1"/>
  <c r="G170" i="1"/>
  <c r="H170" i="1"/>
  <c r="F171" i="1"/>
  <c r="G171" i="1"/>
  <c r="H171" i="1"/>
  <c r="F172" i="1"/>
  <c r="G172" i="1"/>
  <c r="H172" i="1"/>
  <c r="F173" i="1"/>
  <c r="G173" i="1"/>
  <c r="H173" i="1"/>
  <c r="F174" i="1"/>
  <c r="G174" i="1"/>
  <c r="H174" i="1"/>
  <c r="F175" i="1"/>
  <c r="G175" i="1"/>
  <c r="H175" i="1"/>
  <c r="F176" i="1"/>
  <c r="G176" i="1"/>
  <c r="H176" i="1"/>
  <c r="F177" i="1"/>
  <c r="G177" i="1"/>
  <c r="H177" i="1"/>
  <c r="F178" i="1"/>
  <c r="G178" i="1"/>
  <c r="H178" i="1"/>
  <c r="F179" i="1"/>
  <c r="G179" i="1"/>
  <c r="H179" i="1"/>
  <c r="F180" i="1"/>
  <c r="G180" i="1"/>
  <c r="H180" i="1"/>
  <c r="F181" i="1"/>
  <c r="G181" i="1"/>
  <c r="H181" i="1"/>
  <c r="F182" i="1"/>
  <c r="G182" i="1"/>
  <c r="H182" i="1"/>
  <c r="F183" i="1"/>
  <c r="G183" i="1"/>
  <c r="H183" i="1"/>
  <c r="F184" i="1"/>
  <c r="G184" i="1"/>
  <c r="H184" i="1"/>
  <c r="F185" i="1"/>
  <c r="G185" i="1"/>
  <c r="H185" i="1"/>
  <c r="F186" i="1"/>
  <c r="G186" i="1"/>
  <c r="H186" i="1"/>
  <c r="F187" i="1"/>
  <c r="G187" i="1"/>
  <c r="H187" i="1"/>
  <c r="F188" i="1"/>
  <c r="G188" i="1"/>
  <c r="H188" i="1"/>
  <c r="F189" i="1"/>
  <c r="G189" i="1"/>
  <c r="H189" i="1"/>
  <c r="F190" i="1"/>
  <c r="G190" i="1"/>
  <c r="H190" i="1"/>
  <c r="F191" i="1"/>
  <c r="G191" i="1"/>
  <c r="H191" i="1"/>
  <c r="F192" i="1"/>
  <c r="G192" i="1"/>
  <c r="H192" i="1"/>
  <c r="F193" i="1"/>
  <c r="G193" i="1"/>
  <c r="H193" i="1"/>
  <c r="F194" i="1"/>
  <c r="G194" i="1"/>
  <c r="H194" i="1"/>
  <c r="F195" i="1"/>
  <c r="G195" i="1"/>
  <c r="H195" i="1"/>
  <c r="F196" i="1"/>
  <c r="G196" i="1"/>
  <c r="H196" i="1"/>
  <c r="F197" i="1"/>
  <c r="G197" i="1"/>
  <c r="H197" i="1"/>
  <c r="F198" i="1"/>
  <c r="G198" i="1"/>
  <c r="H198" i="1"/>
  <c r="F199" i="1"/>
  <c r="G199" i="1"/>
  <c r="H199" i="1"/>
  <c r="F200" i="1"/>
  <c r="G200" i="1"/>
  <c r="H200" i="1"/>
  <c r="F201" i="1"/>
  <c r="G201" i="1"/>
  <c r="H201" i="1"/>
  <c r="F202" i="1"/>
  <c r="G202" i="1"/>
  <c r="H202" i="1"/>
  <c r="H3" i="1"/>
  <c r="G3" i="1"/>
  <c r="F3" i="1"/>
  <c r="B26" i="1"/>
  <c r="C26" i="1"/>
  <c r="D26" i="1"/>
  <c r="B27" i="1"/>
  <c r="C27" i="1"/>
  <c r="D27" i="1"/>
  <c r="B28" i="1"/>
  <c r="C28" i="1"/>
  <c r="D28" i="1"/>
  <c r="B29" i="1"/>
  <c r="C29" i="1"/>
  <c r="D29" i="1"/>
  <c r="B30" i="1"/>
  <c r="C30" i="1"/>
  <c r="D30" i="1"/>
  <c r="B31" i="1"/>
  <c r="C31" i="1"/>
  <c r="D31" i="1"/>
  <c r="B32" i="1"/>
  <c r="C32" i="1"/>
  <c r="D32" i="1"/>
  <c r="B33" i="1"/>
  <c r="C33" i="1"/>
  <c r="D33" i="1"/>
  <c r="B34" i="1"/>
  <c r="C34" i="1"/>
  <c r="D34" i="1"/>
  <c r="B35" i="1"/>
  <c r="C35" i="1"/>
  <c r="D35" i="1"/>
  <c r="B36" i="1"/>
  <c r="C36" i="1"/>
  <c r="D36" i="1"/>
  <c r="B37" i="1"/>
  <c r="C37" i="1"/>
  <c r="D37" i="1"/>
  <c r="B38" i="1"/>
  <c r="C38" i="1"/>
  <c r="D38" i="1"/>
  <c r="B39" i="1"/>
  <c r="C39" i="1"/>
  <c r="D39" i="1"/>
  <c r="B40" i="1"/>
  <c r="C40" i="1"/>
  <c r="D40" i="1"/>
  <c r="B41" i="1"/>
  <c r="C41" i="1"/>
  <c r="D41" i="1"/>
  <c r="B42" i="1"/>
  <c r="C42" i="1"/>
  <c r="D42" i="1"/>
  <c r="B43" i="1"/>
  <c r="C43" i="1"/>
  <c r="D43" i="1"/>
  <c r="B44" i="1"/>
  <c r="C44" i="1"/>
  <c r="D44" i="1"/>
  <c r="B45" i="1"/>
  <c r="C45" i="1"/>
  <c r="D45" i="1"/>
  <c r="B46" i="1"/>
  <c r="C46" i="1"/>
  <c r="D46" i="1"/>
  <c r="B47" i="1"/>
  <c r="C47" i="1"/>
  <c r="D47" i="1"/>
  <c r="B48" i="1"/>
  <c r="C48" i="1"/>
  <c r="D48" i="1"/>
  <c r="B49" i="1"/>
  <c r="C49" i="1"/>
  <c r="D49" i="1"/>
  <c r="B50" i="1"/>
  <c r="C50" i="1"/>
  <c r="D50" i="1"/>
  <c r="B51" i="1"/>
  <c r="C51" i="1"/>
  <c r="D51" i="1"/>
  <c r="B52" i="1"/>
  <c r="C52" i="1"/>
  <c r="D52" i="1"/>
  <c r="B53" i="1"/>
  <c r="C53" i="1"/>
  <c r="D53" i="1"/>
  <c r="B54" i="1"/>
  <c r="C54" i="1"/>
  <c r="D54" i="1"/>
  <c r="B55" i="1"/>
  <c r="C55" i="1"/>
  <c r="D55" i="1"/>
  <c r="B56" i="1"/>
  <c r="C56" i="1"/>
  <c r="D56" i="1"/>
  <c r="B57" i="1"/>
  <c r="C57" i="1"/>
  <c r="D57" i="1"/>
  <c r="B58" i="1"/>
  <c r="C58" i="1"/>
  <c r="D58" i="1"/>
  <c r="B59" i="1"/>
  <c r="C59" i="1"/>
  <c r="D59" i="1"/>
  <c r="B60" i="1"/>
  <c r="C60" i="1"/>
  <c r="D60" i="1"/>
  <c r="B61" i="1"/>
  <c r="C61" i="1"/>
  <c r="D61" i="1"/>
  <c r="B62" i="1"/>
  <c r="C62" i="1"/>
  <c r="D62" i="1"/>
  <c r="B63" i="1"/>
  <c r="C63" i="1"/>
  <c r="D63" i="1"/>
  <c r="B64" i="1"/>
  <c r="C64" i="1"/>
  <c r="D64" i="1"/>
  <c r="B65" i="1"/>
  <c r="C65" i="1"/>
  <c r="D65" i="1"/>
  <c r="B66" i="1"/>
  <c r="C66" i="1"/>
  <c r="D66" i="1"/>
  <c r="B67" i="1"/>
  <c r="C67" i="1"/>
  <c r="D67" i="1"/>
  <c r="B68" i="1"/>
  <c r="C68" i="1"/>
  <c r="D68" i="1"/>
  <c r="B69" i="1"/>
  <c r="C69" i="1"/>
  <c r="D69" i="1"/>
  <c r="B70" i="1"/>
  <c r="C70" i="1"/>
  <c r="D70" i="1"/>
  <c r="B71" i="1"/>
  <c r="C71" i="1"/>
  <c r="D71" i="1"/>
  <c r="B72" i="1"/>
  <c r="C72" i="1"/>
  <c r="D72" i="1"/>
  <c r="B73" i="1"/>
  <c r="C73" i="1"/>
  <c r="D73" i="1"/>
  <c r="B74" i="1"/>
  <c r="C74" i="1"/>
  <c r="D74" i="1"/>
  <c r="B75" i="1"/>
  <c r="C75" i="1"/>
  <c r="D75" i="1"/>
  <c r="B76" i="1"/>
  <c r="C76" i="1"/>
  <c r="D76" i="1"/>
  <c r="B77" i="1"/>
  <c r="C77" i="1"/>
  <c r="D77" i="1"/>
  <c r="B78" i="1"/>
  <c r="C78" i="1"/>
  <c r="D78" i="1"/>
  <c r="B79" i="1"/>
  <c r="C79" i="1"/>
  <c r="D79" i="1"/>
  <c r="B80" i="1"/>
  <c r="C80" i="1"/>
  <c r="D80" i="1"/>
  <c r="B81" i="1"/>
  <c r="C81" i="1"/>
  <c r="D81" i="1"/>
  <c r="B82" i="1"/>
  <c r="C82" i="1"/>
  <c r="D82" i="1"/>
  <c r="B83" i="1"/>
  <c r="C83" i="1"/>
  <c r="D83" i="1"/>
  <c r="B84" i="1"/>
  <c r="C84" i="1"/>
  <c r="D84" i="1"/>
  <c r="B85" i="1"/>
  <c r="C85" i="1"/>
  <c r="D85" i="1"/>
  <c r="B86" i="1"/>
  <c r="C86" i="1"/>
  <c r="D86" i="1"/>
  <c r="B87" i="1"/>
  <c r="C87" i="1"/>
  <c r="D87" i="1"/>
  <c r="B88" i="1"/>
  <c r="C88" i="1"/>
  <c r="D88" i="1"/>
  <c r="B89" i="1"/>
  <c r="C89" i="1"/>
  <c r="D89" i="1"/>
  <c r="B90" i="1"/>
  <c r="C90" i="1"/>
  <c r="D90" i="1"/>
  <c r="B91" i="1"/>
  <c r="C91" i="1"/>
  <c r="D91" i="1"/>
  <c r="B92" i="1"/>
  <c r="C92" i="1"/>
  <c r="D92" i="1"/>
  <c r="B93" i="1"/>
  <c r="C93" i="1"/>
  <c r="D93" i="1"/>
  <c r="B94" i="1"/>
  <c r="C94" i="1"/>
  <c r="D94" i="1"/>
  <c r="B95" i="1"/>
  <c r="C95" i="1"/>
  <c r="D95" i="1"/>
  <c r="B96" i="1"/>
  <c r="C96" i="1"/>
  <c r="D96" i="1"/>
  <c r="B97" i="1"/>
  <c r="C97" i="1"/>
  <c r="D97" i="1"/>
  <c r="B98" i="1"/>
  <c r="C98" i="1"/>
  <c r="D98" i="1"/>
  <c r="B99" i="1"/>
  <c r="C99" i="1"/>
  <c r="D99" i="1"/>
  <c r="B100" i="1"/>
  <c r="C100" i="1"/>
  <c r="D100" i="1"/>
  <c r="B101" i="1"/>
  <c r="C101" i="1"/>
  <c r="D101" i="1"/>
  <c r="B102" i="1"/>
  <c r="C102" i="1"/>
  <c r="D102" i="1"/>
  <c r="B103" i="1"/>
  <c r="C103" i="1"/>
  <c r="D103" i="1"/>
  <c r="B104" i="1"/>
  <c r="C104" i="1"/>
  <c r="D104" i="1"/>
  <c r="B105" i="1"/>
  <c r="C105" i="1"/>
  <c r="D105" i="1"/>
  <c r="B106" i="1"/>
  <c r="C106" i="1"/>
  <c r="D106" i="1"/>
  <c r="B107" i="1"/>
  <c r="C107" i="1"/>
  <c r="D107" i="1"/>
  <c r="B108" i="1"/>
  <c r="C108" i="1"/>
  <c r="D108" i="1"/>
  <c r="B109" i="1"/>
  <c r="C109" i="1"/>
  <c r="D109" i="1"/>
  <c r="B110" i="1"/>
  <c r="C110" i="1"/>
  <c r="D110" i="1"/>
  <c r="B111" i="1"/>
  <c r="C111" i="1"/>
  <c r="D111" i="1"/>
  <c r="B112" i="1"/>
  <c r="C112" i="1"/>
  <c r="D112" i="1"/>
  <c r="B113" i="1"/>
  <c r="C113" i="1"/>
  <c r="D113" i="1"/>
  <c r="B114" i="1"/>
  <c r="C114" i="1"/>
  <c r="D114" i="1"/>
  <c r="B115" i="1"/>
  <c r="C115" i="1"/>
  <c r="D115" i="1"/>
  <c r="B116" i="1"/>
  <c r="C116" i="1"/>
  <c r="D116" i="1"/>
  <c r="B117" i="1"/>
  <c r="C117" i="1"/>
  <c r="D117" i="1"/>
  <c r="B118" i="1"/>
  <c r="C118" i="1"/>
  <c r="D118" i="1"/>
  <c r="B119" i="1"/>
  <c r="C119" i="1"/>
  <c r="D119" i="1"/>
  <c r="B120" i="1"/>
  <c r="C120" i="1"/>
  <c r="D120" i="1"/>
  <c r="B121" i="1"/>
  <c r="C121" i="1"/>
  <c r="D121" i="1"/>
  <c r="B122" i="1"/>
  <c r="C122" i="1"/>
  <c r="D122" i="1"/>
  <c r="B123" i="1"/>
  <c r="C123" i="1"/>
  <c r="D123" i="1"/>
  <c r="B124" i="1"/>
  <c r="C124" i="1"/>
  <c r="D124" i="1"/>
  <c r="B125" i="1"/>
  <c r="C125" i="1"/>
  <c r="D125" i="1"/>
  <c r="B126" i="1"/>
  <c r="C126" i="1"/>
  <c r="D126" i="1"/>
  <c r="B127" i="1"/>
  <c r="C127" i="1"/>
  <c r="D127" i="1"/>
  <c r="B128" i="1"/>
  <c r="C128" i="1"/>
  <c r="D128" i="1"/>
  <c r="B129" i="1"/>
  <c r="C129" i="1"/>
  <c r="D129" i="1"/>
  <c r="B130" i="1"/>
  <c r="C130" i="1"/>
  <c r="D130" i="1"/>
  <c r="B131" i="1"/>
  <c r="C131" i="1"/>
  <c r="D131" i="1"/>
  <c r="B132" i="1"/>
  <c r="C132" i="1"/>
  <c r="D132" i="1"/>
  <c r="B133" i="1"/>
  <c r="C133" i="1"/>
  <c r="D133" i="1"/>
  <c r="B134" i="1"/>
  <c r="C134" i="1"/>
  <c r="D134" i="1"/>
  <c r="B135" i="1"/>
  <c r="C135" i="1"/>
  <c r="D135" i="1"/>
  <c r="B136" i="1"/>
  <c r="C136" i="1"/>
  <c r="D136" i="1"/>
  <c r="B137" i="1"/>
  <c r="C137" i="1"/>
  <c r="D137" i="1"/>
  <c r="B138" i="1"/>
  <c r="C138" i="1"/>
  <c r="D138" i="1"/>
  <c r="B139" i="1"/>
  <c r="C139" i="1"/>
  <c r="D139" i="1"/>
  <c r="B140" i="1"/>
  <c r="C140" i="1"/>
  <c r="D140" i="1"/>
  <c r="B141" i="1"/>
  <c r="C141" i="1"/>
  <c r="D141" i="1"/>
  <c r="B142" i="1"/>
  <c r="C142" i="1"/>
  <c r="D142" i="1"/>
  <c r="B143" i="1"/>
  <c r="C143" i="1"/>
  <c r="D143" i="1"/>
  <c r="B144" i="1"/>
  <c r="C144" i="1"/>
  <c r="D144" i="1"/>
  <c r="B145" i="1"/>
  <c r="C145" i="1"/>
  <c r="D145" i="1"/>
  <c r="B146" i="1"/>
  <c r="C146" i="1"/>
  <c r="D146" i="1"/>
  <c r="B147" i="1"/>
  <c r="C147" i="1"/>
  <c r="D147" i="1"/>
  <c r="B148" i="1"/>
  <c r="C148" i="1"/>
  <c r="D148" i="1"/>
  <c r="B149" i="1"/>
  <c r="C149" i="1"/>
  <c r="D149" i="1"/>
  <c r="B150" i="1"/>
  <c r="C150" i="1"/>
  <c r="D150" i="1"/>
  <c r="B151" i="1"/>
  <c r="C151" i="1"/>
  <c r="D151" i="1"/>
  <c r="B152" i="1"/>
  <c r="C152" i="1"/>
  <c r="D152" i="1"/>
  <c r="B153" i="1"/>
  <c r="C153" i="1"/>
  <c r="D153" i="1"/>
  <c r="B154" i="1"/>
  <c r="C154" i="1"/>
  <c r="D154" i="1"/>
  <c r="B155" i="1"/>
  <c r="C155" i="1"/>
  <c r="D155" i="1"/>
  <c r="B156" i="1"/>
  <c r="C156" i="1"/>
  <c r="D156" i="1"/>
  <c r="B157" i="1"/>
  <c r="C157" i="1"/>
  <c r="D157" i="1"/>
  <c r="B158" i="1"/>
  <c r="C158" i="1"/>
  <c r="D158" i="1"/>
  <c r="B159" i="1"/>
  <c r="C159" i="1"/>
  <c r="D159" i="1"/>
  <c r="B160" i="1"/>
  <c r="C160" i="1"/>
  <c r="D160" i="1"/>
  <c r="B161" i="1"/>
  <c r="C161" i="1"/>
  <c r="D161" i="1"/>
  <c r="B162" i="1"/>
  <c r="C162" i="1"/>
  <c r="D162" i="1"/>
  <c r="B163" i="1"/>
  <c r="C163" i="1"/>
  <c r="D163" i="1"/>
  <c r="B164" i="1"/>
  <c r="C164" i="1"/>
  <c r="D164" i="1"/>
  <c r="B165" i="1"/>
  <c r="C165" i="1"/>
  <c r="D165" i="1"/>
  <c r="B166" i="1"/>
  <c r="C166" i="1"/>
  <c r="D166" i="1"/>
  <c r="B167" i="1"/>
  <c r="C167" i="1"/>
  <c r="D167" i="1"/>
  <c r="B168" i="1"/>
  <c r="C168" i="1"/>
  <c r="D168" i="1"/>
  <c r="B169" i="1"/>
  <c r="C169" i="1"/>
  <c r="D169" i="1"/>
  <c r="B170" i="1"/>
  <c r="C170" i="1"/>
  <c r="D170" i="1"/>
  <c r="B171" i="1"/>
  <c r="C171" i="1"/>
  <c r="D171" i="1"/>
  <c r="B172" i="1"/>
  <c r="C172" i="1"/>
  <c r="D172" i="1"/>
  <c r="B173" i="1"/>
  <c r="C173" i="1"/>
  <c r="D173" i="1"/>
  <c r="B174" i="1"/>
  <c r="C174" i="1"/>
  <c r="D174" i="1"/>
  <c r="B175" i="1"/>
  <c r="C175" i="1"/>
  <c r="D175" i="1"/>
  <c r="B176" i="1"/>
  <c r="C176" i="1"/>
  <c r="D176" i="1"/>
  <c r="B177" i="1"/>
  <c r="C177" i="1"/>
  <c r="D177" i="1"/>
  <c r="B178" i="1"/>
  <c r="C178" i="1"/>
  <c r="D178" i="1"/>
  <c r="B179" i="1"/>
  <c r="C179" i="1"/>
  <c r="D179" i="1"/>
  <c r="B180" i="1"/>
  <c r="C180" i="1"/>
  <c r="D180" i="1"/>
  <c r="B181" i="1"/>
  <c r="C181" i="1"/>
  <c r="D181" i="1"/>
  <c r="B182" i="1"/>
  <c r="C182" i="1"/>
  <c r="D182" i="1"/>
  <c r="B183" i="1"/>
  <c r="C183" i="1"/>
  <c r="D183" i="1"/>
  <c r="B184" i="1"/>
  <c r="C184" i="1"/>
  <c r="D184" i="1"/>
  <c r="B185" i="1"/>
  <c r="C185" i="1"/>
  <c r="D185" i="1"/>
  <c r="B186" i="1"/>
  <c r="C186" i="1"/>
  <c r="D186" i="1"/>
  <c r="B187" i="1"/>
  <c r="C187" i="1"/>
  <c r="D187" i="1"/>
  <c r="B188" i="1"/>
  <c r="C188" i="1"/>
  <c r="D188" i="1"/>
  <c r="B189" i="1"/>
  <c r="C189" i="1"/>
  <c r="D189" i="1"/>
  <c r="B190" i="1"/>
  <c r="C190" i="1"/>
  <c r="D190" i="1"/>
  <c r="B191" i="1"/>
  <c r="C191" i="1"/>
  <c r="D191" i="1"/>
  <c r="B192" i="1"/>
  <c r="C192" i="1"/>
  <c r="D192" i="1"/>
  <c r="B193" i="1"/>
  <c r="C193" i="1"/>
  <c r="D193" i="1"/>
  <c r="B194" i="1"/>
  <c r="C194" i="1"/>
  <c r="D194" i="1"/>
  <c r="B195" i="1"/>
  <c r="C195" i="1"/>
  <c r="D195" i="1"/>
  <c r="B196" i="1"/>
  <c r="C196" i="1"/>
  <c r="D196" i="1"/>
  <c r="B197" i="1"/>
  <c r="C197" i="1"/>
  <c r="D197" i="1"/>
  <c r="B198" i="1"/>
  <c r="C198" i="1"/>
  <c r="D198" i="1"/>
  <c r="B199" i="1"/>
  <c r="C199" i="1"/>
  <c r="D199" i="1"/>
  <c r="B200" i="1"/>
  <c r="C200" i="1"/>
  <c r="D200" i="1"/>
  <c r="B201" i="1"/>
  <c r="C201" i="1"/>
  <c r="D201" i="1"/>
  <c r="B202" i="1"/>
  <c r="C202" i="1"/>
  <c r="D202" i="1"/>
  <c r="B4" i="1"/>
  <c r="C4" i="1"/>
  <c r="D4" i="1"/>
  <c r="B5" i="1"/>
  <c r="C5" i="1"/>
  <c r="D5" i="1"/>
  <c r="B6" i="1"/>
  <c r="C6" i="1"/>
  <c r="D6" i="1"/>
  <c r="B7" i="1"/>
  <c r="C7" i="1"/>
  <c r="D7" i="1"/>
  <c r="B8" i="1"/>
  <c r="C8" i="1"/>
  <c r="D8" i="1"/>
  <c r="B9" i="1"/>
  <c r="C9" i="1"/>
  <c r="D9" i="1"/>
  <c r="B10" i="1"/>
  <c r="C10" i="1"/>
  <c r="D10" i="1"/>
  <c r="B11" i="1"/>
  <c r="C11" i="1"/>
  <c r="D11" i="1"/>
  <c r="B12" i="1"/>
  <c r="C12" i="1"/>
  <c r="D12" i="1"/>
  <c r="B13" i="1"/>
  <c r="C13" i="1"/>
  <c r="D13" i="1"/>
  <c r="B14" i="1"/>
  <c r="C14" i="1"/>
  <c r="D14" i="1"/>
  <c r="B15" i="1"/>
  <c r="C15" i="1"/>
  <c r="D15" i="1"/>
  <c r="B16" i="1"/>
  <c r="C16" i="1"/>
  <c r="D16" i="1"/>
  <c r="B17" i="1"/>
  <c r="C17" i="1"/>
  <c r="D17" i="1"/>
  <c r="B18" i="1"/>
  <c r="C18" i="1"/>
  <c r="D18" i="1"/>
  <c r="B19" i="1"/>
  <c r="C19" i="1"/>
  <c r="D19" i="1"/>
  <c r="B20" i="1"/>
  <c r="C20" i="1"/>
  <c r="D20" i="1"/>
  <c r="B21" i="1"/>
  <c r="C21" i="1"/>
  <c r="D21" i="1"/>
  <c r="B22" i="1"/>
  <c r="C22" i="1"/>
  <c r="D22" i="1"/>
  <c r="B23" i="1"/>
  <c r="C23" i="1"/>
  <c r="D23" i="1"/>
  <c r="B24" i="1"/>
  <c r="C24" i="1"/>
  <c r="D24" i="1"/>
  <c r="B25" i="1"/>
  <c r="C25" i="1"/>
  <c r="D25" i="1"/>
  <c r="D3" i="1"/>
  <c r="C3" i="1"/>
  <c r="B3" i="1"/>
  <c r="U3" i="1"/>
  <c r="V3" i="1"/>
  <c r="T3" i="1"/>
</calcChain>
</file>

<file path=xl/sharedStrings.xml><?xml version="1.0" encoding="utf-8"?>
<sst xmlns="http://schemas.openxmlformats.org/spreadsheetml/2006/main" count="49" uniqueCount="32">
  <si>
    <t>n_estimators</t>
  </si>
  <si>
    <t>max_depth</t>
  </si>
  <si>
    <t>learning_rate</t>
  </si>
  <si>
    <t>XGB</t>
  </si>
  <si>
    <t>min_samples_split</t>
  </si>
  <si>
    <t>min_samples_leaf</t>
  </si>
  <si>
    <t>KNNC</t>
  </si>
  <si>
    <t>n_neighbors</t>
  </si>
  <si>
    <t>p</t>
  </si>
  <si>
    <t>leaf_size</t>
  </si>
  <si>
    <t>RFC</t>
  </si>
  <si>
    <t>LR</t>
  </si>
  <si>
    <t>C</t>
  </si>
  <si>
    <t>max_iter</t>
  </si>
  <si>
    <t>DTC/DTR</t>
  </si>
  <si>
    <t>HGBR</t>
  </si>
  <si>
    <t>SVC</t>
  </si>
  <si>
    <t>gamma</t>
  </si>
  <si>
    <t>alpha</t>
  </si>
  <si>
    <t>tol</t>
  </si>
  <si>
    <t>Lasso</t>
  </si>
  <si>
    <t>q</t>
  </si>
  <si>
    <t>QR</t>
  </si>
  <si>
    <t>reg_param</t>
  </si>
  <si>
    <t>QDA</t>
  </si>
  <si>
    <t>num_leaves</t>
  </si>
  <si>
    <t>LGBC</t>
  </si>
  <si>
    <t>max_iter_predict</t>
  </si>
  <si>
    <t>n_restarts_optimizer</t>
  </si>
  <si>
    <t>random_state</t>
  </si>
  <si>
    <t>GPC</t>
  </si>
  <si>
    <t>SGB/GBR/GBC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</si>
</sst>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0"/>
      <color theme="1"/>
      <name val="Arial Unicode MS"/>
      <family val="2"/>
    </font>
    <font>
      <b/>
      <sz val="1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A9D08E"/>
        <bgColor rgb="FFA9D08E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3" fillId="4" borderId="1" applyNumberFormat="0" applyAlignment="0" applyProtection="0"/>
    <xf numFmtId="0" fontId="1" fillId="2" borderId="0"/>
    <xf numFmtId="0" fontId="2" fillId="3" borderId="0"/>
  </cellStyleXfs>
  <cellXfs count="7">
    <xf numFmtId="0" fontId="0" fillId="0" borderId="0" xfId="0"/>
    <xf numFmtId="0" fontId="4" fillId="0" borderId="0" xfId="0" applyFont="1" applyAlignment="1">
      <alignment vertical="center" wrapText="1"/>
    </xf>
    <xf numFmtId="0" fontId="5" fillId="5" borderId="0" xfId="0" applyFont="1" applyFill="1" applyAlignment="1">
      <alignment horizontal="center"/>
    </xf>
    <xf numFmtId="0" fontId="3" fillId="4" borderId="2" xfId="1" applyBorder="1" applyAlignment="1">
      <alignment horizontal="center"/>
    </xf>
    <xf numFmtId="0" fontId="3" fillId="4" borderId="4" xfId="1" applyBorder="1" applyAlignment="1">
      <alignment horizontal="center"/>
    </xf>
    <xf numFmtId="0" fontId="3" fillId="4" borderId="1" xfId="1" applyAlignment="1">
      <alignment horizontal="center"/>
    </xf>
    <xf numFmtId="0" fontId="3" fillId="4" borderId="3" xfId="1" applyBorder="1" applyAlignment="1">
      <alignment horizontal="center"/>
    </xf>
  </cellXfs>
  <cellStyles count="4">
    <cellStyle name="Calculation" xfId="1" builtinId="22"/>
    <cellStyle name="Good 2" xfId="2" xr:uid="{ADA26BFB-D622-446A-91DE-FAA7BF09EC7E}"/>
    <cellStyle name="Neutral 2" xfId="3" xr:uid="{5727AFA4-E9D0-48FA-A088-E47DA4341A0E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W202"/>
  <sheetViews>
    <sheetView tabSelected="1" topLeftCell="W1" zoomScale="70" zoomScaleNormal="70" workbookViewId="0">
      <selection activeCell="AT14" sqref="AT14"/>
    </sheetView>
  </sheetViews>
  <sheetFormatPr defaultRowHeight="15" x14ac:dyDescent="0.25"/>
  <sheetData>
    <row r="1" spans="2:49" x14ac:dyDescent="0.25">
      <c r="B1" s="5" t="s">
        <v>3</v>
      </c>
      <c r="C1" s="5"/>
      <c r="D1" s="5"/>
      <c r="F1" s="5" t="s">
        <v>14</v>
      </c>
      <c r="G1" s="5"/>
      <c r="H1" s="5"/>
      <c r="I1" s="1"/>
      <c r="J1" s="5" t="s">
        <v>6</v>
      </c>
      <c r="K1" s="5"/>
      <c r="L1" s="5"/>
      <c r="M1" s="1"/>
      <c r="N1" s="3" t="s">
        <v>10</v>
      </c>
      <c r="O1" s="6"/>
      <c r="P1" s="1"/>
      <c r="Q1" s="3" t="s">
        <v>11</v>
      </c>
      <c r="R1" s="6"/>
      <c r="S1" s="1"/>
      <c r="T1" s="5" t="s">
        <v>15</v>
      </c>
      <c r="U1" s="5"/>
      <c r="V1" s="5"/>
      <c r="W1" s="1"/>
      <c r="X1" s="5" t="s">
        <v>16</v>
      </c>
      <c r="Y1" s="5"/>
      <c r="Z1" s="5"/>
      <c r="AB1" s="5" t="s">
        <v>20</v>
      </c>
      <c r="AC1" s="5"/>
      <c r="AD1" s="5"/>
      <c r="AE1" s="1"/>
      <c r="AF1" s="5" t="s">
        <v>22</v>
      </c>
      <c r="AG1" s="5"/>
      <c r="AH1" s="5"/>
      <c r="AJ1" s="3" t="s">
        <v>24</v>
      </c>
      <c r="AK1" s="6"/>
      <c r="AM1" s="3" t="s">
        <v>26</v>
      </c>
      <c r="AN1" s="4"/>
      <c r="AO1" s="4"/>
      <c r="AQ1" s="3" t="s">
        <v>30</v>
      </c>
      <c r="AR1" s="4"/>
      <c r="AS1" s="4"/>
      <c r="AU1" s="3" t="s">
        <v>31</v>
      </c>
      <c r="AV1" s="4"/>
      <c r="AW1" s="4"/>
    </row>
    <row r="2" spans="2:49" x14ac:dyDescent="0.25">
      <c r="B2" s="2" t="s">
        <v>0</v>
      </c>
      <c r="C2" s="2" t="s">
        <v>1</v>
      </c>
      <c r="D2" s="2" t="s">
        <v>2</v>
      </c>
      <c r="F2" s="2" t="s">
        <v>1</v>
      </c>
      <c r="G2" s="2" t="s">
        <v>4</v>
      </c>
      <c r="H2" s="2" t="s">
        <v>5</v>
      </c>
      <c r="I2" s="1"/>
      <c r="J2" s="2" t="s">
        <v>7</v>
      </c>
      <c r="K2" s="2" t="s">
        <v>8</v>
      </c>
      <c r="L2" s="2" t="s">
        <v>9</v>
      </c>
      <c r="M2" s="1"/>
      <c r="N2" s="2" t="s">
        <v>0</v>
      </c>
      <c r="O2" s="2" t="s">
        <v>1</v>
      </c>
      <c r="P2" s="1"/>
      <c r="Q2" s="2" t="s">
        <v>12</v>
      </c>
      <c r="R2" s="2" t="s">
        <v>13</v>
      </c>
      <c r="S2" s="1"/>
      <c r="T2" s="2" t="s">
        <v>2</v>
      </c>
      <c r="U2" s="2" t="s">
        <v>13</v>
      </c>
      <c r="V2" s="2" t="s">
        <v>1</v>
      </c>
      <c r="W2" s="1"/>
      <c r="X2" s="2" t="s">
        <v>12</v>
      </c>
      <c r="Y2" s="2" t="s">
        <v>17</v>
      </c>
      <c r="Z2" s="2" t="s">
        <v>13</v>
      </c>
      <c r="AB2" s="2" t="s">
        <v>18</v>
      </c>
      <c r="AC2" s="2" t="s">
        <v>13</v>
      </c>
      <c r="AD2" s="2" t="s">
        <v>19</v>
      </c>
      <c r="AE2" s="1"/>
      <c r="AF2" s="2" t="s">
        <v>21</v>
      </c>
      <c r="AG2" s="2" t="s">
        <v>13</v>
      </c>
      <c r="AH2" s="2" t="s">
        <v>19</v>
      </c>
      <c r="AJ2" s="2" t="s">
        <v>23</v>
      </c>
      <c r="AK2" s="2" t="s">
        <v>19</v>
      </c>
      <c r="AM2" s="2" t="s">
        <v>2</v>
      </c>
      <c r="AN2" s="2" t="s">
        <v>25</v>
      </c>
      <c r="AO2" s="2" t="s">
        <v>1</v>
      </c>
      <c r="AQ2" s="2" t="s">
        <v>27</v>
      </c>
      <c r="AR2" s="2" t="s">
        <v>28</v>
      </c>
      <c r="AS2" s="2" t="s">
        <v>29</v>
      </c>
      <c r="AU2" s="2" t="s">
        <v>0</v>
      </c>
      <c r="AV2" s="2" t="s">
        <v>1</v>
      </c>
      <c r="AW2" s="2" t="s">
        <v>2</v>
      </c>
    </row>
    <row r="3" spans="2:49" x14ac:dyDescent="0.25">
      <c r="B3">
        <f ca="1">RANDBETWEEN(15,1000)</f>
        <v>778</v>
      </c>
      <c r="C3">
        <f ca="1">RANDBETWEEN(2,52)</f>
        <v>3</v>
      </c>
      <c r="D3">
        <f ca="1">RAND()*(0.3-0.01)+0.01</f>
        <v>0.21699369240222108</v>
      </c>
      <c r="F3" s="1">
        <f ca="1">RANDBETWEEN(2,52)</f>
        <v>44</v>
      </c>
      <c r="G3" s="1">
        <f ca="1">RANDBETWEEN(2,30)</f>
        <v>29</v>
      </c>
      <c r="H3" s="1">
        <f ca="1">RANDBETWEEN(1,15)</f>
        <v>14</v>
      </c>
      <c r="I3" s="1"/>
      <c r="J3" s="1">
        <f ca="1">RANDBETWEEN(1,39)</f>
        <v>35</v>
      </c>
      <c r="K3" s="1">
        <f ca="1">RAND()*(3-1)+1</f>
        <v>2.1231895559633918</v>
      </c>
      <c r="L3" s="1">
        <f ca="1">RANDBETWEEN(2,35)</f>
        <v>14</v>
      </c>
      <c r="M3" s="1"/>
      <c r="N3" s="1">
        <f ca="1">RANDBETWEEN(15,1000)</f>
        <v>965</v>
      </c>
      <c r="O3" s="1">
        <f ca="1">RANDBETWEEN(2,52)</f>
        <v>3</v>
      </c>
      <c r="P3" s="1"/>
      <c r="Q3" s="1">
        <f ca="1">RAND()*(5-0.01)+0.01</f>
        <v>3.3917717364714632</v>
      </c>
      <c r="R3" s="1">
        <f ca="1">RANDBETWEEN(200,1200)</f>
        <v>451</v>
      </c>
      <c r="S3" s="1"/>
      <c r="T3" s="1">
        <f ca="1">RAND()*(0.2-0.01)+0.01</f>
        <v>0.15680162753286619</v>
      </c>
      <c r="U3" s="1">
        <f ca="1">RANDBETWEEN(50,450)</f>
        <v>342</v>
      </c>
      <c r="V3" s="1">
        <f ca="1">RANDBETWEEN(2,52)</f>
        <v>19</v>
      </c>
      <c r="W3" s="1"/>
      <c r="X3" s="1">
        <f ca="1">RAND()*(10-0.01)+0.01</f>
        <v>3.6354975322920353</v>
      </c>
      <c r="Y3" s="1">
        <f ca="1">RAND()*(1-0.0001)+0.0001</f>
        <v>0.92030344166197942</v>
      </c>
      <c r="Z3" s="1">
        <f ca="1">RANDBETWEEN(100,2000)</f>
        <v>819</v>
      </c>
      <c r="AB3" s="1">
        <f ca="1">RAND()*(1-0.0001)+0.0001</f>
        <v>7.4427610644308816E-3</v>
      </c>
      <c r="AC3" s="1">
        <f ca="1">RANDBETWEEN(100,1000)</f>
        <v>200</v>
      </c>
      <c r="AD3" s="1">
        <f ca="1">RAND()*(0.01-0.00001)+0.00001</f>
        <v>7.4501407580682332E-3</v>
      </c>
      <c r="AE3" s="1"/>
      <c r="AF3" s="1">
        <f ca="1">RAND()*(0.9-0.1)+0.1</f>
        <v>0.30823011254645893</v>
      </c>
      <c r="AG3" s="1">
        <f ca="1">RANDBETWEEN(100,1000)</f>
        <v>923</v>
      </c>
      <c r="AH3" s="1">
        <f ca="1">RAND()*(0.01-0.00001)+0.00001</f>
        <v>3.8680205894089249E-5</v>
      </c>
      <c r="AJ3" s="1">
        <f ca="1">RAND()*(1-0)+0</f>
        <v>0.64543853402069562</v>
      </c>
      <c r="AK3" s="1">
        <f ca="1">RAND()*(0.01-0.00001)+0.00001</f>
        <v>9.5154058407065263E-3</v>
      </c>
      <c r="AM3" s="1">
        <f ca="1">RAND()*(0.2-0.005)+0.005</f>
        <v>0.14161101564561465</v>
      </c>
      <c r="AN3" s="1">
        <f ca="1">RANDBETWEEN(10,80)</f>
        <v>23</v>
      </c>
      <c r="AO3" s="1">
        <f ca="1">RANDBETWEEN(-1,20)</f>
        <v>1</v>
      </c>
      <c r="AQ3" s="1">
        <f ca="1">RANDBETWEEN(10,200)</f>
        <v>90</v>
      </c>
      <c r="AR3" s="1">
        <f ca="1">RANDBETWEEN(0,10)</f>
        <v>9</v>
      </c>
      <c r="AS3" s="1">
        <f ca="1">RANDBETWEEN(1,100)</f>
        <v>33</v>
      </c>
      <c r="AU3" s="1">
        <f ca="1">RANDBETWEEN(50,400)</f>
        <v>348</v>
      </c>
      <c r="AV3" s="1">
        <f ca="1">RANDBETWEEN(2,10)</f>
        <v>4</v>
      </c>
      <c r="AW3" s="1">
        <f ca="1">RAND()*(0.2-0.01)+0.01</f>
        <v>0.16599965346891543</v>
      </c>
    </row>
    <row r="4" spans="2:49" x14ac:dyDescent="0.25">
      <c r="B4">
        <f t="shared" ref="B4:B67" ca="1" si="0">RANDBETWEEN(15,1000)</f>
        <v>247</v>
      </c>
      <c r="C4">
        <f t="shared" ref="C4:C67" ca="1" si="1">RANDBETWEEN(2,52)</f>
        <v>51</v>
      </c>
      <c r="D4">
        <f t="shared" ref="D4:D67" ca="1" si="2">RAND()*(0.3-0.01)+0.01</f>
        <v>0.22440799238801018</v>
      </c>
      <c r="F4" s="1">
        <f t="shared" ref="F4:F67" ca="1" si="3">RANDBETWEEN(2,52)</f>
        <v>24</v>
      </c>
      <c r="G4" s="1">
        <f t="shared" ref="G4:G67" ca="1" si="4">RANDBETWEEN(2,30)</f>
        <v>12</v>
      </c>
      <c r="H4" s="1">
        <f t="shared" ref="H4:H67" ca="1" si="5">RANDBETWEEN(1,15)</f>
        <v>11</v>
      </c>
      <c r="I4" s="1"/>
      <c r="J4" s="1">
        <f t="shared" ref="J4:J67" ca="1" si="6">RANDBETWEEN(1,39)</f>
        <v>8</v>
      </c>
      <c r="K4" s="1">
        <f t="shared" ref="K4:K67" ca="1" si="7">RAND()*(3-1)+1</f>
        <v>1.6413703692232704</v>
      </c>
      <c r="L4" s="1">
        <f t="shared" ref="L4:L67" ca="1" si="8">RANDBETWEEN(2,35)</f>
        <v>10</v>
      </c>
      <c r="M4" s="1"/>
      <c r="N4" s="1">
        <f t="shared" ref="N4:N67" ca="1" si="9">RANDBETWEEN(15,1000)</f>
        <v>130</v>
      </c>
      <c r="O4" s="1">
        <f t="shared" ref="O4:O67" ca="1" si="10">RANDBETWEEN(2,52)</f>
        <v>5</v>
      </c>
      <c r="P4" s="1"/>
      <c r="Q4" s="1">
        <f t="shared" ref="Q4:Q67" ca="1" si="11">RAND()*(5-0.01)+0.01</f>
        <v>1.4910189970811925</v>
      </c>
      <c r="R4" s="1">
        <f t="shared" ref="R4:R67" ca="1" si="12">RANDBETWEEN(200,1200)</f>
        <v>1040</v>
      </c>
      <c r="S4" s="1"/>
      <c r="T4" s="1">
        <f t="shared" ref="T4:T67" ca="1" si="13">RAND()*(0.2-0.01)+0.01</f>
        <v>0.1364400484701582</v>
      </c>
      <c r="U4" s="1">
        <f t="shared" ref="U4:U67" ca="1" si="14">RANDBETWEEN(50,450)</f>
        <v>302</v>
      </c>
      <c r="V4" s="1">
        <f t="shared" ref="V4:V67" ca="1" si="15">RANDBETWEEN(2,52)</f>
        <v>44</v>
      </c>
      <c r="W4" s="1"/>
      <c r="X4" s="1">
        <f t="shared" ref="X4:X67" ca="1" si="16">RAND()*(10-0.01)+0.01</f>
        <v>9.5687778666266947</v>
      </c>
      <c r="Y4" s="1">
        <f t="shared" ref="Y4:Y67" ca="1" si="17">RAND()*(1-0.0001)+0.0001</f>
        <v>0.5413344705032398</v>
      </c>
      <c r="Z4" s="1">
        <f t="shared" ref="Z4:Z67" ca="1" si="18">RANDBETWEEN(100,2000)</f>
        <v>1825</v>
      </c>
      <c r="AB4" s="1">
        <f t="shared" ref="AB4:AB67" ca="1" si="19">RAND()*(1-0.0001)+0.0001</f>
        <v>0.62042976549514661</v>
      </c>
      <c r="AC4" s="1">
        <f t="shared" ref="AC4:AC67" ca="1" si="20">RANDBETWEEN(100,1000)</f>
        <v>191</v>
      </c>
      <c r="AD4" s="1">
        <f t="shared" ref="AD4:AD67" ca="1" si="21">RAND()*(0.01-0.00001)+0.00001</f>
        <v>1.4013246340995839E-4</v>
      </c>
      <c r="AE4" s="1"/>
      <c r="AF4" s="1">
        <f t="shared" ref="AF4:AF67" ca="1" si="22">RAND()*(0.9-0.1)+0.1</f>
        <v>0.82124620987365649</v>
      </c>
      <c r="AG4" s="1">
        <f t="shared" ref="AG4:AG67" ca="1" si="23">RANDBETWEEN(100,1000)</f>
        <v>479</v>
      </c>
      <c r="AH4" s="1">
        <f t="shared" ref="AH4:AH67" ca="1" si="24">RAND()*(0.01-0.00001)+0.00001</f>
        <v>5.528243567254355E-3</v>
      </c>
      <c r="AJ4" s="1">
        <f t="shared" ref="AJ4:AJ67" ca="1" si="25">RAND()*(1-0)+0</f>
        <v>3.7416989217108565E-2</v>
      </c>
      <c r="AK4" s="1">
        <f t="shared" ref="AK4:AK67" ca="1" si="26">RAND()*(0.01-0.00001)+0.00001</f>
        <v>3.6443193201710299E-3</v>
      </c>
      <c r="AL4" s="1"/>
      <c r="AM4" s="1">
        <f t="shared" ref="AM4:AM67" ca="1" si="27">RAND()*(0.2-0.005)+0.005</f>
        <v>0.18099776637570628</v>
      </c>
      <c r="AN4" s="1">
        <f t="shared" ref="AN4:AN67" ca="1" si="28">RANDBETWEEN(10,80)</f>
        <v>46</v>
      </c>
      <c r="AO4" s="1">
        <f t="shared" ref="AO4:AO67" ca="1" si="29">RANDBETWEEN(-1,20)</f>
        <v>20</v>
      </c>
    </row>
    <row r="5" spans="2:49" x14ac:dyDescent="0.25">
      <c r="B5">
        <f t="shared" ca="1" si="0"/>
        <v>899</v>
      </c>
      <c r="C5">
        <f t="shared" ca="1" si="1"/>
        <v>46</v>
      </c>
      <c r="D5">
        <f t="shared" ca="1" si="2"/>
        <v>0.18746972314428095</v>
      </c>
      <c r="F5" s="1">
        <f t="shared" ca="1" si="3"/>
        <v>41</v>
      </c>
      <c r="G5" s="1">
        <f t="shared" ca="1" si="4"/>
        <v>13</v>
      </c>
      <c r="H5" s="1">
        <f t="shared" ca="1" si="5"/>
        <v>4</v>
      </c>
      <c r="I5" s="1"/>
      <c r="J5" s="1">
        <f t="shared" ca="1" si="6"/>
        <v>31</v>
      </c>
      <c r="K5" s="1">
        <f t="shared" ca="1" si="7"/>
        <v>1.1150905064102081</v>
      </c>
      <c r="L5" s="1">
        <f t="shared" ca="1" si="8"/>
        <v>3</v>
      </c>
      <c r="M5" s="1"/>
      <c r="N5" s="1">
        <f t="shared" ca="1" si="9"/>
        <v>776</v>
      </c>
      <c r="O5" s="1">
        <f t="shared" ca="1" si="10"/>
        <v>46</v>
      </c>
      <c r="P5" s="1"/>
      <c r="Q5" s="1">
        <f t="shared" ca="1" si="11"/>
        <v>0.85508109801723275</v>
      </c>
      <c r="R5" s="1">
        <f t="shared" ca="1" si="12"/>
        <v>1138</v>
      </c>
      <c r="S5" s="1"/>
      <c r="T5" s="1">
        <f t="shared" ca="1" si="13"/>
        <v>0.10374861829554047</v>
      </c>
      <c r="U5" s="1">
        <f t="shared" ca="1" si="14"/>
        <v>301</v>
      </c>
      <c r="V5" s="1">
        <f t="shared" ca="1" si="15"/>
        <v>38</v>
      </c>
      <c r="W5" s="1"/>
      <c r="X5" s="1">
        <f t="shared" ca="1" si="16"/>
        <v>8.5699576357663769</v>
      </c>
      <c r="Y5" s="1">
        <f t="shared" ca="1" si="17"/>
        <v>0.63320382473447245</v>
      </c>
      <c r="Z5" s="1">
        <f t="shared" ca="1" si="18"/>
        <v>1488</v>
      </c>
      <c r="AB5" s="1">
        <f t="shared" ca="1" si="19"/>
        <v>0.32441587525069188</v>
      </c>
      <c r="AC5" s="1">
        <f t="shared" ca="1" si="20"/>
        <v>985</v>
      </c>
      <c r="AD5" s="1">
        <f t="shared" ca="1" si="21"/>
        <v>6.1465852052308646E-4</v>
      </c>
      <c r="AE5" s="1"/>
      <c r="AF5" s="1">
        <f t="shared" ca="1" si="22"/>
        <v>0.41809171798623634</v>
      </c>
      <c r="AG5" s="1">
        <f t="shared" ca="1" si="23"/>
        <v>237</v>
      </c>
      <c r="AH5" s="1">
        <f t="shared" ca="1" si="24"/>
        <v>2.2325884263941658E-3</v>
      </c>
      <c r="AJ5" s="1">
        <f t="shared" ca="1" si="25"/>
        <v>0.46856281304690761</v>
      </c>
      <c r="AK5" s="1">
        <f t="shared" ca="1" si="26"/>
        <v>9.3449934829946246E-3</v>
      </c>
      <c r="AL5" s="1"/>
      <c r="AM5" s="1">
        <f t="shared" ca="1" si="27"/>
        <v>6.2216931644018543E-2</v>
      </c>
      <c r="AN5" s="1">
        <f t="shared" ca="1" si="28"/>
        <v>30</v>
      </c>
      <c r="AO5" s="1">
        <f t="shared" ca="1" si="29"/>
        <v>8</v>
      </c>
    </row>
    <row r="6" spans="2:49" x14ac:dyDescent="0.25">
      <c r="B6">
        <f t="shared" ca="1" si="0"/>
        <v>512</v>
      </c>
      <c r="C6">
        <f t="shared" ca="1" si="1"/>
        <v>18</v>
      </c>
      <c r="D6">
        <f t="shared" ca="1" si="2"/>
        <v>0.11597048262146932</v>
      </c>
      <c r="F6" s="1">
        <f t="shared" ca="1" si="3"/>
        <v>42</v>
      </c>
      <c r="G6" s="1">
        <f t="shared" ca="1" si="4"/>
        <v>13</v>
      </c>
      <c r="H6" s="1">
        <f t="shared" ca="1" si="5"/>
        <v>4</v>
      </c>
      <c r="I6" s="1"/>
      <c r="J6" s="1">
        <f t="shared" ca="1" si="6"/>
        <v>15</v>
      </c>
      <c r="K6" s="1">
        <f t="shared" ca="1" si="7"/>
        <v>1.7197918677923636</v>
      </c>
      <c r="L6" s="1">
        <f t="shared" ca="1" si="8"/>
        <v>29</v>
      </c>
      <c r="M6" s="1"/>
      <c r="N6" s="1">
        <f t="shared" ca="1" si="9"/>
        <v>895</v>
      </c>
      <c r="O6" s="1">
        <f t="shared" ca="1" si="10"/>
        <v>4</v>
      </c>
      <c r="P6" s="1"/>
      <c r="Q6" s="1">
        <f t="shared" ca="1" si="11"/>
        <v>1.7159233895377073</v>
      </c>
      <c r="R6" s="1">
        <f t="shared" ca="1" si="12"/>
        <v>512</v>
      </c>
      <c r="S6" s="1"/>
      <c r="T6" s="1">
        <f t="shared" ca="1" si="13"/>
        <v>0.16128101437568609</v>
      </c>
      <c r="U6" s="1">
        <f t="shared" ca="1" si="14"/>
        <v>199</v>
      </c>
      <c r="V6" s="1">
        <f t="shared" ca="1" si="15"/>
        <v>43</v>
      </c>
      <c r="W6" s="1"/>
      <c r="X6" s="1">
        <f t="shared" ca="1" si="16"/>
        <v>5.1587926707103513</v>
      </c>
      <c r="Y6" s="1">
        <f t="shared" ca="1" si="17"/>
        <v>0.72344365135778732</v>
      </c>
      <c r="Z6" s="1">
        <f t="shared" ca="1" si="18"/>
        <v>481</v>
      </c>
      <c r="AB6" s="1">
        <f t="shared" ca="1" si="19"/>
        <v>0.1957469875013014</v>
      </c>
      <c r="AC6" s="1">
        <f t="shared" ca="1" si="20"/>
        <v>287</v>
      </c>
      <c r="AD6" s="1">
        <f t="shared" ca="1" si="21"/>
        <v>3.2939611864635293E-3</v>
      </c>
      <c r="AE6" s="1"/>
      <c r="AF6" s="1">
        <f t="shared" ca="1" si="22"/>
        <v>0.19526256709980877</v>
      </c>
      <c r="AG6" s="1">
        <f t="shared" ca="1" si="23"/>
        <v>661</v>
      </c>
      <c r="AH6" s="1">
        <f t="shared" ca="1" si="24"/>
        <v>3.503371463092585E-3</v>
      </c>
      <c r="AJ6" s="1">
        <f t="shared" ca="1" si="25"/>
        <v>0.9823616766239911</v>
      </c>
      <c r="AK6" s="1">
        <f t="shared" ca="1" si="26"/>
        <v>5.5655736767557355E-3</v>
      </c>
      <c r="AL6" s="1"/>
      <c r="AM6" s="1">
        <f t="shared" ca="1" si="27"/>
        <v>8.5065953606294917E-2</v>
      </c>
      <c r="AN6" s="1">
        <f t="shared" ca="1" si="28"/>
        <v>45</v>
      </c>
      <c r="AO6" s="1">
        <f t="shared" ca="1" si="29"/>
        <v>15</v>
      </c>
    </row>
    <row r="7" spans="2:49" x14ac:dyDescent="0.25">
      <c r="B7">
        <f t="shared" ca="1" si="0"/>
        <v>925</v>
      </c>
      <c r="C7">
        <f t="shared" ca="1" si="1"/>
        <v>42</v>
      </c>
      <c r="D7">
        <f t="shared" ca="1" si="2"/>
        <v>0.10187652071083064</v>
      </c>
      <c r="F7" s="1">
        <f t="shared" ca="1" si="3"/>
        <v>22</v>
      </c>
      <c r="G7" s="1">
        <f t="shared" ca="1" si="4"/>
        <v>28</v>
      </c>
      <c r="H7" s="1">
        <f t="shared" ca="1" si="5"/>
        <v>3</v>
      </c>
      <c r="I7" s="1"/>
      <c r="J7" s="1">
        <f t="shared" ca="1" si="6"/>
        <v>21</v>
      </c>
      <c r="K7" s="1">
        <f t="shared" ca="1" si="7"/>
        <v>2.9838491640810356</v>
      </c>
      <c r="L7" s="1">
        <f t="shared" ca="1" si="8"/>
        <v>3</v>
      </c>
      <c r="M7" s="1"/>
      <c r="N7" s="1">
        <f t="shared" ca="1" si="9"/>
        <v>993</v>
      </c>
      <c r="O7" s="1">
        <f t="shared" ca="1" si="10"/>
        <v>28</v>
      </c>
      <c r="P7" s="1"/>
      <c r="Q7" s="1">
        <f t="shared" ca="1" si="11"/>
        <v>9.1503677644652531E-2</v>
      </c>
      <c r="R7" s="1">
        <f t="shared" ca="1" si="12"/>
        <v>1107</v>
      </c>
      <c r="S7" s="1"/>
      <c r="T7" s="1">
        <f t="shared" ca="1" si="13"/>
        <v>0.15862595173169489</v>
      </c>
      <c r="U7" s="1">
        <f t="shared" ca="1" si="14"/>
        <v>395</v>
      </c>
      <c r="V7" s="1">
        <f t="shared" ca="1" si="15"/>
        <v>20</v>
      </c>
      <c r="W7" s="1"/>
      <c r="X7" s="1">
        <f t="shared" ca="1" si="16"/>
        <v>8.8657968014663009</v>
      </c>
      <c r="Y7" s="1">
        <f t="shared" ca="1" si="17"/>
        <v>0.51696194708299537</v>
      </c>
      <c r="Z7" s="1">
        <f t="shared" ca="1" si="18"/>
        <v>1885</v>
      </c>
      <c r="AB7" s="1">
        <f t="shared" ca="1" si="19"/>
        <v>0.65868292582445409</v>
      </c>
      <c r="AC7" s="1">
        <f t="shared" ca="1" si="20"/>
        <v>832</v>
      </c>
      <c r="AD7" s="1">
        <f t="shared" ca="1" si="21"/>
        <v>3.3300446202745074E-3</v>
      </c>
      <c r="AE7" s="1"/>
      <c r="AF7" s="1">
        <f t="shared" ca="1" si="22"/>
        <v>0.56240129370091452</v>
      </c>
      <c r="AG7" s="1">
        <f t="shared" ca="1" si="23"/>
        <v>872</v>
      </c>
      <c r="AH7" s="1">
        <f t="shared" ca="1" si="24"/>
        <v>1.8753282997945178E-5</v>
      </c>
      <c r="AJ7" s="1">
        <f t="shared" ca="1" si="25"/>
        <v>0.5426874576202374</v>
      </c>
      <c r="AK7" s="1">
        <f t="shared" ca="1" si="26"/>
        <v>4.7790717229747766E-3</v>
      </c>
      <c r="AL7" s="1"/>
      <c r="AM7" s="1">
        <f t="shared" ca="1" si="27"/>
        <v>0.18639430360665504</v>
      </c>
      <c r="AN7" s="1">
        <f t="shared" ca="1" si="28"/>
        <v>52</v>
      </c>
      <c r="AO7" s="1">
        <f t="shared" ca="1" si="29"/>
        <v>4</v>
      </c>
    </row>
    <row r="8" spans="2:49" x14ac:dyDescent="0.25">
      <c r="B8">
        <f t="shared" ca="1" si="0"/>
        <v>717</v>
      </c>
      <c r="C8">
        <f t="shared" ca="1" si="1"/>
        <v>14</v>
      </c>
      <c r="D8">
        <f t="shared" ca="1" si="2"/>
        <v>6.8158272010227811E-2</v>
      </c>
      <c r="F8" s="1">
        <f t="shared" ca="1" si="3"/>
        <v>14</v>
      </c>
      <c r="G8" s="1">
        <f t="shared" ca="1" si="4"/>
        <v>26</v>
      </c>
      <c r="H8" s="1">
        <f t="shared" ca="1" si="5"/>
        <v>10</v>
      </c>
      <c r="I8" s="1"/>
      <c r="J8" s="1">
        <f t="shared" ca="1" si="6"/>
        <v>30</v>
      </c>
      <c r="K8" s="1">
        <f t="shared" ca="1" si="7"/>
        <v>1.7478893112169527</v>
      </c>
      <c r="L8" s="1">
        <f t="shared" ca="1" si="8"/>
        <v>33</v>
      </c>
      <c r="M8" s="1"/>
      <c r="N8" s="1">
        <f t="shared" ca="1" si="9"/>
        <v>127</v>
      </c>
      <c r="O8" s="1">
        <f t="shared" ca="1" si="10"/>
        <v>52</v>
      </c>
      <c r="P8" s="1"/>
      <c r="Q8" s="1">
        <f t="shared" ca="1" si="11"/>
        <v>4.7091429025166596</v>
      </c>
      <c r="R8" s="1">
        <f t="shared" ca="1" si="12"/>
        <v>800</v>
      </c>
      <c r="S8" s="1"/>
      <c r="T8" s="1">
        <f t="shared" ca="1" si="13"/>
        <v>2.6872738890740058E-2</v>
      </c>
      <c r="U8" s="1">
        <f t="shared" ca="1" si="14"/>
        <v>201</v>
      </c>
      <c r="V8" s="1">
        <f t="shared" ca="1" si="15"/>
        <v>30</v>
      </c>
      <c r="W8" s="1"/>
      <c r="X8" s="1">
        <f t="shared" ca="1" si="16"/>
        <v>7.6538096136031122</v>
      </c>
      <c r="Y8" s="1">
        <f t="shared" ca="1" si="17"/>
        <v>0.49164021311797196</v>
      </c>
      <c r="Z8" s="1">
        <f t="shared" ca="1" si="18"/>
        <v>1813</v>
      </c>
      <c r="AB8" s="1">
        <f t="shared" ca="1" si="19"/>
        <v>0.99142810596886854</v>
      </c>
      <c r="AC8" s="1">
        <f t="shared" ca="1" si="20"/>
        <v>454</v>
      </c>
      <c r="AD8" s="1">
        <f t="shared" ca="1" si="21"/>
        <v>2.1318055074119485E-3</v>
      </c>
      <c r="AE8" s="1"/>
      <c r="AF8" s="1">
        <f t="shared" ca="1" si="22"/>
        <v>0.5421028647286027</v>
      </c>
      <c r="AG8" s="1">
        <f t="shared" ca="1" si="23"/>
        <v>492</v>
      </c>
      <c r="AH8" s="1">
        <f t="shared" ca="1" si="24"/>
        <v>8.1090743859916804E-3</v>
      </c>
      <c r="AJ8" s="1">
        <f t="shared" ca="1" si="25"/>
        <v>0.2709257655952424</v>
      </c>
      <c r="AK8" s="1">
        <f t="shared" ca="1" si="26"/>
        <v>1.8684445074263738E-3</v>
      </c>
      <c r="AL8" s="1"/>
      <c r="AM8" s="1">
        <f t="shared" ca="1" si="27"/>
        <v>7.4192936093282286E-2</v>
      </c>
      <c r="AN8" s="1">
        <f t="shared" ca="1" si="28"/>
        <v>47</v>
      </c>
      <c r="AO8" s="1">
        <f t="shared" ca="1" si="29"/>
        <v>6</v>
      </c>
    </row>
    <row r="9" spans="2:49" x14ac:dyDescent="0.25">
      <c r="B9">
        <f t="shared" ca="1" si="0"/>
        <v>578</v>
      </c>
      <c r="C9">
        <f t="shared" ca="1" si="1"/>
        <v>24</v>
      </c>
      <c r="D9">
        <f t="shared" ca="1" si="2"/>
        <v>0.19806849613976149</v>
      </c>
      <c r="F9" s="1">
        <f t="shared" ca="1" si="3"/>
        <v>13</v>
      </c>
      <c r="G9" s="1">
        <f t="shared" ca="1" si="4"/>
        <v>14</v>
      </c>
      <c r="H9" s="1">
        <f t="shared" ca="1" si="5"/>
        <v>4</v>
      </c>
      <c r="I9" s="1"/>
      <c r="J9" s="1">
        <f t="shared" ca="1" si="6"/>
        <v>38</v>
      </c>
      <c r="K9" s="1">
        <f t="shared" ca="1" si="7"/>
        <v>2.9828793612055136</v>
      </c>
      <c r="L9" s="1">
        <f t="shared" ca="1" si="8"/>
        <v>2</v>
      </c>
      <c r="M9" s="1"/>
      <c r="N9" s="1">
        <f t="shared" ca="1" si="9"/>
        <v>652</v>
      </c>
      <c r="O9" s="1">
        <f t="shared" ca="1" si="10"/>
        <v>22</v>
      </c>
      <c r="P9" s="1"/>
      <c r="Q9" s="1">
        <f t="shared" ca="1" si="11"/>
        <v>4.4015945082939156</v>
      </c>
      <c r="R9" s="1">
        <f t="shared" ca="1" si="12"/>
        <v>646</v>
      </c>
      <c r="S9" s="1"/>
      <c r="T9" s="1">
        <f t="shared" ca="1" si="13"/>
        <v>0.19953490883757008</v>
      </c>
      <c r="U9" s="1">
        <f t="shared" ca="1" si="14"/>
        <v>302</v>
      </c>
      <c r="V9" s="1">
        <f t="shared" ca="1" si="15"/>
        <v>21</v>
      </c>
      <c r="W9" s="1"/>
      <c r="X9" s="1">
        <f t="shared" ca="1" si="16"/>
        <v>6.7873566944311277</v>
      </c>
      <c r="Y9" s="1">
        <f t="shared" ca="1" si="17"/>
        <v>0.99197089696194896</v>
      </c>
      <c r="Z9" s="1">
        <f t="shared" ca="1" si="18"/>
        <v>305</v>
      </c>
      <c r="AB9" s="1">
        <f t="shared" ca="1" si="19"/>
        <v>0.28631949311390448</v>
      </c>
      <c r="AC9" s="1">
        <f t="shared" ca="1" si="20"/>
        <v>516</v>
      </c>
      <c r="AD9" s="1">
        <f t="shared" ca="1" si="21"/>
        <v>7.1013184370807879E-3</v>
      </c>
      <c r="AE9" s="1"/>
      <c r="AF9" s="1">
        <f t="shared" ca="1" si="22"/>
        <v>0.40069053494153495</v>
      </c>
      <c r="AG9" s="1">
        <f t="shared" ca="1" si="23"/>
        <v>399</v>
      </c>
      <c r="AH9" s="1">
        <f t="shared" ca="1" si="24"/>
        <v>7.3041525911034886E-3</v>
      </c>
      <c r="AJ9" s="1">
        <f t="shared" ca="1" si="25"/>
        <v>0.90548015196204257</v>
      </c>
      <c r="AK9" s="1">
        <f t="shared" ca="1" si="26"/>
        <v>8.410768256468918E-3</v>
      </c>
      <c r="AL9" s="1"/>
      <c r="AM9" s="1">
        <f t="shared" ca="1" si="27"/>
        <v>2.0066910850227396E-2</v>
      </c>
      <c r="AN9" s="1">
        <f t="shared" ca="1" si="28"/>
        <v>11</v>
      </c>
      <c r="AO9" s="1">
        <f t="shared" ca="1" si="29"/>
        <v>18</v>
      </c>
    </row>
    <row r="10" spans="2:49" x14ac:dyDescent="0.25">
      <c r="B10">
        <f t="shared" ca="1" si="0"/>
        <v>990</v>
      </c>
      <c r="C10">
        <f t="shared" ca="1" si="1"/>
        <v>2</v>
      </c>
      <c r="D10">
        <f t="shared" ca="1" si="2"/>
        <v>9.739062417976091E-2</v>
      </c>
      <c r="F10" s="1">
        <f t="shared" ca="1" si="3"/>
        <v>21</v>
      </c>
      <c r="G10" s="1">
        <f t="shared" ca="1" si="4"/>
        <v>7</v>
      </c>
      <c r="H10" s="1">
        <f t="shared" ca="1" si="5"/>
        <v>14</v>
      </c>
      <c r="I10" s="1"/>
      <c r="J10" s="1">
        <f t="shared" ca="1" si="6"/>
        <v>18</v>
      </c>
      <c r="K10" s="1">
        <f t="shared" ca="1" si="7"/>
        <v>1.2479809320936135</v>
      </c>
      <c r="L10" s="1">
        <f t="shared" ca="1" si="8"/>
        <v>17</v>
      </c>
      <c r="M10" s="1"/>
      <c r="N10" s="1">
        <f t="shared" ca="1" si="9"/>
        <v>605</v>
      </c>
      <c r="O10" s="1">
        <f t="shared" ca="1" si="10"/>
        <v>8</v>
      </c>
      <c r="P10" s="1"/>
      <c r="Q10" s="1">
        <f t="shared" ca="1" si="11"/>
        <v>1.3330334553569414</v>
      </c>
      <c r="R10" s="1">
        <f t="shared" ca="1" si="12"/>
        <v>1146</v>
      </c>
      <c r="S10" s="1"/>
      <c r="T10" s="1">
        <f t="shared" ca="1" si="13"/>
        <v>0.17315633415359916</v>
      </c>
      <c r="U10" s="1">
        <f t="shared" ca="1" si="14"/>
        <v>281</v>
      </c>
      <c r="V10" s="1">
        <f t="shared" ca="1" si="15"/>
        <v>47</v>
      </c>
      <c r="W10" s="1"/>
      <c r="X10" s="1">
        <f t="shared" ca="1" si="16"/>
        <v>9.0076937389094045</v>
      </c>
      <c r="Y10" s="1">
        <f t="shared" ca="1" si="17"/>
        <v>0.95977111346784938</v>
      </c>
      <c r="Z10" s="1">
        <f t="shared" ca="1" si="18"/>
        <v>1486</v>
      </c>
      <c r="AB10" s="1">
        <f t="shared" ca="1" si="19"/>
        <v>9.1152535911712573E-2</v>
      </c>
      <c r="AC10" s="1">
        <f t="shared" ca="1" si="20"/>
        <v>722</v>
      </c>
      <c r="AD10" s="1">
        <f t="shared" ca="1" si="21"/>
        <v>8.5820266789910313E-3</v>
      </c>
      <c r="AE10" s="1"/>
      <c r="AF10" s="1">
        <f t="shared" ca="1" si="22"/>
        <v>0.7145566756960362</v>
      </c>
      <c r="AG10" s="1">
        <f t="shared" ca="1" si="23"/>
        <v>627</v>
      </c>
      <c r="AH10" s="1">
        <f t="shared" ca="1" si="24"/>
        <v>7.1968304849800513E-3</v>
      </c>
      <c r="AJ10" s="1">
        <f t="shared" ca="1" si="25"/>
        <v>0.83494125837377786</v>
      </c>
      <c r="AK10" s="1">
        <f t="shared" ca="1" si="26"/>
        <v>5.5608983283333647E-3</v>
      </c>
      <c r="AL10" s="1"/>
      <c r="AM10" s="1">
        <f t="shared" ca="1" si="27"/>
        <v>5.5558842870767525E-2</v>
      </c>
      <c r="AN10" s="1">
        <f t="shared" ca="1" si="28"/>
        <v>72</v>
      </c>
      <c r="AO10" s="1">
        <f t="shared" ca="1" si="29"/>
        <v>-1</v>
      </c>
    </row>
    <row r="11" spans="2:49" x14ac:dyDescent="0.25">
      <c r="B11">
        <f t="shared" ca="1" si="0"/>
        <v>474</v>
      </c>
      <c r="C11">
        <f t="shared" ca="1" si="1"/>
        <v>23</v>
      </c>
      <c r="D11">
        <f t="shared" ca="1" si="2"/>
        <v>0.10483614566506308</v>
      </c>
      <c r="F11" s="1">
        <f t="shared" ca="1" si="3"/>
        <v>27</v>
      </c>
      <c r="G11" s="1">
        <f t="shared" ca="1" si="4"/>
        <v>15</v>
      </c>
      <c r="H11" s="1">
        <f t="shared" ca="1" si="5"/>
        <v>5</v>
      </c>
      <c r="I11" s="1"/>
      <c r="J11" s="1">
        <f t="shared" ca="1" si="6"/>
        <v>15</v>
      </c>
      <c r="K11" s="1">
        <f t="shared" ca="1" si="7"/>
        <v>1.2321841973224756</v>
      </c>
      <c r="L11" s="1">
        <f t="shared" ca="1" si="8"/>
        <v>27</v>
      </c>
      <c r="M11" s="1"/>
      <c r="N11" s="1">
        <f t="shared" ca="1" si="9"/>
        <v>984</v>
      </c>
      <c r="O11" s="1">
        <f t="shared" ca="1" si="10"/>
        <v>4</v>
      </c>
      <c r="P11" s="1"/>
      <c r="Q11" s="1">
        <f t="shared" ca="1" si="11"/>
        <v>0.21685296096507195</v>
      </c>
      <c r="R11" s="1">
        <f t="shared" ca="1" si="12"/>
        <v>1041</v>
      </c>
      <c r="S11" s="1"/>
      <c r="T11" s="1">
        <f t="shared" ca="1" si="13"/>
        <v>7.162977370657575E-2</v>
      </c>
      <c r="U11" s="1">
        <f t="shared" ca="1" si="14"/>
        <v>125</v>
      </c>
      <c r="V11" s="1">
        <f t="shared" ca="1" si="15"/>
        <v>27</v>
      </c>
      <c r="W11" s="1"/>
      <c r="X11" s="1">
        <f t="shared" ca="1" si="16"/>
        <v>5.6573376225325838</v>
      </c>
      <c r="Y11" s="1">
        <f t="shared" ca="1" si="17"/>
        <v>0.91035474766439728</v>
      </c>
      <c r="Z11" s="1">
        <f t="shared" ca="1" si="18"/>
        <v>615</v>
      </c>
      <c r="AB11" s="1">
        <f t="shared" ca="1" si="19"/>
        <v>6.6878251039308223E-2</v>
      </c>
      <c r="AC11" s="1">
        <f t="shared" ca="1" si="20"/>
        <v>587</v>
      </c>
      <c r="AD11" s="1">
        <f t="shared" ca="1" si="21"/>
        <v>6.197836758229984E-3</v>
      </c>
      <c r="AE11" s="1"/>
      <c r="AF11" s="1">
        <f t="shared" ca="1" si="22"/>
        <v>0.51976338272930034</v>
      </c>
      <c r="AG11" s="1">
        <f t="shared" ca="1" si="23"/>
        <v>956</v>
      </c>
      <c r="AH11" s="1">
        <f t="shared" ca="1" si="24"/>
        <v>3.953179172906259E-3</v>
      </c>
      <c r="AJ11" s="1">
        <f t="shared" ca="1" si="25"/>
        <v>0.41060127400873003</v>
      </c>
      <c r="AK11" s="1">
        <f t="shared" ca="1" si="26"/>
        <v>7.2988907158283078E-3</v>
      </c>
      <c r="AL11" s="1"/>
      <c r="AM11" s="1">
        <f t="shared" ca="1" si="27"/>
        <v>0.12689074467338632</v>
      </c>
      <c r="AN11" s="1">
        <f t="shared" ca="1" si="28"/>
        <v>30</v>
      </c>
      <c r="AO11" s="1">
        <f t="shared" ca="1" si="29"/>
        <v>13</v>
      </c>
    </row>
    <row r="12" spans="2:49" x14ac:dyDescent="0.25">
      <c r="B12">
        <f t="shared" ca="1" si="0"/>
        <v>254</v>
      </c>
      <c r="C12">
        <f t="shared" ca="1" si="1"/>
        <v>36</v>
      </c>
      <c r="D12">
        <f t="shared" ca="1" si="2"/>
        <v>0.18842590423842617</v>
      </c>
      <c r="F12" s="1">
        <f t="shared" ca="1" si="3"/>
        <v>50</v>
      </c>
      <c r="G12" s="1">
        <f t="shared" ca="1" si="4"/>
        <v>29</v>
      </c>
      <c r="H12" s="1">
        <f t="shared" ca="1" si="5"/>
        <v>8</v>
      </c>
      <c r="I12" s="1"/>
      <c r="J12" s="1">
        <f t="shared" ca="1" si="6"/>
        <v>26</v>
      </c>
      <c r="K12" s="1">
        <f t="shared" ca="1" si="7"/>
        <v>1.4414031547853632</v>
      </c>
      <c r="L12" s="1">
        <f t="shared" ca="1" si="8"/>
        <v>6</v>
      </c>
      <c r="M12" s="1"/>
      <c r="N12" s="1">
        <f t="shared" ca="1" si="9"/>
        <v>871</v>
      </c>
      <c r="O12" s="1">
        <f t="shared" ca="1" si="10"/>
        <v>32</v>
      </c>
      <c r="P12" s="1"/>
      <c r="Q12" s="1">
        <f t="shared" ca="1" si="11"/>
        <v>4.4506300264549186</v>
      </c>
      <c r="R12" s="1">
        <f t="shared" ca="1" si="12"/>
        <v>1065</v>
      </c>
      <c r="S12" s="1"/>
      <c r="T12" s="1">
        <f t="shared" ca="1" si="13"/>
        <v>1.5659485786909309E-2</v>
      </c>
      <c r="U12" s="1">
        <f t="shared" ca="1" si="14"/>
        <v>123</v>
      </c>
      <c r="V12" s="1">
        <f t="shared" ca="1" si="15"/>
        <v>21</v>
      </c>
      <c r="W12" s="1"/>
      <c r="X12" s="1">
        <f t="shared" ca="1" si="16"/>
        <v>2.5580914610195338</v>
      </c>
      <c r="Y12" s="1">
        <f t="shared" ca="1" si="17"/>
        <v>0.1594951781870361</v>
      </c>
      <c r="Z12" s="1">
        <f t="shared" ca="1" si="18"/>
        <v>1909</v>
      </c>
      <c r="AB12" s="1">
        <f t="shared" ca="1" si="19"/>
        <v>0.92637843145827359</v>
      </c>
      <c r="AC12" s="1">
        <f t="shared" ca="1" si="20"/>
        <v>807</v>
      </c>
      <c r="AD12" s="1">
        <f t="shared" ca="1" si="21"/>
        <v>7.7889147451542205E-3</v>
      </c>
      <c r="AE12" s="1"/>
      <c r="AF12" s="1">
        <f t="shared" ca="1" si="22"/>
        <v>0.37848138187970393</v>
      </c>
      <c r="AG12" s="1">
        <f t="shared" ca="1" si="23"/>
        <v>215</v>
      </c>
      <c r="AH12" s="1">
        <f t="shared" ca="1" si="24"/>
        <v>5.8303238122421885E-3</v>
      </c>
      <c r="AJ12" s="1">
        <f t="shared" ca="1" si="25"/>
        <v>0.16055033093014592</v>
      </c>
      <c r="AK12" s="1">
        <f t="shared" ca="1" si="26"/>
        <v>7.1054495540622108E-3</v>
      </c>
      <c r="AL12" s="1"/>
      <c r="AM12" s="1">
        <f t="shared" ca="1" si="27"/>
        <v>0.13718258123050192</v>
      </c>
      <c r="AN12" s="1">
        <f t="shared" ca="1" si="28"/>
        <v>36</v>
      </c>
      <c r="AO12" s="1">
        <f t="shared" ca="1" si="29"/>
        <v>17</v>
      </c>
    </row>
    <row r="13" spans="2:49" x14ac:dyDescent="0.25">
      <c r="B13">
        <f t="shared" ca="1" si="0"/>
        <v>204</v>
      </c>
      <c r="C13">
        <f t="shared" ca="1" si="1"/>
        <v>44</v>
      </c>
      <c r="D13">
        <f t="shared" ca="1" si="2"/>
        <v>0.27892953065900489</v>
      </c>
      <c r="F13" s="1">
        <f t="shared" ca="1" si="3"/>
        <v>50</v>
      </c>
      <c r="G13" s="1">
        <f t="shared" ca="1" si="4"/>
        <v>3</v>
      </c>
      <c r="H13" s="1">
        <f t="shared" ca="1" si="5"/>
        <v>14</v>
      </c>
      <c r="I13" s="1"/>
      <c r="J13" s="1">
        <f t="shared" ca="1" si="6"/>
        <v>35</v>
      </c>
      <c r="K13" s="1">
        <f t="shared" ca="1" si="7"/>
        <v>1.4863978958599318</v>
      </c>
      <c r="L13" s="1">
        <f t="shared" ca="1" si="8"/>
        <v>22</v>
      </c>
      <c r="M13" s="1"/>
      <c r="N13" s="1">
        <f t="shared" ca="1" si="9"/>
        <v>44</v>
      </c>
      <c r="O13" s="1">
        <f t="shared" ca="1" si="10"/>
        <v>52</v>
      </c>
      <c r="P13" s="1"/>
      <c r="Q13" s="1">
        <f t="shared" ca="1" si="11"/>
        <v>0.30882326511522007</v>
      </c>
      <c r="R13" s="1">
        <f t="shared" ca="1" si="12"/>
        <v>753</v>
      </c>
      <c r="S13" s="1"/>
      <c r="T13" s="1">
        <f t="shared" ca="1" si="13"/>
        <v>6.6253089554238448E-2</v>
      </c>
      <c r="U13" s="1">
        <f t="shared" ca="1" si="14"/>
        <v>434</v>
      </c>
      <c r="V13" s="1">
        <f t="shared" ca="1" si="15"/>
        <v>51</v>
      </c>
      <c r="W13" s="1"/>
      <c r="X13" s="1">
        <f t="shared" ca="1" si="16"/>
        <v>0.91689786646834104</v>
      </c>
      <c r="Y13" s="1">
        <f t="shared" ca="1" si="17"/>
        <v>0.36970348009355236</v>
      </c>
      <c r="Z13" s="1">
        <f t="shared" ca="1" si="18"/>
        <v>1904</v>
      </c>
      <c r="AB13" s="1">
        <f t="shared" ca="1" si="19"/>
        <v>0.20797564073314825</v>
      </c>
      <c r="AC13" s="1">
        <f t="shared" ca="1" si="20"/>
        <v>550</v>
      </c>
      <c r="AD13" s="1">
        <f t="shared" ca="1" si="21"/>
        <v>7.6317470724972577E-3</v>
      </c>
      <c r="AE13" s="1"/>
      <c r="AF13" s="1">
        <f t="shared" ca="1" si="22"/>
        <v>0.80560633664996706</v>
      </c>
      <c r="AG13" s="1">
        <f t="shared" ca="1" si="23"/>
        <v>104</v>
      </c>
      <c r="AH13" s="1">
        <f t="shared" ca="1" si="24"/>
        <v>2.9897170691872282E-3</v>
      </c>
      <c r="AJ13" s="1">
        <f t="shared" ca="1" si="25"/>
        <v>0.87424184065776489</v>
      </c>
      <c r="AK13" s="1">
        <f t="shared" ca="1" si="26"/>
        <v>6.8805940848282697E-3</v>
      </c>
      <c r="AL13" s="1"/>
      <c r="AM13" s="1">
        <f t="shared" ca="1" si="27"/>
        <v>1.0673520278833502E-2</v>
      </c>
      <c r="AN13" s="1">
        <f t="shared" ca="1" si="28"/>
        <v>11</v>
      </c>
      <c r="AO13" s="1">
        <f t="shared" ca="1" si="29"/>
        <v>11</v>
      </c>
    </row>
    <row r="14" spans="2:49" x14ac:dyDescent="0.25">
      <c r="B14">
        <f t="shared" ca="1" si="0"/>
        <v>498</v>
      </c>
      <c r="C14">
        <f t="shared" ca="1" si="1"/>
        <v>35</v>
      </c>
      <c r="D14">
        <f t="shared" ca="1" si="2"/>
        <v>0.2487072004565786</v>
      </c>
      <c r="F14" s="1">
        <f t="shared" ca="1" si="3"/>
        <v>27</v>
      </c>
      <c r="G14" s="1">
        <f t="shared" ca="1" si="4"/>
        <v>11</v>
      </c>
      <c r="H14" s="1">
        <f t="shared" ca="1" si="5"/>
        <v>1</v>
      </c>
      <c r="I14" s="1"/>
      <c r="J14" s="1">
        <f t="shared" ca="1" si="6"/>
        <v>11</v>
      </c>
      <c r="K14" s="1">
        <f t="shared" ca="1" si="7"/>
        <v>2.6769819561564447</v>
      </c>
      <c r="L14" s="1">
        <f t="shared" ca="1" si="8"/>
        <v>28</v>
      </c>
      <c r="M14" s="1"/>
      <c r="N14" s="1">
        <f t="shared" ca="1" si="9"/>
        <v>635</v>
      </c>
      <c r="O14" s="1">
        <f t="shared" ca="1" si="10"/>
        <v>22</v>
      </c>
      <c r="P14" s="1"/>
      <c r="Q14" s="1">
        <f t="shared" ca="1" si="11"/>
        <v>1.3143394429995992</v>
      </c>
      <c r="R14" s="1">
        <f t="shared" ca="1" si="12"/>
        <v>885</v>
      </c>
      <c r="S14" s="1"/>
      <c r="T14" s="1">
        <f t="shared" ca="1" si="13"/>
        <v>2.8912772290041792E-2</v>
      </c>
      <c r="U14" s="1">
        <f t="shared" ca="1" si="14"/>
        <v>92</v>
      </c>
      <c r="V14" s="1">
        <f t="shared" ca="1" si="15"/>
        <v>26</v>
      </c>
      <c r="W14" s="1"/>
      <c r="X14" s="1">
        <f t="shared" ca="1" si="16"/>
        <v>5.6828283653777039</v>
      </c>
      <c r="Y14" s="1">
        <f t="shared" ca="1" si="17"/>
        <v>0.80026462616827754</v>
      </c>
      <c r="Z14" s="1">
        <f t="shared" ca="1" si="18"/>
        <v>1203</v>
      </c>
      <c r="AB14" s="1">
        <f t="shared" ca="1" si="19"/>
        <v>0.7644429554269403</v>
      </c>
      <c r="AC14" s="1">
        <f t="shared" ca="1" si="20"/>
        <v>107</v>
      </c>
      <c r="AD14" s="1">
        <f t="shared" ca="1" si="21"/>
        <v>4.9106207255947094E-3</v>
      </c>
      <c r="AE14" s="1"/>
      <c r="AF14" s="1">
        <f t="shared" ca="1" si="22"/>
        <v>0.615861531836563</v>
      </c>
      <c r="AG14" s="1">
        <f t="shared" ca="1" si="23"/>
        <v>683</v>
      </c>
      <c r="AH14" s="1">
        <f t="shared" ca="1" si="24"/>
        <v>6.032499755542803E-3</v>
      </c>
      <c r="AJ14" s="1">
        <f t="shared" ca="1" si="25"/>
        <v>0.76752986253596045</v>
      </c>
      <c r="AK14" s="1">
        <f t="shared" ca="1" si="26"/>
        <v>7.8378318486766688E-3</v>
      </c>
      <c r="AL14" s="1"/>
      <c r="AM14" s="1">
        <f t="shared" ca="1" si="27"/>
        <v>2.0141874709049677E-2</v>
      </c>
      <c r="AN14" s="1">
        <f t="shared" ca="1" si="28"/>
        <v>17</v>
      </c>
      <c r="AO14" s="1">
        <f t="shared" ca="1" si="29"/>
        <v>15</v>
      </c>
    </row>
    <row r="15" spans="2:49" x14ac:dyDescent="0.25">
      <c r="B15">
        <f t="shared" ca="1" si="0"/>
        <v>33</v>
      </c>
      <c r="C15">
        <f t="shared" ca="1" si="1"/>
        <v>30</v>
      </c>
      <c r="D15">
        <f t="shared" ca="1" si="2"/>
        <v>9.0735878680304763E-2</v>
      </c>
      <c r="F15" s="1">
        <f t="shared" ca="1" si="3"/>
        <v>3</v>
      </c>
      <c r="G15" s="1">
        <f t="shared" ca="1" si="4"/>
        <v>23</v>
      </c>
      <c r="H15" s="1">
        <f t="shared" ca="1" si="5"/>
        <v>14</v>
      </c>
      <c r="I15" s="1"/>
      <c r="J15" s="1">
        <f t="shared" ca="1" si="6"/>
        <v>26</v>
      </c>
      <c r="K15" s="1">
        <f t="shared" ca="1" si="7"/>
        <v>1.9731336474417123</v>
      </c>
      <c r="L15" s="1">
        <f t="shared" ca="1" si="8"/>
        <v>32</v>
      </c>
      <c r="M15" s="1"/>
      <c r="N15" s="1">
        <f t="shared" ca="1" si="9"/>
        <v>884</v>
      </c>
      <c r="O15" s="1">
        <f t="shared" ca="1" si="10"/>
        <v>7</v>
      </c>
      <c r="P15" s="1"/>
      <c r="Q15" s="1">
        <f t="shared" ca="1" si="11"/>
        <v>1.9850285509011603</v>
      </c>
      <c r="R15" s="1">
        <f t="shared" ca="1" si="12"/>
        <v>556</v>
      </c>
      <c r="S15" s="1"/>
      <c r="T15" s="1">
        <f t="shared" ca="1" si="13"/>
        <v>0.19278304140831848</v>
      </c>
      <c r="U15" s="1">
        <f t="shared" ca="1" si="14"/>
        <v>128</v>
      </c>
      <c r="V15" s="1">
        <f t="shared" ca="1" si="15"/>
        <v>33</v>
      </c>
      <c r="W15" s="1"/>
      <c r="X15" s="1">
        <f t="shared" ca="1" si="16"/>
        <v>0.76026568229791891</v>
      </c>
      <c r="Y15" s="1">
        <f t="shared" ca="1" si="17"/>
        <v>0.79090786378978828</v>
      </c>
      <c r="Z15" s="1">
        <f t="shared" ca="1" si="18"/>
        <v>1406</v>
      </c>
      <c r="AB15" s="1">
        <f t="shared" ca="1" si="19"/>
        <v>0.83890827911678167</v>
      </c>
      <c r="AC15" s="1">
        <f t="shared" ca="1" si="20"/>
        <v>616</v>
      </c>
      <c r="AD15" s="1">
        <f t="shared" ca="1" si="21"/>
        <v>1.5887568648480948E-3</v>
      </c>
      <c r="AE15" s="1"/>
      <c r="AF15" s="1">
        <f t="shared" ca="1" si="22"/>
        <v>0.20000114633775745</v>
      </c>
      <c r="AG15" s="1">
        <f t="shared" ca="1" si="23"/>
        <v>853</v>
      </c>
      <c r="AH15" s="1">
        <f t="shared" ca="1" si="24"/>
        <v>1.5557107138076561E-3</v>
      </c>
      <c r="AJ15" s="1">
        <f t="shared" ca="1" si="25"/>
        <v>0.4737898915728852</v>
      </c>
      <c r="AK15" s="1">
        <f t="shared" ca="1" si="26"/>
        <v>6.7096871970084215E-3</v>
      </c>
      <c r="AL15" s="1"/>
      <c r="AM15" s="1">
        <f t="shared" ca="1" si="27"/>
        <v>0.10933712033768249</v>
      </c>
      <c r="AN15" s="1">
        <f t="shared" ca="1" si="28"/>
        <v>76</v>
      </c>
      <c r="AO15" s="1">
        <f t="shared" ca="1" si="29"/>
        <v>6</v>
      </c>
    </row>
    <row r="16" spans="2:49" x14ac:dyDescent="0.25">
      <c r="B16">
        <f t="shared" ca="1" si="0"/>
        <v>900</v>
      </c>
      <c r="C16">
        <f t="shared" ca="1" si="1"/>
        <v>18</v>
      </c>
      <c r="D16">
        <f t="shared" ca="1" si="2"/>
        <v>0.1489997866173482</v>
      </c>
      <c r="F16" s="1">
        <f t="shared" ca="1" si="3"/>
        <v>3</v>
      </c>
      <c r="G16" s="1">
        <f t="shared" ca="1" si="4"/>
        <v>12</v>
      </c>
      <c r="H16" s="1">
        <f t="shared" ca="1" si="5"/>
        <v>15</v>
      </c>
      <c r="I16" s="1"/>
      <c r="J16" s="1">
        <f t="shared" ca="1" si="6"/>
        <v>29</v>
      </c>
      <c r="K16" s="1">
        <f t="shared" ca="1" si="7"/>
        <v>2.7342617521499886</v>
      </c>
      <c r="L16" s="1">
        <f t="shared" ca="1" si="8"/>
        <v>18</v>
      </c>
      <c r="M16" s="1"/>
      <c r="N16" s="1">
        <f t="shared" ca="1" si="9"/>
        <v>19</v>
      </c>
      <c r="O16" s="1">
        <f t="shared" ca="1" si="10"/>
        <v>27</v>
      </c>
      <c r="P16" s="1"/>
      <c r="Q16" s="1">
        <f t="shared" ca="1" si="11"/>
        <v>3.4788039588873207</v>
      </c>
      <c r="R16" s="1">
        <f t="shared" ca="1" si="12"/>
        <v>722</v>
      </c>
      <c r="S16" s="1"/>
      <c r="T16" s="1">
        <f t="shared" ca="1" si="13"/>
        <v>9.291671799544346E-2</v>
      </c>
      <c r="U16" s="1">
        <f t="shared" ca="1" si="14"/>
        <v>320</v>
      </c>
      <c r="V16" s="1">
        <f t="shared" ca="1" si="15"/>
        <v>30</v>
      </c>
      <c r="W16" s="1"/>
      <c r="X16" s="1">
        <f t="shared" ca="1" si="16"/>
        <v>8.4046876184513781</v>
      </c>
      <c r="Y16" s="1">
        <f t="shared" ca="1" si="17"/>
        <v>5.3139944283174367E-2</v>
      </c>
      <c r="Z16" s="1">
        <f t="shared" ca="1" si="18"/>
        <v>878</v>
      </c>
      <c r="AB16" s="1">
        <f t="shared" ca="1" si="19"/>
        <v>0.50383205908900131</v>
      </c>
      <c r="AC16" s="1">
        <f t="shared" ca="1" si="20"/>
        <v>360</v>
      </c>
      <c r="AD16" s="1">
        <f t="shared" ca="1" si="21"/>
        <v>8.3752533472654742E-3</v>
      </c>
      <c r="AE16" s="1"/>
      <c r="AF16" s="1">
        <f t="shared" ca="1" si="22"/>
        <v>0.31386501339378081</v>
      </c>
      <c r="AG16" s="1">
        <f t="shared" ca="1" si="23"/>
        <v>268</v>
      </c>
      <c r="AH16" s="1">
        <f t="shared" ca="1" si="24"/>
        <v>5.0294614641180554E-3</v>
      </c>
      <c r="AJ16" s="1">
        <f t="shared" ca="1" si="25"/>
        <v>0.58508349733074261</v>
      </c>
      <c r="AK16" s="1">
        <f t="shared" ca="1" si="26"/>
        <v>4.7027944628830042E-3</v>
      </c>
      <c r="AL16" s="1"/>
      <c r="AM16" s="1">
        <f t="shared" ca="1" si="27"/>
        <v>8.2142292304005673E-2</v>
      </c>
      <c r="AN16" s="1">
        <f t="shared" ca="1" si="28"/>
        <v>62</v>
      </c>
      <c r="AO16" s="1">
        <f t="shared" ca="1" si="29"/>
        <v>-1</v>
      </c>
    </row>
    <row r="17" spans="2:41" x14ac:dyDescent="0.25">
      <c r="B17">
        <f t="shared" ca="1" si="0"/>
        <v>818</v>
      </c>
      <c r="C17">
        <f t="shared" ca="1" si="1"/>
        <v>9</v>
      </c>
      <c r="D17">
        <f t="shared" ca="1" si="2"/>
        <v>6.6831955812801283E-2</v>
      </c>
      <c r="F17" s="1">
        <f t="shared" ca="1" si="3"/>
        <v>6</v>
      </c>
      <c r="G17" s="1">
        <f t="shared" ca="1" si="4"/>
        <v>5</v>
      </c>
      <c r="H17" s="1">
        <f t="shared" ca="1" si="5"/>
        <v>11</v>
      </c>
      <c r="I17" s="1"/>
      <c r="J17" s="1">
        <f t="shared" ca="1" si="6"/>
        <v>16</v>
      </c>
      <c r="K17" s="1">
        <f t="shared" ca="1" si="7"/>
        <v>1.4027907005642581</v>
      </c>
      <c r="L17" s="1">
        <f t="shared" ca="1" si="8"/>
        <v>8</v>
      </c>
      <c r="M17" s="1"/>
      <c r="N17" s="1">
        <f t="shared" ca="1" si="9"/>
        <v>323</v>
      </c>
      <c r="O17" s="1">
        <f t="shared" ca="1" si="10"/>
        <v>49</v>
      </c>
      <c r="P17" s="1"/>
      <c r="Q17" s="1">
        <f t="shared" ca="1" si="11"/>
        <v>3.9601179112862988</v>
      </c>
      <c r="R17" s="1">
        <f t="shared" ca="1" si="12"/>
        <v>902</v>
      </c>
      <c r="S17" s="1"/>
      <c r="T17" s="1">
        <f t="shared" ca="1" si="13"/>
        <v>9.9766783237335663E-2</v>
      </c>
      <c r="U17" s="1">
        <f t="shared" ca="1" si="14"/>
        <v>137</v>
      </c>
      <c r="V17" s="1">
        <f t="shared" ca="1" si="15"/>
        <v>46</v>
      </c>
      <c r="W17" s="1"/>
      <c r="X17" s="1">
        <f t="shared" ca="1" si="16"/>
        <v>5.489516943744885</v>
      </c>
      <c r="Y17" s="1">
        <f t="shared" ca="1" si="17"/>
        <v>0.70335733046918159</v>
      </c>
      <c r="Z17" s="1">
        <f t="shared" ca="1" si="18"/>
        <v>1342</v>
      </c>
      <c r="AB17" s="1">
        <f t="shared" ca="1" si="19"/>
        <v>0.12433457954348938</v>
      </c>
      <c r="AC17" s="1">
        <f t="shared" ca="1" si="20"/>
        <v>253</v>
      </c>
      <c r="AD17" s="1">
        <f t="shared" ca="1" si="21"/>
        <v>2.3963227265862185E-3</v>
      </c>
      <c r="AE17" s="1"/>
      <c r="AF17" s="1">
        <f t="shared" ca="1" si="22"/>
        <v>0.72098462795396301</v>
      </c>
      <c r="AG17" s="1">
        <f t="shared" ca="1" si="23"/>
        <v>446</v>
      </c>
      <c r="AH17" s="1">
        <f t="shared" ca="1" si="24"/>
        <v>1.4367813544437209E-3</v>
      </c>
      <c r="AJ17" s="1">
        <f t="shared" ca="1" si="25"/>
        <v>0.66545209087352375</v>
      </c>
      <c r="AK17" s="1">
        <f t="shared" ca="1" si="26"/>
        <v>2.8871057210800295E-3</v>
      </c>
      <c r="AL17" s="1"/>
      <c r="AM17" s="1">
        <f t="shared" ca="1" si="27"/>
        <v>1.2976013124501178E-2</v>
      </c>
      <c r="AN17" s="1">
        <f t="shared" ca="1" si="28"/>
        <v>37</v>
      </c>
      <c r="AO17" s="1">
        <f t="shared" ca="1" si="29"/>
        <v>17</v>
      </c>
    </row>
    <row r="18" spans="2:41" x14ac:dyDescent="0.25">
      <c r="B18">
        <f t="shared" ca="1" si="0"/>
        <v>99</v>
      </c>
      <c r="C18">
        <f t="shared" ca="1" si="1"/>
        <v>49</v>
      </c>
      <c r="D18">
        <f t="shared" ca="1" si="2"/>
        <v>0.29192217915495378</v>
      </c>
      <c r="F18" s="1">
        <f t="shared" ca="1" si="3"/>
        <v>44</v>
      </c>
      <c r="G18" s="1">
        <f t="shared" ca="1" si="4"/>
        <v>29</v>
      </c>
      <c r="H18" s="1">
        <f t="shared" ca="1" si="5"/>
        <v>13</v>
      </c>
      <c r="I18" s="1"/>
      <c r="J18" s="1">
        <f t="shared" ca="1" si="6"/>
        <v>19</v>
      </c>
      <c r="K18" s="1">
        <f t="shared" ca="1" si="7"/>
        <v>1.3269327082426219</v>
      </c>
      <c r="L18" s="1">
        <f t="shared" ca="1" si="8"/>
        <v>20</v>
      </c>
      <c r="M18" s="1"/>
      <c r="N18" s="1">
        <f t="shared" ca="1" si="9"/>
        <v>790</v>
      </c>
      <c r="O18" s="1">
        <f t="shared" ca="1" si="10"/>
        <v>6</v>
      </c>
      <c r="P18" s="1"/>
      <c r="Q18" s="1">
        <f t="shared" ca="1" si="11"/>
        <v>4.4437710430170476</v>
      </c>
      <c r="R18" s="1">
        <f t="shared" ca="1" si="12"/>
        <v>411</v>
      </c>
      <c r="S18" s="1"/>
      <c r="T18" s="1">
        <f t="shared" ca="1" si="13"/>
        <v>9.3117254091761067E-2</v>
      </c>
      <c r="U18" s="1">
        <f t="shared" ca="1" si="14"/>
        <v>387</v>
      </c>
      <c r="V18" s="1">
        <f t="shared" ca="1" si="15"/>
        <v>22</v>
      </c>
      <c r="W18" s="1"/>
      <c r="X18" s="1">
        <f t="shared" ca="1" si="16"/>
        <v>7.4330372250000663</v>
      </c>
      <c r="Y18" s="1">
        <f t="shared" ca="1" si="17"/>
        <v>0.90904181378033044</v>
      </c>
      <c r="Z18" s="1">
        <f t="shared" ca="1" si="18"/>
        <v>809</v>
      </c>
      <c r="AB18" s="1">
        <f t="shared" ca="1" si="19"/>
        <v>0.19542307405595671</v>
      </c>
      <c r="AC18" s="1">
        <f t="shared" ca="1" si="20"/>
        <v>698</v>
      </c>
      <c r="AD18" s="1">
        <f t="shared" ca="1" si="21"/>
        <v>6.6467115328005663E-3</v>
      </c>
      <c r="AE18" s="1"/>
      <c r="AF18" s="1">
        <f t="shared" ca="1" si="22"/>
        <v>0.1164136844744454</v>
      </c>
      <c r="AG18" s="1">
        <f t="shared" ca="1" si="23"/>
        <v>845</v>
      </c>
      <c r="AH18" s="1">
        <f t="shared" ca="1" si="24"/>
        <v>5.7591975165816349E-3</v>
      </c>
      <c r="AJ18" s="1">
        <f t="shared" ca="1" si="25"/>
        <v>0.7651153520670172</v>
      </c>
      <c r="AK18" s="1">
        <f t="shared" ca="1" si="26"/>
        <v>6.0524738141769742E-3</v>
      </c>
      <c r="AL18" s="1"/>
      <c r="AM18" s="1">
        <f t="shared" ca="1" si="27"/>
        <v>3.8996367846487599E-2</v>
      </c>
      <c r="AN18" s="1">
        <f t="shared" ca="1" si="28"/>
        <v>72</v>
      </c>
      <c r="AO18" s="1">
        <f t="shared" ca="1" si="29"/>
        <v>11</v>
      </c>
    </row>
    <row r="19" spans="2:41" x14ac:dyDescent="0.25">
      <c r="B19">
        <f t="shared" ca="1" si="0"/>
        <v>348</v>
      </c>
      <c r="C19">
        <f t="shared" ca="1" si="1"/>
        <v>45</v>
      </c>
      <c r="D19">
        <f t="shared" ca="1" si="2"/>
        <v>9.4414610745475663E-2</v>
      </c>
      <c r="F19" s="1">
        <f t="shared" ca="1" si="3"/>
        <v>14</v>
      </c>
      <c r="G19" s="1">
        <f t="shared" ca="1" si="4"/>
        <v>16</v>
      </c>
      <c r="H19" s="1">
        <f t="shared" ca="1" si="5"/>
        <v>3</v>
      </c>
      <c r="I19" s="1"/>
      <c r="J19" s="1">
        <f t="shared" ca="1" si="6"/>
        <v>22</v>
      </c>
      <c r="K19" s="1">
        <f t="shared" ca="1" si="7"/>
        <v>2.7514360075337132</v>
      </c>
      <c r="L19" s="1">
        <f t="shared" ca="1" si="8"/>
        <v>13</v>
      </c>
      <c r="M19" s="1"/>
      <c r="N19" s="1">
        <f t="shared" ca="1" si="9"/>
        <v>57</v>
      </c>
      <c r="O19" s="1">
        <f t="shared" ca="1" si="10"/>
        <v>52</v>
      </c>
      <c r="P19" s="1"/>
      <c r="Q19" s="1">
        <f t="shared" ca="1" si="11"/>
        <v>2.7302579489333261</v>
      </c>
      <c r="R19" s="1">
        <f t="shared" ca="1" si="12"/>
        <v>1157</v>
      </c>
      <c r="S19" s="1"/>
      <c r="T19" s="1">
        <f t="shared" ca="1" si="13"/>
        <v>0.1849176784829426</v>
      </c>
      <c r="U19" s="1">
        <f t="shared" ca="1" si="14"/>
        <v>167</v>
      </c>
      <c r="V19" s="1">
        <f t="shared" ca="1" si="15"/>
        <v>28</v>
      </c>
      <c r="W19" s="1"/>
      <c r="X19" s="1">
        <f t="shared" ca="1" si="16"/>
        <v>3.3578398086430297</v>
      </c>
      <c r="Y19" s="1">
        <f t="shared" ca="1" si="17"/>
        <v>0.86775999153909134</v>
      </c>
      <c r="Z19" s="1">
        <f t="shared" ca="1" si="18"/>
        <v>224</v>
      </c>
      <c r="AB19" s="1">
        <f t="shared" ca="1" si="19"/>
        <v>0.58343344343568926</v>
      </c>
      <c r="AC19" s="1">
        <f t="shared" ca="1" si="20"/>
        <v>642</v>
      </c>
      <c r="AD19" s="1">
        <f t="shared" ca="1" si="21"/>
        <v>1.9925001431291659E-4</v>
      </c>
      <c r="AE19" s="1"/>
      <c r="AF19" s="1">
        <f t="shared" ca="1" si="22"/>
        <v>0.68314897748788472</v>
      </c>
      <c r="AG19" s="1">
        <f t="shared" ca="1" si="23"/>
        <v>581</v>
      </c>
      <c r="AH19" s="1">
        <f t="shared" ca="1" si="24"/>
        <v>4.28713307429776E-3</v>
      </c>
      <c r="AJ19" s="1">
        <f t="shared" ca="1" si="25"/>
        <v>0.93552180682648867</v>
      </c>
      <c r="AK19" s="1">
        <f t="shared" ca="1" si="26"/>
        <v>7.5464795112503095E-3</v>
      </c>
      <c r="AL19" s="1"/>
      <c r="AM19" s="1">
        <f t="shared" ca="1" si="27"/>
        <v>0.10763501447948494</v>
      </c>
      <c r="AN19" s="1">
        <f t="shared" ca="1" si="28"/>
        <v>53</v>
      </c>
      <c r="AO19" s="1">
        <f t="shared" ca="1" si="29"/>
        <v>20</v>
      </c>
    </row>
    <row r="20" spans="2:41" x14ac:dyDescent="0.25">
      <c r="B20">
        <f t="shared" ca="1" si="0"/>
        <v>593</v>
      </c>
      <c r="C20">
        <f t="shared" ca="1" si="1"/>
        <v>7</v>
      </c>
      <c r="D20">
        <f t="shared" ca="1" si="2"/>
        <v>0.20533026668251744</v>
      </c>
      <c r="F20" s="1">
        <f t="shared" ca="1" si="3"/>
        <v>6</v>
      </c>
      <c r="G20" s="1">
        <f t="shared" ca="1" si="4"/>
        <v>16</v>
      </c>
      <c r="H20" s="1">
        <f t="shared" ca="1" si="5"/>
        <v>7</v>
      </c>
      <c r="I20" s="1"/>
      <c r="J20" s="1">
        <f t="shared" ca="1" si="6"/>
        <v>23</v>
      </c>
      <c r="K20" s="1">
        <f t="shared" ca="1" si="7"/>
        <v>2.259703949598789</v>
      </c>
      <c r="L20" s="1">
        <f t="shared" ca="1" si="8"/>
        <v>34</v>
      </c>
      <c r="M20" s="1"/>
      <c r="N20" s="1">
        <f t="shared" ca="1" si="9"/>
        <v>792</v>
      </c>
      <c r="O20" s="1">
        <f t="shared" ca="1" si="10"/>
        <v>46</v>
      </c>
      <c r="P20" s="1"/>
      <c r="Q20" s="1">
        <f t="shared" ca="1" si="11"/>
        <v>3.9176610624533503</v>
      </c>
      <c r="R20" s="1">
        <f t="shared" ca="1" si="12"/>
        <v>340</v>
      </c>
      <c r="S20" s="1"/>
      <c r="T20" s="1">
        <f t="shared" ca="1" si="13"/>
        <v>8.3396038825691104E-2</v>
      </c>
      <c r="U20" s="1">
        <f t="shared" ca="1" si="14"/>
        <v>270</v>
      </c>
      <c r="V20" s="1">
        <f t="shared" ca="1" si="15"/>
        <v>51</v>
      </c>
      <c r="W20" s="1"/>
      <c r="X20" s="1">
        <f t="shared" ca="1" si="16"/>
        <v>9.3404304244079484</v>
      </c>
      <c r="Y20" s="1">
        <f t="shared" ca="1" si="17"/>
        <v>0.46668352628091869</v>
      </c>
      <c r="Z20" s="1">
        <f t="shared" ca="1" si="18"/>
        <v>1397</v>
      </c>
      <c r="AB20" s="1">
        <f t="shared" ca="1" si="19"/>
        <v>0.89753891817400866</v>
      </c>
      <c r="AC20" s="1">
        <f t="shared" ca="1" si="20"/>
        <v>170</v>
      </c>
      <c r="AD20" s="1">
        <f t="shared" ca="1" si="21"/>
        <v>6.2266890239023286E-3</v>
      </c>
      <c r="AE20" s="1"/>
      <c r="AF20" s="1">
        <f t="shared" ca="1" si="22"/>
        <v>0.87141817923202292</v>
      </c>
      <c r="AG20" s="1">
        <f t="shared" ca="1" si="23"/>
        <v>359</v>
      </c>
      <c r="AH20" s="1">
        <f t="shared" ca="1" si="24"/>
        <v>8.6725431870477276E-3</v>
      </c>
      <c r="AJ20" s="1">
        <f t="shared" ca="1" si="25"/>
        <v>0.8215846256860625</v>
      </c>
      <c r="AK20" s="1">
        <f t="shared" ca="1" si="26"/>
        <v>9.3329775210562529E-3</v>
      </c>
      <c r="AL20" s="1"/>
      <c r="AM20" s="1">
        <f t="shared" ca="1" si="27"/>
        <v>0.16948375456013254</v>
      </c>
      <c r="AN20" s="1">
        <f t="shared" ca="1" si="28"/>
        <v>70</v>
      </c>
      <c r="AO20" s="1">
        <f t="shared" ca="1" si="29"/>
        <v>16</v>
      </c>
    </row>
    <row r="21" spans="2:41" x14ac:dyDescent="0.25">
      <c r="B21">
        <f t="shared" ca="1" si="0"/>
        <v>492</v>
      </c>
      <c r="C21">
        <f t="shared" ca="1" si="1"/>
        <v>21</v>
      </c>
      <c r="D21">
        <f t="shared" ca="1" si="2"/>
        <v>0.26017815540376343</v>
      </c>
      <c r="F21" s="1">
        <f t="shared" ca="1" si="3"/>
        <v>48</v>
      </c>
      <c r="G21" s="1">
        <f t="shared" ca="1" si="4"/>
        <v>4</v>
      </c>
      <c r="H21" s="1">
        <f t="shared" ca="1" si="5"/>
        <v>4</v>
      </c>
      <c r="I21" s="1"/>
      <c r="J21" s="1">
        <f t="shared" ca="1" si="6"/>
        <v>24</v>
      </c>
      <c r="K21" s="1">
        <f t="shared" ca="1" si="7"/>
        <v>2.4183285546796691</v>
      </c>
      <c r="L21" s="1">
        <f t="shared" ca="1" si="8"/>
        <v>28</v>
      </c>
      <c r="M21" s="1"/>
      <c r="N21" s="1">
        <f t="shared" ca="1" si="9"/>
        <v>138</v>
      </c>
      <c r="O21" s="1">
        <f t="shared" ca="1" si="10"/>
        <v>15</v>
      </c>
      <c r="P21" s="1"/>
      <c r="Q21" s="1">
        <f t="shared" ca="1" si="11"/>
        <v>0.56330817029960611</v>
      </c>
      <c r="R21" s="1">
        <f t="shared" ca="1" si="12"/>
        <v>368</v>
      </c>
      <c r="S21" s="1"/>
      <c r="T21" s="1">
        <f t="shared" ca="1" si="13"/>
        <v>0.17679253089283259</v>
      </c>
      <c r="U21" s="1">
        <f t="shared" ca="1" si="14"/>
        <v>171</v>
      </c>
      <c r="V21" s="1">
        <f t="shared" ca="1" si="15"/>
        <v>11</v>
      </c>
      <c r="W21" s="1"/>
      <c r="X21" s="1">
        <f t="shared" ca="1" si="16"/>
        <v>7.3187148026976514</v>
      </c>
      <c r="Y21" s="1">
        <f t="shared" ca="1" si="17"/>
        <v>0.9219095565986084</v>
      </c>
      <c r="Z21" s="1">
        <f t="shared" ca="1" si="18"/>
        <v>1647</v>
      </c>
      <c r="AB21" s="1">
        <f t="shared" ca="1" si="19"/>
        <v>0.19199817243307482</v>
      </c>
      <c r="AC21" s="1">
        <f t="shared" ca="1" si="20"/>
        <v>143</v>
      </c>
      <c r="AD21" s="1">
        <f t="shared" ca="1" si="21"/>
        <v>4.0206501587283002E-3</v>
      </c>
      <c r="AE21" s="1"/>
      <c r="AF21" s="1">
        <f t="shared" ca="1" si="22"/>
        <v>0.15542397606824876</v>
      </c>
      <c r="AG21" s="1">
        <f t="shared" ca="1" si="23"/>
        <v>292</v>
      </c>
      <c r="AH21" s="1">
        <f t="shared" ca="1" si="24"/>
        <v>4.5379485475246133E-3</v>
      </c>
      <c r="AJ21" s="1">
        <f t="shared" ca="1" si="25"/>
        <v>0.44542311741854324</v>
      </c>
      <c r="AK21" s="1">
        <f t="shared" ca="1" si="26"/>
        <v>1.1311282370193828E-3</v>
      </c>
      <c r="AL21" s="1"/>
      <c r="AM21" s="1">
        <f t="shared" ca="1" si="27"/>
        <v>6.9521291242111261E-2</v>
      </c>
      <c r="AN21" s="1">
        <f t="shared" ca="1" si="28"/>
        <v>44</v>
      </c>
      <c r="AO21" s="1">
        <f t="shared" ca="1" si="29"/>
        <v>1</v>
      </c>
    </row>
    <row r="22" spans="2:41" x14ac:dyDescent="0.25">
      <c r="B22">
        <f t="shared" ca="1" si="0"/>
        <v>795</v>
      </c>
      <c r="C22">
        <f t="shared" ca="1" si="1"/>
        <v>41</v>
      </c>
      <c r="D22">
        <f t="shared" ca="1" si="2"/>
        <v>2.508497765496738E-2</v>
      </c>
      <c r="F22" s="1">
        <f t="shared" ca="1" si="3"/>
        <v>39</v>
      </c>
      <c r="G22" s="1">
        <f t="shared" ca="1" si="4"/>
        <v>29</v>
      </c>
      <c r="H22" s="1">
        <f t="shared" ca="1" si="5"/>
        <v>2</v>
      </c>
      <c r="I22" s="1"/>
      <c r="J22" s="1">
        <f t="shared" ca="1" si="6"/>
        <v>36</v>
      </c>
      <c r="K22" s="1">
        <f t="shared" ca="1" si="7"/>
        <v>2.4264448840116399</v>
      </c>
      <c r="L22" s="1">
        <f t="shared" ca="1" si="8"/>
        <v>8</v>
      </c>
      <c r="M22" s="1"/>
      <c r="N22" s="1">
        <f t="shared" ca="1" si="9"/>
        <v>510</v>
      </c>
      <c r="O22" s="1">
        <f t="shared" ca="1" si="10"/>
        <v>23</v>
      </c>
      <c r="P22" s="1"/>
      <c r="Q22" s="1">
        <f t="shared" ca="1" si="11"/>
        <v>3.0265067250544675</v>
      </c>
      <c r="R22" s="1">
        <f t="shared" ca="1" si="12"/>
        <v>705</v>
      </c>
      <c r="S22" s="1"/>
      <c r="T22" s="1">
        <f t="shared" ca="1" si="13"/>
        <v>5.5948673168772896E-2</v>
      </c>
      <c r="U22" s="1">
        <f t="shared" ca="1" si="14"/>
        <v>99</v>
      </c>
      <c r="V22" s="1">
        <f t="shared" ca="1" si="15"/>
        <v>51</v>
      </c>
      <c r="W22" s="1"/>
      <c r="X22" s="1">
        <f t="shared" ca="1" si="16"/>
        <v>9.1519914865861516</v>
      </c>
      <c r="Y22" s="1">
        <f t="shared" ca="1" si="17"/>
        <v>0.92541008617454523</v>
      </c>
      <c r="Z22" s="1">
        <f t="shared" ca="1" si="18"/>
        <v>1003</v>
      </c>
      <c r="AB22" s="1">
        <f t="shared" ca="1" si="19"/>
        <v>0.34290525986029058</v>
      </c>
      <c r="AC22" s="1">
        <f t="shared" ca="1" si="20"/>
        <v>305</v>
      </c>
      <c r="AD22" s="1">
        <f t="shared" ca="1" si="21"/>
        <v>4.741988503036818E-4</v>
      </c>
      <c r="AE22" s="1"/>
      <c r="AF22" s="1">
        <f t="shared" ca="1" si="22"/>
        <v>0.32102517770307348</v>
      </c>
      <c r="AG22" s="1">
        <f t="shared" ca="1" si="23"/>
        <v>380</v>
      </c>
      <c r="AH22" s="1">
        <f t="shared" ca="1" si="24"/>
        <v>7.4579902527701957E-3</v>
      </c>
      <c r="AJ22" s="1">
        <f t="shared" ca="1" si="25"/>
        <v>0.91928655031704587</v>
      </c>
      <c r="AK22" s="1">
        <f t="shared" ca="1" si="26"/>
        <v>6.9285870757875212E-3</v>
      </c>
      <c r="AL22" s="1"/>
      <c r="AM22" s="1">
        <f t="shared" ca="1" si="27"/>
        <v>1.2087900018920752E-2</v>
      </c>
      <c r="AN22" s="1">
        <f t="shared" ca="1" si="28"/>
        <v>76</v>
      </c>
      <c r="AO22" s="1">
        <f t="shared" ca="1" si="29"/>
        <v>10</v>
      </c>
    </row>
    <row r="23" spans="2:41" x14ac:dyDescent="0.25">
      <c r="B23">
        <f t="shared" ca="1" si="0"/>
        <v>956</v>
      </c>
      <c r="C23">
        <f t="shared" ca="1" si="1"/>
        <v>47</v>
      </c>
      <c r="D23">
        <f t="shared" ca="1" si="2"/>
        <v>6.2954502407933072E-2</v>
      </c>
      <c r="F23" s="1">
        <f t="shared" ca="1" si="3"/>
        <v>23</v>
      </c>
      <c r="G23" s="1">
        <f t="shared" ca="1" si="4"/>
        <v>19</v>
      </c>
      <c r="H23" s="1">
        <f t="shared" ca="1" si="5"/>
        <v>10</v>
      </c>
      <c r="I23" s="1"/>
      <c r="J23" s="1">
        <f t="shared" ca="1" si="6"/>
        <v>17</v>
      </c>
      <c r="K23" s="1">
        <f t="shared" ca="1" si="7"/>
        <v>2.4129086534324191</v>
      </c>
      <c r="L23" s="1">
        <f t="shared" ca="1" si="8"/>
        <v>21</v>
      </c>
      <c r="M23" s="1"/>
      <c r="N23" s="1">
        <f t="shared" ca="1" si="9"/>
        <v>825</v>
      </c>
      <c r="O23" s="1">
        <f t="shared" ca="1" si="10"/>
        <v>13</v>
      </c>
      <c r="P23" s="1"/>
      <c r="Q23" s="1">
        <f t="shared" ca="1" si="11"/>
        <v>4.0004469469343817</v>
      </c>
      <c r="R23" s="1">
        <f t="shared" ca="1" si="12"/>
        <v>284</v>
      </c>
      <c r="S23" s="1"/>
      <c r="T23" s="1">
        <f t="shared" ca="1" si="13"/>
        <v>0.12411927061130007</v>
      </c>
      <c r="U23" s="1">
        <f t="shared" ca="1" si="14"/>
        <v>382</v>
      </c>
      <c r="V23" s="1">
        <f t="shared" ca="1" si="15"/>
        <v>8</v>
      </c>
      <c r="W23" s="1"/>
      <c r="X23" s="1">
        <f t="shared" ca="1" si="16"/>
        <v>4.367909193676704</v>
      </c>
      <c r="Y23" s="1">
        <f t="shared" ca="1" si="17"/>
        <v>0.114829891959411</v>
      </c>
      <c r="Z23" s="1">
        <f t="shared" ca="1" si="18"/>
        <v>1620</v>
      </c>
      <c r="AB23" s="1">
        <f t="shared" ca="1" si="19"/>
        <v>0.92974924939729153</v>
      </c>
      <c r="AC23" s="1">
        <f t="shared" ca="1" si="20"/>
        <v>981</v>
      </c>
      <c r="AD23" s="1">
        <f t="shared" ca="1" si="21"/>
        <v>2.8839699955082606E-3</v>
      </c>
      <c r="AE23" s="1"/>
      <c r="AF23" s="1">
        <f t="shared" ca="1" si="22"/>
        <v>0.36694117348987321</v>
      </c>
      <c r="AG23" s="1">
        <f t="shared" ca="1" si="23"/>
        <v>683</v>
      </c>
      <c r="AH23" s="1">
        <f t="shared" ca="1" si="24"/>
        <v>3.2949245481317278E-3</v>
      </c>
      <c r="AJ23" s="1">
        <f t="shared" ca="1" si="25"/>
        <v>0.15890996503698263</v>
      </c>
      <c r="AK23" s="1">
        <f t="shared" ca="1" si="26"/>
        <v>7.9961375317245138E-3</v>
      </c>
      <c r="AL23" s="1"/>
      <c r="AM23" s="1">
        <f t="shared" ca="1" si="27"/>
        <v>9.4619683126540871E-2</v>
      </c>
      <c r="AN23" s="1">
        <f t="shared" ca="1" si="28"/>
        <v>53</v>
      </c>
      <c r="AO23" s="1">
        <f t="shared" ca="1" si="29"/>
        <v>19</v>
      </c>
    </row>
    <row r="24" spans="2:41" x14ac:dyDescent="0.25">
      <c r="B24">
        <f t="shared" ca="1" si="0"/>
        <v>701</v>
      </c>
      <c r="C24">
        <f t="shared" ca="1" si="1"/>
        <v>51</v>
      </c>
      <c r="D24">
        <f t="shared" ca="1" si="2"/>
        <v>4.6203220000029459E-2</v>
      </c>
      <c r="F24" s="1">
        <f t="shared" ca="1" si="3"/>
        <v>41</v>
      </c>
      <c r="G24" s="1">
        <f t="shared" ca="1" si="4"/>
        <v>4</v>
      </c>
      <c r="H24" s="1">
        <f t="shared" ca="1" si="5"/>
        <v>9</v>
      </c>
      <c r="I24" s="1"/>
      <c r="J24" s="1">
        <f t="shared" ca="1" si="6"/>
        <v>34</v>
      </c>
      <c r="K24" s="1">
        <f t="shared" ca="1" si="7"/>
        <v>2.431400947668263</v>
      </c>
      <c r="L24" s="1">
        <f t="shared" ca="1" si="8"/>
        <v>17</v>
      </c>
      <c r="M24" s="1"/>
      <c r="N24" s="1">
        <f t="shared" ca="1" si="9"/>
        <v>350</v>
      </c>
      <c r="O24" s="1">
        <f t="shared" ca="1" si="10"/>
        <v>18</v>
      </c>
      <c r="P24" s="1"/>
      <c r="Q24" s="1">
        <f t="shared" ca="1" si="11"/>
        <v>2.8276228894196667</v>
      </c>
      <c r="R24" s="1">
        <f t="shared" ca="1" si="12"/>
        <v>1096</v>
      </c>
      <c r="S24" s="1"/>
      <c r="T24" s="1">
        <f t="shared" ca="1" si="13"/>
        <v>1.1433654524360071E-2</v>
      </c>
      <c r="U24" s="1">
        <f t="shared" ca="1" si="14"/>
        <v>170</v>
      </c>
      <c r="V24" s="1">
        <f t="shared" ca="1" si="15"/>
        <v>10</v>
      </c>
      <c r="W24" s="1"/>
      <c r="X24" s="1">
        <f t="shared" ca="1" si="16"/>
        <v>7.5594660926104078</v>
      </c>
      <c r="Y24" s="1">
        <f t="shared" ca="1" si="17"/>
        <v>0.21860646847503132</v>
      </c>
      <c r="Z24" s="1">
        <f t="shared" ca="1" si="18"/>
        <v>240</v>
      </c>
      <c r="AB24" s="1">
        <f t="shared" ca="1" si="19"/>
        <v>0.51237107557063377</v>
      </c>
      <c r="AC24" s="1">
        <f t="shared" ca="1" si="20"/>
        <v>190</v>
      </c>
      <c r="AD24" s="1">
        <f t="shared" ca="1" si="21"/>
        <v>1.3089840075477636E-5</v>
      </c>
      <c r="AE24" s="1"/>
      <c r="AF24" s="1">
        <f t="shared" ca="1" si="22"/>
        <v>0.87444748299490183</v>
      </c>
      <c r="AG24" s="1">
        <f t="shared" ca="1" si="23"/>
        <v>876</v>
      </c>
      <c r="AH24" s="1">
        <f t="shared" ca="1" si="24"/>
        <v>7.0408359842876909E-3</v>
      </c>
      <c r="AJ24" s="1">
        <f t="shared" ca="1" si="25"/>
        <v>0.10170753810096078</v>
      </c>
      <c r="AK24" s="1">
        <f t="shared" ca="1" si="26"/>
        <v>9.2055401757849958E-3</v>
      </c>
      <c r="AL24" s="1"/>
      <c r="AM24" s="1">
        <f t="shared" ca="1" si="27"/>
        <v>8.2106934244803892E-2</v>
      </c>
      <c r="AN24" s="1">
        <f t="shared" ca="1" si="28"/>
        <v>61</v>
      </c>
      <c r="AO24" s="1">
        <f t="shared" ca="1" si="29"/>
        <v>0</v>
      </c>
    </row>
    <row r="25" spans="2:41" x14ac:dyDescent="0.25">
      <c r="B25">
        <f t="shared" ca="1" si="0"/>
        <v>721</v>
      </c>
      <c r="C25">
        <f t="shared" ca="1" si="1"/>
        <v>41</v>
      </c>
      <c r="D25">
        <f t="shared" ca="1" si="2"/>
        <v>3.1615513094623897E-2</v>
      </c>
      <c r="F25" s="1">
        <f t="shared" ca="1" si="3"/>
        <v>44</v>
      </c>
      <c r="G25" s="1">
        <f t="shared" ca="1" si="4"/>
        <v>20</v>
      </c>
      <c r="H25" s="1">
        <f t="shared" ca="1" si="5"/>
        <v>8</v>
      </c>
      <c r="I25" s="1"/>
      <c r="J25" s="1">
        <f t="shared" ca="1" si="6"/>
        <v>1</v>
      </c>
      <c r="K25" s="1">
        <f t="shared" ca="1" si="7"/>
        <v>1.8619260618452085</v>
      </c>
      <c r="L25" s="1">
        <f t="shared" ca="1" si="8"/>
        <v>18</v>
      </c>
      <c r="M25" s="1"/>
      <c r="N25" s="1">
        <f t="shared" ca="1" si="9"/>
        <v>786</v>
      </c>
      <c r="O25" s="1">
        <f t="shared" ca="1" si="10"/>
        <v>29</v>
      </c>
      <c r="P25" s="1"/>
      <c r="Q25" s="1">
        <f t="shared" ca="1" si="11"/>
        <v>4.6371723056862981</v>
      </c>
      <c r="R25" s="1">
        <f t="shared" ca="1" si="12"/>
        <v>1006</v>
      </c>
      <c r="S25" s="1"/>
      <c r="T25" s="1">
        <f t="shared" ca="1" si="13"/>
        <v>0.14865621773743798</v>
      </c>
      <c r="U25" s="1">
        <f t="shared" ca="1" si="14"/>
        <v>302</v>
      </c>
      <c r="V25" s="1">
        <f t="shared" ca="1" si="15"/>
        <v>22</v>
      </c>
      <c r="W25" s="1"/>
      <c r="X25" s="1">
        <f t="shared" ca="1" si="16"/>
        <v>9.6132438317860913</v>
      </c>
      <c r="Y25" s="1">
        <f t="shared" ca="1" si="17"/>
        <v>0.29312495494335555</v>
      </c>
      <c r="Z25" s="1">
        <f t="shared" ca="1" si="18"/>
        <v>1173</v>
      </c>
      <c r="AB25" s="1">
        <f t="shared" ca="1" si="19"/>
        <v>0.75969285520649532</v>
      </c>
      <c r="AC25" s="1">
        <f t="shared" ca="1" si="20"/>
        <v>803</v>
      </c>
      <c r="AD25" s="1">
        <f t="shared" ca="1" si="21"/>
        <v>1.2361856346250471E-5</v>
      </c>
      <c r="AE25" s="1"/>
      <c r="AF25" s="1">
        <f t="shared" ca="1" si="22"/>
        <v>0.66139346652323039</v>
      </c>
      <c r="AG25" s="1">
        <f t="shared" ca="1" si="23"/>
        <v>300</v>
      </c>
      <c r="AH25" s="1">
        <f t="shared" ca="1" si="24"/>
        <v>3.1203073751758436E-3</v>
      </c>
      <c r="AJ25" s="1">
        <f t="shared" ca="1" si="25"/>
        <v>0.92100442955881145</v>
      </c>
      <c r="AK25" s="1">
        <f t="shared" ca="1" si="26"/>
        <v>5.4130402526792517E-4</v>
      </c>
      <c r="AL25" s="1"/>
      <c r="AM25" s="1">
        <f t="shared" ca="1" si="27"/>
        <v>0.16091804391921183</v>
      </c>
      <c r="AN25" s="1">
        <f t="shared" ca="1" si="28"/>
        <v>17</v>
      </c>
      <c r="AO25" s="1">
        <f t="shared" ca="1" si="29"/>
        <v>3</v>
      </c>
    </row>
    <row r="26" spans="2:41" x14ac:dyDescent="0.25">
      <c r="B26">
        <f t="shared" ca="1" si="0"/>
        <v>47</v>
      </c>
      <c r="C26">
        <f t="shared" ca="1" si="1"/>
        <v>41</v>
      </c>
      <c r="D26">
        <f t="shared" ca="1" si="2"/>
        <v>0.18317693028717424</v>
      </c>
      <c r="F26" s="1">
        <f t="shared" ca="1" si="3"/>
        <v>38</v>
      </c>
      <c r="G26" s="1">
        <f t="shared" ca="1" si="4"/>
        <v>5</v>
      </c>
      <c r="H26" s="1">
        <f t="shared" ca="1" si="5"/>
        <v>11</v>
      </c>
      <c r="I26" s="1"/>
      <c r="J26" s="1">
        <f t="shared" ca="1" si="6"/>
        <v>28</v>
      </c>
      <c r="K26" s="1">
        <f t="shared" ca="1" si="7"/>
        <v>1.0332267932208434</v>
      </c>
      <c r="L26" s="1">
        <f t="shared" ca="1" si="8"/>
        <v>35</v>
      </c>
      <c r="M26" s="1"/>
      <c r="N26" s="1">
        <f t="shared" ca="1" si="9"/>
        <v>95</v>
      </c>
      <c r="O26" s="1">
        <f t="shared" ca="1" si="10"/>
        <v>40</v>
      </c>
      <c r="P26" s="1"/>
      <c r="Q26" s="1">
        <f t="shared" ca="1" si="11"/>
        <v>2.6740875617382351</v>
      </c>
      <c r="R26" s="1">
        <f t="shared" ca="1" si="12"/>
        <v>311</v>
      </c>
      <c r="S26" s="1"/>
      <c r="T26" s="1">
        <f t="shared" ca="1" si="13"/>
        <v>9.212468557584344E-2</v>
      </c>
      <c r="U26" s="1">
        <f t="shared" ca="1" si="14"/>
        <v>142</v>
      </c>
      <c r="V26" s="1">
        <f t="shared" ca="1" si="15"/>
        <v>12</v>
      </c>
      <c r="W26" s="1"/>
      <c r="X26" s="1">
        <f t="shared" ca="1" si="16"/>
        <v>7.9490125018719135</v>
      </c>
      <c r="Y26" s="1">
        <f t="shared" ca="1" si="17"/>
        <v>0.93210659156370657</v>
      </c>
      <c r="Z26" s="1">
        <f t="shared" ca="1" si="18"/>
        <v>1523</v>
      </c>
      <c r="AB26" s="1">
        <f t="shared" ca="1" si="19"/>
        <v>0.14611393772294973</v>
      </c>
      <c r="AC26" s="1">
        <f t="shared" ca="1" si="20"/>
        <v>568</v>
      </c>
      <c r="AD26" s="1">
        <f t="shared" ca="1" si="21"/>
        <v>9.8605215394924374E-3</v>
      </c>
      <c r="AE26" s="1"/>
      <c r="AF26" s="1">
        <f t="shared" ca="1" si="22"/>
        <v>0.23313416971398421</v>
      </c>
      <c r="AG26" s="1">
        <f t="shared" ca="1" si="23"/>
        <v>662</v>
      </c>
      <c r="AH26" s="1">
        <f t="shared" ca="1" si="24"/>
        <v>9.0992085340627065E-3</v>
      </c>
      <c r="AJ26" s="1">
        <f t="shared" ca="1" si="25"/>
        <v>0.67197041443242211</v>
      </c>
      <c r="AK26" s="1">
        <f t="shared" ca="1" si="26"/>
        <v>8.0214751443732489E-4</v>
      </c>
      <c r="AL26" s="1"/>
      <c r="AM26" s="1">
        <f t="shared" ca="1" si="27"/>
        <v>0.14658499868942362</v>
      </c>
      <c r="AN26" s="1">
        <f t="shared" ca="1" si="28"/>
        <v>31</v>
      </c>
      <c r="AO26" s="1">
        <f t="shared" ca="1" si="29"/>
        <v>5</v>
      </c>
    </row>
    <row r="27" spans="2:41" x14ac:dyDescent="0.25">
      <c r="B27">
        <f t="shared" ca="1" si="0"/>
        <v>205</v>
      </c>
      <c r="C27">
        <f t="shared" ca="1" si="1"/>
        <v>6</v>
      </c>
      <c r="D27">
        <f t="shared" ca="1" si="2"/>
        <v>1.8316519830024455E-2</v>
      </c>
      <c r="F27" s="1">
        <f t="shared" ca="1" si="3"/>
        <v>43</v>
      </c>
      <c r="G27" s="1">
        <f t="shared" ca="1" si="4"/>
        <v>20</v>
      </c>
      <c r="H27" s="1">
        <f t="shared" ca="1" si="5"/>
        <v>9</v>
      </c>
      <c r="I27" s="1"/>
      <c r="J27" s="1">
        <f t="shared" ca="1" si="6"/>
        <v>18</v>
      </c>
      <c r="K27" s="1">
        <f t="shared" ca="1" si="7"/>
        <v>2.0931642053629664</v>
      </c>
      <c r="L27" s="1">
        <f t="shared" ca="1" si="8"/>
        <v>14</v>
      </c>
      <c r="M27" s="1"/>
      <c r="N27" s="1">
        <f t="shared" ca="1" si="9"/>
        <v>512</v>
      </c>
      <c r="O27" s="1">
        <f t="shared" ca="1" si="10"/>
        <v>13</v>
      </c>
      <c r="P27" s="1"/>
      <c r="Q27" s="1">
        <f t="shared" ca="1" si="11"/>
        <v>0.60176683507744511</v>
      </c>
      <c r="R27" s="1">
        <f t="shared" ca="1" si="12"/>
        <v>362</v>
      </c>
      <c r="S27" s="1"/>
      <c r="T27" s="1">
        <f t="shared" ca="1" si="13"/>
        <v>4.5321161235095761E-2</v>
      </c>
      <c r="U27" s="1">
        <f t="shared" ca="1" si="14"/>
        <v>284</v>
      </c>
      <c r="V27" s="1">
        <f t="shared" ca="1" si="15"/>
        <v>14</v>
      </c>
      <c r="W27" s="1"/>
      <c r="X27" s="1">
        <f t="shared" ca="1" si="16"/>
        <v>4.1908711749306047</v>
      </c>
      <c r="Y27" s="1">
        <f t="shared" ca="1" si="17"/>
        <v>0.15357093424132034</v>
      </c>
      <c r="Z27" s="1">
        <f t="shared" ca="1" si="18"/>
        <v>1866</v>
      </c>
      <c r="AB27" s="1">
        <f t="shared" ca="1" si="19"/>
        <v>0.45596997096511765</v>
      </c>
      <c r="AC27" s="1">
        <f t="shared" ca="1" si="20"/>
        <v>139</v>
      </c>
      <c r="AD27" s="1">
        <f t="shared" ca="1" si="21"/>
        <v>5.4186462592666993E-3</v>
      </c>
      <c r="AE27" s="1"/>
      <c r="AF27" s="1">
        <f t="shared" ca="1" si="22"/>
        <v>0.54969126196712637</v>
      </c>
      <c r="AG27" s="1">
        <f t="shared" ca="1" si="23"/>
        <v>470</v>
      </c>
      <c r="AH27" s="1">
        <f t="shared" ca="1" si="24"/>
        <v>6.8284451031095893E-3</v>
      </c>
      <c r="AJ27" s="1">
        <f t="shared" ca="1" si="25"/>
        <v>0.79251088846547957</v>
      </c>
      <c r="AK27" s="1">
        <f t="shared" ca="1" si="26"/>
        <v>2.5762639340365731E-4</v>
      </c>
      <c r="AL27" s="1"/>
      <c r="AM27" s="1">
        <f t="shared" ca="1" si="27"/>
        <v>9.7956541552862972E-2</v>
      </c>
      <c r="AN27" s="1">
        <f t="shared" ca="1" si="28"/>
        <v>63</v>
      </c>
      <c r="AO27" s="1">
        <f t="shared" ca="1" si="29"/>
        <v>10</v>
      </c>
    </row>
    <row r="28" spans="2:41" x14ac:dyDescent="0.25">
      <c r="B28">
        <f t="shared" ca="1" si="0"/>
        <v>217</v>
      </c>
      <c r="C28">
        <f t="shared" ca="1" si="1"/>
        <v>8</v>
      </c>
      <c r="D28">
        <f t="shared" ca="1" si="2"/>
        <v>2.3614935603537831E-2</v>
      </c>
      <c r="F28" s="1">
        <f t="shared" ca="1" si="3"/>
        <v>49</v>
      </c>
      <c r="G28" s="1">
        <f t="shared" ca="1" si="4"/>
        <v>20</v>
      </c>
      <c r="H28" s="1">
        <f t="shared" ca="1" si="5"/>
        <v>2</v>
      </c>
      <c r="I28" s="1"/>
      <c r="J28" s="1">
        <f t="shared" ca="1" si="6"/>
        <v>1</v>
      </c>
      <c r="K28" s="1">
        <f t="shared" ca="1" si="7"/>
        <v>1.6343340360417187</v>
      </c>
      <c r="L28" s="1">
        <f t="shared" ca="1" si="8"/>
        <v>30</v>
      </c>
      <c r="M28" s="1"/>
      <c r="N28" s="1">
        <f t="shared" ca="1" si="9"/>
        <v>65</v>
      </c>
      <c r="O28" s="1">
        <f t="shared" ca="1" si="10"/>
        <v>25</v>
      </c>
      <c r="P28" s="1"/>
      <c r="Q28" s="1">
        <f t="shared" ca="1" si="11"/>
        <v>3.5785607638602053</v>
      </c>
      <c r="R28" s="1">
        <f t="shared" ca="1" si="12"/>
        <v>747</v>
      </c>
      <c r="S28" s="1"/>
      <c r="T28" s="1">
        <f t="shared" ca="1" si="13"/>
        <v>2.4809526999584788E-2</v>
      </c>
      <c r="U28" s="1">
        <f t="shared" ca="1" si="14"/>
        <v>445</v>
      </c>
      <c r="V28" s="1">
        <f t="shared" ca="1" si="15"/>
        <v>21</v>
      </c>
      <c r="W28" s="1"/>
      <c r="X28" s="1">
        <f t="shared" ca="1" si="16"/>
        <v>3.2101702220694759</v>
      </c>
      <c r="Y28" s="1">
        <f t="shared" ca="1" si="17"/>
        <v>0.10602616500228564</v>
      </c>
      <c r="Z28" s="1">
        <f t="shared" ca="1" si="18"/>
        <v>159</v>
      </c>
      <c r="AB28" s="1">
        <f t="shared" ca="1" si="19"/>
        <v>0.77648274225771552</v>
      </c>
      <c r="AC28" s="1">
        <f t="shared" ca="1" si="20"/>
        <v>986</v>
      </c>
      <c r="AD28" s="1">
        <f t="shared" ca="1" si="21"/>
        <v>7.8752639720402352E-3</v>
      </c>
      <c r="AE28" s="1"/>
      <c r="AF28" s="1">
        <f t="shared" ca="1" si="22"/>
        <v>0.12359646995740832</v>
      </c>
      <c r="AG28" s="1">
        <f t="shared" ca="1" si="23"/>
        <v>382</v>
      </c>
      <c r="AH28" s="1">
        <f t="shared" ca="1" si="24"/>
        <v>2.2180552670750162E-5</v>
      </c>
      <c r="AJ28" s="1">
        <f t="shared" ca="1" si="25"/>
        <v>0.55473732187304847</v>
      </c>
      <c r="AK28" s="1">
        <f t="shared" ca="1" si="26"/>
        <v>2.0029117732057043E-3</v>
      </c>
      <c r="AL28" s="1"/>
      <c r="AM28" s="1">
        <f t="shared" ca="1" si="27"/>
        <v>4.9950229572774021E-2</v>
      </c>
      <c r="AN28" s="1">
        <f t="shared" ca="1" si="28"/>
        <v>13</v>
      </c>
      <c r="AO28" s="1">
        <f t="shared" ca="1" si="29"/>
        <v>15</v>
      </c>
    </row>
    <row r="29" spans="2:41" x14ac:dyDescent="0.25">
      <c r="B29">
        <f t="shared" ca="1" si="0"/>
        <v>907</v>
      </c>
      <c r="C29">
        <f t="shared" ca="1" si="1"/>
        <v>29</v>
      </c>
      <c r="D29">
        <f t="shared" ca="1" si="2"/>
        <v>5.9205108589690594E-2</v>
      </c>
      <c r="F29" s="1">
        <f t="shared" ca="1" si="3"/>
        <v>13</v>
      </c>
      <c r="G29" s="1">
        <f t="shared" ca="1" si="4"/>
        <v>9</v>
      </c>
      <c r="H29" s="1">
        <f t="shared" ca="1" si="5"/>
        <v>4</v>
      </c>
      <c r="I29" s="1"/>
      <c r="J29" s="1">
        <f t="shared" ca="1" si="6"/>
        <v>11</v>
      </c>
      <c r="K29" s="1">
        <f t="shared" ca="1" si="7"/>
        <v>2.2367835892063432</v>
      </c>
      <c r="L29" s="1">
        <f t="shared" ca="1" si="8"/>
        <v>8</v>
      </c>
      <c r="M29" s="1"/>
      <c r="N29" s="1">
        <f t="shared" ca="1" si="9"/>
        <v>46</v>
      </c>
      <c r="O29" s="1">
        <f t="shared" ca="1" si="10"/>
        <v>34</v>
      </c>
      <c r="P29" s="1"/>
      <c r="Q29" s="1">
        <f t="shared" ca="1" si="11"/>
        <v>0.13222930314992146</v>
      </c>
      <c r="R29" s="1">
        <f t="shared" ca="1" si="12"/>
        <v>758</v>
      </c>
      <c r="S29" s="1"/>
      <c r="T29" s="1">
        <f t="shared" ca="1" si="13"/>
        <v>5.7649547291370701E-2</v>
      </c>
      <c r="U29" s="1">
        <f t="shared" ca="1" si="14"/>
        <v>259</v>
      </c>
      <c r="V29" s="1">
        <f t="shared" ca="1" si="15"/>
        <v>41</v>
      </c>
      <c r="W29" s="1"/>
      <c r="X29" s="1">
        <f t="shared" ca="1" si="16"/>
        <v>4.2481589080483948</v>
      </c>
      <c r="Y29" s="1">
        <f t="shared" ca="1" si="17"/>
        <v>0.20229081310707864</v>
      </c>
      <c r="Z29" s="1">
        <f t="shared" ca="1" si="18"/>
        <v>579</v>
      </c>
      <c r="AB29" s="1">
        <f t="shared" ca="1" si="19"/>
        <v>0.43221121100103782</v>
      </c>
      <c r="AC29" s="1">
        <f t="shared" ca="1" si="20"/>
        <v>881</v>
      </c>
      <c r="AD29" s="1">
        <f t="shared" ca="1" si="21"/>
        <v>2.2237422718269688E-3</v>
      </c>
      <c r="AE29" s="1"/>
      <c r="AF29" s="1">
        <f t="shared" ca="1" si="22"/>
        <v>0.64497609143973134</v>
      </c>
      <c r="AG29" s="1">
        <f t="shared" ca="1" si="23"/>
        <v>778</v>
      </c>
      <c r="AH29" s="1">
        <f t="shared" ca="1" si="24"/>
        <v>5.8666497746849913E-3</v>
      </c>
      <c r="AJ29" s="1">
        <f t="shared" ca="1" si="25"/>
        <v>0.44349582142478028</v>
      </c>
      <c r="AK29" s="1">
        <f t="shared" ca="1" si="26"/>
        <v>6.9906107358851423E-3</v>
      </c>
      <c r="AL29" s="1"/>
      <c r="AM29" s="1">
        <f t="shared" ca="1" si="27"/>
        <v>1.9393868417852417E-2</v>
      </c>
      <c r="AN29" s="1">
        <f t="shared" ca="1" si="28"/>
        <v>16</v>
      </c>
      <c r="AO29" s="1">
        <f t="shared" ca="1" si="29"/>
        <v>11</v>
      </c>
    </row>
    <row r="30" spans="2:41" x14ac:dyDescent="0.25">
      <c r="B30">
        <f t="shared" ca="1" si="0"/>
        <v>723</v>
      </c>
      <c r="C30">
        <f t="shared" ca="1" si="1"/>
        <v>33</v>
      </c>
      <c r="D30">
        <f t="shared" ca="1" si="2"/>
        <v>8.5431379964779008E-2</v>
      </c>
      <c r="F30" s="1">
        <f t="shared" ca="1" si="3"/>
        <v>34</v>
      </c>
      <c r="G30" s="1">
        <f t="shared" ca="1" si="4"/>
        <v>30</v>
      </c>
      <c r="H30" s="1">
        <f t="shared" ca="1" si="5"/>
        <v>13</v>
      </c>
      <c r="I30" s="1"/>
      <c r="J30" s="1">
        <f t="shared" ca="1" si="6"/>
        <v>15</v>
      </c>
      <c r="K30" s="1">
        <f t="shared" ca="1" si="7"/>
        <v>1.3971476153755273</v>
      </c>
      <c r="L30" s="1">
        <f t="shared" ca="1" si="8"/>
        <v>17</v>
      </c>
      <c r="M30" s="1"/>
      <c r="N30" s="1">
        <f t="shared" ca="1" si="9"/>
        <v>701</v>
      </c>
      <c r="O30" s="1">
        <f t="shared" ca="1" si="10"/>
        <v>33</v>
      </c>
      <c r="P30" s="1"/>
      <c r="Q30" s="1">
        <f t="shared" ca="1" si="11"/>
        <v>3.4974113187778957</v>
      </c>
      <c r="R30" s="1">
        <f t="shared" ca="1" si="12"/>
        <v>756</v>
      </c>
      <c r="S30" s="1"/>
      <c r="T30" s="1">
        <f t="shared" ca="1" si="13"/>
        <v>0.19355548499422878</v>
      </c>
      <c r="U30" s="1">
        <f t="shared" ca="1" si="14"/>
        <v>265</v>
      </c>
      <c r="V30" s="1">
        <f t="shared" ca="1" si="15"/>
        <v>48</v>
      </c>
      <c r="W30" s="1"/>
      <c r="X30" s="1">
        <f t="shared" ca="1" si="16"/>
        <v>7.6967538741442629</v>
      </c>
      <c r="Y30" s="1">
        <f t="shared" ca="1" si="17"/>
        <v>8.8732889697624578E-2</v>
      </c>
      <c r="Z30" s="1">
        <f t="shared" ca="1" si="18"/>
        <v>1816</v>
      </c>
      <c r="AB30" s="1">
        <f t="shared" ca="1" si="19"/>
        <v>0.77541368074018369</v>
      </c>
      <c r="AC30" s="1">
        <f t="shared" ca="1" si="20"/>
        <v>252</v>
      </c>
      <c r="AD30" s="1">
        <f t="shared" ca="1" si="21"/>
        <v>4.3092757761914059E-3</v>
      </c>
      <c r="AE30" s="1"/>
      <c r="AF30" s="1">
        <f t="shared" ca="1" si="22"/>
        <v>0.64486926877560269</v>
      </c>
      <c r="AG30" s="1">
        <f t="shared" ca="1" si="23"/>
        <v>450</v>
      </c>
      <c r="AH30" s="1">
        <f t="shared" ca="1" si="24"/>
        <v>7.3299272225223295E-3</v>
      </c>
      <c r="AJ30" s="1">
        <f t="shared" ca="1" si="25"/>
        <v>0.22713699730311709</v>
      </c>
      <c r="AK30" s="1">
        <f t="shared" ca="1" si="26"/>
        <v>7.3129130258260699E-4</v>
      </c>
      <c r="AL30" s="1"/>
      <c r="AM30" s="1">
        <f t="shared" ca="1" si="27"/>
        <v>2.7723827678848012E-2</v>
      </c>
      <c r="AN30" s="1">
        <f t="shared" ca="1" si="28"/>
        <v>61</v>
      </c>
      <c r="AO30" s="1">
        <f t="shared" ca="1" si="29"/>
        <v>15</v>
      </c>
    </row>
    <row r="31" spans="2:41" x14ac:dyDescent="0.25">
      <c r="B31">
        <f t="shared" ca="1" si="0"/>
        <v>234</v>
      </c>
      <c r="C31">
        <f t="shared" ca="1" si="1"/>
        <v>17</v>
      </c>
      <c r="D31">
        <f t="shared" ca="1" si="2"/>
        <v>0.21124494942764352</v>
      </c>
      <c r="F31" s="1">
        <f t="shared" ca="1" si="3"/>
        <v>43</v>
      </c>
      <c r="G31" s="1">
        <f t="shared" ca="1" si="4"/>
        <v>24</v>
      </c>
      <c r="H31" s="1">
        <f t="shared" ca="1" si="5"/>
        <v>4</v>
      </c>
      <c r="I31" s="1"/>
      <c r="J31" s="1">
        <f t="shared" ca="1" si="6"/>
        <v>14</v>
      </c>
      <c r="K31" s="1">
        <f t="shared" ca="1" si="7"/>
        <v>2.3343583404949819</v>
      </c>
      <c r="L31" s="1">
        <f t="shared" ca="1" si="8"/>
        <v>34</v>
      </c>
      <c r="M31" s="1"/>
      <c r="N31" s="1">
        <f t="shared" ca="1" si="9"/>
        <v>502</v>
      </c>
      <c r="O31" s="1">
        <f t="shared" ca="1" si="10"/>
        <v>47</v>
      </c>
      <c r="P31" s="1"/>
      <c r="Q31" s="1">
        <f t="shared" ca="1" si="11"/>
        <v>4.1831759722041753</v>
      </c>
      <c r="R31" s="1">
        <f t="shared" ca="1" si="12"/>
        <v>687</v>
      </c>
      <c r="S31" s="1"/>
      <c r="T31" s="1">
        <f t="shared" ca="1" si="13"/>
        <v>0.1724472527397734</v>
      </c>
      <c r="U31" s="1">
        <f t="shared" ca="1" si="14"/>
        <v>205</v>
      </c>
      <c r="V31" s="1">
        <f t="shared" ca="1" si="15"/>
        <v>40</v>
      </c>
      <c r="W31" s="1"/>
      <c r="X31" s="1">
        <f t="shared" ca="1" si="16"/>
        <v>1.8115230105644851</v>
      </c>
      <c r="Y31" s="1">
        <f t="shared" ca="1" si="17"/>
        <v>0.95875031424421198</v>
      </c>
      <c r="Z31" s="1">
        <f t="shared" ca="1" si="18"/>
        <v>980</v>
      </c>
      <c r="AB31" s="1">
        <f t="shared" ca="1" si="19"/>
        <v>0.76320270969601556</v>
      </c>
      <c r="AC31" s="1">
        <f t="shared" ca="1" si="20"/>
        <v>646</v>
      </c>
      <c r="AD31" s="1">
        <f t="shared" ca="1" si="21"/>
        <v>7.303124210489253E-3</v>
      </c>
      <c r="AE31" s="1"/>
      <c r="AF31" s="1">
        <f t="shared" ca="1" si="22"/>
        <v>0.22387626037640526</v>
      </c>
      <c r="AG31" s="1">
        <f t="shared" ca="1" si="23"/>
        <v>412</v>
      </c>
      <c r="AH31" s="1">
        <f t="shared" ca="1" si="24"/>
        <v>1.5699711522103896E-4</v>
      </c>
      <c r="AJ31" s="1">
        <f t="shared" ca="1" si="25"/>
        <v>0.50074735269375414</v>
      </c>
      <c r="AK31" s="1">
        <f t="shared" ca="1" si="26"/>
        <v>1.8180309619499609E-3</v>
      </c>
      <c r="AL31" s="1"/>
      <c r="AM31" s="1">
        <f t="shared" ca="1" si="27"/>
        <v>0.15326392417159437</v>
      </c>
      <c r="AN31" s="1">
        <f t="shared" ca="1" si="28"/>
        <v>23</v>
      </c>
      <c r="AO31" s="1">
        <f t="shared" ca="1" si="29"/>
        <v>18</v>
      </c>
    </row>
    <row r="32" spans="2:41" x14ac:dyDescent="0.25">
      <c r="B32">
        <f t="shared" ca="1" si="0"/>
        <v>896</v>
      </c>
      <c r="C32">
        <f t="shared" ca="1" si="1"/>
        <v>50</v>
      </c>
      <c r="D32">
        <f t="shared" ca="1" si="2"/>
        <v>5.3977058596949234E-2</v>
      </c>
      <c r="F32" s="1">
        <f t="shared" ca="1" si="3"/>
        <v>28</v>
      </c>
      <c r="G32" s="1">
        <f t="shared" ca="1" si="4"/>
        <v>8</v>
      </c>
      <c r="H32" s="1">
        <f t="shared" ca="1" si="5"/>
        <v>5</v>
      </c>
      <c r="I32" s="1"/>
      <c r="J32" s="1">
        <f t="shared" ca="1" si="6"/>
        <v>3</v>
      </c>
      <c r="K32" s="1">
        <f t="shared" ca="1" si="7"/>
        <v>2.8467109076671147</v>
      </c>
      <c r="L32" s="1">
        <f t="shared" ca="1" si="8"/>
        <v>9</v>
      </c>
      <c r="M32" s="1"/>
      <c r="N32" s="1">
        <f t="shared" ca="1" si="9"/>
        <v>270</v>
      </c>
      <c r="O32" s="1">
        <f t="shared" ca="1" si="10"/>
        <v>43</v>
      </c>
      <c r="P32" s="1"/>
      <c r="Q32" s="1">
        <f t="shared" ca="1" si="11"/>
        <v>2.8516509372603838</v>
      </c>
      <c r="R32" s="1">
        <f t="shared" ca="1" si="12"/>
        <v>953</v>
      </c>
      <c r="S32" s="1"/>
      <c r="T32" s="1">
        <f t="shared" ca="1" si="13"/>
        <v>8.8964731081104448E-2</v>
      </c>
      <c r="U32" s="1">
        <f t="shared" ca="1" si="14"/>
        <v>396</v>
      </c>
      <c r="V32" s="1">
        <f t="shared" ca="1" si="15"/>
        <v>22</v>
      </c>
      <c r="W32" s="1"/>
      <c r="X32" s="1">
        <f t="shared" ca="1" si="16"/>
        <v>3.4374037791231955</v>
      </c>
      <c r="Y32" s="1">
        <f t="shared" ca="1" si="17"/>
        <v>0.4844667149796229</v>
      </c>
      <c r="Z32" s="1">
        <f t="shared" ca="1" si="18"/>
        <v>1002</v>
      </c>
      <c r="AB32" s="1">
        <f t="shared" ca="1" si="19"/>
        <v>0.51135573131689194</v>
      </c>
      <c r="AC32" s="1">
        <f t="shared" ca="1" si="20"/>
        <v>145</v>
      </c>
      <c r="AD32" s="1">
        <f t="shared" ca="1" si="21"/>
        <v>7.6296438418105763E-3</v>
      </c>
      <c r="AE32" s="1"/>
      <c r="AF32" s="1">
        <f t="shared" ca="1" si="22"/>
        <v>0.12807804981720861</v>
      </c>
      <c r="AG32" s="1">
        <f t="shared" ca="1" si="23"/>
        <v>573</v>
      </c>
      <c r="AH32" s="1">
        <f t="shared" ca="1" si="24"/>
        <v>1.6504129353849682E-3</v>
      </c>
      <c r="AJ32" s="1">
        <f t="shared" ca="1" si="25"/>
        <v>0.39898211252075877</v>
      </c>
      <c r="AK32" s="1">
        <f t="shared" ca="1" si="26"/>
        <v>1.4411336328298783E-4</v>
      </c>
      <c r="AL32" s="1"/>
      <c r="AM32" s="1">
        <f t="shared" ca="1" si="27"/>
        <v>1.7605977274268329E-2</v>
      </c>
      <c r="AN32" s="1">
        <f t="shared" ca="1" si="28"/>
        <v>15</v>
      </c>
      <c r="AO32" s="1">
        <f t="shared" ca="1" si="29"/>
        <v>19</v>
      </c>
    </row>
    <row r="33" spans="2:41" x14ac:dyDescent="0.25">
      <c r="B33">
        <f t="shared" ca="1" si="0"/>
        <v>975</v>
      </c>
      <c r="C33">
        <f t="shared" ca="1" si="1"/>
        <v>18</v>
      </c>
      <c r="D33">
        <f t="shared" ca="1" si="2"/>
        <v>0.22950754585827646</v>
      </c>
      <c r="F33" s="1">
        <f t="shared" ca="1" si="3"/>
        <v>41</v>
      </c>
      <c r="G33" s="1">
        <f t="shared" ca="1" si="4"/>
        <v>23</v>
      </c>
      <c r="H33" s="1">
        <f t="shared" ca="1" si="5"/>
        <v>10</v>
      </c>
      <c r="I33" s="1"/>
      <c r="J33" s="1">
        <f t="shared" ca="1" si="6"/>
        <v>8</v>
      </c>
      <c r="K33" s="1">
        <f t="shared" ca="1" si="7"/>
        <v>1.1678450859287521</v>
      </c>
      <c r="L33" s="1">
        <f t="shared" ca="1" si="8"/>
        <v>2</v>
      </c>
      <c r="M33" s="1"/>
      <c r="N33" s="1">
        <f t="shared" ca="1" si="9"/>
        <v>54</v>
      </c>
      <c r="O33" s="1">
        <f t="shared" ca="1" si="10"/>
        <v>15</v>
      </c>
      <c r="P33" s="1"/>
      <c r="Q33" s="1">
        <f t="shared" ca="1" si="11"/>
        <v>1.4670019565331696</v>
      </c>
      <c r="R33" s="1">
        <f t="shared" ca="1" si="12"/>
        <v>1095</v>
      </c>
      <c r="S33" s="1"/>
      <c r="T33" s="1">
        <f t="shared" ca="1" si="13"/>
        <v>0.14004252208706741</v>
      </c>
      <c r="U33" s="1">
        <f t="shared" ca="1" si="14"/>
        <v>173</v>
      </c>
      <c r="V33" s="1">
        <f t="shared" ca="1" si="15"/>
        <v>11</v>
      </c>
      <c r="W33" s="1"/>
      <c r="X33" s="1">
        <f t="shared" ca="1" si="16"/>
        <v>6.6748378832451367</v>
      </c>
      <c r="Y33" s="1">
        <f t="shared" ca="1" si="17"/>
        <v>0.16832729735760366</v>
      </c>
      <c r="Z33" s="1">
        <f t="shared" ca="1" si="18"/>
        <v>272</v>
      </c>
      <c r="AB33" s="1">
        <f t="shared" ca="1" si="19"/>
        <v>0.51512657495808201</v>
      </c>
      <c r="AC33" s="1">
        <f t="shared" ca="1" si="20"/>
        <v>203</v>
      </c>
      <c r="AD33" s="1">
        <f t="shared" ca="1" si="21"/>
        <v>3.8972251767423697E-3</v>
      </c>
      <c r="AE33" s="1"/>
      <c r="AF33" s="1">
        <f t="shared" ca="1" si="22"/>
        <v>0.82440463540671893</v>
      </c>
      <c r="AG33" s="1">
        <f t="shared" ca="1" si="23"/>
        <v>652</v>
      </c>
      <c r="AH33" s="1">
        <f t="shared" ca="1" si="24"/>
        <v>5.3977181080170928E-3</v>
      </c>
      <c r="AJ33" s="1">
        <f t="shared" ca="1" si="25"/>
        <v>0.62235780500753901</v>
      </c>
      <c r="AK33" s="1">
        <f t="shared" ca="1" si="26"/>
        <v>4.1980957354409033E-3</v>
      </c>
      <c r="AL33" s="1"/>
      <c r="AM33" s="1">
        <f t="shared" ca="1" si="27"/>
        <v>1.5317969483206972E-2</v>
      </c>
      <c r="AN33" s="1">
        <f t="shared" ca="1" si="28"/>
        <v>79</v>
      </c>
      <c r="AO33" s="1">
        <f t="shared" ca="1" si="29"/>
        <v>4</v>
      </c>
    </row>
    <row r="34" spans="2:41" x14ac:dyDescent="0.25">
      <c r="B34">
        <f t="shared" ca="1" si="0"/>
        <v>728</v>
      </c>
      <c r="C34">
        <f t="shared" ca="1" si="1"/>
        <v>38</v>
      </c>
      <c r="D34">
        <f t="shared" ca="1" si="2"/>
        <v>0.22670714173835338</v>
      </c>
      <c r="F34" s="1">
        <f t="shared" ca="1" si="3"/>
        <v>9</v>
      </c>
      <c r="G34" s="1">
        <f t="shared" ca="1" si="4"/>
        <v>27</v>
      </c>
      <c r="H34" s="1">
        <f t="shared" ca="1" si="5"/>
        <v>10</v>
      </c>
      <c r="I34" s="1"/>
      <c r="J34" s="1">
        <f t="shared" ca="1" si="6"/>
        <v>26</v>
      </c>
      <c r="K34" s="1">
        <f t="shared" ca="1" si="7"/>
        <v>2.7963397424844132</v>
      </c>
      <c r="L34" s="1">
        <f t="shared" ca="1" si="8"/>
        <v>24</v>
      </c>
      <c r="M34" s="1"/>
      <c r="N34" s="1">
        <f t="shared" ca="1" si="9"/>
        <v>99</v>
      </c>
      <c r="O34" s="1">
        <f t="shared" ca="1" si="10"/>
        <v>36</v>
      </c>
      <c r="P34" s="1"/>
      <c r="Q34" s="1">
        <f t="shared" ca="1" si="11"/>
        <v>1.074763360949496</v>
      </c>
      <c r="R34" s="1">
        <f t="shared" ca="1" si="12"/>
        <v>1003</v>
      </c>
      <c r="S34" s="1"/>
      <c r="T34" s="1">
        <f t="shared" ca="1" si="13"/>
        <v>0.16087734201810033</v>
      </c>
      <c r="U34" s="1">
        <f t="shared" ca="1" si="14"/>
        <v>61</v>
      </c>
      <c r="V34" s="1">
        <f t="shared" ca="1" si="15"/>
        <v>41</v>
      </c>
      <c r="W34" s="1"/>
      <c r="X34" s="1">
        <f t="shared" ca="1" si="16"/>
        <v>7.1390187607257749</v>
      </c>
      <c r="Y34" s="1">
        <f t="shared" ca="1" si="17"/>
        <v>0.13600782521401056</v>
      </c>
      <c r="Z34" s="1">
        <f t="shared" ca="1" si="18"/>
        <v>545</v>
      </c>
      <c r="AB34" s="1">
        <f t="shared" ca="1" si="19"/>
        <v>0.32060148279343509</v>
      </c>
      <c r="AC34" s="1">
        <f t="shared" ca="1" si="20"/>
        <v>972</v>
      </c>
      <c r="AD34" s="1">
        <f t="shared" ca="1" si="21"/>
        <v>8.6357388042494212E-4</v>
      </c>
      <c r="AE34" s="1"/>
      <c r="AF34" s="1">
        <f t="shared" ca="1" si="22"/>
        <v>0.29170206655835629</v>
      </c>
      <c r="AG34" s="1">
        <f t="shared" ca="1" si="23"/>
        <v>705</v>
      </c>
      <c r="AH34" s="1">
        <f t="shared" ca="1" si="24"/>
        <v>6.397977373453959E-4</v>
      </c>
      <c r="AJ34" s="1">
        <f t="shared" ca="1" si="25"/>
        <v>0.86310339323867236</v>
      </c>
      <c r="AK34" s="1">
        <f t="shared" ca="1" si="26"/>
        <v>4.723749328152867E-3</v>
      </c>
      <c r="AL34" s="1"/>
      <c r="AM34" s="1">
        <f t="shared" ca="1" si="27"/>
        <v>2.6215991378899239E-2</v>
      </c>
      <c r="AN34" s="1">
        <f t="shared" ca="1" si="28"/>
        <v>10</v>
      </c>
      <c r="AO34" s="1">
        <f t="shared" ca="1" si="29"/>
        <v>6</v>
      </c>
    </row>
    <row r="35" spans="2:41" x14ac:dyDescent="0.25">
      <c r="B35">
        <f t="shared" ca="1" si="0"/>
        <v>556</v>
      </c>
      <c r="C35">
        <f t="shared" ca="1" si="1"/>
        <v>18</v>
      </c>
      <c r="D35">
        <f t="shared" ca="1" si="2"/>
        <v>0.17739696253034581</v>
      </c>
      <c r="F35" s="1">
        <f t="shared" ca="1" si="3"/>
        <v>46</v>
      </c>
      <c r="G35" s="1">
        <f t="shared" ca="1" si="4"/>
        <v>8</v>
      </c>
      <c r="H35" s="1">
        <f t="shared" ca="1" si="5"/>
        <v>9</v>
      </c>
      <c r="I35" s="1"/>
      <c r="J35" s="1">
        <f t="shared" ca="1" si="6"/>
        <v>35</v>
      </c>
      <c r="K35" s="1">
        <f t="shared" ca="1" si="7"/>
        <v>1.6523328846278069</v>
      </c>
      <c r="L35" s="1">
        <f t="shared" ca="1" si="8"/>
        <v>18</v>
      </c>
      <c r="M35" s="1"/>
      <c r="N35" s="1">
        <f t="shared" ca="1" si="9"/>
        <v>516</v>
      </c>
      <c r="O35" s="1">
        <f t="shared" ca="1" si="10"/>
        <v>44</v>
      </c>
      <c r="P35" s="1"/>
      <c r="Q35" s="1">
        <f t="shared" ca="1" si="11"/>
        <v>1.9276688745217239</v>
      </c>
      <c r="R35" s="1">
        <f t="shared" ca="1" si="12"/>
        <v>508</v>
      </c>
      <c r="S35" s="1"/>
      <c r="T35" s="1">
        <f t="shared" ca="1" si="13"/>
        <v>0.1234741434815977</v>
      </c>
      <c r="U35" s="1">
        <f t="shared" ca="1" si="14"/>
        <v>232</v>
      </c>
      <c r="V35" s="1">
        <f t="shared" ca="1" si="15"/>
        <v>8</v>
      </c>
      <c r="W35" s="1"/>
      <c r="X35" s="1">
        <f t="shared" ca="1" si="16"/>
        <v>7.2216308538072109</v>
      </c>
      <c r="Y35" s="1">
        <f t="shared" ca="1" si="17"/>
        <v>0.52971622304280519</v>
      </c>
      <c r="Z35" s="1">
        <f t="shared" ca="1" si="18"/>
        <v>1831</v>
      </c>
      <c r="AB35" s="1">
        <f t="shared" ca="1" si="19"/>
        <v>0.71245196185565751</v>
      </c>
      <c r="AC35" s="1">
        <f t="shared" ca="1" si="20"/>
        <v>578</v>
      </c>
      <c r="AD35" s="1">
        <f t="shared" ca="1" si="21"/>
        <v>5.4022889191291946E-5</v>
      </c>
      <c r="AE35" s="1"/>
      <c r="AF35" s="1">
        <f t="shared" ca="1" si="22"/>
        <v>0.85125514897833321</v>
      </c>
      <c r="AG35" s="1">
        <f t="shared" ca="1" si="23"/>
        <v>875</v>
      </c>
      <c r="AH35" s="1">
        <f t="shared" ca="1" si="24"/>
        <v>2.4735970081904445E-3</v>
      </c>
      <c r="AJ35" s="1">
        <f t="shared" ca="1" si="25"/>
        <v>0.25355867164930324</v>
      </c>
      <c r="AK35" s="1">
        <f t="shared" ca="1" si="26"/>
        <v>3.2603451364379061E-3</v>
      </c>
      <c r="AL35" s="1"/>
      <c r="AM35" s="1">
        <f t="shared" ca="1" si="27"/>
        <v>0.16668849075933762</v>
      </c>
      <c r="AN35" s="1">
        <f t="shared" ca="1" si="28"/>
        <v>46</v>
      </c>
      <c r="AO35" s="1">
        <f t="shared" ca="1" si="29"/>
        <v>7</v>
      </c>
    </row>
    <row r="36" spans="2:41" x14ac:dyDescent="0.25">
      <c r="B36">
        <f t="shared" ca="1" si="0"/>
        <v>100</v>
      </c>
      <c r="C36">
        <f t="shared" ca="1" si="1"/>
        <v>18</v>
      </c>
      <c r="D36">
        <f t="shared" ca="1" si="2"/>
        <v>0.22096142644396116</v>
      </c>
      <c r="F36" s="1">
        <f t="shared" ca="1" si="3"/>
        <v>5</v>
      </c>
      <c r="G36" s="1">
        <f t="shared" ca="1" si="4"/>
        <v>12</v>
      </c>
      <c r="H36" s="1">
        <f t="shared" ca="1" si="5"/>
        <v>7</v>
      </c>
      <c r="I36" s="1"/>
      <c r="J36" s="1">
        <f t="shared" ca="1" si="6"/>
        <v>10</v>
      </c>
      <c r="K36" s="1">
        <f t="shared" ca="1" si="7"/>
        <v>1.6082108536832795</v>
      </c>
      <c r="L36" s="1">
        <f t="shared" ca="1" si="8"/>
        <v>31</v>
      </c>
      <c r="M36" s="1"/>
      <c r="N36" s="1">
        <f t="shared" ca="1" si="9"/>
        <v>899</v>
      </c>
      <c r="O36" s="1">
        <f t="shared" ca="1" si="10"/>
        <v>46</v>
      </c>
      <c r="P36" s="1"/>
      <c r="Q36" s="1">
        <f t="shared" ca="1" si="11"/>
        <v>0.56871249837059923</v>
      </c>
      <c r="R36" s="1">
        <f t="shared" ca="1" si="12"/>
        <v>371</v>
      </c>
      <c r="S36" s="1"/>
      <c r="T36" s="1">
        <f t="shared" ca="1" si="13"/>
        <v>0.12852725012500768</v>
      </c>
      <c r="U36" s="1">
        <f t="shared" ca="1" si="14"/>
        <v>348</v>
      </c>
      <c r="V36" s="1">
        <f t="shared" ca="1" si="15"/>
        <v>28</v>
      </c>
      <c r="W36" s="1"/>
      <c r="X36" s="1">
        <f t="shared" ca="1" si="16"/>
        <v>6.4357890170564183</v>
      </c>
      <c r="Y36" s="1">
        <f t="shared" ca="1" si="17"/>
        <v>3.2897434271080168E-2</v>
      </c>
      <c r="Z36" s="1">
        <f t="shared" ca="1" si="18"/>
        <v>1249</v>
      </c>
      <c r="AB36" s="1">
        <f t="shared" ca="1" si="19"/>
        <v>0.19654408551749214</v>
      </c>
      <c r="AC36" s="1">
        <f t="shared" ca="1" si="20"/>
        <v>490</v>
      </c>
      <c r="AD36" s="1">
        <f t="shared" ca="1" si="21"/>
        <v>7.8101751346393491E-3</v>
      </c>
      <c r="AE36" s="1"/>
      <c r="AF36" s="1">
        <f t="shared" ca="1" si="22"/>
        <v>0.86490174107857332</v>
      </c>
      <c r="AG36" s="1">
        <f t="shared" ca="1" si="23"/>
        <v>116</v>
      </c>
      <c r="AH36" s="1">
        <f t="shared" ca="1" si="24"/>
        <v>9.8614127429191368E-4</v>
      </c>
      <c r="AJ36" s="1">
        <f t="shared" ca="1" si="25"/>
        <v>0.86874370532449241</v>
      </c>
      <c r="AK36" s="1">
        <f t="shared" ca="1" si="26"/>
        <v>1.5198576698011348E-3</v>
      </c>
      <c r="AL36" s="1"/>
      <c r="AM36" s="1">
        <f t="shared" ca="1" si="27"/>
        <v>0.16925922212593994</v>
      </c>
      <c r="AN36" s="1">
        <f t="shared" ca="1" si="28"/>
        <v>17</v>
      </c>
      <c r="AO36" s="1">
        <f t="shared" ca="1" si="29"/>
        <v>10</v>
      </c>
    </row>
    <row r="37" spans="2:41" x14ac:dyDescent="0.25">
      <c r="B37">
        <f t="shared" ca="1" si="0"/>
        <v>386</v>
      </c>
      <c r="C37">
        <f t="shared" ca="1" si="1"/>
        <v>36</v>
      </c>
      <c r="D37">
        <f t="shared" ca="1" si="2"/>
        <v>0.11746514301682011</v>
      </c>
      <c r="F37" s="1">
        <f t="shared" ca="1" si="3"/>
        <v>44</v>
      </c>
      <c r="G37" s="1">
        <f t="shared" ca="1" si="4"/>
        <v>15</v>
      </c>
      <c r="H37" s="1">
        <f t="shared" ca="1" si="5"/>
        <v>5</v>
      </c>
      <c r="I37" s="1"/>
      <c r="J37" s="1">
        <f t="shared" ca="1" si="6"/>
        <v>6</v>
      </c>
      <c r="K37" s="1">
        <f t="shared" ca="1" si="7"/>
        <v>2.1039283918300007</v>
      </c>
      <c r="L37" s="1">
        <f t="shared" ca="1" si="8"/>
        <v>26</v>
      </c>
      <c r="M37" s="1"/>
      <c r="N37" s="1">
        <f t="shared" ca="1" si="9"/>
        <v>821</v>
      </c>
      <c r="O37" s="1">
        <f t="shared" ca="1" si="10"/>
        <v>52</v>
      </c>
      <c r="P37" s="1"/>
      <c r="Q37" s="1">
        <f t="shared" ca="1" si="11"/>
        <v>2.3208093440812902</v>
      </c>
      <c r="R37" s="1">
        <f t="shared" ca="1" si="12"/>
        <v>313</v>
      </c>
      <c r="S37" s="1"/>
      <c r="T37" s="1">
        <f t="shared" ca="1" si="13"/>
        <v>0.12099937482927357</v>
      </c>
      <c r="U37" s="1">
        <f t="shared" ca="1" si="14"/>
        <v>152</v>
      </c>
      <c r="V37" s="1">
        <f t="shared" ca="1" si="15"/>
        <v>27</v>
      </c>
      <c r="W37" s="1"/>
      <c r="X37" s="1">
        <f t="shared" ca="1" si="16"/>
        <v>3.0770980236704122</v>
      </c>
      <c r="Y37" s="1">
        <f t="shared" ca="1" si="17"/>
        <v>0.79268303099898096</v>
      </c>
      <c r="Z37" s="1">
        <f t="shared" ca="1" si="18"/>
        <v>122</v>
      </c>
      <c r="AB37" s="1">
        <f t="shared" ca="1" si="19"/>
        <v>0.71108486581883745</v>
      </c>
      <c r="AC37" s="1">
        <f t="shared" ca="1" si="20"/>
        <v>830</v>
      </c>
      <c r="AD37" s="1">
        <f t="shared" ca="1" si="21"/>
        <v>2.8026488985497065E-3</v>
      </c>
      <c r="AE37" s="1"/>
      <c r="AF37" s="1">
        <f t="shared" ca="1" si="22"/>
        <v>0.16127047248975171</v>
      </c>
      <c r="AG37" s="1">
        <f t="shared" ca="1" si="23"/>
        <v>815</v>
      </c>
      <c r="AH37" s="1">
        <f t="shared" ca="1" si="24"/>
        <v>6.1294310847602399E-3</v>
      </c>
      <c r="AJ37" s="1">
        <f t="shared" ca="1" si="25"/>
        <v>0.20436309889199689</v>
      </c>
      <c r="AK37" s="1">
        <f t="shared" ca="1" si="26"/>
        <v>2.8960417310535807E-4</v>
      </c>
      <c r="AL37" s="1"/>
      <c r="AM37" s="1">
        <f t="shared" ca="1" si="27"/>
        <v>6.0128136185162544E-2</v>
      </c>
      <c r="AN37" s="1">
        <f t="shared" ca="1" si="28"/>
        <v>40</v>
      </c>
      <c r="AO37" s="1">
        <f t="shared" ca="1" si="29"/>
        <v>17</v>
      </c>
    </row>
    <row r="38" spans="2:41" x14ac:dyDescent="0.25">
      <c r="B38">
        <f t="shared" ca="1" si="0"/>
        <v>607</v>
      </c>
      <c r="C38">
        <f t="shared" ca="1" si="1"/>
        <v>6</v>
      </c>
      <c r="D38">
        <f t="shared" ca="1" si="2"/>
        <v>0.18908903966503735</v>
      </c>
      <c r="F38" s="1">
        <f t="shared" ca="1" si="3"/>
        <v>26</v>
      </c>
      <c r="G38" s="1">
        <f t="shared" ca="1" si="4"/>
        <v>15</v>
      </c>
      <c r="H38" s="1">
        <f t="shared" ca="1" si="5"/>
        <v>8</v>
      </c>
      <c r="I38" s="1"/>
      <c r="J38" s="1">
        <f t="shared" ca="1" si="6"/>
        <v>27</v>
      </c>
      <c r="K38" s="1">
        <f t="shared" ca="1" si="7"/>
        <v>2.0321622067903009</v>
      </c>
      <c r="L38" s="1">
        <f t="shared" ca="1" si="8"/>
        <v>7</v>
      </c>
      <c r="M38" s="1"/>
      <c r="N38" s="1">
        <f t="shared" ca="1" si="9"/>
        <v>540</v>
      </c>
      <c r="O38" s="1">
        <f t="shared" ca="1" si="10"/>
        <v>49</v>
      </c>
      <c r="P38" s="1"/>
      <c r="Q38" s="1">
        <f t="shared" ca="1" si="11"/>
        <v>4.6803904662024136</v>
      </c>
      <c r="R38" s="1">
        <f t="shared" ca="1" si="12"/>
        <v>1119</v>
      </c>
      <c r="S38" s="1"/>
      <c r="T38" s="1">
        <f t="shared" ca="1" si="13"/>
        <v>0.17237069386820628</v>
      </c>
      <c r="U38" s="1">
        <f t="shared" ca="1" si="14"/>
        <v>337</v>
      </c>
      <c r="V38" s="1">
        <f t="shared" ca="1" si="15"/>
        <v>35</v>
      </c>
      <c r="W38" s="1"/>
      <c r="X38" s="1">
        <f t="shared" ca="1" si="16"/>
        <v>4.0263758621196422</v>
      </c>
      <c r="Y38" s="1">
        <f t="shared" ca="1" si="17"/>
        <v>4.3115254214042061E-2</v>
      </c>
      <c r="Z38" s="1">
        <f t="shared" ca="1" si="18"/>
        <v>1933</v>
      </c>
      <c r="AB38" s="1">
        <f t="shared" ca="1" si="19"/>
        <v>0.77949335113616347</v>
      </c>
      <c r="AC38" s="1">
        <f t="shared" ca="1" si="20"/>
        <v>782</v>
      </c>
      <c r="AD38" s="1">
        <f t="shared" ca="1" si="21"/>
        <v>3.3645992914890363E-3</v>
      </c>
      <c r="AE38" s="1"/>
      <c r="AF38" s="1">
        <f t="shared" ca="1" si="22"/>
        <v>0.71542400026884789</v>
      </c>
      <c r="AG38" s="1">
        <f t="shared" ca="1" si="23"/>
        <v>462</v>
      </c>
      <c r="AH38" s="1">
        <f t="shared" ca="1" si="24"/>
        <v>1.0929586260157564E-3</v>
      </c>
      <c r="AJ38" s="1">
        <f t="shared" ca="1" si="25"/>
        <v>0.85417664422513084</v>
      </c>
      <c r="AK38" s="1">
        <f t="shared" ca="1" si="26"/>
        <v>5.1999946896945136E-3</v>
      </c>
      <c r="AL38" s="1"/>
      <c r="AM38" s="1">
        <f t="shared" ca="1" si="27"/>
        <v>2.8316323218382698E-2</v>
      </c>
      <c r="AN38" s="1">
        <f t="shared" ca="1" si="28"/>
        <v>48</v>
      </c>
      <c r="AO38" s="1">
        <f t="shared" ca="1" si="29"/>
        <v>15</v>
      </c>
    </row>
    <row r="39" spans="2:41" x14ac:dyDescent="0.25">
      <c r="B39">
        <f t="shared" ca="1" si="0"/>
        <v>517</v>
      </c>
      <c r="C39">
        <f t="shared" ca="1" si="1"/>
        <v>8</v>
      </c>
      <c r="D39">
        <f t="shared" ca="1" si="2"/>
        <v>0.17244882571389158</v>
      </c>
      <c r="F39" s="1">
        <f t="shared" ca="1" si="3"/>
        <v>26</v>
      </c>
      <c r="G39" s="1">
        <f t="shared" ca="1" si="4"/>
        <v>15</v>
      </c>
      <c r="H39" s="1">
        <f t="shared" ca="1" si="5"/>
        <v>14</v>
      </c>
      <c r="I39" s="1"/>
      <c r="J39" s="1">
        <f t="shared" ca="1" si="6"/>
        <v>3</v>
      </c>
      <c r="K39" s="1">
        <f t="shared" ca="1" si="7"/>
        <v>1.0703093697982975</v>
      </c>
      <c r="L39" s="1">
        <f t="shared" ca="1" si="8"/>
        <v>20</v>
      </c>
      <c r="M39" s="1"/>
      <c r="N39" s="1">
        <f t="shared" ca="1" si="9"/>
        <v>595</v>
      </c>
      <c r="O39" s="1">
        <f t="shared" ca="1" si="10"/>
        <v>28</v>
      </c>
      <c r="P39" s="1"/>
      <c r="Q39" s="1">
        <f t="shared" ca="1" si="11"/>
        <v>2.6211777926416708</v>
      </c>
      <c r="R39" s="1">
        <f t="shared" ca="1" si="12"/>
        <v>1126</v>
      </c>
      <c r="S39" s="1"/>
      <c r="T39" s="1">
        <f t="shared" ca="1" si="13"/>
        <v>0.13430366397563898</v>
      </c>
      <c r="U39" s="1">
        <f t="shared" ca="1" si="14"/>
        <v>411</v>
      </c>
      <c r="V39" s="1">
        <f t="shared" ca="1" si="15"/>
        <v>2</v>
      </c>
      <c r="W39" s="1"/>
      <c r="X39" s="1">
        <f t="shared" ca="1" si="16"/>
        <v>5.7297024364619391</v>
      </c>
      <c r="Y39" s="1">
        <f t="shared" ca="1" si="17"/>
        <v>0.14013764722990188</v>
      </c>
      <c r="Z39" s="1">
        <f t="shared" ca="1" si="18"/>
        <v>197</v>
      </c>
      <c r="AB39" s="1">
        <f t="shared" ca="1" si="19"/>
        <v>0.64829747002277749</v>
      </c>
      <c r="AC39" s="1">
        <f t="shared" ca="1" si="20"/>
        <v>195</v>
      </c>
      <c r="AD39" s="1">
        <f t="shared" ca="1" si="21"/>
        <v>7.3656010863937119E-4</v>
      </c>
      <c r="AE39" s="1"/>
      <c r="AF39" s="1">
        <f t="shared" ca="1" si="22"/>
        <v>0.79908443589274403</v>
      </c>
      <c r="AG39" s="1">
        <f t="shared" ca="1" si="23"/>
        <v>583</v>
      </c>
      <c r="AH39" s="1">
        <f t="shared" ca="1" si="24"/>
        <v>5.7384568298568936E-3</v>
      </c>
      <c r="AJ39" s="1">
        <f t="shared" ca="1" si="25"/>
        <v>0.83574591947671317</v>
      </c>
      <c r="AK39" s="1">
        <f t="shared" ca="1" si="26"/>
        <v>3.4905869791447253E-3</v>
      </c>
      <c r="AL39" s="1"/>
      <c r="AM39" s="1">
        <f t="shared" ca="1" si="27"/>
        <v>0.15768112820577099</v>
      </c>
      <c r="AN39" s="1">
        <f t="shared" ca="1" si="28"/>
        <v>74</v>
      </c>
      <c r="AO39" s="1">
        <f t="shared" ca="1" si="29"/>
        <v>12</v>
      </c>
    </row>
    <row r="40" spans="2:41" x14ac:dyDescent="0.25">
      <c r="B40">
        <f t="shared" ca="1" si="0"/>
        <v>558</v>
      </c>
      <c r="C40">
        <f t="shared" ca="1" si="1"/>
        <v>32</v>
      </c>
      <c r="D40">
        <f t="shared" ca="1" si="2"/>
        <v>0.10436876677519034</v>
      </c>
      <c r="F40" s="1">
        <f t="shared" ca="1" si="3"/>
        <v>13</v>
      </c>
      <c r="G40" s="1">
        <f t="shared" ca="1" si="4"/>
        <v>30</v>
      </c>
      <c r="H40" s="1">
        <f t="shared" ca="1" si="5"/>
        <v>7</v>
      </c>
      <c r="I40" s="1"/>
      <c r="J40" s="1">
        <f t="shared" ca="1" si="6"/>
        <v>13</v>
      </c>
      <c r="K40" s="1">
        <f t="shared" ca="1" si="7"/>
        <v>2.1703985773384571</v>
      </c>
      <c r="L40" s="1">
        <f t="shared" ca="1" si="8"/>
        <v>7</v>
      </c>
      <c r="M40" s="1"/>
      <c r="N40" s="1">
        <f t="shared" ca="1" si="9"/>
        <v>22</v>
      </c>
      <c r="O40" s="1">
        <f t="shared" ca="1" si="10"/>
        <v>24</v>
      </c>
      <c r="P40" s="1"/>
      <c r="Q40" s="1">
        <f t="shared" ca="1" si="11"/>
        <v>2.2123197948005866</v>
      </c>
      <c r="R40" s="1">
        <f t="shared" ca="1" si="12"/>
        <v>1151</v>
      </c>
      <c r="S40" s="1"/>
      <c r="T40" s="1">
        <f t="shared" ca="1" si="13"/>
        <v>1.5572986829993755E-2</v>
      </c>
      <c r="U40" s="1">
        <f t="shared" ca="1" si="14"/>
        <v>367</v>
      </c>
      <c r="V40" s="1">
        <f t="shared" ca="1" si="15"/>
        <v>51</v>
      </c>
      <c r="W40" s="1"/>
      <c r="X40" s="1">
        <f t="shared" ca="1" si="16"/>
        <v>2.5921682268212791</v>
      </c>
      <c r="Y40" s="1">
        <f t="shared" ca="1" si="17"/>
        <v>0.32444819805763597</v>
      </c>
      <c r="Z40" s="1">
        <f t="shared" ca="1" si="18"/>
        <v>461</v>
      </c>
      <c r="AB40" s="1">
        <f t="shared" ca="1" si="19"/>
        <v>0.97105992255302964</v>
      </c>
      <c r="AC40" s="1">
        <f t="shared" ca="1" si="20"/>
        <v>406</v>
      </c>
      <c r="AD40" s="1">
        <f t="shared" ca="1" si="21"/>
        <v>1.9299817338749787E-3</v>
      </c>
      <c r="AE40" s="1"/>
      <c r="AF40" s="1">
        <f t="shared" ca="1" si="22"/>
        <v>0.27278771208557429</v>
      </c>
      <c r="AG40" s="1">
        <f t="shared" ca="1" si="23"/>
        <v>901</v>
      </c>
      <c r="AH40" s="1">
        <f t="shared" ca="1" si="24"/>
        <v>3.312841097857218E-3</v>
      </c>
      <c r="AJ40" s="1">
        <f t="shared" ca="1" si="25"/>
        <v>9.5833176339840676E-2</v>
      </c>
      <c r="AK40" s="1">
        <f t="shared" ca="1" si="26"/>
        <v>6.564336707207314E-3</v>
      </c>
      <c r="AL40" s="1"/>
      <c r="AM40" s="1">
        <f t="shared" ca="1" si="27"/>
        <v>6.5494217058568435E-2</v>
      </c>
      <c r="AN40" s="1">
        <f t="shared" ca="1" si="28"/>
        <v>80</v>
      </c>
      <c r="AO40" s="1">
        <f t="shared" ca="1" si="29"/>
        <v>-1</v>
      </c>
    </row>
    <row r="41" spans="2:41" x14ac:dyDescent="0.25">
      <c r="B41">
        <f t="shared" ca="1" si="0"/>
        <v>649</v>
      </c>
      <c r="C41">
        <f t="shared" ca="1" si="1"/>
        <v>14</v>
      </c>
      <c r="D41">
        <f t="shared" ca="1" si="2"/>
        <v>0.26597984977154315</v>
      </c>
      <c r="F41" s="1">
        <f t="shared" ca="1" si="3"/>
        <v>11</v>
      </c>
      <c r="G41" s="1">
        <f t="shared" ca="1" si="4"/>
        <v>10</v>
      </c>
      <c r="H41" s="1">
        <f t="shared" ca="1" si="5"/>
        <v>1</v>
      </c>
      <c r="I41" s="1"/>
      <c r="J41" s="1">
        <f t="shared" ca="1" si="6"/>
        <v>25</v>
      </c>
      <c r="K41" s="1">
        <f t="shared" ca="1" si="7"/>
        <v>1.0237939627164225</v>
      </c>
      <c r="L41" s="1">
        <f t="shared" ca="1" si="8"/>
        <v>27</v>
      </c>
      <c r="M41" s="1"/>
      <c r="N41" s="1">
        <f t="shared" ca="1" si="9"/>
        <v>546</v>
      </c>
      <c r="O41" s="1">
        <f t="shared" ca="1" si="10"/>
        <v>30</v>
      </c>
      <c r="P41" s="1"/>
      <c r="Q41" s="1">
        <f t="shared" ca="1" si="11"/>
        <v>3.7144614809571652</v>
      </c>
      <c r="R41" s="1">
        <f t="shared" ca="1" si="12"/>
        <v>550</v>
      </c>
      <c r="S41" s="1"/>
      <c r="T41" s="1">
        <f t="shared" ca="1" si="13"/>
        <v>0.14714323686795383</v>
      </c>
      <c r="U41" s="1">
        <f t="shared" ca="1" si="14"/>
        <v>199</v>
      </c>
      <c r="V41" s="1">
        <f t="shared" ca="1" si="15"/>
        <v>29</v>
      </c>
      <c r="W41" s="1"/>
      <c r="X41" s="1">
        <f t="shared" ca="1" si="16"/>
        <v>8.3020893894995815</v>
      </c>
      <c r="Y41" s="1">
        <f t="shared" ca="1" si="17"/>
        <v>0.13173786247044791</v>
      </c>
      <c r="Z41" s="1">
        <f t="shared" ca="1" si="18"/>
        <v>614</v>
      </c>
      <c r="AB41" s="1">
        <f t="shared" ca="1" si="19"/>
        <v>0.5045421692369243</v>
      </c>
      <c r="AC41" s="1">
        <f t="shared" ca="1" si="20"/>
        <v>297</v>
      </c>
      <c r="AD41" s="1">
        <f t="shared" ca="1" si="21"/>
        <v>5.2952217051217667E-3</v>
      </c>
      <c r="AE41" s="1"/>
      <c r="AF41" s="1">
        <f t="shared" ca="1" si="22"/>
        <v>0.62728373618957189</v>
      </c>
      <c r="AG41" s="1">
        <f t="shared" ca="1" si="23"/>
        <v>288</v>
      </c>
      <c r="AH41" s="1">
        <f t="shared" ca="1" si="24"/>
        <v>6.4858488429590791E-3</v>
      </c>
      <c r="AJ41" s="1">
        <f t="shared" ca="1" si="25"/>
        <v>0.51174824026959465</v>
      </c>
      <c r="AK41" s="1">
        <f t="shared" ca="1" si="26"/>
        <v>3.5275656099262444E-3</v>
      </c>
      <c r="AL41" s="1"/>
      <c r="AM41" s="1">
        <f t="shared" ca="1" si="27"/>
        <v>6.3242828781406996E-2</v>
      </c>
      <c r="AN41" s="1">
        <f t="shared" ca="1" si="28"/>
        <v>35</v>
      </c>
      <c r="AO41" s="1">
        <f t="shared" ca="1" si="29"/>
        <v>0</v>
      </c>
    </row>
    <row r="42" spans="2:41" x14ac:dyDescent="0.25">
      <c r="B42">
        <f t="shared" ca="1" si="0"/>
        <v>508</v>
      </c>
      <c r="C42">
        <f t="shared" ca="1" si="1"/>
        <v>22</v>
      </c>
      <c r="D42">
        <f t="shared" ca="1" si="2"/>
        <v>0.22802850585614887</v>
      </c>
      <c r="F42" s="1">
        <f t="shared" ca="1" si="3"/>
        <v>7</v>
      </c>
      <c r="G42" s="1">
        <f t="shared" ca="1" si="4"/>
        <v>3</v>
      </c>
      <c r="H42" s="1">
        <f t="shared" ca="1" si="5"/>
        <v>15</v>
      </c>
      <c r="I42" s="1"/>
      <c r="J42" s="1">
        <f t="shared" ca="1" si="6"/>
        <v>25</v>
      </c>
      <c r="K42" s="1">
        <f t="shared" ca="1" si="7"/>
        <v>1.8397438215208335</v>
      </c>
      <c r="L42" s="1">
        <f t="shared" ca="1" si="8"/>
        <v>29</v>
      </c>
      <c r="M42" s="1"/>
      <c r="N42" s="1">
        <f t="shared" ca="1" si="9"/>
        <v>812</v>
      </c>
      <c r="O42" s="1">
        <f t="shared" ca="1" si="10"/>
        <v>10</v>
      </c>
      <c r="P42" s="1"/>
      <c r="Q42" s="1">
        <f t="shared" ca="1" si="11"/>
        <v>0.63461825139014416</v>
      </c>
      <c r="R42" s="1">
        <f t="shared" ca="1" si="12"/>
        <v>326</v>
      </c>
      <c r="S42" s="1"/>
      <c r="T42" s="1">
        <f t="shared" ca="1" si="13"/>
        <v>0.18874994579396526</v>
      </c>
      <c r="U42" s="1">
        <f t="shared" ca="1" si="14"/>
        <v>418</v>
      </c>
      <c r="V42" s="1">
        <f t="shared" ca="1" si="15"/>
        <v>45</v>
      </c>
      <c r="W42" s="1"/>
      <c r="X42" s="1">
        <f t="shared" ca="1" si="16"/>
        <v>7.073648555583806</v>
      </c>
      <c r="Y42" s="1">
        <f t="shared" ca="1" si="17"/>
        <v>0.26204032591817478</v>
      </c>
      <c r="Z42" s="1">
        <f t="shared" ca="1" si="18"/>
        <v>875</v>
      </c>
      <c r="AB42" s="1">
        <f t="shared" ca="1" si="19"/>
        <v>0.58915685694126751</v>
      </c>
      <c r="AC42" s="1">
        <f t="shared" ca="1" si="20"/>
        <v>427</v>
      </c>
      <c r="AD42" s="1">
        <f t="shared" ca="1" si="21"/>
        <v>6.123109947685502E-3</v>
      </c>
      <c r="AE42" s="1"/>
      <c r="AF42" s="1">
        <f t="shared" ca="1" si="22"/>
        <v>0.79187802936216545</v>
      </c>
      <c r="AG42" s="1">
        <f t="shared" ca="1" si="23"/>
        <v>137</v>
      </c>
      <c r="AH42" s="1">
        <f t="shared" ca="1" si="24"/>
        <v>5.5940610434551214E-3</v>
      </c>
      <c r="AJ42" s="1">
        <f t="shared" ca="1" si="25"/>
        <v>2.9793793979499883E-2</v>
      </c>
      <c r="AK42" s="1">
        <f t="shared" ca="1" si="26"/>
        <v>7.0377918718977769E-3</v>
      </c>
      <c r="AL42" s="1"/>
      <c r="AM42" s="1">
        <f t="shared" ca="1" si="27"/>
        <v>9.8556736593897298E-2</v>
      </c>
      <c r="AN42" s="1">
        <f t="shared" ca="1" si="28"/>
        <v>35</v>
      </c>
      <c r="AO42" s="1">
        <f t="shared" ca="1" si="29"/>
        <v>13</v>
      </c>
    </row>
    <row r="43" spans="2:41" x14ac:dyDescent="0.25">
      <c r="B43">
        <f t="shared" ca="1" si="0"/>
        <v>910</v>
      </c>
      <c r="C43">
        <f t="shared" ca="1" si="1"/>
        <v>27</v>
      </c>
      <c r="D43">
        <f t="shared" ca="1" si="2"/>
        <v>0.21286047456497681</v>
      </c>
      <c r="F43" s="1">
        <f t="shared" ca="1" si="3"/>
        <v>12</v>
      </c>
      <c r="G43" s="1">
        <f t="shared" ca="1" si="4"/>
        <v>24</v>
      </c>
      <c r="H43" s="1">
        <f t="shared" ca="1" si="5"/>
        <v>3</v>
      </c>
      <c r="I43" s="1"/>
      <c r="J43" s="1">
        <f t="shared" ca="1" si="6"/>
        <v>37</v>
      </c>
      <c r="K43" s="1">
        <f t="shared" ca="1" si="7"/>
        <v>1.9358951056904936</v>
      </c>
      <c r="L43" s="1">
        <f t="shared" ca="1" si="8"/>
        <v>9</v>
      </c>
      <c r="M43" s="1"/>
      <c r="N43" s="1">
        <f t="shared" ca="1" si="9"/>
        <v>972</v>
      </c>
      <c r="O43" s="1">
        <f t="shared" ca="1" si="10"/>
        <v>25</v>
      </c>
      <c r="P43" s="1"/>
      <c r="Q43" s="1">
        <f t="shared" ca="1" si="11"/>
        <v>4.7186275087438583</v>
      </c>
      <c r="R43" s="1">
        <f t="shared" ca="1" si="12"/>
        <v>1057</v>
      </c>
      <c r="S43" s="1"/>
      <c r="T43" s="1">
        <f t="shared" ca="1" si="13"/>
        <v>0.11890282596080717</v>
      </c>
      <c r="U43" s="1">
        <f t="shared" ca="1" si="14"/>
        <v>154</v>
      </c>
      <c r="V43" s="1">
        <f t="shared" ca="1" si="15"/>
        <v>9</v>
      </c>
      <c r="W43" s="1"/>
      <c r="X43" s="1">
        <f t="shared" ca="1" si="16"/>
        <v>7.5931488203083832</v>
      </c>
      <c r="Y43" s="1">
        <f t="shared" ca="1" si="17"/>
        <v>0.33693021437703197</v>
      </c>
      <c r="Z43" s="1">
        <f t="shared" ca="1" si="18"/>
        <v>1697</v>
      </c>
      <c r="AB43" s="1">
        <f t="shared" ca="1" si="19"/>
        <v>6.2903694570217911E-2</v>
      </c>
      <c r="AC43" s="1">
        <f t="shared" ca="1" si="20"/>
        <v>508</v>
      </c>
      <c r="AD43" s="1">
        <f t="shared" ca="1" si="21"/>
        <v>8.063640253537039E-3</v>
      </c>
      <c r="AE43" s="1"/>
      <c r="AF43" s="1">
        <f t="shared" ca="1" si="22"/>
        <v>0.19470369377695321</v>
      </c>
      <c r="AG43" s="1">
        <f t="shared" ca="1" si="23"/>
        <v>278</v>
      </c>
      <c r="AH43" s="1">
        <f t="shared" ca="1" si="24"/>
        <v>2.2316665199696062E-3</v>
      </c>
      <c r="AJ43" s="1">
        <f t="shared" ca="1" si="25"/>
        <v>0.87940374825051937</v>
      </c>
      <c r="AK43" s="1">
        <f t="shared" ca="1" si="26"/>
        <v>4.2144048311219756E-3</v>
      </c>
      <c r="AL43" s="1"/>
      <c r="AM43" s="1">
        <f t="shared" ca="1" si="27"/>
        <v>0.19643499738342668</v>
      </c>
      <c r="AN43" s="1">
        <f t="shared" ca="1" si="28"/>
        <v>51</v>
      </c>
      <c r="AO43" s="1">
        <f t="shared" ca="1" si="29"/>
        <v>3</v>
      </c>
    </row>
    <row r="44" spans="2:41" x14ac:dyDescent="0.25">
      <c r="B44">
        <f t="shared" ca="1" si="0"/>
        <v>488</v>
      </c>
      <c r="C44">
        <f t="shared" ca="1" si="1"/>
        <v>6</v>
      </c>
      <c r="D44">
        <f t="shared" ca="1" si="2"/>
        <v>0.13996075434382524</v>
      </c>
      <c r="F44" s="1">
        <f t="shared" ca="1" si="3"/>
        <v>35</v>
      </c>
      <c r="G44" s="1">
        <f t="shared" ca="1" si="4"/>
        <v>12</v>
      </c>
      <c r="H44" s="1">
        <f t="shared" ca="1" si="5"/>
        <v>13</v>
      </c>
      <c r="I44" s="1"/>
      <c r="J44" s="1">
        <f t="shared" ca="1" si="6"/>
        <v>15</v>
      </c>
      <c r="K44" s="1">
        <f t="shared" ca="1" si="7"/>
        <v>2.7743838290702119</v>
      </c>
      <c r="L44" s="1">
        <f t="shared" ca="1" si="8"/>
        <v>14</v>
      </c>
      <c r="M44" s="1"/>
      <c r="N44" s="1">
        <f t="shared" ca="1" si="9"/>
        <v>596</v>
      </c>
      <c r="O44" s="1">
        <f t="shared" ca="1" si="10"/>
        <v>39</v>
      </c>
      <c r="P44" s="1"/>
      <c r="Q44" s="1">
        <f t="shared" ca="1" si="11"/>
        <v>1.4776521971229728</v>
      </c>
      <c r="R44" s="1">
        <f t="shared" ca="1" si="12"/>
        <v>421</v>
      </c>
      <c r="S44" s="1"/>
      <c r="T44" s="1">
        <f t="shared" ca="1" si="13"/>
        <v>3.4885310589445738E-2</v>
      </c>
      <c r="U44" s="1">
        <f t="shared" ca="1" si="14"/>
        <v>238</v>
      </c>
      <c r="V44" s="1">
        <f t="shared" ca="1" si="15"/>
        <v>23</v>
      </c>
      <c r="W44" s="1"/>
      <c r="X44" s="1">
        <f t="shared" ca="1" si="16"/>
        <v>2.6671722729685658</v>
      </c>
      <c r="Y44" s="1">
        <f t="shared" ca="1" si="17"/>
        <v>0.20775919761383854</v>
      </c>
      <c r="Z44" s="1">
        <f t="shared" ca="1" si="18"/>
        <v>1048</v>
      </c>
      <c r="AB44" s="1">
        <f t="shared" ca="1" si="19"/>
        <v>0.51207682367192064</v>
      </c>
      <c r="AC44" s="1">
        <f t="shared" ca="1" si="20"/>
        <v>568</v>
      </c>
      <c r="AD44" s="1">
        <f t="shared" ca="1" si="21"/>
        <v>8.6433095407025574E-3</v>
      </c>
      <c r="AE44" s="1"/>
      <c r="AF44" s="1">
        <f t="shared" ca="1" si="22"/>
        <v>0.17700200031703137</v>
      </c>
      <c r="AG44" s="1">
        <f t="shared" ca="1" si="23"/>
        <v>414</v>
      </c>
      <c r="AH44" s="1">
        <f t="shared" ca="1" si="24"/>
        <v>9.2725389630522216E-3</v>
      </c>
      <c r="AJ44" s="1">
        <f t="shared" ca="1" si="25"/>
        <v>5.2794318431896858E-3</v>
      </c>
      <c r="AK44" s="1">
        <f t="shared" ca="1" si="26"/>
        <v>3.4235921079514365E-3</v>
      </c>
      <c r="AL44" s="1"/>
      <c r="AM44" s="1">
        <f t="shared" ca="1" si="27"/>
        <v>0.17687692080706677</v>
      </c>
      <c r="AN44" s="1">
        <f t="shared" ca="1" si="28"/>
        <v>18</v>
      </c>
      <c r="AO44" s="1">
        <f t="shared" ca="1" si="29"/>
        <v>5</v>
      </c>
    </row>
    <row r="45" spans="2:41" x14ac:dyDescent="0.25">
      <c r="B45">
        <f t="shared" ca="1" si="0"/>
        <v>704</v>
      </c>
      <c r="C45">
        <f t="shared" ca="1" si="1"/>
        <v>18</v>
      </c>
      <c r="D45">
        <f t="shared" ca="1" si="2"/>
        <v>0.23307805855881816</v>
      </c>
      <c r="F45" s="1">
        <f t="shared" ca="1" si="3"/>
        <v>35</v>
      </c>
      <c r="G45" s="1">
        <f t="shared" ca="1" si="4"/>
        <v>26</v>
      </c>
      <c r="H45" s="1">
        <f t="shared" ca="1" si="5"/>
        <v>11</v>
      </c>
      <c r="I45" s="1"/>
      <c r="J45" s="1">
        <f t="shared" ca="1" si="6"/>
        <v>34</v>
      </c>
      <c r="K45" s="1">
        <f t="shared" ca="1" si="7"/>
        <v>1.7711712410553722</v>
      </c>
      <c r="L45" s="1">
        <f t="shared" ca="1" si="8"/>
        <v>28</v>
      </c>
      <c r="M45" s="1"/>
      <c r="N45" s="1">
        <f t="shared" ca="1" si="9"/>
        <v>793</v>
      </c>
      <c r="O45" s="1">
        <f t="shared" ca="1" si="10"/>
        <v>19</v>
      </c>
      <c r="P45" s="1"/>
      <c r="Q45" s="1">
        <f t="shared" ca="1" si="11"/>
        <v>2.1064301492988045</v>
      </c>
      <c r="R45" s="1">
        <f t="shared" ca="1" si="12"/>
        <v>563</v>
      </c>
      <c r="S45" s="1"/>
      <c r="T45" s="1">
        <f t="shared" ca="1" si="13"/>
        <v>0.10397826836114732</v>
      </c>
      <c r="U45" s="1">
        <f t="shared" ca="1" si="14"/>
        <v>217</v>
      </c>
      <c r="V45" s="1">
        <f t="shared" ca="1" si="15"/>
        <v>37</v>
      </c>
      <c r="W45" s="1"/>
      <c r="X45" s="1">
        <f t="shared" ca="1" si="16"/>
        <v>3.4020801986696232</v>
      </c>
      <c r="Y45" s="1">
        <f t="shared" ca="1" si="17"/>
        <v>0.56262598386799367</v>
      </c>
      <c r="Z45" s="1">
        <f t="shared" ca="1" si="18"/>
        <v>1847</v>
      </c>
      <c r="AB45" s="1">
        <f t="shared" ca="1" si="19"/>
        <v>0.48816266179963708</v>
      </c>
      <c r="AC45" s="1">
        <f t="shared" ca="1" si="20"/>
        <v>524</v>
      </c>
      <c r="AD45" s="1">
        <f t="shared" ca="1" si="21"/>
        <v>1.0252363413401997E-3</v>
      </c>
      <c r="AE45" s="1"/>
      <c r="AF45" s="1">
        <f t="shared" ca="1" si="22"/>
        <v>0.14547633668933255</v>
      </c>
      <c r="AG45" s="1">
        <f t="shared" ca="1" si="23"/>
        <v>465</v>
      </c>
      <c r="AH45" s="1">
        <f t="shared" ca="1" si="24"/>
        <v>8.11629919149335E-4</v>
      </c>
      <c r="AJ45" s="1">
        <f t="shared" ca="1" si="25"/>
        <v>0.45329635524689005</v>
      </c>
      <c r="AK45" s="1">
        <f t="shared" ca="1" si="26"/>
        <v>8.966170274137604E-3</v>
      </c>
      <c r="AL45" s="1"/>
      <c r="AM45" s="1">
        <f t="shared" ca="1" si="27"/>
        <v>5.2941868555781021E-2</v>
      </c>
      <c r="AN45" s="1">
        <f t="shared" ca="1" si="28"/>
        <v>61</v>
      </c>
      <c r="AO45" s="1">
        <f t="shared" ca="1" si="29"/>
        <v>14</v>
      </c>
    </row>
    <row r="46" spans="2:41" x14ac:dyDescent="0.25">
      <c r="B46">
        <f t="shared" ca="1" si="0"/>
        <v>625</v>
      </c>
      <c r="C46">
        <f t="shared" ca="1" si="1"/>
        <v>7</v>
      </c>
      <c r="D46">
        <f t="shared" ca="1" si="2"/>
        <v>0.25573943735760163</v>
      </c>
      <c r="F46" s="1">
        <f t="shared" ca="1" si="3"/>
        <v>14</v>
      </c>
      <c r="G46" s="1">
        <f t="shared" ca="1" si="4"/>
        <v>26</v>
      </c>
      <c r="H46" s="1">
        <f t="shared" ca="1" si="5"/>
        <v>10</v>
      </c>
      <c r="I46" s="1"/>
      <c r="J46" s="1">
        <f t="shared" ca="1" si="6"/>
        <v>27</v>
      </c>
      <c r="K46" s="1">
        <f t="shared" ca="1" si="7"/>
        <v>2.0104967467292498</v>
      </c>
      <c r="L46" s="1">
        <f t="shared" ca="1" si="8"/>
        <v>26</v>
      </c>
      <c r="M46" s="1"/>
      <c r="N46" s="1">
        <f t="shared" ca="1" si="9"/>
        <v>570</v>
      </c>
      <c r="O46" s="1">
        <f t="shared" ca="1" si="10"/>
        <v>3</v>
      </c>
      <c r="P46" s="1"/>
      <c r="Q46" s="1">
        <f t="shared" ca="1" si="11"/>
        <v>0.62566561612979132</v>
      </c>
      <c r="R46" s="1">
        <f t="shared" ca="1" si="12"/>
        <v>379</v>
      </c>
      <c r="S46" s="1"/>
      <c r="T46" s="1">
        <f t="shared" ca="1" si="13"/>
        <v>4.8337545041143293E-2</v>
      </c>
      <c r="U46" s="1">
        <f t="shared" ca="1" si="14"/>
        <v>273</v>
      </c>
      <c r="V46" s="1">
        <f t="shared" ca="1" si="15"/>
        <v>52</v>
      </c>
      <c r="W46" s="1"/>
      <c r="X46" s="1">
        <f t="shared" ca="1" si="16"/>
        <v>0.4241594607622125</v>
      </c>
      <c r="Y46" s="1">
        <f t="shared" ca="1" si="17"/>
        <v>0.42880802826212888</v>
      </c>
      <c r="Z46" s="1">
        <f t="shared" ca="1" si="18"/>
        <v>987</v>
      </c>
      <c r="AB46" s="1">
        <f t="shared" ca="1" si="19"/>
        <v>2.9569528431850078E-2</v>
      </c>
      <c r="AC46" s="1">
        <f t="shared" ca="1" si="20"/>
        <v>954</v>
      </c>
      <c r="AD46" s="1">
        <f t="shared" ca="1" si="21"/>
        <v>6.431921247321731E-3</v>
      </c>
      <c r="AE46" s="1"/>
      <c r="AF46" s="1">
        <f t="shared" ca="1" si="22"/>
        <v>0.61088397872770883</v>
      </c>
      <c r="AG46" s="1">
        <f t="shared" ca="1" si="23"/>
        <v>109</v>
      </c>
      <c r="AH46" s="1">
        <f t="shared" ca="1" si="24"/>
        <v>7.6721785707890558E-3</v>
      </c>
      <c r="AJ46" s="1">
        <f t="shared" ca="1" si="25"/>
        <v>0.90587422354630565</v>
      </c>
      <c r="AK46" s="1">
        <f t="shared" ca="1" si="26"/>
        <v>6.0474214577982185E-3</v>
      </c>
      <c r="AL46" s="1"/>
      <c r="AM46" s="1">
        <f t="shared" ca="1" si="27"/>
        <v>5.1860604989531538E-2</v>
      </c>
      <c r="AN46" s="1">
        <f t="shared" ca="1" si="28"/>
        <v>57</v>
      </c>
      <c r="AO46" s="1">
        <f t="shared" ca="1" si="29"/>
        <v>9</v>
      </c>
    </row>
    <row r="47" spans="2:41" x14ac:dyDescent="0.25">
      <c r="B47">
        <f t="shared" ca="1" si="0"/>
        <v>93</v>
      </c>
      <c r="C47">
        <f t="shared" ca="1" si="1"/>
        <v>23</v>
      </c>
      <c r="D47">
        <f t="shared" ca="1" si="2"/>
        <v>0.15114545729555642</v>
      </c>
      <c r="F47" s="1">
        <f t="shared" ca="1" si="3"/>
        <v>24</v>
      </c>
      <c r="G47" s="1">
        <f t="shared" ca="1" si="4"/>
        <v>28</v>
      </c>
      <c r="H47" s="1">
        <f t="shared" ca="1" si="5"/>
        <v>5</v>
      </c>
      <c r="I47" s="1"/>
      <c r="J47" s="1">
        <f t="shared" ca="1" si="6"/>
        <v>27</v>
      </c>
      <c r="K47" s="1">
        <f t="shared" ca="1" si="7"/>
        <v>2.8299581713999071</v>
      </c>
      <c r="L47" s="1">
        <f t="shared" ca="1" si="8"/>
        <v>26</v>
      </c>
      <c r="M47" s="1"/>
      <c r="N47" s="1">
        <f t="shared" ca="1" si="9"/>
        <v>63</v>
      </c>
      <c r="O47" s="1">
        <f t="shared" ca="1" si="10"/>
        <v>46</v>
      </c>
      <c r="P47" s="1"/>
      <c r="Q47" s="1">
        <f t="shared" ca="1" si="11"/>
        <v>3.9818842342856753</v>
      </c>
      <c r="R47" s="1">
        <f t="shared" ca="1" si="12"/>
        <v>1001</v>
      </c>
      <c r="S47" s="1"/>
      <c r="T47" s="1">
        <f t="shared" ca="1" si="13"/>
        <v>0.10513394058261126</v>
      </c>
      <c r="U47" s="1">
        <f t="shared" ca="1" si="14"/>
        <v>136</v>
      </c>
      <c r="V47" s="1">
        <f t="shared" ca="1" si="15"/>
        <v>36</v>
      </c>
      <c r="W47" s="1"/>
      <c r="X47" s="1">
        <f t="shared" ca="1" si="16"/>
        <v>6.7683754096041424</v>
      </c>
      <c r="Y47" s="1">
        <f t="shared" ca="1" si="17"/>
        <v>1.8940465125875335E-2</v>
      </c>
      <c r="Z47" s="1">
        <f t="shared" ca="1" si="18"/>
        <v>1467</v>
      </c>
      <c r="AB47" s="1">
        <f t="shared" ca="1" si="19"/>
        <v>0.19030168104943726</v>
      </c>
      <c r="AC47" s="1">
        <f t="shared" ca="1" si="20"/>
        <v>328</v>
      </c>
      <c r="AD47" s="1">
        <f t="shared" ca="1" si="21"/>
        <v>1.560744457467716E-3</v>
      </c>
      <c r="AE47" s="1"/>
      <c r="AF47" s="1">
        <f t="shared" ca="1" si="22"/>
        <v>0.60769183189648635</v>
      </c>
      <c r="AG47" s="1">
        <f t="shared" ca="1" si="23"/>
        <v>137</v>
      </c>
      <c r="AH47" s="1">
        <f t="shared" ca="1" si="24"/>
        <v>7.3402271716507712E-3</v>
      </c>
      <c r="AJ47" s="1">
        <f t="shared" ca="1" si="25"/>
        <v>0.63232105583168252</v>
      </c>
      <c r="AK47" s="1">
        <f t="shared" ca="1" si="26"/>
        <v>9.8626146126181181E-3</v>
      </c>
      <c r="AL47" s="1"/>
      <c r="AM47" s="1">
        <f t="shared" ca="1" si="27"/>
        <v>8.596368541394149E-2</v>
      </c>
      <c r="AN47" s="1">
        <f t="shared" ca="1" si="28"/>
        <v>62</v>
      </c>
      <c r="AO47" s="1">
        <f t="shared" ca="1" si="29"/>
        <v>18</v>
      </c>
    </row>
    <row r="48" spans="2:41" x14ac:dyDescent="0.25">
      <c r="B48">
        <f t="shared" ca="1" si="0"/>
        <v>636</v>
      </c>
      <c r="C48">
        <f t="shared" ca="1" si="1"/>
        <v>22</v>
      </c>
      <c r="D48">
        <f t="shared" ca="1" si="2"/>
        <v>0.10825671404089271</v>
      </c>
      <c r="F48" s="1">
        <f t="shared" ca="1" si="3"/>
        <v>40</v>
      </c>
      <c r="G48" s="1">
        <f t="shared" ca="1" si="4"/>
        <v>24</v>
      </c>
      <c r="H48" s="1">
        <f t="shared" ca="1" si="5"/>
        <v>2</v>
      </c>
      <c r="I48" s="1"/>
      <c r="J48" s="1">
        <f t="shared" ca="1" si="6"/>
        <v>38</v>
      </c>
      <c r="K48" s="1">
        <f t="shared" ca="1" si="7"/>
        <v>2.4958138260971436</v>
      </c>
      <c r="L48" s="1">
        <f t="shared" ca="1" si="8"/>
        <v>28</v>
      </c>
      <c r="M48" s="1"/>
      <c r="N48" s="1">
        <f t="shared" ca="1" si="9"/>
        <v>355</v>
      </c>
      <c r="O48" s="1">
        <f t="shared" ca="1" si="10"/>
        <v>25</v>
      </c>
      <c r="P48" s="1"/>
      <c r="Q48" s="1">
        <f t="shared" ca="1" si="11"/>
        <v>1.5807956870423912</v>
      </c>
      <c r="R48" s="1">
        <f t="shared" ca="1" si="12"/>
        <v>817</v>
      </c>
      <c r="S48" s="1"/>
      <c r="T48" s="1">
        <f t="shared" ca="1" si="13"/>
        <v>9.021687932679931E-2</v>
      </c>
      <c r="U48" s="1">
        <f t="shared" ca="1" si="14"/>
        <v>317</v>
      </c>
      <c r="V48" s="1">
        <f t="shared" ca="1" si="15"/>
        <v>39</v>
      </c>
      <c r="W48" s="1"/>
      <c r="X48" s="1">
        <f t="shared" ca="1" si="16"/>
        <v>8.7617154369083874</v>
      </c>
      <c r="Y48" s="1">
        <f t="shared" ca="1" si="17"/>
        <v>4.0551378878844122E-2</v>
      </c>
      <c r="Z48" s="1">
        <f t="shared" ca="1" si="18"/>
        <v>105</v>
      </c>
      <c r="AB48" s="1">
        <f t="shared" ca="1" si="19"/>
        <v>0.48503968333459174</v>
      </c>
      <c r="AC48" s="1">
        <f t="shared" ca="1" si="20"/>
        <v>162</v>
      </c>
      <c r="AD48" s="1">
        <f t="shared" ca="1" si="21"/>
        <v>6.930469803836623E-3</v>
      </c>
      <c r="AE48" s="1"/>
      <c r="AF48" s="1">
        <f t="shared" ca="1" si="22"/>
        <v>0.77096842283947209</v>
      </c>
      <c r="AG48" s="1">
        <f t="shared" ca="1" si="23"/>
        <v>803</v>
      </c>
      <c r="AH48" s="1">
        <f t="shared" ca="1" si="24"/>
        <v>6.9816951017425393E-3</v>
      </c>
      <c r="AJ48" s="1">
        <f t="shared" ca="1" si="25"/>
        <v>0.18209638231989589</v>
      </c>
      <c r="AK48" s="1">
        <f t="shared" ca="1" si="26"/>
        <v>4.6154075580727704E-4</v>
      </c>
      <c r="AL48" s="1"/>
      <c r="AM48" s="1">
        <f t="shared" ca="1" si="27"/>
        <v>0.13192585682430863</v>
      </c>
      <c r="AN48" s="1">
        <f t="shared" ca="1" si="28"/>
        <v>20</v>
      </c>
      <c r="AO48" s="1">
        <f t="shared" ca="1" si="29"/>
        <v>15</v>
      </c>
    </row>
    <row r="49" spans="2:41" x14ac:dyDescent="0.25">
      <c r="B49">
        <f t="shared" ca="1" si="0"/>
        <v>429</v>
      </c>
      <c r="C49">
        <f t="shared" ca="1" si="1"/>
        <v>33</v>
      </c>
      <c r="D49">
        <f t="shared" ca="1" si="2"/>
        <v>0.22141540062659334</v>
      </c>
      <c r="F49" s="1">
        <f t="shared" ca="1" si="3"/>
        <v>51</v>
      </c>
      <c r="G49" s="1">
        <f t="shared" ca="1" si="4"/>
        <v>10</v>
      </c>
      <c r="H49" s="1">
        <f t="shared" ca="1" si="5"/>
        <v>1</v>
      </c>
      <c r="I49" s="1"/>
      <c r="J49" s="1">
        <f t="shared" ca="1" si="6"/>
        <v>17</v>
      </c>
      <c r="K49" s="1">
        <f t="shared" ca="1" si="7"/>
        <v>2.6345855106886171</v>
      </c>
      <c r="L49" s="1">
        <f t="shared" ca="1" si="8"/>
        <v>35</v>
      </c>
      <c r="M49" s="1"/>
      <c r="N49" s="1">
        <f t="shared" ca="1" si="9"/>
        <v>923</v>
      </c>
      <c r="O49" s="1">
        <f t="shared" ca="1" si="10"/>
        <v>31</v>
      </c>
      <c r="P49" s="1"/>
      <c r="Q49" s="1">
        <f t="shared" ca="1" si="11"/>
        <v>3.2478650898120134</v>
      </c>
      <c r="R49" s="1">
        <f t="shared" ca="1" si="12"/>
        <v>644</v>
      </c>
      <c r="S49" s="1"/>
      <c r="T49" s="1">
        <f t="shared" ca="1" si="13"/>
        <v>7.820533833761259E-2</v>
      </c>
      <c r="U49" s="1">
        <f t="shared" ca="1" si="14"/>
        <v>81</v>
      </c>
      <c r="V49" s="1">
        <f t="shared" ca="1" si="15"/>
        <v>28</v>
      </c>
      <c r="W49" s="1"/>
      <c r="X49" s="1">
        <f t="shared" ca="1" si="16"/>
        <v>8.8320886108044423</v>
      </c>
      <c r="Y49" s="1">
        <f t="shared" ca="1" si="17"/>
        <v>0.4720172096698807</v>
      </c>
      <c r="Z49" s="1">
        <f t="shared" ca="1" si="18"/>
        <v>1798</v>
      </c>
      <c r="AB49" s="1">
        <f t="shared" ca="1" si="19"/>
        <v>0.45854834916221643</v>
      </c>
      <c r="AC49" s="1">
        <f t="shared" ca="1" si="20"/>
        <v>450</v>
      </c>
      <c r="AD49" s="1">
        <f t="shared" ca="1" si="21"/>
        <v>5.8908505295646575E-4</v>
      </c>
      <c r="AE49" s="1"/>
      <c r="AF49" s="1">
        <f t="shared" ca="1" si="22"/>
        <v>0.81818651524479236</v>
      </c>
      <c r="AG49" s="1">
        <f t="shared" ca="1" si="23"/>
        <v>322</v>
      </c>
      <c r="AH49" s="1">
        <f t="shared" ca="1" si="24"/>
        <v>8.3801952471113123E-3</v>
      </c>
      <c r="AJ49" s="1">
        <f t="shared" ca="1" si="25"/>
        <v>0.43578946874379432</v>
      </c>
      <c r="AK49" s="1">
        <f t="shared" ca="1" si="26"/>
        <v>7.9535111493383402E-3</v>
      </c>
      <c r="AL49" s="1"/>
      <c r="AM49" s="1">
        <f t="shared" ca="1" si="27"/>
        <v>0.1147198949825633</v>
      </c>
      <c r="AN49" s="1">
        <f t="shared" ca="1" si="28"/>
        <v>75</v>
      </c>
      <c r="AO49" s="1">
        <f t="shared" ca="1" si="29"/>
        <v>13</v>
      </c>
    </row>
    <row r="50" spans="2:41" x14ac:dyDescent="0.25">
      <c r="B50">
        <f t="shared" ca="1" si="0"/>
        <v>614</v>
      </c>
      <c r="C50">
        <f t="shared" ca="1" si="1"/>
        <v>51</v>
      </c>
      <c r="D50">
        <f t="shared" ca="1" si="2"/>
        <v>0.13175682236601896</v>
      </c>
      <c r="F50" s="1">
        <f t="shared" ca="1" si="3"/>
        <v>52</v>
      </c>
      <c r="G50" s="1">
        <f t="shared" ca="1" si="4"/>
        <v>6</v>
      </c>
      <c r="H50" s="1">
        <f t="shared" ca="1" si="5"/>
        <v>2</v>
      </c>
      <c r="I50" s="1"/>
      <c r="J50" s="1">
        <f t="shared" ca="1" si="6"/>
        <v>6</v>
      </c>
      <c r="K50" s="1">
        <f t="shared" ca="1" si="7"/>
        <v>2.622902316482782</v>
      </c>
      <c r="L50" s="1">
        <f t="shared" ca="1" si="8"/>
        <v>32</v>
      </c>
      <c r="M50" s="1"/>
      <c r="N50" s="1">
        <f t="shared" ca="1" si="9"/>
        <v>450</v>
      </c>
      <c r="O50" s="1">
        <f t="shared" ca="1" si="10"/>
        <v>17</v>
      </c>
      <c r="P50" s="1"/>
      <c r="Q50" s="1">
        <f t="shared" ca="1" si="11"/>
        <v>1.797010163338649</v>
      </c>
      <c r="R50" s="1">
        <f t="shared" ca="1" si="12"/>
        <v>1059</v>
      </c>
      <c r="S50" s="1"/>
      <c r="T50" s="1">
        <f t="shared" ca="1" si="13"/>
        <v>1.9820237155440616E-2</v>
      </c>
      <c r="U50" s="1">
        <f t="shared" ca="1" si="14"/>
        <v>83</v>
      </c>
      <c r="V50" s="1">
        <f t="shared" ca="1" si="15"/>
        <v>50</v>
      </c>
      <c r="W50" s="1"/>
      <c r="X50" s="1">
        <f t="shared" ca="1" si="16"/>
        <v>9.4071124534861319</v>
      </c>
      <c r="Y50" s="1">
        <f t="shared" ca="1" si="17"/>
        <v>0.61329832551971242</v>
      </c>
      <c r="Z50" s="1">
        <f t="shared" ca="1" si="18"/>
        <v>286</v>
      </c>
      <c r="AB50" s="1">
        <f t="shared" ca="1" si="19"/>
        <v>0.61354309080952141</v>
      </c>
      <c r="AC50" s="1">
        <f t="shared" ca="1" si="20"/>
        <v>876</v>
      </c>
      <c r="AD50" s="1">
        <f t="shared" ca="1" si="21"/>
        <v>8.584018915690236E-3</v>
      </c>
      <c r="AE50" s="1"/>
      <c r="AF50" s="1">
        <f t="shared" ca="1" si="22"/>
        <v>0.55828332067108843</v>
      </c>
      <c r="AG50" s="1">
        <f t="shared" ca="1" si="23"/>
        <v>473</v>
      </c>
      <c r="AH50" s="1">
        <f t="shared" ca="1" si="24"/>
        <v>8.2597766908683312E-3</v>
      </c>
      <c r="AJ50" s="1">
        <f t="shared" ca="1" si="25"/>
        <v>0.96129414930620383</v>
      </c>
      <c r="AK50" s="1">
        <f t="shared" ca="1" si="26"/>
        <v>1.907889991662209E-3</v>
      </c>
      <c r="AL50" s="1"/>
      <c r="AM50" s="1">
        <f t="shared" ca="1" si="27"/>
        <v>7.9016061499739554E-2</v>
      </c>
      <c r="AN50" s="1">
        <f t="shared" ca="1" si="28"/>
        <v>21</v>
      </c>
      <c r="AO50" s="1">
        <f t="shared" ca="1" si="29"/>
        <v>2</v>
      </c>
    </row>
    <row r="51" spans="2:41" x14ac:dyDescent="0.25">
      <c r="B51">
        <f t="shared" ca="1" si="0"/>
        <v>287</v>
      </c>
      <c r="C51">
        <f t="shared" ca="1" si="1"/>
        <v>25</v>
      </c>
      <c r="D51">
        <f t="shared" ca="1" si="2"/>
        <v>9.2062217830268675E-2</v>
      </c>
      <c r="F51" s="1">
        <f t="shared" ca="1" si="3"/>
        <v>49</v>
      </c>
      <c r="G51" s="1">
        <f t="shared" ca="1" si="4"/>
        <v>12</v>
      </c>
      <c r="H51" s="1">
        <f t="shared" ca="1" si="5"/>
        <v>3</v>
      </c>
      <c r="I51" s="1"/>
      <c r="J51" s="1">
        <f t="shared" ca="1" si="6"/>
        <v>2</v>
      </c>
      <c r="K51" s="1">
        <f t="shared" ca="1" si="7"/>
        <v>2.1582366760671796</v>
      </c>
      <c r="L51" s="1">
        <f t="shared" ca="1" si="8"/>
        <v>26</v>
      </c>
      <c r="M51" s="1"/>
      <c r="N51" s="1">
        <f t="shared" ca="1" si="9"/>
        <v>314</v>
      </c>
      <c r="O51" s="1">
        <f t="shared" ca="1" si="10"/>
        <v>38</v>
      </c>
      <c r="P51" s="1"/>
      <c r="Q51" s="1">
        <f t="shared" ca="1" si="11"/>
        <v>2.7001395690406813</v>
      </c>
      <c r="R51" s="1">
        <f t="shared" ca="1" si="12"/>
        <v>261</v>
      </c>
      <c r="S51" s="1"/>
      <c r="T51" s="1">
        <f t="shared" ca="1" si="13"/>
        <v>0.14644875321136669</v>
      </c>
      <c r="U51" s="1">
        <f t="shared" ca="1" si="14"/>
        <v>225</v>
      </c>
      <c r="V51" s="1">
        <f t="shared" ca="1" si="15"/>
        <v>23</v>
      </c>
      <c r="W51" s="1"/>
      <c r="X51" s="1">
        <f t="shared" ca="1" si="16"/>
        <v>5.3366715541593308</v>
      </c>
      <c r="Y51" s="1">
        <f t="shared" ca="1" si="17"/>
        <v>0.30181406604144839</v>
      </c>
      <c r="Z51" s="1">
        <f t="shared" ca="1" si="18"/>
        <v>1046</v>
      </c>
      <c r="AB51" s="1">
        <f t="shared" ca="1" si="19"/>
        <v>0.84680639389657675</v>
      </c>
      <c r="AC51" s="1">
        <f t="shared" ca="1" si="20"/>
        <v>649</v>
      </c>
      <c r="AD51" s="1">
        <f t="shared" ca="1" si="21"/>
        <v>5.0026865566621019E-3</v>
      </c>
      <c r="AE51" s="1"/>
      <c r="AF51" s="1">
        <f t="shared" ca="1" si="22"/>
        <v>0.75420267169506772</v>
      </c>
      <c r="AG51" s="1">
        <f t="shared" ca="1" si="23"/>
        <v>144</v>
      </c>
      <c r="AH51" s="1">
        <f t="shared" ca="1" si="24"/>
        <v>6.6907843690483483E-3</v>
      </c>
      <c r="AJ51" s="1">
        <f t="shared" ca="1" si="25"/>
        <v>0.87907352745909573</v>
      </c>
      <c r="AK51" s="1">
        <f t="shared" ca="1" si="26"/>
        <v>9.3359568048510984E-4</v>
      </c>
      <c r="AL51" s="1"/>
      <c r="AM51" s="1">
        <f t="shared" ca="1" si="27"/>
        <v>0.19109638047475441</v>
      </c>
      <c r="AN51" s="1">
        <f t="shared" ca="1" si="28"/>
        <v>51</v>
      </c>
      <c r="AO51" s="1">
        <f t="shared" ca="1" si="29"/>
        <v>19</v>
      </c>
    </row>
    <row r="52" spans="2:41" x14ac:dyDescent="0.25">
      <c r="B52">
        <f t="shared" ca="1" si="0"/>
        <v>831</v>
      </c>
      <c r="C52">
        <f t="shared" ca="1" si="1"/>
        <v>32</v>
      </c>
      <c r="D52">
        <f t="shared" ca="1" si="2"/>
        <v>0.10095591918901228</v>
      </c>
      <c r="F52" s="1">
        <f t="shared" ca="1" si="3"/>
        <v>9</v>
      </c>
      <c r="G52" s="1">
        <f t="shared" ca="1" si="4"/>
        <v>6</v>
      </c>
      <c r="H52" s="1">
        <f t="shared" ca="1" si="5"/>
        <v>3</v>
      </c>
      <c r="I52" s="1"/>
      <c r="J52" s="1">
        <f t="shared" ca="1" si="6"/>
        <v>34</v>
      </c>
      <c r="K52" s="1">
        <f t="shared" ca="1" si="7"/>
        <v>2.7326541788478265</v>
      </c>
      <c r="L52" s="1">
        <f t="shared" ca="1" si="8"/>
        <v>10</v>
      </c>
      <c r="M52" s="1"/>
      <c r="N52" s="1">
        <f t="shared" ca="1" si="9"/>
        <v>219</v>
      </c>
      <c r="O52" s="1">
        <f t="shared" ca="1" si="10"/>
        <v>32</v>
      </c>
      <c r="P52" s="1"/>
      <c r="Q52" s="1">
        <f t="shared" ca="1" si="11"/>
        <v>4.9599040065963136</v>
      </c>
      <c r="R52" s="1">
        <f t="shared" ca="1" si="12"/>
        <v>1146</v>
      </c>
      <c r="S52" s="1"/>
      <c r="T52" s="1">
        <f t="shared" ca="1" si="13"/>
        <v>5.3767491167923301E-2</v>
      </c>
      <c r="U52" s="1">
        <f t="shared" ca="1" si="14"/>
        <v>159</v>
      </c>
      <c r="V52" s="1">
        <f t="shared" ca="1" si="15"/>
        <v>41</v>
      </c>
      <c r="W52" s="1"/>
      <c r="X52" s="1">
        <f t="shared" ca="1" si="16"/>
        <v>2.3769978433995069</v>
      </c>
      <c r="Y52" s="1">
        <f t="shared" ca="1" si="17"/>
        <v>0.62291205956449647</v>
      </c>
      <c r="Z52" s="1">
        <f t="shared" ca="1" si="18"/>
        <v>997</v>
      </c>
      <c r="AB52" s="1">
        <f t="shared" ca="1" si="19"/>
        <v>0.34861139632648025</v>
      </c>
      <c r="AC52" s="1">
        <f t="shared" ca="1" si="20"/>
        <v>627</v>
      </c>
      <c r="AD52" s="1">
        <f t="shared" ca="1" si="21"/>
        <v>1.6061879113492283E-3</v>
      </c>
      <c r="AE52" s="1"/>
      <c r="AF52" s="1">
        <f t="shared" ca="1" si="22"/>
        <v>0.21099996638448479</v>
      </c>
      <c r="AG52" s="1">
        <f t="shared" ca="1" si="23"/>
        <v>694</v>
      </c>
      <c r="AH52" s="1">
        <f t="shared" ca="1" si="24"/>
        <v>8.9194075545138973E-3</v>
      </c>
      <c r="AJ52" s="1">
        <f t="shared" ca="1" si="25"/>
        <v>0.64634739076251668</v>
      </c>
      <c r="AK52" s="1">
        <f t="shared" ca="1" si="26"/>
        <v>5.3861631674719324E-3</v>
      </c>
      <c r="AL52" s="1"/>
      <c r="AM52" s="1">
        <f t="shared" ca="1" si="27"/>
        <v>6.7364808412204449E-2</v>
      </c>
      <c r="AN52" s="1">
        <f t="shared" ca="1" si="28"/>
        <v>75</v>
      </c>
      <c r="AO52" s="1">
        <f t="shared" ca="1" si="29"/>
        <v>-1</v>
      </c>
    </row>
    <row r="53" spans="2:41" x14ac:dyDescent="0.25">
      <c r="B53">
        <f t="shared" ca="1" si="0"/>
        <v>677</v>
      </c>
      <c r="C53">
        <f t="shared" ca="1" si="1"/>
        <v>5</v>
      </c>
      <c r="D53">
        <f t="shared" ca="1" si="2"/>
        <v>0.19621504784421223</v>
      </c>
      <c r="F53" s="1">
        <f t="shared" ca="1" si="3"/>
        <v>47</v>
      </c>
      <c r="G53" s="1">
        <f t="shared" ca="1" si="4"/>
        <v>9</v>
      </c>
      <c r="H53" s="1">
        <f t="shared" ca="1" si="5"/>
        <v>14</v>
      </c>
      <c r="I53" s="1"/>
      <c r="J53" s="1">
        <f t="shared" ca="1" si="6"/>
        <v>22</v>
      </c>
      <c r="K53" s="1">
        <f t="shared" ca="1" si="7"/>
        <v>2.9524598015067629</v>
      </c>
      <c r="L53" s="1">
        <f t="shared" ca="1" si="8"/>
        <v>17</v>
      </c>
      <c r="M53" s="1"/>
      <c r="N53" s="1">
        <f t="shared" ca="1" si="9"/>
        <v>831</v>
      </c>
      <c r="O53" s="1">
        <f t="shared" ca="1" si="10"/>
        <v>30</v>
      </c>
      <c r="P53" s="1"/>
      <c r="Q53" s="1">
        <f t="shared" ca="1" si="11"/>
        <v>2.6250833455167752</v>
      </c>
      <c r="R53" s="1">
        <f t="shared" ca="1" si="12"/>
        <v>422</v>
      </c>
      <c r="S53" s="1"/>
      <c r="T53" s="1">
        <f t="shared" ca="1" si="13"/>
        <v>2.9782927113251159E-2</v>
      </c>
      <c r="U53" s="1">
        <f t="shared" ca="1" si="14"/>
        <v>372</v>
      </c>
      <c r="V53" s="1">
        <f t="shared" ca="1" si="15"/>
        <v>28</v>
      </c>
      <c r="W53" s="1"/>
      <c r="X53" s="1">
        <f t="shared" ca="1" si="16"/>
        <v>3.1019849770146424</v>
      </c>
      <c r="Y53" s="1">
        <f t="shared" ca="1" si="17"/>
        <v>0.36977829738408319</v>
      </c>
      <c r="Z53" s="1">
        <f t="shared" ca="1" si="18"/>
        <v>742</v>
      </c>
      <c r="AB53" s="1">
        <f t="shared" ca="1" si="19"/>
        <v>0.90829355602832229</v>
      </c>
      <c r="AC53" s="1">
        <f t="shared" ca="1" si="20"/>
        <v>501</v>
      </c>
      <c r="AD53" s="1">
        <f t="shared" ca="1" si="21"/>
        <v>5.6037172766389446E-3</v>
      </c>
      <c r="AE53" s="1"/>
      <c r="AF53" s="1">
        <f t="shared" ca="1" si="22"/>
        <v>0.47892233849850274</v>
      </c>
      <c r="AG53" s="1">
        <f t="shared" ca="1" si="23"/>
        <v>343</v>
      </c>
      <c r="AH53" s="1">
        <f t="shared" ca="1" si="24"/>
        <v>8.1422688433344971E-3</v>
      </c>
      <c r="AJ53" s="1">
        <f t="shared" ca="1" si="25"/>
        <v>0.47176472485310617</v>
      </c>
      <c r="AK53" s="1">
        <f t="shared" ca="1" si="26"/>
        <v>4.791954622308304E-3</v>
      </c>
      <c r="AL53" s="1"/>
      <c r="AM53" s="1">
        <f t="shared" ca="1" si="27"/>
        <v>0.15060657681601386</v>
      </c>
      <c r="AN53" s="1">
        <f t="shared" ca="1" si="28"/>
        <v>37</v>
      </c>
      <c r="AO53" s="1">
        <f t="shared" ca="1" si="29"/>
        <v>11</v>
      </c>
    </row>
    <row r="54" spans="2:41" x14ac:dyDescent="0.25">
      <c r="B54">
        <f t="shared" ca="1" si="0"/>
        <v>827</v>
      </c>
      <c r="C54">
        <f t="shared" ca="1" si="1"/>
        <v>16</v>
      </c>
      <c r="D54">
        <f t="shared" ca="1" si="2"/>
        <v>0.23581443817728254</v>
      </c>
      <c r="F54" s="1">
        <f t="shared" ca="1" si="3"/>
        <v>27</v>
      </c>
      <c r="G54" s="1">
        <f t="shared" ca="1" si="4"/>
        <v>6</v>
      </c>
      <c r="H54" s="1">
        <f t="shared" ca="1" si="5"/>
        <v>9</v>
      </c>
      <c r="I54" s="1"/>
      <c r="J54" s="1">
        <f t="shared" ca="1" si="6"/>
        <v>5</v>
      </c>
      <c r="K54" s="1">
        <f t="shared" ca="1" si="7"/>
        <v>1.9648143877555087</v>
      </c>
      <c r="L54" s="1">
        <f t="shared" ca="1" si="8"/>
        <v>9</v>
      </c>
      <c r="M54" s="1"/>
      <c r="N54" s="1">
        <f t="shared" ca="1" si="9"/>
        <v>90</v>
      </c>
      <c r="O54" s="1">
        <f t="shared" ca="1" si="10"/>
        <v>28</v>
      </c>
      <c r="P54" s="1"/>
      <c r="Q54" s="1">
        <f t="shared" ca="1" si="11"/>
        <v>1.0629784099758639</v>
      </c>
      <c r="R54" s="1">
        <f t="shared" ca="1" si="12"/>
        <v>934</v>
      </c>
      <c r="S54" s="1"/>
      <c r="T54" s="1">
        <f t="shared" ca="1" si="13"/>
        <v>8.247875759350097E-2</v>
      </c>
      <c r="U54" s="1">
        <f t="shared" ca="1" si="14"/>
        <v>370</v>
      </c>
      <c r="V54" s="1">
        <f t="shared" ca="1" si="15"/>
        <v>44</v>
      </c>
      <c r="W54" s="1"/>
      <c r="X54" s="1">
        <f t="shared" ca="1" si="16"/>
        <v>4.2860634220467402</v>
      </c>
      <c r="Y54" s="1">
        <f t="shared" ca="1" si="17"/>
        <v>0.61460410771057306</v>
      </c>
      <c r="Z54" s="1">
        <f t="shared" ca="1" si="18"/>
        <v>1478</v>
      </c>
      <c r="AB54" s="1">
        <f t="shared" ca="1" si="19"/>
        <v>0.20428023866610093</v>
      </c>
      <c r="AC54" s="1">
        <f t="shared" ca="1" si="20"/>
        <v>522</v>
      </c>
      <c r="AD54" s="1">
        <f t="shared" ca="1" si="21"/>
        <v>5.506529493819569E-3</v>
      </c>
      <c r="AE54" s="1"/>
      <c r="AF54" s="1">
        <f t="shared" ca="1" si="22"/>
        <v>0.19094195688821688</v>
      </c>
      <c r="AG54" s="1">
        <f t="shared" ca="1" si="23"/>
        <v>251</v>
      </c>
      <c r="AH54" s="1">
        <f t="shared" ca="1" si="24"/>
        <v>6.1614903110393422E-3</v>
      </c>
      <c r="AJ54" s="1">
        <f t="shared" ca="1" si="25"/>
        <v>0.81254622373600471</v>
      </c>
      <c r="AK54" s="1">
        <f t="shared" ca="1" si="26"/>
        <v>5.2552540499071938E-3</v>
      </c>
      <c r="AL54" s="1"/>
      <c r="AM54" s="1">
        <f t="shared" ca="1" si="27"/>
        <v>2.5308269597664936E-2</v>
      </c>
      <c r="AN54" s="1">
        <f t="shared" ca="1" si="28"/>
        <v>73</v>
      </c>
      <c r="AO54" s="1">
        <f t="shared" ca="1" si="29"/>
        <v>14</v>
      </c>
    </row>
    <row r="55" spans="2:41" x14ac:dyDescent="0.25">
      <c r="B55">
        <f t="shared" ca="1" si="0"/>
        <v>920</v>
      </c>
      <c r="C55">
        <f t="shared" ca="1" si="1"/>
        <v>42</v>
      </c>
      <c r="D55">
        <f t="shared" ca="1" si="2"/>
        <v>0.22141309445817203</v>
      </c>
      <c r="F55" s="1">
        <f t="shared" ca="1" si="3"/>
        <v>39</v>
      </c>
      <c r="G55" s="1">
        <f t="shared" ca="1" si="4"/>
        <v>19</v>
      </c>
      <c r="H55" s="1">
        <f t="shared" ca="1" si="5"/>
        <v>6</v>
      </c>
      <c r="I55" s="1"/>
      <c r="J55" s="1">
        <f t="shared" ca="1" si="6"/>
        <v>29</v>
      </c>
      <c r="K55" s="1">
        <f t="shared" ca="1" si="7"/>
        <v>1.8184867874993225</v>
      </c>
      <c r="L55" s="1">
        <f t="shared" ca="1" si="8"/>
        <v>34</v>
      </c>
      <c r="M55" s="1"/>
      <c r="N55" s="1">
        <f t="shared" ca="1" si="9"/>
        <v>68</v>
      </c>
      <c r="O55" s="1">
        <f t="shared" ca="1" si="10"/>
        <v>33</v>
      </c>
      <c r="P55" s="1"/>
      <c r="Q55" s="1">
        <f t="shared" ca="1" si="11"/>
        <v>0.42074927356755581</v>
      </c>
      <c r="R55" s="1">
        <f t="shared" ca="1" si="12"/>
        <v>1192</v>
      </c>
      <c r="S55" s="1"/>
      <c r="T55" s="1">
        <f t="shared" ca="1" si="13"/>
        <v>0.1639920809772914</v>
      </c>
      <c r="U55" s="1">
        <f t="shared" ca="1" si="14"/>
        <v>428</v>
      </c>
      <c r="V55" s="1">
        <f t="shared" ca="1" si="15"/>
        <v>12</v>
      </c>
      <c r="W55" s="1"/>
      <c r="X55" s="1">
        <f t="shared" ca="1" si="16"/>
        <v>9.5890370597936823</v>
      </c>
      <c r="Y55" s="1">
        <f t="shared" ca="1" si="17"/>
        <v>0.71739492135560146</v>
      </c>
      <c r="Z55" s="1">
        <f t="shared" ca="1" si="18"/>
        <v>550</v>
      </c>
      <c r="AB55" s="1">
        <f t="shared" ca="1" si="19"/>
        <v>0.54429841662013023</v>
      </c>
      <c r="AC55" s="1">
        <f t="shared" ca="1" si="20"/>
        <v>297</v>
      </c>
      <c r="AD55" s="1">
        <f t="shared" ca="1" si="21"/>
        <v>8.4765777772267681E-3</v>
      </c>
      <c r="AE55" s="1"/>
      <c r="AF55" s="1">
        <f t="shared" ca="1" si="22"/>
        <v>0.18523111098616313</v>
      </c>
      <c r="AG55" s="1">
        <f t="shared" ca="1" si="23"/>
        <v>315</v>
      </c>
      <c r="AH55" s="1">
        <f t="shared" ca="1" si="24"/>
        <v>5.6132628285048166E-4</v>
      </c>
      <c r="AJ55" s="1">
        <f t="shared" ca="1" si="25"/>
        <v>0.78431060595385271</v>
      </c>
      <c r="AK55" s="1">
        <f t="shared" ca="1" si="26"/>
        <v>5.3527476390458125E-3</v>
      </c>
      <c r="AL55" s="1"/>
      <c r="AM55" s="1">
        <f t="shared" ca="1" si="27"/>
        <v>5.2040413837655371E-3</v>
      </c>
      <c r="AN55" s="1">
        <f t="shared" ca="1" si="28"/>
        <v>49</v>
      </c>
      <c r="AO55" s="1">
        <f t="shared" ca="1" si="29"/>
        <v>12</v>
      </c>
    </row>
    <row r="56" spans="2:41" x14ac:dyDescent="0.25">
      <c r="B56">
        <f t="shared" ca="1" si="0"/>
        <v>85</v>
      </c>
      <c r="C56">
        <f t="shared" ca="1" si="1"/>
        <v>35</v>
      </c>
      <c r="D56">
        <f t="shared" ca="1" si="2"/>
        <v>0.10928605668474679</v>
      </c>
      <c r="F56" s="1">
        <f t="shared" ca="1" si="3"/>
        <v>28</v>
      </c>
      <c r="G56" s="1">
        <f t="shared" ca="1" si="4"/>
        <v>8</v>
      </c>
      <c r="H56" s="1">
        <f t="shared" ca="1" si="5"/>
        <v>14</v>
      </c>
      <c r="I56" s="1"/>
      <c r="J56" s="1">
        <f t="shared" ca="1" si="6"/>
        <v>5</v>
      </c>
      <c r="K56" s="1">
        <f t="shared" ca="1" si="7"/>
        <v>2.1274138561902971</v>
      </c>
      <c r="L56" s="1">
        <f t="shared" ca="1" si="8"/>
        <v>34</v>
      </c>
      <c r="M56" s="1"/>
      <c r="N56" s="1">
        <f t="shared" ca="1" si="9"/>
        <v>251</v>
      </c>
      <c r="O56" s="1">
        <f t="shared" ca="1" si="10"/>
        <v>12</v>
      </c>
      <c r="P56" s="1"/>
      <c r="Q56" s="1">
        <f t="shared" ca="1" si="11"/>
        <v>3.1814719616197338</v>
      </c>
      <c r="R56" s="1">
        <f t="shared" ca="1" si="12"/>
        <v>1019</v>
      </c>
      <c r="S56" s="1"/>
      <c r="T56" s="1">
        <f t="shared" ca="1" si="13"/>
        <v>8.9027428338407669E-2</v>
      </c>
      <c r="U56" s="1">
        <f t="shared" ca="1" si="14"/>
        <v>56</v>
      </c>
      <c r="V56" s="1">
        <f t="shared" ca="1" si="15"/>
        <v>45</v>
      </c>
      <c r="W56" s="1"/>
      <c r="X56" s="1">
        <f t="shared" ca="1" si="16"/>
        <v>6.7623061484374167</v>
      </c>
      <c r="Y56" s="1">
        <f t="shared" ca="1" si="17"/>
        <v>0.73125805106889086</v>
      </c>
      <c r="Z56" s="1">
        <f t="shared" ca="1" si="18"/>
        <v>1735</v>
      </c>
      <c r="AB56" s="1">
        <f t="shared" ca="1" si="19"/>
        <v>0.81737868680494652</v>
      </c>
      <c r="AC56" s="1">
        <f t="shared" ca="1" si="20"/>
        <v>243</v>
      </c>
      <c r="AD56" s="1">
        <f t="shared" ca="1" si="21"/>
        <v>1.6337600222843785E-3</v>
      </c>
      <c r="AE56" s="1"/>
      <c r="AF56" s="1">
        <f t="shared" ca="1" si="22"/>
        <v>0.678940958768669</v>
      </c>
      <c r="AG56" s="1">
        <f t="shared" ca="1" si="23"/>
        <v>703</v>
      </c>
      <c r="AH56" s="1">
        <f t="shared" ca="1" si="24"/>
        <v>3.6691584861450405E-3</v>
      </c>
      <c r="AJ56" s="1">
        <f t="shared" ca="1" si="25"/>
        <v>0.86746411818337621</v>
      </c>
      <c r="AK56" s="1">
        <f t="shared" ca="1" si="26"/>
        <v>3.8072109904449497E-3</v>
      </c>
      <c r="AL56" s="1"/>
      <c r="AM56" s="1">
        <f t="shared" ca="1" si="27"/>
        <v>0.18037275503950131</v>
      </c>
      <c r="AN56" s="1">
        <f t="shared" ca="1" si="28"/>
        <v>34</v>
      </c>
      <c r="AO56" s="1">
        <f t="shared" ca="1" si="29"/>
        <v>8</v>
      </c>
    </row>
    <row r="57" spans="2:41" x14ac:dyDescent="0.25">
      <c r="B57">
        <f t="shared" ca="1" si="0"/>
        <v>794</v>
      </c>
      <c r="C57">
        <f t="shared" ca="1" si="1"/>
        <v>12</v>
      </c>
      <c r="D57">
        <f t="shared" ca="1" si="2"/>
        <v>1.5831307963123147E-2</v>
      </c>
      <c r="F57" s="1">
        <f t="shared" ca="1" si="3"/>
        <v>33</v>
      </c>
      <c r="G57" s="1">
        <f t="shared" ca="1" si="4"/>
        <v>20</v>
      </c>
      <c r="H57" s="1">
        <f t="shared" ca="1" si="5"/>
        <v>3</v>
      </c>
      <c r="I57" s="1"/>
      <c r="J57" s="1">
        <f t="shared" ca="1" si="6"/>
        <v>15</v>
      </c>
      <c r="K57" s="1">
        <f t="shared" ca="1" si="7"/>
        <v>1.8187532180619237</v>
      </c>
      <c r="L57" s="1">
        <f t="shared" ca="1" si="8"/>
        <v>11</v>
      </c>
      <c r="M57" s="1"/>
      <c r="N57" s="1">
        <f t="shared" ca="1" si="9"/>
        <v>705</v>
      </c>
      <c r="O57" s="1">
        <f t="shared" ca="1" si="10"/>
        <v>51</v>
      </c>
      <c r="P57" s="1"/>
      <c r="Q57" s="1">
        <f t="shared" ca="1" si="11"/>
        <v>3.5535631100842289</v>
      </c>
      <c r="R57" s="1">
        <f t="shared" ca="1" si="12"/>
        <v>734</v>
      </c>
      <c r="S57" s="1"/>
      <c r="T57" s="1">
        <f t="shared" ca="1" si="13"/>
        <v>4.1984311326772585E-2</v>
      </c>
      <c r="U57" s="1">
        <f t="shared" ca="1" si="14"/>
        <v>265</v>
      </c>
      <c r="V57" s="1">
        <f t="shared" ca="1" si="15"/>
        <v>16</v>
      </c>
      <c r="W57" s="1"/>
      <c r="X57" s="1">
        <f t="shared" ca="1" si="16"/>
        <v>2.813707533573897</v>
      </c>
      <c r="Y57" s="1">
        <f t="shared" ca="1" si="17"/>
        <v>0.27355851552610483</v>
      </c>
      <c r="Z57" s="1">
        <f t="shared" ca="1" si="18"/>
        <v>496</v>
      </c>
      <c r="AB57" s="1">
        <f t="shared" ca="1" si="19"/>
        <v>2.3681141582430651E-3</v>
      </c>
      <c r="AC57" s="1">
        <f t="shared" ca="1" si="20"/>
        <v>788</v>
      </c>
      <c r="AD57" s="1">
        <f t="shared" ca="1" si="21"/>
        <v>7.1905009786119882E-5</v>
      </c>
      <c r="AE57" s="1"/>
      <c r="AF57" s="1">
        <f t="shared" ca="1" si="22"/>
        <v>0.4744283321329793</v>
      </c>
      <c r="AG57" s="1">
        <f t="shared" ca="1" si="23"/>
        <v>867</v>
      </c>
      <c r="AH57" s="1">
        <f t="shared" ca="1" si="24"/>
        <v>2.9461631702469489E-4</v>
      </c>
      <c r="AJ57" s="1">
        <f t="shared" ca="1" si="25"/>
        <v>0.66318945646230665</v>
      </c>
      <c r="AK57" s="1">
        <f t="shared" ca="1" si="26"/>
        <v>2.3321268415017029E-3</v>
      </c>
      <c r="AL57" s="1"/>
      <c r="AM57" s="1">
        <f t="shared" ca="1" si="27"/>
        <v>0.12198667348751746</v>
      </c>
      <c r="AN57" s="1">
        <f t="shared" ca="1" si="28"/>
        <v>23</v>
      </c>
      <c r="AO57" s="1">
        <f t="shared" ca="1" si="29"/>
        <v>3</v>
      </c>
    </row>
    <row r="58" spans="2:41" x14ac:dyDescent="0.25">
      <c r="B58">
        <f t="shared" ca="1" si="0"/>
        <v>446</v>
      </c>
      <c r="C58">
        <f t="shared" ca="1" si="1"/>
        <v>30</v>
      </c>
      <c r="D58">
        <f t="shared" ca="1" si="2"/>
        <v>0.20979001399214342</v>
      </c>
      <c r="F58" s="1">
        <f t="shared" ca="1" si="3"/>
        <v>7</v>
      </c>
      <c r="G58" s="1">
        <f t="shared" ca="1" si="4"/>
        <v>8</v>
      </c>
      <c r="H58" s="1">
        <f t="shared" ca="1" si="5"/>
        <v>5</v>
      </c>
      <c r="I58" s="1"/>
      <c r="J58" s="1">
        <f t="shared" ca="1" si="6"/>
        <v>8</v>
      </c>
      <c r="K58" s="1">
        <f t="shared" ca="1" si="7"/>
        <v>1.6118652918494849</v>
      </c>
      <c r="L58" s="1">
        <f t="shared" ca="1" si="8"/>
        <v>9</v>
      </c>
      <c r="M58" s="1"/>
      <c r="N58" s="1">
        <f t="shared" ca="1" si="9"/>
        <v>879</v>
      </c>
      <c r="O58" s="1">
        <f t="shared" ca="1" si="10"/>
        <v>15</v>
      </c>
      <c r="P58" s="1"/>
      <c r="Q58" s="1">
        <f t="shared" ca="1" si="11"/>
        <v>0.51854626137525417</v>
      </c>
      <c r="R58" s="1">
        <f t="shared" ca="1" si="12"/>
        <v>863</v>
      </c>
      <c r="S58" s="1"/>
      <c r="T58" s="1">
        <f t="shared" ca="1" si="13"/>
        <v>0.12283816481547796</v>
      </c>
      <c r="U58" s="1">
        <f t="shared" ca="1" si="14"/>
        <v>339</v>
      </c>
      <c r="V58" s="1">
        <f t="shared" ca="1" si="15"/>
        <v>4</v>
      </c>
      <c r="W58" s="1"/>
      <c r="X58" s="1">
        <f t="shared" ca="1" si="16"/>
        <v>4.2820906492585271</v>
      </c>
      <c r="Y58" s="1">
        <f t="shared" ca="1" si="17"/>
        <v>0.26463930506710526</v>
      </c>
      <c r="Z58" s="1">
        <f t="shared" ca="1" si="18"/>
        <v>1641</v>
      </c>
      <c r="AB58" s="1">
        <f t="shared" ca="1" si="19"/>
        <v>0.8514300551789844</v>
      </c>
      <c r="AC58" s="1">
        <f t="shared" ca="1" si="20"/>
        <v>404</v>
      </c>
      <c r="AD58" s="1">
        <f t="shared" ca="1" si="21"/>
        <v>2.5963461915074816E-3</v>
      </c>
      <c r="AE58" s="1"/>
      <c r="AF58" s="1">
        <f t="shared" ca="1" si="22"/>
        <v>0.86988928575445523</v>
      </c>
      <c r="AG58" s="1">
        <f t="shared" ca="1" si="23"/>
        <v>103</v>
      </c>
      <c r="AH58" s="1">
        <f t="shared" ca="1" si="24"/>
        <v>4.2488702192771269E-3</v>
      </c>
      <c r="AJ58" s="1">
        <f t="shared" ca="1" si="25"/>
        <v>0.38305580798858307</v>
      </c>
      <c r="AK58" s="1">
        <f t="shared" ca="1" si="26"/>
        <v>2.1554000307741398E-3</v>
      </c>
      <c r="AL58" s="1"/>
      <c r="AM58" s="1">
        <f t="shared" ca="1" si="27"/>
        <v>0.12277043068532652</v>
      </c>
      <c r="AN58" s="1">
        <f t="shared" ca="1" si="28"/>
        <v>60</v>
      </c>
      <c r="AO58" s="1">
        <f t="shared" ca="1" si="29"/>
        <v>3</v>
      </c>
    </row>
    <row r="59" spans="2:41" x14ac:dyDescent="0.25">
      <c r="B59">
        <f t="shared" ca="1" si="0"/>
        <v>383</v>
      </c>
      <c r="C59">
        <f t="shared" ca="1" si="1"/>
        <v>2</v>
      </c>
      <c r="D59">
        <f t="shared" ca="1" si="2"/>
        <v>0.10541203390990195</v>
      </c>
      <c r="F59" s="1">
        <f t="shared" ca="1" si="3"/>
        <v>11</v>
      </c>
      <c r="G59" s="1">
        <f t="shared" ca="1" si="4"/>
        <v>15</v>
      </c>
      <c r="H59" s="1">
        <f t="shared" ca="1" si="5"/>
        <v>7</v>
      </c>
      <c r="I59" s="1"/>
      <c r="J59" s="1">
        <f t="shared" ca="1" si="6"/>
        <v>12</v>
      </c>
      <c r="K59" s="1">
        <f t="shared" ca="1" si="7"/>
        <v>1.8937873769697859</v>
      </c>
      <c r="L59" s="1">
        <f t="shared" ca="1" si="8"/>
        <v>31</v>
      </c>
      <c r="M59" s="1"/>
      <c r="N59" s="1">
        <f t="shared" ca="1" si="9"/>
        <v>544</v>
      </c>
      <c r="O59" s="1">
        <f t="shared" ca="1" si="10"/>
        <v>12</v>
      </c>
      <c r="P59" s="1"/>
      <c r="Q59" s="1">
        <f t="shared" ca="1" si="11"/>
        <v>0.45432481046542961</v>
      </c>
      <c r="R59" s="1">
        <f t="shared" ca="1" si="12"/>
        <v>887</v>
      </c>
      <c r="S59" s="1"/>
      <c r="T59" s="1">
        <f t="shared" ca="1" si="13"/>
        <v>3.0914746578684954E-2</v>
      </c>
      <c r="U59" s="1">
        <f t="shared" ca="1" si="14"/>
        <v>156</v>
      </c>
      <c r="V59" s="1">
        <f t="shared" ca="1" si="15"/>
        <v>21</v>
      </c>
      <c r="W59" s="1"/>
      <c r="X59" s="1">
        <f t="shared" ca="1" si="16"/>
        <v>4.8616970933625065</v>
      </c>
      <c r="Y59" s="1">
        <f t="shared" ca="1" si="17"/>
        <v>0.10646480328505162</v>
      </c>
      <c r="Z59" s="1">
        <f t="shared" ca="1" si="18"/>
        <v>780</v>
      </c>
      <c r="AB59" s="1">
        <f t="shared" ca="1" si="19"/>
        <v>0.11578072765800945</v>
      </c>
      <c r="AC59" s="1">
        <f t="shared" ca="1" si="20"/>
        <v>590</v>
      </c>
      <c r="AD59" s="1">
        <f t="shared" ca="1" si="21"/>
        <v>1.3600319067749664E-3</v>
      </c>
      <c r="AE59" s="1"/>
      <c r="AF59" s="1">
        <f t="shared" ca="1" si="22"/>
        <v>0.25227491121769674</v>
      </c>
      <c r="AG59" s="1">
        <f t="shared" ca="1" si="23"/>
        <v>505</v>
      </c>
      <c r="AH59" s="1">
        <f t="shared" ca="1" si="24"/>
        <v>2.5418082740500305E-3</v>
      </c>
      <c r="AJ59" s="1">
        <f t="shared" ca="1" si="25"/>
        <v>5.4020957314909523E-2</v>
      </c>
      <c r="AK59" s="1">
        <f t="shared" ca="1" si="26"/>
        <v>9.4937363903777397E-3</v>
      </c>
      <c r="AL59" s="1"/>
      <c r="AM59" s="1">
        <f t="shared" ca="1" si="27"/>
        <v>0.10017017864281733</v>
      </c>
      <c r="AN59" s="1">
        <f t="shared" ca="1" si="28"/>
        <v>75</v>
      </c>
      <c r="AO59" s="1">
        <f t="shared" ca="1" si="29"/>
        <v>16</v>
      </c>
    </row>
    <row r="60" spans="2:41" x14ac:dyDescent="0.25">
      <c r="B60">
        <f t="shared" ca="1" si="0"/>
        <v>154</v>
      </c>
      <c r="C60">
        <f t="shared" ca="1" si="1"/>
        <v>17</v>
      </c>
      <c r="D60">
        <f t="shared" ca="1" si="2"/>
        <v>0.20719984791762178</v>
      </c>
      <c r="F60" s="1">
        <f t="shared" ca="1" si="3"/>
        <v>48</v>
      </c>
      <c r="G60" s="1">
        <f t="shared" ca="1" si="4"/>
        <v>25</v>
      </c>
      <c r="H60" s="1">
        <f t="shared" ca="1" si="5"/>
        <v>10</v>
      </c>
      <c r="I60" s="1"/>
      <c r="J60" s="1">
        <f t="shared" ca="1" si="6"/>
        <v>38</v>
      </c>
      <c r="K60" s="1">
        <f t="shared" ca="1" si="7"/>
        <v>1.888726364047826</v>
      </c>
      <c r="L60" s="1">
        <f t="shared" ca="1" si="8"/>
        <v>23</v>
      </c>
      <c r="M60" s="1"/>
      <c r="N60" s="1">
        <f t="shared" ca="1" si="9"/>
        <v>948</v>
      </c>
      <c r="O60" s="1">
        <f t="shared" ca="1" si="10"/>
        <v>8</v>
      </c>
      <c r="P60" s="1"/>
      <c r="Q60" s="1">
        <f t="shared" ca="1" si="11"/>
        <v>2.8996872945238192</v>
      </c>
      <c r="R60" s="1">
        <f t="shared" ca="1" si="12"/>
        <v>809</v>
      </c>
      <c r="S60" s="1"/>
      <c r="T60" s="1">
        <f t="shared" ca="1" si="13"/>
        <v>3.9979444873727843E-2</v>
      </c>
      <c r="U60" s="1">
        <f t="shared" ca="1" si="14"/>
        <v>106</v>
      </c>
      <c r="V60" s="1">
        <f t="shared" ca="1" si="15"/>
        <v>27</v>
      </c>
      <c r="W60" s="1"/>
      <c r="X60" s="1">
        <f t="shared" ca="1" si="16"/>
        <v>5.1120240923198406</v>
      </c>
      <c r="Y60" s="1">
        <f t="shared" ca="1" si="17"/>
        <v>0.25933585066154896</v>
      </c>
      <c r="Z60" s="1">
        <f t="shared" ca="1" si="18"/>
        <v>759</v>
      </c>
      <c r="AB60" s="1">
        <f t="shared" ca="1" si="19"/>
        <v>0.40110561322642035</v>
      </c>
      <c r="AC60" s="1">
        <f t="shared" ca="1" si="20"/>
        <v>769</v>
      </c>
      <c r="AD60" s="1">
        <f t="shared" ca="1" si="21"/>
        <v>4.6914821160530676E-3</v>
      </c>
      <c r="AE60" s="1"/>
      <c r="AF60" s="1">
        <f t="shared" ca="1" si="22"/>
        <v>0.87283886016761336</v>
      </c>
      <c r="AG60" s="1">
        <f t="shared" ca="1" si="23"/>
        <v>323</v>
      </c>
      <c r="AH60" s="1">
        <f t="shared" ca="1" si="24"/>
        <v>7.813626268378419E-3</v>
      </c>
      <c r="AJ60" s="1">
        <f t="shared" ca="1" si="25"/>
        <v>0.80310177387372483</v>
      </c>
      <c r="AK60" s="1">
        <f t="shared" ca="1" si="26"/>
        <v>5.5065195694807192E-3</v>
      </c>
      <c r="AL60" s="1"/>
      <c r="AM60" s="1">
        <f t="shared" ca="1" si="27"/>
        <v>7.0586427281067482E-2</v>
      </c>
      <c r="AN60" s="1">
        <f t="shared" ca="1" si="28"/>
        <v>72</v>
      </c>
      <c r="AO60" s="1">
        <f t="shared" ca="1" si="29"/>
        <v>4</v>
      </c>
    </row>
    <row r="61" spans="2:41" x14ac:dyDescent="0.25">
      <c r="B61">
        <f t="shared" ca="1" si="0"/>
        <v>106</v>
      </c>
      <c r="C61">
        <f t="shared" ca="1" si="1"/>
        <v>28</v>
      </c>
      <c r="D61">
        <f t="shared" ca="1" si="2"/>
        <v>1.6650206217635563E-2</v>
      </c>
      <c r="F61" s="1">
        <f t="shared" ca="1" si="3"/>
        <v>51</v>
      </c>
      <c r="G61" s="1">
        <f t="shared" ca="1" si="4"/>
        <v>21</v>
      </c>
      <c r="H61" s="1">
        <f t="shared" ca="1" si="5"/>
        <v>1</v>
      </c>
      <c r="I61" s="1"/>
      <c r="J61" s="1">
        <f t="shared" ca="1" si="6"/>
        <v>8</v>
      </c>
      <c r="K61" s="1">
        <f t="shared" ca="1" si="7"/>
        <v>2.1044199141620843</v>
      </c>
      <c r="L61" s="1">
        <f t="shared" ca="1" si="8"/>
        <v>28</v>
      </c>
      <c r="M61" s="1"/>
      <c r="N61" s="1">
        <f t="shared" ca="1" si="9"/>
        <v>802</v>
      </c>
      <c r="O61" s="1">
        <f t="shared" ca="1" si="10"/>
        <v>52</v>
      </c>
      <c r="P61" s="1"/>
      <c r="Q61" s="1">
        <f t="shared" ca="1" si="11"/>
        <v>3.5928296169668248</v>
      </c>
      <c r="R61" s="1">
        <f t="shared" ca="1" si="12"/>
        <v>657</v>
      </c>
      <c r="S61" s="1"/>
      <c r="T61" s="1">
        <f t="shared" ca="1" si="13"/>
        <v>9.9834023527727744E-2</v>
      </c>
      <c r="U61" s="1">
        <f t="shared" ca="1" si="14"/>
        <v>173</v>
      </c>
      <c r="V61" s="1">
        <f t="shared" ca="1" si="15"/>
        <v>49</v>
      </c>
      <c r="W61" s="1"/>
      <c r="X61" s="1">
        <f t="shared" ca="1" si="16"/>
        <v>8.2586669069984247</v>
      </c>
      <c r="Y61" s="1">
        <f t="shared" ca="1" si="17"/>
        <v>0.43465969027612122</v>
      </c>
      <c r="Z61" s="1">
        <f t="shared" ca="1" si="18"/>
        <v>1864</v>
      </c>
      <c r="AB61" s="1">
        <f t="shared" ca="1" si="19"/>
        <v>0.62005150629503347</v>
      </c>
      <c r="AC61" s="1">
        <f t="shared" ca="1" si="20"/>
        <v>652</v>
      </c>
      <c r="AD61" s="1">
        <f t="shared" ca="1" si="21"/>
        <v>1.9753819071486605E-3</v>
      </c>
      <c r="AE61" s="1"/>
      <c r="AF61" s="1">
        <f t="shared" ca="1" si="22"/>
        <v>0.7252486183052621</v>
      </c>
      <c r="AG61" s="1">
        <f t="shared" ca="1" si="23"/>
        <v>831</v>
      </c>
      <c r="AH61" s="1">
        <f t="shared" ca="1" si="24"/>
        <v>2.475718027903768E-4</v>
      </c>
      <c r="AJ61" s="1">
        <f t="shared" ca="1" si="25"/>
        <v>0.35897438151801209</v>
      </c>
      <c r="AK61" s="1">
        <f t="shared" ca="1" si="26"/>
        <v>8.6346137645406859E-4</v>
      </c>
      <c r="AL61" s="1"/>
      <c r="AM61" s="1">
        <f t="shared" ca="1" si="27"/>
        <v>0.10909621250465983</v>
      </c>
      <c r="AN61" s="1">
        <f t="shared" ca="1" si="28"/>
        <v>57</v>
      </c>
      <c r="AO61" s="1">
        <f t="shared" ca="1" si="29"/>
        <v>13</v>
      </c>
    </row>
    <row r="62" spans="2:41" x14ac:dyDescent="0.25">
      <c r="B62">
        <f t="shared" ca="1" si="0"/>
        <v>929</v>
      </c>
      <c r="C62">
        <f t="shared" ca="1" si="1"/>
        <v>34</v>
      </c>
      <c r="D62">
        <f t="shared" ca="1" si="2"/>
        <v>0.10488682291880431</v>
      </c>
      <c r="F62" s="1">
        <f t="shared" ca="1" si="3"/>
        <v>27</v>
      </c>
      <c r="G62" s="1">
        <f t="shared" ca="1" si="4"/>
        <v>13</v>
      </c>
      <c r="H62" s="1">
        <f t="shared" ca="1" si="5"/>
        <v>1</v>
      </c>
      <c r="I62" s="1"/>
      <c r="J62" s="1">
        <f t="shared" ca="1" si="6"/>
        <v>33</v>
      </c>
      <c r="K62" s="1">
        <f t="shared" ca="1" si="7"/>
        <v>1.0121006677638806</v>
      </c>
      <c r="L62" s="1">
        <f t="shared" ca="1" si="8"/>
        <v>15</v>
      </c>
      <c r="M62" s="1"/>
      <c r="N62" s="1">
        <f t="shared" ca="1" si="9"/>
        <v>853</v>
      </c>
      <c r="O62" s="1">
        <f t="shared" ca="1" si="10"/>
        <v>16</v>
      </c>
      <c r="P62" s="1"/>
      <c r="Q62" s="1">
        <f t="shared" ca="1" si="11"/>
        <v>3.0012954571127781</v>
      </c>
      <c r="R62" s="1">
        <f t="shared" ca="1" si="12"/>
        <v>487</v>
      </c>
      <c r="S62" s="1"/>
      <c r="T62" s="1">
        <f t="shared" ca="1" si="13"/>
        <v>0.15820439823138044</v>
      </c>
      <c r="U62" s="1">
        <f t="shared" ca="1" si="14"/>
        <v>402</v>
      </c>
      <c r="V62" s="1">
        <f t="shared" ca="1" si="15"/>
        <v>24</v>
      </c>
      <c r="W62" s="1"/>
      <c r="X62" s="1">
        <f t="shared" ca="1" si="16"/>
        <v>7.2216848029671823</v>
      </c>
      <c r="Y62" s="1">
        <f t="shared" ca="1" si="17"/>
        <v>0.32786343723632416</v>
      </c>
      <c r="Z62" s="1">
        <f t="shared" ca="1" si="18"/>
        <v>246</v>
      </c>
      <c r="AB62" s="1">
        <f t="shared" ca="1" si="19"/>
        <v>0.3977525139304115</v>
      </c>
      <c r="AC62" s="1">
        <f t="shared" ca="1" si="20"/>
        <v>501</v>
      </c>
      <c r="AD62" s="1">
        <f t="shared" ca="1" si="21"/>
        <v>7.7867171088333463E-3</v>
      </c>
      <c r="AE62" s="1"/>
      <c r="AF62" s="1">
        <f t="shared" ca="1" si="22"/>
        <v>0.76253516735775884</v>
      </c>
      <c r="AG62" s="1">
        <f t="shared" ca="1" si="23"/>
        <v>237</v>
      </c>
      <c r="AH62" s="1">
        <f t="shared" ca="1" si="24"/>
        <v>8.6418086660752721E-3</v>
      </c>
      <c r="AJ62" s="1">
        <f t="shared" ca="1" si="25"/>
        <v>0.61310539834740829</v>
      </c>
      <c r="AK62" s="1">
        <f t="shared" ca="1" si="26"/>
        <v>9.0523223632815123E-3</v>
      </c>
      <c r="AL62" s="1"/>
      <c r="AM62" s="1">
        <f t="shared" ca="1" si="27"/>
        <v>7.1452493694034572E-2</v>
      </c>
      <c r="AN62" s="1">
        <f t="shared" ca="1" si="28"/>
        <v>18</v>
      </c>
      <c r="AO62" s="1">
        <f t="shared" ca="1" si="29"/>
        <v>4</v>
      </c>
    </row>
    <row r="63" spans="2:41" x14ac:dyDescent="0.25">
      <c r="B63">
        <f t="shared" ca="1" si="0"/>
        <v>400</v>
      </c>
      <c r="C63">
        <f t="shared" ca="1" si="1"/>
        <v>20</v>
      </c>
      <c r="D63">
        <f t="shared" ca="1" si="2"/>
        <v>7.6665861283852915E-2</v>
      </c>
      <c r="F63" s="1">
        <f t="shared" ca="1" si="3"/>
        <v>46</v>
      </c>
      <c r="G63" s="1">
        <f t="shared" ca="1" si="4"/>
        <v>19</v>
      </c>
      <c r="H63" s="1">
        <f t="shared" ca="1" si="5"/>
        <v>1</v>
      </c>
      <c r="I63" s="1"/>
      <c r="J63" s="1">
        <f t="shared" ca="1" si="6"/>
        <v>24</v>
      </c>
      <c r="K63" s="1">
        <f t="shared" ca="1" si="7"/>
        <v>2.4809523390641903</v>
      </c>
      <c r="L63" s="1">
        <f t="shared" ca="1" si="8"/>
        <v>17</v>
      </c>
      <c r="M63" s="1"/>
      <c r="N63" s="1">
        <f t="shared" ca="1" si="9"/>
        <v>81</v>
      </c>
      <c r="O63" s="1">
        <f t="shared" ca="1" si="10"/>
        <v>9</v>
      </c>
      <c r="P63" s="1"/>
      <c r="Q63" s="1">
        <f t="shared" ca="1" si="11"/>
        <v>0.10866628233814178</v>
      </c>
      <c r="R63" s="1">
        <f t="shared" ca="1" si="12"/>
        <v>1079</v>
      </c>
      <c r="S63" s="1"/>
      <c r="T63" s="1">
        <f t="shared" ca="1" si="13"/>
        <v>9.3873370881315407E-2</v>
      </c>
      <c r="U63" s="1">
        <f t="shared" ca="1" si="14"/>
        <v>267</v>
      </c>
      <c r="V63" s="1">
        <f t="shared" ca="1" si="15"/>
        <v>45</v>
      </c>
      <c r="W63" s="1"/>
      <c r="X63" s="1">
        <f t="shared" ca="1" si="16"/>
        <v>9.8852811130392997</v>
      </c>
      <c r="Y63" s="1">
        <f t="shared" ca="1" si="17"/>
        <v>0.14135552608571358</v>
      </c>
      <c r="Z63" s="1">
        <f t="shared" ca="1" si="18"/>
        <v>1502</v>
      </c>
      <c r="AB63" s="1">
        <f t="shared" ca="1" si="19"/>
        <v>0.39758342847174377</v>
      </c>
      <c r="AC63" s="1">
        <f t="shared" ca="1" si="20"/>
        <v>947</v>
      </c>
      <c r="AD63" s="1">
        <f t="shared" ca="1" si="21"/>
        <v>9.6977134866446397E-3</v>
      </c>
      <c r="AE63" s="1"/>
      <c r="AF63" s="1">
        <f t="shared" ca="1" si="22"/>
        <v>0.49296094207616048</v>
      </c>
      <c r="AG63" s="1">
        <f t="shared" ca="1" si="23"/>
        <v>760</v>
      </c>
      <c r="AH63" s="1">
        <f t="shared" ca="1" si="24"/>
        <v>4.7617992074977253E-3</v>
      </c>
      <c r="AJ63" s="1">
        <f t="shared" ca="1" si="25"/>
        <v>0.61448202059292001</v>
      </c>
      <c r="AK63" s="1">
        <f t="shared" ca="1" si="26"/>
        <v>3.9036138311764647E-3</v>
      </c>
      <c r="AL63" s="1"/>
      <c r="AM63" s="1">
        <f t="shared" ca="1" si="27"/>
        <v>2.4798491355777726E-2</v>
      </c>
      <c r="AN63" s="1">
        <f t="shared" ca="1" si="28"/>
        <v>23</v>
      </c>
      <c r="AO63" s="1">
        <f t="shared" ca="1" si="29"/>
        <v>19</v>
      </c>
    </row>
    <row r="64" spans="2:41" x14ac:dyDescent="0.25">
      <c r="B64">
        <f t="shared" ca="1" si="0"/>
        <v>265</v>
      </c>
      <c r="C64">
        <f t="shared" ca="1" si="1"/>
        <v>23</v>
      </c>
      <c r="D64">
        <f t="shared" ca="1" si="2"/>
        <v>7.0250180576649127E-2</v>
      </c>
      <c r="F64" s="1">
        <f t="shared" ca="1" si="3"/>
        <v>11</v>
      </c>
      <c r="G64" s="1">
        <f t="shared" ca="1" si="4"/>
        <v>5</v>
      </c>
      <c r="H64" s="1">
        <f t="shared" ca="1" si="5"/>
        <v>5</v>
      </c>
      <c r="I64" s="1"/>
      <c r="J64" s="1">
        <f t="shared" ca="1" si="6"/>
        <v>24</v>
      </c>
      <c r="K64" s="1">
        <f t="shared" ca="1" si="7"/>
        <v>2.7661432956566157</v>
      </c>
      <c r="L64" s="1">
        <f t="shared" ca="1" si="8"/>
        <v>23</v>
      </c>
      <c r="M64" s="1"/>
      <c r="N64" s="1">
        <f t="shared" ca="1" si="9"/>
        <v>157</v>
      </c>
      <c r="O64" s="1">
        <f t="shared" ca="1" si="10"/>
        <v>5</v>
      </c>
      <c r="P64" s="1"/>
      <c r="Q64" s="1">
        <f t="shared" ca="1" si="11"/>
        <v>0.55395118717170788</v>
      </c>
      <c r="R64" s="1">
        <f t="shared" ca="1" si="12"/>
        <v>1171</v>
      </c>
      <c r="S64" s="1"/>
      <c r="T64" s="1">
        <f t="shared" ca="1" si="13"/>
        <v>3.3598202996773401E-2</v>
      </c>
      <c r="U64" s="1">
        <f t="shared" ca="1" si="14"/>
        <v>122</v>
      </c>
      <c r="V64" s="1">
        <f t="shared" ca="1" si="15"/>
        <v>17</v>
      </c>
      <c r="W64" s="1"/>
      <c r="X64" s="1">
        <f t="shared" ca="1" si="16"/>
        <v>6.4733031948748936</v>
      </c>
      <c r="Y64" s="1">
        <f t="shared" ca="1" si="17"/>
        <v>0.73285628544276238</v>
      </c>
      <c r="Z64" s="1">
        <f t="shared" ca="1" si="18"/>
        <v>283</v>
      </c>
      <c r="AB64" s="1">
        <f t="shared" ca="1" si="19"/>
        <v>0.92152994672772526</v>
      </c>
      <c r="AC64" s="1">
        <f t="shared" ca="1" si="20"/>
        <v>940</v>
      </c>
      <c r="AD64" s="1">
        <f t="shared" ca="1" si="21"/>
        <v>6.4946018553484197E-3</v>
      </c>
      <c r="AE64" s="1"/>
      <c r="AF64" s="1">
        <f t="shared" ca="1" si="22"/>
        <v>0.80678932242653567</v>
      </c>
      <c r="AG64" s="1">
        <f t="shared" ca="1" si="23"/>
        <v>100</v>
      </c>
      <c r="AH64" s="1">
        <f t="shared" ca="1" si="24"/>
        <v>2.5103709388454992E-3</v>
      </c>
      <c r="AJ64" s="1">
        <f t="shared" ca="1" si="25"/>
        <v>0.63248645924372615</v>
      </c>
      <c r="AK64" s="1">
        <f t="shared" ca="1" si="26"/>
        <v>4.2328787319884653E-3</v>
      </c>
      <c r="AL64" s="1"/>
      <c r="AM64" s="1">
        <f t="shared" ca="1" si="27"/>
        <v>7.7554366888913998E-2</v>
      </c>
      <c r="AN64" s="1">
        <f t="shared" ca="1" si="28"/>
        <v>14</v>
      </c>
      <c r="AO64" s="1">
        <f t="shared" ca="1" si="29"/>
        <v>15</v>
      </c>
    </row>
    <row r="65" spans="2:41" x14ac:dyDescent="0.25">
      <c r="B65">
        <f t="shared" ca="1" si="0"/>
        <v>934</v>
      </c>
      <c r="C65">
        <f t="shared" ca="1" si="1"/>
        <v>51</v>
      </c>
      <c r="D65">
        <f t="shared" ca="1" si="2"/>
        <v>0.14447205780067712</v>
      </c>
      <c r="F65" s="1">
        <f t="shared" ca="1" si="3"/>
        <v>28</v>
      </c>
      <c r="G65" s="1">
        <f t="shared" ca="1" si="4"/>
        <v>8</v>
      </c>
      <c r="H65" s="1">
        <f t="shared" ca="1" si="5"/>
        <v>11</v>
      </c>
      <c r="I65" s="1"/>
      <c r="J65" s="1">
        <f t="shared" ca="1" si="6"/>
        <v>32</v>
      </c>
      <c r="K65" s="1">
        <f t="shared" ca="1" si="7"/>
        <v>1.0741186446312043</v>
      </c>
      <c r="L65" s="1">
        <f t="shared" ca="1" si="8"/>
        <v>18</v>
      </c>
      <c r="M65" s="1"/>
      <c r="N65" s="1">
        <f t="shared" ca="1" si="9"/>
        <v>168</v>
      </c>
      <c r="O65" s="1">
        <f t="shared" ca="1" si="10"/>
        <v>45</v>
      </c>
      <c r="P65" s="1"/>
      <c r="Q65" s="1">
        <f t="shared" ca="1" si="11"/>
        <v>4.8111680163832871</v>
      </c>
      <c r="R65" s="1">
        <f t="shared" ca="1" si="12"/>
        <v>387</v>
      </c>
      <c r="S65" s="1"/>
      <c r="T65" s="1">
        <f t="shared" ca="1" si="13"/>
        <v>0.1677799976016412</v>
      </c>
      <c r="U65" s="1">
        <f t="shared" ca="1" si="14"/>
        <v>358</v>
      </c>
      <c r="V65" s="1">
        <f t="shared" ca="1" si="15"/>
        <v>27</v>
      </c>
      <c r="W65" s="1"/>
      <c r="X65" s="1">
        <f t="shared" ca="1" si="16"/>
        <v>8.9996841942517225</v>
      </c>
      <c r="Y65" s="1">
        <f t="shared" ca="1" si="17"/>
        <v>0.10146990863289043</v>
      </c>
      <c r="Z65" s="1">
        <f t="shared" ca="1" si="18"/>
        <v>792</v>
      </c>
      <c r="AB65" s="1">
        <f t="shared" ca="1" si="19"/>
        <v>0.52124678565171223</v>
      </c>
      <c r="AC65" s="1">
        <f t="shared" ca="1" si="20"/>
        <v>655</v>
      </c>
      <c r="AD65" s="1">
        <f t="shared" ca="1" si="21"/>
        <v>3.2707341306318998E-4</v>
      </c>
      <c r="AE65" s="1"/>
      <c r="AF65" s="1">
        <f t="shared" ca="1" si="22"/>
        <v>0.83394674126802038</v>
      </c>
      <c r="AG65" s="1">
        <f t="shared" ca="1" si="23"/>
        <v>719</v>
      </c>
      <c r="AH65" s="1">
        <f t="shared" ca="1" si="24"/>
        <v>8.1365284944399999E-3</v>
      </c>
      <c r="AJ65" s="1">
        <f t="shared" ca="1" si="25"/>
        <v>0.8518548932910347</v>
      </c>
      <c r="AK65" s="1">
        <f t="shared" ca="1" si="26"/>
        <v>6.946303566411578E-4</v>
      </c>
      <c r="AL65" s="1"/>
      <c r="AM65" s="1">
        <f t="shared" ca="1" si="27"/>
        <v>0.11253241917296483</v>
      </c>
      <c r="AN65" s="1">
        <f t="shared" ca="1" si="28"/>
        <v>41</v>
      </c>
      <c r="AO65" s="1">
        <f t="shared" ca="1" si="29"/>
        <v>15</v>
      </c>
    </row>
    <row r="66" spans="2:41" x14ac:dyDescent="0.25">
      <c r="B66">
        <f t="shared" ca="1" si="0"/>
        <v>720</v>
      </c>
      <c r="C66">
        <f t="shared" ca="1" si="1"/>
        <v>20</v>
      </c>
      <c r="D66">
        <f t="shared" ca="1" si="2"/>
        <v>0.20703987375338556</v>
      </c>
      <c r="F66" s="1">
        <f t="shared" ca="1" si="3"/>
        <v>45</v>
      </c>
      <c r="G66" s="1">
        <f t="shared" ca="1" si="4"/>
        <v>21</v>
      </c>
      <c r="H66" s="1">
        <f t="shared" ca="1" si="5"/>
        <v>2</v>
      </c>
      <c r="I66" s="1"/>
      <c r="J66" s="1">
        <f t="shared" ca="1" si="6"/>
        <v>18</v>
      </c>
      <c r="K66" s="1">
        <f t="shared" ca="1" si="7"/>
        <v>2.5351553940235165</v>
      </c>
      <c r="L66" s="1">
        <f t="shared" ca="1" si="8"/>
        <v>15</v>
      </c>
      <c r="M66" s="1"/>
      <c r="N66" s="1">
        <f t="shared" ca="1" si="9"/>
        <v>947</v>
      </c>
      <c r="O66" s="1">
        <f t="shared" ca="1" si="10"/>
        <v>36</v>
      </c>
      <c r="P66" s="1"/>
      <c r="Q66" s="1">
        <f t="shared" ca="1" si="11"/>
        <v>1.7321259947187564</v>
      </c>
      <c r="R66" s="1">
        <f t="shared" ca="1" si="12"/>
        <v>953</v>
      </c>
      <c r="S66" s="1"/>
      <c r="T66" s="1">
        <f t="shared" ca="1" si="13"/>
        <v>8.2201587514304786E-2</v>
      </c>
      <c r="U66" s="1">
        <f t="shared" ca="1" si="14"/>
        <v>266</v>
      </c>
      <c r="V66" s="1">
        <f t="shared" ca="1" si="15"/>
        <v>46</v>
      </c>
      <c r="W66" s="1"/>
      <c r="X66" s="1">
        <f t="shared" ca="1" si="16"/>
        <v>5.5082475316061332</v>
      </c>
      <c r="Y66" s="1">
        <f t="shared" ca="1" si="17"/>
        <v>0.58057631581047087</v>
      </c>
      <c r="Z66" s="1">
        <f t="shared" ca="1" si="18"/>
        <v>558</v>
      </c>
      <c r="AB66" s="1">
        <f t="shared" ca="1" si="19"/>
        <v>0.44463737349830756</v>
      </c>
      <c r="AC66" s="1">
        <f t="shared" ca="1" si="20"/>
        <v>422</v>
      </c>
      <c r="AD66" s="1">
        <f t="shared" ca="1" si="21"/>
        <v>3.5874871302684378E-3</v>
      </c>
      <c r="AE66" s="1"/>
      <c r="AF66" s="1">
        <f t="shared" ca="1" si="22"/>
        <v>0.55204320540869101</v>
      </c>
      <c r="AG66" s="1">
        <f t="shared" ca="1" si="23"/>
        <v>193</v>
      </c>
      <c r="AH66" s="1">
        <f t="shared" ca="1" si="24"/>
        <v>9.0901632285312547E-3</v>
      </c>
      <c r="AJ66" s="1">
        <f t="shared" ca="1" si="25"/>
        <v>1.0855667017025672E-3</v>
      </c>
      <c r="AK66" s="1">
        <f t="shared" ca="1" si="26"/>
        <v>9.4941251709254292E-3</v>
      </c>
      <c r="AL66" s="1"/>
      <c r="AM66" s="1">
        <f t="shared" ca="1" si="27"/>
        <v>0.18184244040453784</v>
      </c>
      <c r="AN66" s="1">
        <f t="shared" ca="1" si="28"/>
        <v>71</v>
      </c>
      <c r="AO66" s="1">
        <f t="shared" ca="1" si="29"/>
        <v>2</v>
      </c>
    </row>
    <row r="67" spans="2:41" x14ac:dyDescent="0.25">
      <c r="B67">
        <f t="shared" ca="1" si="0"/>
        <v>307</v>
      </c>
      <c r="C67">
        <f t="shared" ca="1" si="1"/>
        <v>39</v>
      </c>
      <c r="D67">
        <f t="shared" ca="1" si="2"/>
        <v>8.2264710025610463E-2</v>
      </c>
      <c r="F67" s="1">
        <f t="shared" ca="1" si="3"/>
        <v>45</v>
      </c>
      <c r="G67" s="1">
        <f t="shared" ca="1" si="4"/>
        <v>9</v>
      </c>
      <c r="H67" s="1">
        <f t="shared" ca="1" si="5"/>
        <v>6</v>
      </c>
      <c r="I67" s="1"/>
      <c r="J67" s="1">
        <f t="shared" ca="1" si="6"/>
        <v>2</v>
      </c>
      <c r="K67" s="1">
        <f t="shared" ca="1" si="7"/>
        <v>1.1449883160202035</v>
      </c>
      <c r="L67" s="1">
        <f t="shared" ca="1" si="8"/>
        <v>29</v>
      </c>
      <c r="M67" s="1"/>
      <c r="N67" s="1">
        <f t="shared" ca="1" si="9"/>
        <v>834</v>
      </c>
      <c r="O67" s="1">
        <f t="shared" ca="1" si="10"/>
        <v>48</v>
      </c>
      <c r="P67" s="1"/>
      <c r="Q67" s="1">
        <f t="shared" ca="1" si="11"/>
        <v>0.72146599740736839</v>
      </c>
      <c r="R67" s="1">
        <f t="shared" ca="1" si="12"/>
        <v>237</v>
      </c>
      <c r="S67" s="1"/>
      <c r="T67" s="1">
        <f t="shared" ca="1" si="13"/>
        <v>0.18937005966942602</v>
      </c>
      <c r="U67" s="1">
        <f t="shared" ca="1" si="14"/>
        <v>160</v>
      </c>
      <c r="V67" s="1">
        <f t="shared" ca="1" si="15"/>
        <v>34</v>
      </c>
      <c r="W67" s="1"/>
      <c r="X67" s="1">
        <f t="shared" ca="1" si="16"/>
        <v>2.2020770114527326</v>
      </c>
      <c r="Y67" s="1">
        <f t="shared" ca="1" si="17"/>
        <v>6.9522771888966758E-2</v>
      </c>
      <c r="Z67" s="1">
        <f t="shared" ca="1" si="18"/>
        <v>1724</v>
      </c>
      <c r="AB67" s="1">
        <f t="shared" ca="1" si="19"/>
        <v>0.20512767812918753</v>
      </c>
      <c r="AC67" s="1">
        <f t="shared" ca="1" si="20"/>
        <v>257</v>
      </c>
      <c r="AD67" s="1">
        <f t="shared" ca="1" si="21"/>
        <v>2.0992351222897006E-3</v>
      </c>
      <c r="AE67" s="1"/>
      <c r="AF67" s="1">
        <f t="shared" ca="1" si="22"/>
        <v>0.73876936870578358</v>
      </c>
      <c r="AG67" s="1">
        <f t="shared" ca="1" si="23"/>
        <v>124</v>
      </c>
      <c r="AH67" s="1">
        <f t="shared" ca="1" si="24"/>
        <v>1.1650072156844072E-3</v>
      </c>
      <c r="AJ67" s="1">
        <f t="shared" ca="1" si="25"/>
        <v>0.68008918357769499</v>
      </c>
      <c r="AK67" s="1">
        <f t="shared" ca="1" si="26"/>
        <v>6.2348067670126468E-3</v>
      </c>
      <c r="AL67" s="1"/>
      <c r="AM67" s="1">
        <f t="shared" ca="1" si="27"/>
        <v>6.1088645199082157E-2</v>
      </c>
      <c r="AN67" s="1">
        <f t="shared" ca="1" si="28"/>
        <v>23</v>
      </c>
      <c r="AO67" s="1">
        <f t="shared" ca="1" si="29"/>
        <v>18</v>
      </c>
    </row>
    <row r="68" spans="2:41" x14ac:dyDescent="0.25">
      <c r="B68">
        <f t="shared" ref="B68:B131" ca="1" si="30">RANDBETWEEN(15,1000)</f>
        <v>235</v>
      </c>
      <c r="C68">
        <f t="shared" ref="C68:C131" ca="1" si="31">RANDBETWEEN(2,52)</f>
        <v>14</v>
      </c>
      <c r="D68">
        <f t="shared" ref="D68:D131" ca="1" si="32">RAND()*(0.3-0.01)+0.01</f>
        <v>0.2960361799694341</v>
      </c>
      <c r="F68" s="1">
        <f t="shared" ref="F68:F131" ca="1" si="33">RANDBETWEEN(2,52)</f>
        <v>12</v>
      </c>
      <c r="G68" s="1">
        <f t="shared" ref="G68:G131" ca="1" si="34">RANDBETWEEN(2,30)</f>
        <v>27</v>
      </c>
      <c r="H68" s="1">
        <f t="shared" ref="H68:H131" ca="1" si="35">RANDBETWEEN(1,15)</f>
        <v>6</v>
      </c>
      <c r="I68" s="1"/>
      <c r="J68" s="1">
        <f t="shared" ref="J68:J131" ca="1" si="36">RANDBETWEEN(1,39)</f>
        <v>22</v>
      </c>
      <c r="K68" s="1">
        <f t="shared" ref="K68:K131" ca="1" si="37">RAND()*(3-1)+1</f>
        <v>1.5098086070865178</v>
      </c>
      <c r="L68" s="1">
        <f t="shared" ref="L68:L131" ca="1" si="38">RANDBETWEEN(2,35)</f>
        <v>14</v>
      </c>
      <c r="M68" s="1"/>
      <c r="N68" s="1">
        <f t="shared" ref="N68:N131" ca="1" si="39">RANDBETWEEN(15,1000)</f>
        <v>516</v>
      </c>
      <c r="O68" s="1">
        <f t="shared" ref="O68:O131" ca="1" si="40">RANDBETWEEN(2,52)</f>
        <v>37</v>
      </c>
      <c r="P68" s="1"/>
      <c r="Q68" s="1">
        <f t="shared" ref="Q68:Q131" ca="1" si="41">RAND()*(5-0.01)+0.01</f>
        <v>3.8283388252557469</v>
      </c>
      <c r="R68" s="1">
        <f t="shared" ref="R68:R131" ca="1" si="42">RANDBETWEEN(200,1200)</f>
        <v>322</v>
      </c>
      <c r="S68" s="1"/>
      <c r="T68" s="1">
        <f t="shared" ref="T68:T131" ca="1" si="43">RAND()*(0.2-0.01)+0.01</f>
        <v>0.15851918835856277</v>
      </c>
      <c r="U68" s="1">
        <f t="shared" ref="U68:U131" ca="1" si="44">RANDBETWEEN(50,450)</f>
        <v>81</v>
      </c>
      <c r="V68" s="1">
        <f t="shared" ref="V68:V131" ca="1" si="45">RANDBETWEEN(2,52)</f>
        <v>16</v>
      </c>
      <c r="W68" s="1"/>
      <c r="X68" s="1">
        <f t="shared" ref="X68:X131" ca="1" si="46">RAND()*(10-0.01)+0.01</f>
        <v>9.5624255365987825</v>
      </c>
      <c r="Y68" s="1">
        <f t="shared" ref="Y68:Y131" ca="1" si="47">RAND()*(1-0.0001)+0.0001</f>
        <v>7.9214647962846108E-2</v>
      </c>
      <c r="Z68" s="1">
        <f t="shared" ref="Z68:Z131" ca="1" si="48">RANDBETWEEN(100,2000)</f>
        <v>1398</v>
      </c>
      <c r="AB68" s="1">
        <f t="shared" ref="AB68:AB131" ca="1" si="49">RAND()*(1-0.0001)+0.0001</f>
        <v>0.60795990742013617</v>
      </c>
      <c r="AC68" s="1">
        <f t="shared" ref="AC68:AC131" ca="1" si="50">RANDBETWEEN(100,1000)</f>
        <v>831</v>
      </c>
      <c r="AD68" s="1">
        <f t="shared" ref="AD68:AD131" ca="1" si="51">RAND()*(0.01-0.00001)+0.00001</f>
        <v>5.1602991361924862E-5</v>
      </c>
      <c r="AE68" s="1"/>
      <c r="AF68" s="1">
        <f t="shared" ref="AF68:AF131" ca="1" si="52">RAND()*(0.9-0.1)+0.1</f>
        <v>0.82164677584558654</v>
      </c>
      <c r="AG68" s="1">
        <f t="shared" ref="AG68:AG131" ca="1" si="53">RANDBETWEEN(100,1000)</f>
        <v>306</v>
      </c>
      <c r="AH68" s="1">
        <f t="shared" ref="AH68:AH131" ca="1" si="54">RAND()*(0.01-0.00001)+0.00001</f>
        <v>1.1073736579749677E-3</v>
      </c>
      <c r="AJ68" s="1">
        <f t="shared" ref="AJ68:AJ131" ca="1" si="55">RAND()*(1-0)+0</f>
        <v>0.10716071897053325</v>
      </c>
      <c r="AK68" s="1">
        <f t="shared" ref="AK68:AK131" ca="1" si="56">RAND()*(0.01-0.00001)+0.00001</f>
        <v>7.1739700125111427E-4</v>
      </c>
      <c r="AL68" s="1"/>
      <c r="AM68" s="1">
        <f t="shared" ref="AM68:AM131" ca="1" si="57">RAND()*(0.2-0.005)+0.005</f>
        <v>0.13659460768692711</v>
      </c>
      <c r="AN68" s="1">
        <f t="shared" ref="AN68:AN131" ca="1" si="58">RANDBETWEEN(10,80)</f>
        <v>66</v>
      </c>
      <c r="AO68" s="1">
        <f t="shared" ref="AO68:AO131" ca="1" si="59">RANDBETWEEN(-1,20)</f>
        <v>19</v>
      </c>
    </row>
    <row r="69" spans="2:41" x14ac:dyDescent="0.25">
      <c r="B69">
        <f t="shared" ca="1" si="30"/>
        <v>939</v>
      </c>
      <c r="C69">
        <f t="shared" ca="1" si="31"/>
        <v>24</v>
      </c>
      <c r="D69">
        <f t="shared" ca="1" si="32"/>
        <v>0.24057957002568067</v>
      </c>
      <c r="F69" s="1">
        <f t="shared" ca="1" si="33"/>
        <v>26</v>
      </c>
      <c r="G69" s="1">
        <f t="shared" ca="1" si="34"/>
        <v>24</v>
      </c>
      <c r="H69" s="1">
        <f t="shared" ca="1" si="35"/>
        <v>4</v>
      </c>
      <c r="I69" s="1"/>
      <c r="J69" s="1">
        <f t="shared" ca="1" si="36"/>
        <v>13</v>
      </c>
      <c r="K69" s="1">
        <f t="shared" ca="1" si="37"/>
        <v>2.2406833896137659</v>
      </c>
      <c r="L69" s="1">
        <f t="shared" ca="1" si="38"/>
        <v>13</v>
      </c>
      <c r="M69" s="1"/>
      <c r="N69" s="1">
        <f t="shared" ca="1" si="39"/>
        <v>613</v>
      </c>
      <c r="O69" s="1">
        <f t="shared" ca="1" si="40"/>
        <v>15</v>
      </c>
      <c r="P69" s="1"/>
      <c r="Q69" s="1">
        <f t="shared" ca="1" si="41"/>
        <v>3.6599100130929805</v>
      </c>
      <c r="R69" s="1">
        <f t="shared" ca="1" si="42"/>
        <v>230</v>
      </c>
      <c r="S69" s="1"/>
      <c r="T69" s="1">
        <f t="shared" ca="1" si="43"/>
        <v>0.139726118557539</v>
      </c>
      <c r="U69" s="1">
        <f t="shared" ca="1" si="44"/>
        <v>230</v>
      </c>
      <c r="V69" s="1">
        <f t="shared" ca="1" si="45"/>
        <v>13</v>
      </c>
      <c r="W69" s="1"/>
      <c r="X69" s="1">
        <f t="shared" ca="1" si="46"/>
        <v>3.8719997297348043</v>
      </c>
      <c r="Y69" s="1">
        <f t="shared" ca="1" si="47"/>
        <v>0.10896018492779375</v>
      </c>
      <c r="Z69" s="1">
        <f t="shared" ca="1" si="48"/>
        <v>1943</v>
      </c>
      <c r="AB69" s="1">
        <f t="shared" ca="1" si="49"/>
        <v>0.40664794724012138</v>
      </c>
      <c r="AC69" s="1">
        <f t="shared" ca="1" si="50"/>
        <v>952</v>
      </c>
      <c r="AD69" s="1">
        <f t="shared" ca="1" si="51"/>
        <v>2.5475525312387609E-4</v>
      </c>
      <c r="AE69" s="1"/>
      <c r="AF69" s="1">
        <f t="shared" ca="1" si="52"/>
        <v>0.19719060177273848</v>
      </c>
      <c r="AG69" s="1">
        <f t="shared" ca="1" si="53"/>
        <v>122</v>
      </c>
      <c r="AH69" s="1">
        <f t="shared" ca="1" si="54"/>
        <v>8.2140193161400771E-3</v>
      </c>
      <c r="AJ69" s="1">
        <f t="shared" ca="1" si="55"/>
        <v>0.67016189153264216</v>
      </c>
      <c r="AK69" s="1">
        <f t="shared" ca="1" si="56"/>
        <v>2.8443615137166609E-3</v>
      </c>
      <c r="AL69" s="1"/>
      <c r="AM69" s="1">
        <f t="shared" ca="1" si="57"/>
        <v>5.3161695306350551E-2</v>
      </c>
      <c r="AN69" s="1">
        <f t="shared" ca="1" si="58"/>
        <v>58</v>
      </c>
      <c r="AO69" s="1">
        <f t="shared" ca="1" si="59"/>
        <v>15</v>
      </c>
    </row>
    <row r="70" spans="2:41" x14ac:dyDescent="0.25">
      <c r="B70">
        <f t="shared" ca="1" si="30"/>
        <v>75</v>
      </c>
      <c r="C70">
        <f t="shared" ca="1" si="31"/>
        <v>7</v>
      </c>
      <c r="D70">
        <f t="shared" ca="1" si="32"/>
        <v>8.2752688880610006E-2</v>
      </c>
      <c r="F70" s="1">
        <f t="shared" ca="1" si="33"/>
        <v>8</v>
      </c>
      <c r="G70" s="1">
        <f t="shared" ca="1" si="34"/>
        <v>29</v>
      </c>
      <c r="H70" s="1">
        <f t="shared" ca="1" si="35"/>
        <v>4</v>
      </c>
      <c r="I70" s="1"/>
      <c r="J70" s="1">
        <f t="shared" ca="1" si="36"/>
        <v>18</v>
      </c>
      <c r="K70" s="1">
        <f t="shared" ca="1" si="37"/>
        <v>2.052883029024374</v>
      </c>
      <c r="L70" s="1">
        <f t="shared" ca="1" si="38"/>
        <v>2</v>
      </c>
      <c r="M70" s="1"/>
      <c r="N70" s="1">
        <f t="shared" ca="1" si="39"/>
        <v>442</v>
      </c>
      <c r="O70" s="1">
        <f t="shared" ca="1" si="40"/>
        <v>47</v>
      </c>
      <c r="P70" s="1"/>
      <c r="Q70" s="1">
        <f t="shared" ca="1" si="41"/>
        <v>0.30322385454052153</v>
      </c>
      <c r="R70" s="1">
        <f t="shared" ca="1" si="42"/>
        <v>1165</v>
      </c>
      <c r="S70" s="1"/>
      <c r="T70" s="1">
        <f t="shared" ca="1" si="43"/>
        <v>0.17478298158828084</v>
      </c>
      <c r="U70" s="1">
        <f t="shared" ca="1" si="44"/>
        <v>147</v>
      </c>
      <c r="V70" s="1">
        <f t="shared" ca="1" si="45"/>
        <v>20</v>
      </c>
      <c r="W70" s="1"/>
      <c r="X70" s="1">
        <f t="shared" ca="1" si="46"/>
        <v>6.018507216944192</v>
      </c>
      <c r="Y70" s="1">
        <f t="shared" ca="1" si="47"/>
        <v>0.3827491751185681</v>
      </c>
      <c r="Z70" s="1">
        <f t="shared" ca="1" si="48"/>
        <v>1632</v>
      </c>
      <c r="AB70" s="1">
        <f t="shared" ca="1" si="49"/>
        <v>0.88102373074234408</v>
      </c>
      <c r="AC70" s="1">
        <f t="shared" ca="1" si="50"/>
        <v>296</v>
      </c>
      <c r="AD70" s="1">
        <f t="shared" ca="1" si="51"/>
        <v>1.7432813799743482E-3</v>
      </c>
      <c r="AE70" s="1"/>
      <c r="AF70" s="1">
        <f t="shared" ca="1" si="52"/>
        <v>0.34445318143616799</v>
      </c>
      <c r="AG70" s="1">
        <f t="shared" ca="1" si="53"/>
        <v>982</v>
      </c>
      <c r="AH70" s="1">
        <f t="shared" ca="1" si="54"/>
        <v>7.1951175459697989E-3</v>
      </c>
      <c r="AJ70" s="1">
        <f t="shared" ca="1" si="55"/>
        <v>0.491043329485916</v>
      </c>
      <c r="AK70" s="1">
        <f t="shared" ca="1" si="56"/>
        <v>2.8465875874810606E-3</v>
      </c>
      <c r="AL70" s="1"/>
      <c r="AM70" s="1">
        <f t="shared" ca="1" si="57"/>
        <v>0.11030306311257125</v>
      </c>
      <c r="AN70" s="1">
        <f t="shared" ca="1" si="58"/>
        <v>61</v>
      </c>
      <c r="AO70" s="1">
        <f t="shared" ca="1" si="59"/>
        <v>10</v>
      </c>
    </row>
    <row r="71" spans="2:41" x14ac:dyDescent="0.25">
      <c r="B71">
        <f t="shared" ca="1" si="30"/>
        <v>238</v>
      </c>
      <c r="C71">
        <f t="shared" ca="1" si="31"/>
        <v>52</v>
      </c>
      <c r="D71">
        <f t="shared" ca="1" si="32"/>
        <v>6.5381444893507806E-2</v>
      </c>
      <c r="F71" s="1">
        <f t="shared" ca="1" si="33"/>
        <v>31</v>
      </c>
      <c r="G71" s="1">
        <f t="shared" ca="1" si="34"/>
        <v>11</v>
      </c>
      <c r="H71" s="1">
        <f t="shared" ca="1" si="35"/>
        <v>15</v>
      </c>
      <c r="I71" s="1"/>
      <c r="J71" s="1">
        <f t="shared" ca="1" si="36"/>
        <v>7</v>
      </c>
      <c r="K71" s="1">
        <f t="shared" ca="1" si="37"/>
        <v>1.019701890149483</v>
      </c>
      <c r="L71" s="1">
        <f t="shared" ca="1" si="38"/>
        <v>18</v>
      </c>
      <c r="M71" s="1"/>
      <c r="N71" s="1">
        <f t="shared" ca="1" si="39"/>
        <v>135</v>
      </c>
      <c r="O71" s="1">
        <f t="shared" ca="1" si="40"/>
        <v>47</v>
      </c>
      <c r="P71" s="1"/>
      <c r="Q71" s="1">
        <f t="shared" ca="1" si="41"/>
        <v>2.7052836420079762</v>
      </c>
      <c r="R71" s="1">
        <f t="shared" ca="1" si="42"/>
        <v>905</v>
      </c>
      <c r="S71" s="1"/>
      <c r="T71" s="1">
        <f t="shared" ca="1" si="43"/>
        <v>6.2551277593923829E-2</v>
      </c>
      <c r="U71" s="1">
        <f t="shared" ca="1" si="44"/>
        <v>209</v>
      </c>
      <c r="V71" s="1">
        <f t="shared" ca="1" si="45"/>
        <v>9</v>
      </c>
      <c r="W71" s="1"/>
      <c r="X71" s="1">
        <f t="shared" ca="1" si="46"/>
        <v>9.5580948106187158</v>
      </c>
      <c r="Y71" s="1">
        <f t="shared" ca="1" si="47"/>
        <v>0.92186655375008464</v>
      </c>
      <c r="Z71" s="1">
        <f t="shared" ca="1" si="48"/>
        <v>991</v>
      </c>
      <c r="AB71" s="1">
        <f t="shared" ca="1" si="49"/>
        <v>6.6670398951406779E-2</v>
      </c>
      <c r="AC71" s="1">
        <f t="shared" ca="1" si="50"/>
        <v>172</v>
      </c>
      <c r="AD71" s="1">
        <f t="shared" ca="1" si="51"/>
        <v>3.4089952265370796E-3</v>
      </c>
      <c r="AE71" s="1"/>
      <c r="AF71" s="1">
        <f t="shared" ca="1" si="52"/>
        <v>0.67406311466293511</v>
      </c>
      <c r="AG71" s="1">
        <f t="shared" ca="1" si="53"/>
        <v>783</v>
      </c>
      <c r="AH71" s="1">
        <f t="shared" ca="1" si="54"/>
        <v>8.0555376905785195E-3</v>
      </c>
      <c r="AJ71" s="1">
        <f t="shared" ca="1" si="55"/>
        <v>0.11850589934739209</v>
      </c>
      <c r="AK71" s="1">
        <f t="shared" ca="1" si="56"/>
        <v>4.9880119652595343E-3</v>
      </c>
      <c r="AL71" s="1"/>
      <c r="AM71" s="1">
        <f t="shared" ca="1" si="57"/>
        <v>0.15216926376065582</v>
      </c>
      <c r="AN71" s="1">
        <f t="shared" ca="1" si="58"/>
        <v>73</v>
      </c>
      <c r="AO71" s="1">
        <f t="shared" ca="1" si="59"/>
        <v>15</v>
      </c>
    </row>
    <row r="72" spans="2:41" x14ac:dyDescent="0.25">
      <c r="B72">
        <f t="shared" ca="1" si="30"/>
        <v>402</v>
      </c>
      <c r="C72">
        <f t="shared" ca="1" si="31"/>
        <v>12</v>
      </c>
      <c r="D72">
        <f t="shared" ca="1" si="32"/>
        <v>0.14408504369470557</v>
      </c>
      <c r="F72" s="1">
        <f t="shared" ca="1" si="33"/>
        <v>23</v>
      </c>
      <c r="G72" s="1">
        <f t="shared" ca="1" si="34"/>
        <v>2</v>
      </c>
      <c r="H72" s="1">
        <f t="shared" ca="1" si="35"/>
        <v>1</v>
      </c>
      <c r="I72" s="1"/>
      <c r="J72" s="1">
        <f t="shared" ca="1" si="36"/>
        <v>15</v>
      </c>
      <c r="K72" s="1">
        <f t="shared" ca="1" si="37"/>
        <v>2.3177523502363968</v>
      </c>
      <c r="L72" s="1">
        <f t="shared" ca="1" si="38"/>
        <v>4</v>
      </c>
      <c r="M72" s="1"/>
      <c r="N72" s="1">
        <f t="shared" ca="1" si="39"/>
        <v>958</v>
      </c>
      <c r="O72" s="1">
        <f t="shared" ca="1" si="40"/>
        <v>7</v>
      </c>
      <c r="P72" s="1"/>
      <c r="Q72" s="1">
        <f t="shared" ca="1" si="41"/>
        <v>3.0217970758689585</v>
      </c>
      <c r="R72" s="1">
        <f t="shared" ca="1" si="42"/>
        <v>523</v>
      </c>
      <c r="S72" s="1"/>
      <c r="T72" s="1">
        <f t="shared" ca="1" si="43"/>
        <v>0.11337966953235831</v>
      </c>
      <c r="U72" s="1">
        <f t="shared" ca="1" si="44"/>
        <v>362</v>
      </c>
      <c r="V72" s="1">
        <f t="shared" ca="1" si="45"/>
        <v>22</v>
      </c>
      <c r="W72" s="1"/>
      <c r="X72" s="1">
        <f t="shared" ca="1" si="46"/>
        <v>4.6511509762067105</v>
      </c>
      <c r="Y72" s="1">
        <f t="shared" ca="1" si="47"/>
        <v>0.40869975360390826</v>
      </c>
      <c r="Z72" s="1">
        <f t="shared" ca="1" si="48"/>
        <v>293</v>
      </c>
      <c r="AB72" s="1">
        <f t="shared" ca="1" si="49"/>
        <v>0.50288969071720901</v>
      </c>
      <c r="AC72" s="1">
        <f t="shared" ca="1" si="50"/>
        <v>917</v>
      </c>
      <c r="AD72" s="1">
        <f t="shared" ca="1" si="51"/>
        <v>4.7802922199930379E-3</v>
      </c>
      <c r="AE72" s="1"/>
      <c r="AF72" s="1">
        <f t="shared" ca="1" si="52"/>
        <v>0.4500029961518085</v>
      </c>
      <c r="AG72" s="1">
        <f t="shared" ca="1" si="53"/>
        <v>762</v>
      </c>
      <c r="AH72" s="1">
        <f t="shared" ca="1" si="54"/>
        <v>3.0536972034636506E-3</v>
      </c>
      <c r="AJ72" s="1">
        <f t="shared" ca="1" si="55"/>
        <v>0.39365932685710747</v>
      </c>
      <c r="AK72" s="1">
        <f t="shared" ca="1" si="56"/>
        <v>7.9991885928819995E-3</v>
      </c>
      <c r="AL72" s="1"/>
      <c r="AM72" s="1">
        <f t="shared" ca="1" si="57"/>
        <v>0.13274159671724681</v>
      </c>
      <c r="AN72" s="1">
        <f t="shared" ca="1" si="58"/>
        <v>40</v>
      </c>
      <c r="AO72" s="1">
        <f t="shared" ca="1" si="59"/>
        <v>12</v>
      </c>
    </row>
    <row r="73" spans="2:41" x14ac:dyDescent="0.25">
      <c r="B73">
        <f t="shared" ca="1" si="30"/>
        <v>685</v>
      </c>
      <c r="C73">
        <f t="shared" ca="1" si="31"/>
        <v>22</v>
      </c>
      <c r="D73">
        <f t="shared" ca="1" si="32"/>
        <v>7.4420577649515873E-2</v>
      </c>
      <c r="F73" s="1">
        <f t="shared" ca="1" si="33"/>
        <v>13</v>
      </c>
      <c r="G73" s="1">
        <f t="shared" ca="1" si="34"/>
        <v>28</v>
      </c>
      <c r="H73" s="1">
        <f t="shared" ca="1" si="35"/>
        <v>1</v>
      </c>
      <c r="I73" s="1"/>
      <c r="J73" s="1">
        <f t="shared" ca="1" si="36"/>
        <v>21</v>
      </c>
      <c r="K73" s="1">
        <f t="shared" ca="1" si="37"/>
        <v>2.1426190784120172</v>
      </c>
      <c r="L73" s="1">
        <f t="shared" ca="1" si="38"/>
        <v>7</v>
      </c>
      <c r="M73" s="1"/>
      <c r="N73" s="1">
        <f t="shared" ca="1" si="39"/>
        <v>907</v>
      </c>
      <c r="O73" s="1">
        <f t="shared" ca="1" si="40"/>
        <v>30</v>
      </c>
      <c r="P73" s="1"/>
      <c r="Q73" s="1">
        <f t="shared" ca="1" si="41"/>
        <v>1.2080497557215266</v>
      </c>
      <c r="R73" s="1">
        <f t="shared" ca="1" si="42"/>
        <v>608</v>
      </c>
      <c r="S73" s="1"/>
      <c r="T73" s="1">
        <f t="shared" ca="1" si="43"/>
        <v>0.13130475216246115</v>
      </c>
      <c r="U73" s="1">
        <f t="shared" ca="1" si="44"/>
        <v>275</v>
      </c>
      <c r="V73" s="1">
        <f t="shared" ca="1" si="45"/>
        <v>24</v>
      </c>
      <c r="W73" s="1"/>
      <c r="X73" s="1">
        <f t="shared" ca="1" si="46"/>
        <v>0.71748101777420681</v>
      </c>
      <c r="Y73" s="1">
        <f t="shared" ca="1" si="47"/>
        <v>0.43763077851342919</v>
      </c>
      <c r="Z73" s="1">
        <f t="shared" ca="1" si="48"/>
        <v>1767</v>
      </c>
      <c r="AB73" s="1">
        <f t="shared" ca="1" si="49"/>
        <v>9.7946591461638977E-2</v>
      </c>
      <c r="AC73" s="1">
        <f t="shared" ca="1" si="50"/>
        <v>907</v>
      </c>
      <c r="AD73" s="1">
        <f t="shared" ca="1" si="51"/>
        <v>6.3792971422962459E-3</v>
      </c>
      <c r="AE73" s="1"/>
      <c r="AF73" s="1">
        <f t="shared" ca="1" si="52"/>
        <v>0.58858823122655279</v>
      </c>
      <c r="AG73" s="1">
        <f t="shared" ca="1" si="53"/>
        <v>406</v>
      </c>
      <c r="AH73" s="1">
        <f t="shared" ca="1" si="54"/>
        <v>7.3955837564187617E-3</v>
      </c>
      <c r="AJ73" s="1">
        <f t="shared" ca="1" si="55"/>
        <v>0.74814840442459374</v>
      </c>
      <c r="AK73" s="1">
        <f t="shared" ca="1" si="56"/>
        <v>2.8010070980421103E-3</v>
      </c>
      <c r="AL73" s="1"/>
      <c r="AM73" s="1">
        <f t="shared" ca="1" si="57"/>
        <v>0.1448624115804153</v>
      </c>
      <c r="AN73" s="1">
        <f t="shared" ca="1" si="58"/>
        <v>79</v>
      </c>
      <c r="AO73" s="1">
        <f t="shared" ca="1" si="59"/>
        <v>9</v>
      </c>
    </row>
    <row r="74" spans="2:41" x14ac:dyDescent="0.25">
      <c r="B74">
        <f t="shared" ca="1" si="30"/>
        <v>795</v>
      </c>
      <c r="C74">
        <f t="shared" ca="1" si="31"/>
        <v>4</v>
      </c>
      <c r="D74">
        <f t="shared" ca="1" si="32"/>
        <v>6.5799442624973281E-2</v>
      </c>
      <c r="F74" s="1">
        <f t="shared" ca="1" si="33"/>
        <v>40</v>
      </c>
      <c r="G74" s="1">
        <f t="shared" ca="1" si="34"/>
        <v>17</v>
      </c>
      <c r="H74" s="1">
        <f t="shared" ca="1" si="35"/>
        <v>6</v>
      </c>
      <c r="I74" s="1"/>
      <c r="J74" s="1">
        <f t="shared" ca="1" si="36"/>
        <v>37</v>
      </c>
      <c r="K74" s="1">
        <f t="shared" ca="1" si="37"/>
        <v>2.3639930512454388</v>
      </c>
      <c r="L74" s="1">
        <f t="shared" ca="1" si="38"/>
        <v>15</v>
      </c>
      <c r="M74" s="1"/>
      <c r="N74" s="1">
        <f t="shared" ca="1" si="39"/>
        <v>201</v>
      </c>
      <c r="O74" s="1">
        <f t="shared" ca="1" si="40"/>
        <v>31</v>
      </c>
      <c r="P74" s="1"/>
      <c r="Q74" s="1">
        <f t="shared" ca="1" si="41"/>
        <v>1.4395185401646491</v>
      </c>
      <c r="R74" s="1">
        <f t="shared" ca="1" si="42"/>
        <v>578</v>
      </c>
      <c r="S74" s="1"/>
      <c r="T74" s="1">
        <f t="shared" ca="1" si="43"/>
        <v>0.11340528920773964</v>
      </c>
      <c r="U74" s="1">
        <f t="shared" ca="1" si="44"/>
        <v>220</v>
      </c>
      <c r="V74" s="1">
        <f t="shared" ca="1" si="45"/>
        <v>26</v>
      </c>
      <c r="W74" s="1"/>
      <c r="X74" s="1">
        <f t="shared" ca="1" si="46"/>
        <v>3.1055056632154066</v>
      </c>
      <c r="Y74" s="1">
        <f t="shared" ca="1" si="47"/>
        <v>0.93533370628400114</v>
      </c>
      <c r="Z74" s="1">
        <f t="shared" ca="1" si="48"/>
        <v>681</v>
      </c>
      <c r="AB74" s="1">
        <f t="shared" ca="1" si="49"/>
        <v>3.7206765494012271E-2</v>
      </c>
      <c r="AC74" s="1">
        <f t="shared" ca="1" si="50"/>
        <v>715</v>
      </c>
      <c r="AD74" s="1">
        <f t="shared" ca="1" si="51"/>
        <v>3.2764088457409133E-3</v>
      </c>
      <c r="AE74" s="1"/>
      <c r="AF74" s="1">
        <f t="shared" ca="1" si="52"/>
        <v>0.22294785648938645</v>
      </c>
      <c r="AG74" s="1">
        <f t="shared" ca="1" si="53"/>
        <v>518</v>
      </c>
      <c r="AH74" s="1">
        <f t="shared" ca="1" si="54"/>
        <v>2.5271275952312158E-4</v>
      </c>
      <c r="AJ74" s="1">
        <f t="shared" ca="1" si="55"/>
        <v>0.86927361791998214</v>
      </c>
      <c r="AK74" s="1">
        <f t="shared" ca="1" si="56"/>
        <v>2.1129704443051799E-3</v>
      </c>
      <c r="AL74" s="1"/>
      <c r="AM74" s="1">
        <f t="shared" ca="1" si="57"/>
        <v>1.6697640867557189E-2</v>
      </c>
      <c r="AN74" s="1">
        <f t="shared" ca="1" si="58"/>
        <v>62</v>
      </c>
      <c r="AO74" s="1">
        <f t="shared" ca="1" si="59"/>
        <v>13</v>
      </c>
    </row>
    <row r="75" spans="2:41" x14ac:dyDescent="0.25">
      <c r="B75">
        <f t="shared" ca="1" si="30"/>
        <v>184</v>
      </c>
      <c r="C75">
        <f t="shared" ca="1" si="31"/>
        <v>29</v>
      </c>
      <c r="D75">
        <f t="shared" ca="1" si="32"/>
        <v>0.11181232350954563</v>
      </c>
      <c r="F75" s="1">
        <f t="shared" ca="1" si="33"/>
        <v>13</v>
      </c>
      <c r="G75" s="1">
        <f t="shared" ca="1" si="34"/>
        <v>28</v>
      </c>
      <c r="H75" s="1">
        <f t="shared" ca="1" si="35"/>
        <v>7</v>
      </c>
      <c r="I75" s="1"/>
      <c r="J75" s="1">
        <f t="shared" ca="1" si="36"/>
        <v>16</v>
      </c>
      <c r="K75" s="1">
        <f t="shared" ca="1" si="37"/>
        <v>1.7876280991950544</v>
      </c>
      <c r="L75" s="1">
        <f t="shared" ca="1" si="38"/>
        <v>33</v>
      </c>
      <c r="M75" s="1"/>
      <c r="N75" s="1">
        <f t="shared" ca="1" si="39"/>
        <v>833</v>
      </c>
      <c r="O75" s="1">
        <f t="shared" ca="1" si="40"/>
        <v>31</v>
      </c>
      <c r="P75" s="1"/>
      <c r="Q75" s="1">
        <f t="shared" ca="1" si="41"/>
        <v>2.6146020287296134</v>
      </c>
      <c r="R75" s="1">
        <f t="shared" ca="1" si="42"/>
        <v>968</v>
      </c>
      <c r="S75" s="1"/>
      <c r="T75" s="1">
        <f t="shared" ca="1" si="43"/>
        <v>0.18579662512513725</v>
      </c>
      <c r="U75" s="1">
        <f t="shared" ca="1" si="44"/>
        <v>283</v>
      </c>
      <c r="V75" s="1">
        <f t="shared" ca="1" si="45"/>
        <v>22</v>
      </c>
      <c r="W75" s="1"/>
      <c r="X75" s="1">
        <f t="shared" ca="1" si="46"/>
        <v>9.4909127814872125</v>
      </c>
      <c r="Y75" s="1">
        <f t="shared" ca="1" si="47"/>
        <v>0.61598315208263443</v>
      </c>
      <c r="Z75" s="1">
        <f t="shared" ca="1" si="48"/>
        <v>953</v>
      </c>
      <c r="AB75" s="1">
        <f t="shared" ca="1" si="49"/>
        <v>0.97508810858591355</v>
      </c>
      <c r="AC75" s="1">
        <f t="shared" ca="1" si="50"/>
        <v>324</v>
      </c>
      <c r="AD75" s="1">
        <f t="shared" ca="1" si="51"/>
        <v>1.2582293255177664E-3</v>
      </c>
      <c r="AE75" s="1"/>
      <c r="AF75" s="1">
        <f t="shared" ca="1" si="52"/>
        <v>0.55308744424704903</v>
      </c>
      <c r="AG75" s="1">
        <f t="shared" ca="1" si="53"/>
        <v>485</v>
      </c>
      <c r="AH75" s="1">
        <f t="shared" ca="1" si="54"/>
        <v>5.0722813240590458E-3</v>
      </c>
      <c r="AJ75" s="1">
        <f t="shared" ca="1" si="55"/>
        <v>0.28312395204538443</v>
      </c>
      <c r="AK75" s="1">
        <f t="shared" ca="1" si="56"/>
        <v>8.4347715294199946E-3</v>
      </c>
      <c r="AL75" s="1"/>
      <c r="AM75" s="1">
        <f t="shared" ca="1" si="57"/>
        <v>0.15906816334112409</v>
      </c>
      <c r="AN75" s="1">
        <f t="shared" ca="1" si="58"/>
        <v>10</v>
      </c>
      <c r="AO75" s="1">
        <f t="shared" ca="1" si="59"/>
        <v>6</v>
      </c>
    </row>
    <row r="76" spans="2:41" x14ac:dyDescent="0.25">
      <c r="B76">
        <f t="shared" ca="1" si="30"/>
        <v>295</v>
      </c>
      <c r="C76">
        <f t="shared" ca="1" si="31"/>
        <v>14</v>
      </c>
      <c r="D76">
        <f t="shared" ca="1" si="32"/>
        <v>0.13601900079054721</v>
      </c>
      <c r="F76" s="1">
        <f t="shared" ca="1" si="33"/>
        <v>11</v>
      </c>
      <c r="G76" s="1">
        <f t="shared" ca="1" si="34"/>
        <v>3</v>
      </c>
      <c r="H76" s="1">
        <f t="shared" ca="1" si="35"/>
        <v>14</v>
      </c>
      <c r="I76" s="1"/>
      <c r="J76" s="1">
        <f t="shared" ca="1" si="36"/>
        <v>7</v>
      </c>
      <c r="K76" s="1">
        <f t="shared" ca="1" si="37"/>
        <v>2.7434590722863161</v>
      </c>
      <c r="L76" s="1">
        <f t="shared" ca="1" si="38"/>
        <v>11</v>
      </c>
      <c r="M76" s="1"/>
      <c r="N76" s="1">
        <f t="shared" ca="1" si="39"/>
        <v>555</v>
      </c>
      <c r="O76" s="1">
        <f t="shared" ca="1" si="40"/>
        <v>49</v>
      </c>
      <c r="P76" s="1"/>
      <c r="Q76" s="1">
        <f t="shared" ca="1" si="41"/>
        <v>0.48486402450613569</v>
      </c>
      <c r="R76" s="1">
        <f t="shared" ca="1" si="42"/>
        <v>746</v>
      </c>
      <c r="S76" s="1"/>
      <c r="T76" s="1">
        <f t="shared" ca="1" si="43"/>
        <v>8.9264579847344219E-2</v>
      </c>
      <c r="U76" s="1">
        <f t="shared" ca="1" si="44"/>
        <v>302</v>
      </c>
      <c r="V76" s="1">
        <f t="shared" ca="1" si="45"/>
        <v>16</v>
      </c>
      <c r="W76" s="1"/>
      <c r="X76" s="1">
        <f t="shared" ca="1" si="46"/>
        <v>0.24976657886605505</v>
      </c>
      <c r="Y76" s="1">
        <f t="shared" ca="1" si="47"/>
        <v>0.96937158535804646</v>
      </c>
      <c r="Z76" s="1">
        <f t="shared" ca="1" si="48"/>
        <v>768</v>
      </c>
      <c r="AB76" s="1">
        <f t="shared" ca="1" si="49"/>
        <v>0.64639733556271595</v>
      </c>
      <c r="AC76" s="1">
        <f t="shared" ca="1" si="50"/>
        <v>553</v>
      </c>
      <c r="AD76" s="1">
        <f t="shared" ca="1" si="51"/>
        <v>7.5730065276659745E-3</v>
      </c>
      <c r="AE76" s="1"/>
      <c r="AF76" s="1">
        <f t="shared" ca="1" si="52"/>
        <v>0.46317884618913296</v>
      </c>
      <c r="AG76" s="1">
        <f t="shared" ca="1" si="53"/>
        <v>269</v>
      </c>
      <c r="AH76" s="1">
        <f t="shared" ca="1" si="54"/>
        <v>6.7109240847821109E-4</v>
      </c>
      <c r="AJ76" s="1">
        <f t="shared" ca="1" si="55"/>
        <v>0.87309920331179225</v>
      </c>
      <c r="AK76" s="1">
        <f t="shared" ca="1" si="56"/>
        <v>5.5149073831124032E-3</v>
      </c>
      <c r="AL76" s="1"/>
      <c r="AM76" s="1">
        <f t="shared" ca="1" si="57"/>
        <v>1.0583979290169142E-2</v>
      </c>
      <c r="AN76" s="1">
        <f t="shared" ca="1" si="58"/>
        <v>69</v>
      </c>
      <c r="AO76" s="1">
        <f t="shared" ca="1" si="59"/>
        <v>12</v>
      </c>
    </row>
    <row r="77" spans="2:41" x14ac:dyDescent="0.25">
      <c r="B77">
        <f t="shared" ca="1" si="30"/>
        <v>747</v>
      </c>
      <c r="C77">
        <f t="shared" ca="1" si="31"/>
        <v>17</v>
      </c>
      <c r="D77">
        <f t="shared" ca="1" si="32"/>
        <v>0.29119326194821227</v>
      </c>
      <c r="F77" s="1">
        <f t="shared" ca="1" si="33"/>
        <v>2</v>
      </c>
      <c r="G77" s="1">
        <f t="shared" ca="1" si="34"/>
        <v>12</v>
      </c>
      <c r="H77" s="1">
        <f t="shared" ca="1" si="35"/>
        <v>2</v>
      </c>
      <c r="I77" s="1"/>
      <c r="J77" s="1">
        <f t="shared" ca="1" si="36"/>
        <v>3</v>
      </c>
      <c r="K77" s="1">
        <f t="shared" ca="1" si="37"/>
        <v>1.8643574846967896</v>
      </c>
      <c r="L77" s="1">
        <f t="shared" ca="1" si="38"/>
        <v>2</v>
      </c>
      <c r="M77" s="1"/>
      <c r="N77" s="1">
        <f t="shared" ca="1" si="39"/>
        <v>431</v>
      </c>
      <c r="O77" s="1">
        <f t="shared" ca="1" si="40"/>
        <v>18</v>
      </c>
      <c r="P77" s="1"/>
      <c r="Q77" s="1">
        <f t="shared" ca="1" si="41"/>
        <v>4.6345393436446845</v>
      </c>
      <c r="R77" s="1">
        <f t="shared" ca="1" si="42"/>
        <v>543</v>
      </c>
      <c r="S77" s="1"/>
      <c r="T77" s="1">
        <f t="shared" ca="1" si="43"/>
        <v>8.8001056515546155E-2</v>
      </c>
      <c r="U77" s="1">
        <f t="shared" ca="1" si="44"/>
        <v>221</v>
      </c>
      <c r="V77" s="1">
        <f t="shared" ca="1" si="45"/>
        <v>6</v>
      </c>
      <c r="W77" s="1"/>
      <c r="X77" s="1">
        <f t="shared" ca="1" si="46"/>
        <v>8.8275285875168645</v>
      </c>
      <c r="Y77" s="1">
        <f t="shared" ca="1" si="47"/>
        <v>0.36611125296250113</v>
      </c>
      <c r="Z77" s="1">
        <f t="shared" ca="1" si="48"/>
        <v>781</v>
      </c>
      <c r="AB77" s="1">
        <f t="shared" ca="1" si="49"/>
        <v>0.50242890294017184</v>
      </c>
      <c r="AC77" s="1">
        <f t="shared" ca="1" si="50"/>
        <v>615</v>
      </c>
      <c r="AD77" s="1">
        <f t="shared" ca="1" si="51"/>
        <v>9.9254010130863345E-3</v>
      </c>
      <c r="AE77" s="1"/>
      <c r="AF77" s="1">
        <f t="shared" ca="1" si="52"/>
        <v>0.30168762185111875</v>
      </c>
      <c r="AG77" s="1">
        <f t="shared" ca="1" si="53"/>
        <v>388</v>
      </c>
      <c r="AH77" s="1">
        <f t="shared" ca="1" si="54"/>
        <v>2.1776816414333729E-3</v>
      </c>
      <c r="AJ77" s="1">
        <f t="shared" ca="1" si="55"/>
        <v>0.48196532607816955</v>
      </c>
      <c r="AK77" s="1">
        <f t="shared" ca="1" si="56"/>
        <v>2.5398206740996337E-3</v>
      </c>
      <c r="AL77" s="1"/>
      <c r="AM77" s="1">
        <f t="shared" ca="1" si="57"/>
        <v>9.4273070548286323E-3</v>
      </c>
      <c r="AN77" s="1">
        <f t="shared" ca="1" si="58"/>
        <v>78</v>
      </c>
      <c r="AO77" s="1">
        <f t="shared" ca="1" si="59"/>
        <v>7</v>
      </c>
    </row>
    <row r="78" spans="2:41" x14ac:dyDescent="0.25">
      <c r="B78">
        <f t="shared" ca="1" si="30"/>
        <v>418</v>
      </c>
      <c r="C78">
        <f t="shared" ca="1" si="31"/>
        <v>49</v>
      </c>
      <c r="D78">
        <f t="shared" ca="1" si="32"/>
        <v>5.6644804848985847E-2</v>
      </c>
      <c r="F78" s="1">
        <f t="shared" ca="1" si="33"/>
        <v>44</v>
      </c>
      <c r="G78" s="1">
        <f t="shared" ca="1" si="34"/>
        <v>4</v>
      </c>
      <c r="H78" s="1">
        <f t="shared" ca="1" si="35"/>
        <v>14</v>
      </c>
      <c r="I78" s="1"/>
      <c r="J78" s="1">
        <f t="shared" ca="1" si="36"/>
        <v>5</v>
      </c>
      <c r="K78" s="1">
        <f t="shared" ca="1" si="37"/>
        <v>2.1950939297468564</v>
      </c>
      <c r="L78" s="1">
        <f t="shared" ca="1" si="38"/>
        <v>16</v>
      </c>
      <c r="M78" s="1"/>
      <c r="N78" s="1">
        <f t="shared" ca="1" si="39"/>
        <v>714</v>
      </c>
      <c r="O78" s="1">
        <f t="shared" ca="1" si="40"/>
        <v>6</v>
      </c>
      <c r="P78" s="1"/>
      <c r="Q78" s="1">
        <f t="shared" ca="1" si="41"/>
        <v>1.6292283424252814</v>
      </c>
      <c r="R78" s="1">
        <f t="shared" ca="1" si="42"/>
        <v>1111</v>
      </c>
      <c r="S78" s="1"/>
      <c r="T78" s="1">
        <f t="shared" ca="1" si="43"/>
        <v>0.10443407866428744</v>
      </c>
      <c r="U78" s="1">
        <f t="shared" ca="1" si="44"/>
        <v>398</v>
      </c>
      <c r="V78" s="1">
        <f t="shared" ca="1" si="45"/>
        <v>11</v>
      </c>
      <c r="W78" s="1"/>
      <c r="X78" s="1">
        <f t="shared" ca="1" si="46"/>
        <v>6.9467184512929663</v>
      </c>
      <c r="Y78" s="1">
        <f t="shared" ca="1" si="47"/>
        <v>0.33673968359691703</v>
      </c>
      <c r="Z78" s="1">
        <f t="shared" ca="1" si="48"/>
        <v>1798</v>
      </c>
      <c r="AB78" s="1">
        <f t="shared" ca="1" si="49"/>
        <v>0.19847548536847334</v>
      </c>
      <c r="AC78" s="1">
        <f t="shared" ca="1" si="50"/>
        <v>828</v>
      </c>
      <c r="AD78" s="1">
        <f t="shared" ca="1" si="51"/>
        <v>9.9951219107022315E-4</v>
      </c>
      <c r="AE78" s="1"/>
      <c r="AF78" s="1">
        <f t="shared" ca="1" si="52"/>
        <v>0.508594293734418</v>
      </c>
      <c r="AG78" s="1">
        <f t="shared" ca="1" si="53"/>
        <v>111</v>
      </c>
      <c r="AH78" s="1">
        <f t="shared" ca="1" si="54"/>
        <v>8.8749198491157345E-3</v>
      </c>
      <c r="AJ78" s="1">
        <f t="shared" ca="1" si="55"/>
        <v>0.57545826041098458</v>
      </c>
      <c r="AK78" s="1">
        <f t="shared" ca="1" si="56"/>
        <v>4.6931315363978555E-3</v>
      </c>
      <c r="AL78" s="1"/>
      <c r="AM78" s="1">
        <f t="shared" ca="1" si="57"/>
        <v>0.11591753825824194</v>
      </c>
      <c r="AN78" s="1">
        <f t="shared" ca="1" si="58"/>
        <v>65</v>
      </c>
      <c r="AO78" s="1">
        <f t="shared" ca="1" si="59"/>
        <v>17</v>
      </c>
    </row>
    <row r="79" spans="2:41" x14ac:dyDescent="0.25">
      <c r="B79">
        <f t="shared" ca="1" si="30"/>
        <v>205</v>
      </c>
      <c r="C79">
        <f t="shared" ca="1" si="31"/>
        <v>4</v>
      </c>
      <c r="D79">
        <f t="shared" ca="1" si="32"/>
        <v>0.16999667069939084</v>
      </c>
      <c r="F79" s="1">
        <f t="shared" ca="1" si="33"/>
        <v>24</v>
      </c>
      <c r="G79" s="1">
        <f t="shared" ca="1" si="34"/>
        <v>11</v>
      </c>
      <c r="H79" s="1">
        <f t="shared" ca="1" si="35"/>
        <v>4</v>
      </c>
      <c r="I79" s="1"/>
      <c r="J79" s="1">
        <f t="shared" ca="1" si="36"/>
        <v>8</v>
      </c>
      <c r="K79" s="1">
        <f t="shared" ca="1" si="37"/>
        <v>1.8886527031640128</v>
      </c>
      <c r="L79" s="1">
        <f t="shared" ca="1" si="38"/>
        <v>5</v>
      </c>
      <c r="M79" s="1"/>
      <c r="N79" s="1">
        <f t="shared" ca="1" si="39"/>
        <v>338</v>
      </c>
      <c r="O79" s="1">
        <f t="shared" ca="1" si="40"/>
        <v>8</v>
      </c>
      <c r="P79" s="1"/>
      <c r="Q79" s="1">
        <f t="shared" ca="1" si="41"/>
        <v>0.97405143254120841</v>
      </c>
      <c r="R79" s="1">
        <f t="shared" ca="1" si="42"/>
        <v>603</v>
      </c>
      <c r="S79" s="1"/>
      <c r="T79" s="1">
        <f t="shared" ca="1" si="43"/>
        <v>3.6559215021673849E-2</v>
      </c>
      <c r="U79" s="1">
        <f t="shared" ca="1" si="44"/>
        <v>279</v>
      </c>
      <c r="V79" s="1">
        <f t="shared" ca="1" si="45"/>
        <v>31</v>
      </c>
      <c r="W79" s="1"/>
      <c r="X79" s="1">
        <f t="shared" ca="1" si="46"/>
        <v>6.507474623454705</v>
      </c>
      <c r="Y79" s="1">
        <f t="shared" ca="1" si="47"/>
        <v>0.11995850537425466</v>
      </c>
      <c r="Z79" s="1">
        <f t="shared" ca="1" si="48"/>
        <v>1904</v>
      </c>
      <c r="AB79" s="1">
        <f t="shared" ca="1" si="49"/>
        <v>0.54779031484405949</v>
      </c>
      <c r="AC79" s="1">
        <f t="shared" ca="1" si="50"/>
        <v>845</v>
      </c>
      <c r="AD79" s="1">
        <f t="shared" ca="1" si="51"/>
        <v>3.2913239649357043E-3</v>
      </c>
      <c r="AE79" s="1"/>
      <c r="AF79" s="1">
        <f t="shared" ca="1" si="52"/>
        <v>0.27522104612997633</v>
      </c>
      <c r="AG79" s="1">
        <f t="shared" ca="1" si="53"/>
        <v>568</v>
      </c>
      <c r="AH79" s="1">
        <f t="shared" ca="1" si="54"/>
        <v>3.6471272343999227E-3</v>
      </c>
      <c r="AJ79" s="1">
        <f t="shared" ca="1" si="55"/>
        <v>0.50957528454230838</v>
      </c>
      <c r="AK79" s="1">
        <f t="shared" ca="1" si="56"/>
        <v>2.5711975433387671E-3</v>
      </c>
      <c r="AL79" s="1"/>
      <c r="AM79" s="1">
        <f t="shared" ca="1" si="57"/>
        <v>0.19267558157416073</v>
      </c>
      <c r="AN79" s="1">
        <f t="shared" ca="1" si="58"/>
        <v>45</v>
      </c>
      <c r="AO79" s="1">
        <f t="shared" ca="1" si="59"/>
        <v>3</v>
      </c>
    </row>
    <row r="80" spans="2:41" x14ac:dyDescent="0.25">
      <c r="B80">
        <f t="shared" ca="1" si="30"/>
        <v>253</v>
      </c>
      <c r="C80">
        <f t="shared" ca="1" si="31"/>
        <v>48</v>
      </c>
      <c r="D80">
        <f t="shared" ca="1" si="32"/>
        <v>0.14371767935097521</v>
      </c>
      <c r="F80" s="1">
        <f t="shared" ca="1" si="33"/>
        <v>27</v>
      </c>
      <c r="G80" s="1">
        <f t="shared" ca="1" si="34"/>
        <v>15</v>
      </c>
      <c r="H80" s="1">
        <f t="shared" ca="1" si="35"/>
        <v>10</v>
      </c>
      <c r="I80" s="1"/>
      <c r="J80" s="1">
        <f t="shared" ca="1" si="36"/>
        <v>8</v>
      </c>
      <c r="K80" s="1">
        <f t="shared" ca="1" si="37"/>
        <v>1.5122583006638146</v>
      </c>
      <c r="L80" s="1">
        <f t="shared" ca="1" si="38"/>
        <v>11</v>
      </c>
      <c r="M80" s="1"/>
      <c r="N80" s="1">
        <f t="shared" ca="1" si="39"/>
        <v>15</v>
      </c>
      <c r="O80" s="1">
        <f t="shared" ca="1" si="40"/>
        <v>44</v>
      </c>
      <c r="P80" s="1"/>
      <c r="Q80" s="1">
        <f t="shared" ca="1" si="41"/>
        <v>4.1763387977799731</v>
      </c>
      <c r="R80" s="1">
        <f t="shared" ca="1" si="42"/>
        <v>331</v>
      </c>
      <c r="S80" s="1"/>
      <c r="T80" s="1">
        <f t="shared" ca="1" si="43"/>
        <v>0.19178436695537979</v>
      </c>
      <c r="U80" s="1">
        <f t="shared" ca="1" si="44"/>
        <v>250</v>
      </c>
      <c r="V80" s="1">
        <f t="shared" ca="1" si="45"/>
        <v>17</v>
      </c>
      <c r="W80" s="1"/>
      <c r="X80" s="1">
        <f t="shared" ca="1" si="46"/>
        <v>0.79318238014431008</v>
      </c>
      <c r="Y80" s="1">
        <f t="shared" ca="1" si="47"/>
        <v>0.40876665454924727</v>
      </c>
      <c r="Z80" s="1">
        <f t="shared" ca="1" si="48"/>
        <v>838</v>
      </c>
      <c r="AB80" s="1">
        <f t="shared" ca="1" si="49"/>
        <v>0.37326363284880676</v>
      </c>
      <c r="AC80" s="1">
        <f t="shared" ca="1" si="50"/>
        <v>184</v>
      </c>
      <c r="AD80" s="1">
        <f t="shared" ca="1" si="51"/>
        <v>7.4229588590602434E-3</v>
      </c>
      <c r="AE80" s="1"/>
      <c r="AF80" s="1">
        <f t="shared" ca="1" si="52"/>
        <v>0.68338599499984254</v>
      </c>
      <c r="AG80" s="1">
        <f t="shared" ca="1" si="53"/>
        <v>520</v>
      </c>
      <c r="AH80" s="1">
        <f t="shared" ca="1" si="54"/>
        <v>2.6609800529321108E-3</v>
      </c>
      <c r="AJ80" s="1">
        <f t="shared" ca="1" si="55"/>
        <v>0.97205069487898188</v>
      </c>
      <c r="AK80" s="1">
        <f t="shared" ca="1" si="56"/>
        <v>2.5919787320686527E-3</v>
      </c>
      <c r="AL80" s="1"/>
      <c r="AM80" s="1">
        <f t="shared" ca="1" si="57"/>
        <v>8.5575999222729904E-2</v>
      </c>
      <c r="AN80" s="1">
        <f t="shared" ca="1" si="58"/>
        <v>41</v>
      </c>
      <c r="AO80" s="1">
        <f t="shared" ca="1" si="59"/>
        <v>18</v>
      </c>
    </row>
    <row r="81" spans="2:41" x14ac:dyDescent="0.25">
      <c r="B81">
        <f t="shared" ca="1" si="30"/>
        <v>990</v>
      </c>
      <c r="C81">
        <f t="shared" ca="1" si="31"/>
        <v>14</v>
      </c>
      <c r="D81">
        <f t="shared" ca="1" si="32"/>
        <v>0.27849448140862565</v>
      </c>
      <c r="F81" s="1">
        <f t="shared" ca="1" si="33"/>
        <v>36</v>
      </c>
      <c r="G81" s="1">
        <f t="shared" ca="1" si="34"/>
        <v>22</v>
      </c>
      <c r="H81" s="1">
        <f t="shared" ca="1" si="35"/>
        <v>6</v>
      </c>
      <c r="I81" s="1"/>
      <c r="J81" s="1">
        <f t="shared" ca="1" si="36"/>
        <v>22</v>
      </c>
      <c r="K81" s="1">
        <f t="shared" ca="1" si="37"/>
        <v>1.0381133711282156</v>
      </c>
      <c r="L81" s="1">
        <f t="shared" ca="1" si="38"/>
        <v>33</v>
      </c>
      <c r="M81" s="1"/>
      <c r="N81" s="1">
        <f t="shared" ca="1" si="39"/>
        <v>987</v>
      </c>
      <c r="O81" s="1">
        <f t="shared" ca="1" si="40"/>
        <v>27</v>
      </c>
      <c r="P81" s="1"/>
      <c r="Q81" s="1">
        <f t="shared" ca="1" si="41"/>
        <v>4.1810800372112507</v>
      </c>
      <c r="R81" s="1">
        <f t="shared" ca="1" si="42"/>
        <v>1158</v>
      </c>
      <c r="S81" s="1"/>
      <c r="T81" s="1">
        <f t="shared" ca="1" si="43"/>
        <v>4.9614608164951057E-2</v>
      </c>
      <c r="U81" s="1">
        <f t="shared" ca="1" si="44"/>
        <v>118</v>
      </c>
      <c r="V81" s="1">
        <f t="shared" ca="1" si="45"/>
        <v>32</v>
      </c>
      <c r="W81" s="1"/>
      <c r="X81" s="1">
        <f t="shared" ca="1" si="46"/>
        <v>2.2241082326584385</v>
      </c>
      <c r="Y81" s="1">
        <f t="shared" ca="1" si="47"/>
        <v>0.79558845347735729</v>
      </c>
      <c r="Z81" s="1">
        <f t="shared" ca="1" si="48"/>
        <v>503</v>
      </c>
      <c r="AB81" s="1">
        <f t="shared" ca="1" si="49"/>
        <v>0.10587897077071287</v>
      </c>
      <c r="AC81" s="1">
        <f t="shared" ca="1" si="50"/>
        <v>833</v>
      </c>
      <c r="AD81" s="1">
        <f t="shared" ca="1" si="51"/>
        <v>2.8573725826738219E-3</v>
      </c>
      <c r="AE81" s="1"/>
      <c r="AF81" s="1">
        <f t="shared" ca="1" si="52"/>
        <v>0.86589128378059821</v>
      </c>
      <c r="AG81" s="1">
        <f t="shared" ca="1" si="53"/>
        <v>347</v>
      </c>
      <c r="AH81" s="1">
        <f t="shared" ca="1" si="54"/>
        <v>1.9726124067097179E-3</v>
      </c>
      <c r="AJ81" s="1">
        <f t="shared" ca="1" si="55"/>
        <v>0.17831811057012048</v>
      </c>
      <c r="AK81" s="1">
        <f t="shared" ca="1" si="56"/>
        <v>8.4435074604403727E-3</v>
      </c>
      <c r="AL81" s="1"/>
      <c r="AM81" s="1">
        <f t="shared" ca="1" si="57"/>
        <v>0.1756436849852428</v>
      </c>
      <c r="AN81" s="1">
        <f t="shared" ca="1" si="58"/>
        <v>42</v>
      </c>
      <c r="AO81" s="1">
        <f t="shared" ca="1" si="59"/>
        <v>14</v>
      </c>
    </row>
    <row r="82" spans="2:41" x14ac:dyDescent="0.25">
      <c r="B82">
        <f t="shared" ca="1" si="30"/>
        <v>22</v>
      </c>
      <c r="C82">
        <f t="shared" ca="1" si="31"/>
        <v>28</v>
      </c>
      <c r="D82">
        <f t="shared" ca="1" si="32"/>
        <v>0.10524326324631281</v>
      </c>
      <c r="F82" s="1">
        <f t="shared" ca="1" si="33"/>
        <v>39</v>
      </c>
      <c r="G82" s="1">
        <f t="shared" ca="1" si="34"/>
        <v>15</v>
      </c>
      <c r="H82" s="1">
        <f t="shared" ca="1" si="35"/>
        <v>6</v>
      </c>
      <c r="I82" s="1"/>
      <c r="J82" s="1">
        <f t="shared" ca="1" si="36"/>
        <v>15</v>
      </c>
      <c r="K82" s="1">
        <f t="shared" ca="1" si="37"/>
        <v>2.5397854261532662</v>
      </c>
      <c r="L82" s="1">
        <f t="shared" ca="1" si="38"/>
        <v>21</v>
      </c>
      <c r="M82" s="1"/>
      <c r="N82" s="1">
        <f t="shared" ca="1" si="39"/>
        <v>565</v>
      </c>
      <c r="O82" s="1">
        <f t="shared" ca="1" si="40"/>
        <v>46</v>
      </c>
      <c r="P82" s="1"/>
      <c r="Q82" s="1">
        <f t="shared" ca="1" si="41"/>
        <v>2.2100629096644138</v>
      </c>
      <c r="R82" s="1">
        <f t="shared" ca="1" si="42"/>
        <v>433</v>
      </c>
      <c r="S82" s="1"/>
      <c r="T82" s="1">
        <f t="shared" ca="1" si="43"/>
        <v>0.18744615072612239</v>
      </c>
      <c r="U82" s="1">
        <f t="shared" ca="1" si="44"/>
        <v>81</v>
      </c>
      <c r="V82" s="1">
        <f t="shared" ca="1" si="45"/>
        <v>43</v>
      </c>
      <c r="W82" s="1"/>
      <c r="X82" s="1">
        <f t="shared" ca="1" si="46"/>
        <v>1.3788661437258023</v>
      </c>
      <c r="Y82" s="1">
        <f t="shared" ca="1" si="47"/>
        <v>0.93376606086132152</v>
      </c>
      <c r="Z82" s="1">
        <f t="shared" ca="1" si="48"/>
        <v>491</v>
      </c>
      <c r="AB82" s="1">
        <f t="shared" ca="1" si="49"/>
        <v>0.86857695722824657</v>
      </c>
      <c r="AC82" s="1">
        <f t="shared" ca="1" si="50"/>
        <v>908</v>
      </c>
      <c r="AD82" s="1">
        <f t="shared" ca="1" si="51"/>
        <v>5.9445894401788857E-3</v>
      </c>
      <c r="AE82" s="1"/>
      <c r="AF82" s="1">
        <f t="shared" ca="1" si="52"/>
        <v>0.8926495845255672</v>
      </c>
      <c r="AG82" s="1">
        <f t="shared" ca="1" si="53"/>
        <v>413</v>
      </c>
      <c r="AH82" s="1">
        <f t="shared" ca="1" si="54"/>
        <v>8.8090598608219406E-4</v>
      </c>
      <c r="AJ82" s="1">
        <f t="shared" ca="1" si="55"/>
        <v>0.50346890613472539</v>
      </c>
      <c r="AK82" s="1">
        <f t="shared" ca="1" si="56"/>
        <v>4.1028159478307654E-3</v>
      </c>
      <c r="AL82" s="1"/>
      <c r="AM82" s="1">
        <f t="shared" ca="1" si="57"/>
        <v>8.8038542940230557E-3</v>
      </c>
      <c r="AN82" s="1">
        <f t="shared" ca="1" si="58"/>
        <v>76</v>
      </c>
      <c r="AO82" s="1">
        <f t="shared" ca="1" si="59"/>
        <v>13</v>
      </c>
    </row>
    <row r="83" spans="2:41" x14ac:dyDescent="0.25">
      <c r="B83">
        <f t="shared" ca="1" si="30"/>
        <v>106</v>
      </c>
      <c r="C83">
        <f t="shared" ca="1" si="31"/>
        <v>14</v>
      </c>
      <c r="D83">
        <f t="shared" ca="1" si="32"/>
        <v>0.22885685574574183</v>
      </c>
      <c r="F83" s="1">
        <f t="shared" ca="1" si="33"/>
        <v>20</v>
      </c>
      <c r="G83" s="1">
        <f t="shared" ca="1" si="34"/>
        <v>22</v>
      </c>
      <c r="H83" s="1">
        <f t="shared" ca="1" si="35"/>
        <v>6</v>
      </c>
      <c r="I83" s="1"/>
      <c r="J83" s="1">
        <f t="shared" ca="1" si="36"/>
        <v>24</v>
      </c>
      <c r="K83" s="1">
        <f t="shared" ca="1" si="37"/>
        <v>2.1643485045390052</v>
      </c>
      <c r="L83" s="1">
        <f t="shared" ca="1" si="38"/>
        <v>30</v>
      </c>
      <c r="M83" s="1"/>
      <c r="N83" s="1">
        <f t="shared" ca="1" si="39"/>
        <v>786</v>
      </c>
      <c r="O83" s="1">
        <f t="shared" ca="1" si="40"/>
        <v>7</v>
      </c>
      <c r="P83" s="1"/>
      <c r="Q83" s="1">
        <f t="shared" ca="1" si="41"/>
        <v>4.6336507169784094</v>
      </c>
      <c r="R83" s="1">
        <f t="shared" ca="1" si="42"/>
        <v>1036</v>
      </c>
      <c r="S83" s="1"/>
      <c r="T83" s="1">
        <f t="shared" ca="1" si="43"/>
        <v>5.6316923089051354E-2</v>
      </c>
      <c r="U83" s="1">
        <f t="shared" ca="1" si="44"/>
        <v>262</v>
      </c>
      <c r="V83" s="1">
        <f t="shared" ca="1" si="45"/>
        <v>52</v>
      </c>
      <c r="W83" s="1"/>
      <c r="X83" s="1">
        <f t="shared" ca="1" si="46"/>
        <v>7.1561769106702737</v>
      </c>
      <c r="Y83" s="1">
        <f t="shared" ca="1" si="47"/>
        <v>0.46740284649088359</v>
      </c>
      <c r="Z83" s="1">
        <f t="shared" ca="1" si="48"/>
        <v>781</v>
      </c>
      <c r="AB83" s="1">
        <f t="shared" ca="1" si="49"/>
        <v>0.7998801099936369</v>
      </c>
      <c r="AC83" s="1">
        <f t="shared" ca="1" si="50"/>
        <v>139</v>
      </c>
      <c r="AD83" s="1">
        <f t="shared" ca="1" si="51"/>
        <v>7.3574195470298481E-3</v>
      </c>
      <c r="AE83" s="1"/>
      <c r="AF83" s="1">
        <f t="shared" ca="1" si="52"/>
        <v>0.57978605676497352</v>
      </c>
      <c r="AG83" s="1">
        <f t="shared" ca="1" si="53"/>
        <v>665</v>
      </c>
      <c r="AH83" s="1">
        <f t="shared" ca="1" si="54"/>
        <v>5.7485663416182251E-3</v>
      </c>
      <c r="AJ83" s="1">
        <f t="shared" ca="1" si="55"/>
        <v>0.44860463887002933</v>
      </c>
      <c r="AK83" s="1">
        <f t="shared" ca="1" si="56"/>
        <v>6.653736699300054E-3</v>
      </c>
      <c r="AL83" s="1"/>
      <c r="AM83" s="1">
        <f t="shared" ca="1" si="57"/>
        <v>0.18132686824037583</v>
      </c>
      <c r="AN83" s="1">
        <f t="shared" ca="1" si="58"/>
        <v>51</v>
      </c>
      <c r="AO83" s="1">
        <f t="shared" ca="1" si="59"/>
        <v>19</v>
      </c>
    </row>
    <row r="84" spans="2:41" x14ac:dyDescent="0.25">
      <c r="B84">
        <f t="shared" ca="1" si="30"/>
        <v>903</v>
      </c>
      <c r="C84">
        <f t="shared" ca="1" si="31"/>
        <v>6</v>
      </c>
      <c r="D84">
        <f t="shared" ca="1" si="32"/>
        <v>7.4932242933260881E-2</v>
      </c>
      <c r="F84" s="1">
        <f t="shared" ca="1" si="33"/>
        <v>8</v>
      </c>
      <c r="G84" s="1">
        <f t="shared" ca="1" si="34"/>
        <v>8</v>
      </c>
      <c r="H84" s="1">
        <f t="shared" ca="1" si="35"/>
        <v>2</v>
      </c>
      <c r="I84" s="1"/>
      <c r="J84" s="1">
        <f t="shared" ca="1" si="36"/>
        <v>3</v>
      </c>
      <c r="K84" s="1">
        <f t="shared" ca="1" si="37"/>
        <v>1.2801852481090599</v>
      </c>
      <c r="L84" s="1">
        <f t="shared" ca="1" si="38"/>
        <v>3</v>
      </c>
      <c r="M84" s="1"/>
      <c r="N84" s="1">
        <f t="shared" ca="1" si="39"/>
        <v>406</v>
      </c>
      <c r="O84" s="1">
        <f t="shared" ca="1" si="40"/>
        <v>12</v>
      </c>
      <c r="P84" s="1"/>
      <c r="Q84" s="1">
        <f t="shared" ca="1" si="41"/>
        <v>2.1630593141493168</v>
      </c>
      <c r="R84" s="1">
        <f t="shared" ca="1" si="42"/>
        <v>606</v>
      </c>
      <c r="S84" s="1"/>
      <c r="T84" s="1">
        <f t="shared" ca="1" si="43"/>
        <v>0.16323148205274737</v>
      </c>
      <c r="U84" s="1">
        <f t="shared" ca="1" si="44"/>
        <v>94</v>
      </c>
      <c r="V84" s="1">
        <f t="shared" ca="1" si="45"/>
        <v>41</v>
      </c>
      <c r="W84" s="1"/>
      <c r="X84" s="1">
        <f t="shared" ca="1" si="46"/>
        <v>2.276392811861732</v>
      </c>
      <c r="Y84" s="1">
        <f t="shared" ca="1" si="47"/>
        <v>9.6164205857838622E-2</v>
      </c>
      <c r="Z84" s="1">
        <f t="shared" ca="1" si="48"/>
        <v>582</v>
      </c>
      <c r="AB84" s="1">
        <f t="shared" ca="1" si="49"/>
        <v>0.46644984681115337</v>
      </c>
      <c r="AC84" s="1">
        <f t="shared" ca="1" si="50"/>
        <v>256</v>
      </c>
      <c r="AD84" s="1">
        <f t="shared" ca="1" si="51"/>
        <v>2.8589406837617832E-3</v>
      </c>
      <c r="AE84" s="1"/>
      <c r="AF84" s="1">
        <f t="shared" ca="1" si="52"/>
        <v>0.25808750496365984</v>
      </c>
      <c r="AG84" s="1">
        <f t="shared" ca="1" si="53"/>
        <v>502</v>
      </c>
      <c r="AH84" s="1">
        <f t="shared" ca="1" si="54"/>
        <v>7.3648836318075932E-3</v>
      </c>
      <c r="AJ84" s="1">
        <f t="shared" ca="1" si="55"/>
        <v>0.99471975968943582</v>
      </c>
      <c r="AK84" s="1">
        <f t="shared" ca="1" si="56"/>
        <v>9.9387353273337718E-3</v>
      </c>
      <c r="AL84" s="1"/>
      <c r="AM84" s="1">
        <f t="shared" ca="1" si="57"/>
        <v>8.8413719376561492E-2</v>
      </c>
      <c r="AN84" s="1">
        <f t="shared" ca="1" si="58"/>
        <v>79</v>
      </c>
      <c r="AO84" s="1">
        <f t="shared" ca="1" si="59"/>
        <v>9</v>
      </c>
    </row>
    <row r="85" spans="2:41" x14ac:dyDescent="0.25">
      <c r="B85">
        <f t="shared" ca="1" si="30"/>
        <v>857</v>
      </c>
      <c r="C85">
        <f t="shared" ca="1" si="31"/>
        <v>43</v>
      </c>
      <c r="D85">
        <f t="shared" ca="1" si="32"/>
        <v>0.22823841821870708</v>
      </c>
      <c r="F85" s="1">
        <f t="shared" ca="1" si="33"/>
        <v>45</v>
      </c>
      <c r="G85" s="1">
        <f t="shared" ca="1" si="34"/>
        <v>2</v>
      </c>
      <c r="H85" s="1">
        <f t="shared" ca="1" si="35"/>
        <v>4</v>
      </c>
      <c r="I85" s="1"/>
      <c r="J85" s="1">
        <f t="shared" ca="1" si="36"/>
        <v>11</v>
      </c>
      <c r="K85" s="1">
        <f t="shared" ca="1" si="37"/>
        <v>2.9780235508576789</v>
      </c>
      <c r="L85" s="1">
        <f t="shared" ca="1" si="38"/>
        <v>3</v>
      </c>
      <c r="M85" s="1"/>
      <c r="N85" s="1">
        <f t="shared" ca="1" si="39"/>
        <v>51</v>
      </c>
      <c r="O85" s="1">
        <f t="shared" ca="1" si="40"/>
        <v>20</v>
      </c>
      <c r="P85" s="1"/>
      <c r="Q85" s="1">
        <f t="shared" ca="1" si="41"/>
        <v>2.5899547956874014</v>
      </c>
      <c r="R85" s="1">
        <f t="shared" ca="1" si="42"/>
        <v>574</v>
      </c>
      <c r="S85" s="1"/>
      <c r="T85" s="1">
        <f t="shared" ca="1" si="43"/>
        <v>6.4123147749233514E-2</v>
      </c>
      <c r="U85" s="1">
        <f t="shared" ca="1" si="44"/>
        <v>388</v>
      </c>
      <c r="V85" s="1">
        <f t="shared" ca="1" si="45"/>
        <v>6</v>
      </c>
      <c r="W85" s="1"/>
      <c r="X85" s="1">
        <f t="shared" ca="1" si="46"/>
        <v>3.8871926984583527</v>
      </c>
      <c r="Y85" s="1">
        <f t="shared" ca="1" si="47"/>
        <v>0.78629100070950486</v>
      </c>
      <c r="Z85" s="1">
        <f t="shared" ca="1" si="48"/>
        <v>560</v>
      </c>
      <c r="AB85" s="1">
        <f t="shared" ca="1" si="49"/>
        <v>0.54262531975436856</v>
      </c>
      <c r="AC85" s="1">
        <f t="shared" ca="1" si="50"/>
        <v>517</v>
      </c>
      <c r="AD85" s="1">
        <f t="shared" ca="1" si="51"/>
        <v>8.134449884313338E-3</v>
      </c>
      <c r="AE85" s="1"/>
      <c r="AF85" s="1">
        <f t="shared" ca="1" si="52"/>
        <v>0.43534448520082114</v>
      </c>
      <c r="AG85" s="1">
        <f t="shared" ca="1" si="53"/>
        <v>405</v>
      </c>
      <c r="AH85" s="1">
        <f t="shared" ca="1" si="54"/>
        <v>2.3422118484558879E-3</v>
      </c>
      <c r="AJ85" s="1">
        <f t="shared" ca="1" si="55"/>
        <v>0.32360940055221077</v>
      </c>
      <c r="AK85" s="1">
        <f t="shared" ca="1" si="56"/>
        <v>2.0130016617319695E-3</v>
      </c>
      <c r="AL85" s="1"/>
      <c r="AM85" s="1">
        <f t="shared" ca="1" si="57"/>
        <v>0.1726477822242061</v>
      </c>
      <c r="AN85" s="1">
        <f t="shared" ca="1" si="58"/>
        <v>72</v>
      </c>
      <c r="AO85" s="1">
        <f t="shared" ca="1" si="59"/>
        <v>6</v>
      </c>
    </row>
    <row r="86" spans="2:41" x14ac:dyDescent="0.25">
      <c r="B86">
        <f t="shared" ca="1" si="30"/>
        <v>480</v>
      </c>
      <c r="C86">
        <f t="shared" ca="1" si="31"/>
        <v>47</v>
      </c>
      <c r="D86">
        <f t="shared" ca="1" si="32"/>
        <v>0.29868626950475202</v>
      </c>
      <c r="F86" s="1">
        <f t="shared" ca="1" si="33"/>
        <v>42</v>
      </c>
      <c r="G86" s="1">
        <f t="shared" ca="1" si="34"/>
        <v>19</v>
      </c>
      <c r="H86" s="1">
        <f t="shared" ca="1" si="35"/>
        <v>6</v>
      </c>
      <c r="I86" s="1"/>
      <c r="J86" s="1">
        <f t="shared" ca="1" si="36"/>
        <v>5</v>
      </c>
      <c r="K86" s="1">
        <f t="shared" ca="1" si="37"/>
        <v>2.486938565124432</v>
      </c>
      <c r="L86" s="1">
        <f t="shared" ca="1" si="38"/>
        <v>26</v>
      </c>
      <c r="M86" s="1"/>
      <c r="N86" s="1">
        <f t="shared" ca="1" si="39"/>
        <v>324</v>
      </c>
      <c r="O86" s="1">
        <f t="shared" ca="1" si="40"/>
        <v>27</v>
      </c>
      <c r="P86" s="1"/>
      <c r="Q86" s="1">
        <f t="shared" ca="1" si="41"/>
        <v>3.444890256198688</v>
      </c>
      <c r="R86" s="1">
        <f t="shared" ca="1" si="42"/>
        <v>395</v>
      </c>
      <c r="S86" s="1"/>
      <c r="T86" s="1">
        <f t="shared" ca="1" si="43"/>
        <v>0.133183787347051</v>
      </c>
      <c r="U86" s="1">
        <f t="shared" ca="1" si="44"/>
        <v>395</v>
      </c>
      <c r="V86" s="1">
        <f t="shared" ca="1" si="45"/>
        <v>23</v>
      </c>
      <c r="W86" s="1"/>
      <c r="X86" s="1">
        <f t="shared" ca="1" si="46"/>
        <v>1.2440680987691948</v>
      </c>
      <c r="Y86" s="1">
        <f t="shared" ca="1" si="47"/>
        <v>7.0407244965415131E-2</v>
      </c>
      <c r="Z86" s="1">
        <f t="shared" ca="1" si="48"/>
        <v>1651</v>
      </c>
      <c r="AB86" s="1">
        <f t="shared" ca="1" si="49"/>
        <v>0.13250355278226156</v>
      </c>
      <c r="AC86" s="1">
        <f t="shared" ca="1" si="50"/>
        <v>848</v>
      </c>
      <c r="AD86" s="1">
        <f t="shared" ca="1" si="51"/>
        <v>6.3945148514888816E-3</v>
      </c>
      <c r="AE86" s="1"/>
      <c r="AF86" s="1">
        <f t="shared" ca="1" si="52"/>
        <v>0.4256265023299346</v>
      </c>
      <c r="AG86" s="1">
        <f t="shared" ca="1" si="53"/>
        <v>274</v>
      </c>
      <c r="AH86" s="1">
        <f t="shared" ca="1" si="54"/>
        <v>3.0969017521656574E-3</v>
      </c>
      <c r="AJ86" s="1">
        <f t="shared" ca="1" si="55"/>
        <v>0.49703053404446351</v>
      </c>
      <c r="AK86" s="1">
        <f t="shared" ca="1" si="56"/>
        <v>2.4182218139487438E-3</v>
      </c>
      <c r="AL86" s="1"/>
      <c r="AM86" s="1">
        <f t="shared" ca="1" si="57"/>
        <v>0.19073716829177959</v>
      </c>
      <c r="AN86" s="1">
        <f t="shared" ca="1" si="58"/>
        <v>25</v>
      </c>
      <c r="AO86" s="1">
        <f t="shared" ca="1" si="59"/>
        <v>12</v>
      </c>
    </row>
    <row r="87" spans="2:41" x14ac:dyDescent="0.25">
      <c r="B87">
        <f t="shared" ca="1" si="30"/>
        <v>165</v>
      </c>
      <c r="C87">
        <f t="shared" ca="1" si="31"/>
        <v>52</v>
      </c>
      <c r="D87">
        <f t="shared" ca="1" si="32"/>
        <v>0.10604274614609945</v>
      </c>
      <c r="F87" s="1">
        <f t="shared" ca="1" si="33"/>
        <v>15</v>
      </c>
      <c r="G87" s="1">
        <f t="shared" ca="1" si="34"/>
        <v>24</v>
      </c>
      <c r="H87" s="1">
        <f t="shared" ca="1" si="35"/>
        <v>5</v>
      </c>
      <c r="I87" s="1"/>
      <c r="J87" s="1">
        <f t="shared" ca="1" si="36"/>
        <v>38</v>
      </c>
      <c r="K87" s="1">
        <f t="shared" ca="1" si="37"/>
        <v>1.3974201536812028</v>
      </c>
      <c r="L87" s="1">
        <f t="shared" ca="1" si="38"/>
        <v>10</v>
      </c>
      <c r="M87" s="1"/>
      <c r="N87" s="1">
        <f t="shared" ca="1" si="39"/>
        <v>459</v>
      </c>
      <c r="O87" s="1">
        <f t="shared" ca="1" si="40"/>
        <v>26</v>
      </c>
      <c r="P87" s="1"/>
      <c r="Q87" s="1">
        <f t="shared" ca="1" si="41"/>
        <v>4.9458300237092612</v>
      </c>
      <c r="R87" s="1">
        <f t="shared" ca="1" si="42"/>
        <v>282</v>
      </c>
      <c r="S87" s="1"/>
      <c r="T87" s="1">
        <f t="shared" ca="1" si="43"/>
        <v>0.13441961283763679</v>
      </c>
      <c r="U87" s="1">
        <f t="shared" ca="1" si="44"/>
        <v>296</v>
      </c>
      <c r="V87" s="1">
        <f t="shared" ca="1" si="45"/>
        <v>38</v>
      </c>
      <c r="W87" s="1"/>
      <c r="X87" s="1">
        <f t="shared" ca="1" si="46"/>
        <v>1.3259839151943971</v>
      </c>
      <c r="Y87" s="1">
        <f t="shared" ca="1" si="47"/>
        <v>0.51011907230428488</v>
      </c>
      <c r="Z87" s="1">
        <f t="shared" ca="1" si="48"/>
        <v>801</v>
      </c>
      <c r="AB87" s="1">
        <f t="shared" ca="1" si="49"/>
        <v>0.97418847213373583</v>
      </c>
      <c r="AC87" s="1">
        <f t="shared" ca="1" si="50"/>
        <v>537</v>
      </c>
      <c r="AD87" s="1">
        <f t="shared" ca="1" si="51"/>
        <v>9.3212773861036814E-3</v>
      </c>
      <c r="AE87" s="1"/>
      <c r="AF87" s="1">
        <f t="shared" ca="1" si="52"/>
        <v>0.56974718392394241</v>
      </c>
      <c r="AG87" s="1">
        <f t="shared" ca="1" si="53"/>
        <v>735</v>
      </c>
      <c r="AH87" s="1">
        <f t="shared" ca="1" si="54"/>
        <v>8.5755438796466261E-3</v>
      </c>
      <c r="AJ87" s="1">
        <f t="shared" ca="1" si="55"/>
        <v>0.76045962261182742</v>
      </c>
      <c r="AK87" s="1">
        <f t="shared" ca="1" si="56"/>
        <v>6.3958778104890859E-3</v>
      </c>
      <c r="AL87" s="1"/>
      <c r="AM87" s="1">
        <f t="shared" ca="1" si="57"/>
        <v>7.5593207470854434E-2</v>
      </c>
      <c r="AN87" s="1">
        <f t="shared" ca="1" si="58"/>
        <v>41</v>
      </c>
      <c r="AO87" s="1">
        <f t="shared" ca="1" si="59"/>
        <v>9</v>
      </c>
    </row>
    <row r="88" spans="2:41" x14ac:dyDescent="0.25">
      <c r="B88">
        <f t="shared" ca="1" si="30"/>
        <v>784</v>
      </c>
      <c r="C88">
        <f t="shared" ca="1" si="31"/>
        <v>2</v>
      </c>
      <c r="D88">
        <f t="shared" ca="1" si="32"/>
        <v>0.19162961117108715</v>
      </c>
      <c r="F88" s="1">
        <f t="shared" ca="1" si="33"/>
        <v>10</v>
      </c>
      <c r="G88" s="1">
        <f t="shared" ca="1" si="34"/>
        <v>15</v>
      </c>
      <c r="H88" s="1">
        <f t="shared" ca="1" si="35"/>
        <v>15</v>
      </c>
      <c r="I88" s="1"/>
      <c r="J88" s="1">
        <f t="shared" ca="1" si="36"/>
        <v>10</v>
      </c>
      <c r="K88" s="1">
        <f t="shared" ca="1" si="37"/>
        <v>1.2079022018121779</v>
      </c>
      <c r="L88" s="1">
        <f t="shared" ca="1" si="38"/>
        <v>21</v>
      </c>
      <c r="M88" s="1"/>
      <c r="N88" s="1">
        <f t="shared" ca="1" si="39"/>
        <v>342</v>
      </c>
      <c r="O88" s="1">
        <f t="shared" ca="1" si="40"/>
        <v>23</v>
      </c>
      <c r="P88" s="1"/>
      <c r="Q88" s="1">
        <f t="shared" ca="1" si="41"/>
        <v>4.0185848384328375</v>
      </c>
      <c r="R88" s="1">
        <f t="shared" ca="1" si="42"/>
        <v>409</v>
      </c>
      <c r="S88" s="1"/>
      <c r="T88" s="1">
        <f t="shared" ca="1" si="43"/>
        <v>0.16420423638627579</v>
      </c>
      <c r="U88" s="1">
        <f t="shared" ca="1" si="44"/>
        <v>385</v>
      </c>
      <c r="V88" s="1">
        <f t="shared" ca="1" si="45"/>
        <v>48</v>
      </c>
      <c r="W88" s="1"/>
      <c r="X88" s="1">
        <f t="shared" ca="1" si="46"/>
        <v>2.8559980241169165</v>
      </c>
      <c r="Y88" s="1">
        <f t="shared" ca="1" si="47"/>
        <v>0.77156838670195871</v>
      </c>
      <c r="Z88" s="1">
        <f t="shared" ca="1" si="48"/>
        <v>1676</v>
      </c>
      <c r="AB88" s="1">
        <f t="shared" ca="1" si="49"/>
        <v>0.11792110591277372</v>
      </c>
      <c r="AC88" s="1">
        <f t="shared" ca="1" si="50"/>
        <v>560</v>
      </c>
      <c r="AD88" s="1">
        <f t="shared" ca="1" si="51"/>
        <v>2.4351328027351687E-3</v>
      </c>
      <c r="AE88" s="1"/>
      <c r="AF88" s="1">
        <f t="shared" ca="1" si="52"/>
        <v>0.54390686100112906</v>
      </c>
      <c r="AG88" s="1">
        <f t="shared" ca="1" si="53"/>
        <v>472</v>
      </c>
      <c r="AH88" s="1">
        <f t="shared" ca="1" si="54"/>
        <v>3.9488054156956911E-3</v>
      </c>
      <c r="AJ88" s="1">
        <f t="shared" ca="1" si="55"/>
        <v>0.63578231064988688</v>
      </c>
      <c r="AK88" s="1">
        <f t="shared" ca="1" si="56"/>
        <v>7.5663062983238214E-3</v>
      </c>
      <c r="AL88" s="1"/>
      <c r="AM88" s="1">
        <f t="shared" ca="1" si="57"/>
        <v>0.16398540761805702</v>
      </c>
      <c r="AN88" s="1">
        <f t="shared" ca="1" si="58"/>
        <v>11</v>
      </c>
      <c r="AO88" s="1">
        <f t="shared" ca="1" si="59"/>
        <v>20</v>
      </c>
    </row>
    <row r="89" spans="2:41" x14ac:dyDescent="0.25">
      <c r="B89">
        <f t="shared" ca="1" si="30"/>
        <v>599</v>
      </c>
      <c r="C89">
        <f t="shared" ca="1" si="31"/>
        <v>13</v>
      </c>
      <c r="D89">
        <f t="shared" ca="1" si="32"/>
        <v>0.23411648062003301</v>
      </c>
      <c r="F89" s="1">
        <f t="shared" ca="1" si="33"/>
        <v>38</v>
      </c>
      <c r="G89" s="1">
        <f t="shared" ca="1" si="34"/>
        <v>28</v>
      </c>
      <c r="H89" s="1">
        <f t="shared" ca="1" si="35"/>
        <v>5</v>
      </c>
      <c r="I89" s="1"/>
      <c r="J89" s="1">
        <f t="shared" ca="1" si="36"/>
        <v>15</v>
      </c>
      <c r="K89" s="1">
        <f t="shared" ca="1" si="37"/>
        <v>2.5872185929695299</v>
      </c>
      <c r="L89" s="1">
        <f t="shared" ca="1" si="38"/>
        <v>24</v>
      </c>
      <c r="M89" s="1"/>
      <c r="N89" s="1">
        <f t="shared" ca="1" si="39"/>
        <v>514</v>
      </c>
      <c r="O89" s="1">
        <f t="shared" ca="1" si="40"/>
        <v>38</v>
      </c>
      <c r="P89" s="1"/>
      <c r="Q89" s="1">
        <f t="shared" ca="1" si="41"/>
        <v>4.1288485803157169</v>
      </c>
      <c r="R89" s="1">
        <f t="shared" ca="1" si="42"/>
        <v>343</v>
      </c>
      <c r="S89" s="1"/>
      <c r="T89" s="1">
        <f t="shared" ca="1" si="43"/>
        <v>0.18518110354166006</v>
      </c>
      <c r="U89" s="1">
        <f t="shared" ca="1" si="44"/>
        <v>144</v>
      </c>
      <c r="V89" s="1">
        <f t="shared" ca="1" si="45"/>
        <v>7</v>
      </c>
      <c r="W89" s="1"/>
      <c r="X89" s="1">
        <f t="shared" ca="1" si="46"/>
        <v>2.7601073605444753</v>
      </c>
      <c r="Y89" s="1">
        <f t="shared" ca="1" si="47"/>
        <v>9.8622181821416979E-2</v>
      </c>
      <c r="Z89" s="1">
        <f t="shared" ca="1" si="48"/>
        <v>1434</v>
      </c>
      <c r="AB89" s="1">
        <f t="shared" ca="1" si="49"/>
        <v>0.89249148385482613</v>
      </c>
      <c r="AC89" s="1">
        <f t="shared" ca="1" si="50"/>
        <v>379</v>
      </c>
      <c r="AD89" s="1">
        <f t="shared" ca="1" si="51"/>
        <v>2.9057781736861535E-3</v>
      </c>
      <c r="AE89" s="1"/>
      <c r="AF89" s="1">
        <f t="shared" ca="1" si="52"/>
        <v>0.15724648741807315</v>
      </c>
      <c r="AG89" s="1">
        <f t="shared" ca="1" si="53"/>
        <v>308</v>
      </c>
      <c r="AH89" s="1">
        <f t="shared" ca="1" si="54"/>
        <v>6.0875001260524454E-3</v>
      </c>
      <c r="AJ89" s="1">
        <f t="shared" ca="1" si="55"/>
        <v>0.22356789067978911</v>
      </c>
      <c r="AK89" s="1">
        <f t="shared" ca="1" si="56"/>
        <v>7.0340415614313619E-3</v>
      </c>
      <c r="AL89" s="1"/>
      <c r="AM89" s="1">
        <f t="shared" ca="1" si="57"/>
        <v>0.15805858765824671</v>
      </c>
      <c r="AN89" s="1">
        <f t="shared" ca="1" si="58"/>
        <v>21</v>
      </c>
      <c r="AO89" s="1">
        <f t="shared" ca="1" si="59"/>
        <v>0</v>
      </c>
    </row>
    <row r="90" spans="2:41" x14ac:dyDescent="0.25">
      <c r="B90">
        <f t="shared" ca="1" si="30"/>
        <v>619</v>
      </c>
      <c r="C90">
        <f t="shared" ca="1" si="31"/>
        <v>48</v>
      </c>
      <c r="D90">
        <f t="shared" ca="1" si="32"/>
        <v>0.23664756817382662</v>
      </c>
      <c r="F90" s="1">
        <f t="shared" ca="1" si="33"/>
        <v>7</v>
      </c>
      <c r="G90" s="1">
        <f t="shared" ca="1" si="34"/>
        <v>23</v>
      </c>
      <c r="H90" s="1">
        <f t="shared" ca="1" si="35"/>
        <v>14</v>
      </c>
      <c r="I90" s="1"/>
      <c r="J90" s="1">
        <f t="shared" ca="1" si="36"/>
        <v>20</v>
      </c>
      <c r="K90" s="1">
        <f t="shared" ca="1" si="37"/>
        <v>1.0726725366810506</v>
      </c>
      <c r="L90" s="1">
        <f t="shared" ca="1" si="38"/>
        <v>22</v>
      </c>
      <c r="M90" s="1"/>
      <c r="N90" s="1">
        <f t="shared" ca="1" si="39"/>
        <v>804</v>
      </c>
      <c r="O90" s="1">
        <f t="shared" ca="1" si="40"/>
        <v>21</v>
      </c>
      <c r="P90" s="1"/>
      <c r="Q90" s="1">
        <f t="shared" ca="1" si="41"/>
        <v>2.1339657277623267</v>
      </c>
      <c r="R90" s="1">
        <f t="shared" ca="1" si="42"/>
        <v>319</v>
      </c>
      <c r="S90" s="1"/>
      <c r="T90" s="1">
        <f t="shared" ca="1" si="43"/>
        <v>2.8986116316255674E-2</v>
      </c>
      <c r="U90" s="1">
        <f t="shared" ca="1" si="44"/>
        <v>302</v>
      </c>
      <c r="V90" s="1">
        <f t="shared" ca="1" si="45"/>
        <v>4</v>
      </c>
      <c r="W90" s="1"/>
      <c r="X90" s="1">
        <f t="shared" ca="1" si="46"/>
        <v>3.562492636690759</v>
      </c>
      <c r="Y90" s="1">
        <f t="shared" ca="1" si="47"/>
        <v>0.34480815067408926</v>
      </c>
      <c r="Z90" s="1">
        <f t="shared" ca="1" si="48"/>
        <v>818</v>
      </c>
      <c r="AB90" s="1">
        <f t="shared" ca="1" si="49"/>
        <v>0.92806425894206168</v>
      </c>
      <c r="AC90" s="1">
        <f t="shared" ca="1" si="50"/>
        <v>372</v>
      </c>
      <c r="AD90" s="1">
        <f t="shared" ca="1" si="51"/>
        <v>9.4561876887838733E-3</v>
      </c>
      <c r="AE90" s="1"/>
      <c r="AF90" s="1">
        <f t="shared" ca="1" si="52"/>
        <v>0.39391593335428099</v>
      </c>
      <c r="AG90" s="1">
        <f t="shared" ca="1" si="53"/>
        <v>985</v>
      </c>
      <c r="AH90" s="1">
        <f t="shared" ca="1" si="54"/>
        <v>1.1080850519122622E-3</v>
      </c>
      <c r="AJ90" s="1">
        <f t="shared" ca="1" si="55"/>
        <v>0.12021099456672801</v>
      </c>
      <c r="AK90" s="1">
        <f t="shared" ca="1" si="56"/>
        <v>7.059130127289405E-3</v>
      </c>
      <c r="AL90" s="1"/>
      <c r="AM90" s="1">
        <f t="shared" ca="1" si="57"/>
        <v>0.11064604280093106</v>
      </c>
      <c r="AN90" s="1">
        <f t="shared" ca="1" si="58"/>
        <v>51</v>
      </c>
      <c r="AO90" s="1">
        <f t="shared" ca="1" si="59"/>
        <v>9</v>
      </c>
    </row>
    <row r="91" spans="2:41" x14ac:dyDescent="0.25">
      <c r="B91">
        <f t="shared" ca="1" si="30"/>
        <v>613</v>
      </c>
      <c r="C91">
        <f t="shared" ca="1" si="31"/>
        <v>49</v>
      </c>
      <c r="D91">
        <f t="shared" ca="1" si="32"/>
        <v>0.25733916477491375</v>
      </c>
      <c r="F91" s="1">
        <f t="shared" ca="1" si="33"/>
        <v>9</v>
      </c>
      <c r="G91" s="1">
        <f t="shared" ca="1" si="34"/>
        <v>24</v>
      </c>
      <c r="H91" s="1">
        <f t="shared" ca="1" si="35"/>
        <v>5</v>
      </c>
      <c r="I91" s="1"/>
      <c r="J91" s="1">
        <f t="shared" ca="1" si="36"/>
        <v>6</v>
      </c>
      <c r="K91" s="1">
        <f t="shared" ca="1" si="37"/>
        <v>2.7172893796070396</v>
      </c>
      <c r="L91" s="1">
        <f t="shared" ca="1" si="38"/>
        <v>13</v>
      </c>
      <c r="M91" s="1"/>
      <c r="N91" s="1">
        <f t="shared" ca="1" si="39"/>
        <v>575</v>
      </c>
      <c r="O91" s="1">
        <f t="shared" ca="1" si="40"/>
        <v>42</v>
      </c>
      <c r="P91" s="1"/>
      <c r="Q91" s="1">
        <f t="shared" ca="1" si="41"/>
        <v>3.184023568918311</v>
      </c>
      <c r="R91" s="1">
        <f t="shared" ca="1" si="42"/>
        <v>247</v>
      </c>
      <c r="S91" s="1"/>
      <c r="T91" s="1">
        <f t="shared" ca="1" si="43"/>
        <v>2.7934938104575702E-2</v>
      </c>
      <c r="U91" s="1">
        <f t="shared" ca="1" si="44"/>
        <v>353</v>
      </c>
      <c r="V91" s="1">
        <f t="shared" ca="1" si="45"/>
        <v>6</v>
      </c>
      <c r="W91" s="1"/>
      <c r="X91" s="1">
        <f t="shared" ca="1" si="46"/>
        <v>5.3915326762553528</v>
      </c>
      <c r="Y91" s="1">
        <f t="shared" ca="1" si="47"/>
        <v>0.49020770452735646</v>
      </c>
      <c r="Z91" s="1">
        <f t="shared" ca="1" si="48"/>
        <v>1350</v>
      </c>
      <c r="AB91" s="1">
        <f t="shared" ca="1" si="49"/>
        <v>6.1156828356970068E-2</v>
      </c>
      <c r="AC91" s="1">
        <f t="shared" ca="1" si="50"/>
        <v>442</v>
      </c>
      <c r="AD91" s="1">
        <f t="shared" ca="1" si="51"/>
        <v>1.6848471616564881E-3</v>
      </c>
      <c r="AE91" s="1"/>
      <c r="AF91" s="1">
        <f t="shared" ca="1" si="52"/>
        <v>0.68939313898559584</v>
      </c>
      <c r="AG91" s="1">
        <f t="shared" ca="1" si="53"/>
        <v>620</v>
      </c>
      <c r="AH91" s="1">
        <f t="shared" ca="1" si="54"/>
        <v>2.3131753515664454E-3</v>
      </c>
      <c r="AJ91" s="1">
        <f t="shared" ca="1" si="55"/>
        <v>0.43763755060617249</v>
      </c>
      <c r="AK91" s="1">
        <f t="shared" ca="1" si="56"/>
        <v>5.3743558822598025E-3</v>
      </c>
      <c r="AL91" s="1"/>
      <c r="AM91" s="1">
        <f t="shared" ca="1" si="57"/>
        <v>9.9458370724357065E-2</v>
      </c>
      <c r="AN91" s="1">
        <f t="shared" ca="1" si="58"/>
        <v>24</v>
      </c>
      <c r="AO91" s="1">
        <f t="shared" ca="1" si="59"/>
        <v>20</v>
      </c>
    </row>
    <row r="92" spans="2:41" x14ac:dyDescent="0.25">
      <c r="B92">
        <f t="shared" ca="1" si="30"/>
        <v>179</v>
      </c>
      <c r="C92">
        <f t="shared" ca="1" si="31"/>
        <v>37</v>
      </c>
      <c r="D92">
        <f t="shared" ca="1" si="32"/>
        <v>0.17715877545802533</v>
      </c>
      <c r="F92" s="1">
        <f t="shared" ca="1" si="33"/>
        <v>3</v>
      </c>
      <c r="G92" s="1">
        <f t="shared" ca="1" si="34"/>
        <v>16</v>
      </c>
      <c r="H92" s="1">
        <f t="shared" ca="1" si="35"/>
        <v>14</v>
      </c>
      <c r="I92" s="1"/>
      <c r="J92" s="1">
        <f t="shared" ca="1" si="36"/>
        <v>2</v>
      </c>
      <c r="K92" s="1">
        <f t="shared" ca="1" si="37"/>
        <v>2.8268278135931268</v>
      </c>
      <c r="L92" s="1">
        <f t="shared" ca="1" si="38"/>
        <v>35</v>
      </c>
      <c r="M92" s="1"/>
      <c r="N92" s="1">
        <f t="shared" ca="1" si="39"/>
        <v>414</v>
      </c>
      <c r="O92" s="1">
        <f t="shared" ca="1" si="40"/>
        <v>43</v>
      </c>
      <c r="P92" s="1"/>
      <c r="Q92" s="1">
        <f t="shared" ca="1" si="41"/>
        <v>4.6083780264599516</v>
      </c>
      <c r="R92" s="1">
        <f t="shared" ca="1" si="42"/>
        <v>647</v>
      </c>
      <c r="S92" s="1"/>
      <c r="T92" s="1">
        <f t="shared" ca="1" si="43"/>
        <v>5.1871848337901094E-2</v>
      </c>
      <c r="U92" s="1">
        <f t="shared" ca="1" si="44"/>
        <v>329</v>
      </c>
      <c r="V92" s="1">
        <f t="shared" ca="1" si="45"/>
        <v>37</v>
      </c>
      <c r="W92" s="1"/>
      <c r="X92" s="1">
        <f t="shared" ca="1" si="46"/>
        <v>8.5582604165604188</v>
      </c>
      <c r="Y92" s="1">
        <f t="shared" ca="1" si="47"/>
        <v>0.28910065806115759</v>
      </c>
      <c r="Z92" s="1">
        <f t="shared" ca="1" si="48"/>
        <v>1354</v>
      </c>
      <c r="AB92" s="1">
        <f t="shared" ca="1" si="49"/>
        <v>0.4534957895327702</v>
      </c>
      <c r="AC92" s="1">
        <f t="shared" ca="1" si="50"/>
        <v>706</v>
      </c>
      <c r="AD92" s="1">
        <f t="shared" ca="1" si="51"/>
        <v>9.5153396778302601E-3</v>
      </c>
      <c r="AE92" s="1"/>
      <c r="AF92" s="1">
        <f t="shared" ca="1" si="52"/>
        <v>0.56176733664232115</v>
      </c>
      <c r="AG92" s="1">
        <f t="shared" ca="1" si="53"/>
        <v>381</v>
      </c>
      <c r="AH92" s="1">
        <f t="shared" ca="1" si="54"/>
        <v>1.9154132746267212E-3</v>
      </c>
      <c r="AJ92" s="1">
        <f t="shared" ca="1" si="55"/>
        <v>0.18517930902959012</v>
      </c>
      <c r="AK92" s="1">
        <f t="shared" ca="1" si="56"/>
        <v>1.9426326077752081E-3</v>
      </c>
      <c r="AL92" s="1"/>
      <c r="AM92" s="1">
        <f t="shared" ca="1" si="57"/>
        <v>0.1756388409724555</v>
      </c>
      <c r="AN92" s="1">
        <f t="shared" ca="1" si="58"/>
        <v>19</v>
      </c>
      <c r="AO92" s="1">
        <f t="shared" ca="1" si="59"/>
        <v>15</v>
      </c>
    </row>
    <row r="93" spans="2:41" x14ac:dyDescent="0.25">
      <c r="B93">
        <f t="shared" ca="1" si="30"/>
        <v>800</v>
      </c>
      <c r="C93">
        <f t="shared" ca="1" si="31"/>
        <v>43</v>
      </c>
      <c r="D93">
        <f t="shared" ca="1" si="32"/>
        <v>0.20414330060840888</v>
      </c>
      <c r="F93" s="1">
        <f t="shared" ca="1" si="33"/>
        <v>40</v>
      </c>
      <c r="G93" s="1">
        <f t="shared" ca="1" si="34"/>
        <v>27</v>
      </c>
      <c r="H93" s="1">
        <f t="shared" ca="1" si="35"/>
        <v>2</v>
      </c>
      <c r="I93" s="1"/>
      <c r="J93" s="1">
        <f t="shared" ca="1" si="36"/>
        <v>38</v>
      </c>
      <c r="K93" s="1">
        <f t="shared" ca="1" si="37"/>
        <v>1.6865651670169532</v>
      </c>
      <c r="L93" s="1">
        <f t="shared" ca="1" si="38"/>
        <v>3</v>
      </c>
      <c r="M93" s="1"/>
      <c r="N93" s="1">
        <f t="shared" ca="1" si="39"/>
        <v>673</v>
      </c>
      <c r="O93" s="1">
        <f t="shared" ca="1" si="40"/>
        <v>48</v>
      </c>
      <c r="P93" s="1"/>
      <c r="Q93" s="1">
        <f t="shared" ca="1" si="41"/>
        <v>2.2982808601328539</v>
      </c>
      <c r="R93" s="1">
        <f t="shared" ca="1" si="42"/>
        <v>968</v>
      </c>
      <c r="S93" s="1"/>
      <c r="T93" s="1">
        <f t="shared" ca="1" si="43"/>
        <v>0.13325503180073547</v>
      </c>
      <c r="U93" s="1">
        <f t="shared" ca="1" si="44"/>
        <v>183</v>
      </c>
      <c r="V93" s="1">
        <f t="shared" ca="1" si="45"/>
        <v>3</v>
      </c>
      <c r="W93" s="1"/>
      <c r="X93" s="1">
        <f t="shared" ca="1" si="46"/>
        <v>3.8502525566366779</v>
      </c>
      <c r="Y93" s="1">
        <f t="shared" ca="1" si="47"/>
        <v>0.55826616562405273</v>
      </c>
      <c r="Z93" s="1">
        <f t="shared" ca="1" si="48"/>
        <v>1365</v>
      </c>
      <c r="AB93" s="1">
        <f t="shared" ca="1" si="49"/>
        <v>8.4311826728054706E-2</v>
      </c>
      <c r="AC93" s="1">
        <f t="shared" ca="1" si="50"/>
        <v>123</v>
      </c>
      <c r="AD93" s="1">
        <f t="shared" ca="1" si="51"/>
        <v>9.5789122009716839E-3</v>
      </c>
      <c r="AE93" s="1"/>
      <c r="AF93" s="1">
        <f t="shared" ca="1" si="52"/>
        <v>0.35435132923147517</v>
      </c>
      <c r="AG93" s="1">
        <f t="shared" ca="1" si="53"/>
        <v>766</v>
      </c>
      <c r="AH93" s="1">
        <f t="shared" ca="1" si="54"/>
        <v>8.9746983221379341E-3</v>
      </c>
      <c r="AJ93" s="1">
        <f t="shared" ca="1" si="55"/>
        <v>0.26542703067513318</v>
      </c>
      <c r="AK93" s="1">
        <f t="shared" ca="1" si="56"/>
        <v>8.1788056047027262E-3</v>
      </c>
      <c r="AL93" s="1"/>
      <c r="AM93" s="1">
        <f t="shared" ca="1" si="57"/>
        <v>7.4139137568022997E-2</v>
      </c>
      <c r="AN93" s="1">
        <f t="shared" ca="1" si="58"/>
        <v>46</v>
      </c>
      <c r="AO93" s="1">
        <f t="shared" ca="1" si="59"/>
        <v>1</v>
      </c>
    </row>
    <row r="94" spans="2:41" x14ac:dyDescent="0.25">
      <c r="B94">
        <f t="shared" ca="1" si="30"/>
        <v>105</v>
      </c>
      <c r="C94">
        <f t="shared" ca="1" si="31"/>
        <v>27</v>
      </c>
      <c r="D94">
        <f t="shared" ca="1" si="32"/>
        <v>0.11610989171708311</v>
      </c>
      <c r="F94" s="1">
        <f t="shared" ca="1" si="33"/>
        <v>16</v>
      </c>
      <c r="G94" s="1">
        <f t="shared" ca="1" si="34"/>
        <v>28</v>
      </c>
      <c r="H94" s="1">
        <f t="shared" ca="1" si="35"/>
        <v>2</v>
      </c>
      <c r="I94" s="1"/>
      <c r="J94" s="1">
        <f t="shared" ca="1" si="36"/>
        <v>1</v>
      </c>
      <c r="K94" s="1">
        <f t="shared" ca="1" si="37"/>
        <v>1.7040709236747482</v>
      </c>
      <c r="L94" s="1">
        <f t="shared" ca="1" si="38"/>
        <v>26</v>
      </c>
      <c r="M94" s="1"/>
      <c r="N94" s="1">
        <f t="shared" ca="1" si="39"/>
        <v>896</v>
      </c>
      <c r="O94" s="1">
        <f t="shared" ca="1" si="40"/>
        <v>48</v>
      </c>
      <c r="P94" s="1"/>
      <c r="Q94" s="1">
        <f t="shared" ca="1" si="41"/>
        <v>0.59361590562920818</v>
      </c>
      <c r="R94" s="1">
        <f t="shared" ca="1" si="42"/>
        <v>525</v>
      </c>
      <c r="S94" s="1"/>
      <c r="T94" s="1">
        <f t="shared" ca="1" si="43"/>
        <v>0.14396868115053116</v>
      </c>
      <c r="U94" s="1">
        <f t="shared" ca="1" si="44"/>
        <v>370</v>
      </c>
      <c r="V94" s="1">
        <f t="shared" ca="1" si="45"/>
        <v>23</v>
      </c>
      <c r="W94" s="1"/>
      <c r="X94" s="1">
        <f t="shared" ca="1" si="46"/>
        <v>7.3031944111798897</v>
      </c>
      <c r="Y94" s="1">
        <f t="shared" ca="1" si="47"/>
        <v>0.25008713594279419</v>
      </c>
      <c r="Z94" s="1">
        <f t="shared" ca="1" si="48"/>
        <v>1984</v>
      </c>
      <c r="AB94" s="1">
        <f t="shared" ca="1" si="49"/>
        <v>0.92083789640715152</v>
      </c>
      <c r="AC94" s="1">
        <f t="shared" ca="1" si="50"/>
        <v>464</v>
      </c>
      <c r="AD94" s="1">
        <f t="shared" ca="1" si="51"/>
        <v>7.726345682586397E-3</v>
      </c>
      <c r="AE94" s="1"/>
      <c r="AF94" s="1">
        <f t="shared" ca="1" si="52"/>
        <v>0.40511160370169441</v>
      </c>
      <c r="AG94" s="1">
        <f t="shared" ca="1" si="53"/>
        <v>233</v>
      </c>
      <c r="AH94" s="1">
        <f t="shared" ca="1" si="54"/>
        <v>4.6273683813756105E-3</v>
      </c>
      <c r="AJ94" s="1">
        <f t="shared" ca="1" si="55"/>
        <v>0.60797042189386763</v>
      </c>
      <c r="AK94" s="1">
        <f t="shared" ca="1" si="56"/>
        <v>4.636893164992141E-3</v>
      </c>
      <c r="AL94" s="1"/>
      <c r="AM94" s="1">
        <f t="shared" ca="1" si="57"/>
        <v>7.4589108175675892E-2</v>
      </c>
      <c r="AN94" s="1">
        <f t="shared" ca="1" si="58"/>
        <v>45</v>
      </c>
      <c r="AO94" s="1">
        <f t="shared" ca="1" si="59"/>
        <v>19</v>
      </c>
    </row>
    <row r="95" spans="2:41" x14ac:dyDescent="0.25">
      <c r="B95">
        <f t="shared" ca="1" si="30"/>
        <v>734</v>
      </c>
      <c r="C95">
        <f t="shared" ca="1" si="31"/>
        <v>28</v>
      </c>
      <c r="D95">
        <f t="shared" ca="1" si="32"/>
        <v>0.16958941588068729</v>
      </c>
      <c r="F95" s="1">
        <f t="shared" ca="1" si="33"/>
        <v>47</v>
      </c>
      <c r="G95" s="1">
        <f t="shared" ca="1" si="34"/>
        <v>14</v>
      </c>
      <c r="H95" s="1">
        <f t="shared" ca="1" si="35"/>
        <v>14</v>
      </c>
      <c r="I95" s="1"/>
      <c r="J95" s="1">
        <f t="shared" ca="1" si="36"/>
        <v>35</v>
      </c>
      <c r="K95" s="1">
        <f t="shared" ca="1" si="37"/>
        <v>1.5507197569811093</v>
      </c>
      <c r="L95" s="1">
        <f t="shared" ca="1" si="38"/>
        <v>20</v>
      </c>
      <c r="M95" s="1"/>
      <c r="N95" s="1">
        <f t="shared" ca="1" si="39"/>
        <v>745</v>
      </c>
      <c r="O95" s="1">
        <f t="shared" ca="1" si="40"/>
        <v>51</v>
      </c>
      <c r="P95" s="1"/>
      <c r="Q95" s="1">
        <f t="shared" ca="1" si="41"/>
        <v>2.2373922504941417</v>
      </c>
      <c r="R95" s="1">
        <f t="shared" ca="1" si="42"/>
        <v>990</v>
      </c>
      <c r="S95" s="1"/>
      <c r="T95" s="1">
        <f t="shared" ca="1" si="43"/>
        <v>8.4911700189061856E-2</v>
      </c>
      <c r="U95" s="1">
        <f t="shared" ca="1" si="44"/>
        <v>291</v>
      </c>
      <c r="V95" s="1">
        <f t="shared" ca="1" si="45"/>
        <v>3</v>
      </c>
      <c r="W95" s="1"/>
      <c r="X95" s="1">
        <f t="shared" ca="1" si="46"/>
        <v>7.3059569813937966</v>
      </c>
      <c r="Y95" s="1">
        <f t="shared" ca="1" si="47"/>
        <v>0.15387292840157774</v>
      </c>
      <c r="Z95" s="1">
        <f t="shared" ca="1" si="48"/>
        <v>922</v>
      </c>
      <c r="AB95" s="1">
        <f t="shared" ca="1" si="49"/>
        <v>0.75246570648623445</v>
      </c>
      <c r="AC95" s="1">
        <f t="shared" ca="1" si="50"/>
        <v>724</v>
      </c>
      <c r="AD95" s="1">
        <f t="shared" ca="1" si="51"/>
        <v>4.1851046366814032E-3</v>
      </c>
      <c r="AE95" s="1"/>
      <c r="AF95" s="1">
        <f t="shared" ca="1" si="52"/>
        <v>0.54525945674104215</v>
      </c>
      <c r="AG95" s="1">
        <f t="shared" ca="1" si="53"/>
        <v>723</v>
      </c>
      <c r="AH95" s="1">
        <f t="shared" ca="1" si="54"/>
        <v>4.8307818335487276E-3</v>
      </c>
      <c r="AJ95" s="1">
        <f t="shared" ca="1" si="55"/>
        <v>3.769449390519708E-3</v>
      </c>
      <c r="AK95" s="1">
        <f t="shared" ca="1" si="56"/>
        <v>1.0909049418025521E-3</v>
      </c>
      <c r="AL95" s="1"/>
      <c r="AM95" s="1">
        <f t="shared" ca="1" si="57"/>
        <v>2.8823692099137963E-2</v>
      </c>
      <c r="AN95" s="1">
        <f t="shared" ca="1" si="58"/>
        <v>33</v>
      </c>
      <c r="AO95" s="1">
        <f t="shared" ca="1" si="59"/>
        <v>20</v>
      </c>
    </row>
    <row r="96" spans="2:41" x14ac:dyDescent="0.25">
      <c r="B96">
        <f t="shared" ca="1" si="30"/>
        <v>36</v>
      </c>
      <c r="C96">
        <f t="shared" ca="1" si="31"/>
        <v>8</v>
      </c>
      <c r="D96">
        <f t="shared" ca="1" si="32"/>
        <v>0.21108997261185958</v>
      </c>
      <c r="F96" s="1">
        <f t="shared" ca="1" si="33"/>
        <v>26</v>
      </c>
      <c r="G96" s="1">
        <f t="shared" ca="1" si="34"/>
        <v>10</v>
      </c>
      <c r="H96" s="1">
        <f t="shared" ca="1" si="35"/>
        <v>14</v>
      </c>
      <c r="I96" s="1"/>
      <c r="J96" s="1">
        <f t="shared" ca="1" si="36"/>
        <v>17</v>
      </c>
      <c r="K96" s="1">
        <f t="shared" ca="1" si="37"/>
        <v>1.6546837069931011</v>
      </c>
      <c r="L96" s="1">
        <f t="shared" ca="1" si="38"/>
        <v>18</v>
      </c>
      <c r="M96" s="1"/>
      <c r="N96" s="1">
        <f t="shared" ca="1" si="39"/>
        <v>407</v>
      </c>
      <c r="O96" s="1">
        <f t="shared" ca="1" si="40"/>
        <v>48</v>
      </c>
      <c r="P96" s="1"/>
      <c r="Q96" s="1">
        <f t="shared" ca="1" si="41"/>
        <v>2.1422712684436429</v>
      </c>
      <c r="R96" s="1">
        <f t="shared" ca="1" si="42"/>
        <v>338</v>
      </c>
      <c r="S96" s="1"/>
      <c r="T96" s="1">
        <f t="shared" ca="1" si="43"/>
        <v>0.13167168427669226</v>
      </c>
      <c r="U96" s="1">
        <f t="shared" ca="1" si="44"/>
        <v>297</v>
      </c>
      <c r="V96" s="1">
        <f t="shared" ca="1" si="45"/>
        <v>10</v>
      </c>
      <c r="W96" s="1"/>
      <c r="X96" s="1">
        <f t="shared" ca="1" si="46"/>
        <v>7.9542613906026638</v>
      </c>
      <c r="Y96" s="1">
        <f t="shared" ca="1" si="47"/>
        <v>0.20750480987810768</v>
      </c>
      <c r="Z96" s="1">
        <f t="shared" ca="1" si="48"/>
        <v>909</v>
      </c>
      <c r="AB96" s="1">
        <f t="shared" ca="1" si="49"/>
        <v>5.2717285044940315E-3</v>
      </c>
      <c r="AC96" s="1">
        <f t="shared" ca="1" si="50"/>
        <v>528</v>
      </c>
      <c r="AD96" s="1">
        <f t="shared" ca="1" si="51"/>
        <v>2.8015342027342535E-3</v>
      </c>
      <c r="AE96" s="1"/>
      <c r="AF96" s="1">
        <f t="shared" ca="1" si="52"/>
        <v>0.8864468458664494</v>
      </c>
      <c r="AG96" s="1">
        <f t="shared" ca="1" si="53"/>
        <v>689</v>
      </c>
      <c r="AH96" s="1">
        <f t="shared" ca="1" si="54"/>
        <v>8.0046738158464394E-3</v>
      </c>
      <c r="AJ96" s="1">
        <f t="shared" ca="1" si="55"/>
        <v>4.4254865359788398E-2</v>
      </c>
      <c r="AK96" s="1">
        <f t="shared" ca="1" si="56"/>
        <v>1.0566898892015073E-3</v>
      </c>
      <c r="AL96" s="1"/>
      <c r="AM96" s="1">
        <f t="shared" ca="1" si="57"/>
        <v>8.2654242717553242E-2</v>
      </c>
      <c r="AN96" s="1">
        <f t="shared" ca="1" si="58"/>
        <v>18</v>
      </c>
      <c r="AO96" s="1">
        <f t="shared" ca="1" si="59"/>
        <v>1</v>
      </c>
    </row>
    <row r="97" spans="2:41" x14ac:dyDescent="0.25">
      <c r="B97">
        <f t="shared" ca="1" si="30"/>
        <v>322</v>
      </c>
      <c r="C97">
        <f t="shared" ca="1" si="31"/>
        <v>38</v>
      </c>
      <c r="D97">
        <f t="shared" ca="1" si="32"/>
        <v>4.2388719103917734E-2</v>
      </c>
      <c r="F97" s="1">
        <f t="shared" ca="1" si="33"/>
        <v>22</v>
      </c>
      <c r="G97" s="1">
        <f t="shared" ca="1" si="34"/>
        <v>21</v>
      </c>
      <c r="H97" s="1">
        <f t="shared" ca="1" si="35"/>
        <v>7</v>
      </c>
      <c r="I97" s="1"/>
      <c r="J97" s="1">
        <f t="shared" ca="1" si="36"/>
        <v>21</v>
      </c>
      <c r="K97" s="1">
        <f t="shared" ca="1" si="37"/>
        <v>2.2680547712582855</v>
      </c>
      <c r="L97" s="1">
        <f t="shared" ca="1" si="38"/>
        <v>26</v>
      </c>
      <c r="M97" s="1"/>
      <c r="N97" s="1">
        <f t="shared" ca="1" si="39"/>
        <v>655</v>
      </c>
      <c r="O97" s="1">
        <f t="shared" ca="1" si="40"/>
        <v>37</v>
      </c>
      <c r="P97" s="1"/>
      <c r="Q97" s="1">
        <f t="shared" ca="1" si="41"/>
        <v>1.5272046573762237</v>
      </c>
      <c r="R97" s="1">
        <f t="shared" ca="1" si="42"/>
        <v>1096</v>
      </c>
      <c r="S97" s="1"/>
      <c r="T97" s="1">
        <f t="shared" ca="1" si="43"/>
        <v>2.9632390878439566E-2</v>
      </c>
      <c r="U97" s="1">
        <f t="shared" ca="1" si="44"/>
        <v>271</v>
      </c>
      <c r="V97" s="1">
        <f t="shared" ca="1" si="45"/>
        <v>52</v>
      </c>
      <c r="W97" s="1"/>
      <c r="X97" s="1">
        <f t="shared" ca="1" si="46"/>
        <v>8.1533442381444043</v>
      </c>
      <c r="Y97" s="1">
        <f t="shared" ca="1" si="47"/>
        <v>0.3513812333331931</v>
      </c>
      <c r="Z97" s="1">
        <f t="shared" ca="1" si="48"/>
        <v>323</v>
      </c>
      <c r="AB97" s="1">
        <f t="shared" ca="1" si="49"/>
        <v>0.98834905335699119</v>
      </c>
      <c r="AC97" s="1">
        <f t="shared" ca="1" si="50"/>
        <v>288</v>
      </c>
      <c r="AD97" s="1">
        <f t="shared" ca="1" si="51"/>
        <v>9.3313494689302402E-4</v>
      </c>
      <c r="AE97" s="1"/>
      <c r="AF97" s="1">
        <f t="shared" ca="1" si="52"/>
        <v>0.62829153096821166</v>
      </c>
      <c r="AG97" s="1">
        <f t="shared" ca="1" si="53"/>
        <v>885</v>
      </c>
      <c r="AH97" s="1">
        <f t="shared" ca="1" si="54"/>
        <v>1.4051360184736616E-3</v>
      </c>
      <c r="AJ97" s="1">
        <f t="shared" ca="1" si="55"/>
        <v>0.14377597967456412</v>
      </c>
      <c r="AK97" s="1">
        <f t="shared" ca="1" si="56"/>
        <v>8.9215355978066492E-3</v>
      </c>
      <c r="AL97" s="1"/>
      <c r="AM97" s="1">
        <f t="shared" ca="1" si="57"/>
        <v>2.4817961761411191E-2</v>
      </c>
      <c r="AN97" s="1">
        <f t="shared" ca="1" si="58"/>
        <v>16</v>
      </c>
      <c r="AO97" s="1">
        <f t="shared" ca="1" si="59"/>
        <v>7</v>
      </c>
    </row>
    <row r="98" spans="2:41" x14ac:dyDescent="0.25">
      <c r="B98">
        <f t="shared" ca="1" si="30"/>
        <v>999</v>
      </c>
      <c r="C98">
        <f t="shared" ca="1" si="31"/>
        <v>31</v>
      </c>
      <c r="D98">
        <f t="shared" ca="1" si="32"/>
        <v>7.9474965265725075E-2</v>
      </c>
      <c r="F98" s="1">
        <f t="shared" ca="1" si="33"/>
        <v>6</v>
      </c>
      <c r="G98" s="1">
        <f t="shared" ca="1" si="34"/>
        <v>21</v>
      </c>
      <c r="H98" s="1">
        <f t="shared" ca="1" si="35"/>
        <v>6</v>
      </c>
      <c r="I98" s="1"/>
      <c r="J98" s="1">
        <f t="shared" ca="1" si="36"/>
        <v>2</v>
      </c>
      <c r="K98" s="1">
        <f t="shared" ca="1" si="37"/>
        <v>1.1345697748315564</v>
      </c>
      <c r="L98" s="1">
        <f t="shared" ca="1" si="38"/>
        <v>34</v>
      </c>
      <c r="M98" s="1"/>
      <c r="N98" s="1">
        <f t="shared" ca="1" si="39"/>
        <v>935</v>
      </c>
      <c r="O98" s="1">
        <f t="shared" ca="1" si="40"/>
        <v>28</v>
      </c>
      <c r="P98" s="1"/>
      <c r="Q98" s="1">
        <f t="shared" ca="1" si="41"/>
        <v>3.5038044633863175</v>
      </c>
      <c r="R98" s="1">
        <f t="shared" ca="1" si="42"/>
        <v>586</v>
      </c>
      <c r="S98" s="1"/>
      <c r="T98" s="1">
        <f t="shared" ca="1" si="43"/>
        <v>0.15857995412161929</v>
      </c>
      <c r="U98" s="1">
        <f t="shared" ca="1" si="44"/>
        <v>88</v>
      </c>
      <c r="V98" s="1">
        <f t="shared" ca="1" si="45"/>
        <v>52</v>
      </c>
      <c r="W98" s="1"/>
      <c r="X98" s="1">
        <f t="shared" ca="1" si="46"/>
        <v>4.9820912623436566</v>
      </c>
      <c r="Y98" s="1">
        <f t="shared" ca="1" si="47"/>
        <v>0.87131997335941602</v>
      </c>
      <c r="Z98" s="1">
        <f t="shared" ca="1" si="48"/>
        <v>1361</v>
      </c>
      <c r="AB98" s="1">
        <f t="shared" ca="1" si="49"/>
        <v>0.44884547182507806</v>
      </c>
      <c r="AC98" s="1">
        <f t="shared" ca="1" si="50"/>
        <v>770</v>
      </c>
      <c r="AD98" s="1">
        <f t="shared" ca="1" si="51"/>
        <v>8.0411758911267638E-3</v>
      </c>
      <c r="AE98" s="1"/>
      <c r="AF98" s="1">
        <f t="shared" ca="1" si="52"/>
        <v>0.86697757638512873</v>
      </c>
      <c r="AG98" s="1">
        <f t="shared" ca="1" si="53"/>
        <v>415</v>
      </c>
      <c r="AH98" s="1">
        <f t="shared" ca="1" si="54"/>
        <v>1.6642945781102842E-3</v>
      </c>
      <c r="AJ98" s="1">
        <f t="shared" ca="1" si="55"/>
        <v>0.25909608590285571</v>
      </c>
      <c r="AK98" s="1">
        <f t="shared" ca="1" si="56"/>
        <v>9.550942867183547E-3</v>
      </c>
      <c r="AL98" s="1"/>
      <c r="AM98" s="1">
        <f t="shared" ca="1" si="57"/>
        <v>6.0831251794705297E-2</v>
      </c>
      <c r="AN98" s="1">
        <f t="shared" ca="1" si="58"/>
        <v>63</v>
      </c>
      <c r="AO98" s="1">
        <f t="shared" ca="1" si="59"/>
        <v>5</v>
      </c>
    </row>
    <row r="99" spans="2:41" x14ac:dyDescent="0.25">
      <c r="B99">
        <f t="shared" ca="1" si="30"/>
        <v>368</v>
      </c>
      <c r="C99">
        <f t="shared" ca="1" si="31"/>
        <v>32</v>
      </c>
      <c r="D99">
        <f t="shared" ca="1" si="32"/>
        <v>0.21270892073238667</v>
      </c>
      <c r="F99" s="1">
        <f t="shared" ca="1" si="33"/>
        <v>37</v>
      </c>
      <c r="G99" s="1">
        <f t="shared" ca="1" si="34"/>
        <v>18</v>
      </c>
      <c r="H99" s="1">
        <f t="shared" ca="1" si="35"/>
        <v>7</v>
      </c>
      <c r="I99" s="1"/>
      <c r="J99" s="1">
        <f t="shared" ca="1" si="36"/>
        <v>21</v>
      </c>
      <c r="K99" s="1">
        <f t="shared" ca="1" si="37"/>
        <v>1.1967905638185867</v>
      </c>
      <c r="L99" s="1">
        <f t="shared" ca="1" si="38"/>
        <v>12</v>
      </c>
      <c r="M99" s="1"/>
      <c r="N99" s="1">
        <f t="shared" ca="1" si="39"/>
        <v>289</v>
      </c>
      <c r="O99" s="1">
        <f t="shared" ca="1" si="40"/>
        <v>3</v>
      </c>
      <c r="P99" s="1"/>
      <c r="Q99" s="1">
        <f t="shared" ca="1" si="41"/>
        <v>4.4270409499713086</v>
      </c>
      <c r="R99" s="1">
        <f t="shared" ca="1" si="42"/>
        <v>1160</v>
      </c>
      <c r="S99" s="1"/>
      <c r="T99" s="1">
        <f t="shared" ca="1" si="43"/>
        <v>0.15192506552419099</v>
      </c>
      <c r="U99" s="1">
        <f t="shared" ca="1" si="44"/>
        <v>412</v>
      </c>
      <c r="V99" s="1">
        <f t="shared" ca="1" si="45"/>
        <v>46</v>
      </c>
      <c r="W99" s="1"/>
      <c r="X99" s="1">
        <f t="shared" ca="1" si="46"/>
        <v>3.6468198420770217</v>
      </c>
      <c r="Y99" s="1">
        <f t="shared" ca="1" si="47"/>
        <v>0.84367309841371785</v>
      </c>
      <c r="Z99" s="1">
        <f t="shared" ca="1" si="48"/>
        <v>1526</v>
      </c>
      <c r="AB99" s="1">
        <f t="shared" ca="1" si="49"/>
        <v>1.6575242968309381E-2</v>
      </c>
      <c r="AC99" s="1">
        <f t="shared" ca="1" si="50"/>
        <v>777</v>
      </c>
      <c r="AD99" s="1">
        <f t="shared" ca="1" si="51"/>
        <v>7.2248336040732085E-4</v>
      </c>
      <c r="AE99" s="1"/>
      <c r="AF99" s="1">
        <f t="shared" ca="1" si="52"/>
        <v>0.80278003036416912</v>
      </c>
      <c r="AG99" s="1">
        <f t="shared" ca="1" si="53"/>
        <v>816</v>
      </c>
      <c r="AH99" s="1">
        <f t="shared" ca="1" si="54"/>
        <v>7.2364398276865806E-3</v>
      </c>
      <c r="AJ99" s="1">
        <f t="shared" ca="1" si="55"/>
        <v>7.3558074967582598E-2</v>
      </c>
      <c r="AK99" s="1">
        <f t="shared" ca="1" si="56"/>
        <v>3.0221391145806311E-3</v>
      </c>
      <c r="AL99" s="1"/>
      <c r="AM99" s="1">
        <f t="shared" ca="1" si="57"/>
        <v>8.6724839830802578E-2</v>
      </c>
      <c r="AN99" s="1">
        <f t="shared" ca="1" si="58"/>
        <v>51</v>
      </c>
      <c r="AO99" s="1">
        <f t="shared" ca="1" si="59"/>
        <v>9</v>
      </c>
    </row>
    <row r="100" spans="2:41" x14ac:dyDescent="0.25">
      <c r="B100">
        <f t="shared" ca="1" si="30"/>
        <v>965</v>
      </c>
      <c r="C100">
        <f t="shared" ca="1" si="31"/>
        <v>42</v>
      </c>
      <c r="D100">
        <f t="shared" ca="1" si="32"/>
        <v>0.13446445524136422</v>
      </c>
      <c r="F100" s="1">
        <f t="shared" ca="1" si="33"/>
        <v>12</v>
      </c>
      <c r="G100" s="1">
        <f t="shared" ca="1" si="34"/>
        <v>21</v>
      </c>
      <c r="H100" s="1">
        <f t="shared" ca="1" si="35"/>
        <v>15</v>
      </c>
      <c r="I100" s="1"/>
      <c r="J100" s="1">
        <f t="shared" ca="1" si="36"/>
        <v>1</v>
      </c>
      <c r="K100" s="1">
        <f t="shared" ca="1" si="37"/>
        <v>2.2438842063332984</v>
      </c>
      <c r="L100" s="1">
        <f t="shared" ca="1" si="38"/>
        <v>7</v>
      </c>
      <c r="M100" s="1"/>
      <c r="N100" s="1">
        <f t="shared" ca="1" si="39"/>
        <v>280</v>
      </c>
      <c r="O100" s="1">
        <f t="shared" ca="1" si="40"/>
        <v>6</v>
      </c>
      <c r="P100" s="1"/>
      <c r="Q100" s="1">
        <f t="shared" ca="1" si="41"/>
        <v>0.59383111248909093</v>
      </c>
      <c r="R100" s="1">
        <f t="shared" ca="1" si="42"/>
        <v>530</v>
      </c>
      <c r="S100" s="1"/>
      <c r="T100" s="1">
        <f t="shared" ca="1" si="43"/>
        <v>0.12879217519780836</v>
      </c>
      <c r="U100" s="1">
        <f t="shared" ca="1" si="44"/>
        <v>264</v>
      </c>
      <c r="V100" s="1">
        <f t="shared" ca="1" si="45"/>
        <v>51</v>
      </c>
      <c r="W100" s="1"/>
      <c r="X100" s="1">
        <f t="shared" ca="1" si="46"/>
        <v>4.9554217213455169</v>
      </c>
      <c r="Y100" s="1">
        <f t="shared" ca="1" si="47"/>
        <v>0.20389242464379001</v>
      </c>
      <c r="Z100" s="1">
        <f t="shared" ca="1" si="48"/>
        <v>327</v>
      </c>
      <c r="AB100" s="1">
        <f t="shared" ca="1" si="49"/>
        <v>0.4378055478077863</v>
      </c>
      <c r="AC100" s="1">
        <f t="shared" ca="1" si="50"/>
        <v>771</v>
      </c>
      <c r="AD100" s="1">
        <f t="shared" ca="1" si="51"/>
        <v>7.3789201457972057E-3</v>
      </c>
      <c r="AE100" s="1"/>
      <c r="AF100" s="1">
        <f t="shared" ca="1" si="52"/>
        <v>0.38373411858796369</v>
      </c>
      <c r="AG100" s="1">
        <f t="shared" ca="1" si="53"/>
        <v>443</v>
      </c>
      <c r="AH100" s="1">
        <f t="shared" ca="1" si="54"/>
        <v>6.5911743084506554E-4</v>
      </c>
      <c r="AJ100" s="1">
        <f t="shared" ca="1" si="55"/>
        <v>0.26087840454231592</v>
      </c>
      <c r="AK100" s="1">
        <f t="shared" ca="1" si="56"/>
        <v>3.0703526151649894E-3</v>
      </c>
      <c r="AL100" s="1"/>
      <c r="AM100" s="1">
        <f t="shared" ca="1" si="57"/>
        <v>0.10268248597650387</v>
      </c>
      <c r="AN100" s="1">
        <f t="shared" ca="1" si="58"/>
        <v>19</v>
      </c>
      <c r="AO100" s="1">
        <f t="shared" ca="1" si="59"/>
        <v>6</v>
      </c>
    </row>
    <row r="101" spans="2:41" x14ac:dyDescent="0.25">
      <c r="B101">
        <f t="shared" ca="1" si="30"/>
        <v>638</v>
      </c>
      <c r="C101">
        <f t="shared" ca="1" si="31"/>
        <v>30</v>
      </c>
      <c r="D101">
        <f t="shared" ca="1" si="32"/>
        <v>0.15759944165541215</v>
      </c>
      <c r="F101" s="1">
        <f t="shared" ca="1" si="33"/>
        <v>50</v>
      </c>
      <c r="G101" s="1">
        <f t="shared" ca="1" si="34"/>
        <v>15</v>
      </c>
      <c r="H101" s="1">
        <f t="shared" ca="1" si="35"/>
        <v>9</v>
      </c>
      <c r="I101" s="1"/>
      <c r="J101" s="1">
        <f t="shared" ca="1" si="36"/>
        <v>33</v>
      </c>
      <c r="K101" s="1">
        <f t="shared" ca="1" si="37"/>
        <v>2.1137651657190859</v>
      </c>
      <c r="L101" s="1">
        <f t="shared" ca="1" si="38"/>
        <v>2</v>
      </c>
      <c r="M101" s="1"/>
      <c r="N101" s="1">
        <f t="shared" ca="1" si="39"/>
        <v>544</v>
      </c>
      <c r="O101" s="1">
        <f t="shared" ca="1" si="40"/>
        <v>10</v>
      </c>
      <c r="P101" s="1"/>
      <c r="Q101" s="1">
        <f t="shared" ca="1" si="41"/>
        <v>4.3885642193789547</v>
      </c>
      <c r="R101" s="1">
        <f t="shared" ca="1" si="42"/>
        <v>809</v>
      </c>
      <c r="S101" s="1"/>
      <c r="T101" s="1">
        <f t="shared" ca="1" si="43"/>
        <v>1.8717908978755183E-2</v>
      </c>
      <c r="U101" s="1">
        <f t="shared" ca="1" si="44"/>
        <v>448</v>
      </c>
      <c r="V101" s="1">
        <f t="shared" ca="1" si="45"/>
        <v>14</v>
      </c>
      <c r="W101" s="1"/>
      <c r="X101" s="1">
        <f t="shared" ca="1" si="46"/>
        <v>6.8696463067140909</v>
      </c>
      <c r="Y101" s="1">
        <f t="shared" ca="1" si="47"/>
        <v>0.87907321201952693</v>
      </c>
      <c r="Z101" s="1">
        <f t="shared" ca="1" si="48"/>
        <v>1809</v>
      </c>
      <c r="AB101" s="1">
        <f t="shared" ca="1" si="49"/>
        <v>0.57425151002017349</v>
      </c>
      <c r="AC101" s="1">
        <f t="shared" ca="1" si="50"/>
        <v>450</v>
      </c>
      <c r="AD101" s="1">
        <f t="shared" ca="1" si="51"/>
        <v>5.4421105442314993E-3</v>
      </c>
      <c r="AE101" s="1"/>
      <c r="AF101" s="1">
        <f t="shared" ca="1" si="52"/>
        <v>0.36368689046181701</v>
      </c>
      <c r="AG101" s="1">
        <f t="shared" ca="1" si="53"/>
        <v>251</v>
      </c>
      <c r="AH101" s="1">
        <f t="shared" ca="1" si="54"/>
        <v>1.3404553406367134E-3</v>
      </c>
      <c r="AJ101" s="1">
        <f t="shared" ca="1" si="55"/>
        <v>0.93469317541091546</v>
      </c>
      <c r="AK101" s="1">
        <f t="shared" ca="1" si="56"/>
        <v>4.1105647045453445E-3</v>
      </c>
      <c r="AL101" s="1"/>
      <c r="AM101" s="1">
        <f t="shared" ca="1" si="57"/>
        <v>0.14492774753602411</v>
      </c>
      <c r="AN101" s="1">
        <f t="shared" ca="1" si="58"/>
        <v>68</v>
      </c>
      <c r="AO101" s="1">
        <f t="shared" ca="1" si="59"/>
        <v>1</v>
      </c>
    </row>
    <row r="102" spans="2:41" x14ac:dyDescent="0.25">
      <c r="B102">
        <f t="shared" ca="1" si="30"/>
        <v>474</v>
      </c>
      <c r="C102">
        <f t="shared" ca="1" si="31"/>
        <v>24</v>
      </c>
      <c r="D102">
        <f t="shared" ca="1" si="32"/>
        <v>3.0960457812039308E-2</v>
      </c>
      <c r="F102" s="1">
        <f t="shared" ca="1" si="33"/>
        <v>5</v>
      </c>
      <c r="G102" s="1">
        <f t="shared" ca="1" si="34"/>
        <v>27</v>
      </c>
      <c r="H102" s="1">
        <f t="shared" ca="1" si="35"/>
        <v>1</v>
      </c>
      <c r="I102" s="1"/>
      <c r="J102" s="1">
        <f t="shared" ca="1" si="36"/>
        <v>29</v>
      </c>
      <c r="K102" s="1">
        <f t="shared" ca="1" si="37"/>
        <v>1.3765858153099158</v>
      </c>
      <c r="L102" s="1">
        <f t="shared" ca="1" si="38"/>
        <v>6</v>
      </c>
      <c r="M102" s="1"/>
      <c r="N102" s="1">
        <f t="shared" ca="1" si="39"/>
        <v>993</v>
      </c>
      <c r="O102" s="1">
        <f t="shared" ca="1" si="40"/>
        <v>24</v>
      </c>
      <c r="P102" s="1"/>
      <c r="Q102" s="1">
        <f t="shared" ca="1" si="41"/>
        <v>0.16222619399866983</v>
      </c>
      <c r="R102" s="1">
        <f t="shared" ca="1" si="42"/>
        <v>1013</v>
      </c>
      <c r="S102" s="1"/>
      <c r="T102" s="1">
        <f t="shared" ca="1" si="43"/>
        <v>6.7339867274314458E-2</v>
      </c>
      <c r="U102" s="1">
        <f t="shared" ca="1" si="44"/>
        <v>88</v>
      </c>
      <c r="V102" s="1">
        <f t="shared" ca="1" si="45"/>
        <v>14</v>
      </c>
      <c r="W102" s="1"/>
      <c r="X102" s="1">
        <f t="shared" ca="1" si="46"/>
        <v>5.1130735132980929</v>
      </c>
      <c r="Y102" s="1">
        <f t="shared" ca="1" si="47"/>
        <v>0.42466767146624723</v>
      </c>
      <c r="Z102" s="1">
        <f t="shared" ca="1" si="48"/>
        <v>1573</v>
      </c>
      <c r="AB102" s="1">
        <f t="shared" ca="1" si="49"/>
        <v>0.23281534117298788</v>
      </c>
      <c r="AC102" s="1">
        <f t="shared" ca="1" si="50"/>
        <v>999</v>
      </c>
      <c r="AD102" s="1">
        <f t="shared" ca="1" si="51"/>
        <v>2.9413239340585554E-4</v>
      </c>
      <c r="AE102" s="1"/>
      <c r="AF102" s="1">
        <f t="shared" ca="1" si="52"/>
        <v>0.79521140722936157</v>
      </c>
      <c r="AG102" s="1">
        <f t="shared" ca="1" si="53"/>
        <v>877</v>
      </c>
      <c r="AH102" s="1">
        <f t="shared" ca="1" si="54"/>
        <v>1.6564679223296515E-3</v>
      </c>
      <c r="AJ102" s="1">
        <f t="shared" ca="1" si="55"/>
        <v>0.44112559523095307</v>
      </c>
      <c r="AK102" s="1">
        <f t="shared" ca="1" si="56"/>
        <v>5.5005138166182915E-3</v>
      </c>
      <c r="AL102" s="1"/>
      <c r="AM102" s="1">
        <f t="shared" ca="1" si="57"/>
        <v>7.4469351257570621E-2</v>
      </c>
      <c r="AN102" s="1">
        <f t="shared" ca="1" si="58"/>
        <v>58</v>
      </c>
      <c r="AO102" s="1">
        <f t="shared" ca="1" si="59"/>
        <v>1</v>
      </c>
    </row>
    <row r="103" spans="2:41" x14ac:dyDescent="0.25">
      <c r="B103">
        <f t="shared" ca="1" si="30"/>
        <v>450</v>
      </c>
      <c r="C103">
        <f t="shared" ca="1" si="31"/>
        <v>22</v>
      </c>
      <c r="D103">
        <f t="shared" ca="1" si="32"/>
        <v>0.1540316841063567</v>
      </c>
      <c r="F103" s="1">
        <f t="shared" ca="1" si="33"/>
        <v>50</v>
      </c>
      <c r="G103" s="1">
        <f t="shared" ca="1" si="34"/>
        <v>11</v>
      </c>
      <c r="H103" s="1">
        <f t="shared" ca="1" si="35"/>
        <v>13</v>
      </c>
      <c r="I103" s="1"/>
      <c r="J103" s="1">
        <f t="shared" ca="1" si="36"/>
        <v>38</v>
      </c>
      <c r="K103" s="1">
        <f t="shared" ca="1" si="37"/>
        <v>2.653802473141468</v>
      </c>
      <c r="L103" s="1">
        <f t="shared" ca="1" si="38"/>
        <v>9</v>
      </c>
      <c r="M103" s="1"/>
      <c r="N103" s="1">
        <f t="shared" ca="1" si="39"/>
        <v>477</v>
      </c>
      <c r="O103" s="1">
        <f t="shared" ca="1" si="40"/>
        <v>5</v>
      </c>
      <c r="P103" s="1"/>
      <c r="Q103" s="1">
        <f t="shared" ca="1" si="41"/>
        <v>4.3875863996680371</v>
      </c>
      <c r="R103" s="1">
        <f t="shared" ca="1" si="42"/>
        <v>495</v>
      </c>
      <c r="S103" s="1"/>
      <c r="T103" s="1">
        <f t="shared" ca="1" si="43"/>
        <v>7.8685145036842402E-2</v>
      </c>
      <c r="U103" s="1">
        <f t="shared" ca="1" si="44"/>
        <v>101</v>
      </c>
      <c r="V103" s="1">
        <f t="shared" ca="1" si="45"/>
        <v>29</v>
      </c>
      <c r="W103" s="1"/>
      <c r="X103" s="1">
        <f t="shared" ca="1" si="46"/>
        <v>2.0374931045998368</v>
      </c>
      <c r="Y103" s="1">
        <f t="shared" ca="1" si="47"/>
        <v>0.18265035623620418</v>
      </c>
      <c r="Z103" s="1">
        <f t="shared" ca="1" si="48"/>
        <v>689</v>
      </c>
      <c r="AB103" s="1">
        <f t="shared" ca="1" si="49"/>
        <v>8.2068241241976009E-2</v>
      </c>
      <c r="AC103" s="1">
        <f t="shared" ca="1" si="50"/>
        <v>407</v>
      </c>
      <c r="AD103" s="1">
        <f t="shared" ca="1" si="51"/>
        <v>1.0453494191264333E-3</v>
      </c>
      <c r="AE103" s="1"/>
      <c r="AF103" s="1">
        <f t="shared" ca="1" si="52"/>
        <v>0.84018344969949321</v>
      </c>
      <c r="AG103" s="1">
        <f t="shared" ca="1" si="53"/>
        <v>988</v>
      </c>
      <c r="AH103" s="1">
        <f t="shared" ca="1" si="54"/>
        <v>9.5938955235798061E-3</v>
      </c>
      <c r="AJ103" s="1">
        <f t="shared" ca="1" si="55"/>
        <v>0.79883958951694067</v>
      </c>
      <c r="AK103" s="1">
        <f t="shared" ca="1" si="56"/>
        <v>2.218241208124899E-3</v>
      </c>
      <c r="AL103" s="1"/>
      <c r="AM103" s="1">
        <f t="shared" ca="1" si="57"/>
        <v>0.12368896481045454</v>
      </c>
      <c r="AN103" s="1">
        <f t="shared" ca="1" si="58"/>
        <v>15</v>
      </c>
      <c r="AO103" s="1">
        <f t="shared" ca="1" si="59"/>
        <v>2</v>
      </c>
    </row>
    <row r="104" spans="2:41" x14ac:dyDescent="0.25">
      <c r="B104">
        <f t="shared" ca="1" si="30"/>
        <v>705</v>
      </c>
      <c r="C104">
        <f t="shared" ca="1" si="31"/>
        <v>36</v>
      </c>
      <c r="D104">
        <f t="shared" ca="1" si="32"/>
        <v>0.16722852646188335</v>
      </c>
      <c r="F104" s="1">
        <f t="shared" ca="1" si="33"/>
        <v>4</v>
      </c>
      <c r="G104" s="1">
        <f t="shared" ca="1" si="34"/>
        <v>20</v>
      </c>
      <c r="H104" s="1">
        <f t="shared" ca="1" si="35"/>
        <v>2</v>
      </c>
      <c r="I104" s="1"/>
      <c r="J104" s="1">
        <f t="shared" ca="1" si="36"/>
        <v>9</v>
      </c>
      <c r="K104" s="1">
        <f t="shared" ca="1" si="37"/>
        <v>2.8630647056174059</v>
      </c>
      <c r="L104" s="1">
        <f t="shared" ca="1" si="38"/>
        <v>13</v>
      </c>
      <c r="M104" s="1"/>
      <c r="N104" s="1">
        <f t="shared" ca="1" si="39"/>
        <v>715</v>
      </c>
      <c r="O104" s="1">
        <f t="shared" ca="1" si="40"/>
        <v>49</v>
      </c>
      <c r="P104" s="1"/>
      <c r="Q104" s="1">
        <f t="shared" ca="1" si="41"/>
        <v>3.8128367848008331</v>
      </c>
      <c r="R104" s="1">
        <f t="shared" ca="1" si="42"/>
        <v>1159</v>
      </c>
      <c r="S104" s="1"/>
      <c r="T104" s="1">
        <f t="shared" ca="1" si="43"/>
        <v>0.10481686466750838</v>
      </c>
      <c r="U104" s="1">
        <f t="shared" ca="1" si="44"/>
        <v>320</v>
      </c>
      <c r="V104" s="1">
        <f t="shared" ca="1" si="45"/>
        <v>5</v>
      </c>
      <c r="W104" s="1"/>
      <c r="X104" s="1">
        <f t="shared" ca="1" si="46"/>
        <v>7.7472318955024946</v>
      </c>
      <c r="Y104" s="1">
        <f t="shared" ca="1" si="47"/>
        <v>0.74062230760989445</v>
      </c>
      <c r="Z104" s="1">
        <f t="shared" ca="1" si="48"/>
        <v>919</v>
      </c>
      <c r="AB104" s="1">
        <f t="shared" ca="1" si="49"/>
        <v>0.62936457161753367</v>
      </c>
      <c r="AC104" s="1">
        <f t="shared" ca="1" si="50"/>
        <v>791</v>
      </c>
      <c r="AD104" s="1">
        <f t="shared" ca="1" si="51"/>
        <v>1.9900985899367497E-3</v>
      </c>
      <c r="AE104" s="1"/>
      <c r="AF104" s="1">
        <f t="shared" ca="1" si="52"/>
        <v>0.67568930992161302</v>
      </c>
      <c r="AG104" s="1">
        <f t="shared" ca="1" si="53"/>
        <v>521</v>
      </c>
      <c r="AH104" s="1">
        <f t="shared" ca="1" si="54"/>
        <v>7.550079697330239E-3</v>
      </c>
      <c r="AJ104" s="1">
        <f t="shared" ca="1" si="55"/>
        <v>0.97398556780380841</v>
      </c>
      <c r="AK104" s="1">
        <f t="shared" ca="1" si="56"/>
        <v>8.7092597485238996E-3</v>
      </c>
      <c r="AL104" s="1"/>
      <c r="AM104" s="1">
        <f t="shared" ca="1" si="57"/>
        <v>2.9505019233732232E-2</v>
      </c>
      <c r="AN104" s="1">
        <f t="shared" ca="1" si="58"/>
        <v>24</v>
      </c>
      <c r="AO104" s="1">
        <f t="shared" ca="1" si="59"/>
        <v>0</v>
      </c>
    </row>
    <row r="105" spans="2:41" x14ac:dyDescent="0.25">
      <c r="B105">
        <f t="shared" ca="1" si="30"/>
        <v>733</v>
      </c>
      <c r="C105">
        <f t="shared" ca="1" si="31"/>
        <v>38</v>
      </c>
      <c r="D105">
        <f t="shared" ca="1" si="32"/>
        <v>0.26501927293975941</v>
      </c>
      <c r="F105" s="1">
        <f t="shared" ca="1" si="33"/>
        <v>46</v>
      </c>
      <c r="G105" s="1">
        <f t="shared" ca="1" si="34"/>
        <v>8</v>
      </c>
      <c r="H105" s="1">
        <f t="shared" ca="1" si="35"/>
        <v>4</v>
      </c>
      <c r="I105" s="1"/>
      <c r="J105" s="1">
        <f t="shared" ca="1" si="36"/>
        <v>1</v>
      </c>
      <c r="K105" s="1">
        <f t="shared" ca="1" si="37"/>
        <v>1.0810352387490214</v>
      </c>
      <c r="L105" s="1">
        <f t="shared" ca="1" si="38"/>
        <v>22</v>
      </c>
      <c r="M105" s="1"/>
      <c r="N105" s="1">
        <f t="shared" ca="1" si="39"/>
        <v>251</v>
      </c>
      <c r="O105" s="1">
        <f t="shared" ca="1" si="40"/>
        <v>20</v>
      </c>
      <c r="P105" s="1"/>
      <c r="Q105" s="1">
        <f t="shared" ca="1" si="41"/>
        <v>0.49130966171118634</v>
      </c>
      <c r="R105" s="1">
        <f t="shared" ca="1" si="42"/>
        <v>405</v>
      </c>
      <c r="S105" s="1"/>
      <c r="T105" s="1">
        <f t="shared" ca="1" si="43"/>
        <v>2.2850223856654056E-2</v>
      </c>
      <c r="U105" s="1">
        <f t="shared" ca="1" si="44"/>
        <v>210</v>
      </c>
      <c r="V105" s="1">
        <f t="shared" ca="1" si="45"/>
        <v>50</v>
      </c>
      <c r="W105" s="1"/>
      <c r="X105" s="1">
        <f t="shared" ca="1" si="46"/>
        <v>0.63973263770476951</v>
      </c>
      <c r="Y105" s="1">
        <f t="shared" ca="1" si="47"/>
        <v>0.88862989866173414</v>
      </c>
      <c r="Z105" s="1">
        <f t="shared" ca="1" si="48"/>
        <v>283</v>
      </c>
      <c r="AB105" s="1">
        <f t="shared" ca="1" si="49"/>
        <v>0.69568286063255713</v>
      </c>
      <c r="AC105" s="1">
        <f t="shared" ca="1" si="50"/>
        <v>509</v>
      </c>
      <c r="AD105" s="1">
        <f t="shared" ca="1" si="51"/>
        <v>7.1508269752942142E-3</v>
      </c>
      <c r="AE105" s="1"/>
      <c r="AF105" s="1">
        <f t="shared" ca="1" si="52"/>
        <v>0.6170789536485517</v>
      </c>
      <c r="AG105" s="1">
        <f t="shared" ca="1" si="53"/>
        <v>403</v>
      </c>
      <c r="AH105" s="1">
        <f t="shared" ca="1" si="54"/>
        <v>7.9685760666077538E-3</v>
      </c>
      <c r="AJ105" s="1">
        <f t="shared" ca="1" si="55"/>
        <v>0.23548415390946442</v>
      </c>
      <c r="AK105" s="1">
        <f t="shared" ca="1" si="56"/>
        <v>4.486810585513131E-3</v>
      </c>
      <c r="AL105" s="1"/>
      <c r="AM105" s="1">
        <f t="shared" ca="1" si="57"/>
        <v>8.9410916589718795E-2</v>
      </c>
      <c r="AN105" s="1">
        <f t="shared" ca="1" si="58"/>
        <v>21</v>
      </c>
      <c r="AO105" s="1">
        <f t="shared" ca="1" si="59"/>
        <v>7</v>
      </c>
    </row>
    <row r="106" spans="2:41" x14ac:dyDescent="0.25">
      <c r="B106">
        <f t="shared" ca="1" si="30"/>
        <v>984</v>
      </c>
      <c r="C106">
        <f t="shared" ca="1" si="31"/>
        <v>16</v>
      </c>
      <c r="D106">
        <f t="shared" ca="1" si="32"/>
        <v>0.23644229639456424</v>
      </c>
      <c r="F106" s="1">
        <f t="shared" ca="1" si="33"/>
        <v>23</v>
      </c>
      <c r="G106" s="1">
        <f t="shared" ca="1" si="34"/>
        <v>20</v>
      </c>
      <c r="H106" s="1">
        <f t="shared" ca="1" si="35"/>
        <v>11</v>
      </c>
      <c r="I106" s="1"/>
      <c r="J106" s="1">
        <f t="shared" ca="1" si="36"/>
        <v>39</v>
      </c>
      <c r="K106" s="1">
        <f t="shared" ca="1" si="37"/>
        <v>2.812064740107175</v>
      </c>
      <c r="L106" s="1">
        <f t="shared" ca="1" si="38"/>
        <v>33</v>
      </c>
      <c r="M106" s="1"/>
      <c r="N106" s="1">
        <f t="shared" ca="1" si="39"/>
        <v>381</v>
      </c>
      <c r="O106" s="1">
        <f t="shared" ca="1" si="40"/>
        <v>29</v>
      </c>
      <c r="P106" s="1"/>
      <c r="Q106" s="1">
        <f t="shared" ca="1" si="41"/>
        <v>0.94001914895545269</v>
      </c>
      <c r="R106" s="1">
        <f t="shared" ca="1" si="42"/>
        <v>895</v>
      </c>
      <c r="S106" s="1"/>
      <c r="T106" s="1">
        <f t="shared" ca="1" si="43"/>
        <v>0.1489785466067246</v>
      </c>
      <c r="U106" s="1">
        <f t="shared" ca="1" si="44"/>
        <v>411</v>
      </c>
      <c r="V106" s="1">
        <f t="shared" ca="1" si="45"/>
        <v>40</v>
      </c>
      <c r="W106" s="1"/>
      <c r="X106" s="1">
        <f t="shared" ca="1" si="46"/>
        <v>3.3180093796172194</v>
      </c>
      <c r="Y106" s="1">
        <f t="shared" ca="1" si="47"/>
        <v>0.23167869078110925</v>
      </c>
      <c r="Z106" s="1">
        <f t="shared" ca="1" si="48"/>
        <v>1859</v>
      </c>
      <c r="AB106" s="1">
        <f t="shared" ca="1" si="49"/>
        <v>0.36928166962858028</v>
      </c>
      <c r="AC106" s="1">
        <f t="shared" ca="1" si="50"/>
        <v>757</v>
      </c>
      <c r="AD106" s="1">
        <f t="shared" ca="1" si="51"/>
        <v>4.9439351162271668E-3</v>
      </c>
      <c r="AE106" s="1"/>
      <c r="AF106" s="1">
        <f t="shared" ca="1" si="52"/>
        <v>0.78521147510008471</v>
      </c>
      <c r="AG106" s="1">
        <f t="shared" ca="1" si="53"/>
        <v>935</v>
      </c>
      <c r="AH106" s="1">
        <f t="shared" ca="1" si="54"/>
        <v>3.7539888036515869E-3</v>
      </c>
      <c r="AJ106" s="1">
        <f t="shared" ca="1" si="55"/>
        <v>0.4665067130330357</v>
      </c>
      <c r="AK106" s="1">
        <f t="shared" ca="1" si="56"/>
        <v>2.5184491413091895E-3</v>
      </c>
      <c r="AL106" s="1"/>
      <c r="AM106" s="1">
        <f t="shared" ca="1" si="57"/>
        <v>3.4180040909934539E-2</v>
      </c>
      <c r="AN106" s="1">
        <f t="shared" ca="1" si="58"/>
        <v>78</v>
      </c>
      <c r="AO106" s="1">
        <f t="shared" ca="1" si="59"/>
        <v>15</v>
      </c>
    </row>
    <row r="107" spans="2:41" x14ac:dyDescent="0.25">
      <c r="B107">
        <f t="shared" ca="1" si="30"/>
        <v>744</v>
      </c>
      <c r="C107">
        <f t="shared" ca="1" si="31"/>
        <v>9</v>
      </c>
      <c r="D107">
        <f t="shared" ca="1" si="32"/>
        <v>2.392233572788505E-2</v>
      </c>
      <c r="F107" s="1">
        <f t="shared" ca="1" si="33"/>
        <v>26</v>
      </c>
      <c r="G107" s="1">
        <f t="shared" ca="1" si="34"/>
        <v>15</v>
      </c>
      <c r="H107" s="1">
        <f t="shared" ca="1" si="35"/>
        <v>12</v>
      </c>
      <c r="I107" s="1"/>
      <c r="J107" s="1">
        <f t="shared" ca="1" si="36"/>
        <v>20</v>
      </c>
      <c r="K107" s="1">
        <f t="shared" ca="1" si="37"/>
        <v>2.4470490161460372</v>
      </c>
      <c r="L107" s="1">
        <f t="shared" ca="1" si="38"/>
        <v>12</v>
      </c>
      <c r="M107" s="1"/>
      <c r="N107" s="1">
        <f t="shared" ca="1" si="39"/>
        <v>944</v>
      </c>
      <c r="O107" s="1">
        <f t="shared" ca="1" si="40"/>
        <v>29</v>
      </c>
      <c r="P107" s="1"/>
      <c r="Q107" s="1">
        <f t="shared" ca="1" si="41"/>
        <v>2.6835330392000598</v>
      </c>
      <c r="R107" s="1">
        <f t="shared" ca="1" si="42"/>
        <v>1196</v>
      </c>
      <c r="S107" s="1"/>
      <c r="T107" s="1">
        <f t="shared" ca="1" si="43"/>
        <v>3.3802245630854572E-2</v>
      </c>
      <c r="U107" s="1">
        <f t="shared" ca="1" si="44"/>
        <v>94</v>
      </c>
      <c r="V107" s="1">
        <f t="shared" ca="1" si="45"/>
        <v>35</v>
      </c>
      <c r="W107" s="1"/>
      <c r="X107" s="1">
        <f t="shared" ca="1" si="46"/>
        <v>0.99522631226456337</v>
      </c>
      <c r="Y107" s="1">
        <f t="shared" ca="1" si="47"/>
        <v>0.1784866382115545</v>
      </c>
      <c r="Z107" s="1">
        <f t="shared" ca="1" si="48"/>
        <v>1366</v>
      </c>
      <c r="AB107" s="1">
        <f t="shared" ca="1" si="49"/>
        <v>0.47486204003890503</v>
      </c>
      <c r="AC107" s="1">
        <f t="shared" ca="1" si="50"/>
        <v>239</v>
      </c>
      <c r="AD107" s="1">
        <f t="shared" ca="1" si="51"/>
        <v>5.1293736817674858E-5</v>
      </c>
      <c r="AE107" s="1"/>
      <c r="AF107" s="1">
        <f t="shared" ca="1" si="52"/>
        <v>0.28266788472301851</v>
      </c>
      <c r="AG107" s="1">
        <f t="shared" ca="1" si="53"/>
        <v>377</v>
      </c>
      <c r="AH107" s="1">
        <f t="shared" ca="1" si="54"/>
        <v>5.5602425808104787E-3</v>
      </c>
      <c r="AJ107" s="1">
        <f t="shared" ca="1" si="55"/>
        <v>0.83166333227888001</v>
      </c>
      <c r="AK107" s="1">
        <f t="shared" ca="1" si="56"/>
        <v>7.0628265469084338E-3</v>
      </c>
      <c r="AL107" s="1"/>
      <c r="AM107" s="1">
        <f t="shared" ca="1" si="57"/>
        <v>0.13838890214057728</v>
      </c>
      <c r="AN107" s="1">
        <f t="shared" ca="1" si="58"/>
        <v>76</v>
      </c>
      <c r="AO107" s="1">
        <f t="shared" ca="1" si="59"/>
        <v>10</v>
      </c>
    </row>
    <row r="108" spans="2:41" x14ac:dyDescent="0.25">
      <c r="B108">
        <f t="shared" ca="1" si="30"/>
        <v>963</v>
      </c>
      <c r="C108">
        <f t="shared" ca="1" si="31"/>
        <v>36</v>
      </c>
      <c r="D108">
        <f t="shared" ca="1" si="32"/>
        <v>0.24718988742447015</v>
      </c>
      <c r="F108" s="1">
        <f t="shared" ca="1" si="33"/>
        <v>10</v>
      </c>
      <c r="G108" s="1">
        <f t="shared" ca="1" si="34"/>
        <v>17</v>
      </c>
      <c r="H108" s="1">
        <f t="shared" ca="1" si="35"/>
        <v>7</v>
      </c>
      <c r="I108" s="1"/>
      <c r="J108" s="1">
        <f t="shared" ca="1" si="36"/>
        <v>27</v>
      </c>
      <c r="K108" s="1">
        <f t="shared" ca="1" si="37"/>
        <v>1.7806049694657986</v>
      </c>
      <c r="L108" s="1">
        <f t="shared" ca="1" si="38"/>
        <v>30</v>
      </c>
      <c r="M108" s="1"/>
      <c r="N108" s="1">
        <f t="shared" ca="1" si="39"/>
        <v>314</v>
      </c>
      <c r="O108" s="1">
        <f t="shared" ca="1" si="40"/>
        <v>12</v>
      </c>
      <c r="P108" s="1"/>
      <c r="Q108" s="1">
        <f t="shared" ca="1" si="41"/>
        <v>4.0502325433309867</v>
      </c>
      <c r="R108" s="1">
        <f t="shared" ca="1" si="42"/>
        <v>701</v>
      </c>
      <c r="S108" s="1"/>
      <c r="T108" s="1">
        <f t="shared" ca="1" si="43"/>
        <v>0.16924672626543211</v>
      </c>
      <c r="U108" s="1">
        <f t="shared" ca="1" si="44"/>
        <v>300</v>
      </c>
      <c r="V108" s="1">
        <f t="shared" ca="1" si="45"/>
        <v>49</v>
      </c>
      <c r="W108" s="1"/>
      <c r="X108" s="1">
        <f t="shared" ca="1" si="46"/>
        <v>9.4945372952198426</v>
      </c>
      <c r="Y108" s="1">
        <f t="shared" ca="1" si="47"/>
        <v>0.27269533594708634</v>
      </c>
      <c r="Z108" s="1">
        <f t="shared" ca="1" si="48"/>
        <v>420</v>
      </c>
      <c r="AB108" s="1">
        <f t="shared" ca="1" si="49"/>
        <v>9.9935379261360563E-2</v>
      </c>
      <c r="AC108" s="1">
        <f t="shared" ca="1" si="50"/>
        <v>545</v>
      </c>
      <c r="AD108" s="1">
        <f t="shared" ca="1" si="51"/>
        <v>2.4533700525706322E-5</v>
      </c>
      <c r="AE108" s="1"/>
      <c r="AF108" s="1">
        <f t="shared" ca="1" si="52"/>
        <v>0.74854203797187169</v>
      </c>
      <c r="AG108" s="1">
        <f t="shared" ca="1" si="53"/>
        <v>265</v>
      </c>
      <c r="AH108" s="1">
        <f t="shared" ca="1" si="54"/>
        <v>7.6692184002506219E-3</v>
      </c>
      <c r="AJ108" s="1">
        <f t="shared" ca="1" si="55"/>
        <v>0.12270031541962589</v>
      </c>
      <c r="AK108" s="1">
        <f t="shared" ca="1" si="56"/>
        <v>4.9321348219194521E-3</v>
      </c>
      <c r="AL108" s="1"/>
      <c r="AM108" s="1">
        <f t="shared" ca="1" si="57"/>
        <v>1.2210696532600297E-2</v>
      </c>
      <c r="AN108" s="1">
        <f t="shared" ca="1" si="58"/>
        <v>62</v>
      </c>
      <c r="AO108" s="1">
        <f t="shared" ca="1" si="59"/>
        <v>7</v>
      </c>
    </row>
    <row r="109" spans="2:41" x14ac:dyDescent="0.25">
      <c r="B109">
        <f t="shared" ca="1" si="30"/>
        <v>865</v>
      </c>
      <c r="C109">
        <f t="shared" ca="1" si="31"/>
        <v>42</v>
      </c>
      <c r="D109">
        <f t="shared" ca="1" si="32"/>
        <v>1.7196686811491231E-2</v>
      </c>
      <c r="F109" s="1">
        <f t="shared" ca="1" si="33"/>
        <v>46</v>
      </c>
      <c r="G109" s="1">
        <f t="shared" ca="1" si="34"/>
        <v>7</v>
      </c>
      <c r="H109" s="1">
        <f t="shared" ca="1" si="35"/>
        <v>9</v>
      </c>
      <c r="I109" s="1"/>
      <c r="J109" s="1">
        <f t="shared" ca="1" si="36"/>
        <v>34</v>
      </c>
      <c r="K109" s="1">
        <f t="shared" ca="1" si="37"/>
        <v>2.0194286608640786</v>
      </c>
      <c r="L109" s="1">
        <f t="shared" ca="1" si="38"/>
        <v>31</v>
      </c>
      <c r="M109" s="1"/>
      <c r="N109" s="1">
        <f t="shared" ca="1" si="39"/>
        <v>584</v>
      </c>
      <c r="O109" s="1">
        <f t="shared" ca="1" si="40"/>
        <v>21</v>
      </c>
      <c r="P109" s="1"/>
      <c r="Q109" s="1">
        <f t="shared" ca="1" si="41"/>
        <v>3.1810850101951114</v>
      </c>
      <c r="R109" s="1">
        <f t="shared" ca="1" si="42"/>
        <v>943</v>
      </c>
      <c r="S109" s="1"/>
      <c r="T109" s="1">
        <f t="shared" ca="1" si="43"/>
        <v>0.16687037761115481</v>
      </c>
      <c r="U109" s="1">
        <f t="shared" ca="1" si="44"/>
        <v>273</v>
      </c>
      <c r="V109" s="1">
        <f t="shared" ca="1" si="45"/>
        <v>42</v>
      </c>
      <c r="W109" s="1"/>
      <c r="X109" s="1">
        <f t="shared" ca="1" si="46"/>
        <v>9.6902711916517106</v>
      </c>
      <c r="Y109" s="1">
        <f t="shared" ca="1" si="47"/>
        <v>0.79664220636128369</v>
      </c>
      <c r="Z109" s="1">
        <f t="shared" ca="1" si="48"/>
        <v>111</v>
      </c>
      <c r="AB109" s="1">
        <f t="shared" ca="1" si="49"/>
        <v>0.45503452500794606</v>
      </c>
      <c r="AC109" s="1">
        <f t="shared" ca="1" si="50"/>
        <v>257</v>
      </c>
      <c r="AD109" s="1">
        <f t="shared" ca="1" si="51"/>
        <v>8.0408204713266433E-3</v>
      </c>
      <c r="AE109" s="1"/>
      <c r="AF109" s="1">
        <f t="shared" ca="1" si="52"/>
        <v>0.1286156161794991</v>
      </c>
      <c r="AG109" s="1">
        <f t="shared" ca="1" si="53"/>
        <v>145</v>
      </c>
      <c r="AH109" s="1">
        <f t="shared" ca="1" si="54"/>
        <v>7.0094021399145882E-3</v>
      </c>
      <c r="AJ109" s="1">
        <f t="shared" ca="1" si="55"/>
        <v>0.29504442711413037</v>
      </c>
      <c r="AK109" s="1">
        <f t="shared" ca="1" si="56"/>
        <v>5.8636036884557137E-3</v>
      </c>
      <c r="AL109" s="1"/>
      <c r="AM109" s="1">
        <f t="shared" ca="1" si="57"/>
        <v>7.3812128671214602E-2</v>
      </c>
      <c r="AN109" s="1">
        <f t="shared" ca="1" si="58"/>
        <v>58</v>
      </c>
      <c r="AO109" s="1">
        <f t="shared" ca="1" si="59"/>
        <v>15</v>
      </c>
    </row>
    <row r="110" spans="2:41" x14ac:dyDescent="0.25">
      <c r="B110">
        <f t="shared" ca="1" si="30"/>
        <v>690</v>
      </c>
      <c r="C110">
        <f t="shared" ca="1" si="31"/>
        <v>52</v>
      </c>
      <c r="D110">
        <f t="shared" ca="1" si="32"/>
        <v>0.154418633736257</v>
      </c>
      <c r="F110" s="1">
        <f t="shared" ca="1" si="33"/>
        <v>51</v>
      </c>
      <c r="G110" s="1">
        <f t="shared" ca="1" si="34"/>
        <v>23</v>
      </c>
      <c r="H110" s="1">
        <f t="shared" ca="1" si="35"/>
        <v>9</v>
      </c>
      <c r="I110" s="1"/>
      <c r="J110" s="1">
        <f t="shared" ca="1" si="36"/>
        <v>37</v>
      </c>
      <c r="K110" s="1">
        <f t="shared" ca="1" si="37"/>
        <v>1.3444667361550311</v>
      </c>
      <c r="L110" s="1">
        <f t="shared" ca="1" si="38"/>
        <v>19</v>
      </c>
      <c r="M110" s="1"/>
      <c r="N110" s="1">
        <f t="shared" ca="1" si="39"/>
        <v>870</v>
      </c>
      <c r="O110" s="1">
        <f t="shared" ca="1" si="40"/>
        <v>51</v>
      </c>
      <c r="P110" s="1"/>
      <c r="Q110" s="1">
        <f t="shared" ca="1" si="41"/>
        <v>0.10860632866525143</v>
      </c>
      <c r="R110" s="1">
        <f t="shared" ca="1" si="42"/>
        <v>520</v>
      </c>
      <c r="S110" s="1"/>
      <c r="T110" s="1">
        <f t="shared" ca="1" si="43"/>
        <v>0.15735287540752207</v>
      </c>
      <c r="U110" s="1">
        <f t="shared" ca="1" si="44"/>
        <v>222</v>
      </c>
      <c r="V110" s="1">
        <f t="shared" ca="1" si="45"/>
        <v>11</v>
      </c>
      <c r="W110" s="1"/>
      <c r="X110" s="1">
        <f t="shared" ca="1" si="46"/>
        <v>1.9363132021130331</v>
      </c>
      <c r="Y110" s="1">
        <f t="shared" ca="1" si="47"/>
        <v>0.44246603600276802</v>
      </c>
      <c r="Z110" s="1">
        <f t="shared" ca="1" si="48"/>
        <v>1726</v>
      </c>
      <c r="AB110" s="1">
        <f t="shared" ca="1" si="49"/>
        <v>0.73743859959148528</v>
      </c>
      <c r="AC110" s="1">
        <f t="shared" ca="1" si="50"/>
        <v>496</v>
      </c>
      <c r="AD110" s="1">
        <f t="shared" ca="1" si="51"/>
        <v>3.3982776379896892E-3</v>
      </c>
      <c r="AE110" s="1"/>
      <c r="AF110" s="1">
        <f t="shared" ca="1" si="52"/>
        <v>0.24188350070755193</v>
      </c>
      <c r="AG110" s="1">
        <f t="shared" ca="1" si="53"/>
        <v>958</v>
      </c>
      <c r="AH110" s="1">
        <f t="shared" ca="1" si="54"/>
        <v>5.6362900516063767E-3</v>
      </c>
      <c r="AJ110" s="1">
        <f t="shared" ca="1" si="55"/>
        <v>0.95804375406978703</v>
      </c>
      <c r="AK110" s="1">
        <f t="shared" ca="1" si="56"/>
        <v>5.6794992328841718E-4</v>
      </c>
      <c r="AL110" s="1"/>
      <c r="AM110" s="1">
        <f t="shared" ca="1" si="57"/>
        <v>1.5474332957593349E-2</v>
      </c>
      <c r="AN110" s="1">
        <f t="shared" ca="1" si="58"/>
        <v>19</v>
      </c>
      <c r="AO110" s="1">
        <f t="shared" ca="1" si="59"/>
        <v>14</v>
      </c>
    </row>
    <row r="111" spans="2:41" x14ac:dyDescent="0.25">
      <c r="B111">
        <f t="shared" ca="1" si="30"/>
        <v>161</v>
      </c>
      <c r="C111">
        <f t="shared" ca="1" si="31"/>
        <v>45</v>
      </c>
      <c r="D111">
        <f t="shared" ca="1" si="32"/>
        <v>0.19873696196287988</v>
      </c>
      <c r="F111" s="1">
        <f t="shared" ca="1" si="33"/>
        <v>48</v>
      </c>
      <c r="G111" s="1">
        <f t="shared" ca="1" si="34"/>
        <v>3</v>
      </c>
      <c r="H111" s="1">
        <f t="shared" ca="1" si="35"/>
        <v>7</v>
      </c>
      <c r="I111" s="1"/>
      <c r="J111" s="1">
        <f t="shared" ca="1" si="36"/>
        <v>26</v>
      </c>
      <c r="K111" s="1">
        <f t="shared" ca="1" si="37"/>
        <v>2.1997667731773003</v>
      </c>
      <c r="L111" s="1">
        <f t="shared" ca="1" si="38"/>
        <v>17</v>
      </c>
      <c r="M111" s="1"/>
      <c r="N111" s="1">
        <f t="shared" ca="1" si="39"/>
        <v>395</v>
      </c>
      <c r="O111" s="1">
        <f t="shared" ca="1" si="40"/>
        <v>43</v>
      </c>
      <c r="P111" s="1"/>
      <c r="Q111" s="1">
        <f t="shared" ca="1" si="41"/>
        <v>4.2870089024238602</v>
      </c>
      <c r="R111" s="1">
        <f t="shared" ca="1" si="42"/>
        <v>443</v>
      </c>
      <c r="S111" s="1"/>
      <c r="T111" s="1">
        <f t="shared" ca="1" si="43"/>
        <v>2.8720128431222638E-2</v>
      </c>
      <c r="U111" s="1">
        <f t="shared" ca="1" si="44"/>
        <v>351</v>
      </c>
      <c r="V111" s="1">
        <f t="shared" ca="1" si="45"/>
        <v>18</v>
      </c>
      <c r="W111" s="1"/>
      <c r="X111" s="1">
        <f t="shared" ca="1" si="46"/>
        <v>7.4036038556656782</v>
      </c>
      <c r="Y111" s="1">
        <f t="shared" ca="1" si="47"/>
        <v>0.42010500991037475</v>
      </c>
      <c r="Z111" s="1">
        <f t="shared" ca="1" si="48"/>
        <v>1744</v>
      </c>
      <c r="AB111" s="1">
        <f t="shared" ca="1" si="49"/>
        <v>2.0234590360349271E-2</v>
      </c>
      <c r="AC111" s="1">
        <f t="shared" ca="1" si="50"/>
        <v>959</v>
      </c>
      <c r="AD111" s="1">
        <f t="shared" ca="1" si="51"/>
        <v>4.2211126676309921E-3</v>
      </c>
      <c r="AE111" s="1"/>
      <c r="AF111" s="1">
        <f t="shared" ca="1" si="52"/>
        <v>0.13722100682727512</v>
      </c>
      <c r="AG111" s="1">
        <f t="shared" ca="1" si="53"/>
        <v>853</v>
      </c>
      <c r="AH111" s="1">
        <f t="shared" ca="1" si="54"/>
        <v>4.2997584776189824E-3</v>
      </c>
      <c r="AJ111" s="1">
        <f t="shared" ca="1" si="55"/>
        <v>0.46544823618356612</v>
      </c>
      <c r="AK111" s="1">
        <f t="shared" ca="1" si="56"/>
        <v>2.7337146760494681E-3</v>
      </c>
      <c r="AL111" s="1"/>
      <c r="AM111" s="1">
        <f t="shared" ca="1" si="57"/>
        <v>1.0641634561907143E-2</v>
      </c>
      <c r="AN111" s="1">
        <f t="shared" ca="1" si="58"/>
        <v>33</v>
      </c>
      <c r="AO111" s="1">
        <f t="shared" ca="1" si="59"/>
        <v>4</v>
      </c>
    </row>
    <row r="112" spans="2:41" x14ac:dyDescent="0.25">
      <c r="B112">
        <f t="shared" ca="1" si="30"/>
        <v>973</v>
      </c>
      <c r="C112">
        <f t="shared" ca="1" si="31"/>
        <v>10</v>
      </c>
      <c r="D112">
        <f t="shared" ca="1" si="32"/>
        <v>9.277099211709465E-2</v>
      </c>
      <c r="F112" s="1">
        <f t="shared" ca="1" si="33"/>
        <v>15</v>
      </c>
      <c r="G112" s="1">
        <f t="shared" ca="1" si="34"/>
        <v>21</v>
      </c>
      <c r="H112" s="1">
        <f t="shared" ca="1" si="35"/>
        <v>4</v>
      </c>
      <c r="I112" s="1"/>
      <c r="J112" s="1">
        <f t="shared" ca="1" si="36"/>
        <v>23</v>
      </c>
      <c r="K112" s="1">
        <f t="shared" ca="1" si="37"/>
        <v>1.2308030625465416</v>
      </c>
      <c r="L112" s="1">
        <f t="shared" ca="1" si="38"/>
        <v>22</v>
      </c>
      <c r="M112" s="1"/>
      <c r="N112" s="1">
        <f t="shared" ca="1" si="39"/>
        <v>555</v>
      </c>
      <c r="O112" s="1">
        <f t="shared" ca="1" si="40"/>
        <v>39</v>
      </c>
      <c r="P112" s="1"/>
      <c r="Q112" s="1">
        <f t="shared" ca="1" si="41"/>
        <v>1.3123454441076852</v>
      </c>
      <c r="R112" s="1">
        <f t="shared" ca="1" si="42"/>
        <v>1006</v>
      </c>
      <c r="S112" s="1"/>
      <c r="T112" s="1">
        <f t="shared" ca="1" si="43"/>
        <v>3.1088136998591184E-2</v>
      </c>
      <c r="U112" s="1">
        <f t="shared" ca="1" si="44"/>
        <v>448</v>
      </c>
      <c r="V112" s="1">
        <f t="shared" ca="1" si="45"/>
        <v>23</v>
      </c>
      <c r="W112" s="1"/>
      <c r="X112" s="1">
        <f t="shared" ca="1" si="46"/>
        <v>5.1236496958216131</v>
      </c>
      <c r="Y112" s="1">
        <f t="shared" ca="1" si="47"/>
        <v>0.98422299580460559</v>
      </c>
      <c r="Z112" s="1">
        <f t="shared" ca="1" si="48"/>
        <v>2000</v>
      </c>
      <c r="AB112" s="1">
        <f t="shared" ca="1" si="49"/>
        <v>0.49529053792662736</v>
      </c>
      <c r="AC112" s="1">
        <f t="shared" ca="1" si="50"/>
        <v>158</v>
      </c>
      <c r="AD112" s="1">
        <f t="shared" ca="1" si="51"/>
        <v>1.4261790240403093E-3</v>
      </c>
      <c r="AE112" s="1"/>
      <c r="AF112" s="1">
        <f t="shared" ca="1" si="52"/>
        <v>0.32989043926890804</v>
      </c>
      <c r="AG112" s="1">
        <f t="shared" ca="1" si="53"/>
        <v>127</v>
      </c>
      <c r="AH112" s="1">
        <f t="shared" ca="1" si="54"/>
        <v>5.9188035512542413E-3</v>
      </c>
      <c r="AJ112" s="1">
        <f t="shared" ca="1" si="55"/>
        <v>0.32427296769577951</v>
      </c>
      <c r="AK112" s="1">
        <f t="shared" ca="1" si="56"/>
        <v>2.9815757578838193E-3</v>
      </c>
      <c r="AL112" s="1"/>
      <c r="AM112" s="1">
        <f t="shared" ca="1" si="57"/>
        <v>5.4062018877264417E-2</v>
      </c>
      <c r="AN112" s="1">
        <f t="shared" ca="1" si="58"/>
        <v>32</v>
      </c>
      <c r="AO112" s="1">
        <f t="shared" ca="1" si="59"/>
        <v>3</v>
      </c>
    </row>
    <row r="113" spans="2:41" x14ac:dyDescent="0.25">
      <c r="B113">
        <f t="shared" ca="1" si="30"/>
        <v>111</v>
      </c>
      <c r="C113">
        <f t="shared" ca="1" si="31"/>
        <v>32</v>
      </c>
      <c r="D113">
        <f t="shared" ca="1" si="32"/>
        <v>0.24004870666015288</v>
      </c>
      <c r="F113" s="1">
        <f t="shared" ca="1" si="33"/>
        <v>51</v>
      </c>
      <c r="G113" s="1">
        <f t="shared" ca="1" si="34"/>
        <v>2</v>
      </c>
      <c r="H113" s="1">
        <f t="shared" ca="1" si="35"/>
        <v>3</v>
      </c>
      <c r="I113" s="1"/>
      <c r="J113" s="1">
        <f t="shared" ca="1" si="36"/>
        <v>17</v>
      </c>
      <c r="K113" s="1">
        <f t="shared" ca="1" si="37"/>
        <v>1.4968764662779326</v>
      </c>
      <c r="L113" s="1">
        <f t="shared" ca="1" si="38"/>
        <v>32</v>
      </c>
      <c r="M113" s="1"/>
      <c r="N113" s="1">
        <f t="shared" ca="1" si="39"/>
        <v>783</v>
      </c>
      <c r="O113" s="1">
        <f t="shared" ca="1" si="40"/>
        <v>16</v>
      </c>
      <c r="P113" s="1"/>
      <c r="Q113" s="1">
        <f t="shared" ca="1" si="41"/>
        <v>0.29926031000606951</v>
      </c>
      <c r="R113" s="1">
        <f t="shared" ca="1" si="42"/>
        <v>688</v>
      </c>
      <c r="S113" s="1"/>
      <c r="T113" s="1">
        <f t="shared" ca="1" si="43"/>
        <v>6.7691312522632788E-2</v>
      </c>
      <c r="U113" s="1">
        <f t="shared" ca="1" si="44"/>
        <v>423</v>
      </c>
      <c r="V113" s="1">
        <f t="shared" ca="1" si="45"/>
        <v>51</v>
      </c>
      <c r="W113" s="1"/>
      <c r="X113" s="1">
        <f t="shared" ca="1" si="46"/>
        <v>9.8293323320844994</v>
      </c>
      <c r="Y113" s="1">
        <f t="shared" ca="1" si="47"/>
        <v>6.7596378413977032E-2</v>
      </c>
      <c r="Z113" s="1">
        <f t="shared" ca="1" si="48"/>
        <v>1333</v>
      </c>
      <c r="AB113" s="1">
        <f t="shared" ca="1" si="49"/>
        <v>0.47294247076644774</v>
      </c>
      <c r="AC113" s="1">
        <f t="shared" ca="1" si="50"/>
        <v>407</v>
      </c>
      <c r="AD113" s="1">
        <f t="shared" ca="1" si="51"/>
        <v>7.6446735932098183E-4</v>
      </c>
      <c r="AE113" s="1"/>
      <c r="AF113" s="1">
        <f t="shared" ca="1" si="52"/>
        <v>0.41984981040649472</v>
      </c>
      <c r="AG113" s="1">
        <f t="shared" ca="1" si="53"/>
        <v>346</v>
      </c>
      <c r="AH113" s="1">
        <f t="shared" ca="1" si="54"/>
        <v>5.6325456083398595E-3</v>
      </c>
      <c r="AJ113" s="1">
        <f t="shared" ca="1" si="55"/>
        <v>0.85281097056885824</v>
      </c>
      <c r="AK113" s="1">
        <f t="shared" ca="1" si="56"/>
        <v>3.2829340051475833E-3</v>
      </c>
      <c r="AL113" s="1"/>
      <c r="AM113" s="1">
        <f t="shared" ca="1" si="57"/>
        <v>5.2015140657884464E-2</v>
      </c>
      <c r="AN113" s="1">
        <f t="shared" ca="1" si="58"/>
        <v>58</v>
      </c>
      <c r="AO113" s="1">
        <f t="shared" ca="1" si="59"/>
        <v>9</v>
      </c>
    </row>
    <row r="114" spans="2:41" x14ac:dyDescent="0.25">
      <c r="B114">
        <f t="shared" ca="1" si="30"/>
        <v>748</v>
      </c>
      <c r="C114">
        <f t="shared" ca="1" si="31"/>
        <v>19</v>
      </c>
      <c r="D114">
        <f t="shared" ca="1" si="32"/>
        <v>0.21786346505335069</v>
      </c>
      <c r="F114" s="1">
        <f t="shared" ca="1" si="33"/>
        <v>8</v>
      </c>
      <c r="G114" s="1">
        <f t="shared" ca="1" si="34"/>
        <v>17</v>
      </c>
      <c r="H114" s="1">
        <f t="shared" ca="1" si="35"/>
        <v>11</v>
      </c>
      <c r="I114" s="1"/>
      <c r="J114" s="1">
        <f t="shared" ca="1" si="36"/>
        <v>33</v>
      </c>
      <c r="K114" s="1">
        <f t="shared" ca="1" si="37"/>
        <v>1.5787048376949284</v>
      </c>
      <c r="L114" s="1">
        <f t="shared" ca="1" si="38"/>
        <v>3</v>
      </c>
      <c r="M114" s="1"/>
      <c r="N114" s="1">
        <f t="shared" ca="1" si="39"/>
        <v>573</v>
      </c>
      <c r="O114" s="1">
        <f t="shared" ca="1" si="40"/>
        <v>12</v>
      </c>
      <c r="P114" s="1"/>
      <c r="Q114" s="1">
        <f t="shared" ca="1" si="41"/>
        <v>2.7583566187929565</v>
      </c>
      <c r="R114" s="1">
        <f t="shared" ca="1" si="42"/>
        <v>939</v>
      </c>
      <c r="S114" s="1"/>
      <c r="T114" s="1">
        <f t="shared" ca="1" si="43"/>
        <v>0.15704973733233366</v>
      </c>
      <c r="U114" s="1">
        <f t="shared" ca="1" si="44"/>
        <v>250</v>
      </c>
      <c r="V114" s="1">
        <f t="shared" ca="1" si="45"/>
        <v>15</v>
      </c>
      <c r="W114" s="1"/>
      <c r="X114" s="1">
        <f t="shared" ca="1" si="46"/>
        <v>7.2992815105369688</v>
      </c>
      <c r="Y114" s="1">
        <f t="shared" ca="1" si="47"/>
        <v>0.14159634226195847</v>
      </c>
      <c r="Z114" s="1">
        <f t="shared" ca="1" si="48"/>
        <v>1537</v>
      </c>
      <c r="AB114" s="1">
        <f t="shared" ca="1" si="49"/>
        <v>0.59469605222469513</v>
      </c>
      <c r="AC114" s="1">
        <f t="shared" ca="1" si="50"/>
        <v>827</v>
      </c>
      <c r="AD114" s="1">
        <f t="shared" ca="1" si="51"/>
        <v>3.7789871286380981E-3</v>
      </c>
      <c r="AE114" s="1"/>
      <c r="AF114" s="1">
        <f t="shared" ca="1" si="52"/>
        <v>0.6563931506617422</v>
      </c>
      <c r="AG114" s="1">
        <f t="shared" ca="1" si="53"/>
        <v>886</v>
      </c>
      <c r="AH114" s="1">
        <f t="shared" ca="1" si="54"/>
        <v>1.0969131686002899E-3</v>
      </c>
      <c r="AJ114" s="1">
        <f t="shared" ca="1" si="55"/>
        <v>0.28624486912331615</v>
      </c>
      <c r="AK114" s="1">
        <f t="shared" ca="1" si="56"/>
        <v>9.2425258377821611E-3</v>
      </c>
      <c r="AL114" s="1"/>
      <c r="AM114" s="1">
        <f t="shared" ca="1" si="57"/>
        <v>5.5063681764517723E-2</v>
      </c>
      <c r="AN114" s="1">
        <f t="shared" ca="1" si="58"/>
        <v>60</v>
      </c>
      <c r="AO114" s="1">
        <f t="shared" ca="1" si="59"/>
        <v>11</v>
      </c>
    </row>
    <row r="115" spans="2:41" x14ac:dyDescent="0.25">
      <c r="B115">
        <f t="shared" ca="1" si="30"/>
        <v>298</v>
      </c>
      <c r="C115">
        <f t="shared" ca="1" si="31"/>
        <v>37</v>
      </c>
      <c r="D115">
        <f t="shared" ca="1" si="32"/>
        <v>0.10886820531426518</v>
      </c>
      <c r="F115" s="1">
        <f t="shared" ca="1" si="33"/>
        <v>41</v>
      </c>
      <c r="G115" s="1">
        <f t="shared" ca="1" si="34"/>
        <v>20</v>
      </c>
      <c r="H115" s="1">
        <f t="shared" ca="1" si="35"/>
        <v>12</v>
      </c>
      <c r="I115" s="1"/>
      <c r="J115" s="1">
        <f t="shared" ca="1" si="36"/>
        <v>8</v>
      </c>
      <c r="K115" s="1">
        <f t="shared" ca="1" si="37"/>
        <v>2.0145786665298626</v>
      </c>
      <c r="L115" s="1">
        <f t="shared" ca="1" si="38"/>
        <v>22</v>
      </c>
      <c r="M115" s="1"/>
      <c r="N115" s="1">
        <f t="shared" ca="1" si="39"/>
        <v>861</v>
      </c>
      <c r="O115" s="1">
        <f t="shared" ca="1" si="40"/>
        <v>23</v>
      </c>
      <c r="P115" s="1"/>
      <c r="Q115" s="1">
        <f t="shared" ca="1" si="41"/>
        <v>3.7961258081514044</v>
      </c>
      <c r="R115" s="1">
        <f t="shared" ca="1" si="42"/>
        <v>409</v>
      </c>
      <c r="S115" s="1"/>
      <c r="T115" s="1">
        <f t="shared" ca="1" si="43"/>
        <v>0.17680459541480506</v>
      </c>
      <c r="U115" s="1">
        <f t="shared" ca="1" si="44"/>
        <v>276</v>
      </c>
      <c r="V115" s="1">
        <f t="shared" ca="1" si="45"/>
        <v>51</v>
      </c>
      <c r="W115" s="1"/>
      <c r="X115" s="1">
        <f t="shared" ca="1" si="46"/>
        <v>1.5201738931524078</v>
      </c>
      <c r="Y115" s="1">
        <f t="shared" ca="1" si="47"/>
        <v>0.7816801012037411</v>
      </c>
      <c r="Z115" s="1">
        <f t="shared" ca="1" si="48"/>
        <v>1368</v>
      </c>
      <c r="AB115" s="1">
        <f t="shared" ca="1" si="49"/>
        <v>0.80741180689952985</v>
      </c>
      <c r="AC115" s="1">
        <f t="shared" ca="1" si="50"/>
        <v>208</v>
      </c>
      <c r="AD115" s="1">
        <f t="shared" ca="1" si="51"/>
        <v>9.8120930449585968E-3</v>
      </c>
      <c r="AE115" s="1"/>
      <c r="AF115" s="1">
        <f t="shared" ca="1" si="52"/>
        <v>0.13984196756516731</v>
      </c>
      <c r="AG115" s="1">
        <f t="shared" ca="1" si="53"/>
        <v>229</v>
      </c>
      <c r="AH115" s="1">
        <f t="shared" ca="1" si="54"/>
        <v>3.6274554271144249E-3</v>
      </c>
      <c r="AJ115" s="1">
        <f t="shared" ca="1" si="55"/>
        <v>0.12108157753618765</v>
      </c>
      <c r="AK115" s="1">
        <f t="shared" ca="1" si="56"/>
        <v>6.3157812589180453E-3</v>
      </c>
      <c r="AL115" s="1"/>
      <c r="AM115" s="1">
        <f t="shared" ca="1" si="57"/>
        <v>6.1468927340140884E-3</v>
      </c>
      <c r="AN115" s="1">
        <f t="shared" ca="1" si="58"/>
        <v>37</v>
      </c>
      <c r="AO115" s="1">
        <f t="shared" ca="1" si="59"/>
        <v>3</v>
      </c>
    </row>
    <row r="116" spans="2:41" x14ac:dyDescent="0.25">
      <c r="B116">
        <f t="shared" ca="1" si="30"/>
        <v>909</v>
      </c>
      <c r="C116">
        <f t="shared" ca="1" si="31"/>
        <v>8</v>
      </c>
      <c r="D116">
        <f t="shared" ca="1" si="32"/>
        <v>8.0216930716953266E-2</v>
      </c>
      <c r="F116" s="1">
        <f t="shared" ca="1" si="33"/>
        <v>17</v>
      </c>
      <c r="G116" s="1">
        <f t="shared" ca="1" si="34"/>
        <v>23</v>
      </c>
      <c r="H116" s="1">
        <f t="shared" ca="1" si="35"/>
        <v>2</v>
      </c>
      <c r="I116" s="1"/>
      <c r="J116" s="1">
        <f t="shared" ca="1" si="36"/>
        <v>38</v>
      </c>
      <c r="K116" s="1">
        <f t="shared" ca="1" si="37"/>
        <v>1.1572190911394438</v>
      </c>
      <c r="L116" s="1">
        <f t="shared" ca="1" si="38"/>
        <v>2</v>
      </c>
      <c r="M116" s="1"/>
      <c r="N116" s="1">
        <f t="shared" ca="1" si="39"/>
        <v>723</v>
      </c>
      <c r="O116" s="1">
        <f t="shared" ca="1" si="40"/>
        <v>12</v>
      </c>
      <c r="P116" s="1"/>
      <c r="Q116" s="1">
        <f t="shared" ca="1" si="41"/>
        <v>2.4711182115824832</v>
      </c>
      <c r="R116" s="1">
        <f t="shared" ca="1" si="42"/>
        <v>248</v>
      </c>
      <c r="S116" s="1"/>
      <c r="T116" s="1">
        <f t="shared" ca="1" si="43"/>
        <v>4.012550098444323E-2</v>
      </c>
      <c r="U116" s="1">
        <f t="shared" ca="1" si="44"/>
        <v>348</v>
      </c>
      <c r="V116" s="1">
        <f t="shared" ca="1" si="45"/>
        <v>45</v>
      </c>
      <c r="W116" s="1"/>
      <c r="X116" s="1">
        <f t="shared" ca="1" si="46"/>
        <v>4.6759439803027183</v>
      </c>
      <c r="Y116" s="1">
        <f t="shared" ca="1" si="47"/>
        <v>0.5566953769602857</v>
      </c>
      <c r="Z116" s="1">
        <f t="shared" ca="1" si="48"/>
        <v>1403</v>
      </c>
      <c r="AB116" s="1">
        <f t="shared" ca="1" si="49"/>
        <v>0.78118859687893427</v>
      </c>
      <c r="AC116" s="1">
        <f t="shared" ca="1" si="50"/>
        <v>970</v>
      </c>
      <c r="AD116" s="1">
        <f t="shared" ca="1" si="51"/>
        <v>3.3791237984644993E-3</v>
      </c>
      <c r="AE116" s="1"/>
      <c r="AF116" s="1">
        <f t="shared" ca="1" si="52"/>
        <v>0.54349452414145571</v>
      </c>
      <c r="AG116" s="1">
        <f t="shared" ca="1" si="53"/>
        <v>782</v>
      </c>
      <c r="AH116" s="1">
        <f t="shared" ca="1" si="54"/>
        <v>3.3545769461150463E-3</v>
      </c>
      <c r="AJ116" s="1">
        <f t="shared" ca="1" si="55"/>
        <v>0.26183815396858534</v>
      </c>
      <c r="AK116" s="1">
        <f t="shared" ca="1" si="56"/>
        <v>3.2729495153225943E-3</v>
      </c>
      <c r="AL116" s="1"/>
      <c r="AM116" s="1">
        <f t="shared" ca="1" si="57"/>
        <v>1.5723099134231502E-2</v>
      </c>
      <c r="AN116" s="1">
        <f t="shared" ca="1" si="58"/>
        <v>53</v>
      </c>
      <c r="AO116" s="1">
        <f t="shared" ca="1" si="59"/>
        <v>16</v>
      </c>
    </row>
    <row r="117" spans="2:41" x14ac:dyDescent="0.25">
      <c r="B117">
        <f t="shared" ca="1" si="30"/>
        <v>633</v>
      </c>
      <c r="C117">
        <f t="shared" ca="1" si="31"/>
        <v>38</v>
      </c>
      <c r="D117">
        <f t="shared" ca="1" si="32"/>
        <v>3.1053557748313018E-2</v>
      </c>
      <c r="F117" s="1">
        <f t="shared" ca="1" si="33"/>
        <v>8</v>
      </c>
      <c r="G117" s="1">
        <f t="shared" ca="1" si="34"/>
        <v>4</v>
      </c>
      <c r="H117" s="1">
        <f t="shared" ca="1" si="35"/>
        <v>6</v>
      </c>
      <c r="I117" s="1"/>
      <c r="J117" s="1">
        <f t="shared" ca="1" si="36"/>
        <v>36</v>
      </c>
      <c r="K117" s="1">
        <f t="shared" ca="1" si="37"/>
        <v>2.9057849585088213</v>
      </c>
      <c r="L117" s="1">
        <f t="shared" ca="1" si="38"/>
        <v>25</v>
      </c>
      <c r="M117" s="1"/>
      <c r="N117" s="1">
        <f t="shared" ca="1" si="39"/>
        <v>515</v>
      </c>
      <c r="O117" s="1">
        <f t="shared" ca="1" si="40"/>
        <v>36</v>
      </c>
      <c r="P117" s="1"/>
      <c r="Q117" s="1">
        <f t="shared" ca="1" si="41"/>
        <v>3.5324606661288245</v>
      </c>
      <c r="R117" s="1">
        <f t="shared" ca="1" si="42"/>
        <v>540</v>
      </c>
      <c r="S117" s="1"/>
      <c r="T117" s="1">
        <f t="shared" ca="1" si="43"/>
        <v>7.3533811463527027E-2</v>
      </c>
      <c r="U117" s="1">
        <f t="shared" ca="1" si="44"/>
        <v>145</v>
      </c>
      <c r="V117" s="1">
        <f t="shared" ca="1" si="45"/>
        <v>22</v>
      </c>
      <c r="W117" s="1"/>
      <c r="X117" s="1">
        <f t="shared" ca="1" si="46"/>
        <v>9.4243603552617863</v>
      </c>
      <c r="Y117" s="1">
        <f t="shared" ca="1" si="47"/>
        <v>0.70157347768586142</v>
      </c>
      <c r="Z117" s="1">
        <f t="shared" ca="1" si="48"/>
        <v>844</v>
      </c>
      <c r="AB117" s="1">
        <f t="shared" ca="1" si="49"/>
        <v>0.49878658404596404</v>
      </c>
      <c r="AC117" s="1">
        <f t="shared" ca="1" si="50"/>
        <v>818</v>
      </c>
      <c r="AD117" s="1">
        <f t="shared" ca="1" si="51"/>
        <v>3.4185098071879924E-3</v>
      </c>
      <c r="AE117" s="1"/>
      <c r="AF117" s="1">
        <f t="shared" ca="1" si="52"/>
        <v>0.45185575968149283</v>
      </c>
      <c r="AG117" s="1">
        <f t="shared" ca="1" si="53"/>
        <v>922</v>
      </c>
      <c r="AH117" s="1">
        <f t="shared" ca="1" si="54"/>
        <v>1.0716366182536175E-3</v>
      </c>
      <c r="AJ117" s="1">
        <f t="shared" ca="1" si="55"/>
        <v>0.55344333670943513</v>
      </c>
      <c r="AK117" s="1">
        <f t="shared" ca="1" si="56"/>
        <v>6.3688274447769918E-3</v>
      </c>
      <c r="AL117" s="1"/>
      <c r="AM117" s="1">
        <f t="shared" ca="1" si="57"/>
        <v>0.15347957050420682</v>
      </c>
      <c r="AN117" s="1">
        <f t="shared" ca="1" si="58"/>
        <v>18</v>
      </c>
      <c r="AO117" s="1">
        <f t="shared" ca="1" si="59"/>
        <v>20</v>
      </c>
    </row>
    <row r="118" spans="2:41" x14ac:dyDescent="0.25">
      <c r="B118">
        <f t="shared" ca="1" si="30"/>
        <v>136</v>
      </c>
      <c r="C118">
        <f t="shared" ca="1" si="31"/>
        <v>19</v>
      </c>
      <c r="D118">
        <f t="shared" ca="1" si="32"/>
        <v>0.25943511906624572</v>
      </c>
      <c r="F118" s="1">
        <f t="shared" ca="1" si="33"/>
        <v>22</v>
      </c>
      <c r="G118" s="1">
        <f t="shared" ca="1" si="34"/>
        <v>19</v>
      </c>
      <c r="H118" s="1">
        <f t="shared" ca="1" si="35"/>
        <v>3</v>
      </c>
      <c r="I118" s="1"/>
      <c r="J118" s="1">
        <f t="shared" ca="1" si="36"/>
        <v>12</v>
      </c>
      <c r="K118" s="1">
        <f t="shared" ca="1" si="37"/>
        <v>1.3752322476450118</v>
      </c>
      <c r="L118" s="1">
        <f t="shared" ca="1" si="38"/>
        <v>27</v>
      </c>
      <c r="M118" s="1"/>
      <c r="N118" s="1">
        <f t="shared" ca="1" si="39"/>
        <v>927</v>
      </c>
      <c r="O118" s="1">
        <f t="shared" ca="1" si="40"/>
        <v>31</v>
      </c>
      <c r="P118" s="1"/>
      <c r="Q118" s="1">
        <f t="shared" ca="1" si="41"/>
        <v>3.30855651945555</v>
      </c>
      <c r="R118" s="1">
        <f t="shared" ca="1" si="42"/>
        <v>294</v>
      </c>
      <c r="S118" s="1"/>
      <c r="T118" s="1">
        <f t="shared" ca="1" si="43"/>
        <v>9.6979887999625064E-2</v>
      </c>
      <c r="U118" s="1">
        <f t="shared" ca="1" si="44"/>
        <v>107</v>
      </c>
      <c r="V118" s="1">
        <f t="shared" ca="1" si="45"/>
        <v>10</v>
      </c>
      <c r="W118" s="1"/>
      <c r="X118" s="1">
        <f t="shared" ca="1" si="46"/>
        <v>5.2539687713368606</v>
      </c>
      <c r="Y118" s="1">
        <f t="shared" ca="1" si="47"/>
        <v>0.17167127203262417</v>
      </c>
      <c r="Z118" s="1">
        <f t="shared" ca="1" si="48"/>
        <v>1379</v>
      </c>
      <c r="AB118" s="1">
        <f t="shared" ca="1" si="49"/>
        <v>0.90673540504070393</v>
      </c>
      <c r="AC118" s="1">
        <f t="shared" ca="1" si="50"/>
        <v>416</v>
      </c>
      <c r="AD118" s="1">
        <f t="shared" ca="1" si="51"/>
        <v>2.7301386040035421E-3</v>
      </c>
      <c r="AE118" s="1"/>
      <c r="AF118" s="1">
        <f t="shared" ca="1" si="52"/>
        <v>0.38131419271246536</v>
      </c>
      <c r="AG118" s="1">
        <f t="shared" ca="1" si="53"/>
        <v>925</v>
      </c>
      <c r="AH118" s="1">
        <f t="shared" ca="1" si="54"/>
        <v>4.9537771515839393E-3</v>
      </c>
      <c r="AJ118" s="1">
        <f t="shared" ca="1" si="55"/>
        <v>0.85314037743234439</v>
      </c>
      <c r="AK118" s="1">
        <f t="shared" ca="1" si="56"/>
        <v>6.3871164180386678E-5</v>
      </c>
      <c r="AL118" s="1"/>
      <c r="AM118" s="1">
        <f t="shared" ca="1" si="57"/>
        <v>6.4210149529614407E-3</v>
      </c>
      <c r="AN118" s="1">
        <f t="shared" ca="1" si="58"/>
        <v>33</v>
      </c>
      <c r="AO118" s="1">
        <f t="shared" ca="1" si="59"/>
        <v>7</v>
      </c>
    </row>
    <row r="119" spans="2:41" x14ac:dyDescent="0.25">
      <c r="B119">
        <f t="shared" ca="1" si="30"/>
        <v>934</v>
      </c>
      <c r="C119">
        <f t="shared" ca="1" si="31"/>
        <v>12</v>
      </c>
      <c r="D119">
        <f t="shared" ca="1" si="32"/>
        <v>0.15339701450563981</v>
      </c>
      <c r="F119" s="1">
        <f t="shared" ca="1" si="33"/>
        <v>29</v>
      </c>
      <c r="G119" s="1">
        <f t="shared" ca="1" si="34"/>
        <v>12</v>
      </c>
      <c r="H119" s="1">
        <f t="shared" ca="1" si="35"/>
        <v>8</v>
      </c>
      <c r="I119" s="1"/>
      <c r="J119" s="1">
        <f t="shared" ca="1" si="36"/>
        <v>27</v>
      </c>
      <c r="K119" s="1">
        <f t="shared" ca="1" si="37"/>
        <v>2.5932508062211195</v>
      </c>
      <c r="L119" s="1">
        <f t="shared" ca="1" si="38"/>
        <v>13</v>
      </c>
      <c r="M119" s="1"/>
      <c r="N119" s="1">
        <f t="shared" ca="1" si="39"/>
        <v>248</v>
      </c>
      <c r="O119" s="1">
        <f t="shared" ca="1" si="40"/>
        <v>12</v>
      </c>
      <c r="P119" s="1"/>
      <c r="Q119" s="1">
        <f t="shared" ca="1" si="41"/>
        <v>1.3391534337727851</v>
      </c>
      <c r="R119" s="1">
        <f t="shared" ca="1" si="42"/>
        <v>790</v>
      </c>
      <c r="S119" s="1"/>
      <c r="T119" s="1">
        <f t="shared" ca="1" si="43"/>
        <v>8.929205783320053E-2</v>
      </c>
      <c r="U119" s="1">
        <f t="shared" ca="1" si="44"/>
        <v>359</v>
      </c>
      <c r="V119" s="1">
        <f t="shared" ca="1" si="45"/>
        <v>45</v>
      </c>
      <c r="W119" s="1"/>
      <c r="X119" s="1">
        <f t="shared" ca="1" si="46"/>
        <v>4.2039677714798138</v>
      </c>
      <c r="Y119" s="1">
        <f t="shared" ca="1" si="47"/>
        <v>0.93850732890805977</v>
      </c>
      <c r="Z119" s="1">
        <f t="shared" ca="1" si="48"/>
        <v>513</v>
      </c>
      <c r="AB119" s="1">
        <f t="shared" ca="1" si="49"/>
        <v>0.25312843636786642</v>
      </c>
      <c r="AC119" s="1">
        <f t="shared" ca="1" si="50"/>
        <v>726</v>
      </c>
      <c r="AD119" s="1">
        <f t="shared" ca="1" si="51"/>
        <v>4.0820651607626873E-4</v>
      </c>
      <c r="AE119" s="1"/>
      <c r="AF119" s="1">
        <f t="shared" ca="1" si="52"/>
        <v>0.45123929657930495</v>
      </c>
      <c r="AG119" s="1">
        <f t="shared" ca="1" si="53"/>
        <v>537</v>
      </c>
      <c r="AH119" s="1">
        <f t="shared" ca="1" si="54"/>
        <v>9.3320713127687856E-3</v>
      </c>
      <c r="AJ119" s="1">
        <f t="shared" ca="1" si="55"/>
        <v>0.99020893864982418</v>
      </c>
      <c r="AK119" s="1">
        <f t="shared" ca="1" si="56"/>
        <v>5.8850229961008235E-3</v>
      </c>
      <c r="AL119" s="1"/>
      <c r="AM119" s="1">
        <f t="shared" ca="1" si="57"/>
        <v>7.5555285405377565E-2</v>
      </c>
      <c r="AN119" s="1">
        <f t="shared" ca="1" si="58"/>
        <v>36</v>
      </c>
      <c r="AO119" s="1">
        <f t="shared" ca="1" si="59"/>
        <v>16</v>
      </c>
    </row>
    <row r="120" spans="2:41" x14ac:dyDescent="0.25">
      <c r="B120">
        <f t="shared" ca="1" si="30"/>
        <v>556</v>
      </c>
      <c r="C120">
        <f t="shared" ca="1" si="31"/>
        <v>10</v>
      </c>
      <c r="D120">
        <f t="shared" ca="1" si="32"/>
        <v>0.12481492146552081</v>
      </c>
      <c r="F120" s="1">
        <f t="shared" ca="1" si="33"/>
        <v>27</v>
      </c>
      <c r="G120" s="1">
        <f t="shared" ca="1" si="34"/>
        <v>4</v>
      </c>
      <c r="H120" s="1">
        <f t="shared" ca="1" si="35"/>
        <v>3</v>
      </c>
      <c r="I120" s="1"/>
      <c r="J120" s="1">
        <f t="shared" ca="1" si="36"/>
        <v>14</v>
      </c>
      <c r="K120" s="1">
        <f t="shared" ca="1" si="37"/>
        <v>1.9171588612964399</v>
      </c>
      <c r="L120" s="1">
        <f t="shared" ca="1" si="38"/>
        <v>13</v>
      </c>
      <c r="M120" s="1"/>
      <c r="N120" s="1">
        <f t="shared" ca="1" si="39"/>
        <v>797</v>
      </c>
      <c r="O120" s="1">
        <f t="shared" ca="1" si="40"/>
        <v>13</v>
      </c>
      <c r="P120" s="1"/>
      <c r="Q120" s="1">
        <f t="shared" ca="1" si="41"/>
        <v>4.4942486233060581</v>
      </c>
      <c r="R120" s="1">
        <f t="shared" ca="1" si="42"/>
        <v>214</v>
      </c>
      <c r="S120" s="1"/>
      <c r="T120" s="1">
        <f t="shared" ca="1" si="43"/>
        <v>0.1218822241064843</v>
      </c>
      <c r="U120" s="1">
        <f t="shared" ca="1" si="44"/>
        <v>91</v>
      </c>
      <c r="V120" s="1">
        <f t="shared" ca="1" si="45"/>
        <v>48</v>
      </c>
      <c r="W120" s="1"/>
      <c r="X120" s="1">
        <f t="shared" ca="1" si="46"/>
        <v>2.1734435283506111</v>
      </c>
      <c r="Y120" s="1">
        <f t="shared" ca="1" si="47"/>
        <v>5.4910254614759485E-2</v>
      </c>
      <c r="Z120" s="1">
        <f t="shared" ca="1" si="48"/>
        <v>1341</v>
      </c>
      <c r="AB120" s="1">
        <f t="shared" ca="1" si="49"/>
        <v>0.56497509543076674</v>
      </c>
      <c r="AC120" s="1">
        <f t="shared" ca="1" si="50"/>
        <v>942</v>
      </c>
      <c r="AD120" s="1">
        <f t="shared" ca="1" si="51"/>
        <v>5.3489542109608332E-4</v>
      </c>
      <c r="AE120" s="1"/>
      <c r="AF120" s="1">
        <f t="shared" ca="1" si="52"/>
        <v>0.27868578268886501</v>
      </c>
      <c r="AG120" s="1">
        <f t="shared" ca="1" si="53"/>
        <v>298</v>
      </c>
      <c r="AH120" s="1">
        <f t="shared" ca="1" si="54"/>
        <v>9.2838723856096747E-3</v>
      </c>
      <c r="AJ120" s="1">
        <f t="shared" ca="1" si="55"/>
        <v>0.20359828664263135</v>
      </c>
      <c r="AK120" s="1">
        <f t="shared" ca="1" si="56"/>
        <v>7.5523928712835815E-3</v>
      </c>
      <c r="AL120" s="1"/>
      <c r="AM120" s="1">
        <f t="shared" ca="1" si="57"/>
        <v>0.10987190426997409</v>
      </c>
      <c r="AN120" s="1">
        <f t="shared" ca="1" si="58"/>
        <v>56</v>
      </c>
      <c r="AO120" s="1">
        <f t="shared" ca="1" si="59"/>
        <v>12</v>
      </c>
    </row>
    <row r="121" spans="2:41" x14ac:dyDescent="0.25">
      <c r="B121">
        <f t="shared" ca="1" si="30"/>
        <v>495</v>
      </c>
      <c r="C121">
        <f t="shared" ca="1" si="31"/>
        <v>40</v>
      </c>
      <c r="D121">
        <f t="shared" ca="1" si="32"/>
        <v>0.26872900860779092</v>
      </c>
      <c r="F121" s="1">
        <f t="shared" ca="1" si="33"/>
        <v>15</v>
      </c>
      <c r="G121" s="1">
        <f t="shared" ca="1" si="34"/>
        <v>22</v>
      </c>
      <c r="H121" s="1">
        <f t="shared" ca="1" si="35"/>
        <v>14</v>
      </c>
      <c r="I121" s="1"/>
      <c r="J121" s="1">
        <f t="shared" ca="1" si="36"/>
        <v>37</v>
      </c>
      <c r="K121" s="1">
        <f t="shared" ca="1" si="37"/>
        <v>2.4458526984327276</v>
      </c>
      <c r="L121" s="1">
        <f t="shared" ca="1" si="38"/>
        <v>21</v>
      </c>
      <c r="M121" s="1"/>
      <c r="N121" s="1">
        <f t="shared" ca="1" si="39"/>
        <v>938</v>
      </c>
      <c r="O121" s="1">
        <f t="shared" ca="1" si="40"/>
        <v>40</v>
      </c>
      <c r="P121" s="1"/>
      <c r="Q121" s="1">
        <f t="shared" ca="1" si="41"/>
        <v>4.0716959017443601</v>
      </c>
      <c r="R121" s="1">
        <f t="shared" ca="1" si="42"/>
        <v>421</v>
      </c>
      <c r="S121" s="1"/>
      <c r="T121" s="1">
        <f t="shared" ca="1" si="43"/>
        <v>0.14742467289667971</v>
      </c>
      <c r="U121" s="1">
        <f t="shared" ca="1" si="44"/>
        <v>181</v>
      </c>
      <c r="V121" s="1">
        <f t="shared" ca="1" si="45"/>
        <v>48</v>
      </c>
      <c r="W121" s="1"/>
      <c r="X121" s="1">
        <f t="shared" ca="1" si="46"/>
        <v>9.1273317621797592</v>
      </c>
      <c r="Y121" s="1">
        <f t="shared" ca="1" si="47"/>
        <v>0.26579841013894218</v>
      </c>
      <c r="Z121" s="1">
        <f t="shared" ca="1" si="48"/>
        <v>1325</v>
      </c>
      <c r="AB121" s="1">
        <f t="shared" ca="1" si="49"/>
        <v>0.73950546686327678</v>
      </c>
      <c r="AC121" s="1">
        <f t="shared" ca="1" si="50"/>
        <v>869</v>
      </c>
      <c r="AD121" s="1">
        <f t="shared" ca="1" si="51"/>
        <v>2.2595248743777123E-3</v>
      </c>
      <c r="AE121" s="1"/>
      <c r="AF121" s="1">
        <f t="shared" ca="1" si="52"/>
        <v>0.5510477954274412</v>
      </c>
      <c r="AG121" s="1">
        <f t="shared" ca="1" si="53"/>
        <v>765</v>
      </c>
      <c r="AH121" s="1">
        <f t="shared" ca="1" si="54"/>
        <v>9.7118324362254777E-3</v>
      </c>
      <c r="AJ121" s="1">
        <f t="shared" ca="1" si="55"/>
        <v>0.3353888580158918</v>
      </c>
      <c r="AK121" s="1">
        <f t="shared" ca="1" si="56"/>
        <v>9.3549375510984748E-3</v>
      </c>
      <c r="AL121" s="1"/>
      <c r="AM121" s="1">
        <f t="shared" ca="1" si="57"/>
        <v>7.6066217489614674E-2</v>
      </c>
      <c r="AN121" s="1">
        <f t="shared" ca="1" si="58"/>
        <v>43</v>
      </c>
      <c r="AO121" s="1">
        <f t="shared" ca="1" si="59"/>
        <v>2</v>
      </c>
    </row>
    <row r="122" spans="2:41" x14ac:dyDescent="0.25">
      <c r="B122">
        <f t="shared" ca="1" si="30"/>
        <v>242</v>
      </c>
      <c r="C122">
        <f t="shared" ca="1" si="31"/>
        <v>12</v>
      </c>
      <c r="D122">
        <f t="shared" ca="1" si="32"/>
        <v>8.4536626241662499E-2</v>
      </c>
      <c r="F122" s="1">
        <f t="shared" ca="1" si="33"/>
        <v>27</v>
      </c>
      <c r="G122" s="1">
        <f t="shared" ca="1" si="34"/>
        <v>20</v>
      </c>
      <c r="H122" s="1">
        <f t="shared" ca="1" si="35"/>
        <v>9</v>
      </c>
      <c r="I122" s="1"/>
      <c r="J122" s="1">
        <f t="shared" ca="1" si="36"/>
        <v>37</v>
      </c>
      <c r="K122" s="1">
        <f t="shared" ca="1" si="37"/>
        <v>2.3384870967555864</v>
      </c>
      <c r="L122" s="1">
        <f t="shared" ca="1" si="38"/>
        <v>25</v>
      </c>
      <c r="M122" s="1"/>
      <c r="N122" s="1">
        <f t="shared" ca="1" si="39"/>
        <v>50</v>
      </c>
      <c r="O122" s="1">
        <f t="shared" ca="1" si="40"/>
        <v>14</v>
      </c>
      <c r="P122" s="1"/>
      <c r="Q122" s="1">
        <f t="shared" ca="1" si="41"/>
        <v>1.6429259205623923</v>
      </c>
      <c r="R122" s="1">
        <f t="shared" ca="1" si="42"/>
        <v>376</v>
      </c>
      <c r="S122" s="1"/>
      <c r="T122" s="1">
        <f t="shared" ca="1" si="43"/>
        <v>7.1999146586071913E-2</v>
      </c>
      <c r="U122" s="1">
        <f t="shared" ca="1" si="44"/>
        <v>313</v>
      </c>
      <c r="V122" s="1">
        <f t="shared" ca="1" si="45"/>
        <v>2</v>
      </c>
      <c r="W122" s="1"/>
      <c r="X122" s="1">
        <f t="shared" ca="1" si="46"/>
        <v>6.9327760565585939</v>
      </c>
      <c r="Y122" s="1">
        <f t="shared" ca="1" si="47"/>
        <v>0.23181288907909386</v>
      </c>
      <c r="Z122" s="1">
        <f t="shared" ca="1" si="48"/>
        <v>948</v>
      </c>
      <c r="AB122" s="1">
        <f t="shared" ca="1" si="49"/>
        <v>0.83814931406987669</v>
      </c>
      <c r="AC122" s="1">
        <f t="shared" ca="1" si="50"/>
        <v>863</v>
      </c>
      <c r="AD122" s="1">
        <f t="shared" ca="1" si="51"/>
        <v>9.4727248544248521E-3</v>
      </c>
      <c r="AE122" s="1"/>
      <c r="AF122" s="1">
        <f t="shared" ca="1" si="52"/>
        <v>0.56794739954084761</v>
      </c>
      <c r="AG122" s="1">
        <f t="shared" ca="1" si="53"/>
        <v>609</v>
      </c>
      <c r="AH122" s="1">
        <f t="shared" ca="1" si="54"/>
        <v>2.6601439969437966E-4</v>
      </c>
      <c r="AJ122" s="1">
        <f t="shared" ca="1" si="55"/>
        <v>0.73550470101029108</v>
      </c>
      <c r="AK122" s="1">
        <f t="shared" ca="1" si="56"/>
        <v>6.9087960440166133E-3</v>
      </c>
      <c r="AL122" s="1"/>
      <c r="AM122" s="1">
        <f t="shared" ca="1" si="57"/>
        <v>0.19285117698434298</v>
      </c>
      <c r="AN122" s="1">
        <f t="shared" ca="1" si="58"/>
        <v>63</v>
      </c>
      <c r="AO122" s="1">
        <f t="shared" ca="1" si="59"/>
        <v>3</v>
      </c>
    </row>
    <row r="123" spans="2:41" x14ac:dyDescent="0.25">
      <c r="B123">
        <f t="shared" ca="1" si="30"/>
        <v>774</v>
      </c>
      <c r="C123">
        <f t="shared" ca="1" si="31"/>
        <v>46</v>
      </c>
      <c r="D123">
        <f t="shared" ca="1" si="32"/>
        <v>0.12023962398782012</v>
      </c>
      <c r="F123" s="1">
        <f t="shared" ca="1" si="33"/>
        <v>12</v>
      </c>
      <c r="G123" s="1">
        <f t="shared" ca="1" si="34"/>
        <v>12</v>
      </c>
      <c r="H123" s="1">
        <f t="shared" ca="1" si="35"/>
        <v>3</v>
      </c>
      <c r="I123" s="1"/>
      <c r="J123" s="1">
        <f t="shared" ca="1" si="36"/>
        <v>39</v>
      </c>
      <c r="K123" s="1">
        <f t="shared" ca="1" si="37"/>
        <v>2.445847420662266</v>
      </c>
      <c r="L123" s="1">
        <f t="shared" ca="1" si="38"/>
        <v>15</v>
      </c>
      <c r="M123" s="1"/>
      <c r="N123" s="1">
        <f t="shared" ca="1" si="39"/>
        <v>141</v>
      </c>
      <c r="O123" s="1">
        <f t="shared" ca="1" si="40"/>
        <v>34</v>
      </c>
      <c r="P123" s="1"/>
      <c r="Q123" s="1">
        <f t="shared" ca="1" si="41"/>
        <v>2.5594571622944651</v>
      </c>
      <c r="R123" s="1">
        <f t="shared" ca="1" si="42"/>
        <v>487</v>
      </c>
      <c r="S123" s="1"/>
      <c r="T123" s="1">
        <f t="shared" ca="1" si="43"/>
        <v>1.8067097803478181E-2</v>
      </c>
      <c r="U123" s="1">
        <f t="shared" ca="1" si="44"/>
        <v>138</v>
      </c>
      <c r="V123" s="1">
        <f t="shared" ca="1" si="45"/>
        <v>48</v>
      </c>
      <c r="W123" s="1"/>
      <c r="X123" s="1">
        <f t="shared" ca="1" si="46"/>
        <v>4.7978420690247185</v>
      </c>
      <c r="Y123" s="1">
        <f t="shared" ca="1" si="47"/>
        <v>0.2083108201319481</v>
      </c>
      <c r="Z123" s="1">
        <f t="shared" ca="1" si="48"/>
        <v>1659</v>
      </c>
      <c r="AB123" s="1">
        <f t="shared" ca="1" si="49"/>
        <v>0.38216936487013392</v>
      </c>
      <c r="AC123" s="1">
        <f t="shared" ca="1" si="50"/>
        <v>268</v>
      </c>
      <c r="AD123" s="1">
        <f t="shared" ca="1" si="51"/>
        <v>8.6384683462151137E-3</v>
      </c>
      <c r="AE123" s="1"/>
      <c r="AF123" s="1">
        <f t="shared" ca="1" si="52"/>
        <v>0.41798692818580241</v>
      </c>
      <c r="AG123" s="1">
        <f t="shared" ca="1" si="53"/>
        <v>728</v>
      </c>
      <c r="AH123" s="1">
        <f t="shared" ca="1" si="54"/>
        <v>1.3159180913982435E-3</v>
      </c>
      <c r="AJ123" s="1">
        <f t="shared" ca="1" si="55"/>
        <v>0.95883859145355044</v>
      </c>
      <c r="AK123" s="1">
        <f t="shared" ca="1" si="56"/>
        <v>5.9938228159868955E-4</v>
      </c>
      <c r="AL123" s="1"/>
      <c r="AM123" s="1">
        <f t="shared" ca="1" si="57"/>
        <v>5.432489042655033E-2</v>
      </c>
      <c r="AN123" s="1">
        <f t="shared" ca="1" si="58"/>
        <v>64</v>
      </c>
      <c r="AO123" s="1">
        <f t="shared" ca="1" si="59"/>
        <v>2</v>
      </c>
    </row>
    <row r="124" spans="2:41" x14ac:dyDescent="0.25">
      <c r="B124">
        <f t="shared" ca="1" si="30"/>
        <v>799</v>
      </c>
      <c r="C124">
        <f t="shared" ca="1" si="31"/>
        <v>51</v>
      </c>
      <c r="D124">
        <f t="shared" ca="1" si="32"/>
        <v>3.9658619258594027E-2</v>
      </c>
      <c r="F124" s="1">
        <f t="shared" ca="1" si="33"/>
        <v>40</v>
      </c>
      <c r="G124" s="1">
        <f t="shared" ca="1" si="34"/>
        <v>21</v>
      </c>
      <c r="H124" s="1">
        <f t="shared" ca="1" si="35"/>
        <v>12</v>
      </c>
      <c r="I124" s="1"/>
      <c r="J124" s="1">
        <f t="shared" ca="1" si="36"/>
        <v>2</v>
      </c>
      <c r="K124" s="1">
        <f t="shared" ca="1" si="37"/>
        <v>1.6872719532706102</v>
      </c>
      <c r="L124" s="1">
        <f t="shared" ca="1" si="38"/>
        <v>20</v>
      </c>
      <c r="M124" s="1"/>
      <c r="N124" s="1">
        <f t="shared" ca="1" si="39"/>
        <v>887</v>
      </c>
      <c r="O124" s="1">
        <f t="shared" ca="1" si="40"/>
        <v>13</v>
      </c>
      <c r="P124" s="1"/>
      <c r="Q124" s="1">
        <f t="shared" ca="1" si="41"/>
        <v>4.6188391291369122</v>
      </c>
      <c r="R124" s="1">
        <f t="shared" ca="1" si="42"/>
        <v>458</v>
      </c>
      <c r="S124" s="1"/>
      <c r="T124" s="1">
        <f t="shared" ca="1" si="43"/>
        <v>4.2574667068717376E-2</v>
      </c>
      <c r="U124" s="1">
        <f t="shared" ca="1" si="44"/>
        <v>346</v>
      </c>
      <c r="V124" s="1">
        <f t="shared" ca="1" si="45"/>
        <v>26</v>
      </c>
      <c r="W124" s="1"/>
      <c r="X124" s="1">
        <f t="shared" ca="1" si="46"/>
        <v>5.7259997422824815</v>
      </c>
      <c r="Y124" s="1">
        <f t="shared" ca="1" si="47"/>
        <v>0.15119393774215409</v>
      </c>
      <c r="Z124" s="1">
        <f t="shared" ca="1" si="48"/>
        <v>1045</v>
      </c>
      <c r="AB124" s="1">
        <f t="shared" ca="1" si="49"/>
        <v>2.9554364993957936E-2</v>
      </c>
      <c r="AC124" s="1">
        <f t="shared" ca="1" si="50"/>
        <v>298</v>
      </c>
      <c r="AD124" s="1">
        <f t="shared" ca="1" si="51"/>
        <v>1.6727798898053339E-3</v>
      </c>
      <c r="AE124" s="1"/>
      <c r="AF124" s="1">
        <f t="shared" ca="1" si="52"/>
        <v>0.32775524037118464</v>
      </c>
      <c r="AG124" s="1">
        <f t="shared" ca="1" si="53"/>
        <v>859</v>
      </c>
      <c r="AH124" s="1">
        <f t="shared" ca="1" si="54"/>
        <v>8.8998985230895264E-3</v>
      </c>
      <c r="AJ124" s="1">
        <f t="shared" ca="1" si="55"/>
        <v>0.6635147628417557</v>
      </c>
      <c r="AK124" s="1">
        <f t="shared" ca="1" si="56"/>
        <v>5.0271996223106401E-3</v>
      </c>
      <c r="AL124" s="1"/>
      <c r="AM124" s="1">
        <f t="shared" ca="1" si="57"/>
        <v>1.1768616430828546E-2</v>
      </c>
      <c r="AN124" s="1">
        <f t="shared" ca="1" si="58"/>
        <v>62</v>
      </c>
      <c r="AO124" s="1">
        <f t="shared" ca="1" si="59"/>
        <v>0</v>
      </c>
    </row>
    <row r="125" spans="2:41" x14ac:dyDescent="0.25">
      <c r="B125">
        <f t="shared" ca="1" si="30"/>
        <v>569</v>
      </c>
      <c r="C125">
        <f t="shared" ca="1" si="31"/>
        <v>7</v>
      </c>
      <c r="D125">
        <f t="shared" ca="1" si="32"/>
        <v>0.21639347581792262</v>
      </c>
      <c r="F125" s="1">
        <f t="shared" ca="1" si="33"/>
        <v>25</v>
      </c>
      <c r="G125" s="1">
        <f t="shared" ca="1" si="34"/>
        <v>28</v>
      </c>
      <c r="H125" s="1">
        <f t="shared" ca="1" si="35"/>
        <v>8</v>
      </c>
      <c r="I125" s="1"/>
      <c r="J125" s="1">
        <f t="shared" ca="1" si="36"/>
        <v>31</v>
      </c>
      <c r="K125" s="1">
        <f t="shared" ca="1" si="37"/>
        <v>1.7122786149904479</v>
      </c>
      <c r="L125" s="1">
        <f t="shared" ca="1" si="38"/>
        <v>31</v>
      </c>
      <c r="M125" s="1"/>
      <c r="N125" s="1">
        <f t="shared" ca="1" si="39"/>
        <v>443</v>
      </c>
      <c r="O125" s="1">
        <f t="shared" ca="1" si="40"/>
        <v>21</v>
      </c>
      <c r="P125" s="1"/>
      <c r="Q125" s="1">
        <f t="shared" ca="1" si="41"/>
        <v>1.4987732193301146</v>
      </c>
      <c r="R125" s="1">
        <f t="shared" ca="1" si="42"/>
        <v>465</v>
      </c>
      <c r="S125" s="1"/>
      <c r="T125" s="1">
        <f t="shared" ca="1" si="43"/>
        <v>0.1682074608739679</v>
      </c>
      <c r="U125" s="1">
        <f t="shared" ca="1" si="44"/>
        <v>435</v>
      </c>
      <c r="V125" s="1">
        <f t="shared" ca="1" si="45"/>
        <v>43</v>
      </c>
      <c r="W125" s="1"/>
      <c r="X125" s="1">
        <f t="shared" ca="1" si="46"/>
        <v>8.4476117404927162</v>
      </c>
      <c r="Y125" s="1">
        <f t="shared" ca="1" si="47"/>
        <v>0.10364441964874758</v>
      </c>
      <c r="Z125" s="1">
        <f t="shared" ca="1" si="48"/>
        <v>319</v>
      </c>
      <c r="AB125" s="1">
        <f t="shared" ca="1" si="49"/>
        <v>0.99772068746575926</v>
      </c>
      <c r="AC125" s="1">
        <f t="shared" ca="1" si="50"/>
        <v>968</v>
      </c>
      <c r="AD125" s="1">
        <f t="shared" ca="1" si="51"/>
        <v>9.8076175140557331E-3</v>
      </c>
      <c r="AE125" s="1"/>
      <c r="AF125" s="1">
        <f t="shared" ca="1" si="52"/>
        <v>0.73234443448254438</v>
      </c>
      <c r="AG125" s="1">
        <f t="shared" ca="1" si="53"/>
        <v>947</v>
      </c>
      <c r="AH125" s="1">
        <f t="shared" ca="1" si="54"/>
        <v>8.7616807709125777E-3</v>
      </c>
      <c r="AJ125" s="1">
        <f t="shared" ca="1" si="55"/>
        <v>0.25158292367822699</v>
      </c>
      <c r="AK125" s="1">
        <f t="shared" ca="1" si="56"/>
        <v>4.3521031334274362E-3</v>
      </c>
      <c r="AL125" s="1"/>
      <c r="AM125" s="1">
        <f t="shared" ca="1" si="57"/>
        <v>0.18892806492638123</v>
      </c>
      <c r="AN125" s="1">
        <f t="shared" ca="1" si="58"/>
        <v>20</v>
      </c>
      <c r="AO125" s="1">
        <f t="shared" ca="1" si="59"/>
        <v>5</v>
      </c>
    </row>
    <row r="126" spans="2:41" x14ac:dyDescent="0.25">
      <c r="B126">
        <f t="shared" ca="1" si="30"/>
        <v>658</v>
      </c>
      <c r="C126">
        <f t="shared" ca="1" si="31"/>
        <v>8</v>
      </c>
      <c r="D126">
        <f t="shared" ca="1" si="32"/>
        <v>0.24541775100090152</v>
      </c>
      <c r="F126" s="1">
        <f t="shared" ca="1" si="33"/>
        <v>3</v>
      </c>
      <c r="G126" s="1">
        <f t="shared" ca="1" si="34"/>
        <v>8</v>
      </c>
      <c r="H126" s="1">
        <f t="shared" ca="1" si="35"/>
        <v>8</v>
      </c>
      <c r="I126" s="1"/>
      <c r="J126" s="1">
        <f t="shared" ca="1" si="36"/>
        <v>16</v>
      </c>
      <c r="K126" s="1">
        <f t="shared" ca="1" si="37"/>
        <v>2.8722665708534842</v>
      </c>
      <c r="L126" s="1">
        <f t="shared" ca="1" si="38"/>
        <v>17</v>
      </c>
      <c r="M126" s="1"/>
      <c r="N126" s="1">
        <f t="shared" ca="1" si="39"/>
        <v>274</v>
      </c>
      <c r="O126" s="1">
        <f t="shared" ca="1" si="40"/>
        <v>27</v>
      </c>
      <c r="P126" s="1"/>
      <c r="Q126" s="1">
        <f t="shared" ca="1" si="41"/>
        <v>4.0881222718012244</v>
      </c>
      <c r="R126" s="1">
        <f t="shared" ca="1" si="42"/>
        <v>867</v>
      </c>
      <c r="S126" s="1"/>
      <c r="T126" s="1">
        <f t="shared" ca="1" si="43"/>
        <v>0.10049672867903221</v>
      </c>
      <c r="U126" s="1">
        <f t="shared" ca="1" si="44"/>
        <v>126</v>
      </c>
      <c r="V126" s="1">
        <f t="shared" ca="1" si="45"/>
        <v>30</v>
      </c>
      <c r="W126" s="1"/>
      <c r="X126" s="1">
        <f t="shared" ca="1" si="46"/>
        <v>0.31770133013938856</v>
      </c>
      <c r="Y126" s="1">
        <f t="shared" ca="1" si="47"/>
        <v>0.49328815740335413</v>
      </c>
      <c r="Z126" s="1">
        <f t="shared" ca="1" si="48"/>
        <v>1764</v>
      </c>
      <c r="AB126" s="1">
        <f t="shared" ca="1" si="49"/>
        <v>0.69256361779207398</v>
      </c>
      <c r="AC126" s="1">
        <f t="shared" ca="1" si="50"/>
        <v>792</v>
      </c>
      <c r="AD126" s="1">
        <f t="shared" ca="1" si="51"/>
        <v>9.7621404409785721E-3</v>
      </c>
      <c r="AE126" s="1"/>
      <c r="AF126" s="1">
        <f t="shared" ca="1" si="52"/>
        <v>0.39513454504827161</v>
      </c>
      <c r="AG126" s="1">
        <f t="shared" ca="1" si="53"/>
        <v>579</v>
      </c>
      <c r="AH126" s="1">
        <f t="shared" ca="1" si="54"/>
        <v>2.1601193909259026E-3</v>
      </c>
      <c r="AJ126" s="1">
        <f t="shared" ca="1" si="55"/>
        <v>0.95973933189723937</v>
      </c>
      <c r="AK126" s="1">
        <f t="shared" ca="1" si="56"/>
        <v>4.0251439712341765E-3</v>
      </c>
      <c r="AL126" s="1"/>
      <c r="AM126" s="1">
        <f t="shared" ca="1" si="57"/>
        <v>4.2503031711618372E-2</v>
      </c>
      <c r="AN126" s="1">
        <f t="shared" ca="1" si="58"/>
        <v>46</v>
      </c>
      <c r="AO126" s="1">
        <f t="shared" ca="1" si="59"/>
        <v>0</v>
      </c>
    </row>
    <row r="127" spans="2:41" x14ac:dyDescent="0.25">
      <c r="B127">
        <f t="shared" ca="1" si="30"/>
        <v>742</v>
      </c>
      <c r="C127">
        <f t="shared" ca="1" si="31"/>
        <v>7</v>
      </c>
      <c r="D127">
        <f t="shared" ca="1" si="32"/>
        <v>0.26757987184078369</v>
      </c>
      <c r="F127" s="1">
        <f t="shared" ca="1" si="33"/>
        <v>5</v>
      </c>
      <c r="G127" s="1">
        <f t="shared" ca="1" si="34"/>
        <v>24</v>
      </c>
      <c r="H127" s="1">
        <f t="shared" ca="1" si="35"/>
        <v>10</v>
      </c>
      <c r="I127" s="1"/>
      <c r="J127" s="1">
        <f t="shared" ca="1" si="36"/>
        <v>32</v>
      </c>
      <c r="K127" s="1">
        <f t="shared" ca="1" si="37"/>
        <v>2.0751657950269484</v>
      </c>
      <c r="L127" s="1">
        <f t="shared" ca="1" si="38"/>
        <v>34</v>
      </c>
      <c r="M127" s="1"/>
      <c r="N127" s="1">
        <f t="shared" ca="1" si="39"/>
        <v>336</v>
      </c>
      <c r="O127" s="1">
        <f t="shared" ca="1" si="40"/>
        <v>44</v>
      </c>
      <c r="P127" s="1"/>
      <c r="Q127" s="1">
        <f t="shared" ca="1" si="41"/>
        <v>0.47153390582182403</v>
      </c>
      <c r="R127" s="1">
        <f t="shared" ca="1" si="42"/>
        <v>1112</v>
      </c>
      <c r="S127" s="1"/>
      <c r="T127" s="1">
        <f t="shared" ca="1" si="43"/>
        <v>3.7962873212135873E-2</v>
      </c>
      <c r="U127" s="1">
        <f t="shared" ca="1" si="44"/>
        <v>351</v>
      </c>
      <c r="V127" s="1">
        <f t="shared" ca="1" si="45"/>
        <v>23</v>
      </c>
      <c r="W127" s="1"/>
      <c r="X127" s="1">
        <f t="shared" ca="1" si="46"/>
        <v>7.6457543084473283</v>
      </c>
      <c r="Y127" s="1">
        <f t="shared" ca="1" si="47"/>
        <v>0.11806521147190956</v>
      </c>
      <c r="Z127" s="1">
        <f t="shared" ca="1" si="48"/>
        <v>669</v>
      </c>
      <c r="AB127" s="1">
        <f t="shared" ca="1" si="49"/>
        <v>0.36005254209223608</v>
      </c>
      <c r="AC127" s="1">
        <f t="shared" ca="1" si="50"/>
        <v>602</v>
      </c>
      <c r="AD127" s="1">
        <f t="shared" ca="1" si="51"/>
        <v>6.1582899991879233E-3</v>
      </c>
      <c r="AE127" s="1"/>
      <c r="AF127" s="1">
        <f t="shared" ca="1" si="52"/>
        <v>0.71463024197606184</v>
      </c>
      <c r="AG127" s="1">
        <f t="shared" ca="1" si="53"/>
        <v>840</v>
      </c>
      <c r="AH127" s="1">
        <f t="shared" ca="1" si="54"/>
        <v>9.3910159186934364E-3</v>
      </c>
      <c r="AJ127" s="1">
        <f t="shared" ca="1" si="55"/>
        <v>0.53386093625291364</v>
      </c>
      <c r="AK127" s="1">
        <f t="shared" ca="1" si="56"/>
        <v>4.7802824744736464E-3</v>
      </c>
      <c r="AL127" s="1"/>
      <c r="AM127" s="1">
        <f t="shared" ca="1" si="57"/>
        <v>8.4807694443902501E-2</v>
      </c>
      <c r="AN127" s="1">
        <f t="shared" ca="1" si="58"/>
        <v>26</v>
      </c>
      <c r="AO127" s="1">
        <f t="shared" ca="1" si="59"/>
        <v>-1</v>
      </c>
    </row>
    <row r="128" spans="2:41" x14ac:dyDescent="0.25">
      <c r="B128">
        <f t="shared" ca="1" si="30"/>
        <v>683</v>
      </c>
      <c r="C128">
        <f t="shared" ca="1" si="31"/>
        <v>3</v>
      </c>
      <c r="D128">
        <f t="shared" ca="1" si="32"/>
        <v>0.18582280351288019</v>
      </c>
      <c r="F128" s="1">
        <f t="shared" ca="1" si="33"/>
        <v>17</v>
      </c>
      <c r="G128" s="1">
        <f t="shared" ca="1" si="34"/>
        <v>26</v>
      </c>
      <c r="H128" s="1">
        <f t="shared" ca="1" si="35"/>
        <v>6</v>
      </c>
      <c r="I128" s="1"/>
      <c r="J128" s="1">
        <f t="shared" ca="1" si="36"/>
        <v>33</v>
      </c>
      <c r="K128" s="1">
        <f t="shared" ca="1" si="37"/>
        <v>2.7986446155232043</v>
      </c>
      <c r="L128" s="1">
        <f t="shared" ca="1" si="38"/>
        <v>26</v>
      </c>
      <c r="M128" s="1"/>
      <c r="N128" s="1">
        <f t="shared" ca="1" si="39"/>
        <v>421</v>
      </c>
      <c r="O128" s="1">
        <f t="shared" ca="1" si="40"/>
        <v>34</v>
      </c>
      <c r="P128" s="1"/>
      <c r="Q128" s="1">
        <f t="shared" ca="1" si="41"/>
        <v>3.6613410220962295</v>
      </c>
      <c r="R128" s="1">
        <f t="shared" ca="1" si="42"/>
        <v>905</v>
      </c>
      <c r="S128" s="1"/>
      <c r="T128" s="1">
        <f t="shared" ca="1" si="43"/>
        <v>1.5090521097714431E-2</v>
      </c>
      <c r="U128" s="1">
        <f t="shared" ca="1" si="44"/>
        <v>355</v>
      </c>
      <c r="V128" s="1">
        <f t="shared" ca="1" si="45"/>
        <v>48</v>
      </c>
      <c r="W128" s="1"/>
      <c r="X128" s="1">
        <f t="shared" ca="1" si="46"/>
        <v>2.3175869638102227</v>
      </c>
      <c r="Y128" s="1">
        <f t="shared" ca="1" si="47"/>
        <v>0.1116338505911546</v>
      </c>
      <c r="Z128" s="1">
        <f t="shared" ca="1" si="48"/>
        <v>1164</v>
      </c>
      <c r="AB128" s="1">
        <f t="shared" ca="1" si="49"/>
        <v>0.32982735608126895</v>
      </c>
      <c r="AC128" s="1">
        <f t="shared" ca="1" si="50"/>
        <v>289</v>
      </c>
      <c r="AD128" s="1">
        <f t="shared" ca="1" si="51"/>
        <v>5.0295481081895667E-3</v>
      </c>
      <c r="AE128" s="1"/>
      <c r="AF128" s="1">
        <f t="shared" ca="1" si="52"/>
        <v>0.67501844330861283</v>
      </c>
      <c r="AG128" s="1">
        <f t="shared" ca="1" si="53"/>
        <v>887</v>
      </c>
      <c r="AH128" s="1">
        <f t="shared" ca="1" si="54"/>
        <v>3.7523982426683083E-3</v>
      </c>
      <c r="AJ128" s="1">
        <f t="shared" ca="1" si="55"/>
        <v>0.19398304083352103</v>
      </c>
      <c r="AK128" s="1">
        <f t="shared" ca="1" si="56"/>
        <v>8.1578778790725691E-3</v>
      </c>
      <c r="AL128" s="1"/>
      <c r="AM128" s="1">
        <f t="shared" ca="1" si="57"/>
        <v>6.9977420281967684E-2</v>
      </c>
      <c r="AN128" s="1">
        <f t="shared" ca="1" si="58"/>
        <v>33</v>
      </c>
      <c r="AO128" s="1">
        <f t="shared" ca="1" si="59"/>
        <v>3</v>
      </c>
    </row>
    <row r="129" spans="2:41" x14ac:dyDescent="0.25">
      <c r="B129">
        <f t="shared" ca="1" si="30"/>
        <v>652</v>
      </c>
      <c r="C129">
        <f t="shared" ca="1" si="31"/>
        <v>34</v>
      </c>
      <c r="D129">
        <f t="shared" ca="1" si="32"/>
        <v>2.4231392607133209E-2</v>
      </c>
      <c r="F129" s="1">
        <f t="shared" ca="1" si="33"/>
        <v>22</v>
      </c>
      <c r="G129" s="1">
        <f t="shared" ca="1" si="34"/>
        <v>10</v>
      </c>
      <c r="H129" s="1">
        <f t="shared" ca="1" si="35"/>
        <v>4</v>
      </c>
      <c r="I129" s="1"/>
      <c r="J129" s="1">
        <f t="shared" ca="1" si="36"/>
        <v>22</v>
      </c>
      <c r="K129" s="1">
        <f t="shared" ca="1" si="37"/>
        <v>2.8106169516828485</v>
      </c>
      <c r="L129" s="1">
        <f t="shared" ca="1" si="38"/>
        <v>6</v>
      </c>
      <c r="M129" s="1"/>
      <c r="N129" s="1">
        <f t="shared" ca="1" si="39"/>
        <v>616</v>
      </c>
      <c r="O129" s="1">
        <f t="shared" ca="1" si="40"/>
        <v>26</v>
      </c>
      <c r="P129" s="1"/>
      <c r="Q129" s="1">
        <f t="shared" ca="1" si="41"/>
        <v>3.1609992826341196</v>
      </c>
      <c r="R129" s="1">
        <f t="shared" ca="1" si="42"/>
        <v>891</v>
      </c>
      <c r="S129" s="1"/>
      <c r="T129" s="1">
        <f t="shared" ca="1" si="43"/>
        <v>2.6266754889936857E-2</v>
      </c>
      <c r="U129" s="1">
        <f t="shared" ca="1" si="44"/>
        <v>156</v>
      </c>
      <c r="V129" s="1">
        <f t="shared" ca="1" si="45"/>
        <v>22</v>
      </c>
      <c r="W129" s="1"/>
      <c r="X129" s="1">
        <f t="shared" ca="1" si="46"/>
        <v>4.7973736411188739</v>
      </c>
      <c r="Y129" s="1">
        <f t="shared" ca="1" si="47"/>
        <v>0.79630138732682298</v>
      </c>
      <c r="Z129" s="1">
        <f t="shared" ca="1" si="48"/>
        <v>717</v>
      </c>
      <c r="AB129" s="1">
        <f t="shared" ca="1" si="49"/>
        <v>0.20219509795879756</v>
      </c>
      <c r="AC129" s="1">
        <f t="shared" ca="1" si="50"/>
        <v>492</v>
      </c>
      <c r="AD129" s="1">
        <f t="shared" ca="1" si="51"/>
        <v>2.2464704566955889E-3</v>
      </c>
      <c r="AE129" s="1"/>
      <c r="AF129" s="1">
        <f t="shared" ca="1" si="52"/>
        <v>0.29092855453374017</v>
      </c>
      <c r="AG129" s="1">
        <f t="shared" ca="1" si="53"/>
        <v>920</v>
      </c>
      <c r="AH129" s="1">
        <f t="shared" ca="1" si="54"/>
        <v>7.6621514048693697E-3</v>
      </c>
      <c r="AJ129" s="1">
        <f t="shared" ca="1" si="55"/>
        <v>0.47898878180564364</v>
      </c>
      <c r="AK129" s="1">
        <f t="shared" ca="1" si="56"/>
        <v>2.6127203949954979E-3</v>
      </c>
      <c r="AL129" s="1"/>
      <c r="AM129" s="1">
        <f t="shared" ca="1" si="57"/>
        <v>3.836606640763756E-2</v>
      </c>
      <c r="AN129" s="1">
        <f t="shared" ca="1" si="58"/>
        <v>47</v>
      </c>
      <c r="AO129" s="1">
        <f t="shared" ca="1" si="59"/>
        <v>11</v>
      </c>
    </row>
    <row r="130" spans="2:41" x14ac:dyDescent="0.25">
      <c r="B130">
        <f t="shared" ca="1" si="30"/>
        <v>17</v>
      </c>
      <c r="C130">
        <f t="shared" ca="1" si="31"/>
        <v>4</v>
      </c>
      <c r="D130">
        <f t="shared" ca="1" si="32"/>
        <v>0.21899638938910229</v>
      </c>
      <c r="F130" s="1">
        <f t="shared" ca="1" si="33"/>
        <v>50</v>
      </c>
      <c r="G130" s="1">
        <f t="shared" ca="1" si="34"/>
        <v>27</v>
      </c>
      <c r="H130" s="1">
        <f t="shared" ca="1" si="35"/>
        <v>2</v>
      </c>
      <c r="I130" s="1"/>
      <c r="J130" s="1">
        <f t="shared" ca="1" si="36"/>
        <v>26</v>
      </c>
      <c r="K130" s="1">
        <f t="shared" ca="1" si="37"/>
        <v>1.6213064183054302</v>
      </c>
      <c r="L130" s="1">
        <f t="shared" ca="1" si="38"/>
        <v>31</v>
      </c>
      <c r="M130" s="1"/>
      <c r="N130" s="1">
        <f t="shared" ca="1" si="39"/>
        <v>576</v>
      </c>
      <c r="O130" s="1">
        <f t="shared" ca="1" si="40"/>
        <v>5</v>
      </c>
      <c r="P130" s="1"/>
      <c r="Q130" s="1">
        <f t="shared" ca="1" si="41"/>
        <v>4.0194507669047521</v>
      </c>
      <c r="R130" s="1">
        <f t="shared" ca="1" si="42"/>
        <v>550</v>
      </c>
      <c r="S130" s="1"/>
      <c r="T130" s="1">
        <f t="shared" ca="1" si="43"/>
        <v>7.2081491885655366E-2</v>
      </c>
      <c r="U130" s="1">
        <f t="shared" ca="1" si="44"/>
        <v>97</v>
      </c>
      <c r="V130" s="1">
        <f t="shared" ca="1" si="45"/>
        <v>23</v>
      </c>
      <c r="W130" s="1"/>
      <c r="X130" s="1">
        <f t="shared" ca="1" si="46"/>
        <v>3.6664950634954332</v>
      </c>
      <c r="Y130" s="1">
        <f t="shared" ca="1" si="47"/>
        <v>0.58905398661878738</v>
      </c>
      <c r="Z130" s="1">
        <f t="shared" ca="1" si="48"/>
        <v>1208</v>
      </c>
      <c r="AB130" s="1">
        <f t="shared" ca="1" si="49"/>
        <v>0.78163817006748815</v>
      </c>
      <c r="AC130" s="1">
        <f t="shared" ca="1" si="50"/>
        <v>386</v>
      </c>
      <c r="AD130" s="1">
        <f t="shared" ca="1" si="51"/>
        <v>1.6667093983181714E-3</v>
      </c>
      <c r="AE130" s="1"/>
      <c r="AF130" s="1">
        <f t="shared" ca="1" si="52"/>
        <v>0.26892411765523694</v>
      </c>
      <c r="AG130" s="1">
        <f t="shared" ca="1" si="53"/>
        <v>194</v>
      </c>
      <c r="AH130" s="1">
        <f t="shared" ca="1" si="54"/>
        <v>2.0852252734525597E-3</v>
      </c>
      <c r="AJ130" s="1">
        <f t="shared" ca="1" si="55"/>
        <v>0.66156310727884582</v>
      </c>
      <c r="AK130" s="1">
        <f t="shared" ca="1" si="56"/>
        <v>6.0093025859475624E-3</v>
      </c>
      <c r="AL130" s="1"/>
      <c r="AM130" s="1">
        <f t="shared" ca="1" si="57"/>
        <v>0.194919493294755</v>
      </c>
      <c r="AN130" s="1">
        <f t="shared" ca="1" si="58"/>
        <v>44</v>
      </c>
      <c r="AO130" s="1">
        <f t="shared" ca="1" si="59"/>
        <v>0</v>
      </c>
    </row>
    <row r="131" spans="2:41" x14ac:dyDescent="0.25">
      <c r="B131">
        <f t="shared" ca="1" si="30"/>
        <v>15</v>
      </c>
      <c r="C131">
        <f t="shared" ca="1" si="31"/>
        <v>5</v>
      </c>
      <c r="D131">
        <f t="shared" ca="1" si="32"/>
        <v>4.5373335847785863E-2</v>
      </c>
      <c r="F131" s="1">
        <f t="shared" ca="1" si="33"/>
        <v>25</v>
      </c>
      <c r="G131" s="1">
        <f t="shared" ca="1" si="34"/>
        <v>23</v>
      </c>
      <c r="H131" s="1">
        <f t="shared" ca="1" si="35"/>
        <v>3</v>
      </c>
      <c r="I131" s="1"/>
      <c r="J131" s="1">
        <f t="shared" ca="1" si="36"/>
        <v>3</v>
      </c>
      <c r="K131" s="1">
        <f t="shared" ca="1" si="37"/>
        <v>1.2723249556433796</v>
      </c>
      <c r="L131" s="1">
        <f t="shared" ca="1" si="38"/>
        <v>27</v>
      </c>
      <c r="M131" s="1"/>
      <c r="N131" s="1">
        <f t="shared" ca="1" si="39"/>
        <v>49</v>
      </c>
      <c r="O131" s="1">
        <f t="shared" ca="1" si="40"/>
        <v>51</v>
      </c>
      <c r="P131" s="1"/>
      <c r="Q131" s="1">
        <f t="shared" ca="1" si="41"/>
        <v>1.0476415502122456</v>
      </c>
      <c r="R131" s="1">
        <f t="shared" ca="1" si="42"/>
        <v>941</v>
      </c>
      <c r="S131" s="1"/>
      <c r="T131" s="1">
        <f t="shared" ca="1" si="43"/>
        <v>7.4900423285723938E-2</v>
      </c>
      <c r="U131" s="1">
        <f t="shared" ca="1" si="44"/>
        <v>173</v>
      </c>
      <c r="V131" s="1">
        <f t="shared" ca="1" si="45"/>
        <v>44</v>
      </c>
      <c r="W131" s="1"/>
      <c r="X131" s="1">
        <f t="shared" ca="1" si="46"/>
        <v>6.60335524317692</v>
      </c>
      <c r="Y131" s="1">
        <f t="shared" ca="1" si="47"/>
        <v>0.32310507801849075</v>
      </c>
      <c r="Z131" s="1">
        <f t="shared" ca="1" si="48"/>
        <v>1713</v>
      </c>
      <c r="AB131" s="1">
        <f t="shared" ca="1" si="49"/>
        <v>0.62656063031088416</v>
      </c>
      <c r="AC131" s="1">
        <f t="shared" ca="1" si="50"/>
        <v>423</v>
      </c>
      <c r="AD131" s="1">
        <f t="shared" ca="1" si="51"/>
        <v>9.4746292549165374E-4</v>
      </c>
      <c r="AE131" s="1"/>
      <c r="AF131" s="1">
        <f t="shared" ca="1" si="52"/>
        <v>0.55508752125124106</v>
      </c>
      <c r="AG131" s="1">
        <f t="shared" ca="1" si="53"/>
        <v>523</v>
      </c>
      <c r="AH131" s="1">
        <f t="shared" ca="1" si="54"/>
        <v>6.7955256218289548E-3</v>
      </c>
      <c r="AJ131" s="1">
        <f t="shared" ca="1" si="55"/>
        <v>0.65207266352319582</v>
      </c>
      <c r="AK131" s="1">
        <f t="shared" ca="1" si="56"/>
        <v>2.4151671361295254E-3</v>
      </c>
      <c r="AL131" s="1"/>
      <c r="AM131" s="1">
        <f t="shared" ca="1" si="57"/>
        <v>0.12622480095283328</v>
      </c>
      <c r="AN131" s="1">
        <f t="shared" ca="1" si="58"/>
        <v>60</v>
      </c>
      <c r="AO131" s="1">
        <f t="shared" ca="1" si="59"/>
        <v>11</v>
      </c>
    </row>
    <row r="132" spans="2:41" x14ac:dyDescent="0.25">
      <c r="B132">
        <f t="shared" ref="B132:B195" ca="1" si="60">RANDBETWEEN(15,1000)</f>
        <v>981</v>
      </c>
      <c r="C132">
        <f t="shared" ref="C132:C195" ca="1" si="61">RANDBETWEEN(2,52)</f>
        <v>44</v>
      </c>
      <c r="D132">
        <f t="shared" ref="D132:D195" ca="1" si="62">RAND()*(0.3-0.01)+0.01</f>
        <v>0.14088143782502885</v>
      </c>
      <c r="F132" s="1">
        <f t="shared" ref="F132:F195" ca="1" si="63">RANDBETWEEN(2,52)</f>
        <v>17</v>
      </c>
      <c r="G132" s="1">
        <f t="shared" ref="G132:G195" ca="1" si="64">RANDBETWEEN(2,30)</f>
        <v>17</v>
      </c>
      <c r="H132" s="1">
        <f t="shared" ref="H132:H195" ca="1" si="65">RANDBETWEEN(1,15)</f>
        <v>3</v>
      </c>
      <c r="I132" s="1"/>
      <c r="J132" s="1">
        <f t="shared" ref="J132:J195" ca="1" si="66">RANDBETWEEN(1,39)</f>
        <v>9</v>
      </c>
      <c r="K132" s="1">
        <f t="shared" ref="K132:K195" ca="1" si="67">RAND()*(3-1)+1</f>
        <v>2.4119843360837718</v>
      </c>
      <c r="L132" s="1">
        <f t="shared" ref="L132:L195" ca="1" si="68">RANDBETWEEN(2,35)</f>
        <v>28</v>
      </c>
      <c r="M132" s="1"/>
      <c r="N132" s="1">
        <f t="shared" ref="N132:N195" ca="1" si="69">RANDBETWEEN(15,1000)</f>
        <v>761</v>
      </c>
      <c r="O132" s="1">
        <f t="shared" ref="O132:O195" ca="1" si="70">RANDBETWEEN(2,52)</f>
        <v>50</v>
      </c>
      <c r="P132" s="1"/>
      <c r="Q132" s="1">
        <f t="shared" ref="Q132:Q195" ca="1" si="71">RAND()*(5-0.01)+0.01</f>
        <v>2.3022837268278837</v>
      </c>
      <c r="R132" s="1">
        <f t="shared" ref="R132:R195" ca="1" si="72">RANDBETWEEN(200,1200)</f>
        <v>511</v>
      </c>
      <c r="S132" s="1"/>
      <c r="T132" s="1">
        <f t="shared" ref="T132:T195" ca="1" si="73">RAND()*(0.2-0.01)+0.01</f>
        <v>6.2123546804405128E-2</v>
      </c>
      <c r="U132" s="1">
        <f t="shared" ref="U132:U195" ca="1" si="74">RANDBETWEEN(50,450)</f>
        <v>286</v>
      </c>
      <c r="V132" s="1">
        <f t="shared" ref="V132:V195" ca="1" si="75">RANDBETWEEN(2,52)</f>
        <v>44</v>
      </c>
      <c r="W132" s="1"/>
      <c r="X132" s="1">
        <f t="shared" ref="X132:X195" ca="1" si="76">RAND()*(10-0.01)+0.01</f>
        <v>5.5845135017363274</v>
      </c>
      <c r="Y132" s="1">
        <f t="shared" ref="Y132:Y195" ca="1" si="77">RAND()*(1-0.0001)+0.0001</f>
        <v>0.6738558783306291</v>
      </c>
      <c r="Z132" s="1">
        <f t="shared" ref="Z132:Z195" ca="1" si="78">RANDBETWEEN(100,2000)</f>
        <v>1091</v>
      </c>
      <c r="AB132" s="1">
        <f t="shared" ref="AB132:AB195" ca="1" si="79">RAND()*(1-0.0001)+0.0001</f>
        <v>0.85137369758257686</v>
      </c>
      <c r="AC132" s="1">
        <f t="shared" ref="AC132:AC195" ca="1" si="80">RANDBETWEEN(100,1000)</f>
        <v>226</v>
      </c>
      <c r="AD132" s="1">
        <f t="shared" ref="AD132:AD195" ca="1" si="81">RAND()*(0.01-0.00001)+0.00001</f>
        <v>1.3397509048746661E-3</v>
      </c>
      <c r="AE132" s="1"/>
      <c r="AF132" s="1">
        <f t="shared" ref="AF132:AF195" ca="1" si="82">RAND()*(0.9-0.1)+0.1</f>
        <v>0.49038383017881804</v>
      </c>
      <c r="AG132" s="1">
        <f t="shared" ref="AG132:AG195" ca="1" si="83">RANDBETWEEN(100,1000)</f>
        <v>680</v>
      </c>
      <c r="AH132" s="1">
        <f t="shared" ref="AH132:AH195" ca="1" si="84">RAND()*(0.01-0.00001)+0.00001</f>
        <v>7.6928562806460547E-3</v>
      </c>
      <c r="AJ132" s="1">
        <f t="shared" ref="AJ132:AJ195" ca="1" si="85">RAND()*(1-0)+0</f>
        <v>0.60625851834903766</v>
      </c>
      <c r="AK132" s="1">
        <f t="shared" ref="AK132:AK195" ca="1" si="86">RAND()*(0.01-0.00001)+0.00001</f>
        <v>4.143387033093888E-3</v>
      </c>
      <c r="AL132" s="1"/>
      <c r="AM132" s="1">
        <f t="shared" ref="AM132:AM195" ca="1" si="87">RAND()*(0.2-0.005)+0.005</f>
        <v>2.9822115322819358E-2</v>
      </c>
      <c r="AN132" s="1">
        <f t="shared" ref="AN132:AN195" ca="1" si="88">RANDBETWEEN(10,80)</f>
        <v>77</v>
      </c>
      <c r="AO132" s="1">
        <f t="shared" ref="AO132:AO195" ca="1" si="89">RANDBETWEEN(-1,20)</f>
        <v>18</v>
      </c>
    </row>
    <row r="133" spans="2:41" x14ac:dyDescent="0.25">
      <c r="B133">
        <f t="shared" ca="1" si="60"/>
        <v>32</v>
      </c>
      <c r="C133">
        <f t="shared" ca="1" si="61"/>
        <v>29</v>
      </c>
      <c r="D133">
        <f t="shared" ca="1" si="62"/>
        <v>0.18359787641457162</v>
      </c>
      <c r="F133" s="1">
        <f t="shared" ca="1" si="63"/>
        <v>26</v>
      </c>
      <c r="G133" s="1">
        <f t="shared" ca="1" si="64"/>
        <v>2</v>
      </c>
      <c r="H133" s="1">
        <f t="shared" ca="1" si="65"/>
        <v>10</v>
      </c>
      <c r="I133" s="1"/>
      <c r="J133" s="1">
        <f t="shared" ca="1" si="66"/>
        <v>26</v>
      </c>
      <c r="K133" s="1">
        <f t="shared" ca="1" si="67"/>
        <v>2.8570989797108957</v>
      </c>
      <c r="L133" s="1">
        <f t="shared" ca="1" si="68"/>
        <v>8</v>
      </c>
      <c r="M133" s="1"/>
      <c r="N133" s="1">
        <f t="shared" ca="1" si="69"/>
        <v>439</v>
      </c>
      <c r="O133" s="1">
        <f t="shared" ca="1" si="70"/>
        <v>36</v>
      </c>
      <c r="P133" s="1"/>
      <c r="Q133" s="1">
        <f t="shared" ca="1" si="71"/>
        <v>3.5458614706160576</v>
      </c>
      <c r="R133" s="1">
        <f t="shared" ca="1" si="72"/>
        <v>912</v>
      </c>
      <c r="S133" s="1"/>
      <c r="T133" s="1">
        <f t="shared" ca="1" si="73"/>
        <v>0.18261021862290472</v>
      </c>
      <c r="U133" s="1">
        <f t="shared" ca="1" si="74"/>
        <v>239</v>
      </c>
      <c r="V133" s="1">
        <f t="shared" ca="1" si="75"/>
        <v>31</v>
      </c>
      <c r="W133" s="1"/>
      <c r="X133" s="1">
        <f t="shared" ca="1" si="76"/>
        <v>4.8232164614626178</v>
      </c>
      <c r="Y133" s="1">
        <f t="shared" ca="1" si="77"/>
        <v>0.57474532455320793</v>
      </c>
      <c r="Z133" s="1">
        <f t="shared" ca="1" si="78"/>
        <v>1128</v>
      </c>
      <c r="AB133" s="1">
        <f t="shared" ca="1" si="79"/>
        <v>0.16332167963436203</v>
      </c>
      <c r="AC133" s="1">
        <f t="shared" ca="1" si="80"/>
        <v>111</v>
      </c>
      <c r="AD133" s="1">
        <f t="shared" ca="1" si="81"/>
        <v>7.7286393703081321E-3</v>
      </c>
      <c r="AE133" s="1"/>
      <c r="AF133" s="1">
        <f t="shared" ca="1" si="82"/>
        <v>0.15323258725758909</v>
      </c>
      <c r="AG133" s="1">
        <f t="shared" ca="1" si="83"/>
        <v>467</v>
      </c>
      <c r="AH133" s="1">
        <f t="shared" ca="1" si="84"/>
        <v>4.1691231113321825E-3</v>
      </c>
      <c r="AJ133" s="1">
        <f t="shared" ca="1" si="85"/>
        <v>0.98123382129217529</v>
      </c>
      <c r="AK133" s="1">
        <f t="shared" ca="1" si="86"/>
        <v>2.8097252620695166E-3</v>
      </c>
      <c r="AL133" s="1"/>
      <c r="AM133" s="1">
        <f t="shared" ca="1" si="87"/>
        <v>5.1300090651896148E-2</v>
      </c>
      <c r="AN133" s="1">
        <f t="shared" ca="1" si="88"/>
        <v>41</v>
      </c>
      <c r="AO133" s="1">
        <f t="shared" ca="1" si="89"/>
        <v>1</v>
      </c>
    </row>
    <row r="134" spans="2:41" x14ac:dyDescent="0.25">
      <c r="B134">
        <f t="shared" ca="1" si="60"/>
        <v>890</v>
      </c>
      <c r="C134">
        <f t="shared" ca="1" si="61"/>
        <v>8</v>
      </c>
      <c r="D134">
        <f t="shared" ca="1" si="62"/>
        <v>0.12246278122004312</v>
      </c>
      <c r="F134" s="1">
        <f t="shared" ca="1" si="63"/>
        <v>5</v>
      </c>
      <c r="G134" s="1">
        <f t="shared" ca="1" si="64"/>
        <v>3</v>
      </c>
      <c r="H134" s="1">
        <f t="shared" ca="1" si="65"/>
        <v>6</v>
      </c>
      <c r="I134" s="1"/>
      <c r="J134" s="1">
        <f t="shared" ca="1" si="66"/>
        <v>13</v>
      </c>
      <c r="K134" s="1">
        <f t="shared" ca="1" si="67"/>
        <v>1.4002460629650995</v>
      </c>
      <c r="L134" s="1">
        <f t="shared" ca="1" si="68"/>
        <v>30</v>
      </c>
      <c r="M134" s="1"/>
      <c r="N134" s="1">
        <f t="shared" ca="1" si="69"/>
        <v>917</v>
      </c>
      <c r="O134" s="1">
        <f t="shared" ca="1" si="70"/>
        <v>10</v>
      </c>
      <c r="P134" s="1"/>
      <c r="Q134" s="1">
        <f t="shared" ca="1" si="71"/>
        <v>3.6283402171035846</v>
      </c>
      <c r="R134" s="1">
        <f t="shared" ca="1" si="72"/>
        <v>1037</v>
      </c>
      <c r="S134" s="1"/>
      <c r="T134" s="1">
        <f t="shared" ca="1" si="73"/>
        <v>5.0622398976411014E-2</v>
      </c>
      <c r="U134" s="1">
        <f t="shared" ca="1" si="74"/>
        <v>439</v>
      </c>
      <c r="V134" s="1">
        <f t="shared" ca="1" si="75"/>
        <v>15</v>
      </c>
      <c r="W134" s="1"/>
      <c r="X134" s="1">
        <f t="shared" ca="1" si="76"/>
        <v>3.4501850015511697</v>
      </c>
      <c r="Y134" s="1">
        <f t="shared" ca="1" si="77"/>
        <v>0.68176508511268419</v>
      </c>
      <c r="Z134" s="1">
        <f t="shared" ca="1" si="78"/>
        <v>1101</v>
      </c>
      <c r="AB134" s="1">
        <f t="shared" ca="1" si="79"/>
        <v>0.66209118850480286</v>
      </c>
      <c r="AC134" s="1">
        <f t="shared" ca="1" si="80"/>
        <v>418</v>
      </c>
      <c r="AD134" s="1">
        <f t="shared" ca="1" si="81"/>
        <v>6.0930531464104386E-3</v>
      </c>
      <c r="AE134" s="1"/>
      <c r="AF134" s="1">
        <f t="shared" ca="1" si="82"/>
        <v>0.45923911559234087</v>
      </c>
      <c r="AG134" s="1">
        <f t="shared" ca="1" si="83"/>
        <v>620</v>
      </c>
      <c r="AH134" s="1">
        <f t="shared" ca="1" si="84"/>
        <v>2.9617669524662701E-3</v>
      </c>
      <c r="AJ134" s="1">
        <f t="shared" ca="1" si="85"/>
        <v>0.46971385799308851</v>
      </c>
      <c r="AK134" s="1">
        <f t="shared" ca="1" si="86"/>
        <v>8.8297116514078899E-3</v>
      </c>
      <c r="AL134" s="1"/>
      <c r="AM134" s="1">
        <f t="shared" ca="1" si="87"/>
        <v>5.8444846304436658E-2</v>
      </c>
      <c r="AN134" s="1">
        <f t="shared" ca="1" si="88"/>
        <v>18</v>
      </c>
      <c r="AO134" s="1">
        <f t="shared" ca="1" si="89"/>
        <v>16</v>
      </c>
    </row>
    <row r="135" spans="2:41" x14ac:dyDescent="0.25">
      <c r="B135">
        <f t="shared" ca="1" si="60"/>
        <v>394</v>
      </c>
      <c r="C135">
        <f t="shared" ca="1" si="61"/>
        <v>33</v>
      </c>
      <c r="D135">
        <f t="shared" ca="1" si="62"/>
        <v>0.17948172290865</v>
      </c>
      <c r="F135" s="1">
        <f t="shared" ca="1" si="63"/>
        <v>15</v>
      </c>
      <c r="G135" s="1">
        <f t="shared" ca="1" si="64"/>
        <v>2</v>
      </c>
      <c r="H135" s="1">
        <f t="shared" ca="1" si="65"/>
        <v>9</v>
      </c>
      <c r="I135" s="1"/>
      <c r="J135" s="1">
        <f t="shared" ca="1" si="66"/>
        <v>37</v>
      </c>
      <c r="K135" s="1">
        <f t="shared" ca="1" si="67"/>
        <v>2.5309200412267332</v>
      </c>
      <c r="L135" s="1">
        <f t="shared" ca="1" si="68"/>
        <v>2</v>
      </c>
      <c r="M135" s="1"/>
      <c r="N135" s="1">
        <f t="shared" ca="1" si="69"/>
        <v>75</v>
      </c>
      <c r="O135" s="1">
        <f t="shared" ca="1" si="70"/>
        <v>14</v>
      </c>
      <c r="P135" s="1"/>
      <c r="Q135" s="1">
        <f t="shared" ca="1" si="71"/>
        <v>2.5747008983848776</v>
      </c>
      <c r="R135" s="1">
        <f t="shared" ca="1" si="72"/>
        <v>915</v>
      </c>
      <c r="S135" s="1"/>
      <c r="T135" s="1">
        <f t="shared" ca="1" si="73"/>
        <v>0.17794019628522814</v>
      </c>
      <c r="U135" s="1">
        <f t="shared" ca="1" si="74"/>
        <v>358</v>
      </c>
      <c r="V135" s="1">
        <f t="shared" ca="1" si="75"/>
        <v>45</v>
      </c>
      <c r="W135" s="1"/>
      <c r="X135" s="1">
        <f t="shared" ca="1" si="76"/>
        <v>6.5333738741027165</v>
      </c>
      <c r="Y135" s="1">
        <f t="shared" ca="1" si="77"/>
        <v>5.524261028496006E-2</v>
      </c>
      <c r="Z135" s="1">
        <f t="shared" ca="1" si="78"/>
        <v>889</v>
      </c>
      <c r="AB135" s="1">
        <f t="shared" ca="1" si="79"/>
        <v>1.9831247846964141E-2</v>
      </c>
      <c r="AC135" s="1">
        <f t="shared" ca="1" si="80"/>
        <v>353</v>
      </c>
      <c r="AD135" s="1">
        <f t="shared" ca="1" si="81"/>
        <v>8.1260821057429766E-3</v>
      </c>
      <c r="AE135" s="1"/>
      <c r="AF135" s="1">
        <f t="shared" ca="1" si="82"/>
        <v>0.57907788416573724</v>
      </c>
      <c r="AG135" s="1">
        <f t="shared" ca="1" si="83"/>
        <v>749</v>
      </c>
      <c r="AH135" s="1">
        <f t="shared" ca="1" si="84"/>
        <v>7.2787527762246214E-3</v>
      </c>
      <c r="AJ135" s="1">
        <f t="shared" ca="1" si="85"/>
        <v>0.55400050457838657</v>
      </c>
      <c r="AK135" s="1">
        <f t="shared" ca="1" si="86"/>
        <v>9.866378022712903E-3</v>
      </c>
      <c r="AL135" s="1"/>
      <c r="AM135" s="1">
        <f t="shared" ca="1" si="87"/>
        <v>0.13807172320986036</v>
      </c>
      <c r="AN135" s="1">
        <f t="shared" ca="1" si="88"/>
        <v>58</v>
      </c>
      <c r="AO135" s="1">
        <f t="shared" ca="1" si="89"/>
        <v>3</v>
      </c>
    </row>
    <row r="136" spans="2:41" x14ac:dyDescent="0.25">
      <c r="B136">
        <f t="shared" ca="1" si="60"/>
        <v>958</v>
      </c>
      <c r="C136">
        <f t="shared" ca="1" si="61"/>
        <v>11</v>
      </c>
      <c r="D136">
        <f t="shared" ca="1" si="62"/>
        <v>0.23563088225753567</v>
      </c>
      <c r="F136" s="1">
        <f t="shared" ca="1" si="63"/>
        <v>27</v>
      </c>
      <c r="G136" s="1">
        <f t="shared" ca="1" si="64"/>
        <v>9</v>
      </c>
      <c r="H136" s="1">
        <f t="shared" ca="1" si="65"/>
        <v>14</v>
      </c>
      <c r="I136" s="1"/>
      <c r="J136" s="1">
        <f t="shared" ca="1" si="66"/>
        <v>9</v>
      </c>
      <c r="K136" s="1">
        <f t="shared" ca="1" si="67"/>
        <v>1.3176599922046468</v>
      </c>
      <c r="L136" s="1">
        <f t="shared" ca="1" si="68"/>
        <v>15</v>
      </c>
      <c r="M136" s="1"/>
      <c r="N136" s="1">
        <f t="shared" ca="1" si="69"/>
        <v>73</v>
      </c>
      <c r="O136" s="1">
        <f t="shared" ca="1" si="70"/>
        <v>44</v>
      </c>
      <c r="P136" s="1"/>
      <c r="Q136" s="1">
        <f t="shared" ca="1" si="71"/>
        <v>0.18468250769862279</v>
      </c>
      <c r="R136" s="1">
        <f t="shared" ca="1" si="72"/>
        <v>211</v>
      </c>
      <c r="S136" s="1"/>
      <c r="T136" s="1">
        <f t="shared" ca="1" si="73"/>
        <v>1.6595905334892004E-2</v>
      </c>
      <c r="U136" s="1">
        <f t="shared" ca="1" si="74"/>
        <v>319</v>
      </c>
      <c r="V136" s="1">
        <f t="shared" ca="1" si="75"/>
        <v>10</v>
      </c>
      <c r="W136" s="1"/>
      <c r="X136" s="1">
        <f t="shared" ca="1" si="76"/>
        <v>3.1644700657026195</v>
      </c>
      <c r="Y136" s="1">
        <f t="shared" ca="1" si="77"/>
        <v>0.32085179372096623</v>
      </c>
      <c r="Z136" s="1">
        <f t="shared" ca="1" si="78"/>
        <v>102</v>
      </c>
      <c r="AB136" s="1">
        <f t="shared" ca="1" si="79"/>
        <v>0.76700996312157788</v>
      </c>
      <c r="AC136" s="1">
        <f t="shared" ca="1" si="80"/>
        <v>756</v>
      </c>
      <c r="AD136" s="1">
        <f t="shared" ca="1" si="81"/>
        <v>1.8729610673347992E-3</v>
      </c>
      <c r="AE136" s="1"/>
      <c r="AF136" s="1">
        <f t="shared" ca="1" si="82"/>
        <v>0.63196743205657202</v>
      </c>
      <c r="AG136" s="1">
        <f t="shared" ca="1" si="83"/>
        <v>141</v>
      </c>
      <c r="AH136" s="1">
        <f t="shared" ca="1" si="84"/>
        <v>3.3537826219003078E-3</v>
      </c>
      <c r="AJ136" s="1">
        <f t="shared" ca="1" si="85"/>
        <v>0.66789209037614217</v>
      </c>
      <c r="AK136" s="1">
        <f t="shared" ca="1" si="86"/>
        <v>2.834319220710486E-3</v>
      </c>
      <c r="AL136" s="1"/>
      <c r="AM136" s="1">
        <f t="shared" ca="1" si="87"/>
        <v>6.3036268418980149E-2</v>
      </c>
      <c r="AN136" s="1">
        <f t="shared" ca="1" si="88"/>
        <v>68</v>
      </c>
      <c r="AO136" s="1">
        <f t="shared" ca="1" si="89"/>
        <v>4</v>
      </c>
    </row>
    <row r="137" spans="2:41" x14ac:dyDescent="0.25">
      <c r="B137">
        <f t="shared" ca="1" si="60"/>
        <v>655</v>
      </c>
      <c r="C137">
        <f t="shared" ca="1" si="61"/>
        <v>46</v>
      </c>
      <c r="D137">
        <f t="shared" ca="1" si="62"/>
        <v>0.20069835839423159</v>
      </c>
      <c r="F137" s="1">
        <f t="shared" ca="1" si="63"/>
        <v>4</v>
      </c>
      <c r="G137" s="1">
        <f t="shared" ca="1" si="64"/>
        <v>16</v>
      </c>
      <c r="H137" s="1">
        <f t="shared" ca="1" si="65"/>
        <v>5</v>
      </c>
      <c r="I137" s="1"/>
      <c r="J137" s="1">
        <f t="shared" ca="1" si="66"/>
        <v>3</v>
      </c>
      <c r="K137" s="1">
        <f t="shared" ca="1" si="67"/>
        <v>1.85489966545012</v>
      </c>
      <c r="L137" s="1">
        <f t="shared" ca="1" si="68"/>
        <v>8</v>
      </c>
      <c r="M137" s="1"/>
      <c r="N137" s="1">
        <f t="shared" ca="1" si="69"/>
        <v>166</v>
      </c>
      <c r="O137" s="1">
        <f t="shared" ca="1" si="70"/>
        <v>29</v>
      </c>
      <c r="P137" s="1"/>
      <c r="Q137" s="1">
        <f t="shared" ca="1" si="71"/>
        <v>2.317553178477417</v>
      </c>
      <c r="R137" s="1">
        <f t="shared" ca="1" si="72"/>
        <v>827</v>
      </c>
      <c r="S137" s="1"/>
      <c r="T137" s="1">
        <f t="shared" ca="1" si="73"/>
        <v>0.12462442932227707</v>
      </c>
      <c r="U137" s="1">
        <f t="shared" ca="1" si="74"/>
        <v>248</v>
      </c>
      <c r="V137" s="1">
        <f t="shared" ca="1" si="75"/>
        <v>34</v>
      </c>
      <c r="W137" s="1"/>
      <c r="X137" s="1">
        <f t="shared" ca="1" si="76"/>
        <v>8.8215786119297519</v>
      </c>
      <c r="Y137" s="1">
        <f t="shared" ca="1" si="77"/>
        <v>0.96133328642281268</v>
      </c>
      <c r="Z137" s="1">
        <f t="shared" ca="1" si="78"/>
        <v>335</v>
      </c>
      <c r="AB137" s="1">
        <f t="shared" ca="1" si="79"/>
        <v>0.72835629954604597</v>
      </c>
      <c r="AC137" s="1">
        <f t="shared" ca="1" si="80"/>
        <v>171</v>
      </c>
      <c r="AD137" s="1">
        <f t="shared" ca="1" si="81"/>
        <v>1.5311027527932393E-3</v>
      </c>
      <c r="AE137" s="1"/>
      <c r="AF137" s="1">
        <f t="shared" ca="1" si="82"/>
        <v>0.19030182339544943</v>
      </c>
      <c r="AG137" s="1">
        <f t="shared" ca="1" si="83"/>
        <v>504</v>
      </c>
      <c r="AH137" s="1">
        <f t="shared" ca="1" si="84"/>
        <v>1.3504806587478645E-3</v>
      </c>
      <c r="AJ137" s="1">
        <f t="shared" ca="1" si="85"/>
        <v>0.23067732774894401</v>
      </c>
      <c r="AK137" s="1">
        <f t="shared" ca="1" si="86"/>
        <v>6.6169370872997107E-3</v>
      </c>
      <c r="AL137" s="1"/>
      <c r="AM137" s="1">
        <f t="shared" ca="1" si="87"/>
        <v>0.17136300849866881</v>
      </c>
      <c r="AN137" s="1">
        <f t="shared" ca="1" si="88"/>
        <v>61</v>
      </c>
      <c r="AO137" s="1">
        <f t="shared" ca="1" si="89"/>
        <v>13</v>
      </c>
    </row>
    <row r="138" spans="2:41" x14ac:dyDescent="0.25">
      <c r="B138">
        <f t="shared" ca="1" si="60"/>
        <v>577</v>
      </c>
      <c r="C138">
        <f t="shared" ca="1" si="61"/>
        <v>12</v>
      </c>
      <c r="D138">
        <f t="shared" ca="1" si="62"/>
        <v>0.25549298661511771</v>
      </c>
      <c r="F138" s="1">
        <f t="shared" ca="1" si="63"/>
        <v>28</v>
      </c>
      <c r="G138" s="1">
        <f t="shared" ca="1" si="64"/>
        <v>6</v>
      </c>
      <c r="H138" s="1">
        <f t="shared" ca="1" si="65"/>
        <v>3</v>
      </c>
      <c r="I138" s="1"/>
      <c r="J138" s="1">
        <f t="shared" ca="1" si="66"/>
        <v>16</v>
      </c>
      <c r="K138" s="1">
        <f t="shared" ca="1" si="67"/>
        <v>2.8630821695343296</v>
      </c>
      <c r="L138" s="1">
        <f t="shared" ca="1" si="68"/>
        <v>31</v>
      </c>
      <c r="M138" s="1"/>
      <c r="N138" s="1">
        <f t="shared" ca="1" si="69"/>
        <v>744</v>
      </c>
      <c r="O138" s="1">
        <f t="shared" ca="1" si="70"/>
        <v>5</v>
      </c>
      <c r="P138" s="1"/>
      <c r="Q138" s="1">
        <f t="shared" ca="1" si="71"/>
        <v>1.9971506287840475</v>
      </c>
      <c r="R138" s="1">
        <f t="shared" ca="1" si="72"/>
        <v>425</v>
      </c>
      <c r="S138" s="1"/>
      <c r="T138" s="1">
        <f t="shared" ca="1" si="73"/>
        <v>0.10407937944624936</v>
      </c>
      <c r="U138" s="1">
        <f t="shared" ca="1" si="74"/>
        <v>112</v>
      </c>
      <c r="V138" s="1">
        <f t="shared" ca="1" si="75"/>
        <v>3</v>
      </c>
      <c r="W138" s="1"/>
      <c r="X138" s="1">
        <f t="shared" ca="1" si="76"/>
        <v>2.4683188386617867</v>
      </c>
      <c r="Y138" s="1">
        <f t="shared" ca="1" si="77"/>
        <v>0.5959484265046695</v>
      </c>
      <c r="Z138" s="1">
        <f t="shared" ca="1" si="78"/>
        <v>705</v>
      </c>
      <c r="AB138" s="1">
        <f t="shared" ca="1" si="79"/>
        <v>0.47688882254555925</v>
      </c>
      <c r="AC138" s="1">
        <f t="shared" ca="1" si="80"/>
        <v>115</v>
      </c>
      <c r="AD138" s="1">
        <f t="shared" ca="1" si="81"/>
        <v>6.0218381953097821E-3</v>
      </c>
      <c r="AE138" s="1"/>
      <c r="AF138" s="1">
        <f t="shared" ca="1" si="82"/>
        <v>0.46935521169623229</v>
      </c>
      <c r="AG138" s="1">
        <f t="shared" ca="1" si="83"/>
        <v>386</v>
      </c>
      <c r="AH138" s="1">
        <f t="shared" ca="1" si="84"/>
        <v>6.286350519473829E-3</v>
      </c>
      <c r="AJ138" s="1">
        <f t="shared" ca="1" si="85"/>
        <v>0.61556892782543227</v>
      </c>
      <c r="AK138" s="1">
        <f t="shared" ca="1" si="86"/>
        <v>1.656026975518628E-3</v>
      </c>
      <c r="AL138" s="1"/>
      <c r="AM138" s="1">
        <f t="shared" ca="1" si="87"/>
        <v>0.14900590413112827</v>
      </c>
      <c r="AN138" s="1">
        <f t="shared" ca="1" si="88"/>
        <v>31</v>
      </c>
      <c r="AO138" s="1">
        <f t="shared" ca="1" si="89"/>
        <v>12</v>
      </c>
    </row>
    <row r="139" spans="2:41" x14ac:dyDescent="0.25">
      <c r="B139">
        <f t="shared" ca="1" si="60"/>
        <v>213</v>
      </c>
      <c r="C139">
        <f t="shared" ca="1" si="61"/>
        <v>41</v>
      </c>
      <c r="D139">
        <f t="shared" ca="1" si="62"/>
        <v>0.14030424037801678</v>
      </c>
      <c r="F139" s="1">
        <f t="shared" ca="1" si="63"/>
        <v>51</v>
      </c>
      <c r="G139" s="1">
        <f t="shared" ca="1" si="64"/>
        <v>28</v>
      </c>
      <c r="H139" s="1">
        <f t="shared" ca="1" si="65"/>
        <v>4</v>
      </c>
      <c r="I139" s="1"/>
      <c r="J139" s="1">
        <f t="shared" ca="1" si="66"/>
        <v>2</v>
      </c>
      <c r="K139" s="1">
        <f t="shared" ca="1" si="67"/>
        <v>1.206285967860433</v>
      </c>
      <c r="L139" s="1">
        <f t="shared" ca="1" si="68"/>
        <v>14</v>
      </c>
      <c r="M139" s="1"/>
      <c r="N139" s="1">
        <f t="shared" ca="1" si="69"/>
        <v>38</v>
      </c>
      <c r="O139" s="1">
        <f t="shared" ca="1" si="70"/>
        <v>36</v>
      </c>
      <c r="P139" s="1"/>
      <c r="Q139" s="1">
        <f t="shared" ca="1" si="71"/>
        <v>4.6358256395803563</v>
      </c>
      <c r="R139" s="1">
        <f t="shared" ca="1" si="72"/>
        <v>353</v>
      </c>
      <c r="S139" s="1"/>
      <c r="T139" s="1">
        <f t="shared" ca="1" si="73"/>
        <v>0.14330198817191939</v>
      </c>
      <c r="U139" s="1">
        <f t="shared" ca="1" si="74"/>
        <v>344</v>
      </c>
      <c r="V139" s="1">
        <f t="shared" ca="1" si="75"/>
        <v>7</v>
      </c>
      <c r="W139" s="1"/>
      <c r="X139" s="1">
        <f t="shared" ca="1" si="76"/>
        <v>1.7544754069904622</v>
      </c>
      <c r="Y139" s="1">
        <f t="shared" ca="1" si="77"/>
        <v>0.97642493665757046</v>
      </c>
      <c r="Z139" s="1">
        <f t="shared" ca="1" si="78"/>
        <v>813</v>
      </c>
      <c r="AB139" s="1">
        <f t="shared" ca="1" si="79"/>
        <v>0.66082016312897585</v>
      </c>
      <c r="AC139" s="1">
        <f t="shared" ca="1" si="80"/>
        <v>332</v>
      </c>
      <c r="AD139" s="1">
        <f t="shared" ca="1" si="81"/>
        <v>6.8582127440604736E-3</v>
      </c>
      <c r="AE139" s="1"/>
      <c r="AF139" s="1">
        <f t="shared" ca="1" si="82"/>
        <v>0.77575244319069658</v>
      </c>
      <c r="AG139" s="1">
        <f t="shared" ca="1" si="83"/>
        <v>380</v>
      </c>
      <c r="AH139" s="1">
        <f t="shared" ca="1" si="84"/>
        <v>9.6992488494654448E-3</v>
      </c>
      <c r="AJ139" s="1">
        <f t="shared" ca="1" si="85"/>
        <v>0.54266383556534281</v>
      </c>
      <c r="AK139" s="1">
        <f t="shared" ca="1" si="86"/>
        <v>7.4791369610230935E-3</v>
      </c>
      <c r="AL139" s="1"/>
      <c r="AM139" s="1">
        <f t="shared" ca="1" si="87"/>
        <v>0.14211386650489424</v>
      </c>
      <c r="AN139" s="1">
        <f t="shared" ca="1" si="88"/>
        <v>61</v>
      </c>
      <c r="AO139" s="1">
        <f t="shared" ca="1" si="89"/>
        <v>16</v>
      </c>
    </row>
    <row r="140" spans="2:41" x14ac:dyDescent="0.25">
      <c r="B140">
        <f t="shared" ca="1" si="60"/>
        <v>121</v>
      </c>
      <c r="C140">
        <f t="shared" ca="1" si="61"/>
        <v>25</v>
      </c>
      <c r="D140">
        <f t="shared" ca="1" si="62"/>
        <v>0.1209150545416236</v>
      </c>
      <c r="F140" s="1">
        <f t="shared" ca="1" si="63"/>
        <v>40</v>
      </c>
      <c r="G140" s="1">
        <f t="shared" ca="1" si="64"/>
        <v>14</v>
      </c>
      <c r="H140" s="1">
        <f t="shared" ca="1" si="65"/>
        <v>7</v>
      </c>
      <c r="I140" s="1"/>
      <c r="J140" s="1">
        <f t="shared" ca="1" si="66"/>
        <v>32</v>
      </c>
      <c r="K140" s="1">
        <f t="shared" ca="1" si="67"/>
        <v>1.1328512162370798</v>
      </c>
      <c r="L140" s="1">
        <f t="shared" ca="1" si="68"/>
        <v>31</v>
      </c>
      <c r="M140" s="1"/>
      <c r="N140" s="1">
        <f t="shared" ca="1" si="69"/>
        <v>83</v>
      </c>
      <c r="O140" s="1">
        <f t="shared" ca="1" si="70"/>
        <v>26</v>
      </c>
      <c r="P140" s="1"/>
      <c r="Q140" s="1">
        <f t="shared" ca="1" si="71"/>
        <v>2.3775859214415642</v>
      </c>
      <c r="R140" s="1">
        <f t="shared" ca="1" si="72"/>
        <v>981</v>
      </c>
      <c r="S140" s="1"/>
      <c r="T140" s="1">
        <f t="shared" ca="1" si="73"/>
        <v>8.9548891393755117E-2</v>
      </c>
      <c r="U140" s="1">
        <f t="shared" ca="1" si="74"/>
        <v>442</v>
      </c>
      <c r="V140" s="1">
        <f t="shared" ca="1" si="75"/>
        <v>50</v>
      </c>
      <c r="W140" s="1"/>
      <c r="X140" s="1">
        <f t="shared" ca="1" si="76"/>
        <v>3.0650452794093965</v>
      </c>
      <c r="Y140" s="1">
        <f t="shared" ca="1" si="77"/>
        <v>0.35526960767044446</v>
      </c>
      <c r="Z140" s="1">
        <f t="shared" ca="1" si="78"/>
        <v>310</v>
      </c>
      <c r="AB140" s="1">
        <f t="shared" ca="1" si="79"/>
        <v>1.2568751130770078E-2</v>
      </c>
      <c r="AC140" s="1">
        <f t="shared" ca="1" si="80"/>
        <v>223</v>
      </c>
      <c r="AD140" s="1">
        <f t="shared" ca="1" si="81"/>
        <v>2.5563136878198611E-3</v>
      </c>
      <c r="AE140" s="1"/>
      <c r="AF140" s="1">
        <f t="shared" ca="1" si="82"/>
        <v>0.6508546182496342</v>
      </c>
      <c r="AG140" s="1">
        <f t="shared" ca="1" si="83"/>
        <v>838</v>
      </c>
      <c r="AH140" s="1">
        <f t="shared" ca="1" si="84"/>
        <v>4.3841074742244877E-3</v>
      </c>
      <c r="AJ140" s="1">
        <f t="shared" ca="1" si="85"/>
        <v>0.72937182481938889</v>
      </c>
      <c r="AK140" s="1">
        <f t="shared" ca="1" si="86"/>
        <v>9.6391873775531715E-3</v>
      </c>
      <c r="AL140" s="1"/>
      <c r="AM140" s="1">
        <f t="shared" ca="1" si="87"/>
        <v>0.15200587563139351</v>
      </c>
      <c r="AN140" s="1">
        <f t="shared" ca="1" si="88"/>
        <v>80</v>
      </c>
      <c r="AO140" s="1">
        <f t="shared" ca="1" si="89"/>
        <v>11</v>
      </c>
    </row>
    <row r="141" spans="2:41" x14ac:dyDescent="0.25">
      <c r="B141">
        <f t="shared" ca="1" si="60"/>
        <v>60</v>
      </c>
      <c r="C141">
        <f t="shared" ca="1" si="61"/>
        <v>3</v>
      </c>
      <c r="D141">
        <f t="shared" ca="1" si="62"/>
        <v>0.27791696887767559</v>
      </c>
      <c r="F141" s="1">
        <f t="shared" ca="1" si="63"/>
        <v>32</v>
      </c>
      <c r="G141" s="1">
        <f t="shared" ca="1" si="64"/>
        <v>20</v>
      </c>
      <c r="H141" s="1">
        <f t="shared" ca="1" si="65"/>
        <v>6</v>
      </c>
      <c r="I141" s="1"/>
      <c r="J141" s="1">
        <f t="shared" ca="1" si="66"/>
        <v>2</v>
      </c>
      <c r="K141" s="1">
        <f t="shared" ca="1" si="67"/>
        <v>1.5065118615328559</v>
      </c>
      <c r="L141" s="1">
        <f t="shared" ca="1" si="68"/>
        <v>12</v>
      </c>
      <c r="M141" s="1"/>
      <c r="N141" s="1">
        <f t="shared" ca="1" si="69"/>
        <v>118</v>
      </c>
      <c r="O141" s="1">
        <f t="shared" ca="1" si="70"/>
        <v>11</v>
      </c>
      <c r="P141" s="1"/>
      <c r="Q141" s="1">
        <f t="shared" ca="1" si="71"/>
        <v>3.0162895387754616</v>
      </c>
      <c r="R141" s="1">
        <f t="shared" ca="1" si="72"/>
        <v>889</v>
      </c>
      <c r="S141" s="1"/>
      <c r="T141" s="1">
        <f t="shared" ca="1" si="73"/>
        <v>0.15779105997405554</v>
      </c>
      <c r="U141" s="1">
        <f t="shared" ca="1" si="74"/>
        <v>426</v>
      </c>
      <c r="V141" s="1">
        <f t="shared" ca="1" si="75"/>
        <v>12</v>
      </c>
      <c r="W141" s="1"/>
      <c r="X141" s="1">
        <f t="shared" ca="1" si="76"/>
        <v>1.0545790617661639</v>
      </c>
      <c r="Y141" s="1">
        <f t="shared" ca="1" si="77"/>
        <v>0.76419171123913554</v>
      </c>
      <c r="Z141" s="1">
        <f t="shared" ca="1" si="78"/>
        <v>922</v>
      </c>
      <c r="AB141" s="1">
        <f t="shared" ca="1" si="79"/>
        <v>0.50501608941978759</v>
      </c>
      <c r="AC141" s="1">
        <f t="shared" ca="1" si="80"/>
        <v>849</v>
      </c>
      <c r="AD141" s="1">
        <f t="shared" ca="1" si="81"/>
        <v>8.3548345959569385E-3</v>
      </c>
      <c r="AE141" s="1"/>
      <c r="AF141" s="1">
        <f t="shared" ca="1" si="82"/>
        <v>0.61696041759538056</v>
      </c>
      <c r="AG141" s="1">
        <f t="shared" ca="1" si="83"/>
        <v>433</v>
      </c>
      <c r="AH141" s="1">
        <f t="shared" ca="1" si="84"/>
        <v>7.3002687527933827E-3</v>
      </c>
      <c r="AJ141" s="1">
        <f t="shared" ca="1" si="85"/>
        <v>0.63407366562651313</v>
      </c>
      <c r="AK141" s="1">
        <f t="shared" ca="1" si="86"/>
        <v>6.6817850625366616E-3</v>
      </c>
      <c r="AL141" s="1"/>
      <c r="AM141" s="1">
        <f t="shared" ca="1" si="87"/>
        <v>6.5271927643362176E-2</v>
      </c>
      <c r="AN141" s="1">
        <f t="shared" ca="1" si="88"/>
        <v>74</v>
      </c>
      <c r="AO141" s="1">
        <f t="shared" ca="1" si="89"/>
        <v>19</v>
      </c>
    </row>
    <row r="142" spans="2:41" x14ac:dyDescent="0.25">
      <c r="B142">
        <f t="shared" ca="1" si="60"/>
        <v>472</v>
      </c>
      <c r="C142">
        <f t="shared" ca="1" si="61"/>
        <v>11</v>
      </c>
      <c r="D142">
        <f t="shared" ca="1" si="62"/>
        <v>0.13932027511543743</v>
      </c>
      <c r="F142" s="1">
        <f t="shared" ca="1" si="63"/>
        <v>36</v>
      </c>
      <c r="G142" s="1">
        <f t="shared" ca="1" si="64"/>
        <v>28</v>
      </c>
      <c r="H142" s="1">
        <f t="shared" ca="1" si="65"/>
        <v>15</v>
      </c>
      <c r="I142" s="1"/>
      <c r="J142" s="1">
        <f t="shared" ca="1" si="66"/>
        <v>6</v>
      </c>
      <c r="K142" s="1">
        <f t="shared" ca="1" si="67"/>
        <v>2.0194665728494066</v>
      </c>
      <c r="L142" s="1">
        <f t="shared" ca="1" si="68"/>
        <v>26</v>
      </c>
      <c r="M142" s="1"/>
      <c r="N142" s="1">
        <f t="shared" ca="1" si="69"/>
        <v>90</v>
      </c>
      <c r="O142" s="1">
        <f t="shared" ca="1" si="70"/>
        <v>19</v>
      </c>
      <c r="P142" s="1"/>
      <c r="Q142" s="1">
        <f t="shared" ca="1" si="71"/>
        <v>0.69045558882409053</v>
      </c>
      <c r="R142" s="1">
        <f t="shared" ca="1" si="72"/>
        <v>558</v>
      </c>
      <c r="S142" s="1"/>
      <c r="T142" s="1">
        <f t="shared" ca="1" si="73"/>
        <v>0.17832157706185214</v>
      </c>
      <c r="U142" s="1">
        <f t="shared" ca="1" si="74"/>
        <v>98</v>
      </c>
      <c r="V142" s="1">
        <f t="shared" ca="1" si="75"/>
        <v>11</v>
      </c>
      <c r="W142" s="1"/>
      <c r="X142" s="1">
        <f t="shared" ca="1" si="76"/>
        <v>2.8437130067702321</v>
      </c>
      <c r="Y142" s="1">
        <f t="shared" ca="1" si="77"/>
        <v>0.65042788410432617</v>
      </c>
      <c r="Z142" s="1">
        <f t="shared" ca="1" si="78"/>
        <v>283</v>
      </c>
      <c r="AB142" s="1">
        <f t="shared" ca="1" si="79"/>
        <v>0.69649062576062526</v>
      </c>
      <c r="AC142" s="1">
        <f t="shared" ca="1" si="80"/>
        <v>808</v>
      </c>
      <c r="AD142" s="1">
        <f t="shared" ca="1" si="81"/>
        <v>4.5981082312696398E-3</v>
      </c>
      <c r="AE142" s="1"/>
      <c r="AF142" s="1">
        <f t="shared" ca="1" si="82"/>
        <v>0.17086038592042263</v>
      </c>
      <c r="AG142" s="1">
        <f t="shared" ca="1" si="83"/>
        <v>905</v>
      </c>
      <c r="AH142" s="1">
        <f t="shared" ca="1" si="84"/>
        <v>5.8137954533533783E-3</v>
      </c>
      <c r="AJ142" s="1">
        <f t="shared" ca="1" si="85"/>
        <v>0.20804358449504101</v>
      </c>
      <c r="AK142" s="1">
        <f t="shared" ca="1" si="86"/>
        <v>3.3636646293244751E-3</v>
      </c>
      <c r="AL142" s="1"/>
      <c r="AM142" s="1">
        <f t="shared" ca="1" si="87"/>
        <v>0.14285555850018058</v>
      </c>
      <c r="AN142" s="1">
        <f t="shared" ca="1" si="88"/>
        <v>33</v>
      </c>
      <c r="AO142" s="1">
        <f t="shared" ca="1" si="89"/>
        <v>14</v>
      </c>
    </row>
    <row r="143" spans="2:41" x14ac:dyDescent="0.25">
      <c r="B143">
        <f t="shared" ca="1" si="60"/>
        <v>192</v>
      </c>
      <c r="C143">
        <f t="shared" ca="1" si="61"/>
        <v>22</v>
      </c>
      <c r="D143">
        <f t="shared" ca="1" si="62"/>
        <v>0.26520869403787728</v>
      </c>
      <c r="F143" s="1">
        <f t="shared" ca="1" si="63"/>
        <v>24</v>
      </c>
      <c r="G143" s="1">
        <f t="shared" ca="1" si="64"/>
        <v>16</v>
      </c>
      <c r="H143" s="1">
        <f t="shared" ca="1" si="65"/>
        <v>10</v>
      </c>
      <c r="I143" s="1"/>
      <c r="J143" s="1">
        <f t="shared" ca="1" si="66"/>
        <v>31</v>
      </c>
      <c r="K143" s="1">
        <f t="shared" ca="1" si="67"/>
        <v>1.1633510623303021</v>
      </c>
      <c r="L143" s="1">
        <f t="shared" ca="1" si="68"/>
        <v>4</v>
      </c>
      <c r="M143" s="1"/>
      <c r="N143" s="1">
        <f t="shared" ca="1" si="69"/>
        <v>257</v>
      </c>
      <c r="O143" s="1">
        <f t="shared" ca="1" si="70"/>
        <v>50</v>
      </c>
      <c r="P143" s="1"/>
      <c r="Q143" s="1">
        <f t="shared" ca="1" si="71"/>
        <v>2.2819268981176637</v>
      </c>
      <c r="R143" s="1">
        <f t="shared" ca="1" si="72"/>
        <v>694</v>
      </c>
      <c r="S143" s="1"/>
      <c r="T143" s="1">
        <f t="shared" ca="1" si="73"/>
        <v>7.6777683554148726E-2</v>
      </c>
      <c r="U143" s="1">
        <f t="shared" ca="1" si="74"/>
        <v>379</v>
      </c>
      <c r="V143" s="1">
        <f t="shared" ca="1" si="75"/>
        <v>47</v>
      </c>
      <c r="W143" s="1"/>
      <c r="X143" s="1">
        <f t="shared" ca="1" si="76"/>
        <v>9.5866810023904296</v>
      </c>
      <c r="Y143" s="1">
        <f t="shared" ca="1" si="77"/>
        <v>0.39502530298217525</v>
      </c>
      <c r="Z143" s="1">
        <f t="shared" ca="1" si="78"/>
        <v>278</v>
      </c>
      <c r="AB143" s="1">
        <f t="shared" ca="1" si="79"/>
        <v>0.39578081273740395</v>
      </c>
      <c r="AC143" s="1">
        <f t="shared" ca="1" si="80"/>
        <v>766</v>
      </c>
      <c r="AD143" s="1">
        <f t="shared" ca="1" si="81"/>
        <v>3.6487268339057909E-3</v>
      </c>
      <c r="AE143" s="1"/>
      <c r="AF143" s="1">
        <f t="shared" ca="1" si="82"/>
        <v>0.13856393691989866</v>
      </c>
      <c r="AG143" s="1">
        <f t="shared" ca="1" si="83"/>
        <v>207</v>
      </c>
      <c r="AH143" s="1">
        <f t="shared" ca="1" si="84"/>
        <v>4.9928232832097E-3</v>
      </c>
      <c r="AJ143" s="1">
        <f t="shared" ca="1" si="85"/>
        <v>4.8915927914134905E-2</v>
      </c>
      <c r="AK143" s="1">
        <f t="shared" ca="1" si="86"/>
        <v>6.7573297251753168E-3</v>
      </c>
      <c r="AL143" s="1"/>
      <c r="AM143" s="1">
        <f t="shared" ca="1" si="87"/>
        <v>1.9620232482174094E-2</v>
      </c>
      <c r="AN143" s="1">
        <f t="shared" ca="1" si="88"/>
        <v>51</v>
      </c>
      <c r="AO143" s="1">
        <f t="shared" ca="1" si="89"/>
        <v>16</v>
      </c>
    </row>
    <row r="144" spans="2:41" x14ac:dyDescent="0.25">
      <c r="B144">
        <f t="shared" ca="1" si="60"/>
        <v>327</v>
      </c>
      <c r="C144">
        <f t="shared" ca="1" si="61"/>
        <v>36</v>
      </c>
      <c r="D144">
        <f t="shared" ca="1" si="62"/>
        <v>0.25281505826241163</v>
      </c>
      <c r="F144" s="1">
        <f t="shared" ca="1" si="63"/>
        <v>26</v>
      </c>
      <c r="G144" s="1">
        <f t="shared" ca="1" si="64"/>
        <v>11</v>
      </c>
      <c r="H144" s="1">
        <f t="shared" ca="1" si="65"/>
        <v>12</v>
      </c>
      <c r="I144" s="1"/>
      <c r="J144" s="1">
        <f t="shared" ca="1" si="66"/>
        <v>5</v>
      </c>
      <c r="K144" s="1">
        <f t="shared" ca="1" si="67"/>
        <v>2.3556031992566768</v>
      </c>
      <c r="L144" s="1">
        <f t="shared" ca="1" si="68"/>
        <v>26</v>
      </c>
      <c r="M144" s="1"/>
      <c r="N144" s="1">
        <f t="shared" ca="1" si="69"/>
        <v>547</v>
      </c>
      <c r="O144" s="1">
        <f t="shared" ca="1" si="70"/>
        <v>36</v>
      </c>
      <c r="P144" s="1"/>
      <c r="Q144" s="1">
        <f t="shared" ca="1" si="71"/>
        <v>1.8493134910092603</v>
      </c>
      <c r="R144" s="1">
        <f t="shared" ca="1" si="72"/>
        <v>1049</v>
      </c>
      <c r="S144" s="1"/>
      <c r="T144" s="1">
        <f t="shared" ca="1" si="73"/>
        <v>4.8658165318378417E-2</v>
      </c>
      <c r="U144" s="1">
        <f t="shared" ca="1" si="74"/>
        <v>131</v>
      </c>
      <c r="V144" s="1">
        <f t="shared" ca="1" si="75"/>
        <v>27</v>
      </c>
      <c r="W144" s="1"/>
      <c r="X144" s="1">
        <f t="shared" ca="1" si="76"/>
        <v>1.2442117112335982</v>
      </c>
      <c r="Y144" s="1">
        <f t="shared" ca="1" si="77"/>
        <v>0.70608995004473307</v>
      </c>
      <c r="Z144" s="1">
        <f t="shared" ca="1" si="78"/>
        <v>1488</v>
      </c>
      <c r="AB144" s="1">
        <f t="shared" ca="1" si="79"/>
        <v>0.94695936362621347</v>
      </c>
      <c r="AC144" s="1">
        <f t="shared" ca="1" si="80"/>
        <v>117</v>
      </c>
      <c r="AD144" s="1">
        <f t="shared" ca="1" si="81"/>
        <v>4.308097403528389E-3</v>
      </c>
      <c r="AE144" s="1"/>
      <c r="AF144" s="1">
        <f t="shared" ca="1" si="82"/>
        <v>0.73290828938636998</v>
      </c>
      <c r="AG144" s="1">
        <f t="shared" ca="1" si="83"/>
        <v>641</v>
      </c>
      <c r="AH144" s="1">
        <f t="shared" ca="1" si="84"/>
        <v>4.1333914422831824E-3</v>
      </c>
      <c r="AJ144" s="1">
        <f t="shared" ca="1" si="85"/>
        <v>4.7534806306206323E-2</v>
      </c>
      <c r="AK144" s="1">
        <f t="shared" ca="1" si="86"/>
        <v>5.4361975567203073E-3</v>
      </c>
      <c r="AL144" s="1"/>
      <c r="AM144" s="1">
        <f t="shared" ca="1" si="87"/>
        <v>6.1616254927824028E-2</v>
      </c>
      <c r="AN144" s="1">
        <f t="shared" ca="1" si="88"/>
        <v>17</v>
      </c>
      <c r="AO144" s="1">
        <f t="shared" ca="1" si="89"/>
        <v>13</v>
      </c>
    </row>
    <row r="145" spans="2:41" x14ac:dyDescent="0.25">
      <c r="B145">
        <f t="shared" ca="1" si="60"/>
        <v>474</v>
      </c>
      <c r="C145">
        <f t="shared" ca="1" si="61"/>
        <v>19</v>
      </c>
      <c r="D145">
        <f t="shared" ca="1" si="62"/>
        <v>0.23430637393695522</v>
      </c>
      <c r="F145" s="1">
        <f t="shared" ca="1" si="63"/>
        <v>41</v>
      </c>
      <c r="G145" s="1">
        <f t="shared" ca="1" si="64"/>
        <v>24</v>
      </c>
      <c r="H145" s="1">
        <f t="shared" ca="1" si="65"/>
        <v>10</v>
      </c>
      <c r="I145" s="1"/>
      <c r="J145" s="1">
        <f t="shared" ca="1" si="66"/>
        <v>18</v>
      </c>
      <c r="K145" s="1">
        <f t="shared" ca="1" si="67"/>
        <v>1.6472261381557833</v>
      </c>
      <c r="L145" s="1">
        <f t="shared" ca="1" si="68"/>
        <v>16</v>
      </c>
      <c r="M145" s="1"/>
      <c r="N145" s="1">
        <f t="shared" ca="1" si="69"/>
        <v>663</v>
      </c>
      <c r="O145" s="1">
        <f t="shared" ca="1" si="70"/>
        <v>15</v>
      </c>
      <c r="P145" s="1"/>
      <c r="Q145" s="1">
        <f t="shared" ca="1" si="71"/>
        <v>3.8687983305199483</v>
      </c>
      <c r="R145" s="1">
        <f t="shared" ca="1" si="72"/>
        <v>1040</v>
      </c>
      <c r="S145" s="1"/>
      <c r="T145" s="1">
        <f t="shared" ca="1" si="73"/>
        <v>5.9256665180700871E-2</v>
      </c>
      <c r="U145" s="1">
        <f t="shared" ca="1" si="74"/>
        <v>246</v>
      </c>
      <c r="V145" s="1">
        <f t="shared" ca="1" si="75"/>
        <v>46</v>
      </c>
      <c r="W145" s="1"/>
      <c r="X145" s="1">
        <f t="shared" ca="1" si="76"/>
        <v>7.3422873989814361</v>
      </c>
      <c r="Y145" s="1">
        <f t="shared" ca="1" si="77"/>
        <v>0.29695530311488916</v>
      </c>
      <c r="Z145" s="1">
        <f t="shared" ca="1" si="78"/>
        <v>1328</v>
      </c>
      <c r="AB145" s="1">
        <f t="shared" ca="1" si="79"/>
        <v>0.22710409668038373</v>
      </c>
      <c r="AC145" s="1">
        <f t="shared" ca="1" si="80"/>
        <v>862</v>
      </c>
      <c r="AD145" s="1">
        <f t="shared" ca="1" si="81"/>
        <v>3.8146394918194908E-3</v>
      </c>
      <c r="AE145" s="1"/>
      <c r="AF145" s="1">
        <f t="shared" ca="1" si="82"/>
        <v>0.3989679677900243</v>
      </c>
      <c r="AG145" s="1">
        <f t="shared" ca="1" si="83"/>
        <v>883</v>
      </c>
      <c r="AH145" s="1">
        <f t="shared" ca="1" si="84"/>
        <v>3.7204337663850661E-3</v>
      </c>
      <c r="AJ145" s="1">
        <f t="shared" ca="1" si="85"/>
        <v>0.39274638149912033</v>
      </c>
      <c r="AK145" s="1">
        <f t="shared" ca="1" si="86"/>
        <v>3.9920356670558876E-3</v>
      </c>
      <c r="AL145" s="1"/>
      <c r="AM145" s="1">
        <f t="shared" ca="1" si="87"/>
        <v>7.5740960476426381E-2</v>
      </c>
      <c r="AN145" s="1">
        <f t="shared" ca="1" si="88"/>
        <v>16</v>
      </c>
      <c r="AO145" s="1">
        <f t="shared" ca="1" si="89"/>
        <v>9</v>
      </c>
    </row>
    <row r="146" spans="2:41" x14ac:dyDescent="0.25">
      <c r="B146">
        <f t="shared" ca="1" si="60"/>
        <v>286</v>
      </c>
      <c r="C146">
        <f t="shared" ca="1" si="61"/>
        <v>24</v>
      </c>
      <c r="D146">
        <f t="shared" ca="1" si="62"/>
        <v>0.21703186062156898</v>
      </c>
      <c r="F146" s="1">
        <f t="shared" ca="1" si="63"/>
        <v>33</v>
      </c>
      <c r="G146" s="1">
        <f t="shared" ca="1" si="64"/>
        <v>8</v>
      </c>
      <c r="H146" s="1">
        <f t="shared" ca="1" si="65"/>
        <v>7</v>
      </c>
      <c r="I146" s="1"/>
      <c r="J146" s="1">
        <f t="shared" ca="1" si="66"/>
        <v>18</v>
      </c>
      <c r="K146" s="1">
        <f t="shared" ca="1" si="67"/>
        <v>1.0846626122219964</v>
      </c>
      <c r="L146" s="1">
        <f t="shared" ca="1" si="68"/>
        <v>18</v>
      </c>
      <c r="M146" s="1"/>
      <c r="N146" s="1">
        <f t="shared" ca="1" si="69"/>
        <v>248</v>
      </c>
      <c r="O146" s="1">
        <f t="shared" ca="1" si="70"/>
        <v>50</v>
      </c>
      <c r="P146" s="1"/>
      <c r="Q146" s="1">
        <f t="shared" ca="1" si="71"/>
        <v>0.63680725117630943</v>
      </c>
      <c r="R146" s="1">
        <f t="shared" ca="1" si="72"/>
        <v>1088</v>
      </c>
      <c r="S146" s="1"/>
      <c r="T146" s="1">
        <f t="shared" ca="1" si="73"/>
        <v>6.917955238130799E-2</v>
      </c>
      <c r="U146" s="1">
        <f t="shared" ca="1" si="74"/>
        <v>79</v>
      </c>
      <c r="V146" s="1">
        <f t="shared" ca="1" si="75"/>
        <v>50</v>
      </c>
      <c r="W146" s="1"/>
      <c r="X146" s="1">
        <f t="shared" ca="1" si="76"/>
        <v>5.7235192259049148</v>
      </c>
      <c r="Y146" s="1">
        <f t="shared" ca="1" si="77"/>
        <v>0.93712914133590419</v>
      </c>
      <c r="Z146" s="1">
        <f t="shared" ca="1" si="78"/>
        <v>1649</v>
      </c>
      <c r="AB146" s="1">
        <f t="shared" ca="1" si="79"/>
        <v>0.44404813340189297</v>
      </c>
      <c r="AC146" s="1">
        <f t="shared" ca="1" si="80"/>
        <v>702</v>
      </c>
      <c r="AD146" s="1">
        <f t="shared" ca="1" si="81"/>
        <v>8.4291066410369288E-3</v>
      </c>
      <c r="AE146" s="1"/>
      <c r="AF146" s="1">
        <f t="shared" ca="1" si="82"/>
        <v>0.68582054506708201</v>
      </c>
      <c r="AG146" s="1">
        <f t="shared" ca="1" si="83"/>
        <v>498</v>
      </c>
      <c r="AH146" s="1">
        <f t="shared" ca="1" si="84"/>
        <v>6.3493955175163218E-4</v>
      </c>
      <c r="AJ146" s="1">
        <f t="shared" ca="1" si="85"/>
        <v>0.86761038856598471</v>
      </c>
      <c r="AK146" s="1">
        <f t="shared" ca="1" si="86"/>
        <v>6.1716130927073291E-3</v>
      </c>
      <c r="AL146" s="1"/>
      <c r="AM146" s="1">
        <f t="shared" ca="1" si="87"/>
        <v>0.17018855183748069</v>
      </c>
      <c r="AN146" s="1">
        <f t="shared" ca="1" si="88"/>
        <v>50</v>
      </c>
      <c r="AO146" s="1">
        <f t="shared" ca="1" si="89"/>
        <v>0</v>
      </c>
    </row>
    <row r="147" spans="2:41" x14ac:dyDescent="0.25">
      <c r="B147">
        <f t="shared" ca="1" si="60"/>
        <v>936</v>
      </c>
      <c r="C147">
        <f t="shared" ca="1" si="61"/>
        <v>49</v>
      </c>
      <c r="D147">
        <f t="shared" ca="1" si="62"/>
        <v>0.21955789724479285</v>
      </c>
      <c r="F147" s="1">
        <f t="shared" ca="1" si="63"/>
        <v>7</v>
      </c>
      <c r="G147" s="1">
        <f t="shared" ca="1" si="64"/>
        <v>28</v>
      </c>
      <c r="H147" s="1">
        <f t="shared" ca="1" si="65"/>
        <v>1</v>
      </c>
      <c r="I147" s="1"/>
      <c r="J147" s="1">
        <f t="shared" ca="1" si="66"/>
        <v>34</v>
      </c>
      <c r="K147" s="1">
        <f t="shared" ca="1" si="67"/>
        <v>2.0348655421998547</v>
      </c>
      <c r="L147" s="1">
        <f t="shared" ca="1" si="68"/>
        <v>10</v>
      </c>
      <c r="M147" s="1"/>
      <c r="N147" s="1">
        <f t="shared" ca="1" si="69"/>
        <v>257</v>
      </c>
      <c r="O147" s="1">
        <f t="shared" ca="1" si="70"/>
        <v>42</v>
      </c>
      <c r="P147" s="1"/>
      <c r="Q147" s="1">
        <f t="shared" ca="1" si="71"/>
        <v>1.6733656200808957</v>
      </c>
      <c r="R147" s="1">
        <f t="shared" ca="1" si="72"/>
        <v>477</v>
      </c>
      <c r="S147" s="1"/>
      <c r="T147" s="1">
        <f t="shared" ca="1" si="73"/>
        <v>7.0049758370021017E-2</v>
      </c>
      <c r="U147" s="1">
        <f t="shared" ca="1" si="74"/>
        <v>108</v>
      </c>
      <c r="V147" s="1">
        <f t="shared" ca="1" si="75"/>
        <v>10</v>
      </c>
      <c r="W147" s="1"/>
      <c r="X147" s="1">
        <f t="shared" ca="1" si="76"/>
        <v>6.33119626135346</v>
      </c>
      <c r="Y147" s="1">
        <f t="shared" ca="1" si="77"/>
        <v>0.18296683824143919</v>
      </c>
      <c r="Z147" s="1">
        <f t="shared" ca="1" si="78"/>
        <v>1356</v>
      </c>
      <c r="AB147" s="1">
        <f t="shared" ca="1" si="79"/>
        <v>0.7687215493901367</v>
      </c>
      <c r="AC147" s="1">
        <f t="shared" ca="1" si="80"/>
        <v>156</v>
      </c>
      <c r="AD147" s="1">
        <f t="shared" ca="1" si="81"/>
        <v>2.0737942167188914E-3</v>
      </c>
      <c r="AE147" s="1"/>
      <c r="AF147" s="1">
        <f t="shared" ca="1" si="82"/>
        <v>0.75402756577504382</v>
      </c>
      <c r="AG147" s="1">
        <f t="shared" ca="1" si="83"/>
        <v>496</v>
      </c>
      <c r="AH147" s="1">
        <f t="shared" ca="1" si="84"/>
        <v>8.4308697427598871E-3</v>
      </c>
      <c r="AJ147" s="1">
        <f t="shared" ca="1" si="85"/>
        <v>2.7794415024690267E-2</v>
      </c>
      <c r="AK147" s="1">
        <f t="shared" ca="1" si="86"/>
        <v>3.0263615236858184E-4</v>
      </c>
      <c r="AL147" s="1"/>
      <c r="AM147" s="1">
        <f t="shared" ca="1" si="87"/>
        <v>9.303441874409667E-3</v>
      </c>
      <c r="AN147" s="1">
        <f t="shared" ca="1" si="88"/>
        <v>79</v>
      </c>
      <c r="AO147" s="1">
        <f t="shared" ca="1" si="89"/>
        <v>8</v>
      </c>
    </row>
    <row r="148" spans="2:41" x14ac:dyDescent="0.25">
      <c r="B148">
        <f t="shared" ca="1" si="60"/>
        <v>789</v>
      </c>
      <c r="C148">
        <f t="shared" ca="1" si="61"/>
        <v>10</v>
      </c>
      <c r="D148">
        <f t="shared" ca="1" si="62"/>
        <v>9.1822249272200479E-2</v>
      </c>
      <c r="F148" s="1">
        <f t="shared" ca="1" si="63"/>
        <v>28</v>
      </c>
      <c r="G148" s="1">
        <f t="shared" ca="1" si="64"/>
        <v>28</v>
      </c>
      <c r="H148" s="1">
        <f t="shared" ca="1" si="65"/>
        <v>14</v>
      </c>
      <c r="I148" s="1"/>
      <c r="J148" s="1">
        <f t="shared" ca="1" si="66"/>
        <v>28</v>
      </c>
      <c r="K148" s="1">
        <f t="shared" ca="1" si="67"/>
        <v>1.6041775603660955</v>
      </c>
      <c r="L148" s="1">
        <f t="shared" ca="1" si="68"/>
        <v>35</v>
      </c>
      <c r="M148" s="1"/>
      <c r="N148" s="1">
        <f t="shared" ca="1" si="69"/>
        <v>453</v>
      </c>
      <c r="O148" s="1">
        <f t="shared" ca="1" si="70"/>
        <v>23</v>
      </c>
      <c r="P148" s="1"/>
      <c r="Q148" s="1">
        <f t="shared" ca="1" si="71"/>
        <v>2.5143462316780605</v>
      </c>
      <c r="R148" s="1">
        <f t="shared" ca="1" si="72"/>
        <v>777</v>
      </c>
      <c r="S148" s="1"/>
      <c r="T148" s="1">
        <f t="shared" ca="1" si="73"/>
        <v>0.1270125144341927</v>
      </c>
      <c r="U148" s="1">
        <f t="shared" ca="1" si="74"/>
        <v>248</v>
      </c>
      <c r="V148" s="1">
        <f t="shared" ca="1" si="75"/>
        <v>33</v>
      </c>
      <c r="W148" s="1"/>
      <c r="X148" s="1">
        <f t="shared" ca="1" si="76"/>
        <v>1.5195909494180344</v>
      </c>
      <c r="Y148" s="1">
        <f t="shared" ca="1" si="77"/>
        <v>8.1755153734517236E-2</v>
      </c>
      <c r="Z148" s="1">
        <f t="shared" ca="1" si="78"/>
        <v>467</v>
      </c>
      <c r="AB148" s="1">
        <f t="shared" ca="1" si="79"/>
        <v>0.1090020056328229</v>
      </c>
      <c r="AC148" s="1">
        <f t="shared" ca="1" si="80"/>
        <v>230</v>
      </c>
      <c r="AD148" s="1">
        <f t="shared" ca="1" si="81"/>
        <v>1.2076276173016679E-3</v>
      </c>
      <c r="AE148" s="1"/>
      <c r="AF148" s="1">
        <f t="shared" ca="1" si="82"/>
        <v>0.26207804541024765</v>
      </c>
      <c r="AG148" s="1">
        <f t="shared" ca="1" si="83"/>
        <v>449</v>
      </c>
      <c r="AH148" s="1">
        <f t="shared" ca="1" si="84"/>
        <v>3.5782621144593335E-3</v>
      </c>
      <c r="AJ148" s="1">
        <f t="shared" ca="1" si="85"/>
        <v>0.76368628910635106</v>
      </c>
      <c r="AK148" s="1">
        <f t="shared" ca="1" si="86"/>
        <v>6.9868954100353476E-3</v>
      </c>
      <c r="AL148" s="1"/>
      <c r="AM148" s="1">
        <f t="shared" ca="1" si="87"/>
        <v>7.2465552601953392E-2</v>
      </c>
      <c r="AN148" s="1">
        <f t="shared" ca="1" si="88"/>
        <v>22</v>
      </c>
      <c r="AO148" s="1">
        <f t="shared" ca="1" si="89"/>
        <v>-1</v>
      </c>
    </row>
    <row r="149" spans="2:41" x14ac:dyDescent="0.25">
      <c r="B149">
        <f t="shared" ca="1" si="60"/>
        <v>689</v>
      </c>
      <c r="C149">
        <f t="shared" ca="1" si="61"/>
        <v>24</v>
      </c>
      <c r="D149">
        <f t="shared" ca="1" si="62"/>
        <v>0.21932794020526328</v>
      </c>
      <c r="F149" s="1">
        <f t="shared" ca="1" si="63"/>
        <v>19</v>
      </c>
      <c r="G149" s="1">
        <f t="shared" ca="1" si="64"/>
        <v>6</v>
      </c>
      <c r="H149" s="1">
        <f t="shared" ca="1" si="65"/>
        <v>6</v>
      </c>
      <c r="I149" s="1"/>
      <c r="J149" s="1">
        <f t="shared" ca="1" si="66"/>
        <v>7</v>
      </c>
      <c r="K149" s="1">
        <f t="shared" ca="1" si="67"/>
        <v>1.3228479054948552</v>
      </c>
      <c r="L149" s="1">
        <f t="shared" ca="1" si="68"/>
        <v>35</v>
      </c>
      <c r="M149" s="1"/>
      <c r="N149" s="1">
        <f t="shared" ca="1" si="69"/>
        <v>789</v>
      </c>
      <c r="O149" s="1">
        <f t="shared" ca="1" si="70"/>
        <v>20</v>
      </c>
      <c r="P149" s="1"/>
      <c r="Q149" s="1">
        <f t="shared" ca="1" si="71"/>
        <v>1.7707383934313561</v>
      </c>
      <c r="R149" s="1">
        <f t="shared" ca="1" si="72"/>
        <v>420</v>
      </c>
      <c r="S149" s="1"/>
      <c r="T149" s="1">
        <f t="shared" ca="1" si="73"/>
        <v>0.17667616263774313</v>
      </c>
      <c r="U149" s="1">
        <f t="shared" ca="1" si="74"/>
        <v>108</v>
      </c>
      <c r="V149" s="1">
        <f t="shared" ca="1" si="75"/>
        <v>48</v>
      </c>
      <c r="W149" s="1"/>
      <c r="X149" s="1">
        <f t="shared" ca="1" si="76"/>
        <v>2.5688687102072461</v>
      </c>
      <c r="Y149" s="1">
        <f t="shared" ca="1" si="77"/>
        <v>0.61671163125739137</v>
      </c>
      <c r="Z149" s="1">
        <f t="shared" ca="1" si="78"/>
        <v>362</v>
      </c>
      <c r="AB149" s="1">
        <f t="shared" ca="1" si="79"/>
        <v>0.7422510948262403</v>
      </c>
      <c r="AC149" s="1">
        <f t="shared" ca="1" si="80"/>
        <v>334</v>
      </c>
      <c r="AD149" s="1">
        <f t="shared" ca="1" si="81"/>
        <v>7.6604297433401618E-3</v>
      </c>
      <c r="AE149" s="1"/>
      <c r="AF149" s="1">
        <f t="shared" ca="1" si="82"/>
        <v>0.52249665738769213</v>
      </c>
      <c r="AG149" s="1">
        <f t="shared" ca="1" si="83"/>
        <v>657</v>
      </c>
      <c r="AH149" s="1">
        <f t="shared" ca="1" si="84"/>
        <v>6.3649951058317679E-3</v>
      </c>
      <c r="AJ149" s="1">
        <f t="shared" ca="1" si="85"/>
        <v>0.43274128423389902</v>
      </c>
      <c r="AK149" s="1">
        <f t="shared" ca="1" si="86"/>
        <v>1.7130699522035278E-3</v>
      </c>
      <c r="AL149" s="1"/>
      <c r="AM149" s="1">
        <f t="shared" ca="1" si="87"/>
        <v>8.6954537731427882E-3</v>
      </c>
      <c r="AN149" s="1">
        <f t="shared" ca="1" si="88"/>
        <v>13</v>
      </c>
      <c r="AO149" s="1">
        <f t="shared" ca="1" si="89"/>
        <v>3</v>
      </c>
    </row>
    <row r="150" spans="2:41" x14ac:dyDescent="0.25">
      <c r="B150">
        <f t="shared" ca="1" si="60"/>
        <v>799</v>
      </c>
      <c r="C150">
        <f t="shared" ca="1" si="61"/>
        <v>41</v>
      </c>
      <c r="D150">
        <f t="shared" ca="1" si="62"/>
        <v>0.10968708492907521</v>
      </c>
      <c r="F150" s="1">
        <f t="shared" ca="1" si="63"/>
        <v>11</v>
      </c>
      <c r="G150" s="1">
        <f t="shared" ca="1" si="64"/>
        <v>16</v>
      </c>
      <c r="H150" s="1">
        <f t="shared" ca="1" si="65"/>
        <v>2</v>
      </c>
      <c r="I150" s="1"/>
      <c r="J150" s="1">
        <f t="shared" ca="1" si="66"/>
        <v>3</v>
      </c>
      <c r="K150" s="1">
        <f t="shared" ca="1" si="67"/>
        <v>2.8019085486644548</v>
      </c>
      <c r="L150" s="1">
        <f t="shared" ca="1" si="68"/>
        <v>34</v>
      </c>
      <c r="M150" s="1"/>
      <c r="N150" s="1">
        <f t="shared" ca="1" si="69"/>
        <v>636</v>
      </c>
      <c r="O150" s="1">
        <f t="shared" ca="1" si="70"/>
        <v>48</v>
      </c>
      <c r="P150" s="1"/>
      <c r="Q150" s="1">
        <f t="shared" ca="1" si="71"/>
        <v>4.4552239757639374</v>
      </c>
      <c r="R150" s="1">
        <f t="shared" ca="1" si="72"/>
        <v>880</v>
      </c>
      <c r="S150" s="1"/>
      <c r="T150" s="1">
        <f t="shared" ca="1" si="73"/>
        <v>0.15889988851925954</v>
      </c>
      <c r="U150" s="1">
        <f t="shared" ca="1" si="74"/>
        <v>86</v>
      </c>
      <c r="V150" s="1">
        <f t="shared" ca="1" si="75"/>
        <v>45</v>
      </c>
      <c r="W150" s="1"/>
      <c r="X150" s="1">
        <f t="shared" ca="1" si="76"/>
        <v>8.5961708346403434</v>
      </c>
      <c r="Y150" s="1">
        <f t="shared" ca="1" si="77"/>
        <v>0.54259593339533119</v>
      </c>
      <c r="Z150" s="1">
        <f t="shared" ca="1" si="78"/>
        <v>1780</v>
      </c>
      <c r="AB150" s="1">
        <f t="shared" ca="1" si="79"/>
        <v>0.31271578970018421</v>
      </c>
      <c r="AC150" s="1">
        <f t="shared" ca="1" si="80"/>
        <v>686</v>
      </c>
      <c r="AD150" s="1">
        <f t="shared" ca="1" si="81"/>
        <v>6.8411435312570618E-3</v>
      </c>
      <c r="AE150" s="1"/>
      <c r="AF150" s="1">
        <f t="shared" ca="1" si="82"/>
        <v>0.29104227514866687</v>
      </c>
      <c r="AG150" s="1">
        <f t="shared" ca="1" si="83"/>
        <v>118</v>
      </c>
      <c r="AH150" s="1">
        <f t="shared" ca="1" si="84"/>
        <v>3.9635782609418841E-3</v>
      </c>
      <c r="AJ150" s="1">
        <f t="shared" ca="1" si="85"/>
        <v>0.70628972075603524</v>
      </c>
      <c r="AK150" s="1">
        <f t="shared" ca="1" si="86"/>
        <v>1.2668105426655502E-3</v>
      </c>
      <c r="AL150" s="1"/>
      <c r="AM150" s="1">
        <f t="shared" ca="1" si="87"/>
        <v>2.3598136353142892E-2</v>
      </c>
      <c r="AN150" s="1">
        <f t="shared" ca="1" si="88"/>
        <v>54</v>
      </c>
      <c r="AO150" s="1">
        <f t="shared" ca="1" si="89"/>
        <v>1</v>
      </c>
    </row>
    <row r="151" spans="2:41" x14ac:dyDescent="0.25">
      <c r="B151">
        <f t="shared" ca="1" si="60"/>
        <v>407</v>
      </c>
      <c r="C151">
        <f t="shared" ca="1" si="61"/>
        <v>52</v>
      </c>
      <c r="D151">
        <f t="shared" ca="1" si="62"/>
        <v>0.20619711146152622</v>
      </c>
      <c r="F151" s="1">
        <f t="shared" ca="1" si="63"/>
        <v>7</v>
      </c>
      <c r="G151" s="1">
        <f t="shared" ca="1" si="64"/>
        <v>24</v>
      </c>
      <c r="H151" s="1">
        <f t="shared" ca="1" si="65"/>
        <v>15</v>
      </c>
      <c r="I151" s="1"/>
      <c r="J151" s="1">
        <f t="shared" ca="1" si="66"/>
        <v>39</v>
      </c>
      <c r="K151" s="1">
        <f t="shared" ca="1" si="67"/>
        <v>1.7942740449038095</v>
      </c>
      <c r="L151" s="1">
        <f t="shared" ca="1" si="68"/>
        <v>18</v>
      </c>
      <c r="M151" s="1"/>
      <c r="N151" s="1">
        <f t="shared" ca="1" si="69"/>
        <v>684</v>
      </c>
      <c r="O151" s="1">
        <f t="shared" ca="1" si="70"/>
        <v>43</v>
      </c>
      <c r="P151" s="1"/>
      <c r="Q151" s="1">
        <f t="shared" ca="1" si="71"/>
        <v>4.6819595422220459</v>
      </c>
      <c r="R151" s="1">
        <f t="shared" ca="1" si="72"/>
        <v>885</v>
      </c>
      <c r="S151" s="1"/>
      <c r="T151" s="1">
        <f t="shared" ca="1" si="73"/>
        <v>0.14456807343656017</v>
      </c>
      <c r="U151" s="1">
        <f t="shared" ca="1" si="74"/>
        <v>146</v>
      </c>
      <c r="V151" s="1">
        <f t="shared" ca="1" si="75"/>
        <v>47</v>
      </c>
      <c r="W151" s="1"/>
      <c r="X151" s="1">
        <f t="shared" ca="1" si="76"/>
        <v>2.4580495596855023</v>
      </c>
      <c r="Y151" s="1">
        <f t="shared" ca="1" si="77"/>
        <v>0.22256152323581052</v>
      </c>
      <c r="Z151" s="1">
        <f t="shared" ca="1" si="78"/>
        <v>1299</v>
      </c>
      <c r="AB151" s="1">
        <f t="shared" ca="1" si="79"/>
        <v>0.92505145167632807</v>
      </c>
      <c r="AC151" s="1">
        <f t="shared" ca="1" si="80"/>
        <v>610</v>
      </c>
      <c r="AD151" s="1">
        <f t="shared" ca="1" si="81"/>
        <v>7.3172024513615871E-3</v>
      </c>
      <c r="AE151" s="1"/>
      <c r="AF151" s="1">
        <f t="shared" ca="1" si="82"/>
        <v>0.51577787823549615</v>
      </c>
      <c r="AG151" s="1">
        <f t="shared" ca="1" si="83"/>
        <v>579</v>
      </c>
      <c r="AH151" s="1">
        <f t="shared" ca="1" si="84"/>
        <v>9.6600209831664684E-3</v>
      </c>
      <c r="AJ151" s="1">
        <f t="shared" ca="1" si="85"/>
        <v>0.24275907306091171</v>
      </c>
      <c r="AK151" s="1">
        <f t="shared" ca="1" si="86"/>
        <v>5.3446631849674853E-3</v>
      </c>
      <c r="AL151" s="1"/>
      <c r="AM151" s="1">
        <f t="shared" ca="1" si="87"/>
        <v>3.7381255473169291E-2</v>
      </c>
      <c r="AN151" s="1">
        <f t="shared" ca="1" si="88"/>
        <v>29</v>
      </c>
      <c r="AO151" s="1">
        <f t="shared" ca="1" si="89"/>
        <v>2</v>
      </c>
    </row>
    <row r="152" spans="2:41" x14ac:dyDescent="0.25">
      <c r="B152">
        <f t="shared" ca="1" si="60"/>
        <v>264</v>
      </c>
      <c r="C152">
        <f t="shared" ca="1" si="61"/>
        <v>47</v>
      </c>
      <c r="D152">
        <f t="shared" ca="1" si="62"/>
        <v>0.12146654968909017</v>
      </c>
      <c r="F152" s="1">
        <f t="shared" ca="1" si="63"/>
        <v>37</v>
      </c>
      <c r="G152" s="1">
        <f t="shared" ca="1" si="64"/>
        <v>6</v>
      </c>
      <c r="H152" s="1">
        <f t="shared" ca="1" si="65"/>
        <v>2</v>
      </c>
      <c r="I152" s="1"/>
      <c r="J152" s="1">
        <f t="shared" ca="1" si="66"/>
        <v>30</v>
      </c>
      <c r="K152" s="1">
        <f t="shared" ca="1" si="67"/>
        <v>2.0082518783685339</v>
      </c>
      <c r="L152" s="1">
        <f t="shared" ca="1" si="68"/>
        <v>26</v>
      </c>
      <c r="M152" s="1"/>
      <c r="N152" s="1">
        <f t="shared" ca="1" si="69"/>
        <v>752</v>
      </c>
      <c r="O152" s="1">
        <f t="shared" ca="1" si="70"/>
        <v>15</v>
      </c>
      <c r="P152" s="1"/>
      <c r="Q152" s="1">
        <f t="shared" ca="1" si="71"/>
        <v>1.3155334676501331</v>
      </c>
      <c r="R152" s="1">
        <f t="shared" ca="1" si="72"/>
        <v>545</v>
      </c>
      <c r="S152" s="1"/>
      <c r="T152" s="1">
        <f t="shared" ca="1" si="73"/>
        <v>0.16859743116374087</v>
      </c>
      <c r="U152" s="1">
        <f t="shared" ca="1" si="74"/>
        <v>176</v>
      </c>
      <c r="V152" s="1">
        <f t="shared" ca="1" si="75"/>
        <v>24</v>
      </c>
      <c r="W152" s="1"/>
      <c r="X152" s="1">
        <f t="shared" ca="1" si="76"/>
        <v>4.4124200148789026</v>
      </c>
      <c r="Y152" s="1">
        <f t="shared" ca="1" si="77"/>
        <v>0.39649512555734268</v>
      </c>
      <c r="Z152" s="1">
        <f t="shared" ca="1" si="78"/>
        <v>1957</v>
      </c>
      <c r="AB152" s="1">
        <f t="shared" ca="1" si="79"/>
        <v>0.47283213565416021</v>
      </c>
      <c r="AC152" s="1">
        <f t="shared" ca="1" si="80"/>
        <v>307</v>
      </c>
      <c r="AD152" s="1">
        <f t="shared" ca="1" si="81"/>
        <v>9.9652086620103265E-3</v>
      </c>
      <c r="AE152" s="1"/>
      <c r="AF152" s="1">
        <f t="shared" ca="1" si="82"/>
        <v>0.60042875850083099</v>
      </c>
      <c r="AG152" s="1">
        <f t="shared" ca="1" si="83"/>
        <v>838</v>
      </c>
      <c r="AH152" s="1">
        <f t="shared" ca="1" si="84"/>
        <v>9.4601072642024411E-4</v>
      </c>
      <c r="AJ152" s="1">
        <f t="shared" ca="1" si="85"/>
        <v>3.4869921769728696E-2</v>
      </c>
      <c r="AK152" s="1">
        <f t="shared" ca="1" si="86"/>
        <v>7.9020591623988612E-3</v>
      </c>
      <c r="AL152" s="1"/>
      <c r="AM152" s="1">
        <f t="shared" ca="1" si="87"/>
        <v>0.14013152408483939</v>
      </c>
      <c r="AN152" s="1">
        <f t="shared" ca="1" si="88"/>
        <v>14</v>
      </c>
      <c r="AO152" s="1">
        <f t="shared" ca="1" si="89"/>
        <v>8</v>
      </c>
    </row>
    <row r="153" spans="2:41" x14ac:dyDescent="0.25">
      <c r="B153">
        <f t="shared" ca="1" si="60"/>
        <v>825</v>
      </c>
      <c r="C153">
        <f t="shared" ca="1" si="61"/>
        <v>18</v>
      </c>
      <c r="D153">
        <f t="shared" ca="1" si="62"/>
        <v>0.24869380565180343</v>
      </c>
      <c r="F153" s="1">
        <f t="shared" ca="1" si="63"/>
        <v>18</v>
      </c>
      <c r="G153" s="1">
        <f t="shared" ca="1" si="64"/>
        <v>29</v>
      </c>
      <c r="H153" s="1">
        <f t="shared" ca="1" si="65"/>
        <v>10</v>
      </c>
      <c r="I153" s="1"/>
      <c r="J153" s="1">
        <f t="shared" ca="1" si="66"/>
        <v>34</v>
      </c>
      <c r="K153" s="1">
        <f t="shared" ca="1" si="67"/>
        <v>2.5839235436955059</v>
      </c>
      <c r="L153" s="1">
        <f t="shared" ca="1" si="68"/>
        <v>24</v>
      </c>
      <c r="M153" s="1"/>
      <c r="N153" s="1">
        <f t="shared" ca="1" si="69"/>
        <v>363</v>
      </c>
      <c r="O153" s="1">
        <f t="shared" ca="1" si="70"/>
        <v>45</v>
      </c>
      <c r="P153" s="1"/>
      <c r="Q153" s="1">
        <f t="shared" ca="1" si="71"/>
        <v>2.4762013714569293</v>
      </c>
      <c r="R153" s="1">
        <f t="shared" ca="1" si="72"/>
        <v>1089</v>
      </c>
      <c r="S153" s="1"/>
      <c r="T153" s="1">
        <f t="shared" ca="1" si="73"/>
        <v>6.4912529314016504E-2</v>
      </c>
      <c r="U153" s="1">
        <f t="shared" ca="1" si="74"/>
        <v>252</v>
      </c>
      <c r="V153" s="1">
        <f t="shared" ca="1" si="75"/>
        <v>23</v>
      </c>
      <c r="W153" s="1"/>
      <c r="X153" s="1">
        <f t="shared" ca="1" si="76"/>
        <v>6.8356722813874704</v>
      </c>
      <c r="Y153" s="1">
        <f t="shared" ca="1" si="77"/>
        <v>0.2317827664612383</v>
      </c>
      <c r="Z153" s="1">
        <f t="shared" ca="1" si="78"/>
        <v>1670</v>
      </c>
      <c r="AB153" s="1">
        <f t="shared" ca="1" si="79"/>
        <v>0.84160970023896942</v>
      </c>
      <c r="AC153" s="1">
        <f t="shared" ca="1" si="80"/>
        <v>408</v>
      </c>
      <c r="AD153" s="1">
        <f t="shared" ca="1" si="81"/>
        <v>5.9245090762004736E-3</v>
      </c>
      <c r="AE153" s="1"/>
      <c r="AF153" s="1">
        <f t="shared" ca="1" si="82"/>
        <v>0.22504002103992315</v>
      </c>
      <c r="AG153" s="1">
        <f t="shared" ca="1" si="83"/>
        <v>288</v>
      </c>
      <c r="AH153" s="1">
        <f t="shared" ca="1" si="84"/>
        <v>5.6508514644045219E-3</v>
      </c>
      <c r="AJ153" s="1">
        <f t="shared" ca="1" si="85"/>
        <v>0.94498736177532527</v>
      </c>
      <c r="AK153" s="1">
        <f t="shared" ca="1" si="86"/>
        <v>2.9813726416570152E-3</v>
      </c>
      <c r="AL153" s="1"/>
      <c r="AM153" s="1">
        <f t="shared" ca="1" si="87"/>
        <v>5.6520449315143995E-2</v>
      </c>
      <c r="AN153" s="1">
        <f t="shared" ca="1" si="88"/>
        <v>27</v>
      </c>
      <c r="AO153" s="1">
        <f t="shared" ca="1" si="89"/>
        <v>18</v>
      </c>
    </row>
    <row r="154" spans="2:41" x14ac:dyDescent="0.25">
      <c r="B154">
        <f t="shared" ca="1" si="60"/>
        <v>434</v>
      </c>
      <c r="C154">
        <f t="shared" ca="1" si="61"/>
        <v>40</v>
      </c>
      <c r="D154">
        <f t="shared" ca="1" si="62"/>
        <v>0.21830881998878596</v>
      </c>
      <c r="F154" s="1">
        <f t="shared" ca="1" si="63"/>
        <v>49</v>
      </c>
      <c r="G154" s="1">
        <f t="shared" ca="1" si="64"/>
        <v>18</v>
      </c>
      <c r="H154" s="1">
        <f t="shared" ca="1" si="65"/>
        <v>3</v>
      </c>
      <c r="I154" s="1"/>
      <c r="J154" s="1">
        <f t="shared" ca="1" si="66"/>
        <v>27</v>
      </c>
      <c r="K154" s="1">
        <f t="shared" ca="1" si="67"/>
        <v>1.1794991676412978</v>
      </c>
      <c r="L154" s="1">
        <f t="shared" ca="1" si="68"/>
        <v>16</v>
      </c>
      <c r="M154" s="1"/>
      <c r="N154" s="1">
        <f t="shared" ca="1" si="69"/>
        <v>419</v>
      </c>
      <c r="O154" s="1">
        <f t="shared" ca="1" si="70"/>
        <v>26</v>
      </c>
      <c r="P154" s="1"/>
      <c r="Q154" s="1">
        <f t="shared" ca="1" si="71"/>
        <v>0.34709712450742253</v>
      </c>
      <c r="R154" s="1">
        <f t="shared" ca="1" si="72"/>
        <v>484</v>
      </c>
      <c r="S154" s="1"/>
      <c r="T154" s="1">
        <f t="shared" ca="1" si="73"/>
        <v>0.17984057837631479</v>
      </c>
      <c r="U154" s="1">
        <f t="shared" ca="1" si="74"/>
        <v>383</v>
      </c>
      <c r="V154" s="1">
        <f t="shared" ca="1" si="75"/>
        <v>4</v>
      </c>
      <c r="W154" s="1"/>
      <c r="X154" s="1">
        <f t="shared" ca="1" si="76"/>
        <v>4.731033101974929</v>
      </c>
      <c r="Y154" s="1">
        <f t="shared" ca="1" si="77"/>
        <v>0.47522041707914103</v>
      </c>
      <c r="Z154" s="1">
        <f t="shared" ca="1" si="78"/>
        <v>1600</v>
      </c>
      <c r="AB154" s="1">
        <f t="shared" ca="1" si="79"/>
        <v>0.19710427171900549</v>
      </c>
      <c r="AC154" s="1">
        <f t="shared" ca="1" si="80"/>
        <v>599</v>
      </c>
      <c r="AD154" s="1">
        <f t="shared" ca="1" si="81"/>
        <v>1.5439509535361666E-3</v>
      </c>
      <c r="AE154" s="1"/>
      <c r="AF154" s="1">
        <f t="shared" ca="1" si="82"/>
        <v>0.37311136353481256</v>
      </c>
      <c r="AG154" s="1">
        <f t="shared" ca="1" si="83"/>
        <v>598</v>
      </c>
      <c r="AH154" s="1">
        <f t="shared" ca="1" si="84"/>
        <v>7.433915679247784E-3</v>
      </c>
      <c r="AJ154" s="1">
        <f t="shared" ca="1" si="85"/>
        <v>9.7290207737334877E-2</v>
      </c>
      <c r="AK154" s="1">
        <f t="shared" ca="1" si="86"/>
        <v>9.139122005577361E-3</v>
      </c>
      <c r="AL154" s="1"/>
      <c r="AM154" s="1">
        <f t="shared" ca="1" si="87"/>
        <v>0.14026527338839842</v>
      </c>
      <c r="AN154" s="1">
        <f t="shared" ca="1" si="88"/>
        <v>60</v>
      </c>
      <c r="AO154" s="1">
        <f t="shared" ca="1" si="89"/>
        <v>12</v>
      </c>
    </row>
    <row r="155" spans="2:41" x14ac:dyDescent="0.25">
      <c r="B155">
        <f t="shared" ca="1" si="60"/>
        <v>846</v>
      </c>
      <c r="C155">
        <f t="shared" ca="1" si="61"/>
        <v>37</v>
      </c>
      <c r="D155">
        <f t="shared" ca="1" si="62"/>
        <v>0.23633224639871206</v>
      </c>
      <c r="F155" s="1">
        <f t="shared" ca="1" si="63"/>
        <v>13</v>
      </c>
      <c r="G155" s="1">
        <f t="shared" ca="1" si="64"/>
        <v>15</v>
      </c>
      <c r="H155" s="1">
        <f t="shared" ca="1" si="65"/>
        <v>1</v>
      </c>
      <c r="I155" s="1"/>
      <c r="J155" s="1">
        <f t="shared" ca="1" si="66"/>
        <v>22</v>
      </c>
      <c r="K155" s="1">
        <f t="shared" ca="1" si="67"/>
        <v>1.9801138797176048</v>
      </c>
      <c r="L155" s="1">
        <f t="shared" ca="1" si="68"/>
        <v>28</v>
      </c>
      <c r="M155" s="1"/>
      <c r="N155" s="1">
        <f t="shared" ca="1" si="69"/>
        <v>984</v>
      </c>
      <c r="O155" s="1">
        <f t="shared" ca="1" si="70"/>
        <v>21</v>
      </c>
      <c r="P155" s="1"/>
      <c r="Q155" s="1">
        <f t="shared" ca="1" si="71"/>
        <v>1.9902794520992431</v>
      </c>
      <c r="R155" s="1">
        <f t="shared" ca="1" si="72"/>
        <v>955</v>
      </c>
      <c r="S155" s="1"/>
      <c r="T155" s="1">
        <f t="shared" ca="1" si="73"/>
        <v>1.6039595563077186E-2</v>
      </c>
      <c r="U155" s="1">
        <f t="shared" ca="1" si="74"/>
        <v>139</v>
      </c>
      <c r="V155" s="1">
        <f t="shared" ca="1" si="75"/>
        <v>4</v>
      </c>
      <c r="W155" s="1"/>
      <c r="X155" s="1">
        <f t="shared" ca="1" si="76"/>
        <v>4.7666872301071388</v>
      </c>
      <c r="Y155" s="1">
        <f t="shared" ca="1" si="77"/>
        <v>0.81420061222371132</v>
      </c>
      <c r="Z155" s="1">
        <f t="shared" ca="1" si="78"/>
        <v>1452</v>
      </c>
      <c r="AB155" s="1">
        <f t="shared" ca="1" si="79"/>
        <v>0.62429074633717541</v>
      </c>
      <c r="AC155" s="1">
        <f t="shared" ca="1" si="80"/>
        <v>275</v>
      </c>
      <c r="AD155" s="1">
        <f t="shared" ca="1" si="81"/>
        <v>2.5295003242382431E-3</v>
      </c>
      <c r="AE155" s="1"/>
      <c r="AF155" s="1">
        <f t="shared" ca="1" si="82"/>
        <v>0.5747619584067819</v>
      </c>
      <c r="AG155" s="1">
        <f t="shared" ca="1" si="83"/>
        <v>508</v>
      </c>
      <c r="AH155" s="1">
        <f t="shared" ca="1" si="84"/>
        <v>1.5987136136443177E-3</v>
      </c>
      <c r="AJ155" s="1">
        <f t="shared" ca="1" si="85"/>
        <v>6.5202867164296352E-2</v>
      </c>
      <c r="AK155" s="1">
        <f t="shared" ca="1" si="86"/>
        <v>4.6710766550951757E-3</v>
      </c>
      <c r="AL155" s="1"/>
      <c r="AM155" s="1">
        <f t="shared" ca="1" si="87"/>
        <v>0.17955270176293969</v>
      </c>
      <c r="AN155" s="1">
        <f t="shared" ca="1" si="88"/>
        <v>31</v>
      </c>
      <c r="AO155" s="1">
        <f t="shared" ca="1" si="89"/>
        <v>10</v>
      </c>
    </row>
    <row r="156" spans="2:41" x14ac:dyDescent="0.25">
      <c r="B156">
        <f t="shared" ca="1" si="60"/>
        <v>929</v>
      </c>
      <c r="C156">
        <f t="shared" ca="1" si="61"/>
        <v>38</v>
      </c>
      <c r="D156">
        <f t="shared" ca="1" si="62"/>
        <v>0.20145065823792194</v>
      </c>
      <c r="F156" s="1">
        <f t="shared" ca="1" si="63"/>
        <v>47</v>
      </c>
      <c r="G156" s="1">
        <f t="shared" ca="1" si="64"/>
        <v>19</v>
      </c>
      <c r="H156" s="1">
        <f t="shared" ca="1" si="65"/>
        <v>7</v>
      </c>
      <c r="I156" s="1"/>
      <c r="J156" s="1">
        <f t="shared" ca="1" si="66"/>
        <v>30</v>
      </c>
      <c r="K156" s="1">
        <f t="shared" ca="1" si="67"/>
        <v>2.3508362152250903</v>
      </c>
      <c r="L156" s="1">
        <f t="shared" ca="1" si="68"/>
        <v>4</v>
      </c>
      <c r="M156" s="1"/>
      <c r="N156" s="1">
        <f t="shared" ca="1" si="69"/>
        <v>29</v>
      </c>
      <c r="O156" s="1">
        <f t="shared" ca="1" si="70"/>
        <v>40</v>
      </c>
      <c r="P156" s="1"/>
      <c r="Q156" s="1">
        <f t="shared" ca="1" si="71"/>
        <v>3.0570510115733702</v>
      </c>
      <c r="R156" s="1">
        <f t="shared" ca="1" si="72"/>
        <v>581</v>
      </c>
      <c r="S156" s="1"/>
      <c r="T156" s="1">
        <f t="shared" ca="1" si="73"/>
        <v>9.0400928423381294E-2</v>
      </c>
      <c r="U156" s="1">
        <f t="shared" ca="1" si="74"/>
        <v>208</v>
      </c>
      <c r="V156" s="1">
        <f t="shared" ca="1" si="75"/>
        <v>39</v>
      </c>
      <c r="W156" s="1"/>
      <c r="X156" s="1">
        <f t="shared" ca="1" si="76"/>
        <v>1.0546237606205902</v>
      </c>
      <c r="Y156" s="1">
        <f t="shared" ca="1" si="77"/>
        <v>0.82672872482062887</v>
      </c>
      <c r="Z156" s="1">
        <f t="shared" ca="1" si="78"/>
        <v>1177</v>
      </c>
      <c r="AB156" s="1">
        <f t="shared" ca="1" si="79"/>
        <v>0.23585490083726926</v>
      </c>
      <c r="AC156" s="1">
        <f t="shared" ca="1" si="80"/>
        <v>838</v>
      </c>
      <c r="AD156" s="1">
        <f t="shared" ca="1" si="81"/>
        <v>3.2370258736762461E-3</v>
      </c>
      <c r="AE156" s="1"/>
      <c r="AF156" s="1">
        <f t="shared" ca="1" si="82"/>
        <v>0.83136180627044198</v>
      </c>
      <c r="AG156" s="1">
        <f t="shared" ca="1" si="83"/>
        <v>865</v>
      </c>
      <c r="AH156" s="1">
        <f t="shared" ca="1" si="84"/>
        <v>4.0480622931943272E-3</v>
      </c>
      <c r="AJ156" s="1">
        <f t="shared" ca="1" si="85"/>
        <v>0.9055004290932136</v>
      </c>
      <c r="AK156" s="1">
        <f t="shared" ca="1" si="86"/>
        <v>1.1074540290549029E-3</v>
      </c>
      <c r="AL156" s="1"/>
      <c r="AM156" s="1">
        <f t="shared" ca="1" si="87"/>
        <v>6.4239559277831135E-2</v>
      </c>
      <c r="AN156" s="1">
        <f t="shared" ca="1" si="88"/>
        <v>18</v>
      </c>
      <c r="AO156" s="1">
        <f t="shared" ca="1" si="89"/>
        <v>3</v>
      </c>
    </row>
    <row r="157" spans="2:41" x14ac:dyDescent="0.25">
      <c r="B157">
        <f t="shared" ca="1" si="60"/>
        <v>374</v>
      </c>
      <c r="C157">
        <f t="shared" ca="1" si="61"/>
        <v>46</v>
      </c>
      <c r="D157">
        <f t="shared" ca="1" si="62"/>
        <v>0.29299218826254714</v>
      </c>
      <c r="F157" s="1">
        <f t="shared" ca="1" si="63"/>
        <v>50</v>
      </c>
      <c r="G157" s="1">
        <f t="shared" ca="1" si="64"/>
        <v>21</v>
      </c>
      <c r="H157" s="1">
        <f t="shared" ca="1" si="65"/>
        <v>10</v>
      </c>
      <c r="I157" s="1"/>
      <c r="J157" s="1">
        <f t="shared" ca="1" si="66"/>
        <v>4</v>
      </c>
      <c r="K157" s="1">
        <f t="shared" ca="1" si="67"/>
        <v>2.4148825401996219</v>
      </c>
      <c r="L157" s="1">
        <f t="shared" ca="1" si="68"/>
        <v>7</v>
      </c>
      <c r="M157" s="1"/>
      <c r="N157" s="1">
        <f t="shared" ca="1" si="69"/>
        <v>39</v>
      </c>
      <c r="O157" s="1">
        <f t="shared" ca="1" si="70"/>
        <v>31</v>
      </c>
      <c r="P157" s="1"/>
      <c r="Q157" s="1">
        <f t="shared" ca="1" si="71"/>
        <v>3.6680296670710355</v>
      </c>
      <c r="R157" s="1">
        <f t="shared" ca="1" si="72"/>
        <v>1105</v>
      </c>
      <c r="S157" s="1"/>
      <c r="T157" s="1">
        <f t="shared" ca="1" si="73"/>
        <v>8.0157085937083636E-2</v>
      </c>
      <c r="U157" s="1">
        <f t="shared" ca="1" si="74"/>
        <v>117</v>
      </c>
      <c r="V157" s="1">
        <f t="shared" ca="1" si="75"/>
        <v>25</v>
      </c>
      <c r="W157" s="1"/>
      <c r="X157" s="1">
        <f t="shared" ca="1" si="76"/>
        <v>2.9820061974051129</v>
      </c>
      <c r="Y157" s="1">
        <f t="shared" ca="1" si="77"/>
        <v>0.91604994444218435</v>
      </c>
      <c r="Z157" s="1">
        <f t="shared" ca="1" si="78"/>
        <v>352</v>
      </c>
      <c r="AB157" s="1">
        <f t="shared" ca="1" si="79"/>
        <v>0.46882138679904656</v>
      </c>
      <c r="AC157" s="1">
        <f t="shared" ca="1" si="80"/>
        <v>745</v>
      </c>
      <c r="AD157" s="1">
        <f t="shared" ca="1" si="81"/>
        <v>6.6412126126855068E-4</v>
      </c>
      <c r="AE157" s="1"/>
      <c r="AF157" s="1">
        <f t="shared" ca="1" si="82"/>
        <v>0.51219328414859722</v>
      </c>
      <c r="AG157" s="1">
        <f t="shared" ca="1" si="83"/>
        <v>174</v>
      </c>
      <c r="AH157" s="1">
        <f t="shared" ca="1" si="84"/>
        <v>6.7181048795176912E-3</v>
      </c>
      <c r="AJ157" s="1">
        <f t="shared" ca="1" si="85"/>
        <v>0.72274015310696504</v>
      </c>
      <c r="AK157" s="1">
        <f t="shared" ca="1" si="86"/>
        <v>6.2396674585208705E-3</v>
      </c>
      <c r="AL157" s="1"/>
      <c r="AM157" s="1">
        <f t="shared" ca="1" si="87"/>
        <v>0.17659071386079397</v>
      </c>
      <c r="AN157" s="1">
        <f t="shared" ca="1" si="88"/>
        <v>27</v>
      </c>
      <c r="AO157" s="1">
        <f t="shared" ca="1" si="89"/>
        <v>20</v>
      </c>
    </row>
    <row r="158" spans="2:41" x14ac:dyDescent="0.25">
      <c r="B158">
        <f t="shared" ca="1" si="60"/>
        <v>341</v>
      </c>
      <c r="C158">
        <f t="shared" ca="1" si="61"/>
        <v>25</v>
      </c>
      <c r="D158">
        <f t="shared" ca="1" si="62"/>
        <v>0.12051303665895846</v>
      </c>
      <c r="F158" s="1">
        <f t="shared" ca="1" si="63"/>
        <v>23</v>
      </c>
      <c r="G158" s="1">
        <f t="shared" ca="1" si="64"/>
        <v>11</v>
      </c>
      <c r="H158" s="1">
        <f t="shared" ca="1" si="65"/>
        <v>2</v>
      </c>
      <c r="I158" s="1"/>
      <c r="J158" s="1">
        <f t="shared" ca="1" si="66"/>
        <v>27</v>
      </c>
      <c r="K158" s="1">
        <f t="shared" ca="1" si="67"/>
        <v>2.4987120827954818</v>
      </c>
      <c r="L158" s="1">
        <f t="shared" ca="1" si="68"/>
        <v>27</v>
      </c>
      <c r="M158" s="1"/>
      <c r="N158" s="1">
        <f t="shared" ca="1" si="69"/>
        <v>169</v>
      </c>
      <c r="O158" s="1">
        <f t="shared" ca="1" si="70"/>
        <v>37</v>
      </c>
      <c r="P158" s="1"/>
      <c r="Q158" s="1">
        <f t="shared" ca="1" si="71"/>
        <v>3.5281789162515369</v>
      </c>
      <c r="R158" s="1">
        <f t="shared" ca="1" si="72"/>
        <v>294</v>
      </c>
      <c r="S158" s="1"/>
      <c r="T158" s="1">
        <f t="shared" ca="1" si="73"/>
        <v>1.6486884636363285E-2</v>
      </c>
      <c r="U158" s="1">
        <f t="shared" ca="1" si="74"/>
        <v>52</v>
      </c>
      <c r="V158" s="1">
        <f t="shared" ca="1" si="75"/>
        <v>4</v>
      </c>
      <c r="W158" s="1"/>
      <c r="X158" s="1">
        <f t="shared" ca="1" si="76"/>
        <v>4.8439696594365946</v>
      </c>
      <c r="Y158" s="1">
        <f t="shared" ca="1" si="77"/>
        <v>0.2172761518304947</v>
      </c>
      <c r="Z158" s="1">
        <f t="shared" ca="1" si="78"/>
        <v>318</v>
      </c>
      <c r="AB158" s="1">
        <f t="shared" ca="1" si="79"/>
        <v>0.76422114074616077</v>
      </c>
      <c r="AC158" s="1">
        <f t="shared" ca="1" si="80"/>
        <v>892</v>
      </c>
      <c r="AD158" s="1">
        <f t="shared" ca="1" si="81"/>
        <v>6.0807781280965414E-3</v>
      </c>
      <c r="AE158" s="1"/>
      <c r="AF158" s="1">
        <f t="shared" ca="1" si="82"/>
        <v>0.31983120060215264</v>
      </c>
      <c r="AG158" s="1">
        <f t="shared" ca="1" si="83"/>
        <v>484</v>
      </c>
      <c r="AH158" s="1">
        <f t="shared" ca="1" si="84"/>
        <v>3.7466027654217198E-3</v>
      </c>
      <c r="AJ158" s="1">
        <f t="shared" ca="1" si="85"/>
        <v>0.66073398035590847</v>
      </c>
      <c r="AK158" s="1">
        <f t="shared" ca="1" si="86"/>
        <v>6.4553168449092823E-3</v>
      </c>
      <c r="AL158" s="1"/>
      <c r="AM158" s="1">
        <f t="shared" ca="1" si="87"/>
        <v>8.3489314653354171E-2</v>
      </c>
      <c r="AN158" s="1">
        <f t="shared" ca="1" si="88"/>
        <v>62</v>
      </c>
      <c r="AO158" s="1">
        <f t="shared" ca="1" si="89"/>
        <v>18</v>
      </c>
    </row>
    <row r="159" spans="2:41" x14ac:dyDescent="0.25">
      <c r="B159">
        <f t="shared" ca="1" si="60"/>
        <v>960</v>
      </c>
      <c r="C159">
        <f t="shared" ca="1" si="61"/>
        <v>36</v>
      </c>
      <c r="D159">
        <f t="shared" ca="1" si="62"/>
        <v>0.21233238174687319</v>
      </c>
      <c r="F159" s="1">
        <f t="shared" ca="1" si="63"/>
        <v>15</v>
      </c>
      <c r="G159" s="1">
        <f t="shared" ca="1" si="64"/>
        <v>21</v>
      </c>
      <c r="H159" s="1">
        <f t="shared" ca="1" si="65"/>
        <v>8</v>
      </c>
      <c r="I159" s="1"/>
      <c r="J159" s="1">
        <f t="shared" ca="1" si="66"/>
        <v>23</v>
      </c>
      <c r="K159" s="1">
        <f t="shared" ca="1" si="67"/>
        <v>1.2920951886944445</v>
      </c>
      <c r="L159" s="1">
        <f t="shared" ca="1" si="68"/>
        <v>8</v>
      </c>
      <c r="M159" s="1"/>
      <c r="N159" s="1">
        <f t="shared" ca="1" si="69"/>
        <v>385</v>
      </c>
      <c r="O159" s="1">
        <f t="shared" ca="1" si="70"/>
        <v>6</v>
      </c>
      <c r="P159" s="1"/>
      <c r="Q159" s="1">
        <f t="shared" ca="1" si="71"/>
        <v>3.6473403713411829</v>
      </c>
      <c r="R159" s="1">
        <f t="shared" ca="1" si="72"/>
        <v>433</v>
      </c>
      <c r="S159" s="1"/>
      <c r="T159" s="1">
        <f t="shared" ca="1" si="73"/>
        <v>5.7186522639955176E-2</v>
      </c>
      <c r="U159" s="1">
        <f t="shared" ca="1" si="74"/>
        <v>443</v>
      </c>
      <c r="V159" s="1">
        <f t="shared" ca="1" si="75"/>
        <v>35</v>
      </c>
      <c r="W159" s="1"/>
      <c r="X159" s="1">
        <f t="shared" ca="1" si="76"/>
        <v>2.2678359134315516</v>
      </c>
      <c r="Y159" s="1">
        <f t="shared" ca="1" si="77"/>
        <v>0.91812292991049627</v>
      </c>
      <c r="Z159" s="1">
        <f t="shared" ca="1" si="78"/>
        <v>383</v>
      </c>
      <c r="AB159" s="1">
        <f t="shared" ca="1" si="79"/>
        <v>0.1222788539683498</v>
      </c>
      <c r="AC159" s="1">
        <f t="shared" ca="1" si="80"/>
        <v>611</v>
      </c>
      <c r="AD159" s="1">
        <f t="shared" ca="1" si="81"/>
        <v>5.4394558551444381E-3</v>
      </c>
      <c r="AE159" s="1"/>
      <c r="AF159" s="1">
        <f t="shared" ca="1" si="82"/>
        <v>0.75572279405152931</v>
      </c>
      <c r="AG159" s="1">
        <f t="shared" ca="1" si="83"/>
        <v>212</v>
      </c>
      <c r="AH159" s="1">
        <f t="shared" ca="1" si="84"/>
        <v>4.437413697647245E-3</v>
      </c>
      <c r="AJ159" s="1">
        <f t="shared" ca="1" si="85"/>
        <v>0.65364701940059433</v>
      </c>
      <c r="AK159" s="1">
        <f t="shared" ca="1" si="86"/>
        <v>1.5585132267665039E-3</v>
      </c>
      <c r="AL159" s="1"/>
      <c r="AM159" s="1">
        <f t="shared" ca="1" si="87"/>
        <v>1.6968719859031266E-2</v>
      </c>
      <c r="AN159" s="1">
        <f t="shared" ca="1" si="88"/>
        <v>42</v>
      </c>
      <c r="AO159" s="1">
        <f t="shared" ca="1" si="89"/>
        <v>12</v>
      </c>
    </row>
    <row r="160" spans="2:41" x14ac:dyDescent="0.25">
      <c r="B160">
        <f t="shared" ca="1" si="60"/>
        <v>33</v>
      </c>
      <c r="C160">
        <f t="shared" ca="1" si="61"/>
        <v>2</v>
      </c>
      <c r="D160">
        <f t="shared" ca="1" si="62"/>
        <v>2.9967042326984258E-2</v>
      </c>
      <c r="F160" s="1">
        <f t="shared" ca="1" si="63"/>
        <v>7</v>
      </c>
      <c r="G160" s="1">
        <f t="shared" ca="1" si="64"/>
        <v>25</v>
      </c>
      <c r="H160" s="1">
        <f t="shared" ca="1" si="65"/>
        <v>5</v>
      </c>
      <c r="I160" s="1"/>
      <c r="J160" s="1">
        <f t="shared" ca="1" si="66"/>
        <v>13</v>
      </c>
      <c r="K160" s="1">
        <f t="shared" ca="1" si="67"/>
        <v>1.8311902542880947</v>
      </c>
      <c r="L160" s="1">
        <f t="shared" ca="1" si="68"/>
        <v>35</v>
      </c>
      <c r="M160" s="1"/>
      <c r="N160" s="1">
        <f t="shared" ca="1" si="69"/>
        <v>551</v>
      </c>
      <c r="O160" s="1">
        <f t="shared" ca="1" si="70"/>
        <v>22</v>
      </c>
      <c r="P160" s="1"/>
      <c r="Q160" s="1">
        <f t="shared" ca="1" si="71"/>
        <v>4.2332714075861739</v>
      </c>
      <c r="R160" s="1">
        <f t="shared" ca="1" si="72"/>
        <v>311</v>
      </c>
      <c r="S160" s="1"/>
      <c r="T160" s="1">
        <f t="shared" ca="1" si="73"/>
        <v>0.1456820023865705</v>
      </c>
      <c r="U160" s="1">
        <f t="shared" ca="1" si="74"/>
        <v>371</v>
      </c>
      <c r="V160" s="1">
        <f t="shared" ca="1" si="75"/>
        <v>9</v>
      </c>
      <c r="W160" s="1"/>
      <c r="X160" s="1">
        <f t="shared" ca="1" si="76"/>
        <v>2.6844548257169576</v>
      </c>
      <c r="Y160" s="1">
        <f t="shared" ca="1" si="77"/>
        <v>0.30614832194853336</v>
      </c>
      <c r="Z160" s="1">
        <f t="shared" ca="1" si="78"/>
        <v>625</v>
      </c>
      <c r="AB160" s="1">
        <f t="shared" ca="1" si="79"/>
        <v>0.25406724749734183</v>
      </c>
      <c r="AC160" s="1">
        <f t="shared" ca="1" si="80"/>
        <v>940</v>
      </c>
      <c r="AD160" s="1">
        <f t="shared" ca="1" si="81"/>
        <v>4.3233675756630934E-3</v>
      </c>
      <c r="AE160" s="1"/>
      <c r="AF160" s="1">
        <f t="shared" ca="1" si="82"/>
        <v>0.12457448840089987</v>
      </c>
      <c r="AG160" s="1">
        <f t="shared" ca="1" si="83"/>
        <v>648</v>
      </c>
      <c r="AH160" s="1">
        <f t="shared" ca="1" si="84"/>
        <v>9.4799081847003891E-3</v>
      </c>
      <c r="AJ160" s="1">
        <f t="shared" ca="1" si="85"/>
        <v>0.35770099825867951</v>
      </c>
      <c r="AK160" s="1">
        <f t="shared" ca="1" si="86"/>
        <v>9.3464006153492745E-3</v>
      </c>
      <c r="AL160" s="1"/>
      <c r="AM160" s="1">
        <f t="shared" ca="1" si="87"/>
        <v>5.4012740142457202E-2</v>
      </c>
      <c r="AN160" s="1">
        <f t="shared" ca="1" si="88"/>
        <v>70</v>
      </c>
      <c r="AO160" s="1">
        <f t="shared" ca="1" si="89"/>
        <v>-1</v>
      </c>
    </row>
    <row r="161" spans="2:41" x14ac:dyDescent="0.25">
      <c r="B161">
        <f t="shared" ca="1" si="60"/>
        <v>132</v>
      </c>
      <c r="C161">
        <f t="shared" ca="1" si="61"/>
        <v>35</v>
      </c>
      <c r="D161">
        <f t="shared" ca="1" si="62"/>
        <v>0.20131059801085413</v>
      </c>
      <c r="F161" s="1">
        <f t="shared" ca="1" si="63"/>
        <v>51</v>
      </c>
      <c r="G161" s="1">
        <f t="shared" ca="1" si="64"/>
        <v>21</v>
      </c>
      <c r="H161" s="1">
        <f t="shared" ca="1" si="65"/>
        <v>7</v>
      </c>
      <c r="I161" s="1"/>
      <c r="J161" s="1">
        <f t="shared" ca="1" si="66"/>
        <v>22</v>
      </c>
      <c r="K161" s="1">
        <f t="shared" ca="1" si="67"/>
        <v>2.6447907024009369</v>
      </c>
      <c r="L161" s="1">
        <f t="shared" ca="1" si="68"/>
        <v>14</v>
      </c>
      <c r="M161" s="1"/>
      <c r="N161" s="1">
        <f t="shared" ca="1" si="69"/>
        <v>97</v>
      </c>
      <c r="O161" s="1">
        <f t="shared" ca="1" si="70"/>
        <v>44</v>
      </c>
      <c r="P161" s="1"/>
      <c r="Q161" s="1">
        <f t="shared" ca="1" si="71"/>
        <v>0.84027049497726625</v>
      </c>
      <c r="R161" s="1">
        <f t="shared" ca="1" si="72"/>
        <v>1075</v>
      </c>
      <c r="S161" s="1"/>
      <c r="T161" s="1">
        <f t="shared" ca="1" si="73"/>
        <v>0.13352290155467267</v>
      </c>
      <c r="U161" s="1">
        <f t="shared" ca="1" si="74"/>
        <v>391</v>
      </c>
      <c r="V161" s="1">
        <f t="shared" ca="1" si="75"/>
        <v>44</v>
      </c>
      <c r="W161" s="1"/>
      <c r="X161" s="1">
        <f t="shared" ca="1" si="76"/>
        <v>1.2733380773990253</v>
      </c>
      <c r="Y161" s="1">
        <f t="shared" ca="1" si="77"/>
        <v>0.67277913822629798</v>
      </c>
      <c r="Z161" s="1">
        <f t="shared" ca="1" si="78"/>
        <v>826</v>
      </c>
      <c r="AB161" s="1">
        <f t="shared" ca="1" si="79"/>
        <v>0.44096588398792841</v>
      </c>
      <c r="AC161" s="1">
        <f t="shared" ca="1" si="80"/>
        <v>159</v>
      </c>
      <c r="AD161" s="1">
        <f t="shared" ca="1" si="81"/>
        <v>1.0152476516798569E-4</v>
      </c>
      <c r="AE161" s="1"/>
      <c r="AF161" s="1">
        <f t="shared" ca="1" si="82"/>
        <v>0.81022039867260365</v>
      </c>
      <c r="AG161" s="1">
        <f t="shared" ca="1" si="83"/>
        <v>808</v>
      </c>
      <c r="AH161" s="1">
        <f t="shared" ca="1" si="84"/>
        <v>7.3619773523509657E-3</v>
      </c>
      <c r="AJ161" s="1">
        <f t="shared" ca="1" si="85"/>
        <v>0.75294180690645496</v>
      </c>
      <c r="AK161" s="1">
        <f t="shared" ca="1" si="86"/>
        <v>1.347421686040079E-3</v>
      </c>
      <c r="AL161" s="1"/>
      <c r="AM161" s="1">
        <f t="shared" ca="1" si="87"/>
        <v>2.7339234406929092E-2</v>
      </c>
      <c r="AN161" s="1">
        <f t="shared" ca="1" si="88"/>
        <v>11</v>
      </c>
      <c r="AO161" s="1">
        <f t="shared" ca="1" si="89"/>
        <v>8</v>
      </c>
    </row>
    <row r="162" spans="2:41" x14ac:dyDescent="0.25">
      <c r="B162">
        <f t="shared" ca="1" si="60"/>
        <v>262</v>
      </c>
      <c r="C162">
        <f t="shared" ca="1" si="61"/>
        <v>3</v>
      </c>
      <c r="D162">
        <f t="shared" ca="1" si="62"/>
        <v>0.17589738512590292</v>
      </c>
      <c r="F162" s="1">
        <f t="shared" ca="1" si="63"/>
        <v>37</v>
      </c>
      <c r="G162" s="1">
        <f t="shared" ca="1" si="64"/>
        <v>8</v>
      </c>
      <c r="H162" s="1">
        <f t="shared" ca="1" si="65"/>
        <v>9</v>
      </c>
      <c r="I162" s="1"/>
      <c r="J162" s="1">
        <f t="shared" ca="1" si="66"/>
        <v>26</v>
      </c>
      <c r="K162" s="1">
        <f t="shared" ca="1" si="67"/>
        <v>2.4090250644982119</v>
      </c>
      <c r="L162" s="1">
        <f t="shared" ca="1" si="68"/>
        <v>30</v>
      </c>
      <c r="M162" s="1"/>
      <c r="N162" s="1">
        <f t="shared" ca="1" si="69"/>
        <v>107</v>
      </c>
      <c r="O162" s="1">
        <f t="shared" ca="1" si="70"/>
        <v>52</v>
      </c>
      <c r="P162" s="1"/>
      <c r="Q162" s="1">
        <f t="shared" ca="1" si="71"/>
        <v>0.33596980430458329</v>
      </c>
      <c r="R162" s="1">
        <f t="shared" ca="1" si="72"/>
        <v>963</v>
      </c>
      <c r="S162" s="1"/>
      <c r="T162" s="1">
        <f t="shared" ca="1" si="73"/>
        <v>9.308740766827131E-2</v>
      </c>
      <c r="U162" s="1">
        <f t="shared" ca="1" si="74"/>
        <v>402</v>
      </c>
      <c r="V162" s="1">
        <f t="shared" ca="1" si="75"/>
        <v>50</v>
      </c>
      <c r="W162" s="1"/>
      <c r="X162" s="1">
        <f t="shared" ca="1" si="76"/>
        <v>7.0327342310901235</v>
      </c>
      <c r="Y162" s="1">
        <f t="shared" ca="1" si="77"/>
        <v>0.45800926815313392</v>
      </c>
      <c r="Z162" s="1">
        <f t="shared" ca="1" si="78"/>
        <v>1661</v>
      </c>
      <c r="AB162" s="1">
        <f t="shared" ca="1" si="79"/>
        <v>0.67158179528481943</v>
      </c>
      <c r="AC162" s="1">
        <f t="shared" ca="1" si="80"/>
        <v>896</v>
      </c>
      <c r="AD162" s="1">
        <f t="shared" ca="1" si="81"/>
        <v>9.3742034226885051E-3</v>
      </c>
      <c r="AE162" s="1"/>
      <c r="AF162" s="1">
        <f t="shared" ca="1" si="82"/>
        <v>0.75212863004468822</v>
      </c>
      <c r="AG162" s="1">
        <f t="shared" ca="1" si="83"/>
        <v>291</v>
      </c>
      <c r="AH162" s="1">
        <f t="shared" ca="1" si="84"/>
        <v>7.6610523283106814E-3</v>
      </c>
      <c r="AJ162" s="1">
        <f t="shared" ca="1" si="85"/>
        <v>0.80655386359058023</v>
      </c>
      <c r="AK162" s="1">
        <f t="shared" ca="1" si="86"/>
        <v>6.6990095330946519E-4</v>
      </c>
      <c r="AL162" s="1"/>
      <c r="AM162" s="1">
        <f t="shared" ca="1" si="87"/>
        <v>6.4113525456898121E-2</v>
      </c>
      <c r="AN162" s="1">
        <f t="shared" ca="1" si="88"/>
        <v>80</v>
      </c>
      <c r="AO162" s="1">
        <f t="shared" ca="1" si="89"/>
        <v>7</v>
      </c>
    </row>
    <row r="163" spans="2:41" x14ac:dyDescent="0.25">
      <c r="B163">
        <f t="shared" ca="1" si="60"/>
        <v>154</v>
      </c>
      <c r="C163">
        <f t="shared" ca="1" si="61"/>
        <v>5</v>
      </c>
      <c r="D163">
        <f t="shared" ca="1" si="62"/>
        <v>1.9504151344952383E-2</v>
      </c>
      <c r="F163" s="1">
        <f t="shared" ca="1" si="63"/>
        <v>37</v>
      </c>
      <c r="G163" s="1">
        <f t="shared" ca="1" si="64"/>
        <v>10</v>
      </c>
      <c r="H163" s="1">
        <f t="shared" ca="1" si="65"/>
        <v>9</v>
      </c>
      <c r="I163" s="1"/>
      <c r="J163" s="1">
        <f t="shared" ca="1" si="66"/>
        <v>23</v>
      </c>
      <c r="K163" s="1">
        <f t="shared" ca="1" si="67"/>
        <v>2.9106346915683394</v>
      </c>
      <c r="L163" s="1">
        <f t="shared" ca="1" si="68"/>
        <v>34</v>
      </c>
      <c r="M163" s="1"/>
      <c r="N163" s="1">
        <f t="shared" ca="1" si="69"/>
        <v>566</v>
      </c>
      <c r="O163" s="1">
        <f t="shared" ca="1" si="70"/>
        <v>26</v>
      </c>
      <c r="P163" s="1"/>
      <c r="Q163" s="1">
        <f t="shared" ca="1" si="71"/>
        <v>1.7764638637981325</v>
      </c>
      <c r="R163" s="1">
        <f t="shared" ca="1" si="72"/>
        <v>458</v>
      </c>
      <c r="S163" s="1"/>
      <c r="T163" s="1">
        <f t="shared" ca="1" si="73"/>
        <v>0.16132502578020291</v>
      </c>
      <c r="U163" s="1">
        <f t="shared" ca="1" si="74"/>
        <v>157</v>
      </c>
      <c r="V163" s="1">
        <f t="shared" ca="1" si="75"/>
        <v>41</v>
      </c>
      <c r="W163" s="1"/>
      <c r="X163" s="1">
        <f t="shared" ca="1" si="76"/>
        <v>9.8756131299530452</v>
      </c>
      <c r="Y163" s="1">
        <f t="shared" ca="1" si="77"/>
        <v>0.47839686597996167</v>
      </c>
      <c r="Z163" s="1">
        <f t="shared" ca="1" si="78"/>
        <v>796</v>
      </c>
      <c r="AB163" s="1">
        <f t="shared" ca="1" si="79"/>
        <v>2.6689578961243559E-2</v>
      </c>
      <c r="AC163" s="1">
        <f t="shared" ca="1" si="80"/>
        <v>540</v>
      </c>
      <c r="AD163" s="1">
        <f t="shared" ca="1" si="81"/>
        <v>6.3061429008603133E-3</v>
      </c>
      <c r="AE163" s="1"/>
      <c r="AF163" s="1">
        <f t="shared" ca="1" si="82"/>
        <v>0.75474642789157398</v>
      </c>
      <c r="AG163" s="1">
        <f t="shared" ca="1" si="83"/>
        <v>718</v>
      </c>
      <c r="AH163" s="1">
        <f t="shared" ca="1" si="84"/>
        <v>5.5020345530874719E-3</v>
      </c>
      <c r="AJ163" s="1">
        <f t="shared" ca="1" si="85"/>
        <v>0.16758165182657103</v>
      </c>
      <c r="AK163" s="1">
        <f t="shared" ca="1" si="86"/>
        <v>6.0773172292199196E-3</v>
      </c>
      <c r="AL163" s="1"/>
      <c r="AM163" s="1">
        <f t="shared" ca="1" si="87"/>
        <v>0.17259679577443632</v>
      </c>
      <c r="AN163" s="1">
        <f t="shared" ca="1" si="88"/>
        <v>33</v>
      </c>
      <c r="AO163" s="1">
        <f t="shared" ca="1" si="89"/>
        <v>0</v>
      </c>
    </row>
    <row r="164" spans="2:41" x14ac:dyDescent="0.25">
      <c r="B164">
        <f t="shared" ca="1" si="60"/>
        <v>554</v>
      </c>
      <c r="C164">
        <f t="shared" ca="1" si="61"/>
        <v>32</v>
      </c>
      <c r="D164">
        <f t="shared" ca="1" si="62"/>
        <v>0.27997502627301873</v>
      </c>
      <c r="F164" s="1">
        <f t="shared" ca="1" si="63"/>
        <v>15</v>
      </c>
      <c r="G164" s="1">
        <f t="shared" ca="1" si="64"/>
        <v>10</v>
      </c>
      <c r="H164" s="1">
        <f t="shared" ca="1" si="65"/>
        <v>4</v>
      </c>
      <c r="I164" s="1"/>
      <c r="J164" s="1">
        <f t="shared" ca="1" si="66"/>
        <v>12</v>
      </c>
      <c r="K164" s="1">
        <f t="shared" ca="1" si="67"/>
        <v>2.2923467480172635</v>
      </c>
      <c r="L164" s="1">
        <f t="shared" ca="1" si="68"/>
        <v>6</v>
      </c>
      <c r="M164" s="1"/>
      <c r="N164" s="1">
        <f t="shared" ca="1" si="69"/>
        <v>81</v>
      </c>
      <c r="O164" s="1">
        <f t="shared" ca="1" si="70"/>
        <v>13</v>
      </c>
      <c r="P164" s="1"/>
      <c r="Q164" s="1">
        <f t="shared" ca="1" si="71"/>
        <v>0.84065069155115435</v>
      </c>
      <c r="R164" s="1">
        <f t="shared" ca="1" si="72"/>
        <v>230</v>
      </c>
      <c r="S164" s="1"/>
      <c r="T164" s="1">
        <f t="shared" ca="1" si="73"/>
        <v>0.11667213666444763</v>
      </c>
      <c r="U164" s="1">
        <f t="shared" ca="1" si="74"/>
        <v>447</v>
      </c>
      <c r="V164" s="1">
        <f t="shared" ca="1" si="75"/>
        <v>16</v>
      </c>
      <c r="W164" s="1"/>
      <c r="X164" s="1">
        <f t="shared" ca="1" si="76"/>
        <v>1.3511084532817663</v>
      </c>
      <c r="Y164" s="1">
        <f t="shared" ca="1" si="77"/>
        <v>0.80428739836481311</v>
      </c>
      <c r="Z164" s="1">
        <f t="shared" ca="1" si="78"/>
        <v>426</v>
      </c>
      <c r="AB164" s="1">
        <f t="shared" ca="1" si="79"/>
        <v>7.8349977856410694E-2</v>
      </c>
      <c r="AC164" s="1">
        <f t="shared" ca="1" si="80"/>
        <v>545</v>
      </c>
      <c r="AD164" s="1">
        <f t="shared" ca="1" si="81"/>
        <v>8.4017183480598542E-3</v>
      </c>
      <c r="AE164" s="1"/>
      <c r="AF164" s="1">
        <f t="shared" ca="1" si="82"/>
        <v>0.31750533969166989</v>
      </c>
      <c r="AG164" s="1">
        <f t="shared" ca="1" si="83"/>
        <v>842</v>
      </c>
      <c r="AH164" s="1">
        <f t="shared" ca="1" si="84"/>
        <v>4.443247987640845E-3</v>
      </c>
      <c r="AJ164" s="1">
        <f t="shared" ca="1" si="85"/>
        <v>0.24210260888397628</v>
      </c>
      <c r="AK164" s="1">
        <f t="shared" ca="1" si="86"/>
        <v>2.2669351053362669E-3</v>
      </c>
      <c r="AL164" s="1"/>
      <c r="AM164" s="1">
        <f t="shared" ca="1" si="87"/>
        <v>5.9777376488740668E-3</v>
      </c>
      <c r="AN164" s="1">
        <f t="shared" ca="1" si="88"/>
        <v>30</v>
      </c>
      <c r="AO164" s="1">
        <f t="shared" ca="1" si="89"/>
        <v>17</v>
      </c>
    </row>
    <row r="165" spans="2:41" x14ac:dyDescent="0.25">
      <c r="B165">
        <f t="shared" ca="1" si="60"/>
        <v>39</v>
      </c>
      <c r="C165">
        <f t="shared" ca="1" si="61"/>
        <v>48</v>
      </c>
      <c r="D165">
        <f t="shared" ca="1" si="62"/>
        <v>4.818203654413776E-2</v>
      </c>
      <c r="F165" s="1">
        <f t="shared" ca="1" si="63"/>
        <v>38</v>
      </c>
      <c r="G165" s="1">
        <f t="shared" ca="1" si="64"/>
        <v>19</v>
      </c>
      <c r="H165" s="1">
        <f t="shared" ca="1" si="65"/>
        <v>10</v>
      </c>
      <c r="I165" s="1"/>
      <c r="J165" s="1">
        <f t="shared" ca="1" si="66"/>
        <v>35</v>
      </c>
      <c r="K165" s="1">
        <f t="shared" ca="1" si="67"/>
        <v>1.6116058035274912</v>
      </c>
      <c r="L165" s="1">
        <f t="shared" ca="1" si="68"/>
        <v>23</v>
      </c>
      <c r="M165" s="1"/>
      <c r="N165" s="1">
        <f t="shared" ca="1" si="69"/>
        <v>765</v>
      </c>
      <c r="O165" s="1">
        <f t="shared" ca="1" si="70"/>
        <v>26</v>
      </c>
      <c r="P165" s="1"/>
      <c r="Q165" s="1">
        <f t="shared" ca="1" si="71"/>
        <v>4.0905090396974542</v>
      </c>
      <c r="R165" s="1">
        <f t="shared" ca="1" si="72"/>
        <v>1126</v>
      </c>
      <c r="S165" s="1"/>
      <c r="T165" s="1">
        <f t="shared" ca="1" si="73"/>
        <v>3.1669686156910661E-2</v>
      </c>
      <c r="U165" s="1">
        <f t="shared" ca="1" si="74"/>
        <v>114</v>
      </c>
      <c r="V165" s="1">
        <f t="shared" ca="1" si="75"/>
        <v>16</v>
      </c>
      <c r="W165" s="1"/>
      <c r="X165" s="1">
        <f t="shared" ca="1" si="76"/>
        <v>8.1706114748430618</v>
      </c>
      <c r="Y165" s="1">
        <f t="shared" ca="1" si="77"/>
        <v>0.45799139763410174</v>
      </c>
      <c r="Z165" s="1">
        <f t="shared" ca="1" si="78"/>
        <v>1537</v>
      </c>
      <c r="AB165" s="1">
        <f t="shared" ca="1" si="79"/>
        <v>0.17327741628358165</v>
      </c>
      <c r="AC165" s="1">
        <f t="shared" ca="1" si="80"/>
        <v>591</v>
      </c>
      <c r="AD165" s="1">
        <f t="shared" ca="1" si="81"/>
        <v>8.6606667830423853E-3</v>
      </c>
      <c r="AE165" s="1"/>
      <c r="AF165" s="1">
        <f t="shared" ca="1" si="82"/>
        <v>0.24385801950140193</v>
      </c>
      <c r="AG165" s="1">
        <f t="shared" ca="1" si="83"/>
        <v>570</v>
      </c>
      <c r="AH165" s="1">
        <f t="shared" ca="1" si="84"/>
        <v>7.3131362484794545E-3</v>
      </c>
      <c r="AJ165" s="1">
        <f t="shared" ca="1" si="85"/>
        <v>7.4275038711926644E-2</v>
      </c>
      <c r="AK165" s="1">
        <f t="shared" ca="1" si="86"/>
        <v>8.4217257370116719E-3</v>
      </c>
      <c r="AL165" s="1"/>
      <c r="AM165" s="1">
        <f t="shared" ca="1" si="87"/>
        <v>6.1579548758342081E-2</v>
      </c>
      <c r="AN165" s="1">
        <f t="shared" ca="1" si="88"/>
        <v>30</v>
      </c>
      <c r="AO165" s="1">
        <f t="shared" ca="1" si="89"/>
        <v>5</v>
      </c>
    </row>
    <row r="166" spans="2:41" x14ac:dyDescent="0.25">
      <c r="B166">
        <f t="shared" ca="1" si="60"/>
        <v>191</v>
      </c>
      <c r="C166">
        <f t="shared" ca="1" si="61"/>
        <v>4</v>
      </c>
      <c r="D166">
        <f t="shared" ca="1" si="62"/>
        <v>8.1484429308264258E-2</v>
      </c>
      <c r="F166" s="1">
        <f t="shared" ca="1" si="63"/>
        <v>46</v>
      </c>
      <c r="G166" s="1">
        <f t="shared" ca="1" si="64"/>
        <v>9</v>
      </c>
      <c r="H166" s="1">
        <f t="shared" ca="1" si="65"/>
        <v>1</v>
      </c>
      <c r="I166" s="1"/>
      <c r="J166" s="1">
        <f t="shared" ca="1" si="66"/>
        <v>16</v>
      </c>
      <c r="K166" s="1">
        <f t="shared" ca="1" si="67"/>
        <v>2.2661197740026013</v>
      </c>
      <c r="L166" s="1">
        <f t="shared" ca="1" si="68"/>
        <v>21</v>
      </c>
      <c r="M166" s="1"/>
      <c r="N166" s="1">
        <f t="shared" ca="1" si="69"/>
        <v>635</v>
      </c>
      <c r="O166" s="1">
        <f t="shared" ca="1" si="70"/>
        <v>36</v>
      </c>
      <c r="P166" s="1"/>
      <c r="Q166" s="1">
        <f t="shared" ca="1" si="71"/>
        <v>0.3882330872970548</v>
      </c>
      <c r="R166" s="1">
        <f t="shared" ca="1" si="72"/>
        <v>941</v>
      </c>
      <c r="S166" s="1"/>
      <c r="T166" s="1">
        <f t="shared" ca="1" si="73"/>
        <v>5.1393761447270897E-2</v>
      </c>
      <c r="U166" s="1">
        <f t="shared" ca="1" si="74"/>
        <v>376</v>
      </c>
      <c r="V166" s="1">
        <f t="shared" ca="1" si="75"/>
        <v>24</v>
      </c>
      <c r="W166" s="1"/>
      <c r="X166" s="1">
        <f t="shared" ca="1" si="76"/>
        <v>3.0363094484939435</v>
      </c>
      <c r="Y166" s="1">
        <f t="shared" ca="1" si="77"/>
        <v>0.67815445560050336</v>
      </c>
      <c r="Z166" s="1">
        <f t="shared" ca="1" si="78"/>
        <v>846</v>
      </c>
      <c r="AB166" s="1">
        <f t="shared" ca="1" si="79"/>
        <v>0.49783620611903723</v>
      </c>
      <c r="AC166" s="1">
        <f t="shared" ca="1" si="80"/>
        <v>829</v>
      </c>
      <c r="AD166" s="1">
        <f t="shared" ca="1" si="81"/>
        <v>7.4783895500248436E-3</v>
      </c>
      <c r="AE166" s="1"/>
      <c r="AF166" s="1">
        <f t="shared" ca="1" si="82"/>
        <v>0.53879419421434926</v>
      </c>
      <c r="AG166" s="1">
        <f t="shared" ca="1" si="83"/>
        <v>582</v>
      </c>
      <c r="AH166" s="1">
        <f t="shared" ca="1" si="84"/>
        <v>3.5151934264394166E-3</v>
      </c>
      <c r="AJ166" s="1">
        <f t="shared" ca="1" si="85"/>
        <v>0.30366100836724363</v>
      </c>
      <c r="AK166" s="1">
        <f t="shared" ca="1" si="86"/>
        <v>1.5052943705858586E-3</v>
      </c>
      <c r="AL166" s="1"/>
      <c r="AM166" s="1">
        <f t="shared" ca="1" si="87"/>
        <v>6.0001183878544098E-2</v>
      </c>
      <c r="AN166" s="1">
        <f t="shared" ca="1" si="88"/>
        <v>49</v>
      </c>
      <c r="AO166" s="1">
        <f t="shared" ca="1" si="89"/>
        <v>12</v>
      </c>
    </row>
    <row r="167" spans="2:41" x14ac:dyDescent="0.25">
      <c r="B167">
        <f t="shared" ca="1" si="60"/>
        <v>236</v>
      </c>
      <c r="C167">
        <f t="shared" ca="1" si="61"/>
        <v>42</v>
      </c>
      <c r="D167">
        <f t="shared" ca="1" si="62"/>
        <v>0.29527205608402401</v>
      </c>
      <c r="F167" s="1">
        <f t="shared" ca="1" si="63"/>
        <v>30</v>
      </c>
      <c r="G167" s="1">
        <f t="shared" ca="1" si="64"/>
        <v>17</v>
      </c>
      <c r="H167" s="1">
        <f t="shared" ca="1" si="65"/>
        <v>9</v>
      </c>
      <c r="I167" s="1"/>
      <c r="J167" s="1">
        <f t="shared" ca="1" si="66"/>
        <v>37</v>
      </c>
      <c r="K167" s="1">
        <f t="shared" ca="1" si="67"/>
        <v>1.5877776807971915</v>
      </c>
      <c r="L167" s="1">
        <f t="shared" ca="1" si="68"/>
        <v>30</v>
      </c>
      <c r="M167" s="1"/>
      <c r="N167" s="1">
        <f t="shared" ca="1" si="69"/>
        <v>199</v>
      </c>
      <c r="O167" s="1">
        <f t="shared" ca="1" si="70"/>
        <v>40</v>
      </c>
      <c r="P167" s="1"/>
      <c r="Q167" s="1">
        <f t="shared" ca="1" si="71"/>
        <v>0.66139988010495521</v>
      </c>
      <c r="R167" s="1">
        <f t="shared" ca="1" si="72"/>
        <v>596</v>
      </c>
      <c r="S167" s="1"/>
      <c r="T167" s="1">
        <f t="shared" ca="1" si="73"/>
        <v>0.12364077407579517</v>
      </c>
      <c r="U167" s="1">
        <f t="shared" ca="1" si="74"/>
        <v>250</v>
      </c>
      <c r="V167" s="1">
        <f t="shared" ca="1" si="75"/>
        <v>22</v>
      </c>
      <c r="W167" s="1"/>
      <c r="X167" s="1">
        <f t="shared" ca="1" si="76"/>
        <v>7.1350220771709312</v>
      </c>
      <c r="Y167" s="1">
        <f t="shared" ca="1" si="77"/>
        <v>0.5660225172378317</v>
      </c>
      <c r="Z167" s="1">
        <f t="shared" ca="1" si="78"/>
        <v>1880</v>
      </c>
      <c r="AB167" s="1">
        <f t="shared" ca="1" si="79"/>
        <v>0.12666933588235277</v>
      </c>
      <c r="AC167" s="1">
        <f t="shared" ca="1" si="80"/>
        <v>293</v>
      </c>
      <c r="AD167" s="1">
        <f t="shared" ca="1" si="81"/>
        <v>2.3719864099520718E-3</v>
      </c>
      <c r="AE167" s="1"/>
      <c r="AF167" s="1">
        <f t="shared" ca="1" si="82"/>
        <v>0.20735419976672631</v>
      </c>
      <c r="AG167" s="1">
        <f t="shared" ca="1" si="83"/>
        <v>263</v>
      </c>
      <c r="AH167" s="1">
        <f t="shared" ca="1" si="84"/>
        <v>8.1136658476440478E-3</v>
      </c>
      <c r="AJ167" s="1">
        <f t="shared" ca="1" si="85"/>
        <v>0.64281437499589711</v>
      </c>
      <c r="AK167" s="1">
        <f t="shared" ca="1" si="86"/>
        <v>9.3332775686146997E-3</v>
      </c>
      <c r="AL167" s="1"/>
      <c r="AM167" s="1">
        <f t="shared" ca="1" si="87"/>
        <v>4.2238362328122725E-2</v>
      </c>
      <c r="AN167" s="1">
        <f t="shared" ca="1" si="88"/>
        <v>63</v>
      </c>
      <c r="AO167" s="1">
        <f t="shared" ca="1" si="89"/>
        <v>-1</v>
      </c>
    </row>
    <row r="168" spans="2:41" x14ac:dyDescent="0.25">
      <c r="B168">
        <f t="shared" ca="1" si="60"/>
        <v>888</v>
      </c>
      <c r="C168">
        <f t="shared" ca="1" si="61"/>
        <v>27</v>
      </c>
      <c r="D168">
        <f t="shared" ca="1" si="62"/>
        <v>9.3435883878879564E-2</v>
      </c>
      <c r="F168" s="1">
        <f t="shared" ca="1" si="63"/>
        <v>33</v>
      </c>
      <c r="G168" s="1">
        <f t="shared" ca="1" si="64"/>
        <v>18</v>
      </c>
      <c r="H168" s="1">
        <f t="shared" ca="1" si="65"/>
        <v>15</v>
      </c>
      <c r="I168" s="1"/>
      <c r="J168" s="1">
        <f t="shared" ca="1" si="66"/>
        <v>30</v>
      </c>
      <c r="K168" s="1">
        <f t="shared" ca="1" si="67"/>
        <v>1.0353082708270447</v>
      </c>
      <c r="L168" s="1">
        <f t="shared" ca="1" si="68"/>
        <v>29</v>
      </c>
      <c r="M168" s="1"/>
      <c r="N168" s="1">
        <f t="shared" ca="1" si="69"/>
        <v>504</v>
      </c>
      <c r="O168" s="1">
        <f t="shared" ca="1" si="70"/>
        <v>28</v>
      </c>
      <c r="P168" s="1"/>
      <c r="Q168" s="1">
        <f t="shared" ca="1" si="71"/>
        <v>1.6440518712858263</v>
      </c>
      <c r="R168" s="1">
        <f t="shared" ca="1" si="72"/>
        <v>1064</v>
      </c>
      <c r="S168" s="1"/>
      <c r="T168" s="1">
        <f t="shared" ca="1" si="73"/>
        <v>3.6875812690559187E-2</v>
      </c>
      <c r="U168" s="1">
        <f t="shared" ca="1" si="74"/>
        <v>80</v>
      </c>
      <c r="V168" s="1">
        <f t="shared" ca="1" si="75"/>
        <v>19</v>
      </c>
      <c r="W168" s="1"/>
      <c r="X168" s="1">
        <f t="shared" ca="1" si="76"/>
        <v>1.9791631724228556</v>
      </c>
      <c r="Y168" s="1">
        <f t="shared" ca="1" si="77"/>
        <v>2.2198405715232613E-3</v>
      </c>
      <c r="Z168" s="1">
        <f t="shared" ca="1" si="78"/>
        <v>613</v>
      </c>
      <c r="AB168" s="1">
        <f t="shared" ca="1" si="79"/>
        <v>0.61529452829230735</v>
      </c>
      <c r="AC168" s="1">
        <f t="shared" ca="1" si="80"/>
        <v>310</v>
      </c>
      <c r="AD168" s="1">
        <f t="shared" ca="1" si="81"/>
        <v>5.089920126334445E-3</v>
      </c>
      <c r="AE168" s="1"/>
      <c r="AF168" s="1">
        <f t="shared" ca="1" si="82"/>
        <v>0.73653231033419975</v>
      </c>
      <c r="AG168" s="1">
        <f t="shared" ca="1" si="83"/>
        <v>290</v>
      </c>
      <c r="AH168" s="1">
        <f t="shared" ca="1" si="84"/>
        <v>1.6242711976456993E-3</v>
      </c>
      <c r="AJ168" s="1">
        <f t="shared" ca="1" si="85"/>
        <v>0.24863466774506571</v>
      </c>
      <c r="AK168" s="1">
        <f t="shared" ca="1" si="86"/>
        <v>7.4600728691230731E-4</v>
      </c>
      <c r="AL168" s="1"/>
      <c r="AM168" s="1">
        <f t="shared" ca="1" si="87"/>
        <v>4.2095095035980454E-2</v>
      </c>
      <c r="AN168" s="1">
        <f t="shared" ca="1" si="88"/>
        <v>61</v>
      </c>
      <c r="AO168" s="1">
        <f t="shared" ca="1" si="89"/>
        <v>20</v>
      </c>
    </row>
    <row r="169" spans="2:41" x14ac:dyDescent="0.25">
      <c r="B169">
        <f t="shared" ca="1" si="60"/>
        <v>559</v>
      </c>
      <c r="C169">
        <f t="shared" ca="1" si="61"/>
        <v>14</v>
      </c>
      <c r="D169">
        <f t="shared" ca="1" si="62"/>
        <v>2.1727962230523125E-2</v>
      </c>
      <c r="F169" s="1">
        <f t="shared" ca="1" si="63"/>
        <v>18</v>
      </c>
      <c r="G169" s="1">
        <f t="shared" ca="1" si="64"/>
        <v>14</v>
      </c>
      <c r="H169" s="1">
        <f t="shared" ca="1" si="65"/>
        <v>13</v>
      </c>
      <c r="I169" s="1"/>
      <c r="J169" s="1">
        <f t="shared" ca="1" si="66"/>
        <v>38</v>
      </c>
      <c r="K169" s="1">
        <f t="shared" ca="1" si="67"/>
        <v>1.3411439640553062</v>
      </c>
      <c r="L169" s="1">
        <f t="shared" ca="1" si="68"/>
        <v>18</v>
      </c>
      <c r="M169" s="1"/>
      <c r="N169" s="1">
        <f t="shared" ca="1" si="69"/>
        <v>170</v>
      </c>
      <c r="O169" s="1">
        <f t="shared" ca="1" si="70"/>
        <v>28</v>
      </c>
      <c r="P169" s="1"/>
      <c r="Q169" s="1">
        <f t="shared" ca="1" si="71"/>
        <v>3.9825262578528378</v>
      </c>
      <c r="R169" s="1">
        <f t="shared" ca="1" si="72"/>
        <v>913</v>
      </c>
      <c r="S169" s="1"/>
      <c r="T169" s="1">
        <f t="shared" ca="1" si="73"/>
        <v>2.6846100838012137E-2</v>
      </c>
      <c r="U169" s="1">
        <f t="shared" ca="1" si="74"/>
        <v>197</v>
      </c>
      <c r="V169" s="1">
        <f t="shared" ca="1" si="75"/>
        <v>24</v>
      </c>
      <c r="W169" s="1"/>
      <c r="X169" s="1">
        <f t="shared" ca="1" si="76"/>
        <v>4.6753744063915876</v>
      </c>
      <c r="Y169" s="1">
        <f t="shared" ca="1" si="77"/>
        <v>0.32764991610323707</v>
      </c>
      <c r="Z169" s="1">
        <f t="shared" ca="1" si="78"/>
        <v>1708</v>
      </c>
      <c r="AB169" s="1">
        <f t="shared" ca="1" si="79"/>
        <v>3.3527900054294825E-2</v>
      </c>
      <c r="AC169" s="1">
        <f t="shared" ca="1" si="80"/>
        <v>912</v>
      </c>
      <c r="AD169" s="1">
        <f t="shared" ca="1" si="81"/>
        <v>2.8548143996428958E-3</v>
      </c>
      <c r="AE169" s="1"/>
      <c r="AF169" s="1">
        <f t="shared" ca="1" si="82"/>
        <v>0.41566458976799681</v>
      </c>
      <c r="AG169" s="1">
        <f t="shared" ca="1" si="83"/>
        <v>567</v>
      </c>
      <c r="AH169" s="1">
        <f t="shared" ca="1" si="84"/>
        <v>6.0812371655887022E-3</v>
      </c>
      <c r="AJ169" s="1">
        <f t="shared" ca="1" si="85"/>
        <v>0.21221364303480161</v>
      </c>
      <c r="AK169" s="1">
        <f t="shared" ca="1" si="86"/>
        <v>2.0016189711464789E-3</v>
      </c>
      <c r="AL169" s="1"/>
      <c r="AM169" s="1">
        <f t="shared" ca="1" si="87"/>
        <v>0.14841857015969442</v>
      </c>
      <c r="AN169" s="1">
        <f t="shared" ca="1" si="88"/>
        <v>78</v>
      </c>
      <c r="AO169" s="1">
        <f t="shared" ca="1" si="89"/>
        <v>3</v>
      </c>
    </row>
    <row r="170" spans="2:41" x14ac:dyDescent="0.25">
      <c r="B170">
        <f t="shared" ca="1" si="60"/>
        <v>142</v>
      </c>
      <c r="C170">
        <f t="shared" ca="1" si="61"/>
        <v>20</v>
      </c>
      <c r="D170">
        <f t="shared" ca="1" si="62"/>
        <v>0.15514163562175864</v>
      </c>
      <c r="F170" s="1">
        <f t="shared" ca="1" si="63"/>
        <v>51</v>
      </c>
      <c r="G170" s="1">
        <f t="shared" ca="1" si="64"/>
        <v>6</v>
      </c>
      <c r="H170" s="1">
        <f t="shared" ca="1" si="65"/>
        <v>13</v>
      </c>
      <c r="I170" s="1"/>
      <c r="J170" s="1">
        <f t="shared" ca="1" si="66"/>
        <v>36</v>
      </c>
      <c r="K170" s="1">
        <f t="shared" ca="1" si="67"/>
        <v>2.4821285688388608</v>
      </c>
      <c r="L170" s="1">
        <f t="shared" ca="1" si="68"/>
        <v>17</v>
      </c>
      <c r="M170" s="1"/>
      <c r="N170" s="1">
        <f t="shared" ca="1" si="69"/>
        <v>735</v>
      </c>
      <c r="O170" s="1">
        <f t="shared" ca="1" si="70"/>
        <v>13</v>
      </c>
      <c r="P170" s="1"/>
      <c r="Q170" s="1">
        <f t="shared" ca="1" si="71"/>
        <v>4.9240487606093222</v>
      </c>
      <c r="R170" s="1">
        <f t="shared" ca="1" si="72"/>
        <v>456</v>
      </c>
      <c r="S170" s="1"/>
      <c r="T170" s="1">
        <f t="shared" ca="1" si="73"/>
        <v>6.3879442357616528E-2</v>
      </c>
      <c r="U170" s="1">
        <f t="shared" ca="1" si="74"/>
        <v>105</v>
      </c>
      <c r="V170" s="1">
        <f t="shared" ca="1" si="75"/>
        <v>22</v>
      </c>
      <c r="W170" s="1"/>
      <c r="X170" s="1">
        <f t="shared" ca="1" si="76"/>
        <v>5.60017485205071</v>
      </c>
      <c r="Y170" s="1">
        <f t="shared" ca="1" si="77"/>
        <v>0.84233328003927688</v>
      </c>
      <c r="Z170" s="1">
        <f t="shared" ca="1" si="78"/>
        <v>317</v>
      </c>
      <c r="AB170" s="1">
        <f t="shared" ca="1" si="79"/>
        <v>0.64760380531472361</v>
      </c>
      <c r="AC170" s="1">
        <f t="shared" ca="1" si="80"/>
        <v>887</v>
      </c>
      <c r="AD170" s="1">
        <f t="shared" ca="1" si="81"/>
        <v>1.9894725140370954E-3</v>
      </c>
      <c r="AE170" s="1"/>
      <c r="AF170" s="1">
        <f t="shared" ca="1" si="82"/>
        <v>0.5021937649196706</v>
      </c>
      <c r="AG170" s="1">
        <f t="shared" ca="1" si="83"/>
        <v>148</v>
      </c>
      <c r="AH170" s="1">
        <f t="shared" ca="1" si="84"/>
        <v>8.1180410140168897E-4</v>
      </c>
      <c r="AJ170" s="1">
        <f t="shared" ca="1" si="85"/>
        <v>0.12778479549842259</v>
      </c>
      <c r="AK170" s="1">
        <f t="shared" ca="1" si="86"/>
        <v>9.8544203515131771E-3</v>
      </c>
      <c r="AL170" s="1"/>
      <c r="AM170" s="1">
        <f t="shared" ca="1" si="87"/>
        <v>0.18145183332102349</v>
      </c>
      <c r="AN170" s="1">
        <f t="shared" ca="1" si="88"/>
        <v>68</v>
      </c>
      <c r="AO170" s="1">
        <f t="shared" ca="1" si="89"/>
        <v>3</v>
      </c>
    </row>
    <row r="171" spans="2:41" x14ac:dyDescent="0.25">
      <c r="B171">
        <f t="shared" ca="1" si="60"/>
        <v>921</v>
      </c>
      <c r="C171">
        <f t="shared" ca="1" si="61"/>
        <v>29</v>
      </c>
      <c r="D171">
        <f t="shared" ca="1" si="62"/>
        <v>5.1362097434186772E-2</v>
      </c>
      <c r="F171" s="1">
        <f t="shared" ca="1" si="63"/>
        <v>35</v>
      </c>
      <c r="G171" s="1">
        <f t="shared" ca="1" si="64"/>
        <v>3</v>
      </c>
      <c r="H171" s="1">
        <f t="shared" ca="1" si="65"/>
        <v>1</v>
      </c>
      <c r="I171" s="1"/>
      <c r="J171" s="1">
        <f t="shared" ca="1" si="66"/>
        <v>22</v>
      </c>
      <c r="K171" s="1">
        <f t="shared" ca="1" si="67"/>
        <v>2.9592574106714489</v>
      </c>
      <c r="L171" s="1">
        <f t="shared" ca="1" si="68"/>
        <v>35</v>
      </c>
      <c r="M171" s="1"/>
      <c r="N171" s="1">
        <f t="shared" ca="1" si="69"/>
        <v>513</v>
      </c>
      <c r="O171" s="1">
        <f t="shared" ca="1" si="70"/>
        <v>11</v>
      </c>
      <c r="P171" s="1"/>
      <c r="Q171" s="1">
        <f t="shared" ca="1" si="71"/>
        <v>3.8255695363154887</v>
      </c>
      <c r="R171" s="1">
        <f t="shared" ca="1" si="72"/>
        <v>453</v>
      </c>
      <c r="S171" s="1"/>
      <c r="T171" s="1">
        <f t="shared" ca="1" si="73"/>
        <v>7.8220034762459215E-2</v>
      </c>
      <c r="U171" s="1">
        <f t="shared" ca="1" si="74"/>
        <v>94</v>
      </c>
      <c r="V171" s="1">
        <f t="shared" ca="1" si="75"/>
        <v>9</v>
      </c>
      <c r="W171" s="1"/>
      <c r="X171" s="1">
        <f t="shared" ca="1" si="76"/>
        <v>9.7077287962742602</v>
      </c>
      <c r="Y171" s="1">
        <f t="shared" ca="1" si="77"/>
        <v>3.345129136986761E-2</v>
      </c>
      <c r="Z171" s="1">
        <f t="shared" ca="1" si="78"/>
        <v>1320</v>
      </c>
      <c r="AB171" s="1">
        <f t="shared" ca="1" si="79"/>
        <v>0.1894038112505014</v>
      </c>
      <c r="AC171" s="1">
        <f t="shared" ca="1" si="80"/>
        <v>212</v>
      </c>
      <c r="AD171" s="1">
        <f t="shared" ca="1" si="81"/>
        <v>8.2281024143826074E-3</v>
      </c>
      <c r="AE171" s="1"/>
      <c r="AF171" s="1">
        <f t="shared" ca="1" si="82"/>
        <v>0.55620981581744122</v>
      </c>
      <c r="AG171" s="1">
        <f t="shared" ca="1" si="83"/>
        <v>803</v>
      </c>
      <c r="AH171" s="1">
        <f t="shared" ca="1" si="84"/>
        <v>1.7288124133030432E-3</v>
      </c>
      <c r="AJ171" s="1">
        <f t="shared" ca="1" si="85"/>
        <v>0.36004780490211619</v>
      </c>
      <c r="AK171" s="1">
        <f t="shared" ca="1" si="86"/>
        <v>2.3841541552534548E-4</v>
      </c>
      <c r="AL171" s="1"/>
      <c r="AM171" s="1">
        <f t="shared" ca="1" si="87"/>
        <v>2.6254360298219665E-2</v>
      </c>
      <c r="AN171" s="1">
        <f t="shared" ca="1" si="88"/>
        <v>55</v>
      </c>
      <c r="AO171" s="1">
        <f t="shared" ca="1" si="89"/>
        <v>15</v>
      </c>
    </row>
    <row r="172" spans="2:41" x14ac:dyDescent="0.25">
      <c r="B172">
        <f t="shared" ca="1" si="60"/>
        <v>120</v>
      </c>
      <c r="C172">
        <f t="shared" ca="1" si="61"/>
        <v>15</v>
      </c>
      <c r="D172">
        <f t="shared" ca="1" si="62"/>
        <v>1.1108163062264946E-2</v>
      </c>
      <c r="F172" s="1">
        <f t="shared" ca="1" si="63"/>
        <v>21</v>
      </c>
      <c r="G172" s="1">
        <f t="shared" ca="1" si="64"/>
        <v>30</v>
      </c>
      <c r="H172" s="1">
        <f t="shared" ca="1" si="65"/>
        <v>12</v>
      </c>
      <c r="I172" s="1"/>
      <c r="J172" s="1">
        <f t="shared" ca="1" si="66"/>
        <v>14</v>
      </c>
      <c r="K172" s="1">
        <f t="shared" ca="1" si="67"/>
        <v>1.6462918676004605</v>
      </c>
      <c r="L172" s="1">
        <f t="shared" ca="1" si="68"/>
        <v>25</v>
      </c>
      <c r="M172" s="1"/>
      <c r="N172" s="1">
        <f t="shared" ca="1" si="69"/>
        <v>974</v>
      </c>
      <c r="O172" s="1">
        <f t="shared" ca="1" si="70"/>
        <v>37</v>
      </c>
      <c r="P172" s="1"/>
      <c r="Q172" s="1">
        <f t="shared" ca="1" si="71"/>
        <v>2.3379770414277101</v>
      </c>
      <c r="R172" s="1">
        <f t="shared" ca="1" si="72"/>
        <v>219</v>
      </c>
      <c r="S172" s="1"/>
      <c r="T172" s="1">
        <f t="shared" ca="1" si="73"/>
        <v>0.15696151564024891</v>
      </c>
      <c r="U172" s="1">
        <f t="shared" ca="1" si="74"/>
        <v>146</v>
      </c>
      <c r="V172" s="1">
        <f t="shared" ca="1" si="75"/>
        <v>18</v>
      </c>
      <c r="W172" s="1"/>
      <c r="X172" s="1">
        <f t="shared" ca="1" si="76"/>
        <v>0.26816393170843611</v>
      </c>
      <c r="Y172" s="1">
        <f t="shared" ca="1" si="77"/>
        <v>0.93707875043747324</v>
      </c>
      <c r="Z172" s="1">
        <f t="shared" ca="1" si="78"/>
        <v>931</v>
      </c>
      <c r="AB172" s="1">
        <f t="shared" ca="1" si="79"/>
        <v>0.98103070303182771</v>
      </c>
      <c r="AC172" s="1">
        <f t="shared" ca="1" si="80"/>
        <v>331</v>
      </c>
      <c r="AD172" s="1">
        <f t="shared" ca="1" si="81"/>
        <v>5.9646325092337091E-3</v>
      </c>
      <c r="AE172" s="1"/>
      <c r="AF172" s="1">
        <f t="shared" ca="1" si="82"/>
        <v>0.8427584313987061</v>
      </c>
      <c r="AG172" s="1">
        <f t="shared" ca="1" si="83"/>
        <v>536</v>
      </c>
      <c r="AH172" s="1">
        <f t="shared" ca="1" si="84"/>
        <v>2.9207378306770619E-3</v>
      </c>
      <c r="AJ172" s="1">
        <f t="shared" ca="1" si="85"/>
        <v>0.82921741253129666</v>
      </c>
      <c r="AK172" s="1">
        <f t="shared" ca="1" si="86"/>
        <v>3.9632265646804415E-3</v>
      </c>
      <c r="AL172" s="1"/>
      <c r="AM172" s="1">
        <f t="shared" ca="1" si="87"/>
        <v>4.6331922566704681E-2</v>
      </c>
      <c r="AN172" s="1">
        <f t="shared" ca="1" si="88"/>
        <v>68</v>
      </c>
      <c r="AO172" s="1">
        <f t="shared" ca="1" si="89"/>
        <v>13</v>
      </c>
    </row>
    <row r="173" spans="2:41" x14ac:dyDescent="0.25">
      <c r="B173">
        <f t="shared" ca="1" si="60"/>
        <v>887</v>
      </c>
      <c r="C173">
        <f t="shared" ca="1" si="61"/>
        <v>22</v>
      </c>
      <c r="D173">
        <f t="shared" ca="1" si="62"/>
        <v>8.3453201991745718E-2</v>
      </c>
      <c r="F173" s="1">
        <f t="shared" ca="1" si="63"/>
        <v>28</v>
      </c>
      <c r="G173" s="1">
        <f t="shared" ca="1" si="64"/>
        <v>5</v>
      </c>
      <c r="H173" s="1">
        <f t="shared" ca="1" si="65"/>
        <v>6</v>
      </c>
      <c r="I173" s="1"/>
      <c r="J173" s="1">
        <f t="shared" ca="1" si="66"/>
        <v>39</v>
      </c>
      <c r="K173" s="1">
        <f t="shared" ca="1" si="67"/>
        <v>2.3507633037237197</v>
      </c>
      <c r="L173" s="1">
        <f t="shared" ca="1" si="68"/>
        <v>26</v>
      </c>
      <c r="M173" s="1"/>
      <c r="N173" s="1">
        <f t="shared" ca="1" si="69"/>
        <v>593</v>
      </c>
      <c r="O173" s="1">
        <f t="shared" ca="1" si="70"/>
        <v>48</v>
      </c>
      <c r="P173" s="1"/>
      <c r="Q173" s="1">
        <f t="shared" ca="1" si="71"/>
        <v>1.8184782236441621</v>
      </c>
      <c r="R173" s="1">
        <f t="shared" ca="1" si="72"/>
        <v>1148</v>
      </c>
      <c r="S173" s="1"/>
      <c r="T173" s="1">
        <f t="shared" ca="1" si="73"/>
        <v>6.8504091828281058E-2</v>
      </c>
      <c r="U173" s="1">
        <f t="shared" ca="1" si="74"/>
        <v>423</v>
      </c>
      <c r="V173" s="1">
        <f t="shared" ca="1" si="75"/>
        <v>20</v>
      </c>
      <c r="W173" s="1"/>
      <c r="X173" s="1">
        <f t="shared" ca="1" si="76"/>
        <v>8.5341104472900771</v>
      </c>
      <c r="Y173" s="1">
        <f t="shared" ca="1" si="77"/>
        <v>0.12444509216914758</v>
      </c>
      <c r="Z173" s="1">
        <f t="shared" ca="1" si="78"/>
        <v>1028</v>
      </c>
      <c r="AB173" s="1">
        <f t="shared" ca="1" si="79"/>
        <v>0.62237371628387428</v>
      </c>
      <c r="AC173" s="1">
        <f t="shared" ca="1" si="80"/>
        <v>772</v>
      </c>
      <c r="AD173" s="1">
        <f t="shared" ca="1" si="81"/>
        <v>8.4918936671980801E-3</v>
      </c>
      <c r="AE173" s="1"/>
      <c r="AF173" s="1">
        <f t="shared" ca="1" si="82"/>
        <v>0.86208505402845403</v>
      </c>
      <c r="AG173" s="1">
        <f t="shared" ca="1" si="83"/>
        <v>565</v>
      </c>
      <c r="AH173" s="1">
        <f t="shared" ca="1" si="84"/>
        <v>6.0279412063959231E-3</v>
      </c>
      <c r="AJ173" s="1">
        <f t="shared" ca="1" si="85"/>
        <v>1.7978307011158101E-2</v>
      </c>
      <c r="AK173" s="1">
        <f t="shared" ca="1" si="86"/>
        <v>7.2733162354731767E-3</v>
      </c>
      <c r="AL173" s="1"/>
      <c r="AM173" s="1">
        <f t="shared" ca="1" si="87"/>
        <v>6.5052333058786905E-3</v>
      </c>
      <c r="AN173" s="1">
        <f t="shared" ca="1" si="88"/>
        <v>13</v>
      </c>
      <c r="AO173" s="1">
        <f t="shared" ca="1" si="89"/>
        <v>5</v>
      </c>
    </row>
    <row r="174" spans="2:41" x14ac:dyDescent="0.25">
      <c r="B174">
        <f t="shared" ca="1" si="60"/>
        <v>992</v>
      </c>
      <c r="C174">
        <f t="shared" ca="1" si="61"/>
        <v>6</v>
      </c>
      <c r="D174">
        <f t="shared" ca="1" si="62"/>
        <v>0.1961680176195513</v>
      </c>
      <c r="F174" s="1">
        <f t="shared" ca="1" si="63"/>
        <v>32</v>
      </c>
      <c r="G174" s="1">
        <f t="shared" ca="1" si="64"/>
        <v>30</v>
      </c>
      <c r="H174" s="1">
        <f t="shared" ca="1" si="65"/>
        <v>7</v>
      </c>
      <c r="I174" s="1"/>
      <c r="J174" s="1">
        <f t="shared" ca="1" si="66"/>
        <v>21</v>
      </c>
      <c r="K174" s="1">
        <f t="shared" ca="1" si="67"/>
        <v>1.2760287584440639</v>
      </c>
      <c r="L174" s="1">
        <f t="shared" ca="1" si="68"/>
        <v>22</v>
      </c>
      <c r="M174" s="1"/>
      <c r="N174" s="1">
        <f t="shared" ca="1" si="69"/>
        <v>850</v>
      </c>
      <c r="O174" s="1">
        <f t="shared" ca="1" si="70"/>
        <v>21</v>
      </c>
      <c r="P174" s="1"/>
      <c r="Q174" s="1">
        <f t="shared" ca="1" si="71"/>
        <v>3.4268610850490844</v>
      </c>
      <c r="R174" s="1">
        <f t="shared" ca="1" si="72"/>
        <v>228</v>
      </c>
      <c r="S174" s="1"/>
      <c r="T174" s="1">
        <f t="shared" ca="1" si="73"/>
        <v>0.14620355396751486</v>
      </c>
      <c r="U174" s="1">
        <f t="shared" ca="1" si="74"/>
        <v>169</v>
      </c>
      <c r="V174" s="1">
        <f t="shared" ca="1" si="75"/>
        <v>50</v>
      </c>
      <c r="W174" s="1"/>
      <c r="X174" s="1">
        <f t="shared" ca="1" si="76"/>
        <v>0.92583309887248</v>
      </c>
      <c r="Y174" s="1">
        <f t="shared" ca="1" si="77"/>
        <v>0.18398154080024445</v>
      </c>
      <c r="Z174" s="1">
        <f t="shared" ca="1" si="78"/>
        <v>105</v>
      </c>
      <c r="AB174" s="1">
        <f t="shared" ca="1" si="79"/>
        <v>0.96771082783914508</v>
      </c>
      <c r="AC174" s="1">
        <f t="shared" ca="1" si="80"/>
        <v>238</v>
      </c>
      <c r="AD174" s="1">
        <f t="shared" ca="1" si="81"/>
        <v>7.5170731960458488E-3</v>
      </c>
      <c r="AE174" s="1"/>
      <c r="AF174" s="1">
        <f t="shared" ca="1" si="82"/>
        <v>0.83799917233650112</v>
      </c>
      <c r="AG174" s="1">
        <f t="shared" ca="1" si="83"/>
        <v>566</v>
      </c>
      <c r="AH174" s="1">
        <f t="shared" ca="1" si="84"/>
        <v>6.8309978086166017E-3</v>
      </c>
      <c r="AJ174" s="1">
        <f t="shared" ca="1" si="85"/>
        <v>0.54990235472306237</v>
      </c>
      <c r="AK174" s="1">
        <f t="shared" ca="1" si="86"/>
        <v>6.4689472392385379E-3</v>
      </c>
      <c r="AL174" s="1"/>
      <c r="AM174" s="1">
        <f t="shared" ca="1" si="87"/>
        <v>0.18910470036282839</v>
      </c>
      <c r="AN174" s="1">
        <f t="shared" ca="1" si="88"/>
        <v>49</v>
      </c>
      <c r="AO174" s="1">
        <f t="shared" ca="1" si="89"/>
        <v>8</v>
      </c>
    </row>
    <row r="175" spans="2:41" x14ac:dyDescent="0.25">
      <c r="B175">
        <f t="shared" ca="1" si="60"/>
        <v>391</v>
      </c>
      <c r="C175">
        <f t="shared" ca="1" si="61"/>
        <v>33</v>
      </c>
      <c r="D175">
        <f t="shared" ca="1" si="62"/>
        <v>0.18587861477831991</v>
      </c>
      <c r="F175" s="1">
        <f t="shared" ca="1" si="63"/>
        <v>26</v>
      </c>
      <c r="G175" s="1">
        <f t="shared" ca="1" si="64"/>
        <v>27</v>
      </c>
      <c r="H175" s="1">
        <f t="shared" ca="1" si="65"/>
        <v>9</v>
      </c>
      <c r="I175" s="1"/>
      <c r="J175" s="1">
        <f t="shared" ca="1" si="66"/>
        <v>3</v>
      </c>
      <c r="K175" s="1">
        <f t="shared" ca="1" si="67"/>
        <v>1.8751598551918667</v>
      </c>
      <c r="L175" s="1">
        <f t="shared" ca="1" si="68"/>
        <v>22</v>
      </c>
      <c r="M175" s="1"/>
      <c r="N175" s="1">
        <f t="shared" ca="1" si="69"/>
        <v>914</v>
      </c>
      <c r="O175" s="1">
        <f t="shared" ca="1" si="70"/>
        <v>17</v>
      </c>
      <c r="P175" s="1"/>
      <c r="Q175" s="1">
        <f t="shared" ca="1" si="71"/>
        <v>2.6483573204797777</v>
      </c>
      <c r="R175" s="1">
        <f t="shared" ca="1" si="72"/>
        <v>245</v>
      </c>
      <c r="S175" s="1"/>
      <c r="T175" s="1">
        <f t="shared" ca="1" si="73"/>
        <v>1.786869443150307E-2</v>
      </c>
      <c r="U175" s="1">
        <f t="shared" ca="1" si="74"/>
        <v>136</v>
      </c>
      <c r="V175" s="1">
        <f t="shared" ca="1" si="75"/>
        <v>35</v>
      </c>
      <c r="W175" s="1"/>
      <c r="X175" s="1">
        <f t="shared" ca="1" si="76"/>
        <v>9.2679374463032325</v>
      </c>
      <c r="Y175" s="1">
        <f t="shared" ca="1" si="77"/>
        <v>0.3773890867516641</v>
      </c>
      <c r="Z175" s="1">
        <f t="shared" ca="1" si="78"/>
        <v>985</v>
      </c>
      <c r="AB175" s="1">
        <f t="shared" ca="1" si="79"/>
        <v>0.55929074746034479</v>
      </c>
      <c r="AC175" s="1">
        <f t="shared" ca="1" si="80"/>
        <v>518</v>
      </c>
      <c r="AD175" s="1">
        <f t="shared" ca="1" si="81"/>
        <v>6.4961863457380295E-3</v>
      </c>
      <c r="AE175" s="1"/>
      <c r="AF175" s="1">
        <f t="shared" ca="1" si="82"/>
        <v>0.61453675278316033</v>
      </c>
      <c r="AG175" s="1">
        <f t="shared" ca="1" si="83"/>
        <v>199</v>
      </c>
      <c r="AH175" s="1">
        <f t="shared" ca="1" si="84"/>
        <v>1.4129161716626966E-3</v>
      </c>
      <c r="AJ175" s="1">
        <f t="shared" ca="1" si="85"/>
        <v>0.77641277792246777</v>
      </c>
      <c r="AK175" s="1">
        <f t="shared" ca="1" si="86"/>
        <v>3.7008288419121886E-3</v>
      </c>
      <c r="AL175" s="1"/>
      <c r="AM175" s="1">
        <f t="shared" ca="1" si="87"/>
        <v>0.18586441582394556</v>
      </c>
      <c r="AN175" s="1">
        <f t="shared" ca="1" si="88"/>
        <v>77</v>
      </c>
      <c r="AO175" s="1">
        <f t="shared" ca="1" si="89"/>
        <v>15</v>
      </c>
    </row>
    <row r="176" spans="2:41" x14ac:dyDescent="0.25">
      <c r="B176">
        <f t="shared" ca="1" si="60"/>
        <v>375</v>
      </c>
      <c r="C176">
        <f t="shared" ca="1" si="61"/>
        <v>7</v>
      </c>
      <c r="D176">
        <f t="shared" ca="1" si="62"/>
        <v>0.28909576971386775</v>
      </c>
      <c r="F176" s="1">
        <f t="shared" ca="1" si="63"/>
        <v>30</v>
      </c>
      <c r="G176" s="1">
        <f t="shared" ca="1" si="64"/>
        <v>4</v>
      </c>
      <c r="H176" s="1">
        <f t="shared" ca="1" si="65"/>
        <v>7</v>
      </c>
      <c r="I176" s="1"/>
      <c r="J176" s="1">
        <f t="shared" ca="1" si="66"/>
        <v>18</v>
      </c>
      <c r="K176" s="1">
        <f t="shared" ca="1" si="67"/>
        <v>2.8417126911592234</v>
      </c>
      <c r="L176" s="1">
        <f t="shared" ca="1" si="68"/>
        <v>31</v>
      </c>
      <c r="M176" s="1"/>
      <c r="N176" s="1">
        <f t="shared" ca="1" si="69"/>
        <v>334</v>
      </c>
      <c r="O176" s="1">
        <f t="shared" ca="1" si="70"/>
        <v>7</v>
      </c>
      <c r="P176" s="1"/>
      <c r="Q176" s="1">
        <f t="shared" ca="1" si="71"/>
        <v>1.6738226658631969</v>
      </c>
      <c r="R176" s="1">
        <f t="shared" ca="1" si="72"/>
        <v>302</v>
      </c>
      <c r="S176" s="1"/>
      <c r="T176" s="1">
        <f t="shared" ca="1" si="73"/>
        <v>9.3449489147092168E-2</v>
      </c>
      <c r="U176" s="1">
        <f t="shared" ca="1" si="74"/>
        <v>441</v>
      </c>
      <c r="V176" s="1">
        <f t="shared" ca="1" si="75"/>
        <v>17</v>
      </c>
      <c r="W176" s="1"/>
      <c r="X176" s="1">
        <f t="shared" ca="1" si="76"/>
        <v>1.4285284514017644</v>
      </c>
      <c r="Y176" s="1">
        <f t="shared" ca="1" si="77"/>
        <v>0.21366672230259817</v>
      </c>
      <c r="Z176" s="1">
        <f t="shared" ca="1" si="78"/>
        <v>1504</v>
      </c>
      <c r="AB176" s="1">
        <f t="shared" ca="1" si="79"/>
        <v>0.78844723755553847</v>
      </c>
      <c r="AC176" s="1">
        <f t="shared" ca="1" si="80"/>
        <v>247</v>
      </c>
      <c r="AD176" s="1">
        <f t="shared" ca="1" si="81"/>
        <v>9.3477862146936833E-3</v>
      </c>
      <c r="AE176" s="1"/>
      <c r="AF176" s="1">
        <f t="shared" ca="1" si="82"/>
        <v>0.13313102812463307</v>
      </c>
      <c r="AG176" s="1">
        <f t="shared" ca="1" si="83"/>
        <v>562</v>
      </c>
      <c r="AH176" s="1">
        <f t="shared" ca="1" si="84"/>
        <v>8.1876362579175032E-3</v>
      </c>
      <c r="AJ176" s="1">
        <f t="shared" ca="1" si="85"/>
        <v>0.61120199247065155</v>
      </c>
      <c r="AK176" s="1">
        <f t="shared" ca="1" si="86"/>
        <v>1.9885454158571473E-3</v>
      </c>
      <c r="AL176" s="1"/>
      <c r="AM176" s="1">
        <f t="shared" ca="1" si="87"/>
        <v>4.4410939015653302E-2</v>
      </c>
      <c r="AN176" s="1">
        <f t="shared" ca="1" si="88"/>
        <v>31</v>
      </c>
      <c r="AO176" s="1">
        <f t="shared" ca="1" si="89"/>
        <v>6</v>
      </c>
    </row>
    <row r="177" spans="2:41" x14ac:dyDescent="0.25">
      <c r="B177">
        <f t="shared" ca="1" si="60"/>
        <v>698</v>
      </c>
      <c r="C177">
        <f t="shared" ca="1" si="61"/>
        <v>19</v>
      </c>
      <c r="D177">
        <f t="shared" ca="1" si="62"/>
        <v>0.18233820487022945</v>
      </c>
      <c r="F177" s="1">
        <f t="shared" ca="1" si="63"/>
        <v>18</v>
      </c>
      <c r="G177" s="1">
        <f t="shared" ca="1" si="64"/>
        <v>14</v>
      </c>
      <c r="H177" s="1">
        <f t="shared" ca="1" si="65"/>
        <v>13</v>
      </c>
      <c r="I177" s="1"/>
      <c r="J177" s="1">
        <f t="shared" ca="1" si="66"/>
        <v>29</v>
      </c>
      <c r="K177" s="1">
        <f t="shared" ca="1" si="67"/>
        <v>1.7723474050819727</v>
      </c>
      <c r="L177" s="1">
        <f t="shared" ca="1" si="68"/>
        <v>32</v>
      </c>
      <c r="M177" s="1"/>
      <c r="N177" s="1">
        <f t="shared" ca="1" si="69"/>
        <v>202</v>
      </c>
      <c r="O177" s="1">
        <f t="shared" ca="1" si="70"/>
        <v>33</v>
      </c>
      <c r="P177" s="1"/>
      <c r="Q177" s="1">
        <f t="shared" ca="1" si="71"/>
        <v>0.75384277396626032</v>
      </c>
      <c r="R177" s="1">
        <f t="shared" ca="1" si="72"/>
        <v>1018</v>
      </c>
      <c r="S177" s="1"/>
      <c r="T177" s="1">
        <f t="shared" ca="1" si="73"/>
        <v>0.14946944677118434</v>
      </c>
      <c r="U177" s="1">
        <f t="shared" ca="1" si="74"/>
        <v>92</v>
      </c>
      <c r="V177" s="1">
        <f t="shared" ca="1" si="75"/>
        <v>39</v>
      </c>
      <c r="W177" s="1"/>
      <c r="X177" s="1">
        <f t="shared" ca="1" si="76"/>
        <v>4.7941258890387486</v>
      </c>
      <c r="Y177" s="1">
        <f t="shared" ca="1" si="77"/>
        <v>0.96884304916590658</v>
      </c>
      <c r="Z177" s="1">
        <f t="shared" ca="1" si="78"/>
        <v>1014</v>
      </c>
      <c r="AB177" s="1">
        <f t="shared" ca="1" si="79"/>
        <v>0.53675168839130571</v>
      </c>
      <c r="AC177" s="1">
        <f t="shared" ca="1" si="80"/>
        <v>420</v>
      </c>
      <c r="AD177" s="1">
        <f t="shared" ca="1" si="81"/>
        <v>6.8118353298297508E-3</v>
      </c>
      <c r="AE177" s="1"/>
      <c r="AF177" s="1">
        <f t="shared" ca="1" si="82"/>
        <v>0.88700495841496563</v>
      </c>
      <c r="AG177" s="1">
        <f t="shared" ca="1" si="83"/>
        <v>711</v>
      </c>
      <c r="AH177" s="1">
        <f t="shared" ca="1" si="84"/>
        <v>4.0150737840977243E-3</v>
      </c>
      <c r="AJ177" s="1">
        <f t="shared" ca="1" si="85"/>
        <v>0.66243769214436732</v>
      </c>
      <c r="AK177" s="1">
        <f t="shared" ca="1" si="86"/>
        <v>4.4593092252587447E-3</v>
      </c>
      <c r="AL177" s="1"/>
      <c r="AM177" s="1">
        <f t="shared" ca="1" si="87"/>
        <v>0.13598626582749163</v>
      </c>
      <c r="AN177" s="1">
        <f t="shared" ca="1" si="88"/>
        <v>19</v>
      </c>
      <c r="AO177" s="1">
        <f t="shared" ca="1" si="89"/>
        <v>7</v>
      </c>
    </row>
    <row r="178" spans="2:41" x14ac:dyDescent="0.25">
      <c r="B178">
        <f t="shared" ca="1" si="60"/>
        <v>590</v>
      </c>
      <c r="C178">
        <f t="shared" ca="1" si="61"/>
        <v>51</v>
      </c>
      <c r="D178">
        <f t="shared" ca="1" si="62"/>
        <v>5.550945046390135E-2</v>
      </c>
      <c r="F178" s="1">
        <f t="shared" ca="1" si="63"/>
        <v>37</v>
      </c>
      <c r="G178" s="1">
        <f t="shared" ca="1" si="64"/>
        <v>6</v>
      </c>
      <c r="H178" s="1">
        <f t="shared" ca="1" si="65"/>
        <v>6</v>
      </c>
      <c r="I178" s="1"/>
      <c r="J178" s="1">
        <f t="shared" ca="1" si="66"/>
        <v>14</v>
      </c>
      <c r="K178" s="1">
        <f t="shared" ca="1" si="67"/>
        <v>2.0593398130834477</v>
      </c>
      <c r="L178" s="1">
        <f t="shared" ca="1" si="68"/>
        <v>4</v>
      </c>
      <c r="M178" s="1"/>
      <c r="N178" s="1">
        <f t="shared" ca="1" si="69"/>
        <v>510</v>
      </c>
      <c r="O178" s="1">
        <f t="shared" ca="1" si="70"/>
        <v>37</v>
      </c>
      <c r="P178" s="1"/>
      <c r="Q178" s="1">
        <f t="shared" ca="1" si="71"/>
        <v>4.355148890667814</v>
      </c>
      <c r="R178" s="1">
        <f t="shared" ca="1" si="72"/>
        <v>990</v>
      </c>
      <c r="S178" s="1"/>
      <c r="T178" s="1">
        <f t="shared" ca="1" si="73"/>
        <v>5.7001643216160677E-2</v>
      </c>
      <c r="U178" s="1">
        <f t="shared" ca="1" si="74"/>
        <v>114</v>
      </c>
      <c r="V178" s="1">
        <f t="shared" ca="1" si="75"/>
        <v>51</v>
      </c>
      <c r="W178" s="1"/>
      <c r="X178" s="1">
        <f t="shared" ca="1" si="76"/>
        <v>8.6925669760571704</v>
      </c>
      <c r="Y178" s="1">
        <f t="shared" ca="1" si="77"/>
        <v>0.43938873846106513</v>
      </c>
      <c r="Z178" s="1">
        <f t="shared" ca="1" si="78"/>
        <v>1832</v>
      </c>
      <c r="AB178" s="1">
        <f t="shared" ca="1" si="79"/>
        <v>1.9520474268745071E-2</v>
      </c>
      <c r="AC178" s="1">
        <f t="shared" ca="1" si="80"/>
        <v>837</v>
      </c>
      <c r="AD178" s="1">
        <f t="shared" ca="1" si="81"/>
        <v>6.3414198314084317E-3</v>
      </c>
      <c r="AE178" s="1"/>
      <c r="AF178" s="1">
        <f t="shared" ca="1" si="82"/>
        <v>0.61512823906947056</v>
      </c>
      <c r="AG178" s="1">
        <f t="shared" ca="1" si="83"/>
        <v>136</v>
      </c>
      <c r="AH178" s="1">
        <f t="shared" ca="1" si="84"/>
        <v>6.7015838052416721E-4</v>
      </c>
      <c r="AJ178" s="1">
        <f t="shared" ca="1" si="85"/>
        <v>0.78370402934239314</v>
      </c>
      <c r="AK178" s="1">
        <f t="shared" ca="1" si="86"/>
        <v>5.5053089098862909E-3</v>
      </c>
      <c r="AL178" s="1"/>
      <c r="AM178" s="1">
        <f t="shared" ca="1" si="87"/>
        <v>2.4840429292290217E-2</v>
      </c>
      <c r="AN178" s="1">
        <f t="shared" ca="1" si="88"/>
        <v>54</v>
      </c>
      <c r="AO178" s="1">
        <f t="shared" ca="1" si="89"/>
        <v>17</v>
      </c>
    </row>
    <row r="179" spans="2:41" x14ac:dyDescent="0.25">
      <c r="B179">
        <f t="shared" ca="1" si="60"/>
        <v>884</v>
      </c>
      <c r="C179">
        <f t="shared" ca="1" si="61"/>
        <v>29</v>
      </c>
      <c r="D179">
        <f t="shared" ca="1" si="62"/>
        <v>0.21801328206905188</v>
      </c>
      <c r="F179" s="1">
        <f t="shared" ca="1" si="63"/>
        <v>4</v>
      </c>
      <c r="G179" s="1">
        <f t="shared" ca="1" si="64"/>
        <v>19</v>
      </c>
      <c r="H179" s="1">
        <f t="shared" ca="1" si="65"/>
        <v>3</v>
      </c>
      <c r="I179" s="1"/>
      <c r="J179" s="1">
        <f t="shared" ca="1" si="66"/>
        <v>3</v>
      </c>
      <c r="K179" s="1">
        <f t="shared" ca="1" si="67"/>
        <v>2.4657229352146306</v>
      </c>
      <c r="L179" s="1">
        <f t="shared" ca="1" si="68"/>
        <v>12</v>
      </c>
      <c r="M179" s="1"/>
      <c r="N179" s="1">
        <f t="shared" ca="1" si="69"/>
        <v>372</v>
      </c>
      <c r="O179" s="1">
        <f t="shared" ca="1" si="70"/>
        <v>12</v>
      </c>
      <c r="P179" s="1"/>
      <c r="Q179" s="1">
        <f t="shared" ca="1" si="71"/>
        <v>2.8461275587548029</v>
      </c>
      <c r="R179" s="1">
        <f t="shared" ca="1" si="72"/>
        <v>785</v>
      </c>
      <c r="S179" s="1"/>
      <c r="T179" s="1">
        <f t="shared" ca="1" si="73"/>
        <v>1.8216934234283673E-2</v>
      </c>
      <c r="U179" s="1">
        <f t="shared" ca="1" si="74"/>
        <v>202</v>
      </c>
      <c r="V179" s="1">
        <f t="shared" ca="1" si="75"/>
        <v>40</v>
      </c>
      <c r="W179" s="1"/>
      <c r="X179" s="1">
        <f t="shared" ca="1" si="76"/>
        <v>0.79706354084936482</v>
      </c>
      <c r="Y179" s="1">
        <f t="shared" ca="1" si="77"/>
        <v>0.95376582508893659</v>
      </c>
      <c r="Z179" s="1">
        <f t="shared" ca="1" si="78"/>
        <v>1390</v>
      </c>
      <c r="AB179" s="1">
        <f t="shared" ca="1" si="79"/>
        <v>0.49289029800765227</v>
      </c>
      <c r="AC179" s="1">
        <f t="shared" ca="1" si="80"/>
        <v>298</v>
      </c>
      <c r="AD179" s="1">
        <f t="shared" ca="1" si="81"/>
        <v>9.3472513046236726E-3</v>
      </c>
      <c r="AE179" s="1"/>
      <c r="AF179" s="1">
        <f t="shared" ca="1" si="82"/>
        <v>0.76203438148371683</v>
      </c>
      <c r="AG179" s="1">
        <f t="shared" ca="1" si="83"/>
        <v>844</v>
      </c>
      <c r="AH179" s="1">
        <f t="shared" ca="1" si="84"/>
        <v>3.459779652380702E-3</v>
      </c>
      <c r="AJ179" s="1">
        <f t="shared" ca="1" si="85"/>
        <v>3.3642404521156299E-2</v>
      </c>
      <c r="AK179" s="1">
        <f t="shared" ca="1" si="86"/>
        <v>2.0707186583906584E-3</v>
      </c>
      <c r="AL179" s="1"/>
      <c r="AM179" s="1">
        <f t="shared" ca="1" si="87"/>
        <v>0.14670348241047185</v>
      </c>
      <c r="AN179" s="1">
        <f t="shared" ca="1" si="88"/>
        <v>46</v>
      </c>
      <c r="AO179" s="1">
        <f t="shared" ca="1" si="89"/>
        <v>17</v>
      </c>
    </row>
    <row r="180" spans="2:41" x14ac:dyDescent="0.25">
      <c r="B180">
        <f t="shared" ca="1" si="60"/>
        <v>636</v>
      </c>
      <c r="C180">
        <f t="shared" ca="1" si="61"/>
        <v>40</v>
      </c>
      <c r="D180">
        <f t="shared" ca="1" si="62"/>
        <v>0.12705270467544713</v>
      </c>
      <c r="F180" s="1">
        <f t="shared" ca="1" si="63"/>
        <v>47</v>
      </c>
      <c r="G180" s="1">
        <f t="shared" ca="1" si="64"/>
        <v>16</v>
      </c>
      <c r="H180" s="1">
        <f t="shared" ca="1" si="65"/>
        <v>11</v>
      </c>
      <c r="I180" s="1"/>
      <c r="J180" s="1">
        <f t="shared" ca="1" si="66"/>
        <v>19</v>
      </c>
      <c r="K180" s="1">
        <f t="shared" ca="1" si="67"/>
        <v>1.8106509598484688</v>
      </c>
      <c r="L180" s="1">
        <f t="shared" ca="1" si="68"/>
        <v>30</v>
      </c>
      <c r="M180" s="1"/>
      <c r="N180" s="1">
        <f t="shared" ca="1" si="69"/>
        <v>312</v>
      </c>
      <c r="O180" s="1">
        <f t="shared" ca="1" si="70"/>
        <v>42</v>
      </c>
      <c r="P180" s="1"/>
      <c r="Q180" s="1">
        <f t="shared" ca="1" si="71"/>
        <v>1.0422351436488704</v>
      </c>
      <c r="R180" s="1">
        <f t="shared" ca="1" si="72"/>
        <v>922</v>
      </c>
      <c r="S180" s="1"/>
      <c r="T180" s="1">
        <f t="shared" ca="1" si="73"/>
        <v>8.5268437020868032E-2</v>
      </c>
      <c r="U180" s="1">
        <f t="shared" ca="1" si="74"/>
        <v>237</v>
      </c>
      <c r="V180" s="1">
        <f t="shared" ca="1" si="75"/>
        <v>13</v>
      </c>
      <c r="W180" s="1"/>
      <c r="X180" s="1">
        <f t="shared" ca="1" si="76"/>
        <v>1.2090801944852478</v>
      </c>
      <c r="Y180" s="1">
        <f t="shared" ca="1" si="77"/>
        <v>0.76065500712601031</v>
      </c>
      <c r="Z180" s="1">
        <f t="shared" ca="1" si="78"/>
        <v>1921</v>
      </c>
      <c r="AB180" s="1">
        <f t="shared" ca="1" si="79"/>
        <v>0.17398744856511908</v>
      </c>
      <c r="AC180" s="1">
        <f t="shared" ca="1" si="80"/>
        <v>653</v>
      </c>
      <c r="AD180" s="1">
        <f t="shared" ca="1" si="81"/>
        <v>8.412206477912432E-3</v>
      </c>
      <c r="AE180" s="1"/>
      <c r="AF180" s="1">
        <f t="shared" ca="1" si="82"/>
        <v>0.6226474723897264</v>
      </c>
      <c r="AG180" s="1">
        <f t="shared" ca="1" si="83"/>
        <v>335</v>
      </c>
      <c r="AH180" s="1">
        <f t="shared" ca="1" si="84"/>
        <v>7.1460450658515553E-4</v>
      </c>
      <c r="AJ180" s="1">
        <f t="shared" ca="1" si="85"/>
        <v>0.58406688942180496</v>
      </c>
      <c r="AK180" s="1">
        <f t="shared" ca="1" si="86"/>
        <v>6.8069241822054059E-3</v>
      </c>
      <c r="AL180" s="1"/>
      <c r="AM180" s="1">
        <f t="shared" ca="1" si="87"/>
        <v>0.14604932997060535</v>
      </c>
      <c r="AN180" s="1">
        <f t="shared" ca="1" si="88"/>
        <v>32</v>
      </c>
      <c r="AO180" s="1">
        <f t="shared" ca="1" si="89"/>
        <v>3</v>
      </c>
    </row>
    <row r="181" spans="2:41" x14ac:dyDescent="0.25">
      <c r="B181">
        <f t="shared" ca="1" si="60"/>
        <v>35</v>
      </c>
      <c r="C181">
        <f t="shared" ca="1" si="61"/>
        <v>12</v>
      </c>
      <c r="D181">
        <f t="shared" ca="1" si="62"/>
        <v>0.17369864564527884</v>
      </c>
      <c r="F181" s="1">
        <f t="shared" ca="1" si="63"/>
        <v>37</v>
      </c>
      <c r="G181" s="1">
        <f t="shared" ca="1" si="64"/>
        <v>21</v>
      </c>
      <c r="H181" s="1">
        <f t="shared" ca="1" si="65"/>
        <v>15</v>
      </c>
      <c r="I181" s="1"/>
      <c r="J181" s="1">
        <f t="shared" ca="1" si="66"/>
        <v>4</v>
      </c>
      <c r="K181" s="1">
        <f t="shared" ca="1" si="67"/>
        <v>1.5959829060169037</v>
      </c>
      <c r="L181" s="1">
        <f t="shared" ca="1" si="68"/>
        <v>12</v>
      </c>
      <c r="M181" s="1"/>
      <c r="N181" s="1">
        <f t="shared" ca="1" si="69"/>
        <v>207</v>
      </c>
      <c r="O181" s="1">
        <f t="shared" ca="1" si="70"/>
        <v>14</v>
      </c>
      <c r="P181" s="1"/>
      <c r="Q181" s="1">
        <f t="shared" ca="1" si="71"/>
        <v>0.97317660453017329</v>
      </c>
      <c r="R181" s="1">
        <f t="shared" ca="1" si="72"/>
        <v>751</v>
      </c>
      <c r="S181" s="1"/>
      <c r="T181" s="1">
        <f t="shared" ca="1" si="73"/>
        <v>1.3683728714673878E-2</v>
      </c>
      <c r="U181" s="1">
        <f t="shared" ca="1" si="74"/>
        <v>93</v>
      </c>
      <c r="V181" s="1">
        <f t="shared" ca="1" si="75"/>
        <v>23</v>
      </c>
      <c r="W181" s="1"/>
      <c r="X181" s="1">
        <f t="shared" ca="1" si="76"/>
        <v>6.9252150578025411</v>
      </c>
      <c r="Y181" s="1">
        <f t="shared" ca="1" si="77"/>
        <v>0.87067139605537591</v>
      </c>
      <c r="Z181" s="1">
        <f t="shared" ca="1" si="78"/>
        <v>490</v>
      </c>
      <c r="AB181" s="1">
        <f t="shared" ca="1" si="79"/>
        <v>0.10598227132427551</v>
      </c>
      <c r="AC181" s="1">
        <f t="shared" ca="1" si="80"/>
        <v>224</v>
      </c>
      <c r="AD181" s="1">
        <f t="shared" ca="1" si="81"/>
        <v>3.6550394156766352E-3</v>
      </c>
      <c r="AE181" s="1"/>
      <c r="AF181" s="1">
        <f t="shared" ca="1" si="82"/>
        <v>0.11203683676243942</v>
      </c>
      <c r="AG181" s="1">
        <f t="shared" ca="1" si="83"/>
        <v>519</v>
      </c>
      <c r="AH181" s="1">
        <f t="shared" ca="1" si="84"/>
        <v>9.7488974051831972E-3</v>
      </c>
      <c r="AJ181" s="1">
        <f t="shared" ca="1" si="85"/>
        <v>0.48261365620204832</v>
      </c>
      <c r="AK181" s="1">
        <f t="shared" ca="1" si="86"/>
        <v>7.0466378389014445E-3</v>
      </c>
      <c r="AL181" s="1"/>
      <c r="AM181" s="1">
        <f t="shared" ca="1" si="87"/>
        <v>0.14801879408124036</v>
      </c>
      <c r="AN181" s="1">
        <f t="shared" ca="1" si="88"/>
        <v>25</v>
      </c>
      <c r="AO181" s="1">
        <f t="shared" ca="1" si="89"/>
        <v>18</v>
      </c>
    </row>
    <row r="182" spans="2:41" x14ac:dyDescent="0.25">
      <c r="B182">
        <f t="shared" ca="1" si="60"/>
        <v>782</v>
      </c>
      <c r="C182">
        <f t="shared" ca="1" si="61"/>
        <v>27</v>
      </c>
      <c r="D182">
        <f t="shared" ca="1" si="62"/>
        <v>9.7936319700657817E-2</v>
      </c>
      <c r="F182" s="1">
        <f t="shared" ca="1" si="63"/>
        <v>48</v>
      </c>
      <c r="G182" s="1">
        <f t="shared" ca="1" si="64"/>
        <v>2</v>
      </c>
      <c r="H182" s="1">
        <f t="shared" ca="1" si="65"/>
        <v>14</v>
      </c>
      <c r="I182" s="1"/>
      <c r="J182" s="1">
        <f t="shared" ca="1" si="66"/>
        <v>27</v>
      </c>
      <c r="K182" s="1">
        <f t="shared" ca="1" si="67"/>
        <v>2.0758287144702039</v>
      </c>
      <c r="L182" s="1">
        <f t="shared" ca="1" si="68"/>
        <v>26</v>
      </c>
      <c r="M182" s="1"/>
      <c r="N182" s="1">
        <f t="shared" ca="1" si="69"/>
        <v>117</v>
      </c>
      <c r="O182" s="1">
        <f t="shared" ca="1" si="70"/>
        <v>44</v>
      </c>
      <c r="P182" s="1"/>
      <c r="Q182" s="1">
        <f t="shared" ca="1" si="71"/>
        <v>4.3024664438326896</v>
      </c>
      <c r="R182" s="1">
        <f t="shared" ca="1" si="72"/>
        <v>756</v>
      </c>
      <c r="S182" s="1"/>
      <c r="T182" s="1">
        <f t="shared" ca="1" si="73"/>
        <v>0.11200391240615437</v>
      </c>
      <c r="U182" s="1">
        <f t="shared" ca="1" si="74"/>
        <v>299</v>
      </c>
      <c r="V182" s="1">
        <f t="shared" ca="1" si="75"/>
        <v>40</v>
      </c>
      <c r="W182" s="1"/>
      <c r="X182" s="1">
        <f t="shared" ca="1" si="76"/>
        <v>4.8783914074985555</v>
      </c>
      <c r="Y182" s="1">
        <f t="shared" ca="1" si="77"/>
        <v>0.86327268872130025</v>
      </c>
      <c r="Z182" s="1">
        <f t="shared" ca="1" si="78"/>
        <v>986</v>
      </c>
      <c r="AB182" s="1">
        <f t="shared" ca="1" si="79"/>
        <v>0.67517074947210942</v>
      </c>
      <c r="AC182" s="1">
        <f t="shared" ca="1" si="80"/>
        <v>235</v>
      </c>
      <c r="AD182" s="1">
        <f t="shared" ca="1" si="81"/>
        <v>5.4251759363814636E-3</v>
      </c>
      <c r="AE182" s="1"/>
      <c r="AF182" s="1">
        <f t="shared" ca="1" si="82"/>
        <v>0.75265956863125705</v>
      </c>
      <c r="AG182" s="1">
        <f t="shared" ca="1" si="83"/>
        <v>739</v>
      </c>
      <c r="AH182" s="1">
        <f t="shared" ca="1" si="84"/>
        <v>2.5384596756020685E-3</v>
      </c>
      <c r="AJ182" s="1">
        <f t="shared" ca="1" si="85"/>
        <v>5.4757269703471501E-2</v>
      </c>
      <c r="AK182" s="1">
        <f t="shared" ca="1" si="86"/>
        <v>3.384838544974178E-3</v>
      </c>
      <c r="AL182" s="1"/>
      <c r="AM182" s="1">
        <f t="shared" ca="1" si="87"/>
        <v>9.1065582672107584E-2</v>
      </c>
      <c r="AN182" s="1">
        <f t="shared" ca="1" si="88"/>
        <v>19</v>
      </c>
      <c r="AO182" s="1">
        <f t="shared" ca="1" si="89"/>
        <v>9</v>
      </c>
    </row>
    <row r="183" spans="2:41" x14ac:dyDescent="0.25">
      <c r="B183">
        <f t="shared" ca="1" si="60"/>
        <v>776</v>
      </c>
      <c r="C183">
        <f t="shared" ca="1" si="61"/>
        <v>22</v>
      </c>
      <c r="D183">
        <f t="shared" ca="1" si="62"/>
        <v>0.29702872594503021</v>
      </c>
      <c r="F183" s="1">
        <f t="shared" ca="1" si="63"/>
        <v>5</v>
      </c>
      <c r="G183" s="1">
        <f t="shared" ca="1" si="64"/>
        <v>18</v>
      </c>
      <c r="H183" s="1">
        <f t="shared" ca="1" si="65"/>
        <v>7</v>
      </c>
      <c r="I183" s="1"/>
      <c r="J183" s="1">
        <f t="shared" ca="1" si="66"/>
        <v>33</v>
      </c>
      <c r="K183" s="1">
        <f t="shared" ca="1" si="67"/>
        <v>2.4878358202000825</v>
      </c>
      <c r="L183" s="1">
        <f t="shared" ca="1" si="68"/>
        <v>12</v>
      </c>
      <c r="M183" s="1"/>
      <c r="N183" s="1">
        <f t="shared" ca="1" si="69"/>
        <v>671</v>
      </c>
      <c r="O183" s="1">
        <f t="shared" ca="1" si="70"/>
        <v>45</v>
      </c>
      <c r="P183" s="1"/>
      <c r="Q183" s="1">
        <f t="shared" ca="1" si="71"/>
        <v>3.1948192928978538</v>
      </c>
      <c r="R183" s="1">
        <f t="shared" ca="1" si="72"/>
        <v>231</v>
      </c>
      <c r="S183" s="1"/>
      <c r="T183" s="1">
        <f t="shared" ca="1" si="73"/>
        <v>0.14947209225702801</v>
      </c>
      <c r="U183" s="1">
        <f t="shared" ca="1" si="74"/>
        <v>51</v>
      </c>
      <c r="V183" s="1">
        <f t="shared" ca="1" si="75"/>
        <v>4</v>
      </c>
      <c r="W183" s="1"/>
      <c r="X183" s="1">
        <f t="shared" ca="1" si="76"/>
        <v>4.6198247825626853</v>
      </c>
      <c r="Y183" s="1">
        <f t="shared" ca="1" si="77"/>
        <v>0.54056162002668329</v>
      </c>
      <c r="Z183" s="1">
        <f t="shared" ca="1" si="78"/>
        <v>194</v>
      </c>
      <c r="AB183" s="1">
        <f t="shared" ca="1" si="79"/>
        <v>0.47524561217790379</v>
      </c>
      <c r="AC183" s="1">
        <f t="shared" ca="1" si="80"/>
        <v>608</v>
      </c>
      <c r="AD183" s="1">
        <f t="shared" ca="1" si="81"/>
        <v>2.5125502383989782E-3</v>
      </c>
      <c r="AE183" s="1"/>
      <c r="AF183" s="1">
        <f t="shared" ca="1" si="82"/>
        <v>0.55340532679564169</v>
      </c>
      <c r="AG183" s="1">
        <f t="shared" ca="1" si="83"/>
        <v>122</v>
      </c>
      <c r="AH183" s="1">
        <f t="shared" ca="1" si="84"/>
        <v>1.1812494893400566E-3</v>
      </c>
      <c r="AJ183" s="1">
        <f t="shared" ca="1" si="85"/>
        <v>0.2491801003901748</v>
      </c>
      <c r="AK183" s="1">
        <f t="shared" ca="1" si="86"/>
        <v>9.6943164264101499E-3</v>
      </c>
      <c r="AL183" s="1"/>
      <c r="AM183" s="1">
        <f t="shared" ca="1" si="87"/>
        <v>0.10689978955333405</v>
      </c>
      <c r="AN183" s="1">
        <f t="shared" ca="1" si="88"/>
        <v>39</v>
      </c>
      <c r="AO183" s="1">
        <f t="shared" ca="1" si="89"/>
        <v>14</v>
      </c>
    </row>
    <row r="184" spans="2:41" x14ac:dyDescent="0.25">
      <c r="B184">
        <f t="shared" ca="1" si="60"/>
        <v>704</v>
      </c>
      <c r="C184">
        <f t="shared" ca="1" si="61"/>
        <v>28</v>
      </c>
      <c r="D184">
        <f t="shared" ca="1" si="62"/>
        <v>2.8970765979779545E-2</v>
      </c>
      <c r="F184" s="1">
        <f t="shared" ca="1" si="63"/>
        <v>42</v>
      </c>
      <c r="G184" s="1">
        <f t="shared" ca="1" si="64"/>
        <v>11</v>
      </c>
      <c r="H184" s="1">
        <f t="shared" ca="1" si="65"/>
        <v>13</v>
      </c>
      <c r="I184" s="1"/>
      <c r="J184" s="1">
        <f t="shared" ca="1" si="66"/>
        <v>19</v>
      </c>
      <c r="K184" s="1">
        <f t="shared" ca="1" si="67"/>
        <v>2.4493959342737863</v>
      </c>
      <c r="L184" s="1">
        <f t="shared" ca="1" si="68"/>
        <v>11</v>
      </c>
      <c r="M184" s="1"/>
      <c r="N184" s="1">
        <f t="shared" ca="1" si="69"/>
        <v>828</v>
      </c>
      <c r="O184" s="1">
        <f t="shared" ca="1" si="70"/>
        <v>49</v>
      </c>
      <c r="P184" s="1"/>
      <c r="Q184" s="1">
        <f t="shared" ca="1" si="71"/>
        <v>3.1565300113251777</v>
      </c>
      <c r="R184" s="1">
        <f t="shared" ca="1" si="72"/>
        <v>286</v>
      </c>
      <c r="S184" s="1"/>
      <c r="T184" s="1">
        <f t="shared" ca="1" si="73"/>
        <v>0.15765701769361834</v>
      </c>
      <c r="U184" s="1">
        <f t="shared" ca="1" si="74"/>
        <v>178</v>
      </c>
      <c r="V184" s="1">
        <f t="shared" ca="1" si="75"/>
        <v>3</v>
      </c>
      <c r="W184" s="1"/>
      <c r="X184" s="1">
        <f t="shared" ca="1" si="76"/>
        <v>8.2295120775978052</v>
      </c>
      <c r="Y184" s="1">
        <f t="shared" ca="1" si="77"/>
        <v>0.60815116982173023</v>
      </c>
      <c r="Z184" s="1">
        <f t="shared" ca="1" si="78"/>
        <v>1543</v>
      </c>
      <c r="AB184" s="1">
        <f t="shared" ca="1" si="79"/>
        <v>0.64251157158186445</v>
      </c>
      <c r="AC184" s="1">
        <f t="shared" ca="1" si="80"/>
        <v>155</v>
      </c>
      <c r="AD184" s="1">
        <f t="shared" ca="1" si="81"/>
        <v>8.8128185927700692E-3</v>
      </c>
      <c r="AE184" s="1"/>
      <c r="AF184" s="1">
        <f t="shared" ca="1" si="82"/>
        <v>0.80117176071878438</v>
      </c>
      <c r="AG184" s="1">
        <f t="shared" ca="1" si="83"/>
        <v>330</v>
      </c>
      <c r="AH184" s="1">
        <f t="shared" ca="1" si="84"/>
        <v>5.1030636120083187E-3</v>
      </c>
      <c r="AJ184" s="1">
        <f t="shared" ca="1" si="85"/>
        <v>0.16675053262826622</v>
      </c>
      <c r="AK184" s="1">
        <f t="shared" ca="1" si="86"/>
        <v>7.8849008300768578E-4</v>
      </c>
      <c r="AL184" s="1"/>
      <c r="AM184" s="1">
        <f t="shared" ca="1" si="87"/>
        <v>0.18471824254644856</v>
      </c>
      <c r="AN184" s="1">
        <f t="shared" ca="1" si="88"/>
        <v>15</v>
      </c>
      <c r="AO184" s="1">
        <f t="shared" ca="1" si="89"/>
        <v>18</v>
      </c>
    </row>
    <row r="185" spans="2:41" x14ac:dyDescent="0.25">
      <c r="B185">
        <f t="shared" ca="1" si="60"/>
        <v>766</v>
      </c>
      <c r="C185">
        <f t="shared" ca="1" si="61"/>
        <v>28</v>
      </c>
      <c r="D185">
        <f t="shared" ca="1" si="62"/>
        <v>0.17403887433100004</v>
      </c>
      <c r="F185" s="1">
        <f t="shared" ca="1" si="63"/>
        <v>49</v>
      </c>
      <c r="G185" s="1">
        <f t="shared" ca="1" si="64"/>
        <v>21</v>
      </c>
      <c r="H185" s="1">
        <f t="shared" ca="1" si="65"/>
        <v>9</v>
      </c>
      <c r="I185" s="1"/>
      <c r="J185" s="1">
        <f t="shared" ca="1" si="66"/>
        <v>13</v>
      </c>
      <c r="K185" s="1">
        <f t="shared" ca="1" si="67"/>
        <v>2.3958955868237957</v>
      </c>
      <c r="L185" s="1">
        <f t="shared" ca="1" si="68"/>
        <v>33</v>
      </c>
      <c r="M185" s="1"/>
      <c r="N185" s="1">
        <f t="shared" ca="1" si="69"/>
        <v>751</v>
      </c>
      <c r="O185" s="1">
        <f t="shared" ca="1" si="70"/>
        <v>22</v>
      </c>
      <c r="P185" s="1"/>
      <c r="Q185" s="1">
        <f t="shared" ca="1" si="71"/>
        <v>1.0149137338347001</v>
      </c>
      <c r="R185" s="1">
        <f t="shared" ca="1" si="72"/>
        <v>636</v>
      </c>
      <c r="S185" s="1"/>
      <c r="T185" s="1">
        <f t="shared" ca="1" si="73"/>
        <v>7.9367999997442693E-2</v>
      </c>
      <c r="U185" s="1">
        <f t="shared" ca="1" si="74"/>
        <v>120</v>
      </c>
      <c r="V185" s="1">
        <f t="shared" ca="1" si="75"/>
        <v>31</v>
      </c>
      <c r="W185" s="1"/>
      <c r="X185" s="1">
        <f t="shared" ca="1" si="76"/>
        <v>9.1196803625302181</v>
      </c>
      <c r="Y185" s="1">
        <f t="shared" ca="1" si="77"/>
        <v>4.8657678068283701E-2</v>
      </c>
      <c r="Z185" s="1">
        <f t="shared" ca="1" si="78"/>
        <v>1283</v>
      </c>
      <c r="AB185" s="1">
        <f t="shared" ca="1" si="79"/>
        <v>0.13254697710209384</v>
      </c>
      <c r="AC185" s="1">
        <f t="shared" ca="1" si="80"/>
        <v>459</v>
      </c>
      <c r="AD185" s="1">
        <f t="shared" ca="1" si="81"/>
        <v>8.8234857396322156E-3</v>
      </c>
      <c r="AE185" s="1"/>
      <c r="AF185" s="1">
        <f t="shared" ca="1" si="82"/>
        <v>0.11117801553045999</v>
      </c>
      <c r="AG185" s="1">
        <f t="shared" ca="1" si="83"/>
        <v>182</v>
      </c>
      <c r="AH185" s="1">
        <f t="shared" ca="1" si="84"/>
        <v>8.6212976272390749E-3</v>
      </c>
      <c r="AJ185" s="1">
        <f t="shared" ca="1" si="85"/>
        <v>0.87354208657468058</v>
      </c>
      <c r="AK185" s="1">
        <f t="shared" ca="1" si="86"/>
        <v>6.7551175165686796E-5</v>
      </c>
      <c r="AL185" s="1"/>
      <c r="AM185" s="1">
        <f t="shared" ca="1" si="87"/>
        <v>2.9942727237019726E-2</v>
      </c>
      <c r="AN185" s="1">
        <f t="shared" ca="1" si="88"/>
        <v>77</v>
      </c>
      <c r="AO185" s="1">
        <f t="shared" ca="1" si="89"/>
        <v>0</v>
      </c>
    </row>
    <row r="186" spans="2:41" x14ac:dyDescent="0.25">
      <c r="B186">
        <f t="shared" ca="1" si="60"/>
        <v>108</v>
      </c>
      <c r="C186">
        <f t="shared" ca="1" si="61"/>
        <v>39</v>
      </c>
      <c r="D186">
        <f t="shared" ca="1" si="62"/>
        <v>0.27171945728772179</v>
      </c>
      <c r="F186" s="1">
        <f t="shared" ca="1" si="63"/>
        <v>10</v>
      </c>
      <c r="G186" s="1">
        <f t="shared" ca="1" si="64"/>
        <v>2</v>
      </c>
      <c r="H186" s="1">
        <f t="shared" ca="1" si="65"/>
        <v>1</v>
      </c>
      <c r="I186" s="1"/>
      <c r="J186" s="1">
        <f t="shared" ca="1" si="66"/>
        <v>6</v>
      </c>
      <c r="K186" s="1">
        <f t="shared" ca="1" si="67"/>
        <v>2.477193730644907</v>
      </c>
      <c r="L186" s="1">
        <f t="shared" ca="1" si="68"/>
        <v>8</v>
      </c>
      <c r="M186" s="1"/>
      <c r="N186" s="1">
        <f t="shared" ca="1" si="69"/>
        <v>459</v>
      </c>
      <c r="O186" s="1">
        <f t="shared" ca="1" si="70"/>
        <v>45</v>
      </c>
      <c r="P186" s="1"/>
      <c r="Q186" s="1">
        <f t="shared" ca="1" si="71"/>
        <v>2.6626998773293749</v>
      </c>
      <c r="R186" s="1">
        <f t="shared" ca="1" si="72"/>
        <v>618</v>
      </c>
      <c r="S186" s="1"/>
      <c r="T186" s="1">
        <f t="shared" ca="1" si="73"/>
        <v>0.16859071025818761</v>
      </c>
      <c r="U186" s="1">
        <f t="shared" ca="1" si="74"/>
        <v>282</v>
      </c>
      <c r="V186" s="1">
        <f t="shared" ca="1" si="75"/>
        <v>22</v>
      </c>
      <c r="W186" s="1"/>
      <c r="X186" s="1">
        <f t="shared" ca="1" si="76"/>
        <v>4.7111673805128014</v>
      </c>
      <c r="Y186" s="1">
        <f t="shared" ca="1" si="77"/>
        <v>0.66142083790339479</v>
      </c>
      <c r="Z186" s="1">
        <f t="shared" ca="1" si="78"/>
        <v>867</v>
      </c>
      <c r="AB186" s="1">
        <f t="shared" ca="1" si="79"/>
        <v>0.79355142344275154</v>
      </c>
      <c r="AC186" s="1">
        <f t="shared" ca="1" si="80"/>
        <v>654</v>
      </c>
      <c r="AD186" s="1">
        <f t="shared" ca="1" si="81"/>
        <v>6.8369569941581585E-3</v>
      </c>
      <c r="AE186" s="1"/>
      <c r="AF186" s="1">
        <f t="shared" ca="1" si="82"/>
        <v>0.79914992570033339</v>
      </c>
      <c r="AG186" s="1">
        <f t="shared" ca="1" si="83"/>
        <v>547</v>
      </c>
      <c r="AH186" s="1">
        <f t="shared" ca="1" si="84"/>
        <v>9.6738442343875103E-4</v>
      </c>
      <c r="AJ186" s="1">
        <f t="shared" ca="1" si="85"/>
        <v>0.66814682590924057</v>
      </c>
      <c r="AK186" s="1">
        <f t="shared" ca="1" si="86"/>
        <v>3.0730455360284937E-3</v>
      </c>
      <c r="AL186" s="1"/>
      <c r="AM186" s="1">
        <f t="shared" ca="1" si="87"/>
        <v>0.11734395924503321</v>
      </c>
      <c r="AN186" s="1">
        <f t="shared" ca="1" si="88"/>
        <v>25</v>
      </c>
      <c r="AO186" s="1">
        <f t="shared" ca="1" si="89"/>
        <v>15</v>
      </c>
    </row>
    <row r="187" spans="2:41" x14ac:dyDescent="0.25">
      <c r="B187">
        <f t="shared" ca="1" si="60"/>
        <v>783</v>
      </c>
      <c r="C187">
        <f t="shared" ca="1" si="61"/>
        <v>24</v>
      </c>
      <c r="D187">
        <f t="shared" ca="1" si="62"/>
        <v>0.27405005390491949</v>
      </c>
      <c r="F187" s="1">
        <f t="shared" ca="1" si="63"/>
        <v>2</v>
      </c>
      <c r="G187" s="1">
        <f t="shared" ca="1" si="64"/>
        <v>8</v>
      </c>
      <c r="H187" s="1">
        <f t="shared" ca="1" si="65"/>
        <v>6</v>
      </c>
      <c r="I187" s="1"/>
      <c r="J187" s="1">
        <f t="shared" ca="1" si="66"/>
        <v>7</v>
      </c>
      <c r="K187" s="1">
        <f t="shared" ca="1" si="67"/>
        <v>1.6537976825422158</v>
      </c>
      <c r="L187" s="1">
        <f t="shared" ca="1" si="68"/>
        <v>4</v>
      </c>
      <c r="M187" s="1"/>
      <c r="N187" s="1">
        <f t="shared" ca="1" si="69"/>
        <v>115</v>
      </c>
      <c r="O187" s="1">
        <f t="shared" ca="1" si="70"/>
        <v>4</v>
      </c>
      <c r="P187" s="1"/>
      <c r="Q187" s="1">
        <f t="shared" ca="1" si="71"/>
        <v>2.6736413710482254</v>
      </c>
      <c r="R187" s="1">
        <f t="shared" ca="1" si="72"/>
        <v>852</v>
      </c>
      <c r="S187" s="1"/>
      <c r="T187" s="1">
        <f t="shared" ca="1" si="73"/>
        <v>0.17063479699374332</v>
      </c>
      <c r="U187" s="1">
        <f t="shared" ca="1" si="74"/>
        <v>343</v>
      </c>
      <c r="V187" s="1">
        <f t="shared" ca="1" si="75"/>
        <v>31</v>
      </c>
      <c r="W187" s="1"/>
      <c r="X187" s="1">
        <f t="shared" ca="1" si="76"/>
        <v>7.6256094769689939</v>
      </c>
      <c r="Y187" s="1">
        <f t="shared" ca="1" si="77"/>
        <v>0.61966384731829383</v>
      </c>
      <c r="Z187" s="1">
        <f t="shared" ca="1" si="78"/>
        <v>201</v>
      </c>
      <c r="AB187" s="1">
        <f t="shared" ca="1" si="79"/>
        <v>0.24547878147737254</v>
      </c>
      <c r="AC187" s="1">
        <f t="shared" ca="1" si="80"/>
        <v>713</v>
      </c>
      <c r="AD187" s="1">
        <f t="shared" ca="1" si="81"/>
        <v>1.8939624326946183E-3</v>
      </c>
      <c r="AE187" s="1"/>
      <c r="AF187" s="1">
        <f t="shared" ca="1" si="82"/>
        <v>0.40448514976756977</v>
      </c>
      <c r="AG187" s="1">
        <f t="shared" ca="1" si="83"/>
        <v>949</v>
      </c>
      <c r="AH187" s="1">
        <f t="shared" ca="1" si="84"/>
        <v>3.5626445162460032E-3</v>
      </c>
      <c r="AJ187" s="1">
        <f t="shared" ca="1" si="85"/>
        <v>0.52266487669805206</v>
      </c>
      <c r="AK187" s="1">
        <f t="shared" ca="1" si="86"/>
        <v>7.7492438459179948E-3</v>
      </c>
      <c r="AL187" s="1"/>
      <c r="AM187" s="1">
        <f t="shared" ca="1" si="87"/>
        <v>0.18459933661463918</v>
      </c>
      <c r="AN187" s="1">
        <f t="shared" ca="1" si="88"/>
        <v>41</v>
      </c>
      <c r="AO187" s="1">
        <f t="shared" ca="1" si="89"/>
        <v>12</v>
      </c>
    </row>
    <row r="188" spans="2:41" x14ac:dyDescent="0.25">
      <c r="B188">
        <f t="shared" ca="1" si="60"/>
        <v>581</v>
      </c>
      <c r="C188">
        <f t="shared" ca="1" si="61"/>
        <v>40</v>
      </c>
      <c r="D188">
        <f t="shared" ca="1" si="62"/>
        <v>9.0793442325417195E-2</v>
      </c>
      <c r="F188" s="1">
        <f t="shared" ca="1" si="63"/>
        <v>43</v>
      </c>
      <c r="G188" s="1">
        <f t="shared" ca="1" si="64"/>
        <v>26</v>
      </c>
      <c r="H188" s="1">
        <f t="shared" ca="1" si="65"/>
        <v>4</v>
      </c>
      <c r="I188" s="1"/>
      <c r="J188" s="1">
        <f t="shared" ca="1" si="66"/>
        <v>25</v>
      </c>
      <c r="K188" s="1">
        <f t="shared" ca="1" si="67"/>
        <v>1.0294266351402734</v>
      </c>
      <c r="L188" s="1">
        <f t="shared" ca="1" si="68"/>
        <v>2</v>
      </c>
      <c r="M188" s="1"/>
      <c r="N188" s="1">
        <f t="shared" ca="1" si="69"/>
        <v>99</v>
      </c>
      <c r="O188" s="1">
        <f t="shared" ca="1" si="70"/>
        <v>21</v>
      </c>
      <c r="P188" s="1"/>
      <c r="Q188" s="1">
        <f t="shared" ca="1" si="71"/>
        <v>3.7111449971810808</v>
      </c>
      <c r="R188" s="1">
        <f t="shared" ca="1" si="72"/>
        <v>933</v>
      </c>
      <c r="S188" s="1"/>
      <c r="T188" s="1">
        <f t="shared" ca="1" si="73"/>
        <v>0.11032472796640377</v>
      </c>
      <c r="U188" s="1">
        <f t="shared" ca="1" si="74"/>
        <v>98</v>
      </c>
      <c r="V188" s="1">
        <f t="shared" ca="1" si="75"/>
        <v>21</v>
      </c>
      <c r="W188" s="1"/>
      <c r="X188" s="1">
        <f t="shared" ca="1" si="76"/>
        <v>8.2824014601688365</v>
      </c>
      <c r="Y188" s="1">
        <f t="shared" ca="1" si="77"/>
        <v>0.16791356251357953</v>
      </c>
      <c r="Z188" s="1">
        <f t="shared" ca="1" si="78"/>
        <v>1107</v>
      </c>
      <c r="AB188" s="1">
        <f t="shared" ca="1" si="79"/>
        <v>0.42797571328008799</v>
      </c>
      <c r="AC188" s="1">
        <f t="shared" ca="1" si="80"/>
        <v>506</v>
      </c>
      <c r="AD188" s="1">
        <f t="shared" ca="1" si="81"/>
        <v>5.5935280548224785E-3</v>
      </c>
      <c r="AE188" s="1"/>
      <c r="AF188" s="1">
        <f t="shared" ca="1" si="82"/>
        <v>0.23491778370602168</v>
      </c>
      <c r="AG188" s="1">
        <f t="shared" ca="1" si="83"/>
        <v>642</v>
      </c>
      <c r="AH188" s="1">
        <f t="shared" ca="1" si="84"/>
        <v>5.0733311864482036E-3</v>
      </c>
      <c r="AJ188" s="1">
        <f t="shared" ca="1" si="85"/>
        <v>0.47932506930392338</v>
      </c>
      <c r="AK188" s="1">
        <f t="shared" ca="1" si="86"/>
        <v>4.6907236629618477E-3</v>
      </c>
      <c r="AL188" s="1"/>
      <c r="AM188" s="1">
        <f t="shared" ca="1" si="87"/>
        <v>0.18047653400173685</v>
      </c>
      <c r="AN188" s="1">
        <f t="shared" ca="1" si="88"/>
        <v>52</v>
      </c>
      <c r="AO188" s="1">
        <f t="shared" ca="1" si="89"/>
        <v>0</v>
      </c>
    </row>
    <row r="189" spans="2:41" x14ac:dyDescent="0.25">
      <c r="B189">
        <f t="shared" ca="1" si="60"/>
        <v>121</v>
      </c>
      <c r="C189">
        <f t="shared" ca="1" si="61"/>
        <v>47</v>
      </c>
      <c r="D189">
        <f t="shared" ca="1" si="62"/>
        <v>1.6122821043920616E-2</v>
      </c>
      <c r="F189" s="1">
        <f t="shared" ca="1" si="63"/>
        <v>29</v>
      </c>
      <c r="G189" s="1">
        <f t="shared" ca="1" si="64"/>
        <v>3</v>
      </c>
      <c r="H189" s="1">
        <f t="shared" ca="1" si="65"/>
        <v>8</v>
      </c>
      <c r="I189" s="1"/>
      <c r="J189" s="1">
        <f t="shared" ca="1" si="66"/>
        <v>6</v>
      </c>
      <c r="K189" s="1">
        <f t="shared" ca="1" si="67"/>
        <v>2.499772479279839</v>
      </c>
      <c r="L189" s="1">
        <f t="shared" ca="1" si="68"/>
        <v>13</v>
      </c>
      <c r="M189" s="1"/>
      <c r="N189" s="1">
        <f t="shared" ca="1" si="69"/>
        <v>934</v>
      </c>
      <c r="O189" s="1">
        <f t="shared" ca="1" si="70"/>
        <v>37</v>
      </c>
      <c r="P189" s="1"/>
      <c r="Q189" s="1">
        <f t="shared" ca="1" si="71"/>
        <v>3.1082963592377504</v>
      </c>
      <c r="R189" s="1">
        <f t="shared" ca="1" si="72"/>
        <v>415</v>
      </c>
      <c r="S189" s="1"/>
      <c r="T189" s="1">
        <f t="shared" ca="1" si="73"/>
        <v>6.9712992711929128E-2</v>
      </c>
      <c r="U189" s="1">
        <f t="shared" ca="1" si="74"/>
        <v>223</v>
      </c>
      <c r="V189" s="1">
        <f t="shared" ca="1" si="75"/>
        <v>27</v>
      </c>
      <c r="W189" s="1"/>
      <c r="X189" s="1">
        <f t="shared" ca="1" si="76"/>
        <v>2.403988939085218</v>
      </c>
      <c r="Y189" s="1">
        <f t="shared" ca="1" si="77"/>
        <v>0.14497898752320396</v>
      </c>
      <c r="Z189" s="1">
        <f t="shared" ca="1" si="78"/>
        <v>971</v>
      </c>
      <c r="AB189" s="1">
        <f t="shared" ca="1" si="79"/>
        <v>0.58576677960195611</v>
      </c>
      <c r="AC189" s="1">
        <f t="shared" ca="1" si="80"/>
        <v>939</v>
      </c>
      <c r="AD189" s="1">
        <f t="shared" ca="1" si="81"/>
        <v>5.8798303016619445E-4</v>
      </c>
      <c r="AE189" s="1"/>
      <c r="AF189" s="1">
        <f t="shared" ca="1" si="82"/>
        <v>0.24119475654986378</v>
      </c>
      <c r="AG189" s="1">
        <f t="shared" ca="1" si="83"/>
        <v>405</v>
      </c>
      <c r="AH189" s="1">
        <f t="shared" ca="1" si="84"/>
        <v>6.1450610663170667E-3</v>
      </c>
      <c r="AJ189" s="1">
        <f t="shared" ca="1" si="85"/>
        <v>0.18535463560490828</v>
      </c>
      <c r="AK189" s="1">
        <f t="shared" ca="1" si="86"/>
        <v>1.9666859860193592E-4</v>
      </c>
      <c r="AL189" s="1"/>
      <c r="AM189" s="1">
        <f t="shared" ca="1" si="87"/>
        <v>3.0413542181271711E-2</v>
      </c>
      <c r="AN189" s="1">
        <f t="shared" ca="1" si="88"/>
        <v>43</v>
      </c>
      <c r="AO189" s="1">
        <f t="shared" ca="1" si="89"/>
        <v>-1</v>
      </c>
    </row>
    <row r="190" spans="2:41" x14ac:dyDescent="0.25">
      <c r="B190">
        <f t="shared" ca="1" si="60"/>
        <v>105</v>
      </c>
      <c r="C190">
        <f t="shared" ca="1" si="61"/>
        <v>45</v>
      </c>
      <c r="D190">
        <f t="shared" ca="1" si="62"/>
        <v>8.5157667647803151E-2</v>
      </c>
      <c r="F190" s="1">
        <f t="shared" ca="1" si="63"/>
        <v>28</v>
      </c>
      <c r="G190" s="1">
        <f t="shared" ca="1" si="64"/>
        <v>23</v>
      </c>
      <c r="H190" s="1">
        <f t="shared" ca="1" si="65"/>
        <v>12</v>
      </c>
      <c r="I190" s="1"/>
      <c r="J190" s="1">
        <f t="shared" ca="1" si="66"/>
        <v>31</v>
      </c>
      <c r="K190" s="1">
        <f t="shared" ca="1" si="67"/>
        <v>1.9598053332152359</v>
      </c>
      <c r="L190" s="1">
        <f t="shared" ca="1" si="68"/>
        <v>27</v>
      </c>
      <c r="M190" s="1"/>
      <c r="N190" s="1">
        <f t="shared" ca="1" si="69"/>
        <v>48</v>
      </c>
      <c r="O190" s="1">
        <f t="shared" ca="1" si="70"/>
        <v>29</v>
      </c>
      <c r="P190" s="1"/>
      <c r="Q190" s="1">
        <f t="shared" ca="1" si="71"/>
        <v>1.1962861742714552</v>
      </c>
      <c r="R190" s="1">
        <f t="shared" ca="1" si="72"/>
        <v>482</v>
      </c>
      <c r="S190" s="1"/>
      <c r="T190" s="1">
        <f t="shared" ca="1" si="73"/>
        <v>2.0645378408004476E-2</v>
      </c>
      <c r="U190" s="1">
        <f t="shared" ca="1" si="74"/>
        <v>218</v>
      </c>
      <c r="V190" s="1">
        <f t="shared" ca="1" si="75"/>
        <v>27</v>
      </c>
      <c r="W190" s="1"/>
      <c r="X190" s="1">
        <f t="shared" ca="1" si="76"/>
        <v>1.5045381841508496</v>
      </c>
      <c r="Y190" s="1">
        <f t="shared" ca="1" si="77"/>
        <v>0.28305496340859548</v>
      </c>
      <c r="Z190" s="1">
        <f t="shared" ca="1" si="78"/>
        <v>1449</v>
      </c>
      <c r="AB190" s="1">
        <f t="shared" ca="1" si="79"/>
        <v>0.68003091572993646</v>
      </c>
      <c r="AC190" s="1">
        <f t="shared" ca="1" si="80"/>
        <v>165</v>
      </c>
      <c r="AD190" s="1">
        <f t="shared" ca="1" si="81"/>
        <v>4.9332166634997107E-3</v>
      </c>
      <c r="AE190" s="1"/>
      <c r="AF190" s="1">
        <f t="shared" ca="1" si="82"/>
        <v>0.58253926736081829</v>
      </c>
      <c r="AG190" s="1">
        <f t="shared" ca="1" si="83"/>
        <v>507</v>
      </c>
      <c r="AH190" s="1">
        <f t="shared" ca="1" si="84"/>
        <v>2.3598194247127083E-4</v>
      </c>
      <c r="AJ190" s="1">
        <f t="shared" ca="1" si="85"/>
        <v>7.4894472237973631E-2</v>
      </c>
      <c r="AK190" s="1">
        <f t="shared" ca="1" si="86"/>
        <v>3.9753197831170709E-3</v>
      </c>
      <c r="AL190" s="1"/>
      <c r="AM190" s="1">
        <f t="shared" ca="1" si="87"/>
        <v>0.17840977618276457</v>
      </c>
      <c r="AN190" s="1">
        <f t="shared" ca="1" si="88"/>
        <v>69</v>
      </c>
      <c r="AO190" s="1">
        <f t="shared" ca="1" si="89"/>
        <v>3</v>
      </c>
    </row>
    <row r="191" spans="2:41" x14ac:dyDescent="0.25">
      <c r="B191">
        <f t="shared" ca="1" si="60"/>
        <v>566</v>
      </c>
      <c r="C191">
        <f t="shared" ca="1" si="61"/>
        <v>42</v>
      </c>
      <c r="D191">
        <f t="shared" ca="1" si="62"/>
        <v>0.12043210662440657</v>
      </c>
      <c r="F191" s="1">
        <f t="shared" ca="1" si="63"/>
        <v>48</v>
      </c>
      <c r="G191" s="1">
        <f t="shared" ca="1" si="64"/>
        <v>11</v>
      </c>
      <c r="H191" s="1">
        <f t="shared" ca="1" si="65"/>
        <v>1</v>
      </c>
      <c r="I191" s="1"/>
      <c r="J191" s="1">
        <f t="shared" ca="1" si="66"/>
        <v>22</v>
      </c>
      <c r="K191" s="1">
        <f t="shared" ca="1" si="67"/>
        <v>1.5469657130552683</v>
      </c>
      <c r="L191" s="1">
        <f t="shared" ca="1" si="68"/>
        <v>31</v>
      </c>
      <c r="M191" s="1"/>
      <c r="N191" s="1">
        <f t="shared" ca="1" si="69"/>
        <v>473</v>
      </c>
      <c r="O191" s="1">
        <f t="shared" ca="1" si="70"/>
        <v>44</v>
      </c>
      <c r="P191" s="1"/>
      <c r="Q191" s="1">
        <f t="shared" ca="1" si="71"/>
        <v>0.3774589388515594</v>
      </c>
      <c r="R191" s="1">
        <f t="shared" ca="1" si="72"/>
        <v>770</v>
      </c>
      <c r="S191" s="1"/>
      <c r="T191" s="1">
        <f t="shared" ca="1" si="73"/>
        <v>0.11692141819348535</v>
      </c>
      <c r="U191" s="1">
        <f t="shared" ca="1" si="74"/>
        <v>171</v>
      </c>
      <c r="V191" s="1">
        <f t="shared" ca="1" si="75"/>
        <v>11</v>
      </c>
      <c r="W191" s="1"/>
      <c r="X191" s="1">
        <f t="shared" ca="1" si="76"/>
        <v>2.4324567933218733</v>
      </c>
      <c r="Y191" s="1">
        <f t="shared" ca="1" si="77"/>
        <v>0.65762548480647265</v>
      </c>
      <c r="Z191" s="1">
        <f t="shared" ca="1" si="78"/>
        <v>1864</v>
      </c>
      <c r="AB191" s="1">
        <f t="shared" ca="1" si="79"/>
        <v>0.22055010014299001</v>
      </c>
      <c r="AC191" s="1">
        <f t="shared" ca="1" si="80"/>
        <v>641</v>
      </c>
      <c r="AD191" s="1">
        <f t="shared" ca="1" si="81"/>
        <v>2.3097955577591144E-3</v>
      </c>
      <c r="AE191" s="1"/>
      <c r="AF191" s="1">
        <f t="shared" ca="1" si="82"/>
        <v>0.66355904931818954</v>
      </c>
      <c r="AG191" s="1">
        <f t="shared" ca="1" si="83"/>
        <v>673</v>
      </c>
      <c r="AH191" s="1">
        <f t="shared" ca="1" si="84"/>
        <v>4.035391511251778E-3</v>
      </c>
      <c r="AJ191" s="1">
        <f t="shared" ca="1" si="85"/>
        <v>0.50968039677364196</v>
      </c>
      <c r="AK191" s="1">
        <f t="shared" ca="1" si="86"/>
        <v>4.2422931266101549E-3</v>
      </c>
      <c r="AL191" s="1"/>
      <c r="AM191" s="1">
        <f t="shared" ca="1" si="87"/>
        <v>0.11344074314831892</v>
      </c>
      <c r="AN191" s="1">
        <f t="shared" ca="1" si="88"/>
        <v>47</v>
      </c>
      <c r="AO191" s="1">
        <f t="shared" ca="1" si="89"/>
        <v>1</v>
      </c>
    </row>
    <row r="192" spans="2:41" x14ac:dyDescent="0.25">
      <c r="B192">
        <f t="shared" ca="1" si="60"/>
        <v>588</v>
      </c>
      <c r="C192">
        <f t="shared" ca="1" si="61"/>
        <v>2</v>
      </c>
      <c r="D192">
        <f t="shared" ca="1" si="62"/>
        <v>0.21244919613434934</v>
      </c>
      <c r="F192" s="1">
        <f t="shared" ca="1" si="63"/>
        <v>49</v>
      </c>
      <c r="G192" s="1">
        <f t="shared" ca="1" si="64"/>
        <v>22</v>
      </c>
      <c r="H192" s="1">
        <f t="shared" ca="1" si="65"/>
        <v>9</v>
      </c>
      <c r="I192" s="1"/>
      <c r="J192" s="1">
        <f t="shared" ca="1" si="66"/>
        <v>32</v>
      </c>
      <c r="K192" s="1">
        <f t="shared" ca="1" si="67"/>
        <v>1.1864130197849203</v>
      </c>
      <c r="L192" s="1">
        <f t="shared" ca="1" si="68"/>
        <v>29</v>
      </c>
      <c r="M192" s="1"/>
      <c r="N192" s="1">
        <f t="shared" ca="1" si="69"/>
        <v>62</v>
      </c>
      <c r="O192" s="1">
        <f t="shared" ca="1" si="70"/>
        <v>10</v>
      </c>
      <c r="P192" s="1"/>
      <c r="Q192" s="1">
        <f t="shared" ca="1" si="71"/>
        <v>3.7112874753281919</v>
      </c>
      <c r="R192" s="1">
        <f t="shared" ca="1" si="72"/>
        <v>976</v>
      </c>
      <c r="S192" s="1"/>
      <c r="T192" s="1">
        <f t="shared" ca="1" si="73"/>
        <v>8.3439653607359984E-2</v>
      </c>
      <c r="U192" s="1">
        <f t="shared" ca="1" si="74"/>
        <v>190</v>
      </c>
      <c r="V192" s="1">
        <f t="shared" ca="1" si="75"/>
        <v>31</v>
      </c>
      <c r="W192" s="1"/>
      <c r="X192" s="1">
        <f t="shared" ca="1" si="76"/>
        <v>9.4086803062776827</v>
      </c>
      <c r="Y192" s="1">
        <f t="shared" ca="1" si="77"/>
        <v>0.61905653703574293</v>
      </c>
      <c r="Z192" s="1">
        <f t="shared" ca="1" si="78"/>
        <v>565</v>
      </c>
      <c r="AB192" s="1">
        <f t="shared" ca="1" si="79"/>
        <v>0.38206256437155445</v>
      </c>
      <c r="AC192" s="1">
        <f t="shared" ca="1" si="80"/>
        <v>200</v>
      </c>
      <c r="AD192" s="1">
        <f t="shared" ca="1" si="81"/>
        <v>1.5659996637254587E-3</v>
      </c>
      <c r="AE192" s="1"/>
      <c r="AF192" s="1">
        <f t="shared" ca="1" si="82"/>
        <v>0.25538625968483453</v>
      </c>
      <c r="AG192" s="1">
        <f t="shared" ca="1" si="83"/>
        <v>907</v>
      </c>
      <c r="AH192" s="1">
        <f t="shared" ca="1" si="84"/>
        <v>3.2139726970848372E-3</v>
      </c>
      <c r="AJ192" s="1">
        <f t="shared" ca="1" si="85"/>
        <v>0.65363808293738046</v>
      </c>
      <c r="AK192" s="1">
        <f t="shared" ca="1" si="86"/>
        <v>4.1239007081485656E-3</v>
      </c>
      <c r="AL192" s="1"/>
      <c r="AM192" s="1">
        <f t="shared" ca="1" si="87"/>
        <v>7.0568252420281377E-2</v>
      </c>
      <c r="AN192" s="1">
        <f t="shared" ca="1" si="88"/>
        <v>31</v>
      </c>
      <c r="AO192" s="1">
        <f t="shared" ca="1" si="89"/>
        <v>20</v>
      </c>
    </row>
    <row r="193" spans="2:41" x14ac:dyDescent="0.25">
      <c r="B193">
        <f t="shared" ca="1" si="60"/>
        <v>588</v>
      </c>
      <c r="C193">
        <f t="shared" ca="1" si="61"/>
        <v>38</v>
      </c>
      <c r="D193">
        <f t="shared" ca="1" si="62"/>
        <v>3.1460215053802552E-2</v>
      </c>
      <c r="F193" s="1">
        <f t="shared" ca="1" si="63"/>
        <v>3</v>
      </c>
      <c r="G193" s="1">
        <f t="shared" ca="1" si="64"/>
        <v>12</v>
      </c>
      <c r="H193" s="1">
        <f t="shared" ca="1" si="65"/>
        <v>10</v>
      </c>
      <c r="I193" s="1"/>
      <c r="J193" s="1">
        <f t="shared" ca="1" si="66"/>
        <v>2</v>
      </c>
      <c r="K193" s="1">
        <f t="shared" ca="1" si="67"/>
        <v>2.3642646868675419</v>
      </c>
      <c r="L193" s="1">
        <f t="shared" ca="1" si="68"/>
        <v>19</v>
      </c>
      <c r="M193" s="1"/>
      <c r="N193" s="1">
        <f t="shared" ca="1" si="69"/>
        <v>922</v>
      </c>
      <c r="O193" s="1">
        <f t="shared" ca="1" si="70"/>
        <v>33</v>
      </c>
      <c r="P193" s="1"/>
      <c r="Q193" s="1">
        <f t="shared" ca="1" si="71"/>
        <v>1.0109367981834063</v>
      </c>
      <c r="R193" s="1">
        <f t="shared" ca="1" si="72"/>
        <v>1012</v>
      </c>
      <c r="S193" s="1"/>
      <c r="T193" s="1">
        <f t="shared" ca="1" si="73"/>
        <v>0.18671657505041045</v>
      </c>
      <c r="U193" s="1">
        <f t="shared" ca="1" si="74"/>
        <v>426</v>
      </c>
      <c r="V193" s="1">
        <f t="shared" ca="1" si="75"/>
        <v>2</v>
      </c>
      <c r="W193" s="1"/>
      <c r="X193" s="1">
        <f t="shared" ca="1" si="76"/>
        <v>2.6234023565518405</v>
      </c>
      <c r="Y193" s="1">
        <f t="shared" ca="1" si="77"/>
        <v>0.61280101693352296</v>
      </c>
      <c r="Z193" s="1">
        <f t="shared" ca="1" si="78"/>
        <v>1651</v>
      </c>
      <c r="AB193" s="1">
        <f t="shared" ca="1" si="79"/>
        <v>0.49081346140568904</v>
      </c>
      <c r="AC193" s="1">
        <f t="shared" ca="1" si="80"/>
        <v>799</v>
      </c>
      <c r="AD193" s="1">
        <f t="shared" ca="1" si="81"/>
        <v>8.6269417081763396E-3</v>
      </c>
      <c r="AE193" s="1"/>
      <c r="AF193" s="1">
        <f t="shared" ca="1" si="82"/>
        <v>0.6910091028249824</v>
      </c>
      <c r="AG193" s="1">
        <f t="shared" ca="1" si="83"/>
        <v>823</v>
      </c>
      <c r="AH193" s="1">
        <f t="shared" ca="1" si="84"/>
        <v>5.8847998056958482E-3</v>
      </c>
      <c r="AJ193" s="1">
        <f t="shared" ca="1" si="85"/>
        <v>0.81583360030431662</v>
      </c>
      <c r="AK193" s="1">
        <f t="shared" ca="1" si="86"/>
        <v>1.1087673991829056E-3</v>
      </c>
      <c r="AL193" s="1"/>
      <c r="AM193" s="1">
        <f t="shared" ca="1" si="87"/>
        <v>0.15558387491254855</v>
      </c>
      <c r="AN193" s="1">
        <f t="shared" ca="1" si="88"/>
        <v>74</v>
      </c>
      <c r="AO193" s="1">
        <f t="shared" ca="1" si="89"/>
        <v>0</v>
      </c>
    </row>
    <row r="194" spans="2:41" x14ac:dyDescent="0.25">
      <c r="B194">
        <f t="shared" ca="1" si="60"/>
        <v>827</v>
      </c>
      <c r="C194">
        <f t="shared" ca="1" si="61"/>
        <v>41</v>
      </c>
      <c r="D194">
        <f t="shared" ca="1" si="62"/>
        <v>0.18716876394451037</v>
      </c>
      <c r="F194" s="1">
        <f t="shared" ca="1" si="63"/>
        <v>6</v>
      </c>
      <c r="G194" s="1">
        <f t="shared" ca="1" si="64"/>
        <v>13</v>
      </c>
      <c r="H194" s="1">
        <f t="shared" ca="1" si="65"/>
        <v>15</v>
      </c>
      <c r="I194" s="1"/>
      <c r="J194" s="1">
        <f t="shared" ca="1" si="66"/>
        <v>16</v>
      </c>
      <c r="K194" s="1">
        <f t="shared" ca="1" si="67"/>
        <v>1.2047937854407491</v>
      </c>
      <c r="L194" s="1">
        <f t="shared" ca="1" si="68"/>
        <v>5</v>
      </c>
      <c r="M194" s="1"/>
      <c r="N194" s="1">
        <f t="shared" ca="1" si="69"/>
        <v>286</v>
      </c>
      <c r="O194" s="1">
        <f t="shared" ca="1" si="70"/>
        <v>20</v>
      </c>
      <c r="P194" s="1"/>
      <c r="Q194" s="1">
        <f t="shared" ca="1" si="71"/>
        <v>3.9527730072803857</v>
      </c>
      <c r="R194" s="1">
        <f t="shared" ca="1" si="72"/>
        <v>866</v>
      </c>
      <c r="S194" s="1"/>
      <c r="T194" s="1">
        <f t="shared" ca="1" si="73"/>
        <v>1.9200723804213497E-2</v>
      </c>
      <c r="U194" s="1">
        <f t="shared" ca="1" si="74"/>
        <v>374</v>
      </c>
      <c r="V194" s="1">
        <f t="shared" ca="1" si="75"/>
        <v>47</v>
      </c>
      <c r="W194" s="1"/>
      <c r="X194" s="1">
        <f t="shared" ca="1" si="76"/>
        <v>5.7047468429903585</v>
      </c>
      <c r="Y194" s="1">
        <f t="shared" ca="1" si="77"/>
        <v>6.5340932551835457E-2</v>
      </c>
      <c r="Z194" s="1">
        <f t="shared" ca="1" si="78"/>
        <v>144</v>
      </c>
      <c r="AB194" s="1">
        <f t="shared" ca="1" si="79"/>
        <v>0.32479421415506654</v>
      </c>
      <c r="AC194" s="1">
        <f t="shared" ca="1" si="80"/>
        <v>452</v>
      </c>
      <c r="AD194" s="1">
        <f t="shared" ca="1" si="81"/>
        <v>6.9628171907137708E-3</v>
      </c>
      <c r="AE194" s="1"/>
      <c r="AF194" s="1">
        <f t="shared" ca="1" si="82"/>
        <v>0.39995948876321064</v>
      </c>
      <c r="AG194" s="1">
        <f t="shared" ca="1" si="83"/>
        <v>487</v>
      </c>
      <c r="AH194" s="1">
        <f t="shared" ca="1" si="84"/>
        <v>7.7407862271843811E-3</v>
      </c>
      <c r="AJ194" s="1">
        <f t="shared" ca="1" si="85"/>
        <v>0.65281039385098005</v>
      </c>
      <c r="AK194" s="1">
        <f t="shared" ca="1" si="86"/>
        <v>2.7400330193799705E-3</v>
      </c>
      <c r="AL194" s="1"/>
      <c r="AM194" s="1">
        <f t="shared" ca="1" si="87"/>
        <v>2.3811706718987472E-2</v>
      </c>
      <c r="AN194" s="1">
        <f t="shared" ca="1" si="88"/>
        <v>20</v>
      </c>
      <c r="AO194" s="1">
        <f t="shared" ca="1" si="89"/>
        <v>3</v>
      </c>
    </row>
    <row r="195" spans="2:41" x14ac:dyDescent="0.25">
      <c r="B195">
        <f t="shared" ca="1" si="60"/>
        <v>454</v>
      </c>
      <c r="C195">
        <f t="shared" ca="1" si="61"/>
        <v>22</v>
      </c>
      <c r="D195">
        <f t="shared" ca="1" si="62"/>
        <v>0.12797316621002852</v>
      </c>
      <c r="F195" s="1">
        <f t="shared" ca="1" si="63"/>
        <v>19</v>
      </c>
      <c r="G195" s="1">
        <f t="shared" ca="1" si="64"/>
        <v>15</v>
      </c>
      <c r="H195" s="1">
        <f t="shared" ca="1" si="65"/>
        <v>1</v>
      </c>
      <c r="I195" s="1"/>
      <c r="J195" s="1">
        <f t="shared" ca="1" si="66"/>
        <v>17</v>
      </c>
      <c r="K195" s="1">
        <f t="shared" ca="1" si="67"/>
        <v>1.0633555825531487</v>
      </c>
      <c r="L195" s="1">
        <f t="shared" ca="1" si="68"/>
        <v>20</v>
      </c>
      <c r="M195" s="1"/>
      <c r="N195" s="1">
        <f t="shared" ca="1" si="69"/>
        <v>830</v>
      </c>
      <c r="O195" s="1">
        <f t="shared" ca="1" si="70"/>
        <v>39</v>
      </c>
      <c r="P195" s="1"/>
      <c r="Q195" s="1">
        <f t="shared" ca="1" si="71"/>
        <v>1.5919923167820118</v>
      </c>
      <c r="R195" s="1">
        <f t="shared" ca="1" si="72"/>
        <v>879</v>
      </c>
      <c r="S195" s="1"/>
      <c r="T195" s="1">
        <f t="shared" ca="1" si="73"/>
        <v>0.16227107487959636</v>
      </c>
      <c r="U195" s="1">
        <f t="shared" ca="1" si="74"/>
        <v>197</v>
      </c>
      <c r="V195" s="1">
        <f t="shared" ca="1" si="75"/>
        <v>36</v>
      </c>
      <c r="W195" s="1"/>
      <c r="X195" s="1">
        <f t="shared" ca="1" si="76"/>
        <v>9.1177047460588714</v>
      </c>
      <c r="Y195" s="1">
        <f t="shared" ca="1" si="77"/>
        <v>5.5632145366443675E-2</v>
      </c>
      <c r="Z195" s="1">
        <f t="shared" ca="1" si="78"/>
        <v>751</v>
      </c>
      <c r="AB195" s="1">
        <f t="shared" ca="1" si="79"/>
        <v>0.91618454687594519</v>
      </c>
      <c r="AC195" s="1">
        <f t="shared" ca="1" si="80"/>
        <v>693</v>
      </c>
      <c r="AD195" s="1">
        <f t="shared" ca="1" si="81"/>
        <v>4.7260375543744602E-3</v>
      </c>
      <c r="AE195" s="1"/>
      <c r="AF195" s="1">
        <f t="shared" ca="1" si="82"/>
        <v>0.31177227415267195</v>
      </c>
      <c r="AG195" s="1">
        <f t="shared" ca="1" si="83"/>
        <v>267</v>
      </c>
      <c r="AH195" s="1">
        <f t="shared" ca="1" si="84"/>
        <v>7.5963222275361288E-3</v>
      </c>
      <c r="AJ195" s="1">
        <f t="shared" ca="1" si="85"/>
        <v>0.98399353710221393</v>
      </c>
      <c r="AK195" s="1">
        <f t="shared" ca="1" si="86"/>
        <v>8.661212417595902E-3</v>
      </c>
      <c r="AL195" s="1"/>
      <c r="AM195" s="1">
        <f t="shared" ca="1" si="87"/>
        <v>0.14385868561918705</v>
      </c>
      <c r="AN195" s="1">
        <f t="shared" ca="1" si="88"/>
        <v>16</v>
      </c>
      <c r="AO195" s="1">
        <f t="shared" ca="1" si="89"/>
        <v>-1</v>
      </c>
    </row>
    <row r="196" spans="2:41" x14ac:dyDescent="0.25">
      <c r="B196">
        <f t="shared" ref="B196:B202" ca="1" si="90">RANDBETWEEN(15,1000)</f>
        <v>119</v>
      </c>
      <c r="C196">
        <f t="shared" ref="C196:C202" ca="1" si="91">RANDBETWEEN(2,52)</f>
        <v>25</v>
      </c>
      <c r="D196">
        <f t="shared" ref="D196:D202" ca="1" si="92">RAND()*(0.3-0.01)+0.01</f>
        <v>0.25411363921885288</v>
      </c>
      <c r="F196" s="1">
        <f t="shared" ref="F196:F202" ca="1" si="93">RANDBETWEEN(2,52)</f>
        <v>30</v>
      </c>
      <c r="G196" s="1">
        <f t="shared" ref="G196:G202" ca="1" si="94">RANDBETWEEN(2,30)</f>
        <v>14</v>
      </c>
      <c r="H196" s="1">
        <f t="shared" ref="H196:H202" ca="1" si="95">RANDBETWEEN(1,15)</f>
        <v>4</v>
      </c>
      <c r="I196" s="1"/>
      <c r="J196" s="1">
        <f t="shared" ref="J196:J202" ca="1" si="96">RANDBETWEEN(1,39)</f>
        <v>34</v>
      </c>
      <c r="K196" s="1">
        <f t="shared" ref="K196:K202" ca="1" si="97">RAND()*(3-1)+1</f>
        <v>2.3475273000248613</v>
      </c>
      <c r="L196" s="1">
        <f t="shared" ref="L196:L202" ca="1" si="98">RANDBETWEEN(2,35)</f>
        <v>13</v>
      </c>
      <c r="M196" s="1"/>
      <c r="N196" s="1">
        <f t="shared" ref="N196:N202" ca="1" si="99">RANDBETWEEN(15,1000)</f>
        <v>674</v>
      </c>
      <c r="O196" s="1">
        <f t="shared" ref="O196:O202" ca="1" si="100">RANDBETWEEN(2,52)</f>
        <v>17</v>
      </c>
      <c r="P196" s="1"/>
      <c r="Q196" s="1">
        <f t="shared" ref="Q196:Q202" ca="1" si="101">RAND()*(5-0.01)+0.01</f>
        <v>2.8247650390471217</v>
      </c>
      <c r="R196" s="1">
        <f t="shared" ref="R196:R202" ca="1" si="102">RANDBETWEEN(200,1200)</f>
        <v>232</v>
      </c>
      <c r="S196" s="1"/>
      <c r="T196" s="1">
        <f t="shared" ref="T196:T202" ca="1" si="103">RAND()*(0.2-0.01)+0.01</f>
        <v>2.510329526996077E-2</v>
      </c>
      <c r="U196" s="1">
        <f t="shared" ref="U196:U202" ca="1" si="104">RANDBETWEEN(50,450)</f>
        <v>124</v>
      </c>
      <c r="V196" s="1">
        <f t="shared" ref="V196:V202" ca="1" si="105">RANDBETWEEN(2,52)</f>
        <v>42</v>
      </c>
      <c r="W196" s="1"/>
      <c r="X196" s="1">
        <f t="shared" ref="X196:X202" ca="1" si="106">RAND()*(10-0.01)+0.01</f>
        <v>1.6996731270667687</v>
      </c>
      <c r="Y196" s="1">
        <f t="shared" ref="Y196:Y202" ca="1" si="107">RAND()*(1-0.0001)+0.0001</f>
        <v>0.58197983947372978</v>
      </c>
      <c r="Z196" s="1">
        <f t="shared" ref="Z196:Z202" ca="1" si="108">RANDBETWEEN(100,2000)</f>
        <v>1948</v>
      </c>
      <c r="AB196" s="1">
        <f t="shared" ref="AB196:AB202" ca="1" si="109">RAND()*(1-0.0001)+0.0001</f>
        <v>0.95106579533529045</v>
      </c>
      <c r="AC196" s="1">
        <f t="shared" ref="AC196:AC202" ca="1" si="110">RANDBETWEEN(100,1000)</f>
        <v>837</v>
      </c>
      <c r="AD196" s="1">
        <f t="shared" ref="AD196:AD202" ca="1" si="111">RAND()*(0.01-0.00001)+0.00001</f>
        <v>8.0578186640278219E-3</v>
      </c>
      <c r="AE196" s="1"/>
      <c r="AF196" s="1">
        <f t="shared" ref="AF196:AF202" ca="1" si="112">RAND()*(0.9-0.1)+0.1</f>
        <v>0.29499760195990615</v>
      </c>
      <c r="AG196" s="1">
        <f t="shared" ref="AG196:AG202" ca="1" si="113">RANDBETWEEN(100,1000)</f>
        <v>665</v>
      </c>
      <c r="AH196" s="1">
        <f t="shared" ref="AH196:AH202" ca="1" si="114">RAND()*(0.01-0.00001)+0.00001</f>
        <v>2.4534978590736336E-3</v>
      </c>
      <c r="AJ196" s="1">
        <f t="shared" ref="AJ196:AJ202" ca="1" si="115">RAND()*(1-0)+0</f>
        <v>0.45420804601674636</v>
      </c>
      <c r="AK196" s="1">
        <f t="shared" ref="AK196:AK202" ca="1" si="116">RAND()*(0.01-0.00001)+0.00001</f>
        <v>6.8947651971571246E-3</v>
      </c>
      <c r="AL196" s="1"/>
      <c r="AM196" s="1">
        <f t="shared" ref="AM196:AM202" ca="1" si="117">RAND()*(0.2-0.005)+0.005</f>
        <v>0.18648965365212331</v>
      </c>
      <c r="AN196" s="1">
        <f t="shared" ref="AN196:AN202" ca="1" si="118">RANDBETWEEN(10,80)</f>
        <v>49</v>
      </c>
      <c r="AO196" s="1">
        <f t="shared" ref="AO196:AO202" ca="1" si="119">RANDBETWEEN(-1,20)</f>
        <v>5</v>
      </c>
    </row>
    <row r="197" spans="2:41" x14ac:dyDescent="0.25">
      <c r="B197">
        <f t="shared" ca="1" si="90"/>
        <v>413</v>
      </c>
      <c r="C197">
        <f t="shared" ca="1" si="91"/>
        <v>4</v>
      </c>
      <c r="D197">
        <f t="shared" ca="1" si="92"/>
        <v>0.29538844177189072</v>
      </c>
      <c r="F197" s="1">
        <f t="shared" ca="1" si="93"/>
        <v>41</v>
      </c>
      <c r="G197" s="1">
        <f t="shared" ca="1" si="94"/>
        <v>14</v>
      </c>
      <c r="H197" s="1">
        <f t="shared" ca="1" si="95"/>
        <v>13</v>
      </c>
      <c r="I197" s="1"/>
      <c r="J197" s="1">
        <f t="shared" ca="1" si="96"/>
        <v>16</v>
      </c>
      <c r="K197" s="1">
        <f t="shared" ca="1" si="97"/>
        <v>2.7017740102457073</v>
      </c>
      <c r="L197" s="1">
        <f t="shared" ca="1" si="98"/>
        <v>31</v>
      </c>
      <c r="M197" s="1"/>
      <c r="N197" s="1">
        <f t="shared" ca="1" si="99"/>
        <v>376</v>
      </c>
      <c r="O197" s="1">
        <f t="shared" ca="1" si="100"/>
        <v>32</v>
      </c>
      <c r="P197" s="1"/>
      <c r="Q197" s="1">
        <f t="shared" ca="1" si="101"/>
        <v>3.9526757787649967</v>
      </c>
      <c r="R197" s="1">
        <f t="shared" ca="1" si="102"/>
        <v>713</v>
      </c>
      <c r="S197" s="1"/>
      <c r="T197" s="1">
        <f t="shared" ca="1" si="103"/>
        <v>0.14949240472819217</v>
      </c>
      <c r="U197" s="1">
        <f t="shared" ca="1" si="104"/>
        <v>278</v>
      </c>
      <c r="V197" s="1">
        <f t="shared" ca="1" si="105"/>
        <v>22</v>
      </c>
      <c r="W197" s="1"/>
      <c r="X197" s="1">
        <f t="shared" ca="1" si="106"/>
        <v>6.5919596029418521</v>
      </c>
      <c r="Y197" s="1">
        <f t="shared" ca="1" si="107"/>
        <v>0.70055324353420245</v>
      </c>
      <c r="Z197" s="1">
        <f t="shared" ca="1" si="108"/>
        <v>1087</v>
      </c>
      <c r="AB197" s="1">
        <f t="shared" ca="1" si="109"/>
        <v>0.12257137585109032</v>
      </c>
      <c r="AC197" s="1">
        <f t="shared" ca="1" si="110"/>
        <v>883</v>
      </c>
      <c r="AD197" s="1">
        <f t="shared" ca="1" si="111"/>
        <v>4.2337076303056182E-3</v>
      </c>
      <c r="AE197" s="1"/>
      <c r="AF197" s="1">
        <f t="shared" ca="1" si="112"/>
        <v>0.67916492590864308</v>
      </c>
      <c r="AG197" s="1">
        <f t="shared" ca="1" si="113"/>
        <v>883</v>
      </c>
      <c r="AH197" s="1">
        <f t="shared" ca="1" si="114"/>
        <v>8.7022322854700372E-3</v>
      </c>
      <c r="AJ197" s="1">
        <f t="shared" ca="1" si="115"/>
        <v>5.6121680025412957E-2</v>
      </c>
      <c r="AK197" s="1">
        <f t="shared" ca="1" si="116"/>
        <v>6.4773071012521584E-3</v>
      </c>
      <c r="AL197" s="1"/>
      <c r="AM197" s="1">
        <f t="shared" ca="1" si="117"/>
        <v>9.0896731906110639E-2</v>
      </c>
      <c r="AN197" s="1">
        <f t="shared" ca="1" si="118"/>
        <v>18</v>
      </c>
      <c r="AO197" s="1">
        <f t="shared" ca="1" si="119"/>
        <v>0</v>
      </c>
    </row>
    <row r="198" spans="2:41" x14ac:dyDescent="0.25">
      <c r="B198">
        <f t="shared" ca="1" si="90"/>
        <v>169</v>
      </c>
      <c r="C198">
        <f t="shared" ca="1" si="91"/>
        <v>34</v>
      </c>
      <c r="D198">
        <f t="shared" ca="1" si="92"/>
        <v>0.16500297122205737</v>
      </c>
      <c r="F198" s="1">
        <f t="shared" ca="1" si="93"/>
        <v>4</v>
      </c>
      <c r="G198" s="1">
        <f t="shared" ca="1" si="94"/>
        <v>9</v>
      </c>
      <c r="H198" s="1">
        <f t="shared" ca="1" si="95"/>
        <v>12</v>
      </c>
      <c r="I198" s="1"/>
      <c r="J198" s="1">
        <f t="shared" ca="1" si="96"/>
        <v>26</v>
      </c>
      <c r="K198" s="1">
        <f t="shared" ca="1" si="97"/>
        <v>2.9756006310320404</v>
      </c>
      <c r="L198" s="1">
        <f t="shared" ca="1" si="98"/>
        <v>9</v>
      </c>
      <c r="M198" s="1"/>
      <c r="N198" s="1">
        <f t="shared" ca="1" si="99"/>
        <v>834</v>
      </c>
      <c r="O198" s="1">
        <f t="shared" ca="1" si="100"/>
        <v>2</v>
      </c>
      <c r="P198" s="1"/>
      <c r="Q198" s="1">
        <f t="shared" ca="1" si="101"/>
        <v>1.4695273882721414</v>
      </c>
      <c r="R198" s="1">
        <f t="shared" ca="1" si="102"/>
        <v>760</v>
      </c>
      <c r="S198" s="1"/>
      <c r="T198" s="1">
        <f t="shared" ca="1" si="103"/>
        <v>3.2170760990234561E-2</v>
      </c>
      <c r="U198" s="1">
        <f t="shared" ca="1" si="104"/>
        <v>88</v>
      </c>
      <c r="V198" s="1">
        <f t="shared" ca="1" si="105"/>
        <v>32</v>
      </c>
      <c r="W198" s="1"/>
      <c r="X198" s="1">
        <f t="shared" ca="1" si="106"/>
        <v>5.6215277922681217</v>
      </c>
      <c r="Y198" s="1">
        <f t="shared" ca="1" si="107"/>
        <v>0.19317982749103221</v>
      </c>
      <c r="Z198" s="1">
        <f t="shared" ca="1" si="108"/>
        <v>1445</v>
      </c>
      <c r="AB198" s="1">
        <f t="shared" ca="1" si="109"/>
        <v>0.58860335114038453</v>
      </c>
      <c r="AC198" s="1">
        <f t="shared" ca="1" si="110"/>
        <v>573</v>
      </c>
      <c r="AD198" s="1">
        <f t="shared" ca="1" si="111"/>
        <v>7.3242615515858814E-3</v>
      </c>
      <c r="AE198" s="1"/>
      <c r="AF198" s="1">
        <f t="shared" ca="1" si="112"/>
        <v>0.75030400446074108</v>
      </c>
      <c r="AG198" s="1">
        <f t="shared" ca="1" si="113"/>
        <v>246</v>
      </c>
      <c r="AH198" s="1">
        <f t="shared" ca="1" si="114"/>
        <v>7.2567693801164051E-3</v>
      </c>
      <c r="AJ198" s="1">
        <f t="shared" ca="1" si="115"/>
        <v>0.66155081095747703</v>
      </c>
      <c r="AK198" s="1">
        <f t="shared" ca="1" si="116"/>
        <v>8.8340608138737578E-3</v>
      </c>
      <c r="AL198" s="1"/>
      <c r="AM198" s="1">
        <f t="shared" ca="1" si="117"/>
        <v>0.10146312787404956</v>
      </c>
      <c r="AN198" s="1">
        <f t="shared" ca="1" si="118"/>
        <v>38</v>
      </c>
      <c r="AO198" s="1">
        <f t="shared" ca="1" si="119"/>
        <v>1</v>
      </c>
    </row>
    <row r="199" spans="2:41" x14ac:dyDescent="0.25">
      <c r="B199">
        <f t="shared" ca="1" si="90"/>
        <v>348</v>
      </c>
      <c r="C199">
        <f t="shared" ca="1" si="91"/>
        <v>42</v>
      </c>
      <c r="D199">
        <f t="shared" ca="1" si="92"/>
        <v>0.1341482977156401</v>
      </c>
      <c r="F199" s="1">
        <f t="shared" ca="1" si="93"/>
        <v>13</v>
      </c>
      <c r="G199" s="1">
        <f t="shared" ca="1" si="94"/>
        <v>29</v>
      </c>
      <c r="H199" s="1">
        <f t="shared" ca="1" si="95"/>
        <v>3</v>
      </c>
      <c r="I199" s="1"/>
      <c r="J199" s="1">
        <f t="shared" ca="1" si="96"/>
        <v>7</v>
      </c>
      <c r="K199" s="1">
        <f t="shared" ca="1" si="97"/>
        <v>1.6419656137072798</v>
      </c>
      <c r="L199" s="1">
        <f t="shared" ca="1" si="98"/>
        <v>2</v>
      </c>
      <c r="M199" s="1"/>
      <c r="N199" s="1">
        <f t="shared" ca="1" si="99"/>
        <v>28</v>
      </c>
      <c r="O199" s="1">
        <f t="shared" ca="1" si="100"/>
        <v>7</v>
      </c>
      <c r="P199" s="1"/>
      <c r="Q199" s="1">
        <f t="shared" ca="1" si="101"/>
        <v>2.8089025171807265</v>
      </c>
      <c r="R199" s="1">
        <f t="shared" ca="1" si="102"/>
        <v>483</v>
      </c>
      <c r="S199" s="1"/>
      <c r="T199" s="1">
        <f t="shared" ca="1" si="103"/>
        <v>2.94031087165137E-2</v>
      </c>
      <c r="U199" s="1">
        <f t="shared" ca="1" si="104"/>
        <v>174</v>
      </c>
      <c r="V199" s="1">
        <f t="shared" ca="1" si="105"/>
        <v>29</v>
      </c>
      <c r="W199" s="1"/>
      <c r="X199" s="1">
        <f t="shared" ca="1" si="106"/>
        <v>6.8050919457348211</v>
      </c>
      <c r="Y199" s="1">
        <f t="shared" ca="1" si="107"/>
        <v>0.12474040599657658</v>
      </c>
      <c r="Z199" s="1">
        <f t="shared" ca="1" si="108"/>
        <v>427</v>
      </c>
      <c r="AB199" s="1">
        <f t="shared" ca="1" si="109"/>
        <v>0.24308206299528279</v>
      </c>
      <c r="AC199" s="1">
        <f t="shared" ca="1" si="110"/>
        <v>167</v>
      </c>
      <c r="AD199" s="1">
        <f t="shared" ca="1" si="111"/>
        <v>5.2264171704620921E-3</v>
      </c>
      <c r="AE199" s="1"/>
      <c r="AF199" s="1">
        <f t="shared" ca="1" si="112"/>
        <v>0.48986475387974748</v>
      </c>
      <c r="AG199" s="1">
        <f t="shared" ca="1" si="113"/>
        <v>486</v>
      </c>
      <c r="AH199" s="1">
        <f t="shared" ca="1" si="114"/>
        <v>9.3595428271363572E-4</v>
      </c>
      <c r="AJ199" s="1">
        <f t="shared" ca="1" si="115"/>
        <v>0.20246956062611854</v>
      </c>
      <c r="AK199" s="1">
        <f t="shared" ca="1" si="116"/>
        <v>8.8114108449176415E-3</v>
      </c>
      <c r="AL199" s="1"/>
      <c r="AM199" s="1">
        <f t="shared" ca="1" si="117"/>
        <v>0.14795660433938498</v>
      </c>
      <c r="AN199" s="1">
        <f t="shared" ca="1" si="118"/>
        <v>13</v>
      </c>
      <c r="AO199" s="1">
        <f t="shared" ca="1" si="119"/>
        <v>2</v>
      </c>
    </row>
    <row r="200" spans="2:41" x14ac:dyDescent="0.25">
      <c r="B200">
        <f t="shared" ca="1" si="90"/>
        <v>307</v>
      </c>
      <c r="C200">
        <f t="shared" ca="1" si="91"/>
        <v>22</v>
      </c>
      <c r="D200">
        <f t="shared" ca="1" si="92"/>
        <v>0.10959854506011689</v>
      </c>
      <c r="F200" s="1">
        <f t="shared" ca="1" si="93"/>
        <v>28</v>
      </c>
      <c r="G200" s="1">
        <f t="shared" ca="1" si="94"/>
        <v>3</v>
      </c>
      <c r="H200" s="1">
        <f t="shared" ca="1" si="95"/>
        <v>8</v>
      </c>
      <c r="I200" s="1"/>
      <c r="J200" s="1">
        <f t="shared" ca="1" si="96"/>
        <v>31</v>
      </c>
      <c r="K200" s="1">
        <f t="shared" ca="1" si="97"/>
        <v>1.5489157464154317</v>
      </c>
      <c r="L200" s="1">
        <f t="shared" ca="1" si="98"/>
        <v>33</v>
      </c>
      <c r="M200" s="1"/>
      <c r="N200" s="1">
        <f t="shared" ca="1" si="99"/>
        <v>638</v>
      </c>
      <c r="O200" s="1">
        <f t="shared" ca="1" si="100"/>
        <v>7</v>
      </c>
      <c r="P200" s="1"/>
      <c r="Q200" s="1">
        <f t="shared" ca="1" si="101"/>
        <v>2.8861421159179352</v>
      </c>
      <c r="R200" s="1">
        <f t="shared" ca="1" si="102"/>
        <v>389</v>
      </c>
      <c r="S200" s="1"/>
      <c r="T200" s="1">
        <f t="shared" ca="1" si="103"/>
        <v>2.8952266508322985E-2</v>
      </c>
      <c r="U200" s="1">
        <f t="shared" ca="1" si="104"/>
        <v>106</v>
      </c>
      <c r="V200" s="1">
        <f t="shared" ca="1" si="105"/>
        <v>14</v>
      </c>
      <c r="W200" s="1"/>
      <c r="X200" s="1">
        <f t="shared" ca="1" si="106"/>
        <v>8.3274384008229916</v>
      </c>
      <c r="Y200" s="1">
        <f t="shared" ca="1" si="107"/>
        <v>0.39053244073730192</v>
      </c>
      <c r="Z200" s="1">
        <f t="shared" ca="1" si="108"/>
        <v>522</v>
      </c>
      <c r="AB200" s="1">
        <f t="shared" ca="1" si="109"/>
        <v>0.4436164259061085</v>
      </c>
      <c r="AC200" s="1">
        <f t="shared" ca="1" si="110"/>
        <v>698</v>
      </c>
      <c r="AD200" s="1">
        <f t="shared" ca="1" si="111"/>
        <v>9.8865221062266456E-3</v>
      </c>
      <c r="AE200" s="1"/>
      <c r="AF200" s="1">
        <f t="shared" ca="1" si="112"/>
        <v>0.63010471459786221</v>
      </c>
      <c r="AG200" s="1">
        <f t="shared" ca="1" si="113"/>
        <v>779</v>
      </c>
      <c r="AH200" s="1">
        <f t="shared" ca="1" si="114"/>
        <v>5.8317579542691523E-3</v>
      </c>
      <c r="AJ200" s="1">
        <f t="shared" ca="1" si="115"/>
        <v>0.41831985020266871</v>
      </c>
      <c r="AK200" s="1">
        <f t="shared" ca="1" si="116"/>
        <v>7.7981120624912919E-3</v>
      </c>
      <c r="AL200" s="1"/>
      <c r="AM200" s="1">
        <f t="shared" ca="1" si="117"/>
        <v>0.13212444222860723</v>
      </c>
      <c r="AN200" s="1">
        <f t="shared" ca="1" si="118"/>
        <v>34</v>
      </c>
      <c r="AO200" s="1">
        <f t="shared" ca="1" si="119"/>
        <v>3</v>
      </c>
    </row>
    <row r="201" spans="2:41" x14ac:dyDescent="0.25">
      <c r="B201">
        <f t="shared" ca="1" si="90"/>
        <v>690</v>
      </c>
      <c r="C201">
        <f t="shared" ca="1" si="91"/>
        <v>46</v>
      </c>
      <c r="D201">
        <f t="shared" ca="1" si="92"/>
        <v>0.24587941128576207</v>
      </c>
      <c r="F201" s="1">
        <f t="shared" ca="1" si="93"/>
        <v>47</v>
      </c>
      <c r="G201" s="1">
        <f t="shared" ca="1" si="94"/>
        <v>29</v>
      </c>
      <c r="H201" s="1">
        <f t="shared" ca="1" si="95"/>
        <v>7</v>
      </c>
      <c r="I201" s="1"/>
      <c r="J201" s="1">
        <f t="shared" ca="1" si="96"/>
        <v>7</v>
      </c>
      <c r="K201" s="1">
        <f t="shared" ca="1" si="97"/>
        <v>2.9778275350077736</v>
      </c>
      <c r="L201" s="1">
        <f t="shared" ca="1" si="98"/>
        <v>8</v>
      </c>
      <c r="M201" s="1"/>
      <c r="N201" s="1">
        <f t="shared" ca="1" si="99"/>
        <v>131</v>
      </c>
      <c r="O201" s="1">
        <f t="shared" ca="1" si="100"/>
        <v>36</v>
      </c>
      <c r="P201" s="1"/>
      <c r="Q201" s="1">
        <f t="shared" ca="1" si="101"/>
        <v>2.0837067397514439</v>
      </c>
      <c r="R201" s="1">
        <f t="shared" ca="1" si="102"/>
        <v>980</v>
      </c>
      <c r="S201" s="1"/>
      <c r="T201" s="1">
        <f t="shared" ca="1" si="103"/>
        <v>4.6557838368566903E-2</v>
      </c>
      <c r="U201" s="1">
        <f t="shared" ca="1" si="104"/>
        <v>224</v>
      </c>
      <c r="V201" s="1">
        <f t="shared" ca="1" si="105"/>
        <v>35</v>
      </c>
      <c r="W201" s="1"/>
      <c r="X201" s="1">
        <f t="shared" ca="1" si="106"/>
        <v>2.0133453891918807</v>
      </c>
      <c r="Y201" s="1">
        <f t="shared" ca="1" si="107"/>
        <v>0.5175764121357681</v>
      </c>
      <c r="Z201" s="1">
        <f t="shared" ca="1" si="108"/>
        <v>1859</v>
      </c>
      <c r="AB201" s="1">
        <f t="shared" ca="1" si="109"/>
        <v>0.53340487278030824</v>
      </c>
      <c r="AC201" s="1">
        <f t="shared" ca="1" si="110"/>
        <v>188</v>
      </c>
      <c r="AD201" s="1">
        <f t="shared" ca="1" si="111"/>
        <v>9.8508455915123395E-3</v>
      </c>
      <c r="AE201" s="1"/>
      <c r="AF201" s="1">
        <f t="shared" ca="1" si="112"/>
        <v>0.89139367901861533</v>
      </c>
      <c r="AG201" s="1">
        <f t="shared" ca="1" si="113"/>
        <v>745</v>
      </c>
      <c r="AH201" s="1">
        <f t="shared" ca="1" si="114"/>
        <v>8.6941765910018114E-3</v>
      </c>
      <c r="AJ201" s="1">
        <f t="shared" ca="1" si="115"/>
        <v>0.2454293721124764</v>
      </c>
      <c r="AK201" s="1">
        <f t="shared" ca="1" si="116"/>
        <v>7.2722577317974766E-3</v>
      </c>
      <c r="AL201" s="1"/>
      <c r="AM201" s="1">
        <f t="shared" ca="1" si="117"/>
        <v>0.11676127924904627</v>
      </c>
      <c r="AN201" s="1">
        <f t="shared" ca="1" si="118"/>
        <v>11</v>
      </c>
      <c r="AO201" s="1">
        <f t="shared" ca="1" si="119"/>
        <v>17</v>
      </c>
    </row>
    <row r="202" spans="2:41" x14ac:dyDescent="0.25">
      <c r="B202">
        <f t="shared" ca="1" si="90"/>
        <v>851</v>
      </c>
      <c r="C202">
        <f t="shared" ca="1" si="91"/>
        <v>52</v>
      </c>
      <c r="D202">
        <f t="shared" ca="1" si="92"/>
        <v>7.5353707608448617E-2</v>
      </c>
      <c r="F202" s="1">
        <f t="shared" ca="1" si="93"/>
        <v>26</v>
      </c>
      <c r="G202" s="1">
        <f t="shared" ca="1" si="94"/>
        <v>25</v>
      </c>
      <c r="H202" s="1">
        <f t="shared" ca="1" si="95"/>
        <v>3</v>
      </c>
      <c r="I202" s="1"/>
      <c r="J202" s="1">
        <f t="shared" ca="1" si="96"/>
        <v>24</v>
      </c>
      <c r="K202" s="1">
        <f t="shared" ca="1" si="97"/>
        <v>2.9920651804183467</v>
      </c>
      <c r="L202" s="1">
        <f t="shared" ca="1" si="98"/>
        <v>3</v>
      </c>
      <c r="M202" s="1"/>
      <c r="N202" s="1">
        <f t="shared" ca="1" si="99"/>
        <v>762</v>
      </c>
      <c r="O202" s="1">
        <f t="shared" ca="1" si="100"/>
        <v>28</v>
      </c>
      <c r="P202" s="1"/>
      <c r="Q202" s="1">
        <f t="shared" ca="1" si="101"/>
        <v>0.35650463562939594</v>
      </c>
      <c r="R202" s="1">
        <f t="shared" ca="1" si="102"/>
        <v>670</v>
      </c>
      <c r="S202" s="1"/>
      <c r="T202" s="1">
        <f t="shared" ca="1" si="103"/>
        <v>0.14679473907476695</v>
      </c>
      <c r="U202" s="1">
        <f t="shared" ca="1" si="104"/>
        <v>276</v>
      </c>
      <c r="V202" s="1">
        <f t="shared" ca="1" si="105"/>
        <v>30</v>
      </c>
      <c r="W202" s="1"/>
      <c r="X202" s="1">
        <f t="shared" ca="1" si="106"/>
        <v>8.1199164574440648</v>
      </c>
      <c r="Y202" s="1">
        <f t="shared" ca="1" si="107"/>
        <v>9.2792994838261617E-2</v>
      </c>
      <c r="Z202" s="1">
        <f t="shared" ca="1" si="108"/>
        <v>1146</v>
      </c>
      <c r="AB202" s="1">
        <f t="shared" ca="1" si="109"/>
        <v>0.78474081618856195</v>
      </c>
      <c r="AC202" s="1">
        <f t="shared" ca="1" si="110"/>
        <v>209</v>
      </c>
      <c r="AD202" s="1">
        <f t="shared" ca="1" si="111"/>
        <v>1.9365053673417087E-3</v>
      </c>
      <c r="AE202" s="1"/>
      <c r="AF202" s="1">
        <f t="shared" ca="1" si="112"/>
        <v>0.80373188524549688</v>
      </c>
      <c r="AG202" s="1">
        <f t="shared" ca="1" si="113"/>
        <v>199</v>
      </c>
      <c r="AH202" s="1">
        <f t="shared" ca="1" si="114"/>
        <v>8.6883261640676168E-3</v>
      </c>
      <c r="AJ202" s="1">
        <f t="shared" ca="1" si="115"/>
        <v>0.57711118262209327</v>
      </c>
      <c r="AK202" s="1">
        <f t="shared" ca="1" si="116"/>
        <v>4.2898869359976583E-4</v>
      </c>
      <c r="AL202" s="1"/>
      <c r="AM202" s="1">
        <f t="shared" ca="1" si="117"/>
        <v>0.14765258176719495</v>
      </c>
      <c r="AN202" s="1">
        <f t="shared" ca="1" si="118"/>
        <v>44</v>
      </c>
      <c r="AO202" s="1">
        <f t="shared" ca="1" si="119"/>
        <v>17</v>
      </c>
    </row>
  </sheetData>
  <mergeCells count="13">
    <mergeCell ref="AU1:AW1"/>
    <mergeCell ref="AQ1:AS1"/>
    <mergeCell ref="AM1:AO1"/>
    <mergeCell ref="B1:D1"/>
    <mergeCell ref="F1:H1"/>
    <mergeCell ref="J1:L1"/>
    <mergeCell ref="N1:O1"/>
    <mergeCell ref="Q1:R1"/>
    <mergeCell ref="AJ1:AK1"/>
    <mergeCell ref="AB1:AD1"/>
    <mergeCell ref="AF1:AH1"/>
    <mergeCell ref="T1:V1"/>
    <mergeCell ref="X1:Z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Moradian</dc:creator>
  <cp:lastModifiedBy>Sam Moradian</cp:lastModifiedBy>
  <dcterms:created xsi:type="dcterms:W3CDTF">2015-06-05T18:17:20Z</dcterms:created>
  <dcterms:modified xsi:type="dcterms:W3CDTF">2026-04-20T14:19:28Z</dcterms:modified>
</cp:coreProperties>
</file>