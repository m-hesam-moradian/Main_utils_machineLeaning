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C507F603-C419-4F04-8DE5-4B5C9AE6F4D5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4" i="1" l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42" i="1"/>
  <c r="DH43" i="1"/>
  <c r="DH44" i="1"/>
  <c r="DH45" i="1"/>
  <c r="DH46" i="1"/>
  <c r="DH47" i="1"/>
  <c r="DH48" i="1"/>
  <c r="DH49" i="1"/>
  <c r="DH50" i="1"/>
  <c r="DH51" i="1"/>
  <c r="DH52" i="1"/>
  <c r="DH53" i="1"/>
  <c r="DH54" i="1"/>
  <c r="DH55" i="1"/>
  <c r="DH56" i="1"/>
  <c r="DH57" i="1"/>
  <c r="DH58" i="1"/>
  <c r="DH59" i="1"/>
  <c r="DH60" i="1"/>
  <c r="DH61" i="1"/>
  <c r="DH62" i="1"/>
  <c r="DH63" i="1"/>
  <c r="DH64" i="1"/>
  <c r="DH65" i="1"/>
  <c r="DH66" i="1"/>
  <c r="DH67" i="1"/>
  <c r="DH68" i="1"/>
  <c r="DH69" i="1"/>
  <c r="DH70" i="1"/>
  <c r="DH71" i="1"/>
  <c r="DH72" i="1"/>
  <c r="DH73" i="1"/>
  <c r="DH74" i="1"/>
  <c r="DH75" i="1"/>
  <c r="DH76" i="1"/>
  <c r="DH77" i="1"/>
  <c r="DH78" i="1"/>
  <c r="DH79" i="1"/>
  <c r="DH80" i="1"/>
  <c r="DH81" i="1"/>
  <c r="DH82" i="1"/>
  <c r="DH83" i="1"/>
  <c r="DH84" i="1"/>
  <c r="DH85" i="1"/>
  <c r="DH86" i="1"/>
  <c r="DH87" i="1"/>
  <c r="DH88" i="1"/>
  <c r="DH89" i="1"/>
  <c r="DH90" i="1"/>
  <c r="DH91" i="1"/>
  <c r="DH92" i="1"/>
  <c r="DH93" i="1"/>
  <c r="DH94" i="1"/>
  <c r="DH95" i="1"/>
  <c r="DH96" i="1"/>
  <c r="DH97" i="1"/>
  <c r="DH98" i="1"/>
  <c r="DH99" i="1"/>
  <c r="DH100" i="1"/>
  <c r="DH101" i="1"/>
  <c r="DH102" i="1"/>
  <c r="DH103" i="1"/>
  <c r="DH104" i="1"/>
  <c r="DH105" i="1"/>
  <c r="DH106" i="1"/>
  <c r="DH107" i="1"/>
  <c r="DH108" i="1"/>
  <c r="DH109" i="1"/>
  <c r="DH110" i="1"/>
  <c r="DH111" i="1"/>
  <c r="DH112" i="1"/>
  <c r="DH113" i="1"/>
  <c r="DH114" i="1"/>
  <c r="DH115" i="1"/>
  <c r="DH116" i="1"/>
  <c r="DH117" i="1"/>
  <c r="DH118" i="1"/>
  <c r="DH119" i="1"/>
  <c r="DH120" i="1"/>
  <c r="DH121" i="1"/>
  <c r="DH122" i="1"/>
  <c r="DH123" i="1"/>
  <c r="DH124" i="1"/>
  <c r="DH125" i="1"/>
  <c r="DH126" i="1"/>
  <c r="DH127" i="1"/>
  <c r="DH128" i="1"/>
  <c r="DH129" i="1"/>
  <c r="DH130" i="1"/>
  <c r="DH131" i="1"/>
  <c r="DH132" i="1"/>
  <c r="DH133" i="1"/>
  <c r="DH134" i="1"/>
  <c r="DH135" i="1"/>
  <c r="DH136" i="1"/>
  <c r="DH137" i="1"/>
  <c r="DH138" i="1"/>
  <c r="DH139" i="1"/>
  <c r="DH140" i="1"/>
  <c r="DH141" i="1"/>
  <c r="DH142" i="1"/>
  <c r="DH143" i="1"/>
  <c r="DH144" i="1"/>
  <c r="DH145" i="1"/>
  <c r="DH146" i="1"/>
  <c r="DH147" i="1"/>
  <c r="DH148" i="1"/>
  <c r="DH149" i="1"/>
  <c r="DH150" i="1"/>
  <c r="DH151" i="1"/>
  <c r="DH152" i="1"/>
  <c r="DH153" i="1"/>
  <c r="DH154" i="1"/>
  <c r="DH155" i="1"/>
  <c r="DH156" i="1"/>
  <c r="DH157" i="1"/>
  <c r="DH158" i="1"/>
  <c r="DH159" i="1"/>
  <c r="DH160" i="1"/>
  <c r="DH161" i="1"/>
  <c r="DH162" i="1"/>
  <c r="DH163" i="1"/>
  <c r="DH164" i="1"/>
  <c r="DH165" i="1"/>
  <c r="DH166" i="1"/>
  <c r="DH167" i="1"/>
  <c r="DH168" i="1"/>
  <c r="DH169" i="1"/>
  <c r="DH170" i="1"/>
  <c r="DH171" i="1"/>
  <c r="DH172" i="1"/>
  <c r="DH173" i="1"/>
  <c r="DH174" i="1"/>
  <c r="DH175" i="1"/>
  <c r="DH176" i="1"/>
  <c r="DH177" i="1"/>
  <c r="DH178" i="1"/>
  <c r="DH179" i="1"/>
  <c r="DH180" i="1"/>
  <c r="DH181" i="1"/>
  <c r="DH182" i="1"/>
  <c r="DH183" i="1"/>
  <c r="DH184" i="1"/>
  <c r="DH185" i="1"/>
  <c r="DH186" i="1"/>
  <c r="DH187" i="1"/>
  <c r="DH188" i="1"/>
  <c r="DH189" i="1"/>
  <c r="DH190" i="1"/>
  <c r="DH191" i="1"/>
  <c r="DH192" i="1"/>
  <c r="DH193" i="1"/>
  <c r="DH194" i="1"/>
  <c r="DH195" i="1"/>
  <c r="DH196" i="1"/>
  <c r="DH197" i="1"/>
  <c r="DH198" i="1"/>
  <c r="DH199" i="1"/>
  <c r="DH200" i="1"/>
  <c r="DH201" i="1"/>
  <c r="DH202" i="1"/>
  <c r="DH3" i="1"/>
  <c r="DJ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3" i="1"/>
  <c r="DD3" i="1"/>
  <c r="DE3" i="1"/>
  <c r="DF3" i="1"/>
  <c r="CZ3" i="1"/>
  <c r="DA3" i="1"/>
  <c r="DB3" i="1"/>
  <c r="CV3" i="1"/>
  <c r="CW3" i="1"/>
  <c r="CX3" i="1"/>
  <c r="CS3" i="1"/>
  <c r="CT3" i="1"/>
  <c r="CN4" i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<sst xmlns="http://schemas.openxmlformats.org/spreadsheetml/2006/main" count="113" uniqueCount="60">
  <si>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</si>
  <si>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</si>
  <si>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</si>
  <si>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</si>
  <si>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</si>
  <si>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</si>
  <si>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</si>
  <si>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</si>
  <si>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</si>
  <si>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</si>
  <si>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</si>
  <si>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</si>
  <si>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</si>
  <si>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</si>
  <si>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</si>
  <si>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</si>
  <si>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</si>
  <si>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</si>
  <si>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</si>
  <si>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</si>
  <si>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</si>
  <si>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</si>
  <si>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</si>
  <si>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</si>
  <si>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</si>
  <si>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</si>
  <si>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</si>
  <si>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</si>
  <si>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</si>
  <si>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</si>
  <si>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</si>
  <si>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</si>
  <si>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</si>
  <si>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</si>
  <si>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</si>
  <si>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</si>
  <si>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</si>
  <si>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</si>
  <si>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</si>
  <si>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</si>
  <si>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</si>
  <si>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</si>
  <si>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</si>
  <si>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</si>
  <si>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</si>
  <si>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</si>
  <si>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</si>
  <si>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</si>
  <si>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</si>
  <si>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</si>
  <si>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</si>
  <si>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</si>
  <si>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</si>
  <si>
    <t>shrinkage</t>
  </si>
  <si>
    <t>LDA</t>
  </si>
  <si>
    <t>MLR</t>
  </si>
  <si>
    <t>loss</t>
  </si>
  <si>
    <t>ADAR</t>
  </si>
  <si>
    <t>LSSVC</t>
  </si>
  <si>
    <t>ADAC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</si>
</sst>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0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4" borderId="1" xfId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  <xf numFmtId="0" fontId="3" fillId="4" borderId="4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J202"/>
  <sheetViews>
    <sheetView tabSelected="1" topLeftCell="CL1" zoomScale="70" zoomScaleNormal="70" workbookViewId="0">
      <selection activeCell="DH2" sqref="DH2:DJ202"/>
    </sheetView>
  </sheetViews>
  <sheetFormatPr defaultRowHeight="15" x14ac:dyDescent="0.25"/>
  <cols>
    <col min="43" max="43" width="23.85546875" customWidth="1"/>
    <col min="44" max="44" width="25.7109375" customWidth="1"/>
  </cols>
  <sheetData>
    <row r="1" spans="2:114" x14ac:dyDescent="0.25">
      <c r="B1" s="4" t="s">
        <v>3</v>
      </c>
      <c r="C1" s="4"/>
      <c r="D1" s="4"/>
      <c r="F1" s="4" t="s">
        <v>14</v>
      </c>
      <c r="G1" s="4"/>
      <c r="H1" s="4"/>
      <c r="I1" s="1"/>
      <c r="J1" s="4" t="s">
        <v>6</v>
      </c>
      <c r="K1" s="4"/>
      <c r="L1" s="4"/>
      <c r="M1" s="1"/>
      <c r="N1" s="5" t="s">
        <v>10</v>
      </c>
      <c r="O1" s="6"/>
      <c r="P1" s="1"/>
      <c r="Q1" s="5" t="s">
        <v>11</v>
      </c>
      <c r="R1" s="6"/>
      <c r="S1" s="1"/>
      <c r="T1" s="4" t="s">
        <v>15</v>
      </c>
      <c r="U1" s="4"/>
      <c r="V1" s="4"/>
      <c r="W1" s="1"/>
      <c r="X1" s="4" t="s">
        <v>16</v>
      </c>
      <c r="Y1" s="4"/>
      <c r="Z1" s="4"/>
      <c r="AB1" s="4" t="s">
        <v>20</v>
      </c>
      <c r="AC1" s="4"/>
      <c r="AD1" s="4"/>
      <c r="AE1" s="1"/>
      <c r="AF1" s="4" t="s">
        <v>22</v>
      </c>
      <c r="AG1" s="4"/>
      <c r="AH1" s="4"/>
      <c r="AJ1" s="5" t="s">
        <v>24</v>
      </c>
      <c r="AK1" s="6"/>
      <c r="AM1" s="5" t="s">
        <v>26</v>
      </c>
      <c r="AN1" s="9"/>
      <c r="AO1" s="9"/>
      <c r="AQ1" s="5" t="s">
        <v>30</v>
      </c>
      <c r="AR1" s="9"/>
      <c r="AS1" s="9"/>
      <c r="AU1" s="5" t="s">
        <v>31</v>
      </c>
      <c r="AV1" s="9"/>
      <c r="AW1" s="9"/>
      <c r="AY1" s="4" t="s">
        <v>33</v>
      </c>
      <c r="AZ1" s="4"/>
      <c r="BA1" s="4"/>
      <c r="BC1" s="4" t="s">
        <v>35</v>
      </c>
      <c r="BD1" s="4"/>
      <c r="BE1" s="4"/>
      <c r="BG1" s="4" t="s">
        <v>37</v>
      </c>
      <c r="BH1" s="4"/>
      <c r="BI1" s="4"/>
      <c r="BK1" s="4" t="s">
        <v>40</v>
      </c>
      <c r="BL1" s="4"/>
      <c r="BM1" s="4"/>
      <c r="BO1" s="5" t="s">
        <v>41</v>
      </c>
      <c r="BP1" s="6"/>
      <c r="BR1" s="4" t="s">
        <v>44</v>
      </c>
      <c r="BS1" s="4"/>
      <c r="BT1" s="4"/>
      <c r="BV1" s="7" t="s">
        <v>37</v>
      </c>
      <c r="BW1" s="8"/>
      <c r="BX1" s="8"/>
      <c r="BY1" s="8"/>
      <c r="BZ1" s="8"/>
      <c r="CB1" s="7" t="s">
        <v>50</v>
      </c>
      <c r="CC1" s="8"/>
      <c r="CD1" s="8"/>
      <c r="CE1" s="8"/>
      <c r="CF1" s="8"/>
      <c r="CH1" s="7" t="s">
        <v>22</v>
      </c>
      <c r="CI1" s="8"/>
      <c r="CJ1" s="8"/>
      <c r="CK1" s="8"/>
      <c r="CL1" s="8"/>
      <c r="CM1" s="3"/>
      <c r="CN1" s="4" t="s">
        <v>52</v>
      </c>
      <c r="CO1" s="4"/>
      <c r="CP1" s="4"/>
      <c r="CR1" s="4" t="s">
        <v>54</v>
      </c>
      <c r="CS1" s="4"/>
      <c r="CT1" s="4"/>
      <c r="CV1" s="4" t="s">
        <v>55</v>
      </c>
      <c r="CW1" s="4"/>
      <c r="CX1" s="4"/>
      <c r="CZ1" s="4" t="s">
        <v>57</v>
      </c>
      <c r="DA1" s="4"/>
      <c r="DB1" s="4"/>
      <c r="DD1" s="4" t="s">
        <v>58</v>
      </c>
      <c r="DE1" s="4"/>
      <c r="DF1" s="4"/>
      <c r="DH1" s="4" t="s">
        <v>59</v>
      </c>
      <c r="DI1" s="4"/>
      <c r="DJ1" s="4"/>
    </row>
    <row r="2" spans="2:114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  <c r="CR2" s="2"/>
      <c r="CS2" s="2" t="s">
        <v>53</v>
      </c>
      <c r="CT2" s="2" t="s">
        <v>19</v>
      </c>
      <c r="CV2" s="2" t="s">
        <v>12</v>
      </c>
      <c r="CW2" s="2" t="s">
        <v>13</v>
      </c>
      <c r="CX2" s="2" t="s">
        <v>19</v>
      </c>
      <c r="CZ2" s="2" t="s">
        <v>0</v>
      </c>
      <c r="DA2" s="2" t="s">
        <v>2</v>
      </c>
      <c r="DB2" s="2" t="s">
        <v>56</v>
      </c>
      <c r="DD2" s="2" t="s">
        <v>12</v>
      </c>
      <c r="DE2" s="2" t="s">
        <v>17</v>
      </c>
      <c r="DF2" s="2" t="s">
        <v>19</v>
      </c>
      <c r="DH2" s="2" t="s">
        <v>0</v>
      </c>
      <c r="DI2" s="2" t="s">
        <v>2</v>
      </c>
      <c r="DJ2" s="2" t="s">
        <v>1</v>
      </c>
    </row>
    <row r="3" spans="2:114" x14ac:dyDescent="0.25">
      <c r="B3">
        <f ca="1">RANDBETWEEN(15,1000)</f>
        <v>50</v>
      </c>
      <c r="C3">
        <f ca="1">RANDBETWEEN(2,52)</f>
        <v>49</v>
      </c>
      <c r="D3">
        <f ca="1">RAND()*(0.3-0.01)+0.01</f>
        <v>9.4053746240043937E-2</v>
      </c>
      <c r="F3" s="1">
        <f ca="1">RANDBETWEEN(2,52)</f>
        <v>23</v>
      </c>
      <c r="G3" s="1">
        <f ca="1">RANDBETWEEN(2,30)</f>
        <v>19</v>
      </c>
      <c r="H3" s="1">
        <f ca="1">RANDBETWEEN(1,15)</f>
        <v>12</v>
      </c>
      <c r="I3" s="1"/>
      <c r="J3" s="1">
        <f ca="1">RANDBETWEEN(1,39)</f>
        <v>12</v>
      </c>
      <c r="K3" s="1">
        <f ca="1">RAND()*(3-1)+1</f>
        <v>1.7316667747650858</v>
      </c>
      <c r="L3" s="1">
        <f ca="1">RANDBETWEEN(2,35)</f>
        <v>16</v>
      </c>
      <c r="M3" s="1"/>
      <c r="N3" s="1">
        <f ca="1">RANDBETWEEN(15,1000)</f>
        <v>360</v>
      </c>
      <c r="O3" s="1">
        <f ca="1">RANDBETWEEN(2,52)</f>
        <v>39</v>
      </c>
      <c r="P3" s="1"/>
      <c r="Q3" s="1">
        <f ca="1">RAND()*(5-0.01)+0.01</f>
        <v>1.6352089327340953</v>
      </c>
      <c r="R3" s="1">
        <f ca="1">RANDBETWEEN(200,1200)</f>
        <v>490</v>
      </c>
      <c r="S3" s="1"/>
      <c r="T3" s="1">
        <f ca="1">RAND()*(0.2-0.01)+0.01</f>
        <v>1.9172342510603943E-2</v>
      </c>
      <c r="U3" s="1">
        <f ca="1">RANDBETWEEN(50,450)</f>
        <v>186</v>
      </c>
      <c r="V3" s="1">
        <f ca="1">RANDBETWEEN(2,52)</f>
        <v>31</v>
      </c>
      <c r="W3" s="1"/>
      <c r="X3" s="1">
        <f ca="1">RAND()*(10-0.01)+0.01</f>
        <v>1.7388553629667283</v>
      </c>
      <c r="Y3" s="1">
        <f ca="1">RAND()*(1-0.0001)+0.0001</f>
        <v>0.85744639714029802</v>
      </c>
      <c r="Z3" s="1">
        <f ca="1">RANDBETWEEN(100,2000)</f>
        <v>1639</v>
      </c>
      <c r="AB3" s="1">
        <f ca="1">RAND()*(1-0.0001)+0.0001</f>
        <v>0.12010655425827119</v>
      </c>
      <c r="AC3" s="1">
        <f ca="1">RANDBETWEEN(100,1000)</f>
        <v>405</v>
      </c>
      <c r="AD3" s="1">
        <f ca="1">RAND()*(0.01-0.00001)+0.00001</f>
        <v>9.0406095527577439E-3</v>
      </c>
      <c r="AE3" s="1"/>
      <c r="AF3" s="1">
        <f ca="1">RAND()*(0.9-0.1)+0.1</f>
        <v>0.60928200941865707</v>
      </c>
      <c r="AG3" s="1">
        <f ca="1">RANDBETWEEN(100,1000)</f>
        <v>829</v>
      </c>
      <c r="AH3" s="1">
        <f ca="1">RAND()*(0.01-0.00001)+0.00001</f>
        <v>4.1015888254272749E-3</v>
      </c>
      <c r="AJ3" s="1">
        <f ca="1">RAND()*(1-0)+0</f>
        <v>0.13925699538603553</v>
      </c>
      <c r="AK3" s="1">
        <f ca="1">RAND()*(0.01-0.00001)+0.00001</f>
        <v>6.8421195125981469E-3</v>
      </c>
      <c r="AM3" s="1">
        <f ca="1">RAND()*(0.2-0.005)+0.005</f>
        <v>6.3643119100853754E-2</v>
      </c>
      <c r="AN3" s="1">
        <f ca="1">RANDBETWEEN(10,80)</f>
        <v>70</v>
      </c>
      <c r="AO3" s="1">
        <f ca="1">RANDBETWEEN(-1,20)</f>
        <v>-1</v>
      </c>
      <c r="AQ3" s="1">
        <f ca="1">RANDBETWEEN(10,200)</f>
        <v>144</v>
      </c>
      <c r="AR3" s="1">
        <f ca="1">RANDBETWEEN(0,10)</f>
        <v>4</v>
      </c>
      <c r="AS3" s="1">
        <f ca="1">RANDBETWEEN(1,100)</f>
        <v>24</v>
      </c>
      <c r="AU3" s="1">
        <f ca="1">RANDBETWEEN(50,400)</f>
        <v>219</v>
      </c>
      <c r="AV3" s="1">
        <f ca="1">RANDBETWEEN(2,10)</f>
        <v>10</v>
      </c>
      <c r="AW3" s="1">
        <f ca="1">RAND()*(0.2-0.01)+0.01</f>
        <v>0.12218686806734808</v>
      </c>
      <c r="AY3" s="1">
        <f ca="1">RAND()*(2-1.1)+1.1</f>
        <v>1.1728917639068845</v>
      </c>
      <c r="AZ3" s="1">
        <f ca="1">RANDBETWEEN(50,500)</f>
        <v>415</v>
      </c>
      <c r="BA3" s="1">
        <f ca="1">RAND()*(0.01-0.00001)+0.00001</f>
        <v>6.3162967223463111E-4</v>
      </c>
      <c r="BC3" s="1">
        <f ca="1">RAND()*(1-0.0001)+0.0001</f>
        <v>0.67878935715070288</v>
      </c>
      <c r="BD3" s="1">
        <f ca="1">RAND()*(1-0.0001)+0.0001</f>
        <v>0.79977221068289717</v>
      </c>
      <c r="BE3" s="1">
        <f ca="1">RANDBETWEEN(0,2)</f>
        <v>2</v>
      </c>
      <c r="BG3" s="1">
        <f ca="1">RAND()*(1-0.0001)+0.0001</f>
        <v>0.41022941460708368</v>
      </c>
      <c r="BH3" s="1">
        <f ca="1">RAND()*(1-0)+0</f>
        <v>0.5650506451652979</v>
      </c>
      <c r="BI3" s="1">
        <f ca="1">RANDBETWEEN(100,1000)</f>
        <v>330</v>
      </c>
      <c r="BK3" s="1">
        <f ca="1">RANDBETWEEN(100,600)</f>
        <v>575</v>
      </c>
      <c r="BL3" s="1">
        <f ca="1">RANDBETWEEN(3,10)</f>
        <v>6</v>
      </c>
      <c r="BM3" s="1">
        <f ca="1">RAND()*(0.3-0.01)+0.01</f>
        <v>0.11444708483320092</v>
      </c>
      <c r="BO3" s="1">
        <f ca="1">RAND()*(0.1-0.000001)+0.000001</f>
        <v>3.5174374038561822E-2</v>
      </c>
      <c r="BP3" s="1">
        <f ca="1">RANDBETWEEN(0,15)</f>
        <v>3</v>
      </c>
      <c r="BR3" s="1">
        <f ca="1">RAND()*(0.01-0.000001)+0.000001</f>
        <v>3.7238832146251847E-3</v>
      </c>
      <c r="BS3" s="1">
        <f ca="1">RAND()*(0.01-0.000001)+0.000001</f>
        <v>7.389442803541253E-3</v>
      </c>
      <c r="BT3" s="1">
        <f ca="1">RANDBETWEEN(100,1000)</f>
        <v>911</v>
      </c>
      <c r="BV3" s="1">
        <f ca="1">RAND()*(1-0.0001)+0.0001</f>
        <v>0.39383534733270864</v>
      </c>
      <c r="BW3" s="1">
        <f ca="1">RANDBETWEEN(100,1000)</f>
        <v>972</v>
      </c>
      <c r="BX3" s="1">
        <f ca="1">RAND()*(0.01-0.00001)+0.00001</f>
        <v>9.7800723707146577E-3</v>
      </c>
      <c r="BY3" s="1">
        <f ca="1">RAND()*(0.1-0.0001)+0.0001</f>
        <v>3.4569881126300259E-2</v>
      </c>
      <c r="BZ3" s="1">
        <f ca="1">RAND()*(1-0)+0</f>
        <v>7.2537588270124242E-2</v>
      </c>
      <c r="CB3" s="1">
        <f ca="1">RANDBETWEEN(50,500)</f>
        <v>294</v>
      </c>
      <c r="CC3" s="1">
        <f ca="1">RANDBETWEEN(3,15)</f>
        <v>15</v>
      </c>
      <c r="CD3" s="1">
        <f ca="1">RAND()*(0.3-0.01)+0.01</f>
        <v>0.29927030757710799</v>
      </c>
      <c r="CE3" s="1">
        <f ca="1">RAND()*(1-0.5)+0.5</f>
        <v>0.99667531316904423</v>
      </c>
      <c r="CF3" s="1">
        <f ca="1">RAND()*(1-0.5)+0.5</f>
        <v>0.69376468894009724</v>
      </c>
      <c r="CH3" s="3">
        <f ca="1">RAND()*(1-0.0001)+0.0001</f>
        <v>0.68400912929908453</v>
      </c>
      <c r="CI3" s="3">
        <f ca="1">RAND()*(0.99-0.01)+0.01</f>
        <v>0.48917273217361112</v>
      </c>
      <c r="CJ3" s="3">
        <f ca="1">RANDBETWEEN(100,2000)</f>
        <v>1678</v>
      </c>
      <c r="CK3" s="3">
        <f ca="1">RAND()*(0.01-0.000001)+0.000001</f>
        <v>2.2227835487016526E-3</v>
      </c>
      <c r="CL3" s="3">
        <f ca="1">RANDBETWEEN(0,1)</f>
        <v>1</v>
      </c>
      <c r="CM3" s="3"/>
      <c r="CN3" s="1">
        <f ca="1">RAND()*(20-0.1)+0.1</f>
        <v>17.126397605003909</v>
      </c>
      <c r="CO3" s="1">
        <f ca="1">RAND()*(0.5-0.001)+0.001</f>
        <v>0.14156732627640231</v>
      </c>
      <c r="CP3" s="1">
        <f ca="1">RANDBETWEEN(1,5)</f>
        <v>5</v>
      </c>
      <c r="CR3" s="1"/>
      <c r="CS3" s="1">
        <f ca="1">RAND()*(1-0)+0</f>
        <v>0.36786183751027368</v>
      </c>
      <c r="CT3" s="1">
        <f ca="1">RAND()*(0.01-0.000001)+0.000001</f>
        <v>6.4618154387423715E-3</v>
      </c>
      <c r="CV3" s="1">
        <f ca="1">RAND()*(10-0.0001)+0.0001</f>
        <v>8.7871082967406497</v>
      </c>
      <c r="CW3" s="1">
        <f ca="1">RANDBETWEEN(100,2000)</f>
        <v>1853</v>
      </c>
      <c r="CX3" s="1">
        <f ca="1">RAND()*(0.01-0.000001)+0.000001</f>
        <v>9.6472103572752717E-3</v>
      </c>
      <c r="CZ3" s="1">
        <f ca="1">RANDBETWEEN(10,500)</f>
        <v>283</v>
      </c>
      <c r="DA3" s="1">
        <f ca="1">RAND()*(1-0.001)+0.001</f>
        <v>0.11299091829667078</v>
      </c>
      <c r="DB3" s="1">
        <f ca="1">RANDBETWEEN(0,2)</f>
        <v>0</v>
      </c>
      <c r="DD3" s="1">
        <f ca="1">RAND()*(10-0.01)+0.01</f>
        <v>8.6323696590017622</v>
      </c>
      <c r="DE3" s="1">
        <f ca="1">RAND()*(1-0.0001)+0.0001</f>
        <v>0.62414495617474819</v>
      </c>
      <c r="DF3" s="1">
        <f ca="1">RAND()*(0.01-0.000001)+0.000001</f>
        <v>7.8652774258195883E-3</v>
      </c>
      <c r="DH3" s="1">
        <f ca="1">RANDBETWEEN(10,900)</f>
        <v>136</v>
      </c>
      <c r="DI3" s="1">
        <f ca="1">RAND()*(1-0.001)+0.001</f>
        <v>0.45391726635958141</v>
      </c>
      <c r="DJ3" s="1">
        <f ca="1">RANDBETWEEN(1,30)</f>
        <v>3</v>
      </c>
    </row>
    <row r="4" spans="2:114" x14ac:dyDescent="0.25">
      <c r="B4">
        <f t="shared" ref="B4:B67" ca="1" si="0">RANDBETWEEN(15,1000)</f>
        <v>659</v>
      </c>
      <c r="C4">
        <f t="shared" ref="C4:C67" ca="1" si="1">RANDBETWEEN(2,52)</f>
        <v>4</v>
      </c>
      <c r="D4">
        <f t="shared" ref="D4:D67" ca="1" si="2">RAND()*(0.3-0.01)+0.01</f>
        <v>8.5873380852912989E-2</v>
      </c>
      <c r="F4" s="1">
        <f t="shared" ref="F4:F67" ca="1" si="3">RANDBETWEEN(2,52)</f>
        <v>47</v>
      </c>
      <c r="G4" s="1">
        <f t="shared" ref="G4:G67" ca="1" si="4">RANDBETWEEN(2,30)</f>
        <v>16</v>
      </c>
      <c r="H4" s="1">
        <f t="shared" ref="H4:H67" ca="1" si="5">RANDBETWEEN(1,15)</f>
        <v>9</v>
      </c>
      <c r="I4" s="1"/>
      <c r="J4" s="1">
        <f t="shared" ref="J4:J67" ca="1" si="6">RANDBETWEEN(1,39)</f>
        <v>1</v>
      </c>
      <c r="K4" s="1">
        <f t="shared" ref="K4:K67" ca="1" si="7">RAND()*(3-1)+1</f>
        <v>1.4582227310312574</v>
      </c>
      <c r="L4" s="1">
        <f t="shared" ref="L4:L67" ca="1" si="8">RANDBETWEEN(2,35)</f>
        <v>3</v>
      </c>
      <c r="M4" s="1"/>
      <c r="N4" s="1">
        <f t="shared" ref="N4:N67" ca="1" si="9">RANDBETWEEN(15,1000)</f>
        <v>678</v>
      </c>
      <c r="O4" s="1">
        <f t="shared" ref="O4:O67" ca="1" si="10">RANDBETWEEN(2,52)</f>
        <v>42</v>
      </c>
      <c r="P4" s="1"/>
      <c r="Q4" s="1">
        <f t="shared" ref="Q4:Q67" ca="1" si="11">RAND()*(5-0.01)+0.01</f>
        <v>1.9662072986845767</v>
      </c>
      <c r="R4" s="1">
        <f t="shared" ref="R4:R67" ca="1" si="12">RANDBETWEEN(200,1200)</f>
        <v>1121</v>
      </c>
      <c r="S4" s="1"/>
      <c r="T4" s="1">
        <f t="shared" ref="T4:T67" ca="1" si="13">RAND()*(0.2-0.01)+0.01</f>
        <v>0.13058883728132592</v>
      </c>
      <c r="U4" s="1">
        <f t="shared" ref="U4:U67" ca="1" si="14">RANDBETWEEN(50,450)</f>
        <v>245</v>
      </c>
      <c r="V4" s="1">
        <f t="shared" ref="V4:V67" ca="1" si="15">RANDBETWEEN(2,52)</f>
        <v>51</v>
      </c>
      <c r="W4" s="1"/>
      <c r="X4" s="1">
        <f t="shared" ref="X4:X67" ca="1" si="16">RAND()*(10-0.01)+0.01</f>
        <v>7.7039501823169454</v>
      </c>
      <c r="Y4" s="1">
        <f t="shared" ref="Y4:Y67" ca="1" si="17">RAND()*(1-0.0001)+0.0001</f>
        <v>0.68733683370660148</v>
      </c>
      <c r="Z4" s="1">
        <f t="shared" ref="Z4:Z67" ca="1" si="18">RANDBETWEEN(100,2000)</f>
        <v>1983</v>
      </c>
      <c r="AB4" s="1">
        <f t="shared" ref="AB4:AB67" ca="1" si="19">RAND()*(1-0.0001)+0.0001</f>
        <v>0.69987974710258583</v>
      </c>
      <c r="AC4" s="1">
        <f t="shared" ref="AC4:AC67" ca="1" si="20">RANDBETWEEN(100,1000)</f>
        <v>413</v>
      </c>
      <c r="AD4" s="1">
        <f t="shared" ref="AD4:AD67" ca="1" si="21">RAND()*(0.01-0.00001)+0.00001</f>
        <v>5.6860109706319915E-3</v>
      </c>
      <c r="AE4" s="1"/>
      <c r="AF4" s="1">
        <f t="shared" ref="AF4:AF67" ca="1" si="22">RAND()*(0.9-0.1)+0.1</f>
        <v>0.74332164246165966</v>
      </c>
      <c r="AG4" s="1">
        <f t="shared" ref="AG4:AG67" ca="1" si="23">RANDBETWEEN(100,1000)</f>
        <v>929</v>
      </c>
      <c r="AH4" s="1">
        <f t="shared" ref="AH4:AH67" ca="1" si="24">RAND()*(0.01-0.00001)+0.00001</f>
        <v>9.616242007431457E-3</v>
      </c>
      <c r="AJ4" s="1">
        <f t="shared" ref="AJ4:AJ67" ca="1" si="25">RAND()*(1-0)+0</f>
        <v>0.22038461917480356</v>
      </c>
      <c r="AK4" s="1">
        <f t="shared" ref="AK4:AK67" ca="1" si="26">RAND()*(0.01-0.00001)+0.00001</f>
        <v>2.6489560952587857E-4</v>
      </c>
      <c r="AL4" s="1"/>
      <c r="AM4" s="1">
        <f t="shared" ref="AM4:AM67" ca="1" si="27">RAND()*(0.2-0.005)+0.005</f>
        <v>0.1202733034387256</v>
      </c>
      <c r="AN4" s="1">
        <f t="shared" ref="AN4:AN67" ca="1" si="28">RANDBETWEEN(10,80)</f>
        <v>15</v>
      </c>
      <c r="AO4" s="1">
        <f t="shared" ref="AO4:AO67" ca="1" si="29">RANDBETWEEN(-1,20)</f>
        <v>19</v>
      </c>
      <c r="AQ4" s="1">
        <f t="shared" ref="AQ4:AQ67" ca="1" si="30">RANDBETWEEN(10,200)</f>
        <v>118</v>
      </c>
      <c r="AR4" s="1">
        <f t="shared" ref="AR4:AR67" ca="1" si="31">RANDBETWEEN(0,10)</f>
        <v>10</v>
      </c>
      <c r="AS4" s="1">
        <f t="shared" ref="AS4:AS67" ca="1" si="32">RANDBETWEEN(1,100)</f>
        <v>76</v>
      </c>
      <c r="AU4" s="1">
        <f t="shared" ref="AU4:AU67" ca="1" si="33">RANDBETWEEN(50,400)</f>
        <v>342</v>
      </c>
      <c r="AV4" s="1">
        <f t="shared" ref="AV4:AV67" ca="1" si="34">RANDBETWEEN(2,10)</f>
        <v>4</v>
      </c>
      <c r="AW4" s="1">
        <f t="shared" ref="AW4:AW67" ca="1" si="35">RAND()*(0.2-0.01)+0.01</f>
        <v>6.0039689319724067E-2</v>
      </c>
      <c r="AY4" s="1">
        <f t="shared" ref="AY4:AY67" ca="1" si="36">RAND()*(2-1.1)+1.1</f>
        <v>1.9063958696551144</v>
      </c>
      <c r="AZ4" s="1">
        <f t="shared" ref="AZ4:AZ67" ca="1" si="37">RANDBETWEEN(50,500)</f>
        <v>82</v>
      </c>
      <c r="BA4" s="1">
        <f t="shared" ref="BA4:BA67" ca="1" si="38">RAND()*(0.01-0.00001)+0.00001</f>
        <v>4.9064407236051035E-3</v>
      </c>
      <c r="BV4" s="1">
        <f t="shared" ref="BV4:BV67" ca="1" si="39">RAND()*(1-0.0001)+0.0001</f>
        <v>0.98123086601672138</v>
      </c>
      <c r="BW4" s="1">
        <f t="shared" ref="BW4:BW67" ca="1" si="40">RANDBETWEEN(100,1000)</f>
        <v>706</v>
      </c>
      <c r="BX4" s="1">
        <f t="shared" ref="BX4:BX67" ca="1" si="41">RAND()*(0.01-0.00001)+0.00001</f>
        <v>7.5854333766902614E-3</v>
      </c>
      <c r="BY4" s="1">
        <f t="shared" ref="BY4:BY67" ca="1" si="42">RAND()*(0.1-0.0001)+0.0001</f>
        <v>8.5958151648795181E-2</v>
      </c>
      <c r="BZ4" s="1">
        <f t="shared" ref="BZ4:BZ67" ca="1" si="43">RAND()*(1-0)+0</f>
        <v>0.99771217637751741</v>
      </c>
      <c r="CB4" s="1">
        <f t="shared" ref="CB4:CB67" ca="1" si="44">RANDBETWEEN(50,500)</f>
        <v>117</v>
      </c>
      <c r="CC4" s="1">
        <f t="shared" ref="CC4:CC67" ca="1" si="45">RANDBETWEEN(3,15)</f>
        <v>3</v>
      </c>
      <c r="CD4" s="1">
        <f t="shared" ref="CD4:CD67" ca="1" si="46">RAND()*(0.3-0.01)+0.01</f>
        <v>9.4874659209442574E-2</v>
      </c>
      <c r="CE4" s="1">
        <f t="shared" ref="CE4:CF35" ca="1" si="47">RAND()*(1-0.5)+0.5</f>
        <v>0.76073082380075885</v>
      </c>
      <c r="CF4" s="1">
        <f t="shared" ca="1" si="47"/>
        <v>0.67545169095240276</v>
      </c>
      <c r="CH4" s="3">
        <f t="shared" ref="CH4:CH67" ca="1" si="48">RAND()*(1-0.0001)+0.0001</f>
        <v>0.9017160375272838</v>
      </c>
      <c r="CI4" s="3">
        <f t="shared" ref="CI4:CI67" ca="1" si="49">RAND()*(0.99-0.01)+0.01</f>
        <v>0.20889889737611766</v>
      </c>
      <c r="CJ4" s="3">
        <f t="shared" ref="CJ4:CJ67" ca="1" si="50">RANDBETWEEN(100,2000)</f>
        <v>1710</v>
      </c>
      <c r="CK4" s="3">
        <f t="shared" ref="CK4:CK67" ca="1" si="51">RAND()*(0.01-0.000001)+0.000001</f>
        <v>6.5880475990468665E-3</v>
      </c>
      <c r="CL4" s="3">
        <f t="shared" ref="CL4:CL67" ca="1" si="52">RANDBETWEEN(0,1)</f>
        <v>0</v>
      </c>
      <c r="CM4" s="3"/>
      <c r="CN4" s="1">
        <f t="shared" ref="CN4:CN67" ca="1" si="53">RAND()*(20-0.1)+0.1</f>
        <v>11.276025280663729</v>
      </c>
      <c r="CO4" s="1">
        <f t="shared" ref="CO4:CO67" ca="1" si="54">RAND()*(0.5-0.001)+0.001</f>
        <v>0.27557543308372462</v>
      </c>
      <c r="CP4" s="1">
        <f t="shared" ref="CP4:CP67" ca="1" si="55">RANDBETWEEN(1,5)</f>
        <v>3</v>
      </c>
      <c r="DH4" s="1">
        <f t="shared" ref="DH4:DH67" ca="1" si="56">RANDBETWEEN(10,900)</f>
        <v>123</v>
      </c>
      <c r="DI4" s="1">
        <f t="shared" ref="DI4:DI67" ca="1" si="57">RAND()*(1-0.001)+0.001</f>
        <v>0.24562198006215341</v>
      </c>
      <c r="DJ4" s="1">
        <f t="shared" ref="DJ4:DJ67" ca="1" si="58">RANDBETWEEN(1,30)</f>
        <v>20</v>
      </c>
    </row>
    <row r="5" spans="2:114" x14ac:dyDescent="0.25">
      <c r="B5">
        <f t="shared" ca="1" si="0"/>
        <v>323</v>
      </c>
      <c r="C5">
        <f t="shared" ca="1" si="1"/>
        <v>45</v>
      </c>
      <c r="D5">
        <f t="shared" ca="1" si="2"/>
        <v>1.2943544108069209E-2</v>
      </c>
      <c r="F5" s="1">
        <f t="shared" ca="1" si="3"/>
        <v>2</v>
      </c>
      <c r="G5" s="1">
        <f t="shared" ca="1" si="4"/>
        <v>27</v>
      </c>
      <c r="H5" s="1">
        <f t="shared" ca="1" si="5"/>
        <v>15</v>
      </c>
      <c r="I5" s="1"/>
      <c r="J5" s="1">
        <f t="shared" ca="1" si="6"/>
        <v>2</v>
      </c>
      <c r="K5" s="1">
        <f t="shared" ca="1" si="7"/>
        <v>1.8757249500120816</v>
      </c>
      <c r="L5" s="1">
        <f t="shared" ca="1" si="8"/>
        <v>22</v>
      </c>
      <c r="M5" s="1"/>
      <c r="N5" s="1">
        <f t="shared" ca="1" si="9"/>
        <v>507</v>
      </c>
      <c r="O5" s="1">
        <f t="shared" ca="1" si="10"/>
        <v>52</v>
      </c>
      <c r="P5" s="1"/>
      <c r="Q5" s="1">
        <f t="shared" ca="1" si="11"/>
        <v>3.7619925318914391</v>
      </c>
      <c r="R5" s="1">
        <f t="shared" ca="1" si="12"/>
        <v>384</v>
      </c>
      <c r="S5" s="1"/>
      <c r="T5" s="1">
        <f t="shared" ca="1" si="13"/>
        <v>5.9824453763936601E-2</v>
      </c>
      <c r="U5" s="1">
        <f t="shared" ca="1" si="14"/>
        <v>410</v>
      </c>
      <c r="V5" s="1">
        <f t="shared" ca="1" si="15"/>
        <v>34</v>
      </c>
      <c r="W5" s="1"/>
      <c r="X5" s="1">
        <f t="shared" ca="1" si="16"/>
        <v>6.8267818779480294</v>
      </c>
      <c r="Y5" s="1">
        <f t="shared" ca="1" si="17"/>
        <v>0.7896664396894445</v>
      </c>
      <c r="Z5" s="1">
        <f t="shared" ca="1" si="18"/>
        <v>1157</v>
      </c>
      <c r="AB5" s="1">
        <f t="shared" ca="1" si="19"/>
        <v>7.670766179108314E-2</v>
      </c>
      <c r="AC5" s="1">
        <f t="shared" ca="1" si="20"/>
        <v>256</v>
      </c>
      <c r="AD5" s="1">
        <f t="shared" ca="1" si="21"/>
        <v>6.1942927561417591E-3</v>
      </c>
      <c r="AE5" s="1"/>
      <c r="AF5" s="1">
        <f t="shared" ca="1" si="22"/>
        <v>0.10431046671784312</v>
      </c>
      <c r="AG5" s="1">
        <f t="shared" ca="1" si="23"/>
        <v>281</v>
      </c>
      <c r="AH5" s="1">
        <f t="shared" ca="1" si="24"/>
        <v>6.8234882102488903E-3</v>
      </c>
      <c r="AJ5" s="1">
        <f t="shared" ca="1" si="25"/>
        <v>0.5160344314861206</v>
      </c>
      <c r="AK5" s="1">
        <f t="shared" ca="1" si="26"/>
        <v>9.8284808273665838E-3</v>
      </c>
      <c r="AL5" s="1"/>
      <c r="AM5" s="1">
        <f t="shared" ca="1" si="27"/>
        <v>3.9155823104853618E-2</v>
      </c>
      <c r="AN5" s="1">
        <f t="shared" ca="1" si="28"/>
        <v>13</v>
      </c>
      <c r="AO5" s="1">
        <f t="shared" ca="1" si="29"/>
        <v>3</v>
      </c>
      <c r="AQ5" s="1">
        <f t="shared" ca="1" si="30"/>
        <v>164</v>
      </c>
      <c r="AR5" s="1">
        <f t="shared" ca="1" si="31"/>
        <v>9</v>
      </c>
      <c r="AS5" s="1">
        <f t="shared" ca="1" si="32"/>
        <v>89</v>
      </c>
      <c r="AU5" s="1">
        <f t="shared" ca="1" si="33"/>
        <v>240</v>
      </c>
      <c r="AV5" s="1">
        <f t="shared" ca="1" si="34"/>
        <v>3</v>
      </c>
      <c r="AW5" s="1">
        <f t="shared" ca="1" si="35"/>
        <v>0.13808333634400544</v>
      </c>
      <c r="AY5" s="1">
        <f t="shared" ca="1" si="36"/>
        <v>1.3861606995643885</v>
      </c>
      <c r="AZ5" s="1">
        <f t="shared" ca="1" si="37"/>
        <v>102</v>
      </c>
      <c r="BA5" s="1">
        <f t="shared" ca="1" si="38"/>
        <v>8.0286742015277211E-3</v>
      </c>
      <c r="BV5" s="1">
        <f t="shared" ca="1" si="39"/>
        <v>0.63739702659551745</v>
      </c>
      <c r="BW5" s="1">
        <f t="shared" ca="1" si="40"/>
        <v>847</v>
      </c>
      <c r="BX5" s="1">
        <f t="shared" ca="1" si="41"/>
        <v>4.9943379513438966E-3</v>
      </c>
      <c r="BY5" s="1">
        <f t="shared" ca="1" si="42"/>
        <v>6.381461432444209E-2</v>
      </c>
      <c r="BZ5" s="1">
        <f t="shared" ca="1" si="43"/>
        <v>0.57483655285963309</v>
      </c>
      <c r="CB5" s="1">
        <f t="shared" ca="1" si="44"/>
        <v>356</v>
      </c>
      <c r="CC5" s="1">
        <f t="shared" ca="1" si="45"/>
        <v>12</v>
      </c>
      <c r="CD5" s="1">
        <f t="shared" ca="1" si="46"/>
        <v>1.276024891622987E-2</v>
      </c>
      <c r="CE5" s="1">
        <f t="shared" ca="1" si="47"/>
        <v>0.8917878907663086</v>
      </c>
      <c r="CF5" s="1">
        <f t="shared" ca="1" si="47"/>
        <v>0.5276353766564309</v>
      </c>
      <c r="CH5" s="3">
        <f t="shared" ca="1" si="48"/>
        <v>0.91662976192806889</v>
      </c>
      <c r="CI5" s="3">
        <f t="shared" ca="1" si="49"/>
        <v>0.94399007325473461</v>
      </c>
      <c r="CJ5" s="3">
        <f t="shared" ca="1" si="50"/>
        <v>1157</v>
      </c>
      <c r="CK5" s="3">
        <f t="shared" ca="1" si="51"/>
        <v>8.1932437778738081E-3</v>
      </c>
      <c r="CL5" s="3">
        <f t="shared" ca="1" si="52"/>
        <v>0</v>
      </c>
      <c r="CM5" s="3"/>
      <c r="CN5" s="1">
        <f t="shared" ca="1" si="53"/>
        <v>2.6616961448761147</v>
      </c>
      <c r="CO5" s="1">
        <f t="shared" ca="1" si="54"/>
        <v>0.14774008242940551</v>
      </c>
      <c r="CP5" s="1">
        <f t="shared" ca="1" si="55"/>
        <v>1</v>
      </c>
      <c r="DH5" s="1">
        <f t="shared" ca="1" si="56"/>
        <v>885</v>
      </c>
      <c r="DI5" s="1">
        <f t="shared" ca="1" si="57"/>
        <v>0.42946684107652749</v>
      </c>
      <c r="DJ5" s="1">
        <f t="shared" ca="1" si="58"/>
        <v>14</v>
      </c>
    </row>
    <row r="6" spans="2:114" x14ac:dyDescent="0.25">
      <c r="B6">
        <f t="shared" ca="1" si="0"/>
        <v>131</v>
      </c>
      <c r="C6">
        <f t="shared" ca="1" si="1"/>
        <v>44</v>
      </c>
      <c r="D6">
        <f t="shared" ca="1" si="2"/>
        <v>0.25536168485034633</v>
      </c>
      <c r="F6" s="1">
        <f t="shared" ca="1" si="3"/>
        <v>10</v>
      </c>
      <c r="G6" s="1">
        <f t="shared" ca="1" si="4"/>
        <v>17</v>
      </c>
      <c r="H6" s="1">
        <f t="shared" ca="1" si="5"/>
        <v>9</v>
      </c>
      <c r="I6" s="1"/>
      <c r="J6" s="1">
        <f t="shared" ca="1" si="6"/>
        <v>11</v>
      </c>
      <c r="K6" s="1">
        <f t="shared" ca="1" si="7"/>
        <v>1.9581683977725344</v>
      </c>
      <c r="L6" s="1">
        <f t="shared" ca="1" si="8"/>
        <v>14</v>
      </c>
      <c r="M6" s="1"/>
      <c r="N6" s="1">
        <f t="shared" ca="1" si="9"/>
        <v>455</v>
      </c>
      <c r="O6" s="1">
        <f t="shared" ca="1" si="10"/>
        <v>15</v>
      </c>
      <c r="P6" s="1"/>
      <c r="Q6" s="1">
        <f t="shared" ca="1" si="11"/>
        <v>1.7924859624616036</v>
      </c>
      <c r="R6" s="1">
        <f t="shared" ca="1" si="12"/>
        <v>523</v>
      </c>
      <c r="S6" s="1"/>
      <c r="T6" s="1">
        <f t="shared" ca="1" si="13"/>
        <v>6.7598492182331021E-2</v>
      </c>
      <c r="U6" s="1">
        <f t="shared" ca="1" si="14"/>
        <v>78</v>
      </c>
      <c r="V6" s="1">
        <f t="shared" ca="1" si="15"/>
        <v>34</v>
      </c>
      <c r="W6" s="1"/>
      <c r="X6" s="1">
        <f t="shared" ca="1" si="16"/>
        <v>8.4585373147632001</v>
      </c>
      <c r="Y6" s="1">
        <f t="shared" ca="1" si="17"/>
        <v>0.52814000870259403</v>
      </c>
      <c r="Z6" s="1">
        <f t="shared" ca="1" si="18"/>
        <v>1311</v>
      </c>
      <c r="AB6" s="1">
        <f t="shared" ca="1" si="19"/>
        <v>0.96722717782120904</v>
      </c>
      <c r="AC6" s="1">
        <f t="shared" ca="1" si="20"/>
        <v>675</v>
      </c>
      <c r="AD6" s="1">
        <f t="shared" ca="1" si="21"/>
        <v>2.4086329507053486E-4</v>
      </c>
      <c r="AE6" s="1"/>
      <c r="AF6" s="1">
        <f t="shared" ca="1" si="22"/>
        <v>0.40253212146577189</v>
      </c>
      <c r="AG6" s="1">
        <f t="shared" ca="1" si="23"/>
        <v>475</v>
      </c>
      <c r="AH6" s="1">
        <f t="shared" ca="1" si="24"/>
        <v>6.6427255405379099E-3</v>
      </c>
      <c r="AJ6" s="1">
        <f t="shared" ca="1" si="25"/>
        <v>7.8889711045967204E-2</v>
      </c>
      <c r="AK6" s="1">
        <f t="shared" ca="1" si="26"/>
        <v>7.5561253599222399E-3</v>
      </c>
      <c r="AL6" s="1"/>
      <c r="AM6" s="1">
        <f t="shared" ca="1" si="27"/>
        <v>0.1769200202982264</v>
      </c>
      <c r="AN6" s="1">
        <f t="shared" ca="1" si="28"/>
        <v>52</v>
      </c>
      <c r="AO6" s="1">
        <f t="shared" ca="1" si="29"/>
        <v>5</v>
      </c>
      <c r="AQ6" s="1">
        <f t="shared" ca="1" si="30"/>
        <v>171</v>
      </c>
      <c r="AR6" s="1">
        <f t="shared" ca="1" si="31"/>
        <v>0</v>
      </c>
      <c r="AS6" s="1">
        <f t="shared" ca="1" si="32"/>
        <v>58</v>
      </c>
      <c r="AU6" s="1">
        <f t="shared" ca="1" si="33"/>
        <v>268</v>
      </c>
      <c r="AV6" s="1">
        <f t="shared" ca="1" si="34"/>
        <v>2</v>
      </c>
      <c r="AW6" s="1">
        <f t="shared" ca="1" si="35"/>
        <v>0.165730768237839</v>
      </c>
      <c r="AY6" s="1">
        <f t="shared" ca="1" si="36"/>
        <v>1.2137952558543414</v>
      </c>
      <c r="AZ6" s="1">
        <f t="shared" ca="1" si="37"/>
        <v>260</v>
      </c>
      <c r="BA6" s="1">
        <f t="shared" ca="1" si="38"/>
        <v>8.9860363362120877E-4</v>
      </c>
      <c r="BV6" s="1">
        <f t="shared" ca="1" si="39"/>
        <v>0.71562654168956574</v>
      </c>
      <c r="BW6" s="1">
        <f t="shared" ca="1" si="40"/>
        <v>761</v>
      </c>
      <c r="BX6" s="1">
        <f t="shared" ca="1" si="41"/>
        <v>4.0620969944218108E-3</v>
      </c>
      <c r="BY6" s="1">
        <f t="shared" ca="1" si="42"/>
        <v>9.4260531490539617E-2</v>
      </c>
      <c r="BZ6" s="1">
        <f t="shared" ca="1" si="43"/>
        <v>7.9128934233267167E-2</v>
      </c>
      <c r="CB6" s="1">
        <f t="shared" ca="1" si="44"/>
        <v>85</v>
      </c>
      <c r="CC6" s="1">
        <f t="shared" ca="1" si="45"/>
        <v>12</v>
      </c>
      <c r="CD6" s="1">
        <f t="shared" ca="1" si="46"/>
        <v>1.9058548624797431E-2</v>
      </c>
      <c r="CE6" s="1">
        <f t="shared" ca="1" si="47"/>
        <v>0.74594782639752544</v>
      </c>
      <c r="CF6" s="1">
        <f t="shared" ca="1" si="47"/>
        <v>0.73971898373785372</v>
      </c>
      <c r="CH6" s="3">
        <f t="shared" ca="1" si="48"/>
        <v>0.45866354708741419</v>
      </c>
      <c r="CI6" s="3">
        <f t="shared" ca="1" si="49"/>
        <v>0.34766298011406593</v>
      </c>
      <c r="CJ6" s="3">
        <f t="shared" ca="1" si="50"/>
        <v>769</v>
      </c>
      <c r="CK6" s="3">
        <f t="shared" ca="1" si="51"/>
        <v>4.4588202175063719E-3</v>
      </c>
      <c r="CL6" s="3">
        <f t="shared" ca="1" si="52"/>
        <v>0</v>
      </c>
      <c r="CM6" s="3"/>
      <c r="CN6" s="1">
        <f t="shared" ca="1" si="53"/>
        <v>17.410490418607139</v>
      </c>
      <c r="CO6" s="1">
        <f t="shared" ca="1" si="54"/>
        <v>0.16779442893447205</v>
      </c>
      <c r="CP6" s="1">
        <f t="shared" ca="1" si="55"/>
        <v>1</v>
      </c>
      <c r="DH6" s="1">
        <f t="shared" ca="1" si="56"/>
        <v>687</v>
      </c>
      <c r="DI6" s="1">
        <f t="shared" ca="1" si="57"/>
        <v>0.12591557248919932</v>
      </c>
      <c r="DJ6" s="1">
        <f t="shared" ca="1" si="58"/>
        <v>27</v>
      </c>
    </row>
    <row r="7" spans="2:114" x14ac:dyDescent="0.25">
      <c r="B7">
        <f t="shared" ca="1" si="0"/>
        <v>356</v>
      </c>
      <c r="C7">
        <f t="shared" ca="1" si="1"/>
        <v>25</v>
      </c>
      <c r="D7">
        <f t="shared" ca="1" si="2"/>
        <v>0.13390045891705699</v>
      </c>
      <c r="F7" s="1">
        <f t="shared" ca="1" si="3"/>
        <v>25</v>
      </c>
      <c r="G7" s="1">
        <f t="shared" ca="1" si="4"/>
        <v>9</v>
      </c>
      <c r="H7" s="1">
        <f t="shared" ca="1" si="5"/>
        <v>5</v>
      </c>
      <c r="I7" s="1"/>
      <c r="J7" s="1">
        <f t="shared" ca="1" si="6"/>
        <v>30</v>
      </c>
      <c r="K7" s="1">
        <f t="shared" ca="1" si="7"/>
        <v>1.6551617607992526</v>
      </c>
      <c r="L7" s="1">
        <f t="shared" ca="1" si="8"/>
        <v>16</v>
      </c>
      <c r="M7" s="1"/>
      <c r="N7" s="1">
        <f t="shared" ca="1" si="9"/>
        <v>310</v>
      </c>
      <c r="O7" s="1">
        <f t="shared" ca="1" si="10"/>
        <v>49</v>
      </c>
      <c r="P7" s="1"/>
      <c r="Q7" s="1">
        <f t="shared" ca="1" si="11"/>
        <v>3.2936574865672341</v>
      </c>
      <c r="R7" s="1">
        <f t="shared" ca="1" si="12"/>
        <v>632</v>
      </c>
      <c r="S7" s="1"/>
      <c r="T7" s="1">
        <f t="shared" ca="1" si="13"/>
        <v>0.16216501835973537</v>
      </c>
      <c r="U7" s="1">
        <f t="shared" ca="1" si="14"/>
        <v>70</v>
      </c>
      <c r="V7" s="1">
        <f t="shared" ca="1" si="15"/>
        <v>32</v>
      </c>
      <c r="W7" s="1"/>
      <c r="X7" s="1">
        <f t="shared" ca="1" si="16"/>
        <v>9.3695611534977044</v>
      </c>
      <c r="Y7" s="1">
        <f t="shared" ca="1" si="17"/>
        <v>6.6018028399233541E-2</v>
      </c>
      <c r="Z7" s="1">
        <f t="shared" ca="1" si="18"/>
        <v>318</v>
      </c>
      <c r="AB7" s="1">
        <f t="shared" ca="1" si="19"/>
        <v>0.64494319898954888</v>
      </c>
      <c r="AC7" s="1">
        <f t="shared" ca="1" si="20"/>
        <v>895</v>
      </c>
      <c r="AD7" s="1">
        <f t="shared" ca="1" si="21"/>
        <v>1.4455349089771698E-3</v>
      </c>
      <c r="AE7" s="1"/>
      <c r="AF7" s="1">
        <f t="shared" ca="1" si="22"/>
        <v>0.75883527922337435</v>
      </c>
      <c r="AG7" s="1">
        <f t="shared" ca="1" si="23"/>
        <v>232</v>
      </c>
      <c r="AH7" s="1">
        <f t="shared" ca="1" si="24"/>
        <v>5.6776017597560758E-3</v>
      </c>
      <c r="AJ7" s="1">
        <f t="shared" ca="1" si="25"/>
        <v>0.56359093367250623</v>
      </c>
      <c r="AK7" s="1">
        <f t="shared" ca="1" si="26"/>
        <v>8.6381418282162736E-3</v>
      </c>
      <c r="AL7" s="1"/>
      <c r="AM7" s="1">
        <f t="shared" ca="1" si="27"/>
        <v>0.13475654301372253</v>
      </c>
      <c r="AN7" s="1">
        <f t="shared" ca="1" si="28"/>
        <v>50</v>
      </c>
      <c r="AO7" s="1">
        <f t="shared" ca="1" si="29"/>
        <v>15</v>
      </c>
      <c r="AQ7" s="1">
        <f t="shared" ca="1" si="30"/>
        <v>42</v>
      </c>
      <c r="AR7" s="1">
        <f t="shared" ca="1" si="31"/>
        <v>10</v>
      </c>
      <c r="AS7" s="1">
        <f t="shared" ca="1" si="32"/>
        <v>14</v>
      </c>
      <c r="AU7" s="1">
        <f t="shared" ca="1" si="33"/>
        <v>328</v>
      </c>
      <c r="AV7" s="1">
        <f t="shared" ca="1" si="34"/>
        <v>10</v>
      </c>
      <c r="AW7" s="1">
        <f t="shared" ca="1" si="35"/>
        <v>0.19673796201249413</v>
      </c>
      <c r="AY7" s="1">
        <f t="shared" ca="1" si="36"/>
        <v>1.9656889090182015</v>
      </c>
      <c r="AZ7" s="1">
        <f t="shared" ca="1" si="37"/>
        <v>178</v>
      </c>
      <c r="BA7" s="1">
        <f t="shared" ca="1" si="38"/>
        <v>8.2064540313207708E-3</v>
      </c>
      <c r="BV7" s="1">
        <f t="shared" ca="1" si="39"/>
        <v>0.42120967775566914</v>
      </c>
      <c r="BW7" s="1">
        <f t="shared" ca="1" si="40"/>
        <v>362</v>
      </c>
      <c r="BX7" s="1">
        <f t="shared" ca="1" si="41"/>
        <v>5.5184245954757512E-3</v>
      </c>
      <c r="BY7" s="1">
        <f t="shared" ca="1" si="42"/>
        <v>4.1253288624847666E-2</v>
      </c>
      <c r="BZ7" s="1">
        <f t="shared" ca="1" si="43"/>
        <v>0.65705361758233494</v>
      </c>
      <c r="CB7" s="1">
        <f t="shared" ca="1" si="44"/>
        <v>59</v>
      </c>
      <c r="CC7" s="1">
        <f t="shared" ca="1" si="45"/>
        <v>13</v>
      </c>
      <c r="CD7" s="1">
        <f t="shared" ca="1" si="46"/>
        <v>0.22898876908783061</v>
      </c>
      <c r="CE7" s="1">
        <f t="shared" ca="1" si="47"/>
        <v>0.92970173925259081</v>
      </c>
      <c r="CF7" s="1">
        <f t="shared" ca="1" si="47"/>
        <v>0.57022853270110607</v>
      </c>
      <c r="CH7" s="3">
        <f t="shared" ca="1" si="48"/>
        <v>0.54149672149126471</v>
      </c>
      <c r="CI7" s="3">
        <f t="shared" ca="1" si="49"/>
        <v>0.59508967337600216</v>
      </c>
      <c r="CJ7" s="3">
        <f t="shared" ca="1" si="50"/>
        <v>342</v>
      </c>
      <c r="CK7" s="3">
        <f t="shared" ca="1" si="51"/>
        <v>6.7730082042822704E-3</v>
      </c>
      <c r="CL7" s="3">
        <f t="shared" ca="1" si="52"/>
        <v>0</v>
      </c>
      <c r="CM7" s="3"/>
      <c r="CN7" s="1">
        <f t="shared" ca="1" si="53"/>
        <v>6.5038959533202672</v>
      </c>
      <c r="CO7" s="1">
        <f t="shared" ca="1" si="54"/>
        <v>0.4122924128566835</v>
      </c>
      <c r="CP7" s="1">
        <f t="shared" ca="1" si="55"/>
        <v>4</v>
      </c>
      <c r="DH7" s="1">
        <f t="shared" ca="1" si="56"/>
        <v>134</v>
      </c>
      <c r="DI7" s="1">
        <f t="shared" ca="1" si="57"/>
        <v>0.27479642896122902</v>
      </c>
      <c r="DJ7" s="1">
        <f t="shared" ca="1" si="58"/>
        <v>22</v>
      </c>
    </row>
    <row r="8" spans="2:114" x14ac:dyDescent="0.25">
      <c r="B8">
        <f t="shared" ca="1" si="0"/>
        <v>777</v>
      </c>
      <c r="C8">
        <f t="shared" ca="1" si="1"/>
        <v>46</v>
      </c>
      <c r="D8">
        <f t="shared" ca="1" si="2"/>
        <v>0.24144293227018901</v>
      </c>
      <c r="F8" s="1">
        <f t="shared" ca="1" si="3"/>
        <v>46</v>
      </c>
      <c r="G8" s="1">
        <f t="shared" ca="1" si="4"/>
        <v>11</v>
      </c>
      <c r="H8" s="1">
        <f t="shared" ca="1" si="5"/>
        <v>2</v>
      </c>
      <c r="I8" s="1"/>
      <c r="J8" s="1">
        <f t="shared" ca="1" si="6"/>
        <v>35</v>
      </c>
      <c r="K8" s="1">
        <f t="shared" ca="1" si="7"/>
        <v>1.9483995058587649</v>
      </c>
      <c r="L8" s="1">
        <f t="shared" ca="1" si="8"/>
        <v>3</v>
      </c>
      <c r="M8" s="1"/>
      <c r="N8" s="1">
        <f t="shared" ca="1" si="9"/>
        <v>468</v>
      </c>
      <c r="O8" s="1">
        <f t="shared" ca="1" si="10"/>
        <v>12</v>
      </c>
      <c r="P8" s="1"/>
      <c r="Q8" s="1">
        <f t="shared" ca="1" si="11"/>
        <v>1.9990102361724333</v>
      </c>
      <c r="R8" s="1">
        <f t="shared" ca="1" si="12"/>
        <v>806</v>
      </c>
      <c r="S8" s="1"/>
      <c r="T8" s="1">
        <f t="shared" ca="1" si="13"/>
        <v>0.16279934364857726</v>
      </c>
      <c r="U8" s="1">
        <f t="shared" ca="1" si="14"/>
        <v>261</v>
      </c>
      <c r="V8" s="1">
        <f t="shared" ca="1" si="15"/>
        <v>19</v>
      </c>
      <c r="W8" s="1"/>
      <c r="X8" s="1">
        <f t="shared" ca="1" si="16"/>
        <v>5.4123914281686014</v>
      </c>
      <c r="Y8" s="1">
        <f t="shared" ca="1" si="17"/>
        <v>0.18435679442861849</v>
      </c>
      <c r="Z8" s="1">
        <f t="shared" ca="1" si="18"/>
        <v>162</v>
      </c>
      <c r="AB8" s="1">
        <f t="shared" ca="1" si="19"/>
        <v>4.8852502595403247E-2</v>
      </c>
      <c r="AC8" s="1">
        <f t="shared" ca="1" si="20"/>
        <v>859</v>
      </c>
      <c r="AD8" s="1">
        <f t="shared" ca="1" si="21"/>
        <v>3.2942415270463153E-3</v>
      </c>
      <c r="AE8" s="1"/>
      <c r="AF8" s="1">
        <f t="shared" ca="1" si="22"/>
        <v>0.86257048128853009</v>
      </c>
      <c r="AG8" s="1">
        <f t="shared" ca="1" si="23"/>
        <v>513</v>
      </c>
      <c r="AH8" s="1">
        <f t="shared" ca="1" si="24"/>
        <v>2.777911434912256E-3</v>
      </c>
      <c r="AJ8" s="1">
        <f t="shared" ca="1" si="25"/>
        <v>0.93825044833670324</v>
      </c>
      <c r="AK8" s="1">
        <f t="shared" ca="1" si="26"/>
        <v>4.5663508227469021E-3</v>
      </c>
      <c r="AL8" s="1"/>
      <c r="AM8" s="1">
        <f t="shared" ca="1" si="27"/>
        <v>7.5549525964295816E-2</v>
      </c>
      <c r="AN8" s="1">
        <f t="shared" ca="1" si="28"/>
        <v>13</v>
      </c>
      <c r="AO8" s="1">
        <f t="shared" ca="1" si="29"/>
        <v>2</v>
      </c>
      <c r="AQ8" s="1">
        <f t="shared" ca="1" si="30"/>
        <v>92</v>
      </c>
      <c r="AR8" s="1">
        <f t="shared" ca="1" si="31"/>
        <v>6</v>
      </c>
      <c r="AS8" s="1">
        <f t="shared" ca="1" si="32"/>
        <v>24</v>
      </c>
      <c r="AU8" s="1">
        <f t="shared" ca="1" si="33"/>
        <v>66</v>
      </c>
      <c r="AV8" s="1">
        <f t="shared" ca="1" si="34"/>
        <v>9</v>
      </c>
      <c r="AW8" s="1">
        <f t="shared" ca="1" si="35"/>
        <v>0.10004236180905772</v>
      </c>
      <c r="AY8" s="1">
        <f t="shared" ca="1" si="36"/>
        <v>1.7025537197097349</v>
      </c>
      <c r="AZ8" s="1">
        <f t="shared" ca="1" si="37"/>
        <v>57</v>
      </c>
      <c r="BA8" s="1">
        <f t="shared" ca="1" si="38"/>
        <v>3.2370611670609947E-3</v>
      </c>
      <c r="BV8" s="1">
        <f t="shared" ca="1" si="39"/>
        <v>0.32869063157121592</v>
      </c>
      <c r="BW8" s="1">
        <f t="shared" ca="1" si="40"/>
        <v>769</v>
      </c>
      <c r="BX8" s="1">
        <f t="shared" ca="1" si="41"/>
        <v>7.2390802333085185E-3</v>
      </c>
      <c r="BY8" s="1">
        <f t="shared" ca="1" si="42"/>
        <v>6.3723758730967361E-2</v>
      </c>
      <c r="BZ8" s="1">
        <f t="shared" ca="1" si="43"/>
        <v>8.6529807047316387E-2</v>
      </c>
      <c r="CB8" s="1">
        <f t="shared" ca="1" si="44"/>
        <v>236</v>
      </c>
      <c r="CC8" s="1">
        <f t="shared" ca="1" si="45"/>
        <v>4</v>
      </c>
      <c r="CD8" s="1">
        <f t="shared" ca="1" si="46"/>
        <v>0.14777467378181619</v>
      </c>
      <c r="CE8" s="1">
        <f t="shared" ca="1" si="47"/>
        <v>0.63767378531188235</v>
      </c>
      <c r="CF8" s="1">
        <f t="shared" ca="1" si="47"/>
        <v>0.6652413250089515</v>
      </c>
      <c r="CH8" s="3">
        <f t="shared" ca="1" si="48"/>
        <v>0.32201547667466318</v>
      </c>
      <c r="CI8" s="3">
        <f t="shared" ca="1" si="49"/>
        <v>0.40802261217559394</v>
      </c>
      <c r="CJ8" s="3">
        <f t="shared" ca="1" si="50"/>
        <v>483</v>
      </c>
      <c r="CK8" s="3">
        <f t="shared" ca="1" si="51"/>
        <v>5.9103605962705788E-3</v>
      </c>
      <c r="CL8" s="3">
        <f t="shared" ca="1" si="52"/>
        <v>1</v>
      </c>
      <c r="CM8" s="3"/>
      <c r="CN8" s="1">
        <f t="shared" ca="1" si="53"/>
        <v>16.118524691364048</v>
      </c>
      <c r="CO8" s="1">
        <f t="shared" ca="1" si="54"/>
        <v>0.25412165793510089</v>
      </c>
      <c r="CP8" s="1">
        <f t="shared" ca="1" si="55"/>
        <v>5</v>
      </c>
      <c r="DH8" s="1">
        <f t="shared" ca="1" si="56"/>
        <v>559</v>
      </c>
      <c r="DI8" s="1">
        <f t="shared" ca="1" si="57"/>
        <v>0.6462191360088595</v>
      </c>
      <c r="DJ8" s="1">
        <f t="shared" ca="1" si="58"/>
        <v>30</v>
      </c>
    </row>
    <row r="9" spans="2:114" x14ac:dyDescent="0.25">
      <c r="B9">
        <f t="shared" ca="1" si="0"/>
        <v>288</v>
      </c>
      <c r="C9">
        <f t="shared" ca="1" si="1"/>
        <v>52</v>
      </c>
      <c r="D9">
        <f t="shared" ca="1" si="2"/>
        <v>1.8417413043105353E-2</v>
      </c>
      <c r="F9" s="1">
        <f t="shared" ca="1" si="3"/>
        <v>47</v>
      </c>
      <c r="G9" s="1">
        <f t="shared" ca="1" si="4"/>
        <v>11</v>
      </c>
      <c r="H9" s="1">
        <f t="shared" ca="1" si="5"/>
        <v>7</v>
      </c>
      <c r="I9" s="1"/>
      <c r="J9" s="1">
        <f t="shared" ca="1" si="6"/>
        <v>6</v>
      </c>
      <c r="K9" s="1">
        <f t="shared" ca="1" si="7"/>
        <v>1.7364196746968155</v>
      </c>
      <c r="L9" s="1">
        <f t="shared" ca="1" si="8"/>
        <v>29</v>
      </c>
      <c r="M9" s="1"/>
      <c r="N9" s="1">
        <f t="shared" ca="1" si="9"/>
        <v>580</v>
      </c>
      <c r="O9" s="1">
        <f t="shared" ca="1" si="10"/>
        <v>48</v>
      </c>
      <c r="P9" s="1"/>
      <c r="Q9" s="1">
        <f t="shared" ca="1" si="11"/>
        <v>0.57392483501600733</v>
      </c>
      <c r="R9" s="1">
        <f t="shared" ca="1" si="12"/>
        <v>1107</v>
      </c>
      <c r="S9" s="1"/>
      <c r="T9" s="1">
        <f t="shared" ca="1" si="13"/>
        <v>2.3200345817615056E-2</v>
      </c>
      <c r="U9" s="1">
        <f t="shared" ca="1" si="14"/>
        <v>188</v>
      </c>
      <c r="V9" s="1">
        <f t="shared" ca="1" si="15"/>
        <v>7</v>
      </c>
      <c r="W9" s="1"/>
      <c r="X9" s="1">
        <f t="shared" ca="1" si="16"/>
        <v>1.4690744627456314</v>
      </c>
      <c r="Y9" s="1">
        <f t="shared" ca="1" si="17"/>
        <v>0.37277126889432316</v>
      </c>
      <c r="Z9" s="1">
        <f t="shared" ca="1" si="18"/>
        <v>1971</v>
      </c>
      <c r="AB9" s="1">
        <f t="shared" ca="1" si="19"/>
        <v>0.72658045047029574</v>
      </c>
      <c r="AC9" s="1">
        <f t="shared" ca="1" si="20"/>
        <v>470</v>
      </c>
      <c r="AD9" s="1">
        <f t="shared" ca="1" si="21"/>
        <v>3.1233073644289251E-3</v>
      </c>
      <c r="AE9" s="1"/>
      <c r="AF9" s="1">
        <f t="shared" ca="1" si="22"/>
        <v>0.28288785202699246</v>
      </c>
      <c r="AG9" s="1">
        <f t="shared" ca="1" si="23"/>
        <v>474</v>
      </c>
      <c r="AH9" s="1">
        <f t="shared" ca="1" si="24"/>
        <v>3.9536533324315047E-3</v>
      </c>
      <c r="AJ9" s="1">
        <f t="shared" ca="1" si="25"/>
        <v>0.27293108495730867</v>
      </c>
      <c r="AK9" s="1">
        <f t="shared" ca="1" si="26"/>
        <v>5.0693783155473645E-3</v>
      </c>
      <c r="AL9" s="1"/>
      <c r="AM9" s="1">
        <f t="shared" ca="1" si="27"/>
        <v>6.5570943964990386E-2</v>
      </c>
      <c r="AN9" s="1">
        <f t="shared" ca="1" si="28"/>
        <v>50</v>
      </c>
      <c r="AO9" s="1">
        <f t="shared" ca="1" si="29"/>
        <v>0</v>
      </c>
      <c r="AQ9" s="1">
        <f t="shared" ca="1" si="30"/>
        <v>58</v>
      </c>
      <c r="AR9" s="1">
        <f t="shared" ca="1" si="31"/>
        <v>2</v>
      </c>
      <c r="AS9" s="1">
        <f t="shared" ca="1" si="32"/>
        <v>41</v>
      </c>
      <c r="AU9" s="1">
        <f t="shared" ca="1" si="33"/>
        <v>338</v>
      </c>
      <c r="AV9" s="1">
        <f t="shared" ca="1" si="34"/>
        <v>2</v>
      </c>
      <c r="AW9" s="1">
        <f t="shared" ca="1" si="35"/>
        <v>6.1063096698860668E-2</v>
      </c>
      <c r="AY9" s="1">
        <f t="shared" ca="1" si="36"/>
        <v>1.5436875566828059</v>
      </c>
      <c r="AZ9" s="1">
        <f t="shared" ca="1" si="37"/>
        <v>341</v>
      </c>
      <c r="BA9" s="1">
        <f t="shared" ca="1" si="38"/>
        <v>6.3705929871026197E-3</v>
      </c>
      <c r="BV9" s="1">
        <f t="shared" ca="1" si="39"/>
        <v>0.30811333924564455</v>
      </c>
      <c r="BW9" s="1">
        <f t="shared" ca="1" si="40"/>
        <v>552</v>
      </c>
      <c r="BX9" s="1">
        <f t="shared" ca="1" si="41"/>
        <v>6.7065339300371405E-5</v>
      </c>
      <c r="BY9" s="1">
        <f t="shared" ca="1" si="42"/>
        <v>4.2700453521989166E-2</v>
      </c>
      <c r="BZ9" s="1">
        <f t="shared" ca="1" si="43"/>
        <v>0.49187551104660343</v>
      </c>
      <c r="CB9" s="1">
        <f t="shared" ca="1" si="44"/>
        <v>300</v>
      </c>
      <c r="CC9" s="1">
        <f t="shared" ca="1" si="45"/>
        <v>14</v>
      </c>
      <c r="CD9" s="1">
        <f t="shared" ca="1" si="46"/>
        <v>0.14006726135691402</v>
      </c>
      <c r="CE9" s="1">
        <f t="shared" ca="1" si="47"/>
        <v>0.8771738785777915</v>
      </c>
      <c r="CF9" s="1">
        <f t="shared" ca="1" si="47"/>
        <v>0.72480229991162259</v>
      </c>
      <c r="CH9" s="3">
        <f t="shared" ca="1" si="48"/>
        <v>0.55585670943432319</v>
      </c>
      <c r="CI9" s="3">
        <f t="shared" ca="1" si="49"/>
        <v>0.93574474607331604</v>
      </c>
      <c r="CJ9" s="3">
        <f t="shared" ca="1" si="50"/>
        <v>1607</v>
      </c>
      <c r="CK9" s="3">
        <f t="shared" ca="1" si="51"/>
        <v>3.0667102522762735E-3</v>
      </c>
      <c r="CL9" s="3">
        <f t="shared" ca="1" si="52"/>
        <v>0</v>
      </c>
      <c r="CM9" s="3"/>
      <c r="CN9" s="1">
        <f t="shared" ca="1" si="53"/>
        <v>16.709336938330711</v>
      </c>
      <c r="CO9" s="1">
        <f t="shared" ca="1" si="54"/>
        <v>0.19237870078138827</v>
      </c>
      <c r="CP9" s="1">
        <f t="shared" ca="1" si="55"/>
        <v>2</v>
      </c>
      <c r="DH9" s="1">
        <f t="shared" ca="1" si="56"/>
        <v>815</v>
      </c>
      <c r="DI9" s="1">
        <f t="shared" ca="1" si="57"/>
        <v>0.64850199079863913</v>
      </c>
      <c r="DJ9" s="1">
        <f t="shared" ca="1" si="58"/>
        <v>29</v>
      </c>
    </row>
    <row r="10" spans="2:114" x14ac:dyDescent="0.25">
      <c r="B10">
        <f t="shared" ca="1" si="0"/>
        <v>96</v>
      </c>
      <c r="C10">
        <f t="shared" ca="1" si="1"/>
        <v>18</v>
      </c>
      <c r="D10">
        <f t="shared" ca="1" si="2"/>
        <v>0.10855533187219196</v>
      </c>
      <c r="F10" s="1">
        <f t="shared" ca="1" si="3"/>
        <v>23</v>
      </c>
      <c r="G10" s="1">
        <f t="shared" ca="1" si="4"/>
        <v>16</v>
      </c>
      <c r="H10" s="1">
        <f t="shared" ca="1" si="5"/>
        <v>13</v>
      </c>
      <c r="I10" s="1"/>
      <c r="J10" s="1">
        <f t="shared" ca="1" si="6"/>
        <v>23</v>
      </c>
      <c r="K10" s="1">
        <f t="shared" ca="1" si="7"/>
        <v>2.100185543601734</v>
      </c>
      <c r="L10" s="1">
        <f t="shared" ca="1" si="8"/>
        <v>25</v>
      </c>
      <c r="M10" s="1"/>
      <c r="N10" s="1">
        <f t="shared" ca="1" si="9"/>
        <v>259</v>
      </c>
      <c r="O10" s="1">
        <f t="shared" ca="1" si="10"/>
        <v>10</v>
      </c>
      <c r="P10" s="1"/>
      <c r="Q10" s="1">
        <f t="shared" ca="1" si="11"/>
        <v>4.8668803673384815</v>
      </c>
      <c r="R10" s="1">
        <f t="shared" ca="1" si="12"/>
        <v>795</v>
      </c>
      <c r="S10" s="1"/>
      <c r="T10" s="1">
        <f t="shared" ca="1" si="13"/>
        <v>0.18006411815926909</v>
      </c>
      <c r="U10" s="1">
        <f t="shared" ca="1" si="14"/>
        <v>205</v>
      </c>
      <c r="V10" s="1">
        <f t="shared" ca="1" si="15"/>
        <v>43</v>
      </c>
      <c r="W10" s="1"/>
      <c r="X10" s="1">
        <f t="shared" ca="1" si="16"/>
        <v>1.2834209819804139</v>
      </c>
      <c r="Y10" s="1">
        <f t="shared" ca="1" si="17"/>
        <v>0.38431141204558222</v>
      </c>
      <c r="Z10" s="1">
        <f t="shared" ca="1" si="18"/>
        <v>1787</v>
      </c>
      <c r="AB10" s="1">
        <f t="shared" ca="1" si="19"/>
        <v>0.82725163404708013</v>
      </c>
      <c r="AC10" s="1">
        <f t="shared" ca="1" si="20"/>
        <v>829</v>
      </c>
      <c r="AD10" s="1">
        <f t="shared" ca="1" si="21"/>
        <v>8.4298033932535751E-3</v>
      </c>
      <c r="AE10" s="1"/>
      <c r="AF10" s="1">
        <f t="shared" ca="1" si="22"/>
        <v>0.13782147903606745</v>
      </c>
      <c r="AG10" s="1">
        <f t="shared" ca="1" si="23"/>
        <v>825</v>
      </c>
      <c r="AH10" s="1">
        <f t="shared" ca="1" si="24"/>
        <v>8.3669134230919869E-3</v>
      </c>
      <c r="AJ10" s="1">
        <f t="shared" ca="1" si="25"/>
        <v>0.2763185597418748</v>
      </c>
      <c r="AK10" s="1">
        <f t="shared" ca="1" si="26"/>
        <v>7.4770016263735828E-3</v>
      </c>
      <c r="AL10" s="1"/>
      <c r="AM10" s="1">
        <f t="shared" ca="1" si="27"/>
        <v>6.4504713399727326E-2</v>
      </c>
      <c r="AN10" s="1">
        <f t="shared" ca="1" si="28"/>
        <v>52</v>
      </c>
      <c r="AO10" s="1">
        <f t="shared" ca="1" si="29"/>
        <v>20</v>
      </c>
      <c r="AQ10" s="1">
        <f t="shared" ca="1" si="30"/>
        <v>196</v>
      </c>
      <c r="AR10" s="1">
        <f t="shared" ca="1" si="31"/>
        <v>8</v>
      </c>
      <c r="AS10" s="1">
        <f t="shared" ca="1" si="32"/>
        <v>17</v>
      </c>
      <c r="AU10" s="1">
        <f t="shared" ca="1" si="33"/>
        <v>347</v>
      </c>
      <c r="AV10" s="1">
        <f t="shared" ca="1" si="34"/>
        <v>6</v>
      </c>
      <c r="AW10" s="1">
        <f t="shared" ca="1" si="35"/>
        <v>3.3255176688590203E-2</v>
      </c>
      <c r="AY10" s="1">
        <f t="shared" ca="1" si="36"/>
        <v>1.3471433164581361</v>
      </c>
      <c r="AZ10" s="1">
        <f t="shared" ca="1" si="37"/>
        <v>285</v>
      </c>
      <c r="BA10" s="1">
        <f t="shared" ca="1" si="38"/>
        <v>9.751696925242085E-3</v>
      </c>
      <c r="BV10" s="1">
        <f t="shared" ca="1" si="39"/>
        <v>0.76909745559472575</v>
      </c>
      <c r="BW10" s="1">
        <f t="shared" ca="1" si="40"/>
        <v>509</v>
      </c>
      <c r="BX10" s="1">
        <f t="shared" ca="1" si="41"/>
        <v>3.9488124550352251E-3</v>
      </c>
      <c r="BY10" s="1">
        <f t="shared" ca="1" si="42"/>
        <v>4.1774005555332949E-2</v>
      </c>
      <c r="BZ10" s="1">
        <f t="shared" ca="1" si="43"/>
        <v>0.54458289002267279</v>
      </c>
      <c r="CB10" s="1">
        <f t="shared" ca="1" si="44"/>
        <v>456</v>
      </c>
      <c r="CC10" s="1">
        <f t="shared" ca="1" si="45"/>
        <v>7</v>
      </c>
      <c r="CD10" s="1">
        <f t="shared" ca="1" si="46"/>
        <v>0.24105372193409189</v>
      </c>
      <c r="CE10" s="1">
        <f t="shared" ca="1" si="47"/>
        <v>0.88424735721389647</v>
      </c>
      <c r="CF10" s="1">
        <f t="shared" ca="1" si="47"/>
        <v>0.94395671146753424</v>
      </c>
      <c r="CH10" s="3">
        <f t="shared" ca="1" si="48"/>
        <v>0.23729240836603382</v>
      </c>
      <c r="CI10" s="3">
        <f t="shared" ca="1" si="49"/>
        <v>0.57621794600378173</v>
      </c>
      <c r="CJ10" s="3">
        <f t="shared" ca="1" si="50"/>
        <v>960</v>
      </c>
      <c r="CK10" s="3">
        <f t="shared" ca="1" si="51"/>
        <v>8.9455298690563363E-3</v>
      </c>
      <c r="CL10" s="3">
        <f t="shared" ca="1" si="52"/>
        <v>0</v>
      </c>
      <c r="CM10" s="3"/>
      <c r="CN10" s="1">
        <f t="shared" ca="1" si="53"/>
        <v>12.80305520331483</v>
      </c>
      <c r="CO10" s="1">
        <f t="shared" ca="1" si="54"/>
        <v>0.39217338360588833</v>
      </c>
      <c r="CP10" s="1">
        <f t="shared" ca="1" si="55"/>
        <v>1</v>
      </c>
      <c r="DH10" s="1">
        <f t="shared" ca="1" si="56"/>
        <v>265</v>
      </c>
      <c r="DI10" s="1">
        <f t="shared" ca="1" si="57"/>
        <v>0.20100730622346671</v>
      </c>
      <c r="DJ10" s="1">
        <f t="shared" ca="1" si="58"/>
        <v>28</v>
      </c>
    </row>
    <row r="11" spans="2:114" x14ac:dyDescent="0.25">
      <c r="B11">
        <f t="shared" ca="1" si="0"/>
        <v>671</v>
      </c>
      <c r="C11">
        <f t="shared" ca="1" si="1"/>
        <v>7</v>
      </c>
      <c r="D11">
        <f t="shared" ca="1" si="2"/>
        <v>0.21119219372007975</v>
      </c>
      <c r="F11" s="1">
        <f t="shared" ca="1" si="3"/>
        <v>49</v>
      </c>
      <c r="G11" s="1">
        <f t="shared" ca="1" si="4"/>
        <v>5</v>
      </c>
      <c r="H11" s="1">
        <f t="shared" ca="1" si="5"/>
        <v>15</v>
      </c>
      <c r="I11" s="1"/>
      <c r="J11" s="1">
        <f t="shared" ca="1" si="6"/>
        <v>16</v>
      </c>
      <c r="K11" s="1">
        <f t="shared" ca="1" si="7"/>
        <v>2.9583995767810931</v>
      </c>
      <c r="L11" s="1">
        <f t="shared" ca="1" si="8"/>
        <v>22</v>
      </c>
      <c r="M11" s="1"/>
      <c r="N11" s="1">
        <f t="shared" ca="1" si="9"/>
        <v>350</v>
      </c>
      <c r="O11" s="1">
        <f t="shared" ca="1" si="10"/>
        <v>20</v>
      </c>
      <c r="P11" s="1"/>
      <c r="Q11" s="1">
        <f t="shared" ca="1" si="11"/>
        <v>1.3230252727953558</v>
      </c>
      <c r="R11" s="1">
        <f t="shared" ca="1" si="12"/>
        <v>332</v>
      </c>
      <c r="S11" s="1"/>
      <c r="T11" s="1">
        <f t="shared" ca="1" si="13"/>
        <v>7.9758071674643827E-2</v>
      </c>
      <c r="U11" s="1">
        <f t="shared" ca="1" si="14"/>
        <v>181</v>
      </c>
      <c r="V11" s="1">
        <f t="shared" ca="1" si="15"/>
        <v>31</v>
      </c>
      <c r="W11" s="1"/>
      <c r="X11" s="1">
        <f t="shared" ca="1" si="16"/>
        <v>5.3070661923640685</v>
      </c>
      <c r="Y11" s="1">
        <f t="shared" ca="1" si="17"/>
        <v>1.2644145625411723E-2</v>
      </c>
      <c r="Z11" s="1">
        <f t="shared" ca="1" si="18"/>
        <v>805</v>
      </c>
      <c r="AB11" s="1">
        <f t="shared" ca="1" si="19"/>
        <v>0.64608213977727058</v>
      </c>
      <c r="AC11" s="1">
        <f t="shared" ca="1" si="20"/>
        <v>792</v>
      </c>
      <c r="AD11" s="1">
        <f t="shared" ca="1" si="21"/>
        <v>5.7243679970057576E-3</v>
      </c>
      <c r="AE11" s="1"/>
      <c r="AF11" s="1">
        <f t="shared" ca="1" si="22"/>
        <v>0.12715345215925639</v>
      </c>
      <c r="AG11" s="1">
        <f t="shared" ca="1" si="23"/>
        <v>805</v>
      </c>
      <c r="AH11" s="1">
        <f t="shared" ca="1" si="24"/>
        <v>7.6627817613788961E-3</v>
      </c>
      <c r="AJ11" s="1">
        <f t="shared" ca="1" si="25"/>
        <v>0.89791640337530698</v>
      </c>
      <c r="AK11" s="1">
        <f t="shared" ca="1" si="26"/>
        <v>7.054297789453449E-3</v>
      </c>
      <c r="AL11" s="1"/>
      <c r="AM11" s="1">
        <f t="shared" ca="1" si="27"/>
        <v>2.1144550157610072E-2</v>
      </c>
      <c r="AN11" s="1">
        <f t="shared" ca="1" si="28"/>
        <v>40</v>
      </c>
      <c r="AO11" s="1">
        <f t="shared" ca="1" si="29"/>
        <v>9</v>
      </c>
      <c r="AQ11" s="1">
        <f t="shared" ca="1" si="30"/>
        <v>100</v>
      </c>
      <c r="AR11" s="1">
        <f t="shared" ca="1" si="31"/>
        <v>9</v>
      </c>
      <c r="AS11" s="1">
        <f t="shared" ca="1" si="32"/>
        <v>25</v>
      </c>
      <c r="AU11" s="1">
        <f t="shared" ca="1" si="33"/>
        <v>140</v>
      </c>
      <c r="AV11" s="1">
        <f t="shared" ca="1" si="34"/>
        <v>3</v>
      </c>
      <c r="AW11" s="1">
        <f t="shared" ca="1" si="35"/>
        <v>0.15491237534300492</v>
      </c>
      <c r="AY11" s="1">
        <f t="shared" ca="1" si="36"/>
        <v>1.628608431642502</v>
      </c>
      <c r="AZ11" s="1">
        <f t="shared" ca="1" si="37"/>
        <v>427</v>
      </c>
      <c r="BA11" s="1">
        <f t="shared" ca="1" si="38"/>
        <v>2.5141969631575062E-3</v>
      </c>
      <c r="BV11" s="1">
        <f t="shared" ca="1" si="39"/>
        <v>0.75088097909019347</v>
      </c>
      <c r="BW11" s="1">
        <f t="shared" ca="1" si="40"/>
        <v>619</v>
      </c>
      <c r="BX11" s="1">
        <f t="shared" ca="1" si="41"/>
        <v>2.561613300105286E-3</v>
      </c>
      <c r="BY11" s="1">
        <f t="shared" ca="1" si="42"/>
        <v>6.2066068518256325E-3</v>
      </c>
      <c r="BZ11" s="1">
        <f t="shared" ca="1" si="43"/>
        <v>0.72877266894587123</v>
      </c>
      <c r="CB11" s="1">
        <f t="shared" ca="1" si="44"/>
        <v>197</v>
      </c>
      <c r="CC11" s="1">
        <f t="shared" ca="1" si="45"/>
        <v>7</v>
      </c>
      <c r="CD11" s="1">
        <f t="shared" ca="1" si="46"/>
        <v>0.16979046430758021</v>
      </c>
      <c r="CE11" s="1">
        <f t="shared" ca="1" si="47"/>
        <v>0.59633790944826193</v>
      </c>
      <c r="CF11" s="1">
        <f t="shared" ca="1" si="47"/>
        <v>0.57417729630004111</v>
      </c>
      <c r="CH11" s="3">
        <f t="shared" ca="1" si="48"/>
        <v>0.36424889923318771</v>
      </c>
      <c r="CI11" s="3">
        <f t="shared" ca="1" si="49"/>
        <v>0.95131315904546832</v>
      </c>
      <c r="CJ11" s="3">
        <f t="shared" ca="1" si="50"/>
        <v>751</v>
      </c>
      <c r="CK11" s="3">
        <f t="shared" ca="1" si="51"/>
        <v>3.6098615010698842E-3</v>
      </c>
      <c r="CL11" s="3">
        <f t="shared" ca="1" si="52"/>
        <v>0</v>
      </c>
      <c r="CM11" s="3"/>
      <c r="CN11" s="1">
        <f t="shared" ca="1" si="53"/>
        <v>5.3738291135158285</v>
      </c>
      <c r="CO11" s="1">
        <f t="shared" ca="1" si="54"/>
        <v>0.17841130184565665</v>
      </c>
      <c r="CP11" s="1">
        <f t="shared" ca="1" si="55"/>
        <v>1</v>
      </c>
      <c r="DH11" s="1">
        <f t="shared" ca="1" si="56"/>
        <v>754</v>
      </c>
      <c r="DI11" s="1">
        <f t="shared" ca="1" si="57"/>
        <v>4.9926121531214541E-2</v>
      </c>
      <c r="DJ11" s="1">
        <f t="shared" ca="1" si="58"/>
        <v>11</v>
      </c>
    </row>
    <row r="12" spans="2:114" x14ac:dyDescent="0.25">
      <c r="B12">
        <f t="shared" ca="1" si="0"/>
        <v>395</v>
      </c>
      <c r="C12">
        <f t="shared" ca="1" si="1"/>
        <v>52</v>
      </c>
      <c r="D12">
        <f t="shared" ca="1" si="2"/>
        <v>0.15126308247480771</v>
      </c>
      <c r="F12" s="1">
        <f t="shared" ca="1" si="3"/>
        <v>42</v>
      </c>
      <c r="G12" s="1">
        <f t="shared" ca="1" si="4"/>
        <v>26</v>
      </c>
      <c r="H12" s="1">
        <f t="shared" ca="1" si="5"/>
        <v>7</v>
      </c>
      <c r="I12" s="1"/>
      <c r="J12" s="1">
        <f t="shared" ca="1" si="6"/>
        <v>27</v>
      </c>
      <c r="K12" s="1">
        <f t="shared" ca="1" si="7"/>
        <v>1.9846731864201048</v>
      </c>
      <c r="L12" s="1">
        <f t="shared" ca="1" si="8"/>
        <v>19</v>
      </c>
      <c r="M12" s="1"/>
      <c r="N12" s="1">
        <f t="shared" ca="1" si="9"/>
        <v>305</v>
      </c>
      <c r="O12" s="1">
        <f t="shared" ca="1" si="10"/>
        <v>3</v>
      </c>
      <c r="P12" s="1"/>
      <c r="Q12" s="1">
        <f t="shared" ca="1" si="11"/>
        <v>1.5615877819415738</v>
      </c>
      <c r="R12" s="1">
        <f t="shared" ca="1" si="12"/>
        <v>1169</v>
      </c>
      <c r="S12" s="1"/>
      <c r="T12" s="1">
        <f t="shared" ca="1" si="13"/>
        <v>0.19506809512974455</v>
      </c>
      <c r="U12" s="1">
        <f t="shared" ca="1" si="14"/>
        <v>235</v>
      </c>
      <c r="V12" s="1">
        <f t="shared" ca="1" si="15"/>
        <v>44</v>
      </c>
      <c r="W12" s="1"/>
      <c r="X12" s="1">
        <f t="shared" ca="1" si="16"/>
        <v>3.3174503881565705</v>
      </c>
      <c r="Y12" s="1">
        <f t="shared" ca="1" si="17"/>
        <v>0.78614578550050918</v>
      </c>
      <c r="Z12" s="1">
        <f t="shared" ca="1" si="18"/>
        <v>1756</v>
      </c>
      <c r="AB12" s="1">
        <f t="shared" ca="1" si="19"/>
        <v>0.84122819856025466</v>
      </c>
      <c r="AC12" s="1">
        <f t="shared" ca="1" si="20"/>
        <v>124</v>
      </c>
      <c r="AD12" s="1">
        <f t="shared" ca="1" si="21"/>
        <v>2.2371628022826943E-3</v>
      </c>
      <c r="AE12" s="1"/>
      <c r="AF12" s="1">
        <f t="shared" ca="1" si="22"/>
        <v>0.32615414200602055</v>
      </c>
      <c r="AG12" s="1">
        <f t="shared" ca="1" si="23"/>
        <v>251</v>
      </c>
      <c r="AH12" s="1">
        <f t="shared" ca="1" si="24"/>
        <v>8.1928902048905763E-3</v>
      </c>
      <c r="AJ12" s="1">
        <f t="shared" ca="1" si="25"/>
        <v>0.97733210147798422</v>
      </c>
      <c r="AK12" s="1">
        <f t="shared" ca="1" si="26"/>
        <v>4.2156119479300628E-3</v>
      </c>
      <c r="AL12" s="1"/>
      <c r="AM12" s="1">
        <f t="shared" ca="1" si="27"/>
        <v>0.17613495988244335</v>
      </c>
      <c r="AN12" s="1">
        <f t="shared" ca="1" si="28"/>
        <v>39</v>
      </c>
      <c r="AO12" s="1">
        <f t="shared" ca="1" si="29"/>
        <v>-1</v>
      </c>
      <c r="AQ12" s="1">
        <f t="shared" ca="1" si="30"/>
        <v>58</v>
      </c>
      <c r="AR12" s="1">
        <f t="shared" ca="1" si="31"/>
        <v>2</v>
      </c>
      <c r="AS12" s="1">
        <f t="shared" ca="1" si="32"/>
        <v>26</v>
      </c>
      <c r="AU12" s="1">
        <f t="shared" ca="1" si="33"/>
        <v>335</v>
      </c>
      <c r="AV12" s="1">
        <f t="shared" ca="1" si="34"/>
        <v>6</v>
      </c>
      <c r="AW12" s="1">
        <f t="shared" ca="1" si="35"/>
        <v>9.3466037233648713E-2</v>
      </c>
      <c r="AY12" s="1">
        <f t="shared" ca="1" si="36"/>
        <v>1.3565696753088679</v>
      </c>
      <c r="AZ12" s="1">
        <f t="shared" ca="1" si="37"/>
        <v>437</v>
      </c>
      <c r="BA12" s="1">
        <f t="shared" ca="1" si="38"/>
        <v>6.5452531010769914E-3</v>
      </c>
      <c r="BV12" s="1">
        <f t="shared" ca="1" si="39"/>
        <v>0.7897494583269693</v>
      </c>
      <c r="BW12" s="1">
        <f t="shared" ca="1" si="40"/>
        <v>116</v>
      </c>
      <c r="BX12" s="1">
        <f t="shared" ca="1" si="41"/>
        <v>1.6985995623150934E-3</v>
      </c>
      <c r="BY12" s="1">
        <f t="shared" ca="1" si="42"/>
        <v>6.7439343524388767E-2</v>
      </c>
      <c r="BZ12" s="1">
        <f t="shared" ca="1" si="43"/>
        <v>0.55095564652429796</v>
      </c>
      <c r="CB12" s="1">
        <f t="shared" ca="1" si="44"/>
        <v>376</v>
      </c>
      <c r="CC12" s="1">
        <f t="shared" ca="1" si="45"/>
        <v>4</v>
      </c>
      <c r="CD12" s="1">
        <f t="shared" ca="1" si="46"/>
        <v>0.26923913605154609</v>
      </c>
      <c r="CE12" s="1">
        <f t="shared" ca="1" si="47"/>
        <v>0.88586202010843951</v>
      </c>
      <c r="CF12" s="1">
        <f t="shared" ca="1" si="47"/>
        <v>0.78872096726385432</v>
      </c>
      <c r="CH12" s="3">
        <f t="shared" ca="1" si="48"/>
        <v>0.16880001230420949</v>
      </c>
      <c r="CI12" s="3">
        <f t="shared" ca="1" si="49"/>
        <v>0.93238919799605091</v>
      </c>
      <c r="CJ12" s="3">
        <f t="shared" ca="1" si="50"/>
        <v>1389</v>
      </c>
      <c r="CK12" s="3">
        <f t="shared" ca="1" si="51"/>
        <v>7.2437453748798748E-3</v>
      </c>
      <c r="CL12" s="3">
        <f t="shared" ca="1" si="52"/>
        <v>1</v>
      </c>
      <c r="CM12" s="3"/>
      <c r="CN12" s="1">
        <f t="shared" ca="1" si="53"/>
        <v>17.764632199142813</v>
      </c>
      <c r="CO12" s="1">
        <f t="shared" ca="1" si="54"/>
        <v>0.38879512173334346</v>
      </c>
      <c r="CP12" s="1">
        <f t="shared" ca="1" si="55"/>
        <v>2</v>
      </c>
      <c r="DH12" s="1">
        <f t="shared" ca="1" si="56"/>
        <v>356</v>
      </c>
      <c r="DI12" s="1">
        <f t="shared" ca="1" si="57"/>
        <v>0.79254783676064444</v>
      </c>
      <c r="DJ12" s="1">
        <f t="shared" ca="1" si="58"/>
        <v>7</v>
      </c>
    </row>
    <row r="13" spans="2:114" x14ac:dyDescent="0.25">
      <c r="B13">
        <f t="shared" ca="1" si="0"/>
        <v>48</v>
      </c>
      <c r="C13">
        <f t="shared" ca="1" si="1"/>
        <v>48</v>
      </c>
      <c r="D13">
        <f t="shared" ca="1" si="2"/>
        <v>0.20154640689544315</v>
      </c>
      <c r="F13" s="1">
        <f t="shared" ca="1" si="3"/>
        <v>13</v>
      </c>
      <c r="G13" s="1">
        <f t="shared" ca="1" si="4"/>
        <v>3</v>
      </c>
      <c r="H13" s="1">
        <f t="shared" ca="1" si="5"/>
        <v>11</v>
      </c>
      <c r="I13" s="1"/>
      <c r="J13" s="1">
        <f t="shared" ca="1" si="6"/>
        <v>28</v>
      </c>
      <c r="K13" s="1">
        <f t="shared" ca="1" si="7"/>
        <v>2.6801195292660251</v>
      </c>
      <c r="L13" s="1">
        <f t="shared" ca="1" si="8"/>
        <v>18</v>
      </c>
      <c r="M13" s="1"/>
      <c r="N13" s="1">
        <f t="shared" ca="1" si="9"/>
        <v>332</v>
      </c>
      <c r="O13" s="1">
        <f t="shared" ca="1" si="10"/>
        <v>45</v>
      </c>
      <c r="P13" s="1"/>
      <c r="Q13" s="1">
        <f t="shared" ca="1" si="11"/>
        <v>2.2449112826426947</v>
      </c>
      <c r="R13" s="1">
        <f t="shared" ca="1" si="12"/>
        <v>1164</v>
      </c>
      <c r="S13" s="1"/>
      <c r="T13" s="1">
        <f t="shared" ca="1" si="13"/>
        <v>2.6283335101786265E-2</v>
      </c>
      <c r="U13" s="1">
        <f t="shared" ca="1" si="14"/>
        <v>210</v>
      </c>
      <c r="V13" s="1">
        <f t="shared" ca="1" si="15"/>
        <v>26</v>
      </c>
      <c r="W13" s="1"/>
      <c r="X13" s="1">
        <f t="shared" ca="1" si="16"/>
        <v>2.8535426158362598</v>
      </c>
      <c r="Y13" s="1">
        <f t="shared" ca="1" si="17"/>
        <v>0.40408531023933653</v>
      </c>
      <c r="Z13" s="1">
        <f t="shared" ca="1" si="18"/>
        <v>1335</v>
      </c>
      <c r="AB13" s="1">
        <f t="shared" ca="1" si="19"/>
        <v>0.97329303653488863</v>
      </c>
      <c r="AC13" s="1">
        <f t="shared" ca="1" si="20"/>
        <v>220</v>
      </c>
      <c r="AD13" s="1">
        <f t="shared" ca="1" si="21"/>
        <v>1.7284485241683527E-3</v>
      </c>
      <c r="AE13" s="1"/>
      <c r="AF13" s="1">
        <f t="shared" ca="1" si="22"/>
        <v>0.60912763813630333</v>
      </c>
      <c r="AG13" s="1">
        <f t="shared" ca="1" si="23"/>
        <v>552</v>
      </c>
      <c r="AH13" s="1">
        <f t="shared" ca="1" si="24"/>
        <v>6.587047908445714E-3</v>
      </c>
      <c r="AJ13" s="1">
        <f t="shared" ca="1" si="25"/>
        <v>0.7904542397367198</v>
      </c>
      <c r="AK13" s="1">
        <f t="shared" ca="1" si="26"/>
        <v>6.343558598493603E-4</v>
      </c>
      <c r="AL13" s="1"/>
      <c r="AM13" s="1">
        <f t="shared" ca="1" si="27"/>
        <v>0.12163905520463965</v>
      </c>
      <c r="AN13" s="1">
        <f t="shared" ca="1" si="28"/>
        <v>63</v>
      </c>
      <c r="AO13" s="1">
        <f t="shared" ca="1" si="29"/>
        <v>11</v>
      </c>
      <c r="AQ13" s="1">
        <f t="shared" ca="1" si="30"/>
        <v>181</v>
      </c>
      <c r="AR13" s="1">
        <f t="shared" ca="1" si="31"/>
        <v>4</v>
      </c>
      <c r="AS13" s="1">
        <f t="shared" ca="1" si="32"/>
        <v>25</v>
      </c>
      <c r="AU13" s="1">
        <f t="shared" ca="1" si="33"/>
        <v>202</v>
      </c>
      <c r="AV13" s="1">
        <f t="shared" ca="1" si="34"/>
        <v>6</v>
      </c>
      <c r="AW13" s="1">
        <f t="shared" ca="1" si="35"/>
        <v>5.0363998651469531E-2</v>
      </c>
      <c r="AY13" s="1">
        <f t="shared" ca="1" si="36"/>
        <v>1.4013418316465112</v>
      </c>
      <c r="AZ13" s="1">
        <f t="shared" ca="1" si="37"/>
        <v>400</v>
      </c>
      <c r="BA13" s="1">
        <f t="shared" ca="1" si="38"/>
        <v>9.9885304264396898E-3</v>
      </c>
      <c r="BV13" s="1">
        <f t="shared" ca="1" si="39"/>
        <v>0.66158338984910159</v>
      </c>
      <c r="BW13" s="1">
        <f t="shared" ca="1" si="40"/>
        <v>493</v>
      </c>
      <c r="BX13" s="1">
        <f t="shared" ca="1" si="41"/>
        <v>9.3822515925296932E-3</v>
      </c>
      <c r="BY13" s="1">
        <f t="shared" ca="1" si="42"/>
        <v>3.5476425110455741E-2</v>
      </c>
      <c r="BZ13" s="1">
        <f t="shared" ca="1" si="43"/>
        <v>0.56571385743453118</v>
      </c>
      <c r="CB13" s="1">
        <f t="shared" ca="1" si="44"/>
        <v>378</v>
      </c>
      <c r="CC13" s="1">
        <f t="shared" ca="1" si="45"/>
        <v>9</v>
      </c>
      <c r="CD13" s="1">
        <f t="shared" ca="1" si="46"/>
        <v>0.25965773995419433</v>
      </c>
      <c r="CE13" s="1">
        <f t="shared" ca="1" si="47"/>
        <v>0.83259604855339542</v>
      </c>
      <c r="CF13" s="1">
        <f t="shared" ca="1" si="47"/>
        <v>0.90407074401023424</v>
      </c>
      <c r="CH13" s="3">
        <f t="shared" ca="1" si="48"/>
        <v>0.95317426981263276</v>
      </c>
      <c r="CI13" s="3">
        <f t="shared" ca="1" si="49"/>
        <v>0.13852542730895046</v>
      </c>
      <c r="CJ13" s="3">
        <f t="shared" ca="1" si="50"/>
        <v>810</v>
      </c>
      <c r="CK13" s="3">
        <f t="shared" ca="1" si="51"/>
        <v>3.6803817521184751E-3</v>
      </c>
      <c r="CL13" s="3">
        <f t="shared" ca="1" si="52"/>
        <v>1</v>
      </c>
      <c r="CM13" s="3"/>
      <c r="CN13" s="1">
        <f t="shared" ca="1" si="53"/>
        <v>5.8043002396248022</v>
      </c>
      <c r="CO13" s="1">
        <f t="shared" ca="1" si="54"/>
        <v>6.1256955596168144E-2</v>
      </c>
      <c r="CP13" s="1">
        <f t="shared" ca="1" si="55"/>
        <v>2</v>
      </c>
      <c r="DH13" s="1">
        <f t="shared" ca="1" si="56"/>
        <v>853</v>
      </c>
      <c r="DI13" s="1">
        <f t="shared" ca="1" si="57"/>
        <v>0.861816757145487</v>
      </c>
      <c r="DJ13" s="1">
        <f t="shared" ca="1" si="58"/>
        <v>17</v>
      </c>
    </row>
    <row r="14" spans="2:114" x14ac:dyDescent="0.25">
      <c r="B14">
        <f t="shared" ca="1" si="0"/>
        <v>880</v>
      </c>
      <c r="C14">
        <f t="shared" ca="1" si="1"/>
        <v>25</v>
      </c>
      <c r="D14">
        <f t="shared" ca="1" si="2"/>
        <v>0.12273275417419674</v>
      </c>
      <c r="F14" s="1">
        <f t="shared" ca="1" si="3"/>
        <v>48</v>
      </c>
      <c r="G14" s="1">
        <f t="shared" ca="1" si="4"/>
        <v>22</v>
      </c>
      <c r="H14" s="1">
        <f t="shared" ca="1" si="5"/>
        <v>11</v>
      </c>
      <c r="I14" s="1"/>
      <c r="J14" s="1">
        <f t="shared" ca="1" si="6"/>
        <v>26</v>
      </c>
      <c r="K14" s="1">
        <f t="shared" ca="1" si="7"/>
        <v>2.4149060136716622</v>
      </c>
      <c r="L14" s="1">
        <f t="shared" ca="1" si="8"/>
        <v>18</v>
      </c>
      <c r="M14" s="1"/>
      <c r="N14" s="1">
        <f t="shared" ca="1" si="9"/>
        <v>967</v>
      </c>
      <c r="O14" s="1">
        <f t="shared" ca="1" si="10"/>
        <v>25</v>
      </c>
      <c r="P14" s="1"/>
      <c r="Q14" s="1">
        <f t="shared" ca="1" si="11"/>
        <v>4.3746189601344154</v>
      </c>
      <c r="R14" s="1">
        <f t="shared" ca="1" si="12"/>
        <v>485</v>
      </c>
      <c r="S14" s="1"/>
      <c r="T14" s="1">
        <f t="shared" ca="1" si="13"/>
        <v>5.7108153448560461E-2</v>
      </c>
      <c r="U14" s="1">
        <f t="shared" ca="1" si="14"/>
        <v>148</v>
      </c>
      <c r="V14" s="1">
        <f t="shared" ca="1" si="15"/>
        <v>3</v>
      </c>
      <c r="W14" s="1"/>
      <c r="X14" s="1">
        <f t="shared" ca="1" si="16"/>
        <v>2.0008223873393778</v>
      </c>
      <c r="Y14" s="1">
        <f t="shared" ca="1" si="17"/>
        <v>0.12025612892121702</v>
      </c>
      <c r="Z14" s="1">
        <f t="shared" ca="1" si="18"/>
        <v>426</v>
      </c>
      <c r="AB14" s="1">
        <f t="shared" ca="1" si="19"/>
        <v>0.30978386557237431</v>
      </c>
      <c r="AC14" s="1">
        <f t="shared" ca="1" si="20"/>
        <v>750</v>
      </c>
      <c r="AD14" s="1">
        <f t="shared" ca="1" si="21"/>
        <v>1.2066902355266933E-3</v>
      </c>
      <c r="AE14" s="1"/>
      <c r="AF14" s="1">
        <f t="shared" ca="1" si="22"/>
        <v>0.45627649843968032</v>
      </c>
      <c r="AG14" s="1">
        <f t="shared" ca="1" si="23"/>
        <v>777</v>
      </c>
      <c r="AH14" s="1">
        <f t="shared" ca="1" si="24"/>
        <v>6.5780943249972778E-3</v>
      </c>
      <c r="AJ14" s="1">
        <f t="shared" ca="1" si="25"/>
        <v>0.32903956122125289</v>
      </c>
      <c r="AK14" s="1">
        <f t="shared" ca="1" si="26"/>
        <v>6.1335131068180225E-3</v>
      </c>
      <c r="AL14" s="1"/>
      <c r="AM14" s="1">
        <f t="shared" ca="1" si="27"/>
        <v>0.1976917889770223</v>
      </c>
      <c r="AN14" s="1">
        <f t="shared" ca="1" si="28"/>
        <v>79</v>
      </c>
      <c r="AO14" s="1">
        <f t="shared" ca="1" si="29"/>
        <v>15</v>
      </c>
      <c r="AQ14" s="1">
        <f t="shared" ca="1" si="30"/>
        <v>172</v>
      </c>
      <c r="AR14" s="1">
        <f t="shared" ca="1" si="31"/>
        <v>1</v>
      </c>
      <c r="AS14" s="1">
        <f t="shared" ca="1" si="32"/>
        <v>94</v>
      </c>
      <c r="AU14" s="1">
        <f t="shared" ca="1" si="33"/>
        <v>64</v>
      </c>
      <c r="AV14" s="1">
        <f t="shared" ca="1" si="34"/>
        <v>9</v>
      </c>
      <c r="AW14" s="1">
        <f t="shared" ca="1" si="35"/>
        <v>0.14944535960589095</v>
      </c>
      <c r="AY14" s="1">
        <f t="shared" ca="1" si="36"/>
        <v>1.3126267505677471</v>
      </c>
      <c r="AZ14" s="1">
        <f t="shared" ca="1" si="37"/>
        <v>319</v>
      </c>
      <c r="BA14" s="1">
        <f t="shared" ca="1" si="38"/>
        <v>4.2068979214460577E-3</v>
      </c>
      <c r="BV14" s="1">
        <f t="shared" ca="1" si="39"/>
        <v>0.21282555655163632</v>
      </c>
      <c r="BW14" s="1">
        <f t="shared" ca="1" si="40"/>
        <v>916</v>
      </c>
      <c r="BX14" s="1">
        <f t="shared" ca="1" si="41"/>
        <v>8.5887439242990967E-3</v>
      </c>
      <c r="BY14" s="1">
        <f t="shared" ca="1" si="42"/>
        <v>3.8941163301827106E-2</v>
      </c>
      <c r="BZ14" s="1">
        <f t="shared" ca="1" si="43"/>
        <v>0.25103012670467162</v>
      </c>
      <c r="CB14" s="1">
        <f t="shared" ca="1" si="44"/>
        <v>58</v>
      </c>
      <c r="CC14" s="1">
        <f t="shared" ca="1" si="45"/>
        <v>6</v>
      </c>
      <c r="CD14" s="1">
        <f t="shared" ca="1" si="46"/>
        <v>8.3550824486947742E-2</v>
      </c>
      <c r="CE14" s="1">
        <f t="shared" ca="1" si="47"/>
        <v>0.66965555023311429</v>
      </c>
      <c r="CF14" s="1">
        <f t="shared" ca="1" si="47"/>
        <v>0.66862745400840029</v>
      </c>
      <c r="CH14" s="3">
        <f t="shared" ca="1" si="48"/>
        <v>0.27890293287481505</v>
      </c>
      <c r="CI14" s="3">
        <f t="shared" ca="1" si="49"/>
        <v>0.37209997834450831</v>
      </c>
      <c r="CJ14" s="3">
        <f t="shared" ca="1" si="50"/>
        <v>1510</v>
      </c>
      <c r="CK14" s="3">
        <f t="shared" ca="1" si="51"/>
        <v>9.6440295203003203E-3</v>
      </c>
      <c r="CL14" s="3">
        <f t="shared" ca="1" si="52"/>
        <v>0</v>
      </c>
      <c r="CM14" s="3"/>
      <c r="CN14" s="1">
        <f t="shared" ca="1" si="53"/>
        <v>19.317827033307481</v>
      </c>
      <c r="CO14" s="1">
        <f t="shared" ca="1" si="54"/>
        <v>7.448174784125032E-2</v>
      </c>
      <c r="CP14" s="1">
        <f t="shared" ca="1" si="55"/>
        <v>1</v>
      </c>
      <c r="DH14" s="1">
        <f t="shared" ca="1" si="56"/>
        <v>578</v>
      </c>
      <c r="DI14" s="1">
        <f t="shared" ca="1" si="57"/>
        <v>0.42218663098343534</v>
      </c>
      <c r="DJ14" s="1">
        <f t="shared" ca="1" si="58"/>
        <v>20</v>
      </c>
    </row>
    <row r="15" spans="2:114" x14ac:dyDescent="0.25">
      <c r="B15">
        <f t="shared" ca="1" si="0"/>
        <v>925</v>
      </c>
      <c r="C15">
        <f t="shared" ca="1" si="1"/>
        <v>44</v>
      </c>
      <c r="D15">
        <f t="shared" ca="1" si="2"/>
        <v>2.799971488243299E-2</v>
      </c>
      <c r="F15" s="1">
        <f t="shared" ca="1" si="3"/>
        <v>16</v>
      </c>
      <c r="G15" s="1">
        <f t="shared" ca="1" si="4"/>
        <v>18</v>
      </c>
      <c r="H15" s="1">
        <f t="shared" ca="1" si="5"/>
        <v>3</v>
      </c>
      <c r="I15" s="1"/>
      <c r="J15" s="1">
        <f t="shared" ca="1" si="6"/>
        <v>37</v>
      </c>
      <c r="K15" s="1">
        <f t="shared" ca="1" si="7"/>
        <v>2.0300684519560415</v>
      </c>
      <c r="L15" s="1">
        <f t="shared" ca="1" si="8"/>
        <v>18</v>
      </c>
      <c r="M15" s="1"/>
      <c r="N15" s="1">
        <f t="shared" ca="1" si="9"/>
        <v>499</v>
      </c>
      <c r="O15" s="1">
        <f t="shared" ca="1" si="10"/>
        <v>10</v>
      </c>
      <c r="P15" s="1"/>
      <c r="Q15" s="1">
        <f t="shared" ca="1" si="11"/>
        <v>0.79911474479472711</v>
      </c>
      <c r="R15" s="1">
        <f t="shared" ca="1" si="12"/>
        <v>261</v>
      </c>
      <c r="S15" s="1"/>
      <c r="T15" s="1">
        <f t="shared" ca="1" si="13"/>
        <v>0.120229485093022</v>
      </c>
      <c r="U15" s="1">
        <f t="shared" ca="1" si="14"/>
        <v>260</v>
      </c>
      <c r="V15" s="1">
        <f t="shared" ca="1" si="15"/>
        <v>39</v>
      </c>
      <c r="W15" s="1"/>
      <c r="X15" s="1">
        <f t="shared" ca="1" si="16"/>
        <v>2.5008227639697491</v>
      </c>
      <c r="Y15" s="1">
        <f t="shared" ca="1" si="17"/>
        <v>0.62855215866137759</v>
      </c>
      <c r="Z15" s="1">
        <f t="shared" ca="1" si="18"/>
        <v>1715</v>
      </c>
      <c r="AB15" s="1">
        <f t="shared" ca="1" si="19"/>
        <v>6.5725932997979825E-2</v>
      </c>
      <c r="AC15" s="1">
        <f t="shared" ca="1" si="20"/>
        <v>578</v>
      </c>
      <c r="AD15" s="1">
        <f t="shared" ca="1" si="21"/>
        <v>7.5222816436540359E-3</v>
      </c>
      <c r="AE15" s="1"/>
      <c r="AF15" s="1">
        <f t="shared" ca="1" si="22"/>
        <v>0.51781777584077948</v>
      </c>
      <c r="AG15" s="1">
        <f t="shared" ca="1" si="23"/>
        <v>518</v>
      </c>
      <c r="AH15" s="1">
        <f t="shared" ca="1" si="24"/>
        <v>7.376841198174988E-3</v>
      </c>
      <c r="AJ15" s="1">
        <f t="shared" ca="1" si="25"/>
        <v>0.31148588872726579</v>
      </c>
      <c r="AK15" s="1">
        <f t="shared" ca="1" si="26"/>
        <v>1.4999392011481366E-3</v>
      </c>
      <c r="AL15" s="1"/>
      <c r="AM15" s="1">
        <f t="shared" ca="1" si="27"/>
        <v>8.8926688055684003E-2</v>
      </c>
      <c r="AN15" s="1">
        <f t="shared" ca="1" si="28"/>
        <v>63</v>
      </c>
      <c r="AO15" s="1">
        <f t="shared" ca="1" si="29"/>
        <v>13</v>
      </c>
      <c r="AQ15" s="1">
        <f t="shared" ca="1" si="30"/>
        <v>108</v>
      </c>
      <c r="AR15" s="1">
        <f t="shared" ca="1" si="31"/>
        <v>6</v>
      </c>
      <c r="AS15" s="1">
        <f t="shared" ca="1" si="32"/>
        <v>80</v>
      </c>
      <c r="AU15" s="1">
        <f t="shared" ca="1" si="33"/>
        <v>341</v>
      </c>
      <c r="AV15" s="1">
        <f t="shared" ca="1" si="34"/>
        <v>10</v>
      </c>
      <c r="AW15" s="1">
        <f t="shared" ca="1" si="35"/>
        <v>0.15838440530360559</v>
      </c>
      <c r="AY15" s="1">
        <f t="shared" ca="1" si="36"/>
        <v>1.9426943305039321</v>
      </c>
      <c r="AZ15" s="1">
        <f t="shared" ca="1" si="37"/>
        <v>82</v>
      </c>
      <c r="BA15" s="1">
        <f t="shared" ca="1" si="38"/>
        <v>9.2608633133330429E-3</v>
      </c>
      <c r="BV15" s="1">
        <f t="shared" ca="1" si="39"/>
        <v>0.61898780459361025</v>
      </c>
      <c r="BW15" s="1">
        <f t="shared" ca="1" si="40"/>
        <v>573</v>
      </c>
      <c r="BX15" s="1">
        <f t="shared" ca="1" si="41"/>
        <v>9.7691395089912932E-3</v>
      </c>
      <c r="BY15" s="1">
        <f t="shared" ca="1" si="42"/>
        <v>5.4356140398250541E-2</v>
      </c>
      <c r="BZ15" s="1">
        <f t="shared" ca="1" si="43"/>
        <v>0.46581509934156617</v>
      </c>
      <c r="CB15" s="1">
        <f t="shared" ca="1" si="44"/>
        <v>481</v>
      </c>
      <c r="CC15" s="1">
        <f t="shared" ca="1" si="45"/>
        <v>4</v>
      </c>
      <c r="CD15" s="1">
        <f t="shared" ca="1" si="46"/>
        <v>0.18900868090591538</v>
      </c>
      <c r="CE15" s="1">
        <f t="shared" ca="1" si="47"/>
        <v>0.71698184256844422</v>
      </c>
      <c r="CF15" s="1">
        <f t="shared" ca="1" si="47"/>
        <v>0.65650836979518101</v>
      </c>
      <c r="CH15" s="3">
        <f t="shared" ca="1" si="48"/>
        <v>0.43293774186026285</v>
      </c>
      <c r="CI15" s="3">
        <f t="shared" ca="1" si="49"/>
        <v>3.311377880239684E-2</v>
      </c>
      <c r="CJ15" s="3">
        <f t="shared" ca="1" si="50"/>
        <v>195</v>
      </c>
      <c r="CK15" s="3">
        <f t="shared" ca="1" si="51"/>
        <v>5.2150057409075577E-4</v>
      </c>
      <c r="CL15" s="3">
        <f t="shared" ca="1" si="52"/>
        <v>1</v>
      </c>
      <c r="CM15" s="3"/>
      <c r="CN15" s="1">
        <f t="shared" ca="1" si="53"/>
        <v>8.140256926554164</v>
      </c>
      <c r="CO15" s="1">
        <f t="shared" ca="1" si="54"/>
        <v>0.4933389504380446</v>
      </c>
      <c r="CP15" s="1">
        <f t="shared" ca="1" si="55"/>
        <v>5</v>
      </c>
      <c r="DH15" s="1">
        <f t="shared" ca="1" si="56"/>
        <v>405</v>
      </c>
      <c r="DI15" s="1">
        <f t="shared" ca="1" si="57"/>
        <v>0.14362586345454961</v>
      </c>
      <c r="DJ15" s="1">
        <f t="shared" ca="1" si="58"/>
        <v>4</v>
      </c>
    </row>
    <row r="16" spans="2:114" x14ac:dyDescent="0.25">
      <c r="B16">
        <f t="shared" ca="1" si="0"/>
        <v>568</v>
      </c>
      <c r="C16">
        <f t="shared" ca="1" si="1"/>
        <v>27</v>
      </c>
      <c r="D16">
        <f t="shared" ca="1" si="2"/>
        <v>0.13940918714098333</v>
      </c>
      <c r="F16" s="1">
        <f t="shared" ca="1" si="3"/>
        <v>3</v>
      </c>
      <c r="G16" s="1">
        <f t="shared" ca="1" si="4"/>
        <v>20</v>
      </c>
      <c r="H16" s="1">
        <f t="shared" ca="1" si="5"/>
        <v>1</v>
      </c>
      <c r="I16" s="1"/>
      <c r="J16" s="1">
        <f t="shared" ca="1" si="6"/>
        <v>39</v>
      </c>
      <c r="K16" s="1">
        <f t="shared" ca="1" si="7"/>
        <v>2.2759043862680901</v>
      </c>
      <c r="L16" s="1">
        <f t="shared" ca="1" si="8"/>
        <v>20</v>
      </c>
      <c r="M16" s="1"/>
      <c r="N16" s="1">
        <f t="shared" ca="1" si="9"/>
        <v>214</v>
      </c>
      <c r="O16" s="1">
        <f t="shared" ca="1" si="10"/>
        <v>46</v>
      </c>
      <c r="P16" s="1"/>
      <c r="Q16" s="1">
        <f t="shared" ca="1" si="11"/>
        <v>3.4711214478121448</v>
      </c>
      <c r="R16" s="1">
        <f t="shared" ca="1" si="12"/>
        <v>600</v>
      </c>
      <c r="S16" s="1"/>
      <c r="T16" s="1">
        <f t="shared" ca="1" si="13"/>
        <v>6.7310766680440365E-2</v>
      </c>
      <c r="U16" s="1">
        <f t="shared" ca="1" si="14"/>
        <v>50</v>
      </c>
      <c r="V16" s="1">
        <f t="shared" ca="1" si="15"/>
        <v>15</v>
      </c>
      <c r="W16" s="1"/>
      <c r="X16" s="1">
        <f t="shared" ca="1" si="16"/>
        <v>4.7818548811334542</v>
      </c>
      <c r="Y16" s="1">
        <f t="shared" ca="1" si="17"/>
        <v>0.65360837939828109</v>
      </c>
      <c r="Z16" s="1">
        <f t="shared" ca="1" si="18"/>
        <v>1099</v>
      </c>
      <c r="AB16" s="1">
        <f t="shared" ca="1" si="19"/>
        <v>0.97059453495505899</v>
      </c>
      <c r="AC16" s="1">
        <f t="shared" ca="1" si="20"/>
        <v>185</v>
      </c>
      <c r="AD16" s="1">
        <f t="shared" ca="1" si="21"/>
        <v>1.9417065958082364E-3</v>
      </c>
      <c r="AE16" s="1"/>
      <c r="AF16" s="1">
        <f t="shared" ca="1" si="22"/>
        <v>0.53366857938471268</v>
      </c>
      <c r="AG16" s="1">
        <f t="shared" ca="1" si="23"/>
        <v>416</v>
      </c>
      <c r="AH16" s="1">
        <f t="shared" ca="1" si="24"/>
        <v>3.726052651494225E-3</v>
      </c>
      <c r="AJ16" s="1">
        <f t="shared" ca="1" si="25"/>
        <v>0.41024860295494614</v>
      </c>
      <c r="AK16" s="1">
        <f t="shared" ca="1" si="26"/>
        <v>9.9160901085069476E-4</v>
      </c>
      <c r="AL16" s="1"/>
      <c r="AM16" s="1">
        <f t="shared" ca="1" si="27"/>
        <v>6.6993789373458887E-2</v>
      </c>
      <c r="AN16" s="1">
        <f t="shared" ca="1" si="28"/>
        <v>53</v>
      </c>
      <c r="AO16" s="1">
        <f t="shared" ca="1" si="29"/>
        <v>3</v>
      </c>
      <c r="AQ16" s="1">
        <f t="shared" ca="1" si="30"/>
        <v>68</v>
      </c>
      <c r="AR16" s="1">
        <f t="shared" ca="1" si="31"/>
        <v>0</v>
      </c>
      <c r="AS16" s="1">
        <f t="shared" ca="1" si="32"/>
        <v>1</v>
      </c>
      <c r="AU16" s="1">
        <f t="shared" ca="1" si="33"/>
        <v>155</v>
      </c>
      <c r="AV16" s="1">
        <f t="shared" ca="1" si="34"/>
        <v>3</v>
      </c>
      <c r="AW16" s="1">
        <f t="shared" ca="1" si="35"/>
        <v>7.4320325334439288E-2</v>
      </c>
      <c r="AY16" s="1">
        <f t="shared" ca="1" si="36"/>
        <v>1.6765486886316263</v>
      </c>
      <c r="AZ16" s="1">
        <f t="shared" ca="1" si="37"/>
        <v>472</v>
      </c>
      <c r="BA16" s="1">
        <f t="shared" ca="1" si="38"/>
        <v>2.5352494814020366E-3</v>
      </c>
      <c r="BV16" s="1">
        <f t="shared" ca="1" si="39"/>
        <v>4.4739345097769175E-2</v>
      </c>
      <c r="BW16" s="1">
        <f t="shared" ca="1" si="40"/>
        <v>597</v>
      </c>
      <c r="BX16" s="1">
        <f t="shared" ca="1" si="41"/>
        <v>1.0793127488776051E-3</v>
      </c>
      <c r="BY16" s="1">
        <f t="shared" ca="1" si="42"/>
        <v>1.3293044048627077E-2</v>
      </c>
      <c r="BZ16" s="1">
        <f t="shared" ca="1" si="43"/>
        <v>0.22991740972686392</v>
      </c>
      <c r="CB16" s="1">
        <f t="shared" ca="1" si="44"/>
        <v>228</v>
      </c>
      <c r="CC16" s="1">
        <f t="shared" ca="1" si="45"/>
        <v>6</v>
      </c>
      <c r="CD16" s="1">
        <f t="shared" ca="1" si="46"/>
        <v>9.301358883049049E-2</v>
      </c>
      <c r="CE16" s="1">
        <f t="shared" ca="1" si="47"/>
        <v>0.8475427078905674</v>
      </c>
      <c r="CF16" s="1">
        <f t="shared" ca="1" si="47"/>
        <v>0.75059863352617995</v>
      </c>
      <c r="CH16" s="3">
        <f t="shared" ca="1" si="48"/>
        <v>0.2589184895086829</v>
      </c>
      <c r="CI16" s="3">
        <f t="shared" ca="1" si="49"/>
        <v>0.70688109647648012</v>
      </c>
      <c r="CJ16" s="3">
        <f t="shared" ca="1" si="50"/>
        <v>818</v>
      </c>
      <c r="CK16" s="3">
        <f t="shared" ca="1" si="51"/>
        <v>3.1949035603622972E-3</v>
      </c>
      <c r="CL16" s="3">
        <f t="shared" ca="1" si="52"/>
        <v>0</v>
      </c>
      <c r="CM16" s="3"/>
      <c r="CN16" s="1">
        <f t="shared" ca="1" si="53"/>
        <v>13.594318019318489</v>
      </c>
      <c r="CO16" s="1">
        <f t="shared" ca="1" si="54"/>
        <v>0.4241364816636693</v>
      </c>
      <c r="CP16" s="1">
        <f t="shared" ca="1" si="55"/>
        <v>5</v>
      </c>
      <c r="DH16" s="1">
        <f t="shared" ca="1" si="56"/>
        <v>633</v>
      </c>
      <c r="DI16" s="1">
        <f t="shared" ca="1" si="57"/>
        <v>0.1080962207338695</v>
      </c>
      <c r="DJ16" s="1">
        <f t="shared" ca="1" si="58"/>
        <v>29</v>
      </c>
    </row>
    <row r="17" spans="2:114" x14ac:dyDescent="0.25">
      <c r="B17">
        <f t="shared" ca="1" si="0"/>
        <v>847</v>
      </c>
      <c r="C17">
        <f t="shared" ca="1" si="1"/>
        <v>49</v>
      </c>
      <c r="D17">
        <f t="shared" ca="1" si="2"/>
        <v>0.16045546893705367</v>
      </c>
      <c r="F17" s="1">
        <f t="shared" ca="1" si="3"/>
        <v>44</v>
      </c>
      <c r="G17" s="1">
        <f t="shared" ca="1" si="4"/>
        <v>27</v>
      </c>
      <c r="H17" s="1">
        <f t="shared" ca="1" si="5"/>
        <v>9</v>
      </c>
      <c r="I17" s="1"/>
      <c r="J17" s="1">
        <f t="shared" ca="1" si="6"/>
        <v>20</v>
      </c>
      <c r="K17" s="1">
        <f t="shared" ca="1" si="7"/>
        <v>1.5310939505071135</v>
      </c>
      <c r="L17" s="1">
        <f t="shared" ca="1" si="8"/>
        <v>28</v>
      </c>
      <c r="M17" s="1"/>
      <c r="N17" s="1">
        <f t="shared" ca="1" si="9"/>
        <v>854</v>
      </c>
      <c r="O17" s="1">
        <f t="shared" ca="1" si="10"/>
        <v>36</v>
      </c>
      <c r="P17" s="1"/>
      <c r="Q17" s="1">
        <f t="shared" ca="1" si="11"/>
        <v>4.0084692084397009</v>
      </c>
      <c r="R17" s="1">
        <f t="shared" ca="1" si="12"/>
        <v>914</v>
      </c>
      <c r="S17" s="1"/>
      <c r="T17" s="1">
        <f t="shared" ca="1" si="13"/>
        <v>0.14185998426236276</v>
      </c>
      <c r="U17" s="1">
        <f t="shared" ca="1" si="14"/>
        <v>130</v>
      </c>
      <c r="V17" s="1">
        <f t="shared" ca="1" si="15"/>
        <v>31</v>
      </c>
      <c r="W17" s="1"/>
      <c r="X17" s="1">
        <f t="shared" ca="1" si="16"/>
        <v>0.97057570582012986</v>
      </c>
      <c r="Y17" s="1">
        <f t="shared" ca="1" si="17"/>
        <v>0.90380679049983437</v>
      </c>
      <c r="Z17" s="1">
        <f t="shared" ca="1" si="18"/>
        <v>1308</v>
      </c>
      <c r="AB17" s="1">
        <f t="shared" ca="1" si="19"/>
        <v>0.57462901226319196</v>
      </c>
      <c r="AC17" s="1">
        <f t="shared" ca="1" si="20"/>
        <v>897</v>
      </c>
      <c r="AD17" s="1">
        <f t="shared" ca="1" si="21"/>
        <v>9.4509205084082615E-3</v>
      </c>
      <c r="AE17" s="1"/>
      <c r="AF17" s="1">
        <f t="shared" ca="1" si="22"/>
        <v>0.2097605492430783</v>
      </c>
      <c r="AG17" s="1">
        <f t="shared" ca="1" si="23"/>
        <v>345</v>
      </c>
      <c r="AH17" s="1">
        <f t="shared" ca="1" si="24"/>
        <v>6.7805735437725528E-3</v>
      </c>
      <c r="AJ17" s="1">
        <f t="shared" ca="1" si="25"/>
        <v>0.79968714428467058</v>
      </c>
      <c r="AK17" s="1">
        <f t="shared" ca="1" si="26"/>
        <v>8.2718913592462091E-3</v>
      </c>
      <c r="AL17" s="1"/>
      <c r="AM17" s="1">
        <f t="shared" ca="1" si="27"/>
        <v>0.15139739403406829</v>
      </c>
      <c r="AN17" s="1">
        <f t="shared" ca="1" si="28"/>
        <v>73</v>
      </c>
      <c r="AO17" s="1">
        <f t="shared" ca="1" si="29"/>
        <v>10</v>
      </c>
      <c r="AQ17" s="1">
        <f t="shared" ca="1" si="30"/>
        <v>143</v>
      </c>
      <c r="AR17" s="1">
        <f t="shared" ca="1" si="31"/>
        <v>0</v>
      </c>
      <c r="AS17" s="1">
        <f t="shared" ca="1" si="32"/>
        <v>97</v>
      </c>
      <c r="AU17" s="1">
        <f t="shared" ca="1" si="33"/>
        <v>256</v>
      </c>
      <c r="AV17" s="1">
        <f t="shared" ca="1" si="34"/>
        <v>5</v>
      </c>
      <c r="AW17" s="1">
        <f t="shared" ca="1" si="35"/>
        <v>2.5054067923447262E-2</v>
      </c>
      <c r="AY17" s="1">
        <f t="shared" ca="1" si="36"/>
        <v>1.2153357551446637</v>
      </c>
      <c r="AZ17" s="1">
        <f t="shared" ca="1" si="37"/>
        <v>145</v>
      </c>
      <c r="BA17" s="1">
        <f t="shared" ca="1" si="38"/>
        <v>4.8281352112095766E-3</v>
      </c>
      <c r="BV17" s="1">
        <f t="shared" ca="1" si="39"/>
        <v>0.11462654290198739</v>
      </c>
      <c r="BW17" s="1">
        <f t="shared" ca="1" si="40"/>
        <v>470</v>
      </c>
      <c r="BX17" s="1">
        <f t="shared" ca="1" si="41"/>
        <v>2.3619550675396937E-3</v>
      </c>
      <c r="BY17" s="1">
        <f t="shared" ca="1" si="42"/>
        <v>3.0049294268309653E-2</v>
      </c>
      <c r="BZ17" s="1">
        <f t="shared" ca="1" si="43"/>
        <v>0.2840086706273881</v>
      </c>
      <c r="CB17" s="1">
        <f t="shared" ca="1" si="44"/>
        <v>384</v>
      </c>
      <c r="CC17" s="1">
        <f t="shared" ca="1" si="45"/>
        <v>5</v>
      </c>
      <c r="CD17" s="1">
        <f t="shared" ca="1" si="46"/>
        <v>3.9905921777771365E-2</v>
      </c>
      <c r="CE17" s="1">
        <f t="shared" ca="1" si="47"/>
        <v>0.90203054366584312</v>
      </c>
      <c r="CF17" s="1">
        <f t="shared" ca="1" si="47"/>
        <v>0.69825083483915606</v>
      </c>
      <c r="CH17" s="3">
        <f t="shared" ca="1" si="48"/>
        <v>0.73130411599888334</v>
      </c>
      <c r="CI17" s="3">
        <f t="shared" ca="1" si="49"/>
        <v>0.24331701275559317</v>
      </c>
      <c r="CJ17" s="3">
        <f t="shared" ca="1" si="50"/>
        <v>1235</v>
      </c>
      <c r="CK17" s="3">
        <f t="shared" ca="1" si="51"/>
        <v>5.7398283068205514E-3</v>
      </c>
      <c r="CL17" s="3">
        <f t="shared" ca="1" si="52"/>
        <v>1</v>
      </c>
      <c r="CM17" s="3"/>
      <c r="CN17" s="1">
        <f t="shared" ca="1" si="53"/>
        <v>0.63953899632666611</v>
      </c>
      <c r="CO17" s="1">
        <f t="shared" ca="1" si="54"/>
        <v>9.4317265057765873E-2</v>
      </c>
      <c r="CP17" s="1">
        <f t="shared" ca="1" si="55"/>
        <v>5</v>
      </c>
      <c r="DH17" s="1">
        <f t="shared" ca="1" si="56"/>
        <v>559</v>
      </c>
      <c r="DI17" s="1">
        <f t="shared" ca="1" si="57"/>
        <v>0.54268000925130189</v>
      </c>
      <c r="DJ17" s="1">
        <f t="shared" ca="1" si="58"/>
        <v>17</v>
      </c>
    </row>
    <row r="18" spans="2:114" x14ac:dyDescent="0.25">
      <c r="B18">
        <f t="shared" ca="1" si="0"/>
        <v>306</v>
      </c>
      <c r="C18">
        <f t="shared" ca="1" si="1"/>
        <v>6</v>
      </c>
      <c r="D18">
        <f t="shared" ca="1" si="2"/>
        <v>0.22166385892950688</v>
      </c>
      <c r="F18" s="1">
        <f t="shared" ca="1" si="3"/>
        <v>37</v>
      </c>
      <c r="G18" s="1">
        <f t="shared" ca="1" si="4"/>
        <v>6</v>
      </c>
      <c r="H18" s="1">
        <f t="shared" ca="1" si="5"/>
        <v>4</v>
      </c>
      <c r="I18" s="1"/>
      <c r="J18" s="1">
        <f t="shared" ca="1" si="6"/>
        <v>17</v>
      </c>
      <c r="K18" s="1">
        <f t="shared" ca="1" si="7"/>
        <v>1.6141911292841389</v>
      </c>
      <c r="L18" s="1">
        <f t="shared" ca="1" si="8"/>
        <v>14</v>
      </c>
      <c r="M18" s="1"/>
      <c r="N18" s="1">
        <f t="shared" ca="1" si="9"/>
        <v>912</v>
      </c>
      <c r="O18" s="1">
        <f t="shared" ca="1" si="10"/>
        <v>8</v>
      </c>
      <c r="P18" s="1"/>
      <c r="Q18" s="1">
        <f t="shared" ca="1" si="11"/>
        <v>3.9734357283708497</v>
      </c>
      <c r="R18" s="1">
        <f t="shared" ca="1" si="12"/>
        <v>837</v>
      </c>
      <c r="S18" s="1"/>
      <c r="T18" s="1">
        <f t="shared" ca="1" si="13"/>
        <v>1.7721371049739552E-2</v>
      </c>
      <c r="U18" s="1">
        <f t="shared" ca="1" si="14"/>
        <v>134</v>
      </c>
      <c r="V18" s="1">
        <f t="shared" ca="1" si="15"/>
        <v>29</v>
      </c>
      <c r="W18" s="1"/>
      <c r="X18" s="1">
        <f t="shared" ca="1" si="16"/>
        <v>0.67950139405930587</v>
      </c>
      <c r="Y18" s="1">
        <f t="shared" ca="1" si="17"/>
        <v>0.52691758853412618</v>
      </c>
      <c r="Z18" s="1">
        <f t="shared" ca="1" si="18"/>
        <v>1042</v>
      </c>
      <c r="AB18" s="1">
        <f t="shared" ca="1" si="19"/>
        <v>0.40503146927505901</v>
      </c>
      <c r="AC18" s="1">
        <f t="shared" ca="1" si="20"/>
        <v>312</v>
      </c>
      <c r="AD18" s="1">
        <f t="shared" ca="1" si="21"/>
        <v>6.0623766269750929E-3</v>
      </c>
      <c r="AE18" s="1"/>
      <c r="AF18" s="1">
        <f t="shared" ca="1" si="22"/>
        <v>0.16794029477637745</v>
      </c>
      <c r="AG18" s="1">
        <f t="shared" ca="1" si="23"/>
        <v>513</v>
      </c>
      <c r="AH18" s="1">
        <f t="shared" ca="1" si="24"/>
        <v>8.1802085190943227E-3</v>
      </c>
      <c r="AJ18" s="1">
        <f t="shared" ca="1" si="25"/>
        <v>0.24952220919582924</v>
      </c>
      <c r="AK18" s="1">
        <f t="shared" ca="1" si="26"/>
        <v>3.7159908237012537E-3</v>
      </c>
      <c r="AL18" s="1"/>
      <c r="AM18" s="1">
        <f t="shared" ca="1" si="27"/>
        <v>0.13550712400093579</v>
      </c>
      <c r="AN18" s="1">
        <f t="shared" ca="1" si="28"/>
        <v>50</v>
      </c>
      <c r="AO18" s="1">
        <f t="shared" ca="1" si="29"/>
        <v>2</v>
      </c>
      <c r="AQ18" s="1">
        <f t="shared" ca="1" si="30"/>
        <v>99</v>
      </c>
      <c r="AR18" s="1">
        <f t="shared" ca="1" si="31"/>
        <v>8</v>
      </c>
      <c r="AS18" s="1">
        <f t="shared" ca="1" si="32"/>
        <v>55</v>
      </c>
      <c r="AU18" s="1">
        <f t="shared" ca="1" si="33"/>
        <v>180</v>
      </c>
      <c r="AV18" s="1">
        <f t="shared" ca="1" si="34"/>
        <v>7</v>
      </c>
      <c r="AW18" s="1">
        <f t="shared" ca="1" si="35"/>
        <v>0.17945407493185617</v>
      </c>
      <c r="AY18" s="1">
        <f t="shared" ca="1" si="36"/>
        <v>1.22183544880479</v>
      </c>
      <c r="AZ18" s="1">
        <f t="shared" ca="1" si="37"/>
        <v>72</v>
      </c>
      <c r="BA18" s="1">
        <f t="shared" ca="1" si="38"/>
        <v>9.9714879190659425E-3</v>
      </c>
      <c r="BV18" s="1">
        <f t="shared" ca="1" si="39"/>
        <v>0.62713214633080905</v>
      </c>
      <c r="BW18" s="1">
        <f t="shared" ca="1" si="40"/>
        <v>311</v>
      </c>
      <c r="BX18" s="1">
        <f t="shared" ca="1" si="41"/>
        <v>3.4951826567065428E-3</v>
      </c>
      <c r="BY18" s="1">
        <f t="shared" ca="1" si="42"/>
        <v>8.9299622878210888E-2</v>
      </c>
      <c r="BZ18" s="1">
        <f t="shared" ca="1" si="43"/>
        <v>0.18299671414491525</v>
      </c>
      <c r="CB18" s="1">
        <f t="shared" ca="1" si="44"/>
        <v>251</v>
      </c>
      <c r="CC18" s="1">
        <f t="shared" ca="1" si="45"/>
        <v>12</v>
      </c>
      <c r="CD18" s="1">
        <f t="shared" ca="1" si="46"/>
        <v>0.2666990024185153</v>
      </c>
      <c r="CE18" s="1">
        <f t="shared" ca="1" si="47"/>
        <v>0.6472157850975695</v>
      </c>
      <c r="CF18" s="1">
        <f t="shared" ca="1" si="47"/>
        <v>0.87911910835683349</v>
      </c>
      <c r="CH18" s="3">
        <f t="shared" ca="1" si="48"/>
        <v>0.90427514916856466</v>
      </c>
      <c r="CI18" s="3">
        <f t="shared" ca="1" si="49"/>
        <v>3.8452227288782538E-2</v>
      </c>
      <c r="CJ18" s="3">
        <f t="shared" ca="1" si="50"/>
        <v>1744</v>
      </c>
      <c r="CK18" s="3">
        <f t="shared" ca="1" si="51"/>
        <v>6.5082745284152522E-3</v>
      </c>
      <c r="CL18" s="3">
        <f t="shared" ca="1" si="52"/>
        <v>0</v>
      </c>
      <c r="CM18" s="3"/>
      <c r="CN18" s="1">
        <f t="shared" ca="1" si="53"/>
        <v>12.713026925275788</v>
      </c>
      <c r="CO18" s="1">
        <f t="shared" ca="1" si="54"/>
        <v>0.23701208771817603</v>
      </c>
      <c r="CP18" s="1">
        <f t="shared" ca="1" si="55"/>
        <v>1</v>
      </c>
      <c r="DH18" s="1">
        <f t="shared" ca="1" si="56"/>
        <v>853</v>
      </c>
      <c r="DI18" s="1">
        <f t="shared" ca="1" si="57"/>
        <v>0.87628554953237048</v>
      </c>
      <c r="DJ18" s="1">
        <f t="shared" ca="1" si="58"/>
        <v>3</v>
      </c>
    </row>
    <row r="19" spans="2:114" x14ac:dyDescent="0.25">
      <c r="B19">
        <f t="shared" ca="1" si="0"/>
        <v>835</v>
      </c>
      <c r="C19">
        <f t="shared" ca="1" si="1"/>
        <v>45</v>
      </c>
      <c r="D19">
        <f t="shared" ca="1" si="2"/>
        <v>0.20744730837466299</v>
      </c>
      <c r="F19" s="1">
        <f t="shared" ca="1" si="3"/>
        <v>42</v>
      </c>
      <c r="G19" s="1">
        <f t="shared" ca="1" si="4"/>
        <v>29</v>
      </c>
      <c r="H19" s="1">
        <f t="shared" ca="1" si="5"/>
        <v>8</v>
      </c>
      <c r="I19" s="1"/>
      <c r="J19" s="1">
        <f t="shared" ca="1" si="6"/>
        <v>28</v>
      </c>
      <c r="K19" s="1">
        <f t="shared" ca="1" si="7"/>
        <v>1.4568920921250246</v>
      </c>
      <c r="L19" s="1">
        <f t="shared" ca="1" si="8"/>
        <v>3</v>
      </c>
      <c r="M19" s="1"/>
      <c r="N19" s="1">
        <f t="shared" ca="1" si="9"/>
        <v>637</v>
      </c>
      <c r="O19" s="1">
        <f t="shared" ca="1" si="10"/>
        <v>50</v>
      </c>
      <c r="P19" s="1"/>
      <c r="Q19" s="1">
        <f t="shared" ca="1" si="11"/>
        <v>3.2604248784607726</v>
      </c>
      <c r="R19" s="1">
        <f t="shared" ca="1" si="12"/>
        <v>201</v>
      </c>
      <c r="S19" s="1"/>
      <c r="T19" s="1">
        <f t="shared" ca="1" si="13"/>
        <v>8.2406440774684064E-2</v>
      </c>
      <c r="U19" s="1">
        <f t="shared" ca="1" si="14"/>
        <v>320</v>
      </c>
      <c r="V19" s="1">
        <f t="shared" ca="1" si="15"/>
        <v>39</v>
      </c>
      <c r="W19" s="1"/>
      <c r="X19" s="1">
        <f t="shared" ca="1" si="16"/>
        <v>6.9155075975343285</v>
      </c>
      <c r="Y19" s="1">
        <f t="shared" ca="1" si="17"/>
        <v>0.97602963707455226</v>
      </c>
      <c r="Z19" s="1">
        <f t="shared" ca="1" si="18"/>
        <v>382</v>
      </c>
      <c r="AB19" s="1">
        <f t="shared" ca="1" si="19"/>
        <v>0.71024409549538914</v>
      </c>
      <c r="AC19" s="1">
        <f t="shared" ca="1" si="20"/>
        <v>963</v>
      </c>
      <c r="AD19" s="1">
        <f t="shared" ca="1" si="21"/>
        <v>2.1642004995455922E-3</v>
      </c>
      <c r="AE19" s="1"/>
      <c r="AF19" s="1">
        <f t="shared" ca="1" si="22"/>
        <v>0.13993681149100415</v>
      </c>
      <c r="AG19" s="1">
        <f t="shared" ca="1" si="23"/>
        <v>160</v>
      </c>
      <c r="AH19" s="1">
        <f t="shared" ca="1" si="24"/>
        <v>7.8968668598080292E-3</v>
      </c>
      <c r="AJ19" s="1">
        <f t="shared" ca="1" si="25"/>
        <v>0.64476933724876184</v>
      </c>
      <c r="AK19" s="1">
        <f t="shared" ca="1" si="26"/>
        <v>3.8118430216909889E-3</v>
      </c>
      <c r="AL19" s="1"/>
      <c r="AM19" s="1">
        <f t="shared" ca="1" si="27"/>
        <v>2.7266299980807353E-2</v>
      </c>
      <c r="AN19" s="1">
        <f t="shared" ca="1" si="28"/>
        <v>70</v>
      </c>
      <c r="AO19" s="1">
        <f t="shared" ca="1" si="29"/>
        <v>-1</v>
      </c>
      <c r="AQ19" s="1">
        <f t="shared" ca="1" si="30"/>
        <v>157</v>
      </c>
      <c r="AR19" s="1">
        <f t="shared" ca="1" si="31"/>
        <v>9</v>
      </c>
      <c r="AS19" s="1">
        <f t="shared" ca="1" si="32"/>
        <v>22</v>
      </c>
      <c r="AU19" s="1">
        <f t="shared" ca="1" si="33"/>
        <v>310</v>
      </c>
      <c r="AV19" s="1">
        <f t="shared" ca="1" si="34"/>
        <v>9</v>
      </c>
      <c r="AW19" s="1">
        <f t="shared" ca="1" si="35"/>
        <v>6.3040296702033663E-2</v>
      </c>
      <c r="AY19" s="1">
        <f t="shared" ca="1" si="36"/>
        <v>1.5943323183836815</v>
      </c>
      <c r="AZ19" s="1">
        <f t="shared" ca="1" si="37"/>
        <v>433</v>
      </c>
      <c r="BA19" s="1">
        <f t="shared" ca="1" si="38"/>
        <v>1.1283994549313274E-3</v>
      </c>
      <c r="BV19" s="1">
        <f t="shared" ca="1" si="39"/>
        <v>0.22282895697902802</v>
      </c>
      <c r="BW19" s="1">
        <f t="shared" ca="1" si="40"/>
        <v>448</v>
      </c>
      <c r="BX19" s="1">
        <f t="shared" ca="1" si="41"/>
        <v>5.6620001832412741E-3</v>
      </c>
      <c r="BY19" s="1">
        <f t="shared" ca="1" si="42"/>
        <v>1.8988076771141161E-2</v>
      </c>
      <c r="BZ19" s="1">
        <f t="shared" ca="1" si="43"/>
        <v>0.95245913193047538</v>
      </c>
      <c r="CB19" s="1">
        <f t="shared" ca="1" si="44"/>
        <v>240</v>
      </c>
      <c r="CC19" s="1">
        <f t="shared" ca="1" si="45"/>
        <v>9</v>
      </c>
      <c r="CD19" s="1">
        <f t="shared" ca="1" si="46"/>
        <v>0.15172800453753202</v>
      </c>
      <c r="CE19" s="1">
        <f t="shared" ca="1" si="47"/>
        <v>0.92287112698426843</v>
      </c>
      <c r="CF19" s="1">
        <f t="shared" ca="1" si="47"/>
        <v>0.77816622887963161</v>
      </c>
      <c r="CH19" s="3">
        <f t="shared" ca="1" si="48"/>
        <v>0.24883781464957977</v>
      </c>
      <c r="CI19" s="3">
        <f t="shared" ca="1" si="49"/>
        <v>0.66145876194401942</v>
      </c>
      <c r="CJ19" s="3">
        <f t="shared" ca="1" si="50"/>
        <v>1372</v>
      </c>
      <c r="CK19" s="3">
        <f t="shared" ca="1" si="51"/>
        <v>8.7608304706133511E-3</v>
      </c>
      <c r="CL19" s="3">
        <f t="shared" ca="1" si="52"/>
        <v>1</v>
      </c>
      <c r="CM19" s="3"/>
      <c r="CN19" s="1">
        <f t="shared" ca="1" si="53"/>
        <v>2.0239895975020534</v>
      </c>
      <c r="CO19" s="1">
        <f t="shared" ca="1" si="54"/>
        <v>0.25741316907497774</v>
      </c>
      <c r="CP19" s="1">
        <f t="shared" ca="1" si="55"/>
        <v>5</v>
      </c>
      <c r="DH19" s="1">
        <f t="shared" ca="1" si="56"/>
        <v>147</v>
      </c>
      <c r="DI19" s="1">
        <f t="shared" ca="1" si="57"/>
        <v>0.85043542259947869</v>
      </c>
      <c r="DJ19" s="1">
        <f t="shared" ca="1" si="58"/>
        <v>6</v>
      </c>
    </row>
    <row r="20" spans="2:114" x14ac:dyDescent="0.25">
      <c r="B20">
        <f t="shared" ca="1" si="0"/>
        <v>541</v>
      </c>
      <c r="C20">
        <f t="shared" ca="1" si="1"/>
        <v>12</v>
      </c>
      <c r="D20">
        <f t="shared" ca="1" si="2"/>
        <v>3.7098914631255454E-2</v>
      </c>
      <c r="F20" s="1">
        <f t="shared" ca="1" si="3"/>
        <v>26</v>
      </c>
      <c r="G20" s="1">
        <f t="shared" ca="1" si="4"/>
        <v>12</v>
      </c>
      <c r="H20" s="1">
        <f t="shared" ca="1" si="5"/>
        <v>5</v>
      </c>
      <c r="I20" s="1"/>
      <c r="J20" s="1">
        <f t="shared" ca="1" si="6"/>
        <v>7</v>
      </c>
      <c r="K20" s="1">
        <f t="shared" ca="1" si="7"/>
        <v>2.3395956523394852</v>
      </c>
      <c r="L20" s="1">
        <f t="shared" ca="1" si="8"/>
        <v>9</v>
      </c>
      <c r="M20" s="1"/>
      <c r="N20" s="1">
        <f t="shared" ca="1" si="9"/>
        <v>959</v>
      </c>
      <c r="O20" s="1">
        <f t="shared" ca="1" si="10"/>
        <v>33</v>
      </c>
      <c r="P20" s="1"/>
      <c r="Q20" s="1">
        <f t="shared" ca="1" si="11"/>
        <v>2.8448277454038715</v>
      </c>
      <c r="R20" s="1">
        <f t="shared" ca="1" si="12"/>
        <v>656</v>
      </c>
      <c r="S20" s="1"/>
      <c r="T20" s="1">
        <f t="shared" ca="1" si="13"/>
        <v>6.1505035911394945E-2</v>
      </c>
      <c r="U20" s="1">
        <f t="shared" ca="1" si="14"/>
        <v>72</v>
      </c>
      <c r="V20" s="1">
        <f t="shared" ca="1" si="15"/>
        <v>40</v>
      </c>
      <c r="W20" s="1"/>
      <c r="X20" s="1">
        <f t="shared" ca="1" si="16"/>
        <v>4.8574326417979332</v>
      </c>
      <c r="Y20" s="1">
        <f t="shared" ca="1" si="17"/>
        <v>0.55851178621078168</v>
      </c>
      <c r="Z20" s="1">
        <f t="shared" ca="1" si="18"/>
        <v>1013</v>
      </c>
      <c r="AB20" s="1">
        <f t="shared" ca="1" si="19"/>
        <v>1.4718118196581729E-2</v>
      </c>
      <c r="AC20" s="1">
        <f t="shared" ca="1" si="20"/>
        <v>702</v>
      </c>
      <c r="AD20" s="1">
        <f t="shared" ca="1" si="21"/>
        <v>8.9919466782763559E-3</v>
      </c>
      <c r="AE20" s="1"/>
      <c r="AF20" s="1">
        <f t="shared" ca="1" si="22"/>
        <v>0.34609327162441561</v>
      </c>
      <c r="AG20" s="1">
        <f t="shared" ca="1" si="23"/>
        <v>381</v>
      </c>
      <c r="AH20" s="1">
        <f t="shared" ca="1" si="24"/>
        <v>6.1925034005547112E-3</v>
      </c>
      <c r="AJ20" s="1">
        <f t="shared" ca="1" si="25"/>
        <v>0.59725656942272098</v>
      </c>
      <c r="AK20" s="1">
        <f t="shared" ca="1" si="26"/>
        <v>2.4565235386062837E-3</v>
      </c>
      <c r="AL20" s="1"/>
      <c r="AM20" s="1">
        <f t="shared" ca="1" si="27"/>
        <v>0.16982568937713499</v>
      </c>
      <c r="AN20" s="1">
        <f t="shared" ca="1" si="28"/>
        <v>19</v>
      </c>
      <c r="AO20" s="1">
        <f t="shared" ca="1" si="29"/>
        <v>4</v>
      </c>
      <c r="AQ20" s="1">
        <f t="shared" ca="1" si="30"/>
        <v>165</v>
      </c>
      <c r="AR20" s="1">
        <f t="shared" ca="1" si="31"/>
        <v>7</v>
      </c>
      <c r="AS20" s="1">
        <f t="shared" ca="1" si="32"/>
        <v>75</v>
      </c>
      <c r="AU20" s="1">
        <f t="shared" ca="1" si="33"/>
        <v>369</v>
      </c>
      <c r="AV20" s="1">
        <f t="shared" ca="1" si="34"/>
        <v>10</v>
      </c>
      <c r="AW20" s="1">
        <f t="shared" ca="1" si="35"/>
        <v>2.8598177455405889E-2</v>
      </c>
      <c r="AY20" s="1">
        <f t="shared" ca="1" si="36"/>
        <v>1.1558611961507688</v>
      </c>
      <c r="AZ20" s="1">
        <f t="shared" ca="1" si="37"/>
        <v>417</v>
      </c>
      <c r="BA20" s="1">
        <f t="shared" ca="1" si="38"/>
        <v>6.1470213938229288E-4</v>
      </c>
      <c r="BV20" s="1">
        <f t="shared" ca="1" si="39"/>
        <v>0.61585761733885902</v>
      </c>
      <c r="BW20" s="1">
        <f t="shared" ca="1" si="40"/>
        <v>537</v>
      </c>
      <c r="BX20" s="1">
        <f t="shared" ca="1" si="41"/>
        <v>2.9485103744544771E-3</v>
      </c>
      <c r="BY20" s="1">
        <f t="shared" ca="1" si="42"/>
        <v>5.2416236772801349E-2</v>
      </c>
      <c r="BZ20" s="1">
        <f t="shared" ca="1" si="43"/>
        <v>0.15665663591821921</v>
      </c>
      <c r="CB20" s="1">
        <f t="shared" ca="1" si="44"/>
        <v>146</v>
      </c>
      <c r="CC20" s="1">
        <f t="shared" ca="1" si="45"/>
        <v>3</v>
      </c>
      <c r="CD20" s="1">
        <f t="shared" ca="1" si="46"/>
        <v>6.0498981807319066E-2</v>
      </c>
      <c r="CE20" s="1">
        <f t="shared" ca="1" si="47"/>
        <v>0.61033056171356981</v>
      </c>
      <c r="CF20" s="1">
        <f t="shared" ca="1" si="47"/>
        <v>0.94574870730383509</v>
      </c>
      <c r="CH20" s="3">
        <f t="shared" ca="1" si="48"/>
        <v>0.94017344276355996</v>
      </c>
      <c r="CI20" s="3">
        <f t="shared" ca="1" si="49"/>
        <v>0.84769082198538825</v>
      </c>
      <c r="CJ20" s="3">
        <f t="shared" ca="1" si="50"/>
        <v>1497</v>
      </c>
      <c r="CK20" s="3">
        <f t="shared" ca="1" si="51"/>
        <v>2.7475035733747822E-3</v>
      </c>
      <c r="CL20" s="3">
        <f t="shared" ca="1" si="52"/>
        <v>0</v>
      </c>
      <c r="CM20" s="3"/>
      <c r="CN20" s="1">
        <f t="shared" ca="1" si="53"/>
        <v>6.8612361736650396</v>
      </c>
      <c r="CO20" s="1">
        <f t="shared" ca="1" si="54"/>
        <v>9.6741285451832873E-2</v>
      </c>
      <c r="CP20" s="1">
        <f t="shared" ca="1" si="55"/>
        <v>3</v>
      </c>
      <c r="DH20" s="1">
        <f t="shared" ca="1" si="56"/>
        <v>662</v>
      </c>
      <c r="DI20" s="1">
        <f t="shared" ca="1" si="57"/>
        <v>0.35739182549043996</v>
      </c>
      <c r="DJ20" s="1">
        <f t="shared" ca="1" si="58"/>
        <v>17</v>
      </c>
    </row>
    <row r="21" spans="2:114" x14ac:dyDescent="0.25">
      <c r="B21">
        <f t="shared" ca="1" si="0"/>
        <v>615</v>
      </c>
      <c r="C21">
        <f t="shared" ca="1" si="1"/>
        <v>32</v>
      </c>
      <c r="D21">
        <f t="shared" ca="1" si="2"/>
        <v>0.21278040489341563</v>
      </c>
      <c r="F21" s="1">
        <f t="shared" ca="1" si="3"/>
        <v>7</v>
      </c>
      <c r="G21" s="1">
        <f t="shared" ca="1" si="4"/>
        <v>8</v>
      </c>
      <c r="H21" s="1">
        <f t="shared" ca="1" si="5"/>
        <v>1</v>
      </c>
      <c r="I21" s="1"/>
      <c r="J21" s="1">
        <f t="shared" ca="1" si="6"/>
        <v>17</v>
      </c>
      <c r="K21" s="1">
        <f t="shared" ca="1" si="7"/>
        <v>1.5028721287718603</v>
      </c>
      <c r="L21" s="1">
        <f t="shared" ca="1" si="8"/>
        <v>9</v>
      </c>
      <c r="M21" s="1"/>
      <c r="N21" s="1">
        <f t="shared" ca="1" si="9"/>
        <v>726</v>
      </c>
      <c r="O21" s="1">
        <f t="shared" ca="1" si="10"/>
        <v>5</v>
      </c>
      <c r="P21" s="1"/>
      <c r="Q21" s="1">
        <f t="shared" ca="1" si="11"/>
        <v>2.3080154280503438</v>
      </c>
      <c r="R21" s="1">
        <f t="shared" ca="1" si="12"/>
        <v>942</v>
      </c>
      <c r="S21" s="1"/>
      <c r="T21" s="1">
        <f t="shared" ca="1" si="13"/>
        <v>0.19052147636685515</v>
      </c>
      <c r="U21" s="1">
        <f t="shared" ca="1" si="14"/>
        <v>283</v>
      </c>
      <c r="V21" s="1">
        <f t="shared" ca="1" si="15"/>
        <v>34</v>
      </c>
      <c r="W21" s="1"/>
      <c r="X21" s="1">
        <f t="shared" ca="1" si="16"/>
        <v>9.9153468035104826</v>
      </c>
      <c r="Y21" s="1">
        <f t="shared" ca="1" si="17"/>
        <v>0.21426985737660897</v>
      </c>
      <c r="Z21" s="1">
        <f t="shared" ca="1" si="18"/>
        <v>169</v>
      </c>
      <c r="AB21" s="1">
        <f t="shared" ca="1" si="19"/>
        <v>0.102503599241282</v>
      </c>
      <c r="AC21" s="1">
        <f t="shared" ca="1" si="20"/>
        <v>786</v>
      </c>
      <c r="AD21" s="1">
        <f t="shared" ca="1" si="21"/>
        <v>7.3226759260031056E-3</v>
      </c>
      <c r="AE21" s="1"/>
      <c r="AF21" s="1">
        <f t="shared" ca="1" si="22"/>
        <v>0.20553679819120979</v>
      </c>
      <c r="AG21" s="1">
        <f t="shared" ca="1" si="23"/>
        <v>416</v>
      </c>
      <c r="AH21" s="1">
        <f t="shared" ca="1" si="24"/>
        <v>3.6067322879977225E-3</v>
      </c>
      <c r="AJ21" s="1">
        <f t="shared" ca="1" si="25"/>
        <v>0.79996183184153646</v>
      </c>
      <c r="AK21" s="1">
        <f t="shared" ca="1" si="26"/>
        <v>7.9281911460352145E-3</v>
      </c>
      <c r="AL21" s="1"/>
      <c r="AM21" s="1">
        <f t="shared" ca="1" si="27"/>
        <v>0.17563033793296429</v>
      </c>
      <c r="AN21" s="1">
        <f t="shared" ca="1" si="28"/>
        <v>52</v>
      </c>
      <c r="AO21" s="1">
        <f t="shared" ca="1" si="29"/>
        <v>4</v>
      </c>
      <c r="AQ21" s="1">
        <f t="shared" ca="1" si="30"/>
        <v>47</v>
      </c>
      <c r="AR21" s="1">
        <f t="shared" ca="1" si="31"/>
        <v>10</v>
      </c>
      <c r="AS21" s="1">
        <f t="shared" ca="1" si="32"/>
        <v>67</v>
      </c>
      <c r="AU21" s="1">
        <f t="shared" ca="1" si="33"/>
        <v>284</v>
      </c>
      <c r="AV21" s="1">
        <f t="shared" ca="1" si="34"/>
        <v>7</v>
      </c>
      <c r="AW21" s="1">
        <f t="shared" ca="1" si="35"/>
        <v>7.3917035195207717E-2</v>
      </c>
      <c r="AY21" s="1">
        <f t="shared" ca="1" si="36"/>
        <v>1.1328023484119529</v>
      </c>
      <c r="AZ21" s="1">
        <f t="shared" ca="1" si="37"/>
        <v>340</v>
      </c>
      <c r="BA21" s="1">
        <f t="shared" ca="1" si="38"/>
        <v>2.0262666941749784E-3</v>
      </c>
      <c r="BV21" s="1">
        <f t="shared" ca="1" si="39"/>
        <v>1.2093395517202631E-2</v>
      </c>
      <c r="BW21" s="1">
        <f t="shared" ca="1" si="40"/>
        <v>401</v>
      </c>
      <c r="BX21" s="1">
        <f t="shared" ca="1" si="41"/>
        <v>1.4467473691944261E-3</v>
      </c>
      <c r="BY21" s="1">
        <f t="shared" ca="1" si="42"/>
        <v>5.0683185155576321E-2</v>
      </c>
      <c r="BZ21" s="1">
        <f t="shared" ca="1" si="43"/>
        <v>0.56965682253633221</v>
      </c>
      <c r="CB21" s="1">
        <f t="shared" ca="1" si="44"/>
        <v>204</v>
      </c>
      <c r="CC21" s="1">
        <f t="shared" ca="1" si="45"/>
        <v>3</v>
      </c>
      <c r="CD21" s="1">
        <f t="shared" ca="1" si="46"/>
        <v>0.10613093448285899</v>
      </c>
      <c r="CE21" s="1">
        <f t="shared" ca="1" si="47"/>
        <v>0.75994720162255536</v>
      </c>
      <c r="CF21" s="1">
        <f t="shared" ca="1" si="47"/>
        <v>0.62158226196537236</v>
      </c>
      <c r="CH21" s="3">
        <f t="shared" ca="1" si="48"/>
        <v>0.99797831323780029</v>
      </c>
      <c r="CI21" s="3">
        <f t="shared" ca="1" si="49"/>
        <v>0.96098379327782302</v>
      </c>
      <c r="CJ21" s="3">
        <f t="shared" ca="1" si="50"/>
        <v>1832</v>
      </c>
      <c r="CK21" s="3">
        <f t="shared" ca="1" si="51"/>
        <v>3.1710505583156415E-3</v>
      </c>
      <c r="CL21" s="3">
        <f t="shared" ca="1" si="52"/>
        <v>1</v>
      </c>
      <c r="CM21" s="3"/>
      <c r="CN21" s="1">
        <f t="shared" ca="1" si="53"/>
        <v>7.8571165688530549</v>
      </c>
      <c r="CO21" s="1">
        <f t="shared" ca="1" si="54"/>
        <v>0.27690407236354841</v>
      </c>
      <c r="CP21" s="1">
        <f t="shared" ca="1" si="55"/>
        <v>1</v>
      </c>
      <c r="DH21" s="1">
        <f t="shared" ca="1" si="56"/>
        <v>350</v>
      </c>
      <c r="DI21" s="1">
        <f t="shared" ca="1" si="57"/>
        <v>0.29427609480820283</v>
      </c>
      <c r="DJ21" s="1">
        <f t="shared" ca="1" si="58"/>
        <v>2</v>
      </c>
    </row>
    <row r="22" spans="2:114" x14ac:dyDescent="0.25">
      <c r="B22">
        <f t="shared" ca="1" si="0"/>
        <v>252</v>
      </c>
      <c r="C22">
        <f t="shared" ca="1" si="1"/>
        <v>35</v>
      </c>
      <c r="D22">
        <f t="shared" ca="1" si="2"/>
        <v>0.2034962617832462</v>
      </c>
      <c r="F22" s="1">
        <f t="shared" ca="1" si="3"/>
        <v>43</v>
      </c>
      <c r="G22" s="1">
        <f t="shared" ca="1" si="4"/>
        <v>22</v>
      </c>
      <c r="H22" s="1">
        <f t="shared" ca="1" si="5"/>
        <v>7</v>
      </c>
      <c r="I22" s="1"/>
      <c r="J22" s="1">
        <f t="shared" ca="1" si="6"/>
        <v>25</v>
      </c>
      <c r="K22" s="1">
        <f t="shared" ca="1" si="7"/>
        <v>1.5690053120876954</v>
      </c>
      <c r="L22" s="1">
        <f t="shared" ca="1" si="8"/>
        <v>13</v>
      </c>
      <c r="M22" s="1"/>
      <c r="N22" s="1">
        <f t="shared" ca="1" si="9"/>
        <v>57</v>
      </c>
      <c r="O22" s="1">
        <f t="shared" ca="1" si="10"/>
        <v>27</v>
      </c>
      <c r="P22" s="1"/>
      <c r="Q22" s="1">
        <f t="shared" ca="1" si="11"/>
        <v>1.0873061999496965</v>
      </c>
      <c r="R22" s="1">
        <f t="shared" ca="1" si="12"/>
        <v>606</v>
      </c>
      <c r="S22" s="1"/>
      <c r="T22" s="1">
        <f t="shared" ca="1" si="13"/>
        <v>0.13427421696560649</v>
      </c>
      <c r="U22" s="1">
        <f t="shared" ca="1" si="14"/>
        <v>123</v>
      </c>
      <c r="V22" s="1">
        <f t="shared" ca="1" si="15"/>
        <v>24</v>
      </c>
      <c r="W22" s="1"/>
      <c r="X22" s="1">
        <f t="shared" ca="1" si="16"/>
        <v>5.0693011471981801</v>
      </c>
      <c r="Y22" s="1">
        <f t="shared" ca="1" si="17"/>
        <v>0.93729670071390458</v>
      </c>
      <c r="Z22" s="1">
        <f t="shared" ca="1" si="18"/>
        <v>149</v>
      </c>
      <c r="AB22" s="1">
        <f t="shared" ca="1" si="19"/>
        <v>0.27722612816080539</v>
      </c>
      <c r="AC22" s="1">
        <f t="shared" ca="1" si="20"/>
        <v>241</v>
      </c>
      <c r="AD22" s="1">
        <f t="shared" ca="1" si="21"/>
        <v>7.4147393418124265E-3</v>
      </c>
      <c r="AE22" s="1"/>
      <c r="AF22" s="1">
        <f t="shared" ca="1" si="22"/>
        <v>0.4318011726891845</v>
      </c>
      <c r="AG22" s="1">
        <f t="shared" ca="1" si="23"/>
        <v>874</v>
      </c>
      <c r="AH22" s="1">
        <f t="shared" ca="1" si="24"/>
        <v>7.5741933661747805E-3</v>
      </c>
      <c r="AJ22" s="1">
        <f t="shared" ca="1" si="25"/>
        <v>0.64747725370987597</v>
      </c>
      <c r="AK22" s="1">
        <f t="shared" ca="1" si="26"/>
        <v>9.303847786220943E-3</v>
      </c>
      <c r="AL22" s="1"/>
      <c r="AM22" s="1">
        <f t="shared" ca="1" si="27"/>
        <v>5.5165348334683464E-2</v>
      </c>
      <c r="AN22" s="1">
        <f t="shared" ca="1" si="28"/>
        <v>28</v>
      </c>
      <c r="AO22" s="1">
        <f t="shared" ca="1" si="29"/>
        <v>17</v>
      </c>
      <c r="AQ22" s="1">
        <f t="shared" ca="1" si="30"/>
        <v>25</v>
      </c>
      <c r="AR22" s="1">
        <f t="shared" ca="1" si="31"/>
        <v>4</v>
      </c>
      <c r="AS22" s="1">
        <f t="shared" ca="1" si="32"/>
        <v>41</v>
      </c>
      <c r="AU22" s="1">
        <f t="shared" ca="1" si="33"/>
        <v>369</v>
      </c>
      <c r="AV22" s="1">
        <f t="shared" ca="1" si="34"/>
        <v>2</v>
      </c>
      <c r="AW22" s="1">
        <f t="shared" ca="1" si="35"/>
        <v>0.19953045362684704</v>
      </c>
      <c r="AY22" s="1">
        <f t="shared" ca="1" si="36"/>
        <v>1.9931889595159995</v>
      </c>
      <c r="AZ22" s="1">
        <f t="shared" ca="1" si="37"/>
        <v>184</v>
      </c>
      <c r="BA22" s="1">
        <f t="shared" ca="1" si="38"/>
        <v>1.8726570528529863E-3</v>
      </c>
      <c r="BV22" s="1">
        <f t="shared" ca="1" si="39"/>
        <v>0.40929473298907842</v>
      </c>
      <c r="BW22" s="1">
        <f t="shared" ca="1" si="40"/>
        <v>177</v>
      </c>
      <c r="BX22" s="1">
        <f t="shared" ca="1" si="41"/>
        <v>9.5684915060284675E-3</v>
      </c>
      <c r="BY22" s="1">
        <f t="shared" ca="1" si="42"/>
        <v>6.6294464429848488E-2</v>
      </c>
      <c r="BZ22" s="1">
        <f t="shared" ca="1" si="43"/>
        <v>0.34466743682578438</v>
      </c>
      <c r="CB22" s="1">
        <f t="shared" ca="1" si="44"/>
        <v>251</v>
      </c>
      <c r="CC22" s="1">
        <f t="shared" ca="1" si="45"/>
        <v>14</v>
      </c>
      <c r="CD22" s="1">
        <f t="shared" ca="1" si="46"/>
        <v>0.21378032442763853</v>
      </c>
      <c r="CE22" s="1">
        <f t="shared" ca="1" si="47"/>
        <v>0.83701813623113663</v>
      </c>
      <c r="CF22" s="1">
        <f t="shared" ca="1" si="47"/>
        <v>0.9595170614828944</v>
      </c>
      <c r="CH22" s="3">
        <f t="shared" ca="1" si="48"/>
        <v>0.3217319531075819</v>
      </c>
      <c r="CI22" s="3">
        <f t="shared" ca="1" si="49"/>
        <v>0.3655356913026625</v>
      </c>
      <c r="CJ22" s="3">
        <f t="shared" ca="1" si="50"/>
        <v>1239</v>
      </c>
      <c r="CK22" s="3">
        <f t="shared" ca="1" si="51"/>
        <v>7.4020705721317519E-3</v>
      </c>
      <c r="CL22" s="3">
        <f t="shared" ca="1" si="52"/>
        <v>0</v>
      </c>
      <c r="CM22" s="3"/>
      <c r="CN22" s="1">
        <f t="shared" ca="1" si="53"/>
        <v>1.0987357967136717</v>
      </c>
      <c r="CO22" s="1">
        <f t="shared" ca="1" si="54"/>
        <v>0.49920686959813854</v>
      </c>
      <c r="CP22" s="1">
        <f t="shared" ca="1" si="55"/>
        <v>5</v>
      </c>
      <c r="DH22" s="1">
        <f t="shared" ca="1" si="56"/>
        <v>467</v>
      </c>
      <c r="DI22" s="1">
        <f t="shared" ca="1" si="57"/>
        <v>0.95126254555544387</v>
      </c>
      <c r="DJ22" s="1">
        <f t="shared" ca="1" si="58"/>
        <v>29</v>
      </c>
    </row>
    <row r="23" spans="2:114" x14ac:dyDescent="0.25">
      <c r="B23">
        <f t="shared" ca="1" si="0"/>
        <v>903</v>
      </c>
      <c r="C23">
        <f t="shared" ca="1" si="1"/>
        <v>2</v>
      </c>
      <c r="D23">
        <f t="shared" ca="1" si="2"/>
        <v>0.17404670153616714</v>
      </c>
      <c r="F23" s="1">
        <f t="shared" ca="1" si="3"/>
        <v>5</v>
      </c>
      <c r="G23" s="1">
        <f t="shared" ca="1" si="4"/>
        <v>26</v>
      </c>
      <c r="H23" s="1">
        <f t="shared" ca="1" si="5"/>
        <v>5</v>
      </c>
      <c r="I23" s="1"/>
      <c r="J23" s="1">
        <f t="shared" ca="1" si="6"/>
        <v>34</v>
      </c>
      <c r="K23" s="1">
        <f t="shared" ca="1" si="7"/>
        <v>1.3087326656987577</v>
      </c>
      <c r="L23" s="1">
        <f t="shared" ca="1" si="8"/>
        <v>30</v>
      </c>
      <c r="M23" s="1"/>
      <c r="N23" s="1">
        <f t="shared" ca="1" si="9"/>
        <v>643</v>
      </c>
      <c r="O23" s="1">
        <f t="shared" ca="1" si="10"/>
        <v>51</v>
      </c>
      <c r="P23" s="1"/>
      <c r="Q23" s="1">
        <f t="shared" ca="1" si="11"/>
        <v>4.2822552978565289</v>
      </c>
      <c r="R23" s="1">
        <f t="shared" ca="1" si="12"/>
        <v>438</v>
      </c>
      <c r="S23" s="1"/>
      <c r="T23" s="1">
        <f t="shared" ca="1" si="13"/>
        <v>0.11377027679704724</v>
      </c>
      <c r="U23" s="1">
        <f t="shared" ca="1" si="14"/>
        <v>270</v>
      </c>
      <c r="V23" s="1">
        <f t="shared" ca="1" si="15"/>
        <v>35</v>
      </c>
      <c r="W23" s="1"/>
      <c r="X23" s="1">
        <f t="shared" ca="1" si="16"/>
        <v>0.82599165118753315</v>
      </c>
      <c r="Y23" s="1">
        <f t="shared" ca="1" si="17"/>
        <v>0.84372617531903404</v>
      </c>
      <c r="Z23" s="1">
        <f t="shared" ca="1" si="18"/>
        <v>794</v>
      </c>
      <c r="AB23" s="1">
        <f t="shared" ca="1" si="19"/>
        <v>3.3786450209803476E-2</v>
      </c>
      <c r="AC23" s="1">
        <f t="shared" ca="1" si="20"/>
        <v>203</v>
      </c>
      <c r="AD23" s="1">
        <f t="shared" ca="1" si="21"/>
        <v>1.1565671795040933E-3</v>
      </c>
      <c r="AE23" s="1"/>
      <c r="AF23" s="1">
        <f t="shared" ca="1" si="22"/>
        <v>0.82107097848723054</v>
      </c>
      <c r="AG23" s="1">
        <f t="shared" ca="1" si="23"/>
        <v>411</v>
      </c>
      <c r="AH23" s="1">
        <f t="shared" ca="1" si="24"/>
        <v>2.334921794889872E-3</v>
      </c>
      <c r="AJ23" s="1">
        <f t="shared" ca="1" si="25"/>
        <v>0.17245130180264878</v>
      </c>
      <c r="AK23" s="1">
        <f t="shared" ca="1" si="26"/>
        <v>7.464608728454899E-3</v>
      </c>
      <c r="AL23" s="1"/>
      <c r="AM23" s="1">
        <f t="shared" ca="1" si="27"/>
        <v>0.14488842878209074</v>
      </c>
      <c r="AN23" s="1">
        <f t="shared" ca="1" si="28"/>
        <v>12</v>
      </c>
      <c r="AO23" s="1">
        <f t="shared" ca="1" si="29"/>
        <v>2</v>
      </c>
      <c r="AQ23" s="1">
        <f t="shared" ca="1" si="30"/>
        <v>55</v>
      </c>
      <c r="AR23" s="1">
        <f t="shared" ca="1" si="31"/>
        <v>10</v>
      </c>
      <c r="AS23" s="1">
        <f t="shared" ca="1" si="32"/>
        <v>92</v>
      </c>
      <c r="AU23" s="1">
        <f t="shared" ca="1" si="33"/>
        <v>240</v>
      </c>
      <c r="AV23" s="1">
        <f t="shared" ca="1" si="34"/>
        <v>6</v>
      </c>
      <c r="AW23" s="1">
        <f t="shared" ca="1" si="35"/>
        <v>0.17775940074502228</v>
      </c>
      <c r="AY23" s="1">
        <f t="shared" ca="1" si="36"/>
        <v>1.4876147902087957</v>
      </c>
      <c r="AZ23" s="1">
        <f t="shared" ca="1" si="37"/>
        <v>57</v>
      </c>
      <c r="BA23" s="1">
        <f t="shared" ca="1" si="38"/>
        <v>1.6303425730123649E-3</v>
      </c>
      <c r="BV23" s="1">
        <f t="shared" ca="1" si="39"/>
        <v>0.82852281726471677</v>
      </c>
      <c r="BW23" s="1">
        <f t="shared" ca="1" si="40"/>
        <v>986</v>
      </c>
      <c r="BX23" s="1">
        <f t="shared" ca="1" si="41"/>
        <v>8.2608546841154828E-3</v>
      </c>
      <c r="BY23" s="1">
        <f t="shared" ca="1" si="42"/>
        <v>9.6406668811756635E-2</v>
      </c>
      <c r="BZ23" s="1">
        <f t="shared" ca="1" si="43"/>
        <v>0.65338344141731119</v>
      </c>
      <c r="CB23" s="1">
        <f t="shared" ca="1" si="44"/>
        <v>264</v>
      </c>
      <c r="CC23" s="1">
        <f t="shared" ca="1" si="45"/>
        <v>4</v>
      </c>
      <c r="CD23" s="1">
        <f t="shared" ca="1" si="46"/>
        <v>0.16812476980256372</v>
      </c>
      <c r="CE23" s="1">
        <f t="shared" ca="1" si="47"/>
        <v>0.87470136114854757</v>
      </c>
      <c r="CF23" s="1">
        <f t="shared" ca="1" si="47"/>
        <v>0.54126925711462659</v>
      </c>
      <c r="CH23" s="3">
        <f t="shared" ca="1" si="48"/>
        <v>0.80485001973346704</v>
      </c>
      <c r="CI23" s="3">
        <f t="shared" ca="1" si="49"/>
        <v>0.75324704896607508</v>
      </c>
      <c r="CJ23" s="3">
        <f t="shared" ca="1" si="50"/>
        <v>1841</v>
      </c>
      <c r="CK23" s="3">
        <f t="shared" ca="1" si="51"/>
        <v>4.5939584203347665E-3</v>
      </c>
      <c r="CL23" s="3">
        <f t="shared" ca="1" si="52"/>
        <v>1</v>
      </c>
      <c r="CM23" s="3"/>
      <c r="CN23" s="1">
        <f t="shared" ca="1" si="53"/>
        <v>7.9074053286176458</v>
      </c>
      <c r="CO23" s="1">
        <f t="shared" ca="1" si="54"/>
        <v>0.31971377843732435</v>
      </c>
      <c r="CP23" s="1">
        <f t="shared" ca="1" si="55"/>
        <v>2</v>
      </c>
      <c r="DH23" s="1">
        <f t="shared" ca="1" si="56"/>
        <v>608</v>
      </c>
      <c r="DI23" s="1">
        <f t="shared" ca="1" si="57"/>
        <v>0.63710533855535179</v>
      </c>
      <c r="DJ23" s="1">
        <f t="shared" ca="1" si="58"/>
        <v>28</v>
      </c>
    </row>
    <row r="24" spans="2:114" x14ac:dyDescent="0.25">
      <c r="B24">
        <f t="shared" ca="1" si="0"/>
        <v>421</v>
      </c>
      <c r="C24">
        <f t="shared" ca="1" si="1"/>
        <v>39</v>
      </c>
      <c r="D24">
        <f t="shared" ca="1" si="2"/>
        <v>4.1092812025661729E-2</v>
      </c>
      <c r="F24" s="1">
        <f t="shared" ca="1" si="3"/>
        <v>11</v>
      </c>
      <c r="G24" s="1">
        <f t="shared" ca="1" si="4"/>
        <v>11</v>
      </c>
      <c r="H24" s="1">
        <f t="shared" ca="1" si="5"/>
        <v>11</v>
      </c>
      <c r="I24" s="1"/>
      <c r="J24" s="1">
        <f t="shared" ca="1" si="6"/>
        <v>4</v>
      </c>
      <c r="K24" s="1">
        <f t="shared" ca="1" si="7"/>
        <v>2.0373655794344598</v>
      </c>
      <c r="L24" s="1">
        <f t="shared" ca="1" si="8"/>
        <v>14</v>
      </c>
      <c r="M24" s="1"/>
      <c r="N24" s="1">
        <f t="shared" ca="1" si="9"/>
        <v>915</v>
      </c>
      <c r="O24" s="1">
        <f t="shared" ca="1" si="10"/>
        <v>47</v>
      </c>
      <c r="P24" s="1"/>
      <c r="Q24" s="1">
        <f t="shared" ca="1" si="11"/>
        <v>1.7556186976594543</v>
      </c>
      <c r="R24" s="1">
        <f t="shared" ca="1" si="12"/>
        <v>457</v>
      </c>
      <c r="S24" s="1"/>
      <c r="T24" s="1">
        <f t="shared" ca="1" si="13"/>
        <v>0.17453683901828806</v>
      </c>
      <c r="U24" s="1">
        <f t="shared" ca="1" si="14"/>
        <v>78</v>
      </c>
      <c r="V24" s="1">
        <f t="shared" ca="1" si="15"/>
        <v>9</v>
      </c>
      <c r="W24" s="1"/>
      <c r="X24" s="1">
        <f t="shared" ca="1" si="16"/>
        <v>9.2591289837767974</v>
      </c>
      <c r="Y24" s="1">
        <f t="shared" ca="1" si="17"/>
        <v>0.16347464743364287</v>
      </c>
      <c r="Z24" s="1">
        <f t="shared" ca="1" si="18"/>
        <v>974</v>
      </c>
      <c r="AB24" s="1">
        <f t="shared" ca="1" si="19"/>
        <v>0.256400897703565</v>
      </c>
      <c r="AC24" s="1">
        <f t="shared" ca="1" si="20"/>
        <v>461</v>
      </c>
      <c r="AD24" s="1">
        <f t="shared" ca="1" si="21"/>
        <v>2.3321327961219374E-4</v>
      </c>
      <c r="AE24" s="1"/>
      <c r="AF24" s="1">
        <f t="shared" ca="1" si="22"/>
        <v>0.72360396771113755</v>
      </c>
      <c r="AG24" s="1">
        <f t="shared" ca="1" si="23"/>
        <v>795</v>
      </c>
      <c r="AH24" s="1">
        <f t="shared" ca="1" si="24"/>
        <v>6.8656787978706698E-3</v>
      </c>
      <c r="AJ24" s="1">
        <f t="shared" ca="1" si="25"/>
        <v>0.15725273798717676</v>
      </c>
      <c r="AK24" s="1">
        <f t="shared" ca="1" si="26"/>
        <v>7.8409273175519285E-3</v>
      </c>
      <c r="AL24" s="1"/>
      <c r="AM24" s="1">
        <f t="shared" ca="1" si="27"/>
        <v>0.17510554989222765</v>
      </c>
      <c r="AN24" s="1">
        <f t="shared" ca="1" si="28"/>
        <v>50</v>
      </c>
      <c r="AO24" s="1">
        <f t="shared" ca="1" si="29"/>
        <v>5</v>
      </c>
      <c r="AQ24" s="1">
        <f t="shared" ca="1" si="30"/>
        <v>101</v>
      </c>
      <c r="AR24" s="1">
        <f t="shared" ca="1" si="31"/>
        <v>9</v>
      </c>
      <c r="AS24" s="1">
        <f t="shared" ca="1" si="32"/>
        <v>32</v>
      </c>
      <c r="AU24" s="1">
        <f t="shared" ca="1" si="33"/>
        <v>335</v>
      </c>
      <c r="AV24" s="1">
        <f t="shared" ca="1" si="34"/>
        <v>10</v>
      </c>
      <c r="AW24" s="1">
        <f t="shared" ca="1" si="35"/>
        <v>0.19952668620728162</v>
      </c>
      <c r="AY24" s="1">
        <f t="shared" ca="1" si="36"/>
        <v>1.9331207466748488</v>
      </c>
      <c r="AZ24" s="1">
        <f t="shared" ca="1" si="37"/>
        <v>203</v>
      </c>
      <c r="BA24" s="1">
        <f t="shared" ca="1" si="38"/>
        <v>9.030596511200039E-3</v>
      </c>
      <c r="BV24" s="1">
        <f t="shared" ca="1" si="39"/>
        <v>0.43661396111457029</v>
      </c>
      <c r="BW24" s="1">
        <f t="shared" ca="1" si="40"/>
        <v>184</v>
      </c>
      <c r="BX24" s="1">
        <f t="shared" ca="1" si="41"/>
        <v>2.1286145640340673E-3</v>
      </c>
      <c r="BY24" s="1">
        <f t="shared" ca="1" si="42"/>
        <v>1.047329328832999E-2</v>
      </c>
      <c r="BZ24" s="1">
        <f t="shared" ca="1" si="43"/>
        <v>0.37926502067854717</v>
      </c>
      <c r="CB24" s="1">
        <f t="shared" ca="1" si="44"/>
        <v>478</v>
      </c>
      <c r="CC24" s="1">
        <f t="shared" ca="1" si="45"/>
        <v>15</v>
      </c>
      <c r="CD24" s="1">
        <f t="shared" ca="1" si="46"/>
        <v>8.1042469714991752E-2</v>
      </c>
      <c r="CE24" s="1">
        <f t="shared" ca="1" si="47"/>
        <v>0.6483866042201758</v>
      </c>
      <c r="CF24" s="1">
        <f t="shared" ca="1" si="47"/>
        <v>0.83786472544973112</v>
      </c>
      <c r="CH24" s="3">
        <f t="shared" ca="1" si="48"/>
        <v>1.9952969705333255E-2</v>
      </c>
      <c r="CI24" s="3">
        <f t="shared" ca="1" si="49"/>
        <v>0.46156724280917649</v>
      </c>
      <c r="CJ24" s="3">
        <f t="shared" ca="1" si="50"/>
        <v>661</v>
      </c>
      <c r="CK24" s="3">
        <f t="shared" ca="1" si="51"/>
        <v>1.0230391778326231E-3</v>
      </c>
      <c r="CL24" s="3">
        <f t="shared" ca="1" si="52"/>
        <v>1</v>
      </c>
      <c r="CM24" s="3"/>
      <c r="CN24" s="1">
        <f t="shared" ca="1" si="53"/>
        <v>15.225088405889162</v>
      </c>
      <c r="CO24" s="1">
        <f t="shared" ca="1" si="54"/>
        <v>8.7833209960562042E-2</v>
      </c>
      <c r="CP24" s="1">
        <f t="shared" ca="1" si="55"/>
        <v>3</v>
      </c>
      <c r="DH24" s="1">
        <f t="shared" ca="1" si="56"/>
        <v>340</v>
      </c>
      <c r="DI24" s="1">
        <f t="shared" ca="1" si="57"/>
        <v>0.31105144252465766</v>
      </c>
      <c r="DJ24" s="1">
        <f t="shared" ca="1" si="58"/>
        <v>3</v>
      </c>
    </row>
    <row r="25" spans="2:114" x14ac:dyDescent="0.25">
      <c r="B25">
        <f t="shared" ca="1" si="0"/>
        <v>591</v>
      </c>
      <c r="C25">
        <f t="shared" ca="1" si="1"/>
        <v>32</v>
      </c>
      <c r="D25">
        <f t="shared" ca="1" si="2"/>
        <v>7.8492636136494945E-2</v>
      </c>
      <c r="F25" s="1">
        <f t="shared" ca="1" si="3"/>
        <v>7</v>
      </c>
      <c r="G25" s="1">
        <f t="shared" ca="1" si="4"/>
        <v>25</v>
      </c>
      <c r="H25" s="1">
        <f t="shared" ca="1" si="5"/>
        <v>10</v>
      </c>
      <c r="I25" s="1"/>
      <c r="J25" s="1">
        <f t="shared" ca="1" si="6"/>
        <v>19</v>
      </c>
      <c r="K25" s="1">
        <f t="shared" ca="1" si="7"/>
        <v>2.7956584452263145</v>
      </c>
      <c r="L25" s="1">
        <f t="shared" ca="1" si="8"/>
        <v>29</v>
      </c>
      <c r="M25" s="1"/>
      <c r="N25" s="1">
        <f t="shared" ca="1" si="9"/>
        <v>204</v>
      </c>
      <c r="O25" s="1">
        <f t="shared" ca="1" si="10"/>
        <v>21</v>
      </c>
      <c r="P25" s="1"/>
      <c r="Q25" s="1">
        <f t="shared" ca="1" si="11"/>
        <v>2.4591413565932498</v>
      </c>
      <c r="R25" s="1">
        <f t="shared" ca="1" si="12"/>
        <v>648</v>
      </c>
      <c r="S25" s="1"/>
      <c r="T25" s="1">
        <f t="shared" ca="1" si="13"/>
        <v>5.4086120728874476E-2</v>
      </c>
      <c r="U25" s="1">
        <f t="shared" ca="1" si="14"/>
        <v>253</v>
      </c>
      <c r="V25" s="1">
        <f t="shared" ca="1" si="15"/>
        <v>37</v>
      </c>
      <c r="W25" s="1"/>
      <c r="X25" s="1">
        <f t="shared" ca="1" si="16"/>
        <v>8.539671017912486</v>
      </c>
      <c r="Y25" s="1">
        <f t="shared" ca="1" si="17"/>
        <v>0.700012470314616</v>
      </c>
      <c r="Z25" s="1">
        <f t="shared" ca="1" si="18"/>
        <v>1187</v>
      </c>
      <c r="AB25" s="1">
        <f t="shared" ca="1" si="19"/>
        <v>0.2069482639572246</v>
      </c>
      <c r="AC25" s="1">
        <f t="shared" ca="1" si="20"/>
        <v>338</v>
      </c>
      <c r="AD25" s="1">
        <f t="shared" ca="1" si="21"/>
        <v>1.5115836544686949E-3</v>
      </c>
      <c r="AE25" s="1"/>
      <c r="AF25" s="1">
        <f t="shared" ca="1" si="22"/>
        <v>0.8472912012264916</v>
      </c>
      <c r="AG25" s="1">
        <f t="shared" ca="1" si="23"/>
        <v>187</v>
      </c>
      <c r="AH25" s="1">
        <f t="shared" ca="1" si="24"/>
        <v>7.197318305424122E-3</v>
      </c>
      <c r="AJ25" s="1">
        <f t="shared" ca="1" si="25"/>
        <v>0.76260517274225803</v>
      </c>
      <c r="AK25" s="1">
        <f t="shared" ca="1" si="26"/>
        <v>4.8656120098990599E-3</v>
      </c>
      <c r="AL25" s="1"/>
      <c r="AM25" s="1">
        <f t="shared" ca="1" si="27"/>
        <v>0.19599785643186282</v>
      </c>
      <c r="AN25" s="1">
        <f t="shared" ca="1" si="28"/>
        <v>46</v>
      </c>
      <c r="AO25" s="1">
        <f t="shared" ca="1" si="29"/>
        <v>11</v>
      </c>
      <c r="AQ25" s="1">
        <f t="shared" ca="1" si="30"/>
        <v>38</v>
      </c>
      <c r="AR25" s="1">
        <f t="shared" ca="1" si="31"/>
        <v>7</v>
      </c>
      <c r="AS25" s="1">
        <f t="shared" ca="1" si="32"/>
        <v>93</v>
      </c>
      <c r="AU25" s="1">
        <f t="shared" ca="1" si="33"/>
        <v>372</v>
      </c>
      <c r="AV25" s="1">
        <f t="shared" ca="1" si="34"/>
        <v>2</v>
      </c>
      <c r="AW25" s="1">
        <f t="shared" ca="1" si="35"/>
        <v>4.0123485073462049E-2</v>
      </c>
      <c r="AY25" s="1">
        <f t="shared" ca="1" si="36"/>
        <v>1.2800006618427771</v>
      </c>
      <c r="AZ25" s="1">
        <f t="shared" ca="1" si="37"/>
        <v>203</v>
      </c>
      <c r="BA25" s="1">
        <f t="shared" ca="1" si="38"/>
        <v>1.8331658566464288E-3</v>
      </c>
      <c r="BV25" s="1">
        <f t="shared" ca="1" si="39"/>
        <v>0.61080352479887556</v>
      </c>
      <c r="BW25" s="1">
        <f t="shared" ca="1" si="40"/>
        <v>376</v>
      </c>
      <c r="BX25" s="1">
        <f t="shared" ca="1" si="41"/>
        <v>1.4249032882219349E-4</v>
      </c>
      <c r="BY25" s="1">
        <f t="shared" ca="1" si="42"/>
        <v>8.3111996068887514E-2</v>
      </c>
      <c r="BZ25" s="1">
        <f t="shared" ca="1" si="43"/>
        <v>0.56215171616663273</v>
      </c>
      <c r="CB25" s="1">
        <f t="shared" ca="1" si="44"/>
        <v>50</v>
      </c>
      <c r="CC25" s="1">
        <f t="shared" ca="1" si="45"/>
        <v>6</v>
      </c>
      <c r="CD25" s="1">
        <f t="shared" ca="1" si="46"/>
        <v>0.20693111732355574</v>
      </c>
      <c r="CE25" s="1">
        <f t="shared" ca="1" si="47"/>
        <v>0.950523054729695</v>
      </c>
      <c r="CF25" s="1">
        <f t="shared" ca="1" si="47"/>
        <v>0.92294114860765175</v>
      </c>
      <c r="CH25" s="3">
        <f t="shared" ca="1" si="48"/>
        <v>0.36871457658944762</v>
      </c>
      <c r="CI25" s="3">
        <f t="shared" ca="1" si="49"/>
        <v>0.62875983503173438</v>
      </c>
      <c r="CJ25" s="3">
        <f t="shared" ca="1" si="50"/>
        <v>566</v>
      </c>
      <c r="CK25" s="3">
        <f t="shared" ca="1" si="51"/>
        <v>1.003023057334063E-4</v>
      </c>
      <c r="CL25" s="3">
        <f t="shared" ca="1" si="52"/>
        <v>0</v>
      </c>
      <c r="CM25" s="3"/>
      <c r="CN25" s="1">
        <f t="shared" ca="1" si="53"/>
        <v>4.6341224527177944</v>
      </c>
      <c r="CO25" s="1">
        <f t="shared" ca="1" si="54"/>
        <v>0.1549485609624654</v>
      </c>
      <c r="CP25" s="1">
        <f t="shared" ca="1" si="55"/>
        <v>1</v>
      </c>
      <c r="DH25" s="1">
        <f t="shared" ca="1" si="56"/>
        <v>194</v>
      </c>
      <c r="DI25" s="1">
        <f t="shared" ca="1" si="57"/>
        <v>0.41715455748416413</v>
      </c>
      <c r="DJ25" s="1">
        <f t="shared" ca="1" si="58"/>
        <v>1</v>
      </c>
    </row>
    <row r="26" spans="2:114" x14ac:dyDescent="0.25">
      <c r="B26">
        <f t="shared" ca="1" si="0"/>
        <v>441</v>
      </c>
      <c r="C26">
        <f t="shared" ca="1" si="1"/>
        <v>38</v>
      </c>
      <c r="D26">
        <f t="shared" ca="1" si="2"/>
        <v>0.2023140003562453</v>
      </c>
      <c r="F26" s="1">
        <f t="shared" ca="1" si="3"/>
        <v>17</v>
      </c>
      <c r="G26" s="1">
        <f t="shared" ca="1" si="4"/>
        <v>9</v>
      </c>
      <c r="H26" s="1">
        <f t="shared" ca="1" si="5"/>
        <v>2</v>
      </c>
      <c r="I26" s="1"/>
      <c r="J26" s="1">
        <f t="shared" ca="1" si="6"/>
        <v>31</v>
      </c>
      <c r="K26" s="1">
        <f t="shared" ca="1" si="7"/>
        <v>2.862515764469963</v>
      </c>
      <c r="L26" s="1">
        <f t="shared" ca="1" si="8"/>
        <v>31</v>
      </c>
      <c r="M26" s="1"/>
      <c r="N26" s="1">
        <f t="shared" ca="1" si="9"/>
        <v>36</v>
      </c>
      <c r="O26" s="1">
        <f t="shared" ca="1" si="10"/>
        <v>10</v>
      </c>
      <c r="P26" s="1"/>
      <c r="Q26" s="1">
        <f t="shared" ca="1" si="11"/>
        <v>1.5673301074441774</v>
      </c>
      <c r="R26" s="1">
        <f t="shared" ca="1" si="12"/>
        <v>852</v>
      </c>
      <c r="S26" s="1"/>
      <c r="T26" s="1">
        <f t="shared" ca="1" si="13"/>
        <v>0.18116626009113168</v>
      </c>
      <c r="U26" s="1">
        <f t="shared" ca="1" si="14"/>
        <v>431</v>
      </c>
      <c r="V26" s="1">
        <f t="shared" ca="1" si="15"/>
        <v>19</v>
      </c>
      <c r="W26" s="1"/>
      <c r="X26" s="1">
        <f t="shared" ca="1" si="16"/>
        <v>5.0300760001088864</v>
      </c>
      <c r="Y26" s="1">
        <f t="shared" ca="1" si="17"/>
        <v>0.54033305959920841</v>
      </c>
      <c r="Z26" s="1">
        <f t="shared" ca="1" si="18"/>
        <v>1456</v>
      </c>
      <c r="AB26" s="1">
        <f t="shared" ca="1" si="19"/>
        <v>0.34263300385139606</v>
      </c>
      <c r="AC26" s="1">
        <f t="shared" ca="1" si="20"/>
        <v>323</v>
      </c>
      <c r="AD26" s="1">
        <f t="shared" ca="1" si="21"/>
        <v>5.6742529389829065E-3</v>
      </c>
      <c r="AE26" s="1"/>
      <c r="AF26" s="1">
        <f t="shared" ca="1" si="22"/>
        <v>0.82714495869471127</v>
      </c>
      <c r="AG26" s="1">
        <f t="shared" ca="1" si="23"/>
        <v>385</v>
      </c>
      <c r="AH26" s="1">
        <f t="shared" ca="1" si="24"/>
        <v>5.0060804186996995E-3</v>
      </c>
      <c r="AJ26" s="1">
        <f t="shared" ca="1" si="25"/>
        <v>0.9644260971628742</v>
      </c>
      <c r="AK26" s="1">
        <f t="shared" ca="1" si="26"/>
        <v>7.001915003074264E-3</v>
      </c>
      <c r="AL26" s="1"/>
      <c r="AM26" s="1">
        <f t="shared" ca="1" si="27"/>
        <v>0.11200115208440872</v>
      </c>
      <c r="AN26" s="1">
        <f t="shared" ca="1" si="28"/>
        <v>42</v>
      </c>
      <c r="AO26" s="1">
        <f t="shared" ca="1" si="29"/>
        <v>5</v>
      </c>
      <c r="AQ26" s="1">
        <f t="shared" ca="1" si="30"/>
        <v>32</v>
      </c>
      <c r="AR26" s="1">
        <f t="shared" ca="1" si="31"/>
        <v>1</v>
      </c>
      <c r="AS26" s="1">
        <f t="shared" ca="1" si="32"/>
        <v>50</v>
      </c>
      <c r="AU26" s="1">
        <f t="shared" ca="1" si="33"/>
        <v>70</v>
      </c>
      <c r="AV26" s="1">
        <f t="shared" ca="1" si="34"/>
        <v>7</v>
      </c>
      <c r="AW26" s="1">
        <f t="shared" ca="1" si="35"/>
        <v>0.12371730783214999</v>
      </c>
      <c r="AY26" s="1">
        <f t="shared" ca="1" si="36"/>
        <v>1.4484252202244581</v>
      </c>
      <c r="AZ26" s="1">
        <f t="shared" ca="1" si="37"/>
        <v>127</v>
      </c>
      <c r="BA26" s="1">
        <f t="shared" ca="1" si="38"/>
        <v>5.3897833172085658E-4</v>
      </c>
      <c r="BV26" s="1">
        <f t="shared" ca="1" si="39"/>
        <v>4.2527988674526951E-2</v>
      </c>
      <c r="BW26" s="1">
        <f t="shared" ca="1" si="40"/>
        <v>987</v>
      </c>
      <c r="BX26" s="1">
        <f t="shared" ca="1" si="41"/>
        <v>9.3688762849351761E-3</v>
      </c>
      <c r="BY26" s="1">
        <f t="shared" ca="1" si="42"/>
        <v>4.6903979595169037E-2</v>
      </c>
      <c r="BZ26" s="1">
        <f t="shared" ca="1" si="43"/>
        <v>2.8387587592170083E-2</v>
      </c>
      <c r="CB26" s="1">
        <f t="shared" ca="1" si="44"/>
        <v>213</v>
      </c>
      <c r="CC26" s="1">
        <f t="shared" ca="1" si="45"/>
        <v>14</v>
      </c>
      <c r="CD26" s="1">
        <f t="shared" ca="1" si="46"/>
        <v>7.3440885051324817E-2</v>
      </c>
      <c r="CE26" s="1">
        <f t="shared" ca="1" si="47"/>
        <v>0.79321438197632321</v>
      </c>
      <c r="CF26" s="1">
        <f t="shared" ca="1" si="47"/>
        <v>0.99030666214729135</v>
      </c>
      <c r="CH26" s="3">
        <f t="shared" ca="1" si="48"/>
        <v>0.13342809431475677</v>
      </c>
      <c r="CI26" s="3">
        <f t="shared" ca="1" si="49"/>
        <v>0.51547643953607902</v>
      </c>
      <c r="CJ26" s="3">
        <f t="shared" ca="1" si="50"/>
        <v>803</v>
      </c>
      <c r="CK26" s="3">
        <f t="shared" ca="1" si="51"/>
        <v>9.6760019071544592E-3</v>
      </c>
      <c r="CL26" s="3">
        <f t="shared" ca="1" si="52"/>
        <v>0</v>
      </c>
      <c r="CM26" s="3"/>
      <c r="CN26" s="1">
        <f t="shared" ca="1" si="53"/>
        <v>10.003610374519916</v>
      </c>
      <c r="CO26" s="1">
        <f t="shared" ca="1" si="54"/>
        <v>0.22017786908788314</v>
      </c>
      <c r="CP26" s="1">
        <f t="shared" ca="1" si="55"/>
        <v>4</v>
      </c>
      <c r="DH26" s="1">
        <f t="shared" ca="1" si="56"/>
        <v>900</v>
      </c>
      <c r="DI26" s="1">
        <f t="shared" ca="1" si="57"/>
        <v>0.42899726688383244</v>
      </c>
      <c r="DJ26" s="1">
        <f t="shared" ca="1" si="58"/>
        <v>11</v>
      </c>
    </row>
    <row r="27" spans="2:114" x14ac:dyDescent="0.25">
      <c r="B27">
        <f t="shared" ca="1" si="0"/>
        <v>57</v>
      </c>
      <c r="C27">
        <f t="shared" ca="1" si="1"/>
        <v>47</v>
      </c>
      <c r="D27">
        <f t="shared" ca="1" si="2"/>
        <v>2.6094792212073371E-2</v>
      </c>
      <c r="F27" s="1">
        <f t="shared" ca="1" si="3"/>
        <v>6</v>
      </c>
      <c r="G27" s="1">
        <f t="shared" ca="1" si="4"/>
        <v>19</v>
      </c>
      <c r="H27" s="1">
        <f t="shared" ca="1" si="5"/>
        <v>4</v>
      </c>
      <c r="I27" s="1"/>
      <c r="J27" s="1">
        <f t="shared" ca="1" si="6"/>
        <v>36</v>
      </c>
      <c r="K27" s="1">
        <f t="shared" ca="1" si="7"/>
        <v>1.4890760558582616</v>
      </c>
      <c r="L27" s="1">
        <f t="shared" ca="1" si="8"/>
        <v>26</v>
      </c>
      <c r="M27" s="1"/>
      <c r="N27" s="1">
        <f t="shared" ca="1" si="9"/>
        <v>851</v>
      </c>
      <c r="O27" s="1">
        <f t="shared" ca="1" si="10"/>
        <v>48</v>
      </c>
      <c r="P27" s="1"/>
      <c r="Q27" s="1">
        <f t="shared" ca="1" si="11"/>
        <v>3.4149829668134064</v>
      </c>
      <c r="R27" s="1">
        <f t="shared" ca="1" si="12"/>
        <v>662</v>
      </c>
      <c r="S27" s="1"/>
      <c r="T27" s="1">
        <f t="shared" ca="1" si="13"/>
        <v>3.910273614001851E-2</v>
      </c>
      <c r="U27" s="1">
        <f t="shared" ca="1" si="14"/>
        <v>261</v>
      </c>
      <c r="V27" s="1">
        <f t="shared" ca="1" si="15"/>
        <v>2</v>
      </c>
      <c r="W27" s="1"/>
      <c r="X27" s="1">
        <f t="shared" ca="1" si="16"/>
        <v>8.7965293792715631</v>
      </c>
      <c r="Y27" s="1">
        <f t="shared" ca="1" si="17"/>
        <v>0.40255431631836641</v>
      </c>
      <c r="Z27" s="1">
        <f t="shared" ca="1" si="18"/>
        <v>1544</v>
      </c>
      <c r="AB27" s="1">
        <f t="shared" ca="1" si="19"/>
        <v>0.66362014744807996</v>
      </c>
      <c r="AC27" s="1">
        <f t="shared" ca="1" si="20"/>
        <v>120</v>
      </c>
      <c r="AD27" s="1">
        <f t="shared" ca="1" si="21"/>
        <v>8.5964474661361003E-3</v>
      </c>
      <c r="AE27" s="1"/>
      <c r="AF27" s="1">
        <f t="shared" ca="1" si="22"/>
        <v>0.32502861418738133</v>
      </c>
      <c r="AG27" s="1">
        <f t="shared" ca="1" si="23"/>
        <v>286</v>
      </c>
      <c r="AH27" s="1">
        <f t="shared" ca="1" si="24"/>
        <v>6.2281065856224106E-3</v>
      </c>
      <c r="AJ27" s="1">
        <f t="shared" ca="1" si="25"/>
        <v>0.41244544873339128</v>
      </c>
      <c r="AK27" s="1">
        <f t="shared" ca="1" si="26"/>
        <v>9.547640723490982E-3</v>
      </c>
      <c r="AL27" s="1"/>
      <c r="AM27" s="1">
        <f t="shared" ca="1" si="27"/>
        <v>0.14500239300003889</v>
      </c>
      <c r="AN27" s="1">
        <f t="shared" ca="1" si="28"/>
        <v>12</v>
      </c>
      <c r="AO27" s="1">
        <f t="shared" ca="1" si="29"/>
        <v>11</v>
      </c>
      <c r="AQ27" s="1">
        <f t="shared" ca="1" si="30"/>
        <v>52</v>
      </c>
      <c r="AR27" s="1">
        <f t="shared" ca="1" si="31"/>
        <v>4</v>
      </c>
      <c r="AS27" s="1">
        <f t="shared" ca="1" si="32"/>
        <v>3</v>
      </c>
      <c r="AU27" s="1">
        <f t="shared" ca="1" si="33"/>
        <v>380</v>
      </c>
      <c r="AV27" s="1">
        <f t="shared" ca="1" si="34"/>
        <v>3</v>
      </c>
      <c r="AW27" s="1">
        <f t="shared" ca="1" si="35"/>
        <v>8.5150565646935142E-2</v>
      </c>
      <c r="AY27" s="1">
        <f t="shared" ca="1" si="36"/>
        <v>1.7854638993109351</v>
      </c>
      <c r="AZ27" s="1">
        <f t="shared" ca="1" si="37"/>
        <v>376</v>
      </c>
      <c r="BA27" s="1">
        <f t="shared" ca="1" si="38"/>
        <v>8.0106925511820894E-3</v>
      </c>
      <c r="BV27" s="1">
        <f t="shared" ca="1" si="39"/>
        <v>0.55535028994300828</v>
      </c>
      <c r="BW27" s="1">
        <f t="shared" ca="1" si="40"/>
        <v>275</v>
      </c>
      <c r="BX27" s="1">
        <f t="shared" ca="1" si="41"/>
        <v>3.2001821814608812E-3</v>
      </c>
      <c r="BY27" s="1">
        <f t="shared" ca="1" si="42"/>
        <v>3.2279132250261605E-2</v>
      </c>
      <c r="BZ27" s="1">
        <f t="shared" ca="1" si="43"/>
        <v>0.88002128375710964</v>
      </c>
      <c r="CB27" s="1">
        <f t="shared" ca="1" si="44"/>
        <v>161</v>
      </c>
      <c r="CC27" s="1">
        <f t="shared" ca="1" si="45"/>
        <v>10</v>
      </c>
      <c r="CD27" s="1">
        <f t="shared" ca="1" si="46"/>
        <v>9.8658599215261378E-2</v>
      </c>
      <c r="CE27" s="1">
        <f t="shared" ca="1" si="47"/>
        <v>0.56458618580744857</v>
      </c>
      <c r="CF27" s="1">
        <f t="shared" ca="1" si="47"/>
        <v>0.87992685753590139</v>
      </c>
      <c r="CH27" s="3">
        <f t="shared" ca="1" si="48"/>
        <v>8.8002850485245518E-2</v>
      </c>
      <c r="CI27" s="3">
        <f t="shared" ca="1" si="49"/>
        <v>0.33654817322683478</v>
      </c>
      <c r="CJ27" s="3">
        <f t="shared" ca="1" si="50"/>
        <v>363</v>
      </c>
      <c r="CK27" s="3">
        <f t="shared" ca="1" si="51"/>
        <v>8.8373128271925418E-3</v>
      </c>
      <c r="CL27" s="3">
        <f t="shared" ca="1" si="52"/>
        <v>1</v>
      </c>
      <c r="CM27" s="3"/>
      <c r="CN27" s="1">
        <f t="shared" ca="1" si="53"/>
        <v>7.886040451707375</v>
      </c>
      <c r="CO27" s="1">
        <f t="shared" ca="1" si="54"/>
        <v>0.13397050892157905</v>
      </c>
      <c r="CP27" s="1">
        <f t="shared" ca="1" si="55"/>
        <v>1</v>
      </c>
      <c r="DH27" s="1">
        <f t="shared" ca="1" si="56"/>
        <v>821</v>
      </c>
      <c r="DI27" s="1">
        <f t="shared" ca="1" si="57"/>
        <v>0.79024903747704123</v>
      </c>
      <c r="DJ27" s="1">
        <f t="shared" ca="1" si="58"/>
        <v>23</v>
      </c>
    </row>
    <row r="28" spans="2:114" x14ac:dyDescent="0.25">
      <c r="B28">
        <f t="shared" ca="1" si="0"/>
        <v>708</v>
      </c>
      <c r="C28">
        <f t="shared" ca="1" si="1"/>
        <v>39</v>
      </c>
      <c r="D28">
        <f t="shared" ca="1" si="2"/>
        <v>0.18379401375482624</v>
      </c>
      <c r="F28" s="1">
        <f t="shared" ca="1" si="3"/>
        <v>45</v>
      </c>
      <c r="G28" s="1">
        <f t="shared" ca="1" si="4"/>
        <v>12</v>
      </c>
      <c r="H28" s="1">
        <f t="shared" ca="1" si="5"/>
        <v>2</v>
      </c>
      <c r="I28" s="1"/>
      <c r="J28" s="1">
        <f t="shared" ca="1" si="6"/>
        <v>39</v>
      </c>
      <c r="K28" s="1">
        <f t="shared" ca="1" si="7"/>
        <v>1.8720379209341624</v>
      </c>
      <c r="L28" s="1">
        <f t="shared" ca="1" si="8"/>
        <v>21</v>
      </c>
      <c r="M28" s="1"/>
      <c r="N28" s="1">
        <f t="shared" ca="1" si="9"/>
        <v>934</v>
      </c>
      <c r="O28" s="1">
        <f t="shared" ca="1" si="10"/>
        <v>16</v>
      </c>
      <c r="P28" s="1"/>
      <c r="Q28" s="1">
        <f t="shared" ca="1" si="11"/>
        <v>4.8032310482716563</v>
      </c>
      <c r="R28" s="1">
        <f t="shared" ca="1" si="12"/>
        <v>525</v>
      </c>
      <c r="S28" s="1"/>
      <c r="T28" s="1">
        <f t="shared" ca="1" si="13"/>
        <v>0.14717621254535232</v>
      </c>
      <c r="U28" s="1">
        <f t="shared" ca="1" si="14"/>
        <v>179</v>
      </c>
      <c r="V28" s="1">
        <f t="shared" ca="1" si="15"/>
        <v>19</v>
      </c>
      <c r="W28" s="1"/>
      <c r="X28" s="1">
        <f t="shared" ca="1" si="16"/>
        <v>3.0391667681873797</v>
      </c>
      <c r="Y28" s="1">
        <f t="shared" ca="1" si="17"/>
        <v>0.18513428843040614</v>
      </c>
      <c r="Z28" s="1">
        <f t="shared" ca="1" si="18"/>
        <v>886</v>
      </c>
      <c r="AB28" s="1">
        <f t="shared" ca="1" si="19"/>
        <v>0.37649300579224459</v>
      </c>
      <c r="AC28" s="1">
        <f t="shared" ca="1" si="20"/>
        <v>518</v>
      </c>
      <c r="AD28" s="1">
        <f t="shared" ca="1" si="21"/>
        <v>1.2875051667682812E-3</v>
      </c>
      <c r="AE28" s="1"/>
      <c r="AF28" s="1">
        <f t="shared" ca="1" si="22"/>
        <v>0.1975228964445912</v>
      </c>
      <c r="AG28" s="1">
        <f t="shared" ca="1" si="23"/>
        <v>110</v>
      </c>
      <c r="AH28" s="1">
        <f t="shared" ca="1" si="24"/>
        <v>8.0733981654496217E-3</v>
      </c>
      <c r="AJ28" s="1">
        <f t="shared" ca="1" si="25"/>
        <v>0.79304930484497616</v>
      </c>
      <c r="AK28" s="1">
        <f t="shared" ca="1" si="26"/>
        <v>2.7357900279574117E-3</v>
      </c>
      <c r="AL28" s="1"/>
      <c r="AM28" s="1">
        <f t="shared" ca="1" si="27"/>
        <v>2.827642018254576E-2</v>
      </c>
      <c r="AN28" s="1">
        <f t="shared" ca="1" si="28"/>
        <v>37</v>
      </c>
      <c r="AO28" s="1">
        <f t="shared" ca="1" si="29"/>
        <v>6</v>
      </c>
      <c r="AQ28" s="1">
        <f t="shared" ca="1" si="30"/>
        <v>110</v>
      </c>
      <c r="AR28" s="1">
        <f t="shared" ca="1" si="31"/>
        <v>6</v>
      </c>
      <c r="AS28" s="1">
        <f t="shared" ca="1" si="32"/>
        <v>8</v>
      </c>
      <c r="AU28" s="1">
        <f t="shared" ca="1" si="33"/>
        <v>113</v>
      </c>
      <c r="AV28" s="1">
        <f t="shared" ca="1" si="34"/>
        <v>2</v>
      </c>
      <c r="AW28" s="1">
        <f t="shared" ca="1" si="35"/>
        <v>0.12350317404986982</v>
      </c>
      <c r="AY28" s="1">
        <f t="shared" ca="1" si="36"/>
        <v>1.5235699738315187</v>
      </c>
      <c r="AZ28" s="1">
        <f t="shared" ca="1" si="37"/>
        <v>173</v>
      </c>
      <c r="BA28" s="1">
        <f t="shared" ca="1" si="38"/>
        <v>6.5909746602334047E-3</v>
      </c>
      <c r="BV28" s="1">
        <f t="shared" ca="1" si="39"/>
        <v>0.43785921957480139</v>
      </c>
      <c r="BW28" s="1">
        <f t="shared" ca="1" si="40"/>
        <v>737</v>
      </c>
      <c r="BX28" s="1">
        <f t="shared" ca="1" si="41"/>
        <v>9.740806125475435E-3</v>
      </c>
      <c r="BY28" s="1">
        <f t="shared" ca="1" si="42"/>
        <v>5.1708857590552604E-2</v>
      </c>
      <c r="BZ28" s="1">
        <f t="shared" ca="1" si="43"/>
        <v>0.56348674414300326</v>
      </c>
      <c r="CB28" s="1">
        <f t="shared" ca="1" si="44"/>
        <v>223</v>
      </c>
      <c r="CC28" s="1">
        <f t="shared" ca="1" si="45"/>
        <v>6</v>
      </c>
      <c r="CD28" s="1">
        <f t="shared" ca="1" si="46"/>
        <v>0.28295565785136245</v>
      </c>
      <c r="CE28" s="1">
        <f t="shared" ca="1" si="47"/>
        <v>0.95565209324488687</v>
      </c>
      <c r="CF28" s="1">
        <f t="shared" ca="1" si="47"/>
        <v>0.54908677464749234</v>
      </c>
      <c r="CH28" s="3">
        <f t="shared" ca="1" si="48"/>
        <v>0.98315670478967432</v>
      </c>
      <c r="CI28" s="3">
        <f t="shared" ca="1" si="49"/>
        <v>0.53483511153736096</v>
      </c>
      <c r="CJ28" s="3">
        <f t="shared" ca="1" si="50"/>
        <v>1444</v>
      </c>
      <c r="CK28" s="3">
        <f t="shared" ca="1" si="51"/>
        <v>1.9040509439102622E-3</v>
      </c>
      <c r="CL28" s="3">
        <f t="shared" ca="1" si="52"/>
        <v>1</v>
      </c>
      <c r="CM28" s="3"/>
      <c r="CN28" s="1">
        <f t="shared" ca="1" si="53"/>
        <v>11.297573799756977</v>
      </c>
      <c r="CO28" s="1">
        <f t="shared" ca="1" si="54"/>
        <v>0.15669881002641475</v>
      </c>
      <c r="CP28" s="1">
        <f t="shared" ca="1" si="55"/>
        <v>3</v>
      </c>
      <c r="DH28" s="1">
        <f t="shared" ca="1" si="56"/>
        <v>749</v>
      </c>
      <c r="DI28" s="1">
        <f t="shared" ca="1" si="57"/>
        <v>6.666727927707243E-2</v>
      </c>
      <c r="DJ28" s="1">
        <f t="shared" ca="1" si="58"/>
        <v>18</v>
      </c>
    </row>
    <row r="29" spans="2:114" x14ac:dyDescent="0.25">
      <c r="B29">
        <f t="shared" ca="1" si="0"/>
        <v>415</v>
      </c>
      <c r="C29">
        <f t="shared" ca="1" si="1"/>
        <v>15</v>
      </c>
      <c r="D29">
        <f t="shared" ca="1" si="2"/>
        <v>1.0455018723783136E-2</v>
      </c>
      <c r="F29" s="1">
        <f t="shared" ca="1" si="3"/>
        <v>47</v>
      </c>
      <c r="G29" s="1">
        <f t="shared" ca="1" si="4"/>
        <v>21</v>
      </c>
      <c r="H29" s="1">
        <f t="shared" ca="1" si="5"/>
        <v>6</v>
      </c>
      <c r="I29" s="1"/>
      <c r="J29" s="1">
        <f t="shared" ca="1" si="6"/>
        <v>7</v>
      </c>
      <c r="K29" s="1">
        <f t="shared" ca="1" si="7"/>
        <v>2.7974192803598767</v>
      </c>
      <c r="L29" s="1">
        <f t="shared" ca="1" si="8"/>
        <v>28</v>
      </c>
      <c r="M29" s="1"/>
      <c r="N29" s="1">
        <f t="shared" ca="1" si="9"/>
        <v>490</v>
      </c>
      <c r="O29" s="1">
        <f t="shared" ca="1" si="10"/>
        <v>24</v>
      </c>
      <c r="P29" s="1"/>
      <c r="Q29" s="1">
        <f t="shared" ca="1" si="11"/>
        <v>3.6116747929633406</v>
      </c>
      <c r="R29" s="1">
        <f t="shared" ca="1" si="12"/>
        <v>1039</v>
      </c>
      <c r="S29" s="1"/>
      <c r="T29" s="1">
        <f t="shared" ca="1" si="13"/>
        <v>3.7085174912189593E-2</v>
      </c>
      <c r="U29" s="1">
        <f t="shared" ca="1" si="14"/>
        <v>56</v>
      </c>
      <c r="V29" s="1">
        <f t="shared" ca="1" si="15"/>
        <v>41</v>
      </c>
      <c r="W29" s="1"/>
      <c r="X29" s="1">
        <f t="shared" ca="1" si="16"/>
        <v>1.7022121541514912</v>
      </c>
      <c r="Y29" s="1">
        <f t="shared" ca="1" si="17"/>
        <v>0.52310395134442944</v>
      </c>
      <c r="Z29" s="1">
        <f t="shared" ca="1" si="18"/>
        <v>1322</v>
      </c>
      <c r="AB29" s="1">
        <f t="shared" ca="1" si="19"/>
        <v>0.102315502428532</v>
      </c>
      <c r="AC29" s="1">
        <f t="shared" ca="1" si="20"/>
        <v>188</v>
      </c>
      <c r="AD29" s="1">
        <f t="shared" ca="1" si="21"/>
        <v>9.31936257145719E-3</v>
      </c>
      <c r="AE29" s="1"/>
      <c r="AF29" s="1">
        <f t="shared" ca="1" si="22"/>
        <v>0.27329118254965867</v>
      </c>
      <c r="AG29" s="1">
        <f t="shared" ca="1" si="23"/>
        <v>416</v>
      </c>
      <c r="AH29" s="1">
        <f t="shared" ca="1" si="24"/>
        <v>3.9110487173085922E-3</v>
      </c>
      <c r="AJ29" s="1">
        <f t="shared" ca="1" si="25"/>
        <v>0.14327433385348542</v>
      </c>
      <c r="AK29" s="1">
        <f t="shared" ca="1" si="26"/>
        <v>3.4974463433858566E-3</v>
      </c>
      <c r="AL29" s="1"/>
      <c r="AM29" s="1">
        <f t="shared" ca="1" si="27"/>
        <v>2.3830338442725085E-2</v>
      </c>
      <c r="AN29" s="1">
        <f t="shared" ca="1" si="28"/>
        <v>76</v>
      </c>
      <c r="AO29" s="1">
        <f t="shared" ca="1" si="29"/>
        <v>20</v>
      </c>
      <c r="AQ29" s="1">
        <f t="shared" ca="1" si="30"/>
        <v>53</v>
      </c>
      <c r="AR29" s="1">
        <f t="shared" ca="1" si="31"/>
        <v>6</v>
      </c>
      <c r="AS29" s="1">
        <f t="shared" ca="1" si="32"/>
        <v>15</v>
      </c>
      <c r="AU29" s="1">
        <f t="shared" ca="1" si="33"/>
        <v>153</v>
      </c>
      <c r="AV29" s="1">
        <f t="shared" ca="1" si="34"/>
        <v>5</v>
      </c>
      <c r="AW29" s="1">
        <f t="shared" ca="1" si="35"/>
        <v>8.1976098433040309E-2</v>
      </c>
      <c r="AY29" s="1">
        <f t="shared" ca="1" si="36"/>
        <v>1.4331301113607957</v>
      </c>
      <c r="AZ29" s="1">
        <f t="shared" ca="1" si="37"/>
        <v>166</v>
      </c>
      <c r="BA29" s="1">
        <f t="shared" ca="1" si="38"/>
        <v>3.4971752692819296E-3</v>
      </c>
      <c r="BV29" s="1">
        <f t="shared" ca="1" si="39"/>
        <v>0.94949303743712032</v>
      </c>
      <c r="BW29" s="1">
        <f t="shared" ca="1" si="40"/>
        <v>761</v>
      </c>
      <c r="BX29" s="1">
        <f t="shared" ca="1" si="41"/>
        <v>8.4763427359942217E-3</v>
      </c>
      <c r="BY29" s="1">
        <f t="shared" ca="1" si="42"/>
        <v>6.3603378705903019E-2</v>
      </c>
      <c r="BZ29" s="1">
        <f t="shared" ca="1" si="43"/>
        <v>0.62793684290441887</v>
      </c>
      <c r="CB29" s="1">
        <f t="shared" ca="1" si="44"/>
        <v>200</v>
      </c>
      <c r="CC29" s="1">
        <f t="shared" ca="1" si="45"/>
        <v>10</v>
      </c>
      <c r="CD29" s="1">
        <f t="shared" ca="1" si="46"/>
        <v>0.12350159509607961</v>
      </c>
      <c r="CE29" s="1">
        <f t="shared" ca="1" si="47"/>
        <v>0.89983592603663221</v>
      </c>
      <c r="CF29" s="1">
        <f t="shared" ca="1" si="47"/>
        <v>0.86521657843239308</v>
      </c>
      <c r="CH29" s="3">
        <f t="shared" ca="1" si="48"/>
        <v>0.89423467577408711</v>
      </c>
      <c r="CI29" s="3">
        <f t="shared" ca="1" si="49"/>
        <v>0.32312266544461704</v>
      </c>
      <c r="CJ29" s="3">
        <f t="shared" ca="1" si="50"/>
        <v>893</v>
      </c>
      <c r="CK29" s="3">
        <f t="shared" ca="1" si="51"/>
        <v>8.1895281035296048E-3</v>
      </c>
      <c r="CL29" s="3">
        <f t="shared" ca="1" si="52"/>
        <v>0</v>
      </c>
      <c r="CM29" s="3"/>
      <c r="CN29" s="1">
        <f t="shared" ca="1" si="53"/>
        <v>13.207009043076773</v>
      </c>
      <c r="CO29" s="1">
        <f t="shared" ca="1" si="54"/>
        <v>0.44430694294994078</v>
      </c>
      <c r="CP29" s="1">
        <f t="shared" ca="1" si="55"/>
        <v>1</v>
      </c>
      <c r="DH29" s="1">
        <f t="shared" ca="1" si="56"/>
        <v>746</v>
      </c>
      <c r="DI29" s="1">
        <f t="shared" ca="1" si="57"/>
        <v>0.38721906984819154</v>
      </c>
      <c r="DJ29" s="1">
        <f t="shared" ca="1" si="58"/>
        <v>11</v>
      </c>
    </row>
    <row r="30" spans="2:114" x14ac:dyDescent="0.25">
      <c r="B30">
        <f t="shared" ca="1" si="0"/>
        <v>270</v>
      </c>
      <c r="C30">
        <f t="shared" ca="1" si="1"/>
        <v>36</v>
      </c>
      <c r="D30">
        <f t="shared" ca="1" si="2"/>
        <v>0.17505509021416554</v>
      </c>
      <c r="F30" s="1">
        <f t="shared" ca="1" si="3"/>
        <v>19</v>
      </c>
      <c r="G30" s="1">
        <f t="shared" ca="1" si="4"/>
        <v>17</v>
      </c>
      <c r="H30" s="1">
        <f t="shared" ca="1" si="5"/>
        <v>15</v>
      </c>
      <c r="I30" s="1"/>
      <c r="J30" s="1">
        <f t="shared" ca="1" si="6"/>
        <v>12</v>
      </c>
      <c r="K30" s="1">
        <f t="shared" ca="1" si="7"/>
        <v>1.5540246820609829</v>
      </c>
      <c r="L30" s="1">
        <f t="shared" ca="1" si="8"/>
        <v>6</v>
      </c>
      <c r="M30" s="1"/>
      <c r="N30" s="1">
        <f t="shared" ca="1" si="9"/>
        <v>634</v>
      </c>
      <c r="O30" s="1">
        <f t="shared" ca="1" si="10"/>
        <v>32</v>
      </c>
      <c r="P30" s="1"/>
      <c r="Q30" s="1">
        <f t="shared" ca="1" si="11"/>
        <v>4.3848718814834964</v>
      </c>
      <c r="R30" s="1">
        <f t="shared" ca="1" si="12"/>
        <v>474</v>
      </c>
      <c r="S30" s="1"/>
      <c r="T30" s="1">
        <f t="shared" ca="1" si="13"/>
        <v>6.2281549275902973E-2</v>
      </c>
      <c r="U30" s="1">
        <f t="shared" ca="1" si="14"/>
        <v>390</v>
      </c>
      <c r="V30" s="1">
        <f t="shared" ca="1" si="15"/>
        <v>14</v>
      </c>
      <c r="W30" s="1"/>
      <c r="X30" s="1">
        <f t="shared" ca="1" si="16"/>
        <v>0.56871206057247525</v>
      </c>
      <c r="Y30" s="1">
        <f t="shared" ca="1" si="17"/>
        <v>0.94065557115709997</v>
      </c>
      <c r="Z30" s="1">
        <f t="shared" ca="1" si="18"/>
        <v>1234</v>
      </c>
      <c r="AB30" s="1">
        <f t="shared" ca="1" si="19"/>
        <v>0.98537282689210126</v>
      </c>
      <c r="AC30" s="1">
        <f t="shared" ca="1" si="20"/>
        <v>404</v>
      </c>
      <c r="AD30" s="1">
        <f t="shared" ca="1" si="21"/>
        <v>4.0694451637029345E-3</v>
      </c>
      <c r="AE30" s="1"/>
      <c r="AF30" s="1">
        <f t="shared" ca="1" si="22"/>
        <v>0.44051876016745628</v>
      </c>
      <c r="AG30" s="1">
        <f t="shared" ca="1" si="23"/>
        <v>752</v>
      </c>
      <c r="AH30" s="1">
        <f t="shared" ca="1" si="24"/>
        <v>9.540119361021766E-3</v>
      </c>
      <c r="AJ30" s="1">
        <f t="shared" ca="1" si="25"/>
        <v>0.90428117523385043</v>
      </c>
      <c r="AK30" s="1">
        <f t="shared" ca="1" si="26"/>
        <v>2.3983419123519202E-3</v>
      </c>
      <c r="AL30" s="1"/>
      <c r="AM30" s="1">
        <f t="shared" ca="1" si="27"/>
        <v>0.16329387888675162</v>
      </c>
      <c r="AN30" s="1">
        <f t="shared" ca="1" si="28"/>
        <v>16</v>
      </c>
      <c r="AO30" s="1">
        <f t="shared" ca="1" si="29"/>
        <v>2</v>
      </c>
      <c r="AQ30" s="1">
        <f t="shared" ca="1" si="30"/>
        <v>59</v>
      </c>
      <c r="AR30" s="1">
        <f t="shared" ca="1" si="31"/>
        <v>9</v>
      </c>
      <c r="AS30" s="1">
        <f t="shared" ca="1" si="32"/>
        <v>41</v>
      </c>
      <c r="AU30" s="1">
        <f t="shared" ca="1" si="33"/>
        <v>228</v>
      </c>
      <c r="AV30" s="1">
        <f t="shared" ca="1" si="34"/>
        <v>8</v>
      </c>
      <c r="AW30" s="1">
        <f t="shared" ca="1" si="35"/>
        <v>0.16675090109077248</v>
      </c>
      <c r="AY30" s="1">
        <f t="shared" ca="1" si="36"/>
        <v>1.1959440227147873</v>
      </c>
      <c r="AZ30" s="1">
        <f t="shared" ca="1" si="37"/>
        <v>420</v>
      </c>
      <c r="BA30" s="1">
        <f t="shared" ca="1" si="38"/>
        <v>1.8029479351545439E-3</v>
      </c>
      <c r="BV30" s="1">
        <f t="shared" ca="1" si="39"/>
        <v>0.29379440184719513</v>
      </c>
      <c r="BW30" s="1">
        <f t="shared" ca="1" si="40"/>
        <v>144</v>
      </c>
      <c r="BX30" s="1">
        <f t="shared" ca="1" si="41"/>
        <v>4.9724587654848143E-3</v>
      </c>
      <c r="BY30" s="1">
        <f t="shared" ca="1" si="42"/>
        <v>2.80658132576432E-2</v>
      </c>
      <c r="BZ30" s="1">
        <f t="shared" ca="1" si="43"/>
        <v>0.17962904950075187</v>
      </c>
      <c r="CB30" s="1">
        <f t="shared" ca="1" si="44"/>
        <v>227</v>
      </c>
      <c r="CC30" s="1">
        <f t="shared" ca="1" si="45"/>
        <v>14</v>
      </c>
      <c r="CD30" s="1">
        <f t="shared" ca="1" si="46"/>
        <v>0.1656305573389586</v>
      </c>
      <c r="CE30" s="1">
        <f t="shared" ca="1" si="47"/>
        <v>0.67896848206852156</v>
      </c>
      <c r="CF30" s="1">
        <f t="shared" ca="1" si="47"/>
        <v>0.69907714170375224</v>
      </c>
      <c r="CH30" s="3">
        <f t="shared" ca="1" si="48"/>
        <v>0.1546949614762631</v>
      </c>
      <c r="CI30" s="3">
        <f t="shared" ca="1" si="49"/>
        <v>0.44143646264040842</v>
      </c>
      <c r="CJ30" s="3">
        <f t="shared" ca="1" si="50"/>
        <v>1989</v>
      </c>
      <c r="CK30" s="3">
        <f t="shared" ca="1" si="51"/>
        <v>1.2247627061602964E-3</v>
      </c>
      <c r="CL30" s="3">
        <f t="shared" ca="1" si="52"/>
        <v>1</v>
      </c>
      <c r="CM30" s="3"/>
      <c r="CN30" s="1">
        <f t="shared" ca="1" si="53"/>
        <v>1.702794928241629</v>
      </c>
      <c r="CO30" s="1">
        <f t="shared" ca="1" si="54"/>
        <v>0.16748714474443191</v>
      </c>
      <c r="CP30" s="1">
        <f t="shared" ca="1" si="55"/>
        <v>1</v>
      </c>
      <c r="DH30" s="1">
        <f t="shared" ca="1" si="56"/>
        <v>709</v>
      </c>
      <c r="DI30" s="1">
        <f t="shared" ca="1" si="57"/>
        <v>0.1021907692200535</v>
      </c>
      <c r="DJ30" s="1">
        <f t="shared" ca="1" si="58"/>
        <v>7</v>
      </c>
    </row>
    <row r="31" spans="2:114" x14ac:dyDescent="0.25">
      <c r="B31">
        <f t="shared" ca="1" si="0"/>
        <v>743</v>
      </c>
      <c r="C31">
        <f t="shared" ca="1" si="1"/>
        <v>27</v>
      </c>
      <c r="D31">
        <f t="shared" ca="1" si="2"/>
        <v>3.110776174520289E-2</v>
      </c>
      <c r="F31" s="1">
        <f t="shared" ca="1" si="3"/>
        <v>4</v>
      </c>
      <c r="G31" s="1">
        <f t="shared" ca="1" si="4"/>
        <v>18</v>
      </c>
      <c r="H31" s="1">
        <f t="shared" ca="1" si="5"/>
        <v>6</v>
      </c>
      <c r="I31" s="1"/>
      <c r="J31" s="1">
        <f t="shared" ca="1" si="6"/>
        <v>10</v>
      </c>
      <c r="K31" s="1">
        <f t="shared" ca="1" si="7"/>
        <v>1.0009598553419257</v>
      </c>
      <c r="L31" s="1">
        <f t="shared" ca="1" si="8"/>
        <v>3</v>
      </c>
      <c r="M31" s="1"/>
      <c r="N31" s="1">
        <f t="shared" ca="1" si="9"/>
        <v>929</v>
      </c>
      <c r="O31" s="1">
        <f t="shared" ca="1" si="10"/>
        <v>11</v>
      </c>
      <c r="P31" s="1"/>
      <c r="Q31" s="1">
        <f t="shared" ca="1" si="11"/>
        <v>4.8844172009356743</v>
      </c>
      <c r="R31" s="1">
        <f t="shared" ca="1" si="12"/>
        <v>1118</v>
      </c>
      <c r="S31" s="1"/>
      <c r="T31" s="1">
        <f t="shared" ca="1" si="13"/>
        <v>0.1609137920601609</v>
      </c>
      <c r="U31" s="1">
        <f t="shared" ca="1" si="14"/>
        <v>253</v>
      </c>
      <c r="V31" s="1">
        <f t="shared" ca="1" si="15"/>
        <v>19</v>
      </c>
      <c r="W31" s="1"/>
      <c r="X31" s="1">
        <f t="shared" ca="1" si="16"/>
        <v>2.7814977669745451</v>
      </c>
      <c r="Y31" s="1">
        <f t="shared" ca="1" si="17"/>
        <v>0.61092982623015646</v>
      </c>
      <c r="Z31" s="1">
        <f t="shared" ca="1" si="18"/>
        <v>1779</v>
      </c>
      <c r="AB31" s="1">
        <f t="shared" ca="1" si="19"/>
        <v>0.71222581616487945</v>
      </c>
      <c r="AC31" s="1">
        <f t="shared" ca="1" si="20"/>
        <v>781</v>
      </c>
      <c r="AD31" s="1">
        <f t="shared" ca="1" si="21"/>
        <v>6.2031267969250405E-3</v>
      </c>
      <c r="AE31" s="1"/>
      <c r="AF31" s="1">
        <f t="shared" ca="1" si="22"/>
        <v>0.40642316181676308</v>
      </c>
      <c r="AG31" s="1">
        <f t="shared" ca="1" si="23"/>
        <v>341</v>
      </c>
      <c r="AH31" s="1">
        <f t="shared" ca="1" si="24"/>
        <v>4.5816753959372061E-3</v>
      </c>
      <c r="AJ31" s="1">
        <f t="shared" ca="1" si="25"/>
        <v>0.52569574471096503</v>
      </c>
      <c r="AK31" s="1">
        <f t="shared" ca="1" si="26"/>
        <v>7.293277781751894E-3</v>
      </c>
      <c r="AL31" s="1"/>
      <c r="AM31" s="1">
        <f t="shared" ca="1" si="27"/>
        <v>9.1244251527062038E-3</v>
      </c>
      <c r="AN31" s="1">
        <f t="shared" ca="1" si="28"/>
        <v>30</v>
      </c>
      <c r="AO31" s="1">
        <f t="shared" ca="1" si="29"/>
        <v>15</v>
      </c>
      <c r="AQ31" s="1">
        <f t="shared" ca="1" si="30"/>
        <v>22</v>
      </c>
      <c r="AR31" s="1">
        <f t="shared" ca="1" si="31"/>
        <v>1</v>
      </c>
      <c r="AS31" s="1">
        <f t="shared" ca="1" si="32"/>
        <v>3</v>
      </c>
      <c r="AU31" s="1">
        <f t="shared" ca="1" si="33"/>
        <v>272</v>
      </c>
      <c r="AV31" s="1">
        <f t="shared" ca="1" si="34"/>
        <v>10</v>
      </c>
      <c r="AW31" s="1">
        <f t="shared" ca="1" si="35"/>
        <v>0.17599781238380777</v>
      </c>
      <c r="AY31" s="1">
        <f t="shared" ca="1" si="36"/>
        <v>1.5224516877071315</v>
      </c>
      <c r="AZ31" s="1">
        <f t="shared" ca="1" si="37"/>
        <v>323</v>
      </c>
      <c r="BA31" s="1">
        <f t="shared" ca="1" si="38"/>
        <v>9.0390173486629612E-3</v>
      </c>
      <c r="BV31" s="1">
        <f t="shared" ca="1" si="39"/>
        <v>0.69320317671134779</v>
      </c>
      <c r="BW31" s="1">
        <f t="shared" ca="1" si="40"/>
        <v>308</v>
      </c>
      <c r="BX31" s="1">
        <f t="shared" ca="1" si="41"/>
        <v>8.605342989396806E-3</v>
      </c>
      <c r="BY31" s="1">
        <f t="shared" ca="1" si="42"/>
        <v>8.5043117392655174E-2</v>
      </c>
      <c r="BZ31" s="1">
        <f t="shared" ca="1" si="43"/>
        <v>0.36436889064523781</v>
      </c>
      <c r="CB31" s="1">
        <f t="shared" ca="1" si="44"/>
        <v>310</v>
      </c>
      <c r="CC31" s="1">
        <f t="shared" ca="1" si="45"/>
        <v>6</v>
      </c>
      <c r="CD31" s="1">
        <f t="shared" ca="1" si="46"/>
        <v>2.2608131513784088E-2</v>
      </c>
      <c r="CE31" s="1">
        <f t="shared" ca="1" si="47"/>
        <v>0.84771798499641182</v>
      </c>
      <c r="CF31" s="1">
        <f t="shared" ca="1" si="47"/>
        <v>0.51197547213262229</v>
      </c>
      <c r="CH31" s="3">
        <f t="shared" ca="1" si="48"/>
        <v>0.88464725058324889</v>
      </c>
      <c r="CI31" s="3">
        <f t="shared" ca="1" si="49"/>
        <v>0.39759135891342162</v>
      </c>
      <c r="CJ31" s="3">
        <f t="shared" ca="1" si="50"/>
        <v>1538</v>
      </c>
      <c r="CK31" s="3">
        <f t="shared" ca="1" si="51"/>
        <v>5.3361304543470883E-3</v>
      </c>
      <c r="CL31" s="3">
        <f t="shared" ca="1" si="52"/>
        <v>0</v>
      </c>
      <c r="CM31" s="3"/>
      <c r="CN31" s="1">
        <f t="shared" ca="1" si="53"/>
        <v>9.0129462670776608</v>
      </c>
      <c r="CO31" s="1">
        <f t="shared" ca="1" si="54"/>
        <v>0.31855453902588549</v>
      </c>
      <c r="CP31" s="1">
        <f t="shared" ca="1" si="55"/>
        <v>4</v>
      </c>
      <c r="DH31" s="1">
        <f t="shared" ca="1" si="56"/>
        <v>597</v>
      </c>
      <c r="DI31" s="1">
        <f t="shared" ca="1" si="57"/>
        <v>0.85505754771174936</v>
      </c>
      <c r="DJ31" s="1">
        <f t="shared" ca="1" si="58"/>
        <v>10</v>
      </c>
    </row>
    <row r="32" spans="2:114" x14ac:dyDescent="0.25">
      <c r="B32">
        <f t="shared" ca="1" si="0"/>
        <v>481</v>
      </c>
      <c r="C32">
        <f t="shared" ca="1" si="1"/>
        <v>30</v>
      </c>
      <c r="D32">
        <f t="shared" ca="1" si="2"/>
        <v>7.1774393873942147E-2</v>
      </c>
      <c r="F32" s="1">
        <f t="shared" ca="1" si="3"/>
        <v>33</v>
      </c>
      <c r="G32" s="1">
        <f t="shared" ca="1" si="4"/>
        <v>21</v>
      </c>
      <c r="H32" s="1">
        <f t="shared" ca="1" si="5"/>
        <v>10</v>
      </c>
      <c r="I32" s="1"/>
      <c r="J32" s="1">
        <f t="shared" ca="1" si="6"/>
        <v>28</v>
      </c>
      <c r="K32" s="1">
        <f t="shared" ca="1" si="7"/>
        <v>1.522030596731889</v>
      </c>
      <c r="L32" s="1">
        <f t="shared" ca="1" si="8"/>
        <v>9</v>
      </c>
      <c r="M32" s="1"/>
      <c r="N32" s="1">
        <f t="shared" ca="1" si="9"/>
        <v>112</v>
      </c>
      <c r="O32" s="1">
        <f t="shared" ca="1" si="10"/>
        <v>30</v>
      </c>
      <c r="P32" s="1"/>
      <c r="Q32" s="1">
        <f t="shared" ca="1" si="11"/>
        <v>4.5430387235762577</v>
      </c>
      <c r="R32" s="1">
        <f t="shared" ca="1" si="12"/>
        <v>321</v>
      </c>
      <c r="S32" s="1"/>
      <c r="T32" s="1">
        <f t="shared" ca="1" si="13"/>
        <v>7.918260298176763E-2</v>
      </c>
      <c r="U32" s="1">
        <f t="shared" ca="1" si="14"/>
        <v>361</v>
      </c>
      <c r="V32" s="1">
        <f t="shared" ca="1" si="15"/>
        <v>31</v>
      </c>
      <c r="W32" s="1"/>
      <c r="X32" s="1">
        <f t="shared" ca="1" si="16"/>
        <v>3.4293268538235055E-2</v>
      </c>
      <c r="Y32" s="1">
        <f t="shared" ca="1" si="17"/>
        <v>0.41764001947228113</v>
      </c>
      <c r="Z32" s="1">
        <f t="shared" ca="1" si="18"/>
        <v>990</v>
      </c>
      <c r="AB32" s="1">
        <f t="shared" ca="1" si="19"/>
        <v>6.265297318050712E-3</v>
      </c>
      <c r="AC32" s="1">
        <f t="shared" ca="1" si="20"/>
        <v>422</v>
      </c>
      <c r="AD32" s="1">
        <f t="shared" ca="1" si="21"/>
        <v>9.5180871590775599E-3</v>
      </c>
      <c r="AE32" s="1"/>
      <c r="AF32" s="1">
        <f t="shared" ca="1" si="22"/>
        <v>0.56728679572279084</v>
      </c>
      <c r="AG32" s="1">
        <f t="shared" ca="1" si="23"/>
        <v>656</v>
      </c>
      <c r="AH32" s="1">
        <f t="shared" ca="1" si="24"/>
        <v>1.7269182218490307E-3</v>
      </c>
      <c r="AJ32" s="1">
        <f t="shared" ca="1" si="25"/>
        <v>0.13474378897514572</v>
      </c>
      <c r="AK32" s="1">
        <f t="shared" ca="1" si="26"/>
        <v>7.7825437703352629E-3</v>
      </c>
      <c r="AL32" s="1"/>
      <c r="AM32" s="1">
        <f t="shared" ca="1" si="27"/>
        <v>1.1525576339170809E-2</v>
      </c>
      <c r="AN32" s="1">
        <f t="shared" ca="1" si="28"/>
        <v>36</v>
      </c>
      <c r="AO32" s="1">
        <f t="shared" ca="1" si="29"/>
        <v>14</v>
      </c>
      <c r="AQ32" s="1">
        <f t="shared" ca="1" si="30"/>
        <v>54</v>
      </c>
      <c r="AR32" s="1">
        <f t="shared" ca="1" si="31"/>
        <v>1</v>
      </c>
      <c r="AS32" s="1">
        <f t="shared" ca="1" si="32"/>
        <v>48</v>
      </c>
      <c r="AU32" s="1">
        <f t="shared" ca="1" si="33"/>
        <v>387</v>
      </c>
      <c r="AV32" s="1">
        <f t="shared" ca="1" si="34"/>
        <v>6</v>
      </c>
      <c r="AW32" s="1">
        <f t="shared" ca="1" si="35"/>
        <v>0.15940119694408517</v>
      </c>
      <c r="AY32" s="1">
        <f t="shared" ca="1" si="36"/>
        <v>1.6989558192852963</v>
      </c>
      <c r="AZ32" s="1">
        <f t="shared" ca="1" si="37"/>
        <v>109</v>
      </c>
      <c r="BA32" s="1">
        <f t="shared" ca="1" si="38"/>
        <v>3.2413845405695903E-3</v>
      </c>
      <c r="BV32" s="1">
        <f t="shared" ca="1" si="39"/>
        <v>0.67099908924813001</v>
      </c>
      <c r="BW32" s="1">
        <f t="shared" ca="1" si="40"/>
        <v>242</v>
      </c>
      <c r="BX32" s="1">
        <f t="shared" ca="1" si="41"/>
        <v>2.1292085217746717E-3</v>
      </c>
      <c r="BY32" s="1">
        <f t="shared" ca="1" si="42"/>
        <v>5.6454966931611873E-2</v>
      </c>
      <c r="BZ32" s="1">
        <f t="shared" ca="1" si="43"/>
        <v>0.13972801848484151</v>
      </c>
      <c r="CB32" s="1">
        <f t="shared" ca="1" si="44"/>
        <v>345</v>
      </c>
      <c r="CC32" s="1">
        <f t="shared" ca="1" si="45"/>
        <v>9</v>
      </c>
      <c r="CD32" s="1">
        <f t="shared" ca="1" si="46"/>
        <v>0.20208920991029788</v>
      </c>
      <c r="CE32" s="1">
        <f t="shared" ca="1" si="47"/>
        <v>0.62191454851613337</v>
      </c>
      <c r="CF32" s="1">
        <f t="shared" ca="1" si="47"/>
        <v>0.83827730925874466</v>
      </c>
      <c r="CH32" s="3">
        <f t="shared" ca="1" si="48"/>
        <v>5.597773554938458E-2</v>
      </c>
      <c r="CI32" s="3">
        <f t="shared" ca="1" si="49"/>
        <v>0.20287890489903732</v>
      </c>
      <c r="CJ32" s="3">
        <f t="shared" ca="1" si="50"/>
        <v>1756</v>
      </c>
      <c r="CK32" s="3">
        <f t="shared" ca="1" si="51"/>
        <v>1.0883966617352039E-3</v>
      </c>
      <c r="CL32" s="3">
        <f t="shared" ca="1" si="52"/>
        <v>1</v>
      </c>
      <c r="CM32" s="3"/>
      <c r="CN32" s="1">
        <f t="shared" ca="1" si="53"/>
        <v>7.7455302354600155</v>
      </c>
      <c r="CO32" s="1">
        <f t="shared" ca="1" si="54"/>
        <v>1.3995554127116873E-2</v>
      </c>
      <c r="CP32" s="1">
        <f t="shared" ca="1" si="55"/>
        <v>2</v>
      </c>
      <c r="DH32" s="1">
        <f t="shared" ca="1" si="56"/>
        <v>506</v>
      </c>
      <c r="DI32" s="1">
        <f t="shared" ca="1" si="57"/>
        <v>3.9437381533739442E-2</v>
      </c>
      <c r="DJ32" s="1">
        <f t="shared" ca="1" si="58"/>
        <v>12</v>
      </c>
    </row>
    <row r="33" spans="2:114" x14ac:dyDescent="0.25">
      <c r="B33">
        <f t="shared" ca="1" si="0"/>
        <v>868</v>
      </c>
      <c r="C33">
        <f t="shared" ca="1" si="1"/>
        <v>5</v>
      </c>
      <c r="D33">
        <f t="shared" ca="1" si="2"/>
        <v>8.8063718364766438E-2</v>
      </c>
      <c r="F33" s="1">
        <f t="shared" ca="1" si="3"/>
        <v>18</v>
      </c>
      <c r="G33" s="1">
        <f t="shared" ca="1" si="4"/>
        <v>16</v>
      </c>
      <c r="H33" s="1">
        <f t="shared" ca="1" si="5"/>
        <v>7</v>
      </c>
      <c r="I33" s="1"/>
      <c r="J33" s="1">
        <f t="shared" ca="1" si="6"/>
        <v>7</v>
      </c>
      <c r="K33" s="1">
        <f t="shared" ca="1" si="7"/>
        <v>1.0545489427290584</v>
      </c>
      <c r="L33" s="1">
        <f t="shared" ca="1" si="8"/>
        <v>35</v>
      </c>
      <c r="M33" s="1"/>
      <c r="N33" s="1">
        <f t="shared" ca="1" si="9"/>
        <v>163</v>
      </c>
      <c r="O33" s="1">
        <f t="shared" ca="1" si="10"/>
        <v>12</v>
      </c>
      <c r="P33" s="1"/>
      <c r="Q33" s="1">
        <f t="shared" ca="1" si="11"/>
        <v>2.8102736994973632</v>
      </c>
      <c r="R33" s="1">
        <f t="shared" ca="1" si="12"/>
        <v>760</v>
      </c>
      <c r="S33" s="1"/>
      <c r="T33" s="1">
        <f t="shared" ca="1" si="13"/>
        <v>0.10452698516277666</v>
      </c>
      <c r="U33" s="1">
        <f t="shared" ca="1" si="14"/>
        <v>406</v>
      </c>
      <c r="V33" s="1">
        <f t="shared" ca="1" si="15"/>
        <v>20</v>
      </c>
      <c r="W33" s="1"/>
      <c r="X33" s="1">
        <f t="shared" ca="1" si="16"/>
        <v>0.83500018997820902</v>
      </c>
      <c r="Y33" s="1">
        <f t="shared" ca="1" si="17"/>
        <v>1.4046960491898666E-3</v>
      </c>
      <c r="Z33" s="1">
        <f t="shared" ca="1" si="18"/>
        <v>1637</v>
      </c>
      <c r="AB33" s="1">
        <f t="shared" ca="1" si="19"/>
        <v>0.82947309766517241</v>
      </c>
      <c r="AC33" s="1">
        <f t="shared" ca="1" si="20"/>
        <v>250</v>
      </c>
      <c r="AD33" s="1">
        <f t="shared" ca="1" si="21"/>
        <v>5.4480434392715233E-3</v>
      </c>
      <c r="AE33" s="1"/>
      <c r="AF33" s="1">
        <f t="shared" ca="1" si="22"/>
        <v>0.28966872090047585</v>
      </c>
      <c r="AG33" s="1">
        <f t="shared" ca="1" si="23"/>
        <v>391</v>
      </c>
      <c r="AH33" s="1">
        <f t="shared" ca="1" si="24"/>
        <v>6.1818556376197877E-3</v>
      </c>
      <c r="AJ33" s="1">
        <f t="shared" ca="1" si="25"/>
        <v>0.46953998905470307</v>
      </c>
      <c r="AK33" s="1">
        <f t="shared" ca="1" si="26"/>
        <v>8.2359277361228559E-3</v>
      </c>
      <c r="AL33" s="1"/>
      <c r="AM33" s="1">
        <f t="shared" ca="1" si="27"/>
        <v>3.7400103306495056E-2</v>
      </c>
      <c r="AN33" s="1">
        <f t="shared" ca="1" si="28"/>
        <v>47</v>
      </c>
      <c r="AO33" s="1">
        <f t="shared" ca="1" si="29"/>
        <v>12</v>
      </c>
      <c r="AQ33" s="1">
        <f t="shared" ca="1" si="30"/>
        <v>159</v>
      </c>
      <c r="AR33" s="1">
        <f t="shared" ca="1" si="31"/>
        <v>5</v>
      </c>
      <c r="AS33" s="1">
        <f t="shared" ca="1" si="32"/>
        <v>74</v>
      </c>
      <c r="AU33" s="1">
        <f t="shared" ca="1" si="33"/>
        <v>179</v>
      </c>
      <c r="AV33" s="1">
        <f t="shared" ca="1" si="34"/>
        <v>10</v>
      </c>
      <c r="AW33" s="1">
        <f t="shared" ca="1" si="35"/>
        <v>0.13663496103110948</v>
      </c>
      <c r="AY33" s="1">
        <f t="shared" ca="1" si="36"/>
        <v>1.6192093900259805</v>
      </c>
      <c r="AZ33" s="1">
        <f t="shared" ca="1" si="37"/>
        <v>382</v>
      </c>
      <c r="BA33" s="1">
        <f t="shared" ca="1" si="38"/>
        <v>8.5258020155021923E-3</v>
      </c>
      <c r="BV33" s="1">
        <f t="shared" ca="1" si="39"/>
        <v>0.32119242012696542</v>
      </c>
      <c r="BW33" s="1">
        <f t="shared" ca="1" si="40"/>
        <v>770</v>
      </c>
      <c r="BX33" s="1">
        <f t="shared" ca="1" si="41"/>
        <v>8.7159975453898482E-4</v>
      </c>
      <c r="BY33" s="1">
        <f t="shared" ca="1" si="42"/>
        <v>2.9695785565861825E-2</v>
      </c>
      <c r="BZ33" s="1">
        <f t="shared" ca="1" si="43"/>
        <v>0.75630608469467486</v>
      </c>
      <c r="CB33" s="1">
        <f t="shared" ca="1" si="44"/>
        <v>307</v>
      </c>
      <c r="CC33" s="1">
        <f t="shared" ca="1" si="45"/>
        <v>7</v>
      </c>
      <c r="CD33" s="1">
        <f t="shared" ca="1" si="46"/>
        <v>3.0551216283394786E-2</v>
      </c>
      <c r="CE33" s="1">
        <f t="shared" ca="1" si="47"/>
        <v>0.50066801780464409</v>
      </c>
      <c r="CF33" s="1">
        <f t="shared" ca="1" si="47"/>
        <v>0.63949973998200327</v>
      </c>
      <c r="CH33" s="3">
        <f t="shared" ca="1" si="48"/>
        <v>0.34407283763073848</v>
      </c>
      <c r="CI33" s="3">
        <f t="shared" ca="1" si="49"/>
        <v>0.31934728302830456</v>
      </c>
      <c r="CJ33" s="3">
        <f t="shared" ca="1" si="50"/>
        <v>1747</v>
      </c>
      <c r="CK33" s="3">
        <f t="shared" ca="1" si="51"/>
        <v>8.3476128070578484E-3</v>
      </c>
      <c r="CL33" s="3">
        <f t="shared" ca="1" si="52"/>
        <v>0</v>
      </c>
      <c r="CM33" s="3"/>
      <c r="CN33" s="1">
        <f t="shared" ca="1" si="53"/>
        <v>17.238087636615116</v>
      </c>
      <c r="CO33" s="1">
        <f t="shared" ca="1" si="54"/>
        <v>0.219278689753683</v>
      </c>
      <c r="CP33" s="1">
        <f t="shared" ca="1" si="55"/>
        <v>4</v>
      </c>
      <c r="DH33" s="1">
        <f t="shared" ca="1" si="56"/>
        <v>200</v>
      </c>
      <c r="DI33" s="1">
        <f t="shared" ca="1" si="57"/>
        <v>0.54422795834352722</v>
      </c>
      <c r="DJ33" s="1">
        <f t="shared" ca="1" si="58"/>
        <v>14</v>
      </c>
    </row>
    <row r="34" spans="2:114" x14ac:dyDescent="0.25">
      <c r="B34">
        <f t="shared" ca="1" si="0"/>
        <v>959</v>
      </c>
      <c r="C34">
        <f t="shared" ca="1" si="1"/>
        <v>13</v>
      </c>
      <c r="D34">
        <f t="shared" ca="1" si="2"/>
        <v>0.12911628869077346</v>
      </c>
      <c r="F34" s="1">
        <f t="shared" ca="1" si="3"/>
        <v>41</v>
      </c>
      <c r="G34" s="1">
        <f t="shared" ca="1" si="4"/>
        <v>10</v>
      </c>
      <c r="H34" s="1">
        <f t="shared" ca="1" si="5"/>
        <v>9</v>
      </c>
      <c r="I34" s="1"/>
      <c r="J34" s="1">
        <f t="shared" ca="1" si="6"/>
        <v>33</v>
      </c>
      <c r="K34" s="1">
        <f t="shared" ca="1" si="7"/>
        <v>1.5342560612272076</v>
      </c>
      <c r="L34" s="1">
        <f t="shared" ca="1" si="8"/>
        <v>17</v>
      </c>
      <c r="M34" s="1"/>
      <c r="N34" s="1">
        <f t="shared" ca="1" si="9"/>
        <v>993</v>
      </c>
      <c r="O34" s="1">
        <f t="shared" ca="1" si="10"/>
        <v>2</v>
      </c>
      <c r="P34" s="1"/>
      <c r="Q34" s="1">
        <f t="shared" ca="1" si="11"/>
        <v>3.6594069116927708</v>
      </c>
      <c r="R34" s="1">
        <f t="shared" ca="1" si="12"/>
        <v>687</v>
      </c>
      <c r="S34" s="1"/>
      <c r="T34" s="1">
        <f t="shared" ca="1" si="13"/>
        <v>0.14274113887204473</v>
      </c>
      <c r="U34" s="1">
        <f t="shared" ca="1" si="14"/>
        <v>373</v>
      </c>
      <c r="V34" s="1">
        <f t="shared" ca="1" si="15"/>
        <v>22</v>
      </c>
      <c r="W34" s="1"/>
      <c r="X34" s="1">
        <f t="shared" ca="1" si="16"/>
        <v>6.840051542861354</v>
      </c>
      <c r="Y34" s="1">
        <f t="shared" ca="1" si="17"/>
        <v>0.33056099570921521</v>
      </c>
      <c r="Z34" s="1">
        <f t="shared" ca="1" si="18"/>
        <v>1434</v>
      </c>
      <c r="AB34" s="1">
        <f t="shared" ca="1" si="19"/>
        <v>0.71425129962339895</v>
      </c>
      <c r="AC34" s="1">
        <f t="shared" ca="1" si="20"/>
        <v>453</v>
      </c>
      <c r="AD34" s="1">
        <f t="shared" ca="1" si="21"/>
        <v>1.765549803232428E-3</v>
      </c>
      <c r="AE34" s="1"/>
      <c r="AF34" s="1">
        <f t="shared" ca="1" si="22"/>
        <v>0.24012773740044713</v>
      </c>
      <c r="AG34" s="1">
        <f t="shared" ca="1" si="23"/>
        <v>312</v>
      </c>
      <c r="AH34" s="1">
        <f t="shared" ca="1" si="24"/>
        <v>2.0758074315406737E-3</v>
      </c>
      <c r="AJ34" s="1">
        <f t="shared" ca="1" si="25"/>
        <v>0.29063208176917643</v>
      </c>
      <c r="AK34" s="1">
        <f t="shared" ca="1" si="26"/>
        <v>7.8860516452388188E-3</v>
      </c>
      <c r="AL34" s="1"/>
      <c r="AM34" s="1">
        <f t="shared" ca="1" si="27"/>
        <v>1.4383287943113138E-2</v>
      </c>
      <c r="AN34" s="1">
        <f t="shared" ca="1" si="28"/>
        <v>44</v>
      </c>
      <c r="AO34" s="1">
        <f t="shared" ca="1" si="29"/>
        <v>18</v>
      </c>
      <c r="AQ34" s="1">
        <f t="shared" ca="1" si="30"/>
        <v>99</v>
      </c>
      <c r="AR34" s="1">
        <f t="shared" ca="1" si="31"/>
        <v>4</v>
      </c>
      <c r="AS34" s="1">
        <f t="shared" ca="1" si="32"/>
        <v>20</v>
      </c>
      <c r="AU34" s="1">
        <f t="shared" ca="1" si="33"/>
        <v>387</v>
      </c>
      <c r="AV34" s="1">
        <f t="shared" ca="1" si="34"/>
        <v>8</v>
      </c>
      <c r="AW34" s="1">
        <f t="shared" ca="1" si="35"/>
        <v>3.7357470924782275E-2</v>
      </c>
      <c r="AY34" s="1">
        <f t="shared" ca="1" si="36"/>
        <v>1.4624156371047801</v>
      </c>
      <c r="AZ34" s="1">
        <f t="shared" ca="1" si="37"/>
        <v>463</v>
      </c>
      <c r="BA34" s="1">
        <f t="shared" ca="1" si="38"/>
        <v>9.555266766265615E-3</v>
      </c>
      <c r="BV34" s="1">
        <f t="shared" ca="1" si="39"/>
        <v>9.7159310472778898E-2</v>
      </c>
      <c r="BW34" s="1">
        <f t="shared" ca="1" si="40"/>
        <v>423</v>
      </c>
      <c r="BX34" s="1">
        <f t="shared" ca="1" si="41"/>
        <v>8.8450754076707938E-3</v>
      </c>
      <c r="BY34" s="1">
        <f t="shared" ca="1" si="42"/>
        <v>3.6140414836443278E-2</v>
      </c>
      <c r="BZ34" s="1">
        <f t="shared" ca="1" si="43"/>
        <v>3.4722325810062071E-2</v>
      </c>
      <c r="CB34" s="1">
        <f t="shared" ca="1" si="44"/>
        <v>254</v>
      </c>
      <c r="CC34" s="1">
        <f t="shared" ca="1" si="45"/>
        <v>13</v>
      </c>
      <c r="CD34" s="1">
        <f t="shared" ca="1" si="46"/>
        <v>0.17595311372590614</v>
      </c>
      <c r="CE34" s="1">
        <f t="shared" ca="1" si="47"/>
        <v>0.54247281526138069</v>
      </c>
      <c r="CF34" s="1">
        <f t="shared" ca="1" si="47"/>
        <v>0.90290583728409446</v>
      </c>
      <c r="CH34" s="3">
        <f t="shared" ca="1" si="48"/>
        <v>0.45918574584311705</v>
      </c>
      <c r="CI34" s="3">
        <f t="shared" ca="1" si="49"/>
        <v>8.0387346898371126E-2</v>
      </c>
      <c r="CJ34" s="3">
        <f t="shared" ca="1" si="50"/>
        <v>314</v>
      </c>
      <c r="CK34" s="3">
        <f t="shared" ca="1" si="51"/>
        <v>8.1718573716370087E-3</v>
      </c>
      <c r="CL34" s="3">
        <f t="shared" ca="1" si="52"/>
        <v>1</v>
      </c>
      <c r="CM34" s="3"/>
      <c r="CN34" s="1">
        <f t="shared" ca="1" si="53"/>
        <v>8.0807780601888162</v>
      </c>
      <c r="CO34" s="1">
        <f t="shared" ca="1" si="54"/>
        <v>0.10622222370037146</v>
      </c>
      <c r="CP34" s="1">
        <f t="shared" ca="1" si="55"/>
        <v>1</v>
      </c>
      <c r="DH34" s="1">
        <f t="shared" ca="1" si="56"/>
        <v>512</v>
      </c>
      <c r="DI34" s="1">
        <f t="shared" ca="1" si="57"/>
        <v>2.4499405755344893E-3</v>
      </c>
      <c r="DJ34" s="1">
        <f t="shared" ca="1" si="58"/>
        <v>27</v>
      </c>
    </row>
    <row r="35" spans="2:114" x14ac:dyDescent="0.25">
      <c r="B35">
        <f t="shared" ca="1" si="0"/>
        <v>608</v>
      </c>
      <c r="C35">
        <f t="shared" ca="1" si="1"/>
        <v>31</v>
      </c>
      <c r="D35">
        <f t="shared" ca="1" si="2"/>
        <v>0.23435450643823916</v>
      </c>
      <c r="F35" s="1">
        <f t="shared" ca="1" si="3"/>
        <v>52</v>
      </c>
      <c r="G35" s="1">
        <f t="shared" ca="1" si="4"/>
        <v>23</v>
      </c>
      <c r="H35" s="1">
        <f t="shared" ca="1" si="5"/>
        <v>14</v>
      </c>
      <c r="I35" s="1"/>
      <c r="J35" s="1">
        <f t="shared" ca="1" si="6"/>
        <v>19</v>
      </c>
      <c r="K35" s="1">
        <f t="shared" ca="1" si="7"/>
        <v>2.6865592266426641</v>
      </c>
      <c r="L35" s="1">
        <f t="shared" ca="1" si="8"/>
        <v>14</v>
      </c>
      <c r="M35" s="1"/>
      <c r="N35" s="1">
        <f t="shared" ca="1" si="9"/>
        <v>387</v>
      </c>
      <c r="O35" s="1">
        <f t="shared" ca="1" si="10"/>
        <v>10</v>
      </c>
      <c r="P35" s="1"/>
      <c r="Q35" s="1">
        <f t="shared" ca="1" si="11"/>
        <v>1.2906384838785796</v>
      </c>
      <c r="R35" s="1">
        <f t="shared" ca="1" si="12"/>
        <v>743</v>
      </c>
      <c r="S35" s="1"/>
      <c r="T35" s="1">
        <f t="shared" ca="1" si="13"/>
        <v>2.4412594508914892E-2</v>
      </c>
      <c r="U35" s="1">
        <f t="shared" ca="1" si="14"/>
        <v>168</v>
      </c>
      <c r="V35" s="1">
        <f t="shared" ca="1" si="15"/>
        <v>9</v>
      </c>
      <c r="W35" s="1"/>
      <c r="X35" s="1">
        <f t="shared" ca="1" si="16"/>
        <v>1.4261388405485953</v>
      </c>
      <c r="Y35" s="1">
        <f t="shared" ca="1" si="17"/>
        <v>0.28040882858021132</v>
      </c>
      <c r="Z35" s="1">
        <f t="shared" ca="1" si="18"/>
        <v>263</v>
      </c>
      <c r="AB35" s="1">
        <f t="shared" ca="1" si="19"/>
        <v>0.37134850451979773</v>
      </c>
      <c r="AC35" s="1">
        <f t="shared" ca="1" si="20"/>
        <v>538</v>
      </c>
      <c r="AD35" s="1">
        <f t="shared" ca="1" si="21"/>
        <v>7.9769898275705558E-3</v>
      </c>
      <c r="AE35" s="1"/>
      <c r="AF35" s="1">
        <f t="shared" ca="1" si="22"/>
        <v>0.71451101739791456</v>
      </c>
      <c r="AG35" s="1">
        <f t="shared" ca="1" si="23"/>
        <v>270</v>
      </c>
      <c r="AH35" s="1">
        <f t="shared" ca="1" si="24"/>
        <v>4.5591216018540945E-3</v>
      </c>
      <c r="AJ35" s="1">
        <f t="shared" ca="1" si="25"/>
        <v>0.83066784962400309</v>
      </c>
      <c r="AK35" s="1">
        <f t="shared" ca="1" si="26"/>
        <v>2.432171968584391E-3</v>
      </c>
      <c r="AL35" s="1"/>
      <c r="AM35" s="1">
        <f t="shared" ca="1" si="27"/>
        <v>1.393241890168765E-2</v>
      </c>
      <c r="AN35" s="1">
        <f t="shared" ca="1" si="28"/>
        <v>31</v>
      </c>
      <c r="AO35" s="1">
        <f t="shared" ca="1" si="29"/>
        <v>6</v>
      </c>
      <c r="AQ35" s="1">
        <f t="shared" ca="1" si="30"/>
        <v>179</v>
      </c>
      <c r="AR35" s="1">
        <f t="shared" ca="1" si="31"/>
        <v>5</v>
      </c>
      <c r="AS35" s="1">
        <f t="shared" ca="1" si="32"/>
        <v>5</v>
      </c>
      <c r="AU35" s="1">
        <f t="shared" ca="1" si="33"/>
        <v>134</v>
      </c>
      <c r="AV35" s="1">
        <f t="shared" ca="1" si="34"/>
        <v>9</v>
      </c>
      <c r="AW35" s="1">
        <f t="shared" ca="1" si="35"/>
        <v>9.0534561415230225E-2</v>
      </c>
      <c r="AY35" s="1">
        <f t="shared" ca="1" si="36"/>
        <v>1.1076597077499828</v>
      </c>
      <c r="AZ35" s="1">
        <f t="shared" ca="1" si="37"/>
        <v>202</v>
      </c>
      <c r="BA35" s="1">
        <f t="shared" ca="1" si="38"/>
        <v>6.6537295640011298E-4</v>
      </c>
      <c r="BV35" s="1">
        <f t="shared" ca="1" si="39"/>
        <v>0.93404748134862936</v>
      </c>
      <c r="BW35" s="1">
        <f t="shared" ca="1" si="40"/>
        <v>108</v>
      </c>
      <c r="BX35" s="1">
        <f t="shared" ca="1" si="41"/>
        <v>1.1007425993303976E-3</v>
      </c>
      <c r="BY35" s="1">
        <f t="shared" ca="1" si="42"/>
        <v>5.5084328159480715E-2</v>
      </c>
      <c r="BZ35" s="1">
        <f t="shared" ca="1" si="43"/>
        <v>0.36052808796491886</v>
      </c>
      <c r="CB35" s="1">
        <f t="shared" ca="1" si="44"/>
        <v>146</v>
      </c>
      <c r="CC35" s="1">
        <f t="shared" ca="1" si="45"/>
        <v>7</v>
      </c>
      <c r="CD35" s="1">
        <f t="shared" ca="1" si="46"/>
        <v>8.3993138187662852E-2</v>
      </c>
      <c r="CE35" s="1">
        <f t="shared" ca="1" si="47"/>
        <v>0.76004250289355624</v>
      </c>
      <c r="CF35" s="1">
        <f t="shared" ca="1" si="47"/>
        <v>0.57668436828714209</v>
      </c>
      <c r="CH35" s="3">
        <f t="shared" ca="1" si="48"/>
        <v>0.17811933750373463</v>
      </c>
      <c r="CI35" s="3">
        <f t="shared" ca="1" si="49"/>
        <v>1.6443093982278782E-2</v>
      </c>
      <c r="CJ35" s="3">
        <f t="shared" ca="1" si="50"/>
        <v>278</v>
      </c>
      <c r="CK35" s="3">
        <f t="shared" ca="1" si="51"/>
        <v>3.3335170364159243E-3</v>
      </c>
      <c r="CL35" s="3">
        <f t="shared" ca="1" si="52"/>
        <v>1</v>
      </c>
      <c r="CM35" s="3"/>
      <c r="CN35" s="1">
        <f t="shared" ca="1" si="53"/>
        <v>3.8979515156411004</v>
      </c>
      <c r="CO35" s="1">
        <f t="shared" ca="1" si="54"/>
        <v>6.113651021728024E-2</v>
      </c>
      <c r="CP35" s="1">
        <f t="shared" ca="1" si="55"/>
        <v>5</v>
      </c>
      <c r="DH35" s="1">
        <f t="shared" ca="1" si="56"/>
        <v>619</v>
      </c>
      <c r="DI35" s="1">
        <f t="shared" ca="1" si="57"/>
        <v>7.3603545409402241E-2</v>
      </c>
      <c r="DJ35" s="1">
        <f t="shared" ca="1" si="58"/>
        <v>8</v>
      </c>
    </row>
    <row r="36" spans="2:114" x14ac:dyDescent="0.25">
      <c r="B36">
        <f t="shared" ca="1" si="0"/>
        <v>975</v>
      </c>
      <c r="C36">
        <f t="shared" ca="1" si="1"/>
        <v>19</v>
      </c>
      <c r="D36">
        <f t="shared" ca="1" si="2"/>
        <v>9.28125701195536E-2</v>
      </c>
      <c r="F36" s="1">
        <f t="shared" ca="1" si="3"/>
        <v>40</v>
      </c>
      <c r="G36" s="1">
        <f t="shared" ca="1" si="4"/>
        <v>22</v>
      </c>
      <c r="H36" s="1">
        <f t="shared" ca="1" si="5"/>
        <v>7</v>
      </c>
      <c r="I36" s="1"/>
      <c r="J36" s="1">
        <f t="shared" ca="1" si="6"/>
        <v>38</v>
      </c>
      <c r="K36" s="1">
        <f t="shared" ca="1" si="7"/>
        <v>1.9118848265382451</v>
      </c>
      <c r="L36" s="1">
        <f t="shared" ca="1" si="8"/>
        <v>19</v>
      </c>
      <c r="M36" s="1"/>
      <c r="N36" s="1">
        <f t="shared" ca="1" si="9"/>
        <v>298</v>
      </c>
      <c r="O36" s="1">
        <f t="shared" ca="1" si="10"/>
        <v>3</v>
      </c>
      <c r="P36" s="1"/>
      <c r="Q36" s="1">
        <f t="shared" ca="1" si="11"/>
        <v>0.50398650288685798</v>
      </c>
      <c r="R36" s="1">
        <f t="shared" ca="1" si="12"/>
        <v>571</v>
      </c>
      <c r="S36" s="1"/>
      <c r="T36" s="1">
        <f t="shared" ca="1" si="13"/>
        <v>0.16447700888482428</v>
      </c>
      <c r="U36" s="1">
        <f t="shared" ca="1" si="14"/>
        <v>303</v>
      </c>
      <c r="V36" s="1">
        <f t="shared" ca="1" si="15"/>
        <v>14</v>
      </c>
      <c r="W36" s="1"/>
      <c r="X36" s="1">
        <f t="shared" ca="1" si="16"/>
        <v>0.16220798466493097</v>
      </c>
      <c r="Y36" s="1">
        <f t="shared" ca="1" si="17"/>
        <v>0.59042192917393399</v>
      </c>
      <c r="Z36" s="1">
        <f t="shared" ca="1" si="18"/>
        <v>1006</v>
      </c>
      <c r="AB36" s="1">
        <f t="shared" ca="1" si="19"/>
        <v>0.58993508524226435</v>
      </c>
      <c r="AC36" s="1">
        <f t="shared" ca="1" si="20"/>
        <v>559</v>
      </c>
      <c r="AD36" s="1">
        <f t="shared" ca="1" si="21"/>
        <v>8.7091069849866646E-3</v>
      </c>
      <c r="AE36" s="1"/>
      <c r="AF36" s="1">
        <f t="shared" ca="1" si="22"/>
        <v>0.63467996973509533</v>
      </c>
      <c r="AG36" s="1">
        <f t="shared" ca="1" si="23"/>
        <v>896</v>
      </c>
      <c r="AH36" s="1">
        <f t="shared" ca="1" si="24"/>
        <v>4.2811877241048608E-3</v>
      </c>
      <c r="AJ36" s="1">
        <f t="shared" ca="1" si="25"/>
        <v>0.21572811431903427</v>
      </c>
      <c r="AK36" s="1">
        <f t="shared" ca="1" si="26"/>
        <v>3.8551904612935304E-3</v>
      </c>
      <c r="AL36" s="1"/>
      <c r="AM36" s="1">
        <f t="shared" ca="1" si="27"/>
        <v>8.065684313242949E-2</v>
      </c>
      <c r="AN36" s="1">
        <f t="shared" ca="1" si="28"/>
        <v>79</v>
      </c>
      <c r="AO36" s="1">
        <f t="shared" ca="1" si="29"/>
        <v>-1</v>
      </c>
      <c r="AQ36" s="1">
        <f t="shared" ca="1" si="30"/>
        <v>188</v>
      </c>
      <c r="AR36" s="1">
        <f t="shared" ca="1" si="31"/>
        <v>9</v>
      </c>
      <c r="AS36" s="1">
        <f t="shared" ca="1" si="32"/>
        <v>80</v>
      </c>
      <c r="AU36" s="1">
        <f t="shared" ca="1" si="33"/>
        <v>210</v>
      </c>
      <c r="AV36" s="1">
        <f t="shared" ca="1" si="34"/>
        <v>5</v>
      </c>
      <c r="AW36" s="1">
        <f t="shared" ca="1" si="35"/>
        <v>0.17663290019373745</v>
      </c>
      <c r="AY36" s="1">
        <f t="shared" ca="1" si="36"/>
        <v>1.9484220539537023</v>
      </c>
      <c r="AZ36" s="1">
        <f t="shared" ca="1" si="37"/>
        <v>50</v>
      </c>
      <c r="BA36" s="1">
        <f t="shared" ca="1" si="38"/>
        <v>8.3787637172468288E-3</v>
      </c>
      <c r="BV36" s="1">
        <f t="shared" ca="1" si="39"/>
        <v>0.43044957226793945</v>
      </c>
      <c r="BW36" s="1">
        <f t="shared" ca="1" si="40"/>
        <v>546</v>
      </c>
      <c r="BX36" s="1">
        <f t="shared" ca="1" si="41"/>
        <v>1.1193422544280771E-3</v>
      </c>
      <c r="BY36" s="1">
        <f t="shared" ca="1" si="42"/>
        <v>1.0434174600138997E-2</v>
      </c>
      <c r="BZ36" s="1">
        <f t="shared" ca="1" si="43"/>
        <v>0.14156690784106174</v>
      </c>
      <c r="CB36" s="1">
        <f t="shared" ca="1" si="44"/>
        <v>51</v>
      </c>
      <c r="CC36" s="1">
        <f t="shared" ca="1" si="45"/>
        <v>13</v>
      </c>
      <c r="CD36" s="1">
        <f t="shared" ca="1" si="46"/>
        <v>0.17925232269923086</v>
      </c>
      <c r="CE36" s="1">
        <f t="shared" ref="CE36:CF67" ca="1" si="59">RAND()*(1-0.5)+0.5</f>
        <v>0.6449831207616501</v>
      </c>
      <c r="CF36" s="1">
        <f t="shared" ca="1" si="59"/>
        <v>0.95568710171365656</v>
      </c>
      <c r="CH36" s="3">
        <f t="shared" ca="1" si="48"/>
        <v>0.90029836440802824</v>
      </c>
      <c r="CI36" s="3">
        <f t="shared" ca="1" si="49"/>
        <v>0.24386048651195935</v>
      </c>
      <c r="CJ36" s="3">
        <f t="shared" ca="1" si="50"/>
        <v>1400</v>
      </c>
      <c r="CK36" s="3">
        <f t="shared" ca="1" si="51"/>
        <v>4.1924091770295137E-3</v>
      </c>
      <c r="CL36" s="3">
        <f t="shared" ca="1" si="52"/>
        <v>0</v>
      </c>
      <c r="CM36" s="3"/>
      <c r="CN36" s="1">
        <f t="shared" ca="1" si="53"/>
        <v>15.168258177334254</v>
      </c>
      <c r="CO36" s="1">
        <f t="shared" ca="1" si="54"/>
        <v>0.11438959415418287</v>
      </c>
      <c r="CP36" s="1">
        <f t="shared" ca="1" si="55"/>
        <v>5</v>
      </c>
      <c r="DH36" s="1">
        <f t="shared" ca="1" si="56"/>
        <v>727</v>
      </c>
      <c r="DI36" s="1">
        <f t="shared" ca="1" si="57"/>
        <v>0.70422442507363503</v>
      </c>
      <c r="DJ36" s="1">
        <f t="shared" ca="1" si="58"/>
        <v>7</v>
      </c>
    </row>
    <row r="37" spans="2:114" x14ac:dyDescent="0.25">
      <c r="B37">
        <f t="shared" ca="1" si="0"/>
        <v>19</v>
      </c>
      <c r="C37">
        <f t="shared" ca="1" si="1"/>
        <v>6</v>
      </c>
      <c r="D37">
        <f t="shared" ca="1" si="2"/>
        <v>0.23833866078551919</v>
      </c>
      <c r="F37" s="1">
        <f t="shared" ca="1" si="3"/>
        <v>48</v>
      </c>
      <c r="G37" s="1">
        <f t="shared" ca="1" si="4"/>
        <v>9</v>
      </c>
      <c r="H37" s="1">
        <f t="shared" ca="1" si="5"/>
        <v>12</v>
      </c>
      <c r="I37" s="1"/>
      <c r="J37" s="1">
        <f t="shared" ca="1" si="6"/>
        <v>36</v>
      </c>
      <c r="K37" s="1">
        <f t="shared" ca="1" si="7"/>
        <v>1.887865296100347</v>
      </c>
      <c r="L37" s="1">
        <f t="shared" ca="1" si="8"/>
        <v>14</v>
      </c>
      <c r="M37" s="1"/>
      <c r="N37" s="1">
        <f t="shared" ca="1" si="9"/>
        <v>536</v>
      </c>
      <c r="O37" s="1">
        <f t="shared" ca="1" si="10"/>
        <v>3</v>
      </c>
      <c r="P37" s="1"/>
      <c r="Q37" s="1">
        <f t="shared" ca="1" si="11"/>
        <v>0.75971043907943514</v>
      </c>
      <c r="R37" s="1">
        <f t="shared" ca="1" si="12"/>
        <v>709</v>
      </c>
      <c r="S37" s="1"/>
      <c r="T37" s="1">
        <f t="shared" ca="1" si="13"/>
        <v>0.13473745293602599</v>
      </c>
      <c r="U37" s="1">
        <f t="shared" ca="1" si="14"/>
        <v>147</v>
      </c>
      <c r="V37" s="1">
        <f t="shared" ca="1" si="15"/>
        <v>9</v>
      </c>
      <c r="W37" s="1"/>
      <c r="X37" s="1">
        <f t="shared" ca="1" si="16"/>
        <v>5.7024999560365046</v>
      </c>
      <c r="Y37" s="1">
        <f t="shared" ca="1" si="17"/>
        <v>0.54297879401084725</v>
      </c>
      <c r="Z37" s="1">
        <f t="shared" ca="1" si="18"/>
        <v>1515</v>
      </c>
      <c r="AB37" s="1">
        <f t="shared" ca="1" si="19"/>
        <v>0.48679014901383261</v>
      </c>
      <c r="AC37" s="1">
        <f t="shared" ca="1" si="20"/>
        <v>378</v>
      </c>
      <c r="AD37" s="1">
        <f t="shared" ca="1" si="21"/>
        <v>3.6965964551212939E-3</v>
      </c>
      <c r="AE37" s="1"/>
      <c r="AF37" s="1">
        <f t="shared" ca="1" si="22"/>
        <v>0.33550646498819103</v>
      </c>
      <c r="AG37" s="1">
        <f t="shared" ca="1" si="23"/>
        <v>558</v>
      </c>
      <c r="AH37" s="1">
        <f t="shared" ca="1" si="24"/>
        <v>5.903861190455939E-3</v>
      </c>
      <c r="AJ37" s="1">
        <f t="shared" ca="1" si="25"/>
        <v>0.25794811857890909</v>
      </c>
      <c r="AK37" s="1">
        <f t="shared" ca="1" si="26"/>
        <v>8.2159175393523489E-3</v>
      </c>
      <c r="AL37" s="1"/>
      <c r="AM37" s="1">
        <f t="shared" ca="1" si="27"/>
        <v>0.12588131697826777</v>
      </c>
      <c r="AN37" s="1">
        <f t="shared" ca="1" si="28"/>
        <v>72</v>
      </c>
      <c r="AO37" s="1">
        <f t="shared" ca="1" si="29"/>
        <v>10</v>
      </c>
      <c r="AQ37" s="1">
        <f t="shared" ca="1" si="30"/>
        <v>112</v>
      </c>
      <c r="AR37" s="1">
        <f t="shared" ca="1" si="31"/>
        <v>9</v>
      </c>
      <c r="AS37" s="1">
        <f t="shared" ca="1" si="32"/>
        <v>35</v>
      </c>
      <c r="AU37" s="1">
        <f t="shared" ca="1" si="33"/>
        <v>357</v>
      </c>
      <c r="AV37" s="1">
        <f t="shared" ca="1" si="34"/>
        <v>9</v>
      </c>
      <c r="AW37" s="1">
        <f t="shared" ca="1" si="35"/>
        <v>2.7084954580557853E-2</v>
      </c>
      <c r="AY37" s="1">
        <f t="shared" ca="1" si="36"/>
        <v>1.9091489059885745</v>
      </c>
      <c r="AZ37" s="1">
        <f t="shared" ca="1" si="37"/>
        <v>399</v>
      </c>
      <c r="BA37" s="1">
        <f t="shared" ca="1" si="38"/>
        <v>6.7354945760713407E-3</v>
      </c>
      <c r="BV37" s="1">
        <f t="shared" ca="1" si="39"/>
        <v>0.33155625920272774</v>
      </c>
      <c r="BW37" s="1">
        <f t="shared" ca="1" si="40"/>
        <v>880</v>
      </c>
      <c r="BX37" s="1">
        <f t="shared" ca="1" si="41"/>
        <v>6.5068955368650806E-3</v>
      </c>
      <c r="BY37" s="1">
        <f t="shared" ca="1" si="42"/>
        <v>3.1522800325755884E-2</v>
      </c>
      <c r="BZ37" s="1">
        <f t="shared" ca="1" si="43"/>
        <v>0.96180168076324812</v>
      </c>
      <c r="CB37" s="1">
        <f t="shared" ca="1" si="44"/>
        <v>415</v>
      </c>
      <c r="CC37" s="1">
        <f t="shared" ca="1" si="45"/>
        <v>4</v>
      </c>
      <c r="CD37" s="1">
        <f t="shared" ca="1" si="46"/>
        <v>2.7376022800320754E-2</v>
      </c>
      <c r="CE37" s="1">
        <f t="shared" ca="1" si="59"/>
        <v>0.79144069695256714</v>
      </c>
      <c r="CF37" s="1">
        <f t="shared" ca="1" si="59"/>
        <v>0.73688018124419474</v>
      </c>
      <c r="CH37" s="3">
        <f t="shared" ca="1" si="48"/>
        <v>0.87855998634739552</v>
      </c>
      <c r="CI37" s="3">
        <f t="shared" ca="1" si="49"/>
        <v>0.20430750654408308</v>
      </c>
      <c r="CJ37" s="3">
        <f t="shared" ca="1" si="50"/>
        <v>1787</v>
      </c>
      <c r="CK37" s="3">
        <f t="shared" ca="1" si="51"/>
        <v>5.8551664614271649E-3</v>
      </c>
      <c r="CL37" s="3">
        <f t="shared" ca="1" si="52"/>
        <v>0</v>
      </c>
      <c r="CM37" s="3"/>
      <c r="CN37" s="1">
        <f t="shared" ca="1" si="53"/>
        <v>8.4645886922339155</v>
      </c>
      <c r="CO37" s="1">
        <f t="shared" ca="1" si="54"/>
        <v>0.21532512984261623</v>
      </c>
      <c r="CP37" s="1">
        <f t="shared" ca="1" si="55"/>
        <v>2</v>
      </c>
      <c r="DH37" s="1">
        <f t="shared" ca="1" si="56"/>
        <v>753</v>
      </c>
      <c r="DI37" s="1">
        <f t="shared" ca="1" si="57"/>
        <v>0.82259100686344755</v>
      </c>
      <c r="DJ37" s="1">
        <f t="shared" ca="1" si="58"/>
        <v>22</v>
      </c>
    </row>
    <row r="38" spans="2:114" x14ac:dyDescent="0.25">
      <c r="B38">
        <f t="shared" ca="1" si="0"/>
        <v>913</v>
      </c>
      <c r="C38">
        <f t="shared" ca="1" si="1"/>
        <v>49</v>
      </c>
      <c r="D38">
        <f t="shared" ca="1" si="2"/>
        <v>0.21467468172677706</v>
      </c>
      <c r="F38" s="1">
        <f t="shared" ca="1" si="3"/>
        <v>16</v>
      </c>
      <c r="G38" s="1">
        <f t="shared" ca="1" si="4"/>
        <v>12</v>
      </c>
      <c r="H38" s="1">
        <f t="shared" ca="1" si="5"/>
        <v>6</v>
      </c>
      <c r="I38" s="1"/>
      <c r="J38" s="1">
        <f t="shared" ca="1" si="6"/>
        <v>2</v>
      </c>
      <c r="K38" s="1">
        <f t="shared" ca="1" si="7"/>
        <v>2.7918258569535963</v>
      </c>
      <c r="L38" s="1">
        <f t="shared" ca="1" si="8"/>
        <v>32</v>
      </c>
      <c r="M38" s="1"/>
      <c r="N38" s="1">
        <f t="shared" ca="1" si="9"/>
        <v>904</v>
      </c>
      <c r="O38" s="1">
        <f t="shared" ca="1" si="10"/>
        <v>35</v>
      </c>
      <c r="P38" s="1"/>
      <c r="Q38" s="1">
        <f t="shared" ca="1" si="11"/>
        <v>3.3139097301572447</v>
      </c>
      <c r="R38" s="1">
        <f t="shared" ca="1" si="12"/>
        <v>679</v>
      </c>
      <c r="S38" s="1"/>
      <c r="T38" s="1">
        <f t="shared" ca="1" si="13"/>
        <v>0.12749732881573272</v>
      </c>
      <c r="U38" s="1">
        <f t="shared" ca="1" si="14"/>
        <v>371</v>
      </c>
      <c r="V38" s="1">
        <f t="shared" ca="1" si="15"/>
        <v>18</v>
      </c>
      <c r="W38" s="1"/>
      <c r="X38" s="1">
        <f t="shared" ca="1" si="16"/>
        <v>2.6818055431739904</v>
      </c>
      <c r="Y38" s="1">
        <f t="shared" ca="1" si="17"/>
        <v>4.8260947096033319E-2</v>
      </c>
      <c r="Z38" s="1">
        <f t="shared" ca="1" si="18"/>
        <v>714</v>
      </c>
      <c r="AB38" s="1">
        <f t="shared" ca="1" si="19"/>
        <v>0.50252567213746147</v>
      </c>
      <c r="AC38" s="1">
        <f t="shared" ca="1" si="20"/>
        <v>867</v>
      </c>
      <c r="AD38" s="1">
        <f t="shared" ca="1" si="21"/>
        <v>8.9106913702029201E-4</v>
      </c>
      <c r="AE38" s="1"/>
      <c r="AF38" s="1">
        <f t="shared" ca="1" si="22"/>
        <v>0.71892435797409504</v>
      </c>
      <c r="AG38" s="1">
        <f t="shared" ca="1" si="23"/>
        <v>574</v>
      </c>
      <c r="AH38" s="1">
        <f t="shared" ca="1" si="24"/>
        <v>8.6441750869643841E-3</v>
      </c>
      <c r="AJ38" s="1">
        <f t="shared" ca="1" si="25"/>
        <v>0.25325989958824213</v>
      </c>
      <c r="AK38" s="1">
        <f t="shared" ca="1" si="26"/>
        <v>3.7026730466689409E-3</v>
      </c>
      <c r="AL38" s="1"/>
      <c r="AM38" s="1">
        <f t="shared" ca="1" si="27"/>
        <v>0.13398271187868424</v>
      </c>
      <c r="AN38" s="1">
        <f t="shared" ca="1" si="28"/>
        <v>53</v>
      </c>
      <c r="AO38" s="1">
        <f t="shared" ca="1" si="29"/>
        <v>8</v>
      </c>
      <c r="AQ38" s="1">
        <f t="shared" ca="1" si="30"/>
        <v>108</v>
      </c>
      <c r="AR38" s="1">
        <f t="shared" ca="1" si="31"/>
        <v>5</v>
      </c>
      <c r="AS38" s="1">
        <f t="shared" ca="1" si="32"/>
        <v>87</v>
      </c>
      <c r="AU38" s="1">
        <f t="shared" ca="1" si="33"/>
        <v>346</v>
      </c>
      <c r="AV38" s="1">
        <f t="shared" ca="1" si="34"/>
        <v>5</v>
      </c>
      <c r="AW38" s="1">
        <f t="shared" ca="1" si="35"/>
        <v>0.11607370795551451</v>
      </c>
      <c r="AY38" s="1">
        <f t="shared" ca="1" si="36"/>
        <v>1.9688160867746451</v>
      </c>
      <c r="AZ38" s="1">
        <f t="shared" ca="1" si="37"/>
        <v>362</v>
      </c>
      <c r="BA38" s="1">
        <f t="shared" ca="1" si="38"/>
        <v>2.1745355361222746E-3</v>
      </c>
      <c r="BV38" s="1">
        <f t="shared" ca="1" si="39"/>
        <v>5.4819102958893078E-2</v>
      </c>
      <c r="BW38" s="1">
        <f t="shared" ca="1" si="40"/>
        <v>458</v>
      </c>
      <c r="BX38" s="1">
        <f t="shared" ca="1" si="41"/>
        <v>4.0027215232948769E-3</v>
      </c>
      <c r="BY38" s="1">
        <f t="shared" ca="1" si="42"/>
        <v>3.0267594928823009E-3</v>
      </c>
      <c r="BZ38" s="1">
        <f t="shared" ca="1" si="43"/>
        <v>0.51488379174888876</v>
      </c>
      <c r="CB38" s="1">
        <f t="shared" ca="1" si="44"/>
        <v>318</v>
      </c>
      <c r="CC38" s="1">
        <f t="shared" ca="1" si="45"/>
        <v>13</v>
      </c>
      <c r="CD38" s="1">
        <f t="shared" ca="1" si="46"/>
        <v>0.29719610432069021</v>
      </c>
      <c r="CE38" s="1">
        <f t="shared" ca="1" si="59"/>
        <v>0.81235559659164358</v>
      </c>
      <c r="CF38" s="1">
        <f t="shared" ca="1" si="59"/>
        <v>0.92778138761424445</v>
      </c>
      <c r="CH38" s="3">
        <f t="shared" ca="1" si="48"/>
        <v>0.80129168555541441</v>
      </c>
      <c r="CI38" s="3">
        <f t="shared" ca="1" si="49"/>
        <v>0.29716934067458989</v>
      </c>
      <c r="CJ38" s="3">
        <f t="shared" ca="1" si="50"/>
        <v>1722</v>
      </c>
      <c r="CK38" s="3">
        <f t="shared" ca="1" si="51"/>
        <v>2.7981158302329014E-3</v>
      </c>
      <c r="CL38" s="3">
        <f t="shared" ca="1" si="52"/>
        <v>1</v>
      </c>
      <c r="CM38" s="3"/>
      <c r="CN38" s="1">
        <f t="shared" ca="1" si="53"/>
        <v>7.3054662125341423</v>
      </c>
      <c r="CO38" s="1">
        <f t="shared" ca="1" si="54"/>
        <v>0.12037583894588839</v>
      </c>
      <c r="CP38" s="1">
        <f t="shared" ca="1" si="55"/>
        <v>5</v>
      </c>
      <c r="DH38" s="1">
        <f t="shared" ca="1" si="56"/>
        <v>358</v>
      </c>
      <c r="DI38" s="1">
        <f t="shared" ca="1" si="57"/>
        <v>0.89712069541897654</v>
      </c>
      <c r="DJ38" s="1">
        <f t="shared" ca="1" si="58"/>
        <v>4</v>
      </c>
    </row>
    <row r="39" spans="2:114" x14ac:dyDescent="0.25">
      <c r="B39">
        <f t="shared" ca="1" si="0"/>
        <v>699</v>
      </c>
      <c r="C39">
        <f t="shared" ca="1" si="1"/>
        <v>6</v>
      </c>
      <c r="D39">
        <f t="shared" ca="1" si="2"/>
        <v>8.7328458020723768E-2</v>
      </c>
      <c r="F39" s="1">
        <f t="shared" ca="1" si="3"/>
        <v>32</v>
      </c>
      <c r="G39" s="1">
        <f t="shared" ca="1" si="4"/>
        <v>30</v>
      </c>
      <c r="H39" s="1">
        <f t="shared" ca="1" si="5"/>
        <v>4</v>
      </c>
      <c r="I39" s="1"/>
      <c r="J39" s="1">
        <f t="shared" ca="1" si="6"/>
        <v>32</v>
      </c>
      <c r="K39" s="1">
        <f t="shared" ca="1" si="7"/>
        <v>1.7356782336259253</v>
      </c>
      <c r="L39" s="1">
        <f t="shared" ca="1" si="8"/>
        <v>9</v>
      </c>
      <c r="M39" s="1"/>
      <c r="N39" s="1">
        <f t="shared" ca="1" si="9"/>
        <v>825</v>
      </c>
      <c r="O39" s="1">
        <f t="shared" ca="1" si="10"/>
        <v>10</v>
      </c>
      <c r="P39" s="1"/>
      <c r="Q39" s="1">
        <f t="shared" ca="1" si="11"/>
        <v>3.8758303366762039</v>
      </c>
      <c r="R39" s="1">
        <f t="shared" ca="1" si="12"/>
        <v>726</v>
      </c>
      <c r="S39" s="1"/>
      <c r="T39" s="1">
        <f t="shared" ca="1" si="13"/>
        <v>1.4369615613347882E-2</v>
      </c>
      <c r="U39" s="1">
        <f t="shared" ca="1" si="14"/>
        <v>344</v>
      </c>
      <c r="V39" s="1">
        <f t="shared" ca="1" si="15"/>
        <v>20</v>
      </c>
      <c r="W39" s="1"/>
      <c r="X39" s="1">
        <f t="shared" ca="1" si="16"/>
        <v>6.7129586689990237</v>
      </c>
      <c r="Y39" s="1">
        <f t="shared" ca="1" si="17"/>
        <v>0.34711877278401998</v>
      </c>
      <c r="Z39" s="1">
        <f t="shared" ca="1" si="18"/>
        <v>1081</v>
      </c>
      <c r="AB39" s="1">
        <f t="shared" ca="1" si="19"/>
        <v>0.71023167982708479</v>
      </c>
      <c r="AC39" s="1">
        <f t="shared" ca="1" si="20"/>
        <v>525</v>
      </c>
      <c r="AD39" s="1">
        <f t="shared" ca="1" si="21"/>
        <v>9.3975471916509807E-3</v>
      </c>
      <c r="AE39" s="1"/>
      <c r="AF39" s="1">
        <f t="shared" ca="1" si="22"/>
        <v>0.67273831391777406</v>
      </c>
      <c r="AG39" s="1">
        <f t="shared" ca="1" si="23"/>
        <v>156</v>
      </c>
      <c r="AH39" s="1">
        <f t="shared" ca="1" si="24"/>
        <v>2.4960457485093289E-3</v>
      </c>
      <c r="AJ39" s="1">
        <f t="shared" ca="1" si="25"/>
        <v>0.98619660200661963</v>
      </c>
      <c r="AK39" s="1">
        <f t="shared" ca="1" si="26"/>
        <v>1.0011885877440857E-3</v>
      </c>
      <c r="AL39" s="1"/>
      <c r="AM39" s="1">
        <f t="shared" ca="1" si="27"/>
        <v>0.17988714656083948</v>
      </c>
      <c r="AN39" s="1">
        <f t="shared" ca="1" si="28"/>
        <v>69</v>
      </c>
      <c r="AO39" s="1">
        <f t="shared" ca="1" si="29"/>
        <v>6</v>
      </c>
      <c r="AQ39" s="1">
        <f t="shared" ca="1" si="30"/>
        <v>168</v>
      </c>
      <c r="AR39" s="1">
        <f t="shared" ca="1" si="31"/>
        <v>1</v>
      </c>
      <c r="AS39" s="1">
        <f t="shared" ca="1" si="32"/>
        <v>83</v>
      </c>
      <c r="AU39" s="1">
        <f t="shared" ca="1" si="33"/>
        <v>323</v>
      </c>
      <c r="AV39" s="1">
        <f t="shared" ca="1" si="34"/>
        <v>7</v>
      </c>
      <c r="AW39" s="1">
        <f t="shared" ca="1" si="35"/>
        <v>0.15842211968127665</v>
      </c>
      <c r="AY39" s="1">
        <f t="shared" ca="1" si="36"/>
        <v>1.2190105514393232</v>
      </c>
      <c r="AZ39" s="1">
        <f t="shared" ca="1" si="37"/>
        <v>210</v>
      </c>
      <c r="BA39" s="1">
        <f t="shared" ca="1" si="38"/>
        <v>7.0166835290220572E-3</v>
      </c>
      <c r="BV39" s="1">
        <f t="shared" ca="1" si="39"/>
        <v>0.4263705467884587</v>
      </c>
      <c r="BW39" s="1">
        <f t="shared" ca="1" si="40"/>
        <v>791</v>
      </c>
      <c r="BX39" s="1">
        <f t="shared" ca="1" si="41"/>
        <v>5.6141185715019287E-3</v>
      </c>
      <c r="BY39" s="1">
        <f t="shared" ca="1" si="42"/>
        <v>8.324349947249228E-2</v>
      </c>
      <c r="BZ39" s="1">
        <f t="shared" ca="1" si="43"/>
        <v>0.69913946307467767</v>
      </c>
      <c r="CB39" s="1">
        <f t="shared" ca="1" si="44"/>
        <v>193</v>
      </c>
      <c r="CC39" s="1">
        <f t="shared" ca="1" si="45"/>
        <v>8</v>
      </c>
      <c r="CD39" s="1">
        <f t="shared" ca="1" si="46"/>
        <v>0.23179936328276002</v>
      </c>
      <c r="CE39" s="1">
        <f t="shared" ca="1" si="59"/>
        <v>0.80519755481614963</v>
      </c>
      <c r="CF39" s="1">
        <f t="shared" ca="1" si="59"/>
        <v>0.98526880745283751</v>
      </c>
      <c r="CH39" s="3">
        <f t="shared" ca="1" si="48"/>
        <v>0.13844528543201065</v>
      </c>
      <c r="CI39" s="3">
        <f t="shared" ca="1" si="49"/>
        <v>0.70182470861206481</v>
      </c>
      <c r="CJ39" s="3">
        <f t="shared" ca="1" si="50"/>
        <v>1084</v>
      </c>
      <c r="CK39" s="3">
        <f t="shared" ca="1" si="51"/>
        <v>8.6656916790528813E-3</v>
      </c>
      <c r="CL39" s="3">
        <f t="shared" ca="1" si="52"/>
        <v>0</v>
      </c>
      <c r="CM39" s="3"/>
      <c r="CN39" s="1">
        <f t="shared" ca="1" si="53"/>
        <v>18.315095410698301</v>
      </c>
      <c r="CO39" s="1">
        <f t="shared" ca="1" si="54"/>
        <v>8.5578404466731664E-2</v>
      </c>
      <c r="CP39" s="1">
        <f t="shared" ca="1" si="55"/>
        <v>5</v>
      </c>
      <c r="DH39" s="1">
        <f t="shared" ca="1" si="56"/>
        <v>276</v>
      </c>
      <c r="DI39" s="1">
        <f t="shared" ca="1" si="57"/>
        <v>0.16632666659086015</v>
      </c>
      <c r="DJ39" s="1">
        <f t="shared" ca="1" si="58"/>
        <v>19</v>
      </c>
    </row>
    <row r="40" spans="2:114" x14ac:dyDescent="0.25">
      <c r="B40">
        <f t="shared" ca="1" si="0"/>
        <v>942</v>
      </c>
      <c r="C40">
        <f t="shared" ca="1" si="1"/>
        <v>12</v>
      </c>
      <c r="D40">
        <f t="shared" ca="1" si="2"/>
        <v>0.16981071575706116</v>
      </c>
      <c r="F40" s="1">
        <f t="shared" ca="1" si="3"/>
        <v>23</v>
      </c>
      <c r="G40" s="1">
        <f t="shared" ca="1" si="4"/>
        <v>18</v>
      </c>
      <c r="H40" s="1">
        <f t="shared" ca="1" si="5"/>
        <v>4</v>
      </c>
      <c r="I40" s="1"/>
      <c r="J40" s="1">
        <f t="shared" ca="1" si="6"/>
        <v>18</v>
      </c>
      <c r="K40" s="1">
        <f t="shared" ca="1" si="7"/>
        <v>2.5656607954238702</v>
      </c>
      <c r="L40" s="1">
        <f t="shared" ca="1" si="8"/>
        <v>9</v>
      </c>
      <c r="M40" s="1"/>
      <c r="N40" s="1">
        <f t="shared" ca="1" si="9"/>
        <v>455</v>
      </c>
      <c r="O40" s="1">
        <f t="shared" ca="1" si="10"/>
        <v>17</v>
      </c>
      <c r="P40" s="1"/>
      <c r="Q40" s="1">
        <f t="shared" ca="1" si="11"/>
        <v>2.6991971461679434</v>
      </c>
      <c r="R40" s="1">
        <f t="shared" ca="1" si="12"/>
        <v>351</v>
      </c>
      <c r="S40" s="1"/>
      <c r="T40" s="1">
        <f t="shared" ca="1" si="13"/>
        <v>3.452375174929919E-2</v>
      </c>
      <c r="U40" s="1">
        <f t="shared" ca="1" si="14"/>
        <v>133</v>
      </c>
      <c r="V40" s="1">
        <f t="shared" ca="1" si="15"/>
        <v>52</v>
      </c>
      <c r="W40" s="1"/>
      <c r="X40" s="1">
        <f t="shared" ca="1" si="16"/>
        <v>1.6243770598546496</v>
      </c>
      <c r="Y40" s="1">
        <f t="shared" ca="1" si="17"/>
        <v>0.39505062692459991</v>
      </c>
      <c r="Z40" s="1">
        <f t="shared" ca="1" si="18"/>
        <v>1611</v>
      </c>
      <c r="AB40" s="1">
        <f t="shared" ca="1" si="19"/>
        <v>0.82281014318008416</v>
      </c>
      <c r="AC40" s="1">
        <f t="shared" ca="1" si="20"/>
        <v>529</v>
      </c>
      <c r="AD40" s="1">
        <f t="shared" ca="1" si="21"/>
        <v>1.1793238809943265E-3</v>
      </c>
      <c r="AE40" s="1"/>
      <c r="AF40" s="1">
        <f t="shared" ca="1" si="22"/>
        <v>0.22156409870067267</v>
      </c>
      <c r="AG40" s="1">
        <f t="shared" ca="1" si="23"/>
        <v>720</v>
      </c>
      <c r="AH40" s="1">
        <f t="shared" ca="1" si="24"/>
        <v>2.4899081037864546E-3</v>
      </c>
      <c r="AJ40" s="1">
        <f t="shared" ca="1" si="25"/>
        <v>0.89247923630388781</v>
      </c>
      <c r="AK40" s="1">
        <f t="shared" ca="1" si="26"/>
        <v>6.0226716726861154E-3</v>
      </c>
      <c r="AL40" s="1"/>
      <c r="AM40" s="1">
        <f t="shared" ca="1" si="27"/>
        <v>2.592736600064666E-2</v>
      </c>
      <c r="AN40" s="1">
        <f t="shared" ca="1" si="28"/>
        <v>69</v>
      </c>
      <c r="AO40" s="1">
        <f t="shared" ca="1" si="29"/>
        <v>9</v>
      </c>
      <c r="AQ40" s="1">
        <f t="shared" ca="1" si="30"/>
        <v>85</v>
      </c>
      <c r="AR40" s="1">
        <f t="shared" ca="1" si="31"/>
        <v>1</v>
      </c>
      <c r="AS40" s="1">
        <f t="shared" ca="1" si="32"/>
        <v>70</v>
      </c>
      <c r="AU40" s="1">
        <f t="shared" ca="1" si="33"/>
        <v>183</v>
      </c>
      <c r="AV40" s="1">
        <f t="shared" ca="1" si="34"/>
        <v>3</v>
      </c>
      <c r="AW40" s="1">
        <f t="shared" ca="1" si="35"/>
        <v>0.11899629419085872</v>
      </c>
      <c r="AY40" s="1">
        <f t="shared" ca="1" si="36"/>
        <v>1.1050134651654264</v>
      </c>
      <c r="AZ40" s="1">
        <f t="shared" ca="1" si="37"/>
        <v>205</v>
      </c>
      <c r="BA40" s="1">
        <f t="shared" ca="1" si="38"/>
        <v>8.1067371809345392E-3</v>
      </c>
      <c r="BV40" s="1">
        <f t="shared" ca="1" si="39"/>
        <v>0.2800136443437154</v>
      </c>
      <c r="BW40" s="1">
        <f t="shared" ca="1" si="40"/>
        <v>743</v>
      </c>
      <c r="BX40" s="1">
        <f t="shared" ca="1" si="41"/>
        <v>4.9154479330405804E-3</v>
      </c>
      <c r="BY40" s="1">
        <f t="shared" ca="1" si="42"/>
        <v>5.6147474353963937E-2</v>
      </c>
      <c r="BZ40" s="1">
        <f t="shared" ca="1" si="43"/>
        <v>0.705214381129176</v>
      </c>
      <c r="CB40" s="1">
        <f t="shared" ca="1" si="44"/>
        <v>119</v>
      </c>
      <c r="CC40" s="1">
        <f t="shared" ca="1" si="45"/>
        <v>8</v>
      </c>
      <c r="CD40" s="1">
        <f t="shared" ca="1" si="46"/>
        <v>0.12558937022090097</v>
      </c>
      <c r="CE40" s="1">
        <f t="shared" ca="1" si="59"/>
        <v>0.53134656859480578</v>
      </c>
      <c r="CF40" s="1">
        <f t="shared" ca="1" si="59"/>
        <v>0.98150200019513845</v>
      </c>
      <c r="CH40" s="3">
        <f t="shared" ca="1" si="48"/>
        <v>0.65419183812258053</v>
      </c>
      <c r="CI40" s="3">
        <f t="shared" ca="1" si="49"/>
        <v>0.24546047509254618</v>
      </c>
      <c r="CJ40" s="3">
        <f t="shared" ca="1" si="50"/>
        <v>1467</v>
      </c>
      <c r="CK40" s="3">
        <f t="shared" ca="1" si="51"/>
        <v>6.4527299265274164E-3</v>
      </c>
      <c r="CL40" s="3">
        <f t="shared" ca="1" si="52"/>
        <v>0</v>
      </c>
      <c r="CM40" s="3"/>
      <c r="CN40" s="1">
        <f t="shared" ca="1" si="53"/>
        <v>5.3248802953989918</v>
      </c>
      <c r="CO40" s="1">
        <f t="shared" ca="1" si="54"/>
        <v>0.36099705907153745</v>
      </c>
      <c r="CP40" s="1">
        <f t="shared" ca="1" si="55"/>
        <v>5</v>
      </c>
      <c r="DH40" s="1">
        <f t="shared" ca="1" si="56"/>
        <v>496</v>
      </c>
      <c r="DI40" s="1">
        <f t="shared" ca="1" si="57"/>
        <v>0.93231724712882136</v>
      </c>
      <c r="DJ40" s="1">
        <f t="shared" ca="1" si="58"/>
        <v>26</v>
      </c>
    </row>
    <row r="41" spans="2:114" x14ac:dyDescent="0.25">
      <c r="B41">
        <f t="shared" ca="1" si="0"/>
        <v>549</v>
      </c>
      <c r="C41">
        <f t="shared" ca="1" si="1"/>
        <v>6</v>
      </c>
      <c r="D41">
        <f t="shared" ca="1" si="2"/>
        <v>0.27295773335484375</v>
      </c>
      <c r="F41" s="1">
        <f t="shared" ca="1" si="3"/>
        <v>36</v>
      </c>
      <c r="G41" s="1">
        <f t="shared" ca="1" si="4"/>
        <v>9</v>
      </c>
      <c r="H41" s="1">
        <f t="shared" ca="1" si="5"/>
        <v>15</v>
      </c>
      <c r="I41" s="1"/>
      <c r="J41" s="1">
        <f t="shared" ca="1" si="6"/>
        <v>35</v>
      </c>
      <c r="K41" s="1">
        <f t="shared" ca="1" si="7"/>
        <v>1.3643857146128882</v>
      </c>
      <c r="L41" s="1">
        <f t="shared" ca="1" si="8"/>
        <v>15</v>
      </c>
      <c r="M41" s="1"/>
      <c r="N41" s="1">
        <f t="shared" ca="1" si="9"/>
        <v>151</v>
      </c>
      <c r="O41" s="1">
        <f t="shared" ca="1" si="10"/>
        <v>39</v>
      </c>
      <c r="P41" s="1"/>
      <c r="Q41" s="1">
        <f t="shared" ca="1" si="11"/>
        <v>0.15419647706857903</v>
      </c>
      <c r="R41" s="1">
        <f t="shared" ca="1" si="12"/>
        <v>863</v>
      </c>
      <c r="S41" s="1"/>
      <c r="T41" s="1">
        <f t="shared" ca="1" si="13"/>
        <v>1.731584577620101E-2</v>
      </c>
      <c r="U41" s="1">
        <f t="shared" ca="1" si="14"/>
        <v>263</v>
      </c>
      <c r="V41" s="1">
        <f t="shared" ca="1" si="15"/>
        <v>12</v>
      </c>
      <c r="W41" s="1"/>
      <c r="X41" s="1">
        <f t="shared" ca="1" si="16"/>
        <v>7.3798382465574974</v>
      </c>
      <c r="Y41" s="1">
        <f t="shared" ca="1" si="17"/>
        <v>0.33287071869531099</v>
      </c>
      <c r="Z41" s="1">
        <f t="shared" ca="1" si="18"/>
        <v>1730</v>
      </c>
      <c r="AB41" s="1">
        <f t="shared" ca="1" si="19"/>
        <v>0.80990539675672979</v>
      </c>
      <c r="AC41" s="1">
        <f t="shared" ca="1" si="20"/>
        <v>726</v>
      </c>
      <c r="AD41" s="1">
        <f t="shared" ca="1" si="21"/>
        <v>6.0341668472821443E-3</v>
      </c>
      <c r="AE41" s="1"/>
      <c r="AF41" s="1">
        <f t="shared" ca="1" si="22"/>
        <v>0.53258903906499255</v>
      </c>
      <c r="AG41" s="1">
        <f t="shared" ca="1" si="23"/>
        <v>478</v>
      </c>
      <c r="AH41" s="1">
        <f t="shared" ca="1" si="24"/>
        <v>6.3697271602003256E-3</v>
      </c>
      <c r="AJ41" s="1">
        <f t="shared" ca="1" si="25"/>
        <v>0.94084989715092493</v>
      </c>
      <c r="AK41" s="1">
        <f t="shared" ca="1" si="26"/>
        <v>4.5931640116945744E-3</v>
      </c>
      <c r="AL41" s="1"/>
      <c r="AM41" s="1">
        <f t="shared" ca="1" si="27"/>
        <v>9.7966462538408544E-2</v>
      </c>
      <c r="AN41" s="1">
        <f t="shared" ca="1" si="28"/>
        <v>80</v>
      </c>
      <c r="AO41" s="1">
        <f t="shared" ca="1" si="29"/>
        <v>11</v>
      </c>
      <c r="AQ41" s="1">
        <f t="shared" ca="1" si="30"/>
        <v>198</v>
      </c>
      <c r="AR41" s="1">
        <f t="shared" ca="1" si="31"/>
        <v>10</v>
      </c>
      <c r="AS41" s="1">
        <f t="shared" ca="1" si="32"/>
        <v>100</v>
      </c>
      <c r="AU41" s="1">
        <f t="shared" ca="1" si="33"/>
        <v>151</v>
      </c>
      <c r="AV41" s="1">
        <f t="shared" ca="1" si="34"/>
        <v>9</v>
      </c>
      <c r="AW41" s="1">
        <f t="shared" ca="1" si="35"/>
        <v>7.7348561434820134E-2</v>
      </c>
      <c r="AY41" s="1">
        <f t="shared" ca="1" si="36"/>
        <v>1.8922895840776233</v>
      </c>
      <c r="AZ41" s="1">
        <f t="shared" ca="1" si="37"/>
        <v>300</v>
      </c>
      <c r="BA41" s="1">
        <f t="shared" ca="1" si="38"/>
        <v>3.5900151059820801E-3</v>
      </c>
      <c r="BV41" s="1">
        <f t="shared" ca="1" si="39"/>
        <v>0.73957869800263754</v>
      </c>
      <c r="BW41" s="1">
        <f t="shared" ca="1" si="40"/>
        <v>923</v>
      </c>
      <c r="BX41" s="1">
        <f t="shared" ca="1" si="41"/>
        <v>1.6824422802990916E-3</v>
      </c>
      <c r="BY41" s="1">
        <f t="shared" ca="1" si="42"/>
        <v>7.2772556632129476E-2</v>
      </c>
      <c r="BZ41" s="1">
        <f t="shared" ca="1" si="43"/>
        <v>5.5454338626638733E-2</v>
      </c>
      <c r="CB41" s="1">
        <f t="shared" ca="1" si="44"/>
        <v>304</v>
      </c>
      <c r="CC41" s="1">
        <f t="shared" ca="1" si="45"/>
        <v>4</v>
      </c>
      <c r="CD41" s="1">
        <f t="shared" ca="1" si="46"/>
        <v>8.5460296581453404E-2</v>
      </c>
      <c r="CE41" s="1">
        <f t="shared" ca="1" si="59"/>
        <v>0.60932955066139893</v>
      </c>
      <c r="CF41" s="1">
        <f t="shared" ca="1" si="59"/>
        <v>0.52110787369362876</v>
      </c>
      <c r="CH41" s="3">
        <f t="shared" ca="1" si="48"/>
        <v>0.15181164931148211</v>
      </c>
      <c r="CI41" s="3">
        <f t="shared" ca="1" si="49"/>
        <v>0.39903970309258868</v>
      </c>
      <c r="CJ41" s="3">
        <f t="shared" ca="1" si="50"/>
        <v>903</v>
      </c>
      <c r="CK41" s="3">
        <f t="shared" ca="1" si="51"/>
        <v>3.7385426072393912E-3</v>
      </c>
      <c r="CL41" s="3">
        <f t="shared" ca="1" si="52"/>
        <v>0</v>
      </c>
      <c r="CM41" s="3"/>
      <c r="CN41" s="1">
        <f t="shared" ca="1" si="53"/>
        <v>11.852333821130809</v>
      </c>
      <c r="CO41" s="1">
        <f t="shared" ca="1" si="54"/>
        <v>0.47751820621076352</v>
      </c>
      <c r="CP41" s="1">
        <f t="shared" ca="1" si="55"/>
        <v>1</v>
      </c>
      <c r="DH41" s="1">
        <f t="shared" ca="1" si="56"/>
        <v>695</v>
      </c>
      <c r="DI41" s="1">
        <f t="shared" ca="1" si="57"/>
        <v>0.50806564595618653</v>
      </c>
      <c r="DJ41" s="1">
        <f t="shared" ca="1" si="58"/>
        <v>25</v>
      </c>
    </row>
    <row r="42" spans="2:114" x14ac:dyDescent="0.25">
      <c r="B42">
        <f t="shared" ca="1" si="0"/>
        <v>304</v>
      </c>
      <c r="C42">
        <f t="shared" ca="1" si="1"/>
        <v>13</v>
      </c>
      <c r="D42">
        <f t="shared" ca="1" si="2"/>
        <v>0.28896947681098817</v>
      </c>
      <c r="F42" s="1">
        <f t="shared" ca="1" si="3"/>
        <v>10</v>
      </c>
      <c r="G42" s="1">
        <f t="shared" ca="1" si="4"/>
        <v>25</v>
      </c>
      <c r="H42" s="1">
        <f t="shared" ca="1" si="5"/>
        <v>4</v>
      </c>
      <c r="I42" s="1"/>
      <c r="J42" s="1">
        <f t="shared" ca="1" si="6"/>
        <v>2</v>
      </c>
      <c r="K42" s="1">
        <f t="shared" ca="1" si="7"/>
        <v>2.8950955377240817</v>
      </c>
      <c r="L42" s="1">
        <f t="shared" ca="1" si="8"/>
        <v>35</v>
      </c>
      <c r="M42" s="1"/>
      <c r="N42" s="1">
        <f t="shared" ca="1" si="9"/>
        <v>802</v>
      </c>
      <c r="O42" s="1">
        <f t="shared" ca="1" si="10"/>
        <v>14</v>
      </c>
      <c r="P42" s="1"/>
      <c r="Q42" s="1">
        <f t="shared" ca="1" si="11"/>
        <v>2.3635694562345031</v>
      </c>
      <c r="R42" s="1">
        <f t="shared" ca="1" si="12"/>
        <v>1170</v>
      </c>
      <c r="S42" s="1"/>
      <c r="T42" s="1">
        <f t="shared" ca="1" si="13"/>
        <v>7.863350536180945E-2</v>
      </c>
      <c r="U42" s="1">
        <f t="shared" ca="1" si="14"/>
        <v>245</v>
      </c>
      <c r="V42" s="1">
        <f t="shared" ca="1" si="15"/>
        <v>46</v>
      </c>
      <c r="W42" s="1"/>
      <c r="X42" s="1">
        <f t="shared" ca="1" si="16"/>
        <v>2.8171496601806845</v>
      </c>
      <c r="Y42" s="1">
        <f t="shared" ca="1" si="17"/>
        <v>0.24856122208722353</v>
      </c>
      <c r="Z42" s="1">
        <f t="shared" ca="1" si="18"/>
        <v>1347</v>
      </c>
      <c r="AB42" s="1">
        <f t="shared" ca="1" si="19"/>
        <v>0.54366586385589399</v>
      </c>
      <c r="AC42" s="1">
        <f t="shared" ca="1" si="20"/>
        <v>192</v>
      </c>
      <c r="AD42" s="1">
        <f t="shared" ca="1" si="21"/>
        <v>4.0493368972499546E-3</v>
      </c>
      <c r="AE42" s="1"/>
      <c r="AF42" s="1">
        <f t="shared" ca="1" si="22"/>
        <v>0.20552738156725142</v>
      </c>
      <c r="AG42" s="1">
        <f t="shared" ca="1" si="23"/>
        <v>881</v>
      </c>
      <c r="AH42" s="1">
        <f t="shared" ca="1" si="24"/>
        <v>5.2841044349315343E-4</v>
      </c>
      <c r="AJ42" s="1">
        <f t="shared" ca="1" si="25"/>
        <v>0.40081768487113578</v>
      </c>
      <c r="AK42" s="1">
        <f t="shared" ca="1" si="26"/>
        <v>3.8617228757328284E-4</v>
      </c>
      <c r="AL42" s="1"/>
      <c r="AM42" s="1">
        <f t="shared" ca="1" si="27"/>
        <v>0.11605109667229339</v>
      </c>
      <c r="AN42" s="1">
        <f t="shared" ca="1" si="28"/>
        <v>30</v>
      </c>
      <c r="AO42" s="1">
        <f t="shared" ca="1" si="29"/>
        <v>-1</v>
      </c>
      <c r="AQ42" s="1">
        <f t="shared" ca="1" si="30"/>
        <v>73</v>
      </c>
      <c r="AR42" s="1">
        <f t="shared" ca="1" si="31"/>
        <v>2</v>
      </c>
      <c r="AS42" s="1">
        <f t="shared" ca="1" si="32"/>
        <v>79</v>
      </c>
      <c r="AU42" s="1">
        <f t="shared" ca="1" si="33"/>
        <v>97</v>
      </c>
      <c r="AV42" s="1">
        <f t="shared" ca="1" si="34"/>
        <v>8</v>
      </c>
      <c r="AW42" s="1">
        <f t="shared" ca="1" si="35"/>
        <v>0.16523643275065195</v>
      </c>
      <c r="AY42" s="1">
        <f t="shared" ca="1" si="36"/>
        <v>1.1112220646819286</v>
      </c>
      <c r="AZ42" s="1">
        <f t="shared" ca="1" si="37"/>
        <v>451</v>
      </c>
      <c r="BA42" s="1">
        <f t="shared" ca="1" si="38"/>
        <v>6.1528172323562719E-3</v>
      </c>
      <c r="BV42" s="1">
        <f t="shared" ca="1" si="39"/>
        <v>0.99855401009187839</v>
      </c>
      <c r="BW42" s="1">
        <f t="shared" ca="1" si="40"/>
        <v>455</v>
      </c>
      <c r="BX42" s="1">
        <f t="shared" ca="1" si="41"/>
        <v>4.0316966834305168E-4</v>
      </c>
      <c r="BY42" s="1">
        <f t="shared" ca="1" si="42"/>
        <v>1.4782965815374985E-2</v>
      </c>
      <c r="BZ42" s="1">
        <f t="shared" ca="1" si="43"/>
        <v>0.16775658227263857</v>
      </c>
      <c r="CB42" s="1">
        <f t="shared" ca="1" si="44"/>
        <v>139</v>
      </c>
      <c r="CC42" s="1">
        <f t="shared" ca="1" si="45"/>
        <v>5</v>
      </c>
      <c r="CD42" s="1">
        <f t="shared" ca="1" si="46"/>
        <v>0.18070729564028531</v>
      </c>
      <c r="CE42" s="1">
        <f t="shared" ca="1" si="59"/>
        <v>0.98918128398247862</v>
      </c>
      <c r="CF42" s="1">
        <f t="shared" ca="1" si="59"/>
        <v>0.75033189364874575</v>
      </c>
      <c r="CH42" s="3">
        <f t="shared" ca="1" si="48"/>
        <v>0.69125479892697417</v>
      </c>
      <c r="CI42" s="3">
        <f t="shared" ca="1" si="49"/>
        <v>0.57101011571856852</v>
      </c>
      <c r="CJ42" s="3">
        <f t="shared" ca="1" si="50"/>
        <v>1581</v>
      </c>
      <c r="CK42" s="3">
        <f t="shared" ca="1" si="51"/>
        <v>3.8447544550952477E-3</v>
      </c>
      <c r="CL42" s="3">
        <f t="shared" ca="1" si="52"/>
        <v>1</v>
      </c>
      <c r="CM42" s="3"/>
      <c r="CN42" s="1">
        <f t="shared" ca="1" si="53"/>
        <v>16.2168027875219</v>
      </c>
      <c r="CO42" s="1">
        <f t="shared" ca="1" si="54"/>
        <v>9.7518127738937158E-2</v>
      </c>
      <c r="CP42" s="1">
        <f t="shared" ca="1" si="55"/>
        <v>5</v>
      </c>
      <c r="DH42" s="1">
        <f t="shared" ca="1" si="56"/>
        <v>251</v>
      </c>
      <c r="DI42" s="1">
        <f t="shared" ca="1" si="57"/>
        <v>0.91756549549400668</v>
      </c>
      <c r="DJ42" s="1">
        <f t="shared" ca="1" si="58"/>
        <v>29</v>
      </c>
    </row>
    <row r="43" spans="2:114" x14ac:dyDescent="0.25">
      <c r="B43">
        <f t="shared" ca="1" si="0"/>
        <v>908</v>
      </c>
      <c r="C43">
        <f t="shared" ca="1" si="1"/>
        <v>38</v>
      </c>
      <c r="D43">
        <f t="shared" ca="1" si="2"/>
        <v>0.26085031942496539</v>
      </c>
      <c r="F43" s="1">
        <f t="shared" ca="1" si="3"/>
        <v>17</v>
      </c>
      <c r="G43" s="1">
        <f t="shared" ca="1" si="4"/>
        <v>5</v>
      </c>
      <c r="H43" s="1">
        <f t="shared" ca="1" si="5"/>
        <v>10</v>
      </c>
      <c r="I43" s="1"/>
      <c r="J43" s="1">
        <f t="shared" ca="1" si="6"/>
        <v>21</v>
      </c>
      <c r="K43" s="1">
        <f t="shared" ca="1" si="7"/>
        <v>1.251471667896312</v>
      </c>
      <c r="L43" s="1">
        <f t="shared" ca="1" si="8"/>
        <v>22</v>
      </c>
      <c r="M43" s="1"/>
      <c r="N43" s="1">
        <f t="shared" ca="1" si="9"/>
        <v>470</v>
      </c>
      <c r="O43" s="1">
        <f t="shared" ca="1" si="10"/>
        <v>3</v>
      </c>
      <c r="P43" s="1"/>
      <c r="Q43" s="1">
        <f t="shared" ca="1" si="11"/>
        <v>2.2062180593455571</v>
      </c>
      <c r="R43" s="1">
        <f t="shared" ca="1" si="12"/>
        <v>534</v>
      </c>
      <c r="S43" s="1"/>
      <c r="T43" s="1">
        <f t="shared" ca="1" si="13"/>
        <v>7.3923924502587723E-2</v>
      </c>
      <c r="U43" s="1">
        <f t="shared" ca="1" si="14"/>
        <v>99</v>
      </c>
      <c r="V43" s="1">
        <f t="shared" ca="1" si="15"/>
        <v>10</v>
      </c>
      <c r="W43" s="1"/>
      <c r="X43" s="1">
        <f t="shared" ca="1" si="16"/>
        <v>5.3327381051516385</v>
      </c>
      <c r="Y43" s="1">
        <f t="shared" ca="1" si="17"/>
        <v>0.82511384849886871</v>
      </c>
      <c r="Z43" s="1">
        <f t="shared" ca="1" si="18"/>
        <v>389</v>
      </c>
      <c r="AB43" s="1">
        <f t="shared" ca="1" si="19"/>
        <v>0.24233714618295371</v>
      </c>
      <c r="AC43" s="1">
        <f t="shared" ca="1" si="20"/>
        <v>728</v>
      </c>
      <c r="AD43" s="1">
        <f t="shared" ca="1" si="21"/>
        <v>9.676241010121529E-3</v>
      </c>
      <c r="AE43" s="1"/>
      <c r="AF43" s="1">
        <f t="shared" ca="1" si="22"/>
        <v>0.89230885160029194</v>
      </c>
      <c r="AG43" s="1">
        <f t="shared" ca="1" si="23"/>
        <v>488</v>
      </c>
      <c r="AH43" s="1">
        <f t="shared" ca="1" si="24"/>
        <v>8.1007738623242471E-3</v>
      </c>
      <c r="AJ43" s="1">
        <f t="shared" ca="1" si="25"/>
        <v>0.5767233573963465</v>
      </c>
      <c r="AK43" s="1">
        <f t="shared" ca="1" si="26"/>
        <v>3.3792525666903031E-4</v>
      </c>
      <c r="AL43" s="1"/>
      <c r="AM43" s="1">
        <f t="shared" ca="1" si="27"/>
        <v>2.0402425367321855E-2</v>
      </c>
      <c r="AN43" s="1">
        <f t="shared" ca="1" si="28"/>
        <v>13</v>
      </c>
      <c r="AO43" s="1">
        <f t="shared" ca="1" si="29"/>
        <v>14</v>
      </c>
      <c r="AQ43" s="1">
        <f t="shared" ca="1" si="30"/>
        <v>83</v>
      </c>
      <c r="AR43" s="1">
        <f t="shared" ca="1" si="31"/>
        <v>6</v>
      </c>
      <c r="AS43" s="1">
        <f t="shared" ca="1" si="32"/>
        <v>78</v>
      </c>
      <c r="AU43" s="1">
        <f t="shared" ca="1" si="33"/>
        <v>153</v>
      </c>
      <c r="AV43" s="1">
        <f t="shared" ca="1" si="34"/>
        <v>7</v>
      </c>
      <c r="AW43" s="1">
        <f t="shared" ca="1" si="35"/>
        <v>0.14319864473361357</v>
      </c>
      <c r="AY43" s="1">
        <f t="shared" ca="1" si="36"/>
        <v>1.909819045945282</v>
      </c>
      <c r="AZ43" s="1">
        <f t="shared" ca="1" si="37"/>
        <v>417</v>
      </c>
      <c r="BA43" s="1">
        <f t="shared" ca="1" si="38"/>
        <v>2.8846683193464798E-3</v>
      </c>
      <c r="BV43" s="1">
        <f t="shared" ca="1" si="39"/>
        <v>0.13556064334662463</v>
      </c>
      <c r="BW43" s="1">
        <f t="shared" ca="1" si="40"/>
        <v>969</v>
      </c>
      <c r="BX43" s="1">
        <f t="shared" ca="1" si="41"/>
        <v>8.4811349727037921E-3</v>
      </c>
      <c r="BY43" s="1">
        <f t="shared" ca="1" si="42"/>
        <v>5.0217617989504505E-2</v>
      </c>
      <c r="BZ43" s="1">
        <f t="shared" ca="1" si="43"/>
        <v>0.14035079326386912</v>
      </c>
      <c r="CB43" s="1">
        <f t="shared" ca="1" si="44"/>
        <v>116</v>
      </c>
      <c r="CC43" s="1">
        <f t="shared" ca="1" si="45"/>
        <v>3</v>
      </c>
      <c r="CD43" s="1">
        <f t="shared" ca="1" si="46"/>
        <v>7.4984550599070471E-2</v>
      </c>
      <c r="CE43" s="1">
        <f t="shared" ca="1" si="59"/>
        <v>0.60153819107733253</v>
      </c>
      <c r="CF43" s="1">
        <f t="shared" ca="1" si="59"/>
        <v>0.69177601828161261</v>
      </c>
      <c r="CH43" s="3">
        <f t="shared" ca="1" si="48"/>
        <v>0.55164718773557053</v>
      </c>
      <c r="CI43" s="3">
        <f t="shared" ca="1" si="49"/>
        <v>0.2284864264641307</v>
      </c>
      <c r="CJ43" s="3">
        <f t="shared" ca="1" si="50"/>
        <v>768</v>
      </c>
      <c r="CK43" s="3">
        <f t="shared" ca="1" si="51"/>
        <v>4.8792906774806398E-3</v>
      </c>
      <c r="CL43" s="3">
        <f t="shared" ca="1" si="52"/>
        <v>1</v>
      </c>
      <c r="CM43" s="3"/>
      <c r="CN43" s="1">
        <f t="shared" ca="1" si="53"/>
        <v>12.677601541701502</v>
      </c>
      <c r="CO43" s="1">
        <f t="shared" ca="1" si="54"/>
        <v>0.45386050846708914</v>
      </c>
      <c r="CP43" s="1">
        <f t="shared" ca="1" si="55"/>
        <v>3</v>
      </c>
      <c r="DH43" s="1">
        <f t="shared" ca="1" si="56"/>
        <v>373</v>
      </c>
      <c r="DI43" s="1">
        <f t="shared" ca="1" si="57"/>
        <v>0.95334814234105425</v>
      </c>
      <c r="DJ43" s="1">
        <f t="shared" ca="1" si="58"/>
        <v>26</v>
      </c>
    </row>
    <row r="44" spans="2:114" x14ac:dyDescent="0.25">
      <c r="B44">
        <f t="shared" ca="1" si="0"/>
        <v>795</v>
      </c>
      <c r="C44">
        <f t="shared" ca="1" si="1"/>
        <v>12</v>
      </c>
      <c r="D44">
        <f t="shared" ca="1" si="2"/>
        <v>0.27892326915727222</v>
      </c>
      <c r="F44" s="1">
        <f t="shared" ca="1" si="3"/>
        <v>29</v>
      </c>
      <c r="G44" s="1">
        <f t="shared" ca="1" si="4"/>
        <v>26</v>
      </c>
      <c r="H44" s="1">
        <f t="shared" ca="1" si="5"/>
        <v>7</v>
      </c>
      <c r="I44" s="1"/>
      <c r="J44" s="1">
        <f t="shared" ca="1" si="6"/>
        <v>4</v>
      </c>
      <c r="K44" s="1">
        <f t="shared" ca="1" si="7"/>
        <v>1.1356196443679689</v>
      </c>
      <c r="L44" s="1">
        <f t="shared" ca="1" si="8"/>
        <v>25</v>
      </c>
      <c r="M44" s="1"/>
      <c r="N44" s="1">
        <f t="shared" ca="1" si="9"/>
        <v>444</v>
      </c>
      <c r="O44" s="1">
        <f t="shared" ca="1" si="10"/>
        <v>5</v>
      </c>
      <c r="P44" s="1"/>
      <c r="Q44" s="1">
        <f t="shared" ca="1" si="11"/>
        <v>2.4556286265422398</v>
      </c>
      <c r="R44" s="1">
        <f t="shared" ca="1" si="12"/>
        <v>810</v>
      </c>
      <c r="S44" s="1"/>
      <c r="T44" s="1">
        <f t="shared" ca="1" si="13"/>
        <v>7.6888376548218604E-2</v>
      </c>
      <c r="U44" s="1">
        <f t="shared" ca="1" si="14"/>
        <v>352</v>
      </c>
      <c r="V44" s="1">
        <f t="shared" ca="1" si="15"/>
        <v>29</v>
      </c>
      <c r="W44" s="1"/>
      <c r="X44" s="1">
        <f t="shared" ca="1" si="16"/>
        <v>7.984423533024656</v>
      </c>
      <c r="Y44" s="1">
        <f t="shared" ca="1" si="17"/>
        <v>8.1798390503180607E-2</v>
      </c>
      <c r="Z44" s="1">
        <f t="shared" ca="1" si="18"/>
        <v>159</v>
      </c>
      <c r="AB44" s="1">
        <f t="shared" ca="1" si="19"/>
        <v>0.39608795011302778</v>
      </c>
      <c r="AC44" s="1">
        <f t="shared" ca="1" si="20"/>
        <v>313</v>
      </c>
      <c r="AD44" s="1">
        <f t="shared" ca="1" si="21"/>
        <v>2.7524114448014602E-3</v>
      </c>
      <c r="AE44" s="1"/>
      <c r="AF44" s="1">
        <f t="shared" ca="1" si="22"/>
        <v>0.5932391971521529</v>
      </c>
      <c r="AG44" s="1">
        <f t="shared" ca="1" si="23"/>
        <v>311</v>
      </c>
      <c r="AH44" s="1">
        <f t="shared" ca="1" si="24"/>
        <v>7.8661990693247915E-3</v>
      </c>
      <c r="AJ44" s="1">
        <f t="shared" ca="1" si="25"/>
        <v>0.91587172962343277</v>
      </c>
      <c r="AK44" s="1">
        <f t="shared" ca="1" si="26"/>
        <v>5.8570631627602975E-3</v>
      </c>
      <c r="AL44" s="1"/>
      <c r="AM44" s="1">
        <f t="shared" ca="1" si="27"/>
        <v>7.5542446639497426E-2</v>
      </c>
      <c r="AN44" s="1">
        <f t="shared" ca="1" si="28"/>
        <v>29</v>
      </c>
      <c r="AO44" s="1">
        <f t="shared" ca="1" si="29"/>
        <v>20</v>
      </c>
      <c r="AQ44" s="1">
        <f t="shared" ca="1" si="30"/>
        <v>97</v>
      </c>
      <c r="AR44" s="1">
        <f t="shared" ca="1" si="31"/>
        <v>2</v>
      </c>
      <c r="AS44" s="1">
        <f t="shared" ca="1" si="32"/>
        <v>95</v>
      </c>
      <c r="AU44" s="1">
        <f t="shared" ca="1" si="33"/>
        <v>312</v>
      </c>
      <c r="AV44" s="1">
        <f t="shared" ca="1" si="34"/>
        <v>3</v>
      </c>
      <c r="AW44" s="1">
        <f t="shared" ca="1" si="35"/>
        <v>0.19144612749625073</v>
      </c>
      <c r="AY44" s="1">
        <f t="shared" ca="1" si="36"/>
        <v>1.6451823993964716</v>
      </c>
      <c r="AZ44" s="1">
        <f t="shared" ca="1" si="37"/>
        <v>437</v>
      </c>
      <c r="BA44" s="1">
        <f t="shared" ca="1" si="38"/>
        <v>8.1553189431898699E-3</v>
      </c>
      <c r="BV44" s="1">
        <f t="shared" ca="1" si="39"/>
        <v>0.38797604422079501</v>
      </c>
      <c r="BW44" s="1">
        <f t="shared" ca="1" si="40"/>
        <v>391</v>
      </c>
      <c r="BX44" s="1">
        <f t="shared" ca="1" si="41"/>
        <v>6.2411269849935291E-3</v>
      </c>
      <c r="BY44" s="1">
        <f t="shared" ca="1" si="42"/>
        <v>4.894762996203144E-2</v>
      </c>
      <c r="BZ44" s="1">
        <f t="shared" ca="1" si="43"/>
        <v>0.80406049021171411</v>
      </c>
      <c r="CB44" s="1">
        <f t="shared" ca="1" si="44"/>
        <v>75</v>
      </c>
      <c r="CC44" s="1">
        <f t="shared" ca="1" si="45"/>
        <v>9</v>
      </c>
      <c r="CD44" s="1">
        <f t="shared" ca="1" si="46"/>
        <v>7.1800325790194033E-2</v>
      </c>
      <c r="CE44" s="1">
        <f t="shared" ca="1" si="59"/>
        <v>0.92410592760963273</v>
      </c>
      <c r="CF44" s="1">
        <f t="shared" ca="1" si="59"/>
        <v>0.81832279664233787</v>
      </c>
      <c r="CH44" s="3">
        <f t="shared" ca="1" si="48"/>
        <v>0.20203196732519971</v>
      </c>
      <c r="CI44" s="3">
        <f t="shared" ca="1" si="49"/>
        <v>8.1197466014519507E-2</v>
      </c>
      <c r="CJ44" s="3">
        <f t="shared" ca="1" si="50"/>
        <v>545</v>
      </c>
      <c r="CK44" s="3">
        <f t="shared" ca="1" si="51"/>
        <v>1.092011029169463E-3</v>
      </c>
      <c r="CL44" s="3">
        <f t="shared" ca="1" si="52"/>
        <v>0</v>
      </c>
      <c r="CM44" s="3"/>
      <c r="CN44" s="1">
        <f t="shared" ca="1" si="53"/>
        <v>15.606672949392919</v>
      </c>
      <c r="CO44" s="1">
        <f t="shared" ca="1" si="54"/>
        <v>0.39476462352819658</v>
      </c>
      <c r="CP44" s="1">
        <f t="shared" ca="1" si="55"/>
        <v>3</v>
      </c>
      <c r="DH44" s="1">
        <f t="shared" ca="1" si="56"/>
        <v>283</v>
      </c>
      <c r="DI44" s="1">
        <f t="shared" ca="1" si="57"/>
        <v>0.3482434426470763</v>
      </c>
      <c r="DJ44" s="1">
        <f t="shared" ca="1" si="58"/>
        <v>15</v>
      </c>
    </row>
    <row r="45" spans="2:114" x14ac:dyDescent="0.25">
      <c r="B45">
        <f t="shared" ca="1" si="0"/>
        <v>321</v>
      </c>
      <c r="C45">
        <f t="shared" ca="1" si="1"/>
        <v>43</v>
      </c>
      <c r="D45">
        <f t="shared" ca="1" si="2"/>
        <v>8.6214750576096413E-2</v>
      </c>
      <c r="F45" s="1">
        <f t="shared" ca="1" si="3"/>
        <v>30</v>
      </c>
      <c r="G45" s="1">
        <f t="shared" ca="1" si="4"/>
        <v>7</v>
      </c>
      <c r="H45" s="1">
        <f t="shared" ca="1" si="5"/>
        <v>4</v>
      </c>
      <c r="I45" s="1"/>
      <c r="J45" s="1">
        <f t="shared" ca="1" si="6"/>
        <v>20</v>
      </c>
      <c r="K45" s="1">
        <f t="shared" ca="1" si="7"/>
        <v>1.9772807188488559</v>
      </c>
      <c r="L45" s="1">
        <f t="shared" ca="1" si="8"/>
        <v>23</v>
      </c>
      <c r="M45" s="1"/>
      <c r="N45" s="1">
        <f t="shared" ca="1" si="9"/>
        <v>914</v>
      </c>
      <c r="O45" s="1">
        <f t="shared" ca="1" si="10"/>
        <v>32</v>
      </c>
      <c r="P45" s="1"/>
      <c r="Q45" s="1">
        <f t="shared" ca="1" si="11"/>
        <v>2.5289474219675858</v>
      </c>
      <c r="R45" s="1">
        <f t="shared" ca="1" si="12"/>
        <v>914</v>
      </c>
      <c r="S45" s="1"/>
      <c r="T45" s="1">
        <f t="shared" ca="1" si="13"/>
        <v>0.1491708752810246</v>
      </c>
      <c r="U45" s="1">
        <f t="shared" ca="1" si="14"/>
        <v>402</v>
      </c>
      <c r="V45" s="1">
        <f t="shared" ca="1" si="15"/>
        <v>41</v>
      </c>
      <c r="W45" s="1"/>
      <c r="X45" s="1">
        <f t="shared" ca="1" si="16"/>
        <v>4.0777489199486423</v>
      </c>
      <c r="Y45" s="1">
        <f t="shared" ca="1" si="17"/>
        <v>0.38891238552315982</v>
      </c>
      <c r="Z45" s="1">
        <f t="shared" ca="1" si="18"/>
        <v>526</v>
      </c>
      <c r="AB45" s="1">
        <f t="shared" ca="1" si="19"/>
        <v>0.52334655622220727</v>
      </c>
      <c r="AC45" s="1">
        <f t="shared" ca="1" si="20"/>
        <v>714</v>
      </c>
      <c r="AD45" s="1">
        <f t="shared" ca="1" si="21"/>
        <v>1.091052358612209E-4</v>
      </c>
      <c r="AE45" s="1"/>
      <c r="AF45" s="1">
        <f t="shared" ca="1" si="22"/>
        <v>0.86969718362080295</v>
      </c>
      <c r="AG45" s="1">
        <f t="shared" ca="1" si="23"/>
        <v>543</v>
      </c>
      <c r="AH45" s="1">
        <f t="shared" ca="1" si="24"/>
        <v>7.5770687566880024E-3</v>
      </c>
      <c r="AJ45" s="1">
        <f t="shared" ca="1" si="25"/>
        <v>0.39540347631311601</v>
      </c>
      <c r="AK45" s="1">
        <f t="shared" ca="1" si="26"/>
        <v>5.3691584107095399E-3</v>
      </c>
      <c r="AL45" s="1"/>
      <c r="AM45" s="1">
        <f t="shared" ca="1" si="27"/>
        <v>5.7216384832454163E-2</v>
      </c>
      <c r="AN45" s="1">
        <f t="shared" ca="1" si="28"/>
        <v>56</v>
      </c>
      <c r="AO45" s="1">
        <f t="shared" ca="1" si="29"/>
        <v>20</v>
      </c>
      <c r="AQ45" s="1">
        <f t="shared" ca="1" si="30"/>
        <v>81</v>
      </c>
      <c r="AR45" s="1">
        <f t="shared" ca="1" si="31"/>
        <v>9</v>
      </c>
      <c r="AS45" s="1">
        <f t="shared" ca="1" si="32"/>
        <v>48</v>
      </c>
      <c r="AU45" s="1">
        <f t="shared" ca="1" si="33"/>
        <v>122</v>
      </c>
      <c r="AV45" s="1">
        <f t="shared" ca="1" si="34"/>
        <v>4</v>
      </c>
      <c r="AW45" s="1">
        <f t="shared" ca="1" si="35"/>
        <v>3.6180488779537258E-2</v>
      </c>
      <c r="AY45" s="1">
        <f t="shared" ca="1" si="36"/>
        <v>1.661613606773779</v>
      </c>
      <c r="AZ45" s="1">
        <f t="shared" ca="1" si="37"/>
        <v>148</v>
      </c>
      <c r="BA45" s="1">
        <f t="shared" ca="1" si="38"/>
        <v>6.8692746662951478E-5</v>
      </c>
      <c r="BV45" s="1">
        <f t="shared" ca="1" si="39"/>
        <v>6.3207840794904616E-2</v>
      </c>
      <c r="BW45" s="1">
        <f t="shared" ca="1" si="40"/>
        <v>515</v>
      </c>
      <c r="BX45" s="1">
        <f t="shared" ca="1" si="41"/>
        <v>1.9161330635329326E-3</v>
      </c>
      <c r="BY45" s="1">
        <f t="shared" ca="1" si="42"/>
        <v>8.7469173912403941E-2</v>
      </c>
      <c r="BZ45" s="1">
        <f t="shared" ca="1" si="43"/>
        <v>0.49461421641407366</v>
      </c>
      <c r="CB45" s="1">
        <f t="shared" ca="1" si="44"/>
        <v>151</v>
      </c>
      <c r="CC45" s="1">
        <f t="shared" ca="1" si="45"/>
        <v>10</v>
      </c>
      <c r="CD45" s="1">
        <f t="shared" ca="1" si="46"/>
        <v>0.28460650832809342</v>
      </c>
      <c r="CE45" s="1">
        <f t="shared" ca="1" si="59"/>
        <v>0.90114846161451823</v>
      </c>
      <c r="CF45" s="1">
        <f t="shared" ca="1" si="59"/>
        <v>0.96143242086878722</v>
      </c>
      <c r="CH45" s="3">
        <f t="shared" ca="1" si="48"/>
        <v>0.61794537304173391</v>
      </c>
      <c r="CI45" s="3">
        <f t="shared" ca="1" si="49"/>
        <v>0.51910692312007056</v>
      </c>
      <c r="CJ45" s="3">
        <f t="shared" ca="1" si="50"/>
        <v>1635</v>
      </c>
      <c r="CK45" s="3">
        <f t="shared" ca="1" si="51"/>
        <v>9.7514966934591132E-3</v>
      </c>
      <c r="CL45" s="3">
        <f t="shared" ca="1" si="52"/>
        <v>1</v>
      </c>
      <c r="CM45" s="3"/>
      <c r="CN45" s="1">
        <f t="shared" ca="1" si="53"/>
        <v>10.231249918856886</v>
      </c>
      <c r="CO45" s="1">
        <f t="shared" ca="1" si="54"/>
        <v>0.23072954975239215</v>
      </c>
      <c r="CP45" s="1">
        <f t="shared" ca="1" si="55"/>
        <v>3</v>
      </c>
      <c r="DH45" s="1">
        <f t="shared" ca="1" si="56"/>
        <v>147</v>
      </c>
      <c r="DI45" s="1">
        <f t="shared" ca="1" si="57"/>
        <v>0.85904168141657455</v>
      </c>
      <c r="DJ45" s="1">
        <f t="shared" ca="1" si="58"/>
        <v>28</v>
      </c>
    </row>
    <row r="46" spans="2:114" x14ac:dyDescent="0.25">
      <c r="B46">
        <f t="shared" ca="1" si="0"/>
        <v>156</v>
      </c>
      <c r="C46">
        <f t="shared" ca="1" si="1"/>
        <v>26</v>
      </c>
      <c r="D46">
        <f t="shared" ca="1" si="2"/>
        <v>5.2652718586933989E-2</v>
      </c>
      <c r="F46" s="1">
        <f t="shared" ca="1" si="3"/>
        <v>40</v>
      </c>
      <c r="G46" s="1">
        <f t="shared" ca="1" si="4"/>
        <v>18</v>
      </c>
      <c r="H46" s="1">
        <f t="shared" ca="1" si="5"/>
        <v>4</v>
      </c>
      <c r="I46" s="1"/>
      <c r="J46" s="1">
        <f t="shared" ca="1" si="6"/>
        <v>7</v>
      </c>
      <c r="K46" s="1">
        <f t="shared" ca="1" si="7"/>
        <v>1.3164116308018188</v>
      </c>
      <c r="L46" s="1">
        <f t="shared" ca="1" si="8"/>
        <v>13</v>
      </c>
      <c r="M46" s="1"/>
      <c r="N46" s="1">
        <f t="shared" ca="1" si="9"/>
        <v>168</v>
      </c>
      <c r="O46" s="1">
        <f t="shared" ca="1" si="10"/>
        <v>21</v>
      </c>
      <c r="P46" s="1"/>
      <c r="Q46" s="1">
        <f t="shared" ca="1" si="11"/>
        <v>1.6153729107875008</v>
      </c>
      <c r="R46" s="1">
        <f t="shared" ca="1" si="12"/>
        <v>1094</v>
      </c>
      <c r="S46" s="1"/>
      <c r="T46" s="1">
        <f t="shared" ca="1" si="13"/>
        <v>5.1518929666210966E-2</v>
      </c>
      <c r="U46" s="1">
        <f t="shared" ca="1" si="14"/>
        <v>187</v>
      </c>
      <c r="V46" s="1">
        <f t="shared" ca="1" si="15"/>
        <v>22</v>
      </c>
      <c r="W46" s="1"/>
      <c r="X46" s="1">
        <f t="shared" ca="1" si="16"/>
        <v>7.4976411743922418</v>
      </c>
      <c r="Y46" s="1">
        <f t="shared" ca="1" si="17"/>
        <v>5.2360888271553038E-2</v>
      </c>
      <c r="Z46" s="1">
        <f t="shared" ca="1" si="18"/>
        <v>1336</v>
      </c>
      <c r="AB46" s="1">
        <f t="shared" ca="1" si="19"/>
        <v>0.79160472444566365</v>
      </c>
      <c r="AC46" s="1">
        <f t="shared" ca="1" si="20"/>
        <v>169</v>
      </c>
      <c r="AD46" s="1">
        <f t="shared" ca="1" si="21"/>
        <v>4.2535452037392955E-3</v>
      </c>
      <c r="AE46" s="1"/>
      <c r="AF46" s="1">
        <f t="shared" ca="1" si="22"/>
        <v>0.79668301532470287</v>
      </c>
      <c r="AG46" s="1">
        <f t="shared" ca="1" si="23"/>
        <v>518</v>
      </c>
      <c r="AH46" s="1">
        <f t="shared" ca="1" si="24"/>
        <v>5.6167615620030852E-3</v>
      </c>
      <c r="AJ46" s="1">
        <f t="shared" ca="1" si="25"/>
        <v>0.40769433229981045</v>
      </c>
      <c r="AK46" s="1">
        <f t="shared" ca="1" si="26"/>
        <v>3.1208347038636816E-3</v>
      </c>
      <c r="AL46" s="1"/>
      <c r="AM46" s="1">
        <f t="shared" ca="1" si="27"/>
        <v>0.19618991189245891</v>
      </c>
      <c r="AN46" s="1">
        <f t="shared" ca="1" si="28"/>
        <v>33</v>
      </c>
      <c r="AO46" s="1">
        <f t="shared" ca="1" si="29"/>
        <v>8</v>
      </c>
      <c r="AQ46" s="1">
        <f t="shared" ca="1" si="30"/>
        <v>91</v>
      </c>
      <c r="AR46" s="1">
        <f t="shared" ca="1" si="31"/>
        <v>8</v>
      </c>
      <c r="AS46" s="1">
        <f t="shared" ca="1" si="32"/>
        <v>54</v>
      </c>
      <c r="AU46" s="1">
        <f t="shared" ca="1" si="33"/>
        <v>85</v>
      </c>
      <c r="AV46" s="1">
        <f t="shared" ca="1" si="34"/>
        <v>5</v>
      </c>
      <c r="AW46" s="1">
        <f t="shared" ca="1" si="35"/>
        <v>0.13258576551487217</v>
      </c>
      <c r="AY46" s="1">
        <f t="shared" ca="1" si="36"/>
        <v>1.2197443935034458</v>
      </c>
      <c r="AZ46" s="1">
        <f t="shared" ca="1" si="37"/>
        <v>294</v>
      </c>
      <c r="BA46" s="1">
        <f t="shared" ca="1" si="38"/>
        <v>5.897699871929867E-3</v>
      </c>
      <c r="BV46" s="1">
        <f t="shared" ca="1" si="39"/>
        <v>0.21904245881398457</v>
      </c>
      <c r="BW46" s="1">
        <f t="shared" ca="1" si="40"/>
        <v>836</v>
      </c>
      <c r="BX46" s="1">
        <f t="shared" ca="1" si="41"/>
        <v>1.8912783508807469E-3</v>
      </c>
      <c r="BY46" s="1">
        <f t="shared" ca="1" si="42"/>
        <v>6.0988495142270206E-2</v>
      </c>
      <c r="BZ46" s="1">
        <f t="shared" ca="1" si="43"/>
        <v>0.64280856263427832</v>
      </c>
      <c r="CB46" s="1">
        <f t="shared" ca="1" si="44"/>
        <v>199</v>
      </c>
      <c r="CC46" s="1">
        <f t="shared" ca="1" si="45"/>
        <v>15</v>
      </c>
      <c r="CD46" s="1">
        <f t="shared" ca="1" si="46"/>
        <v>0.2505073003731968</v>
      </c>
      <c r="CE46" s="1">
        <f t="shared" ca="1" si="59"/>
        <v>0.63376013042230195</v>
      </c>
      <c r="CF46" s="1">
        <f t="shared" ca="1" si="59"/>
        <v>0.86191167216270514</v>
      </c>
      <c r="CH46" s="3">
        <f t="shared" ca="1" si="48"/>
        <v>0.98338962876998437</v>
      </c>
      <c r="CI46" s="3">
        <f t="shared" ca="1" si="49"/>
        <v>0.66017715838398416</v>
      </c>
      <c r="CJ46" s="3">
        <f t="shared" ca="1" si="50"/>
        <v>1183</v>
      </c>
      <c r="CK46" s="3">
        <f t="shared" ca="1" si="51"/>
        <v>1.1165094410006205E-3</v>
      </c>
      <c r="CL46" s="3">
        <f t="shared" ca="1" si="52"/>
        <v>1</v>
      </c>
      <c r="CM46" s="3"/>
      <c r="CN46" s="1">
        <f t="shared" ca="1" si="53"/>
        <v>11.630365677733757</v>
      </c>
      <c r="CO46" s="1">
        <f t="shared" ca="1" si="54"/>
        <v>0.19674534700465068</v>
      </c>
      <c r="CP46" s="1">
        <f t="shared" ca="1" si="55"/>
        <v>4</v>
      </c>
      <c r="DH46" s="1">
        <f t="shared" ca="1" si="56"/>
        <v>776</v>
      </c>
      <c r="DI46" s="1">
        <f t="shared" ca="1" si="57"/>
        <v>0.34123011264447134</v>
      </c>
      <c r="DJ46" s="1">
        <f t="shared" ca="1" si="58"/>
        <v>23</v>
      </c>
    </row>
    <row r="47" spans="2:114" x14ac:dyDescent="0.25">
      <c r="B47">
        <f t="shared" ca="1" si="0"/>
        <v>228</v>
      </c>
      <c r="C47">
        <f t="shared" ca="1" si="1"/>
        <v>5</v>
      </c>
      <c r="D47">
        <f t="shared" ca="1" si="2"/>
        <v>0.2918211960169359</v>
      </c>
      <c r="F47" s="1">
        <f t="shared" ca="1" si="3"/>
        <v>12</v>
      </c>
      <c r="G47" s="1">
        <f t="shared" ca="1" si="4"/>
        <v>18</v>
      </c>
      <c r="H47" s="1">
        <f t="shared" ca="1" si="5"/>
        <v>3</v>
      </c>
      <c r="I47" s="1"/>
      <c r="J47" s="1">
        <f t="shared" ca="1" si="6"/>
        <v>30</v>
      </c>
      <c r="K47" s="1">
        <f t="shared" ca="1" si="7"/>
        <v>2.4855039588904111</v>
      </c>
      <c r="L47" s="1">
        <f t="shared" ca="1" si="8"/>
        <v>34</v>
      </c>
      <c r="M47" s="1"/>
      <c r="N47" s="1">
        <f t="shared" ca="1" si="9"/>
        <v>977</v>
      </c>
      <c r="O47" s="1">
        <f t="shared" ca="1" si="10"/>
        <v>11</v>
      </c>
      <c r="P47" s="1"/>
      <c r="Q47" s="1">
        <f t="shared" ca="1" si="11"/>
        <v>4.4927993343850341</v>
      </c>
      <c r="R47" s="1">
        <f t="shared" ca="1" si="12"/>
        <v>1116</v>
      </c>
      <c r="S47" s="1"/>
      <c r="T47" s="1">
        <f t="shared" ca="1" si="13"/>
        <v>6.2994662232305668E-2</v>
      </c>
      <c r="U47" s="1">
        <f t="shared" ca="1" si="14"/>
        <v>112</v>
      </c>
      <c r="V47" s="1">
        <f t="shared" ca="1" si="15"/>
        <v>29</v>
      </c>
      <c r="W47" s="1"/>
      <c r="X47" s="1">
        <f t="shared" ca="1" si="16"/>
        <v>7.9672972213051052</v>
      </c>
      <c r="Y47" s="1">
        <f t="shared" ca="1" si="17"/>
        <v>0.23877456371557781</v>
      </c>
      <c r="Z47" s="1">
        <f t="shared" ca="1" si="18"/>
        <v>1861</v>
      </c>
      <c r="AB47" s="1">
        <f t="shared" ca="1" si="19"/>
        <v>0.57729270509291075</v>
      </c>
      <c r="AC47" s="1">
        <f t="shared" ca="1" si="20"/>
        <v>808</v>
      </c>
      <c r="AD47" s="1">
        <f t="shared" ca="1" si="21"/>
        <v>3.6349223609061813E-3</v>
      </c>
      <c r="AE47" s="1"/>
      <c r="AF47" s="1">
        <f t="shared" ca="1" si="22"/>
        <v>0.10451062702148972</v>
      </c>
      <c r="AG47" s="1">
        <f t="shared" ca="1" si="23"/>
        <v>217</v>
      </c>
      <c r="AH47" s="1">
        <f t="shared" ca="1" si="24"/>
        <v>8.6984046994698621E-3</v>
      </c>
      <c r="AJ47" s="1">
        <f t="shared" ca="1" si="25"/>
        <v>0.59410629737932785</v>
      </c>
      <c r="AK47" s="1">
        <f t="shared" ca="1" si="26"/>
        <v>3.4899410401401385E-3</v>
      </c>
      <c r="AL47" s="1"/>
      <c r="AM47" s="1">
        <f t="shared" ca="1" si="27"/>
        <v>0.19194452762366088</v>
      </c>
      <c r="AN47" s="1">
        <f t="shared" ca="1" si="28"/>
        <v>44</v>
      </c>
      <c r="AO47" s="1">
        <f t="shared" ca="1" si="29"/>
        <v>7</v>
      </c>
      <c r="AQ47" s="1">
        <f t="shared" ca="1" si="30"/>
        <v>12</v>
      </c>
      <c r="AR47" s="1">
        <f t="shared" ca="1" si="31"/>
        <v>4</v>
      </c>
      <c r="AS47" s="1">
        <f t="shared" ca="1" si="32"/>
        <v>37</v>
      </c>
      <c r="AU47" s="1">
        <f t="shared" ca="1" si="33"/>
        <v>194</v>
      </c>
      <c r="AV47" s="1">
        <f t="shared" ca="1" si="34"/>
        <v>5</v>
      </c>
      <c r="AW47" s="1">
        <f t="shared" ca="1" si="35"/>
        <v>7.3639201953006883E-2</v>
      </c>
      <c r="AY47" s="1">
        <f t="shared" ca="1" si="36"/>
        <v>1.9993806740630102</v>
      </c>
      <c r="AZ47" s="1">
        <f t="shared" ca="1" si="37"/>
        <v>361</v>
      </c>
      <c r="BA47" s="1">
        <f t="shared" ca="1" si="38"/>
        <v>5.9861940885971038E-3</v>
      </c>
      <c r="BV47" s="1">
        <f t="shared" ca="1" si="39"/>
        <v>0.37835259091351525</v>
      </c>
      <c r="BW47" s="1">
        <f t="shared" ca="1" si="40"/>
        <v>178</v>
      </c>
      <c r="BX47" s="1">
        <f t="shared" ca="1" si="41"/>
        <v>5.9669976732561218E-3</v>
      </c>
      <c r="BY47" s="1">
        <f t="shared" ca="1" si="42"/>
        <v>6.5465609121201848E-2</v>
      </c>
      <c r="BZ47" s="1">
        <f t="shared" ca="1" si="43"/>
        <v>0.89908795309504053</v>
      </c>
      <c r="CB47" s="1">
        <f t="shared" ca="1" si="44"/>
        <v>398</v>
      </c>
      <c r="CC47" s="1">
        <f t="shared" ca="1" si="45"/>
        <v>8</v>
      </c>
      <c r="CD47" s="1">
        <f t="shared" ca="1" si="46"/>
        <v>5.8376115541109407E-2</v>
      </c>
      <c r="CE47" s="1">
        <f t="shared" ca="1" si="59"/>
        <v>0.80272635480852983</v>
      </c>
      <c r="CF47" s="1">
        <f t="shared" ca="1" si="59"/>
        <v>0.55166939611343646</v>
      </c>
      <c r="CH47" s="3">
        <f t="shared" ca="1" si="48"/>
        <v>0.55080685327855461</v>
      </c>
      <c r="CI47" s="3">
        <f t="shared" ca="1" si="49"/>
        <v>2.1167984205617212E-2</v>
      </c>
      <c r="CJ47" s="3">
        <f t="shared" ca="1" si="50"/>
        <v>590</v>
      </c>
      <c r="CK47" s="3">
        <f t="shared" ca="1" si="51"/>
        <v>6.250332818932852E-3</v>
      </c>
      <c r="CL47" s="3">
        <f t="shared" ca="1" si="52"/>
        <v>0</v>
      </c>
      <c r="CM47" s="3"/>
      <c r="CN47" s="1">
        <f t="shared" ca="1" si="53"/>
        <v>13.292459742063091</v>
      </c>
      <c r="CO47" s="1">
        <f t="shared" ca="1" si="54"/>
        <v>0.28251556608430678</v>
      </c>
      <c r="CP47" s="1">
        <f t="shared" ca="1" si="55"/>
        <v>3</v>
      </c>
      <c r="DH47" s="1">
        <f t="shared" ca="1" si="56"/>
        <v>409</v>
      </c>
      <c r="DI47" s="1">
        <f t="shared" ca="1" si="57"/>
        <v>0.62078835111221409</v>
      </c>
      <c r="DJ47" s="1">
        <f t="shared" ca="1" si="58"/>
        <v>26</v>
      </c>
    </row>
    <row r="48" spans="2:114" x14ac:dyDescent="0.25">
      <c r="B48">
        <f t="shared" ca="1" si="0"/>
        <v>145</v>
      </c>
      <c r="C48">
        <f t="shared" ca="1" si="1"/>
        <v>30</v>
      </c>
      <c r="D48">
        <f t="shared" ca="1" si="2"/>
        <v>0.23972592624319863</v>
      </c>
      <c r="F48" s="1">
        <f t="shared" ca="1" si="3"/>
        <v>6</v>
      </c>
      <c r="G48" s="1">
        <f t="shared" ca="1" si="4"/>
        <v>17</v>
      </c>
      <c r="H48" s="1">
        <f t="shared" ca="1" si="5"/>
        <v>10</v>
      </c>
      <c r="I48" s="1"/>
      <c r="J48" s="1">
        <f t="shared" ca="1" si="6"/>
        <v>16</v>
      </c>
      <c r="K48" s="1">
        <f t="shared" ca="1" si="7"/>
        <v>2.6398026441395168</v>
      </c>
      <c r="L48" s="1">
        <f t="shared" ca="1" si="8"/>
        <v>10</v>
      </c>
      <c r="M48" s="1"/>
      <c r="N48" s="1">
        <f t="shared" ca="1" si="9"/>
        <v>452</v>
      </c>
      <c r="O48" s="1">
        <f t="shared" ca="1" si="10"/>
        <v>37</v>
      </c>
      <c r="P48" s="1"/>
      <c r="Q48" s="1">
        <f t="shared" ca="1" si="11"/>
        <v>0.78529693201455097</v>
      </c>
      <c r="R48" s="1">
        <f t="shared" ca="1" si="12"/>
        <v>829</v>
      </c>
      <c r="S48" s="1"/>
      <c r="T48" s="1">
        <f t="shared" ca="1" si="13"/>
        <v>0.14688324867774571</v>
      </c>
      <c r="U48" s="1">
        <f t="shared" ca="1" si="14"/>
        <v>140</v>
      </c>
      <c r="V48" s="1">
        <f t="shared" ca="1" si="15"/>
        <v>23</v>
      </c>
      <c r="W48" s="1"/>
      <c r="X48" s="1">
        <f t="shared" ca="1" si="16"/>
        <v>7.7425132522131648</v>
      </c>
      <c r="Y48" s="1">
        <f t="shared" ca="1" si="17"/>
        <v>0.77442589980899212</v>
      </c>
      <c r="Z48" s="1">
        <f t="shared" ca="1" si="18"/>
        <v>1072</v>
      </c>
      <c r="AB48" s="1">
        <f t="shared" ca="1" si="19"/>
        <v>0.94624480630289232</v>
      </c>
      <c r="AC48" s="1">
        <f t="shared" ca="1" si="20"/>
        <v>152</v>
      </c>
      <c r="AD48" s="1">
        <f t="shared" ca="1" si="21"/>
        <v>4.4860563773309976E-3</v>
      </c>
      <c r="AE48" s="1"/>
      <c r="AF48" s="1">
        <f t="shared" ca="1" si="22"/>
        <v>0.77826851197411584</v>
      </c>
      <c r="AG48" s="1">
        <f t="shared" ca="1" si="23"/>
        <v>120</v>
      </c>
      <c r="AH48" s="1">
        <f t="shared" ca="1" si="24"/>
        <v>2.1066977497858136E-3</v>
      </c>
      <c r="AJ48" s="1">
        <f t="shared" ca="1" si="25"/>
        <v>0.59237021726960337</v>
      </c>
      <c r="AK48" s="1">
        <f t="shared" ca="1" si="26"/>
        <v>1.4157154765166377E-3</v>
      </c>
      <c r="AL48" s="1"/>
      <c r="AM48" s="1">
        <f t="shared" ca="1" si="27"/>
        <v>7.8128403602030327E-2</v>
      </c>
      <c r="AN48" s="1">
        <f t="shared" ca="1" si="28"/>
        <v>34</v>
      </c>
      <c r="AO48" s="1">
        <f t="shared" ca="1" si="29"/>
        <v>0</v>
      </c>
      <c r="AQ48" s="1">
        <f t="shared" ca="1" si="30"/>
        <v>37</v>
      </c>
      <c r="AR48" s="1">
        <f t="shared" ca="1" si="31"/>
        <v>2</v>
      </c>
      <c r="AS48" s="1">
        <f t="shared" ca="1" si="32"/>
        <v>22</v>
      </c>
      <c r="AU48" s="1">
        <f t="shared" ca="1" si="33"/>
        <v>141</v>
      </c>
      <c r="AV48" s="1">
        <f t="shared" ca="1" si="34"/>
        <v>8</v>
      </c>
      <c r="AW48" s="1">
        <f t="shared" ca="1" si="35"/>
        <v>0.17724325508988259</v>
      </c>
      <c r="AY48" s="1">
        <f t="shared" ca="1" si="36"/>
        <v>1.467763269327981</v>
      </c>
      <c r="AZ48" s="1">
        <f t="shared" ca="1" si="37"/>
        <v>84</v>
      </c>
      <c r="BA48" s="1">
        <f t="shared" ca="1" si="38"/>
        <v>9.2749225378089863E-3</v>
      </c>
      <c r="BV48" s="1">
        <f t="shared" ca="1" si="39"/>
        <v>8.8094350842226304E-2</v>
      </c>
      <c r="BW48" s="1">
        <f t="shared" ca="1" si="40"/>
        <v>429</v>
      </c>
      <c r="BX48" s="1">
        <f t="shared" ca="1" si="41"/>
        <v>7.9654649456127151E-3</v>
      </c>
      <c r="BY48" s="1">
        <f t="shared" ca="1" si="42"/>
        <v>7.5814551222148502E-2</v>
      </c>
      <c r="BZ48" s="1">
        <f t="shared" ca="1" si="43"/>
        <v>0.43827739897989004</v>
      </c>
      <c r="CB48" s="1">
        <f t="shared" ca="1" si="44"/>
        <v>490</v>
      </c>
      <c r="CC48" s="1">
        <f t="shared" ca="1" si="45"/>
        <v>5</v>
      </c>
      <c r="CD48" s="1">
        <f t="shared" ca="1" si="46"/>
        <v>6.0951837229186463E-2</v>
      </c>
      <c r="CE48" s="1">
        <f t="shared" ca="1" si="59"/>
        <v>0.84796495611512501</v>
      </c>
      <c r="CF48" s="1">
        <f t="shared" ca="1" si="59"/>
        <v>0.62277908237302393</v>
      </c>
      <c r="CH48" s="3">
        <f t="shared" ca="1" si="48"/>
        <v>0.58904500575546626</v>
      </c>
      <c r="CI48" s="3">
        <f t="shared" ca="1" si="49"/>
        <v>0.30977250700664261</v>
      </c>
      <c r="CJ48" s="3">
        <f t="shared" ca="1" si="50"/>
        <v>221</v>
      </c>
      <c r="CK48" s="3">
        <f t="shared" ca="1" si="51"/>
        <v>2.7168273113360769E-3</v>
      </c>
      <c r="CL48" s="3">
        <f t="shared" ca="1" si="52"/>
        <v>1</v>
      </c>
      <c r="CM48" s="3"/>
      <c r="CN48" s="1">
        <f t="shared" ca="1" si="53"/>
        <v>8.6487510458928014</v>
      </c>
      <c r="CO48" s="1">
        <f t="shared" ca="1" si="54"/>
        <v>0.1816560341358468</v>
      </c>
      <c r="CP48" s="1">
        <f t="shared" ca="1" si="55"/>
        <v>2</v>
      </c>
      <c r="DH48" s="1">
        <f t="shared" ca="1" si="56"/>
        <v>393</v>
      </c>
      <c r="DI48" s="1">
        <f t="shared" ca="1" si="57"/>
        <v>0.24555701959915269</v>
      </c>
      <c r="DJ48" s="1">
        <f t="shared" ca="1" si="58"/>
        <v>19</v>
      </c>
    </row>
    <row r="49" spans="2:114" x14ac:dyDescent="0.25">
      <c r="B49">
        <f t="shared" ca="1" si="0"/>
        <v>722</v>
      </c>
      <c r="C49">
        <f t="shared" ca="1" si="1"/>
        <v>21</v>
      </c>
      <c r="D49">
        <f t="shared" ca="1" si="2"/>
        <v>0.14031489926733365</v>
      </c>
      <c r="F49" s="1">
        <f t="shared" ca="1" si="3"/>
        <v>22</v>
      </c>
      <c r="G49" s="1">
        <f t="shared" ca="1" si="4"/>
        <v>24</v>
      </c>
      <c r="H49" s="1">
        <f t="shared" ca="1" si="5"/>
        <v>3</v>
      </c>
      <c r="I49" s="1"/>
      <c r="J49" s="1">
        <f t="shared" ca="1" si="6"/>
        <v>7</v>
      </c>
      <c r="K49" s="1">
        <f t="shared" ca="1" si="7"/>
        <v>1.6108395814552776</v>
      </c>
      <c r="L49" s="1">
        <f t="shared" ca="1" si="8"/>
        <v>14</v>
      </c>
      <c r="M49" s="1"/>
      <c r="N49" s="1">
        <f t="shared" ca="1" si="9"/>
        <v>77</v>
      </c>
      <c r="O49" s="1">
        <f t="shared" ca="1" si="10"/>
        <v>16</v>
      </c>
      <c r="P49" s="1"/>
      <c r="Q49" s="1">
        <f t="shared" ca="1" si="11"/>
        <v>0.16022605763286782</v>
      </c>
      <c r="R49" s="1">
        <f t="shared" ca="1" si="12"/>
        <v>1127</v>
      </c>
      <c r="S49" s="1"/>
      <c r="T49" s="1">
        <f t="shared" ca="1" si="13"/>
        <v>5.2649687459881613E-2</v>
      </c>
      <c r="U49" s="1">
        <f t="shared" ca="1" si="14"/>
        <v>369</v>
      </c>
      <c r="V49" s="1">
        <f t="shared" ca="1" si="15"/>
        <v>35</v>
      </c>
      <c r="W49" s="1"/>
      <c r="X49" s="1">
        <f t="shared" ca="1" si="16"/>
        <v>2.9139010796386318</v>
      </c>
      <c r="Y49" s="1">
        <f t="shared" ca="1" si="17"/>
        <v>1.0140112155681127E-2</v>
      </c>
      <c r="Z49" s="1">
        <f t="shared" ca="1" si="18"/>
        <v>1121</v>
      </c>
      <c r="AB49" s="1">
        <f t="shared" ca="1" si="19"/>
        <v>0.5870938211803326</v>
      </c>
      <c r="AC49" s="1">
        <f t="shared" ca="1" si="20"/>
        <v>439</v>
      </c>
      <c r="AD49" s="1">
        <f t="shared" ca="1" si="21"/>
        <v>1.0176237158747658E-3</v>
      </c>
      <c r="AE49" s="1"/>
      <c r="AF49" s="1">
        <f t="shared" ca="1" si="22"/>
        <v>0.25142183772910009</v>
      </c>
      <c r="AG49" s="1">
        <f t="shared" ca="1" si="23"/>
        <v>338</v>
      </c>
      <c r="AH49" s="1">
        <f t="shared" ca="1" si="24"/>
        <v>7.7553472236252324E-4</v>
      </c>
      <c r="AJ49" s="1">
        <f t="shared" ca="1" si="25"/>
        <v>0.14399124227028337</v>
      </c>
      <c r="AK49" s="1">
        <f t="shared" ca="1" si="26"/>
        <v>5.9349988583549847E-3</v>
      </c>
      <c r="AL49" s="1"/>
      <c r="AM49" s="1">
        <f t="shared" ca="1" si="27"/>
        <v>0.19371280429878354</v>
      </c>
      <c r="AN49" s="1">
        <f t="shared" ca="1" si="28"/>
        <v>22</v>
      </c>
      <c r="AO49" s="1">
        <f t="shared" ca="1" si="29"/>
        <v>16</v>
      </c>
      <c r="AQ49" s="1">
        <f t="shared" ca="1" si="30"/>
        <v>166</v>
      </c>
      <c r="AR49" s="1">
        <f t="shared" ca="1" si="31"/>
        <v>9</v>
      </c>
      <c r="AS49" s="1">
        <f t="shared" ca="1" si="32"/>
        <v>55</v>
      </c>
      <c r="AU49" s="1">
        <f t="shared" ca="1" si="33"/>
        <v>338</v>
      </c>
      <c r="AV49" s="1">
        <f t="shared" ca="1" si="34"/>
        <v>9</v>
      </c>
      <c r="AW49" s="1">
        <f t="shared" ca="1" si="35"/>
        <v>1.3597283698951853E-2</v>
      </c>
      <c r="AY49" s="1">
        <f t="shared" ca="1" si="36"/>
        <v>1.5318821581758599</v>
      </c>
      <c r="AZ49" s="1">
        <f t="shared" ca="1" si="37"/>
        <v>180</v>
      </c>
      <c r="BA49" s="1">
        <f t="shared" ca="1" si="38"/>
        <v>1.4732531890505893E-3</v>
      </c>
      <c r="BV49" s="1">
        <f t="shared" ca="1" si="39"/>
        <v>0.48484044122812298</v>
      </c>
      <c r="BW49" s="1">
        <f t="shared" ca="1" si="40"/>
        <v>482</v>
      </c>
      <c r="BX49" s="1">
        <f t="shared" ca="1" si="41"/>
        <v>6.328705419839536E-3</v>
      </c>
      <c r="BY49" s="1">
        <f t="shared" ca="1" si="42"/>
        <v>6.0874846822960058E-2</v>
      </c>
      <c r="BZ49" s="1">
        <f t="shared" ca="1" si="43"/>
        <v>0.10497270375395873</v>
      </c>
      <c r="CB49" s="1">
        <f t="shared" ca="1" si="44"/>
        <v>474</v>
      </c>
      <c r="CC49" s="1">
        <f t="shared" ca="1" si="45"/>
        <v>8</v>
      </c>
      <c r="CD49" s="1">
        <f t="shared" ca="1" si="46"/>
        <v>0.23072090530519404</v>
      </c>
      <c r="CE49" s="1">
        <f t="shared" ca="1" si="59"/>
        <v>0.724871070529853</v>
      </c>
      <c r="CF49" s="1">
        <f t="shared" ca="1" si="59"/>
        <v>0.92940324011520736</v>
      </c>
      <c r="CH49" s="3">
        <f t="shared" ca="1" si="48"/>
        <v>0.69112205730036824</v>
      </c>
      <c r="CI49" s="3">
        <f t="shared" ca="1" si="49"/>
        <v>0.4729211067318641</v>
      </c>
      <c r="CJ49" s="3">
        <f t="shared" ca="1" si="50"/>
        <v>1827</v>
      </c>
      <c r="CK49" s="3">
        <f t="shared" ca="1" si="51"/>
        <v>2.8336918859544189E-3</v>
      </c>
      <c r="CL49" s="3">
        <f t="shared" ca="1" si="52"/>
        <v>1</v>
      </c>
      <c r="CM49" s="3"/>
      <c r="CN49" s="1">
        <f t="shared" ca="1" si="53"/>
        <v>4.5618882846802347</v>
      </c>
      <c r="CO49" s="1">
        <f t="shared" ca="1" si="54"/>
        <v>9.7478645784709494E-2</v>
      </c>
      <c r="CP49" s="1">
        <f t="shared" ca="1" si="55"/>
        <v>2</v>
      </c>
      <c r="DH49" s="1">
        <f t="shared" ca="1" si="56"/>
        <v>526</v>
      </c>
      <c r="DI49" s="1">
        <f t="shared" ca="1" si="57"/>
        <v>0.55668962766458163</v>
      </c>
      <c r="DJ49" s="1">
        <f t="shared" ca="1" si="58"/>
        <v>20</v>
      </c>
    </row>
    <row r="50" spans="2:114" x14ac:dyDescent="0.25">
      <c r="B50">
        <f t="shared" ca="1" si="0"/>
        <v>832</v>
      </c>
      <c r="C50">
        <f t="shared" ca="1" si="1"/>
        <v>13</v>
      </c>
      <c r="D50">
        <f t="shared" ca="1" si="2"/>
        <v>0.23659526926385693</v>
      </c>
      <c r="F50" s="1">
        <f t="shared" ca="1" si="3"/>
        <v>19</v>
      </c>
      <c r="G50" s="1">
        <f t="shared" ca="1" si="4"/>
        <v>29</v>
      </c>
      <c r="H50" s="1">
        <f t="shared" ca="1" si="5"/>
        <v>1</v>
      </c>
      <c r="I50" s="1"/>
      <c r="J50" s="1">
        <f t="shared" ca="1" si="6"/>
        <v>13</v>
      </c>
      <c r="K50" s="1">
        <f t="shared" ca="1" si="7"/>
        <v>1.5934303637792229</v>
      </c>
      <c r="L50" s="1">
        <f t="shared" ca="1" si="8"/>
        <v>34</v>
      </c>
      <c r="M50" s="1"/>
      <c r="N50" s="1">
        <f t="shared" ca="1" si="9"/>
        <v>635</v>
      </c>
      <c r="O50" s="1">
        <f t="shared" ca="1" si="10"/>
        <v>31</v>
      </c>
      <c r="P50" s="1"/>
      <c r="Q50" s="1">
        <f t="shared" ca="1" si="11"/>
        <v>4.8006897758646216</v>
      </c>
      <c r="R50" s="1">
        <f t="shared" ca="1" si="12"/>
        <v>559</v>
      </c>
      <c r="S50" s="1"/>
      <c r="T50" s="1">
        <f t="shared" ca="1" si="13"/>
        <v>0.19681184232542578</v>
      </c>
      <c r="U50" s="1">
        <f t="shared" ca="1" si="14"/>
        <v>433</v>
      </c>
      <c r="V50" s="1">
        <f t="shared" ca="1" si="15"/>
        <v>14</v>
      </c>
      <c r="W50" s="1"/>
      <c r="X50" s="1">
        <f t="shared" ca="1" si="16"/>
        <v>3.017018866347922</v>
      </c>
      <c r="Y50" s="1">
        <f t="shared" ca="1" si="17"/>
        <v>0.25952359363393662</v>
      </c>
      <c r="Z50" s="1">
        <f t="shared" ca="1" si="18"/>
        <v>1049</v>
      </c>
      <c r="AB50" s="1">
        <f t="shared" ca="1" si="19"/>
        <v>0.15420438267549044</v>
      </c>
      <c r="AC50" s="1">
        <f t="shared" ca="1" si="20"/>
        <v>608</v>
      </c>
      <c r="AD50" s="1">
        <f t="shared" ca="1" si="21"/>
        <v>1.2174348954644134E-3</v>
      </c>
      <c r="AE50" s="1"/>
      <c r="AF50" s="1">
        <f t="shared" ca="1" si="22"/>
        <v>0.57319205573548726</v>
      </c>
      <c r="AG50" s="1">
        <f t="shared" ca="1" si="23"/>
        <v>316</v>
      </c>
      <c r="AH50" s="1">
        <f t="shared" ca="1" si="24"/>
        <v>3.2797287390393484E-3</v>
      </c>
      <c r="AJ50" s="1">
        <f t="shared" ca="1" si="25"/>
        <v>0.74803905044058439</v>
      </c>
      <c r="AK50" s="1">
        <f t="shared" ca="1" si="26"/>
        <v>5.7001677804529643E-3</v>
      </c>
      <c r="AL50" s="1"/>
      <c r="AM50" s="1">
        <f t="shared" ca="1" si="27"/>
        <v>0.1103746816726093</v>
      </c>
      <c r="AN50" s="1">
        <f t="shared" ca="1" si="28"/>
        <v>17</v>
      </c>
      <c r="AO50" s="1">
        <f t="shared" ca="1" si="29"/>
        <v>5</v>
      </c>
      <c r="AQ50" s="1">
        <f t="shared" ca="1" si="30"/>
        <v>64</v>
      </c>
      <c r="AR50" s="1">
        <f t="shared" ca="1" si="31"/>
        <v>0</v>
      </c>
      <c r="AS50" s="1">
        <f t="shared" ca="1" si="32"/>
        <v>92</v>
      </c>
      <c r="AU50" s="1">
        <f t="shared" ca="1" si="33"/>
        <v>97</v>
      </c>
      <c r="AV50" s="1">
        <f t="shared" ca="1" si="34"/>
        <v>3</v>
      </c>
      <c r="AW50" s="1">
        <f t="shared" ca="1" si="35"/>
        <v>3.6147550542679367E-2</v>
      </c>
      <c r="AY50" s="1">
        <f t="shared" ca="1" si="36"/>
        <v>1.9394643646859451</v>
      </c>
      <c r="AZ50" s="1">
        <f t="shared" ca="1" si="37"/>
        <v>478</v>
      </c>
      <c r="BA50" s="1">
        <f t="shared" ca="1" si="38"/>
        <v>1.8317019085808718E-3</v>
      </c>
      <c r="BV50" s="1">
        <f t="shared" ca="1" si="39"/>
        <v>0.897101022737122</v>
      </c>
      <c r="BW50" s="1">
        <f t="shared" ca="1" si="40"/>
        <v>768</v>
      </c>
      <c r="BX50" s="1">
        <f t="shared" ca="1" si="41"/>
        <v>1.2911210357109894E-3</v>
      </c>
      <c r="BY50" s="1">
        <f t="shared" ca="1" si="42"/>
        <v>8.1482110862434176E-2</v>
      </c>
      <c r="BZ50" s="1">
        <f t="shared" ca="1" si="43"/>
        <v>0.43552761471106327</v>
      </c>
      <c r="CB50" s="1">
        <f t="shared" ca="1" si="44"/>
        <v>300</v>
      </c>
      <c r="CC50" s="1">
        <f t="shared" ca="1" si="45"/>
        <v>4</v>
      </c>
      <c r="CD50" s="1">
        <f t="shared" ca="1" si="46"/>
        <v>0.19448863573140415</v>
      </c>
      <c r="CE50" s="1">
        <f t="shared" ca="1" si="59"/>
        <v>0.62590186973397044</v>
      </c>
      <c r="CF50" s="1">
        <f t="shared" ca="1" si="59"/>
        <v>0.82828386828810796</v>
      </c>
      <c r="CH50" s="3">
        <f t="shared" ca="1" si="48"/>
        <v>0.94205494122962907</v>
      </c>
      <c r="CI50" s="3">
        <f t="shared" ca="1" si="49"/>
        <v>0.24888875799911481</v>
      </c>
      <c r="CJ50" s="3">
        <f t="shared" ca="1" si="50"/>
        <v>883</v>
      </c>
      <c r="CK50" s="3">
        <f t="shared" ca="1" si="51"/>
        <v>1.7824131853453214E-3</v>
      </c>
      <c r="CL50" s="3">
        <f t="shared" ca="1" si="52"/>
        <v>0</v>
      </c>
      <c r="CM50" s="3"/>
      <c r="CN50" s="1">
        <f t="shared" ca="1" si="53"/>
        <v>13.003997762533709</v>
      </c>
      <c r="CO50" s="1">
        <f t="shared" ca="1" si="54"/>
        <v>0.32890479922383442</v>
      </c>
      <c r="CP50" s="1">
        <f t="shared" ca="1" si="55"/>
        <v>2</v>
      </c>
      <c r="DH50" s="1">
        <f t="shared" ca="1" si="56"/>
        <v>93</v>
      </c>
      <c r="DI50" s="1">
        <f t="shared" ca="1" si="57"/>
        <v>0.46930078190482699</v>
      </c>
      <c r="DJ50" s="1">
        <f t="shared" ca="1" si="58"/>
        <v>19</v>
      </c>
    </row>
    <row r="51" spans="2:114" x14ac:dyDescent="0.25">
      <c r="B51">
        <f t="shared" ca="1" si="0"/>
        <v>207</v>
      </c>
      <c r="C51">
        <f t="shared" ca="1" si="1"/>
        <v>10</v>
      </c>
      <c r="D51">
        <f t="shared" ca="1" si="2"/>
        <v>0.23304806967437919</v>
      </c>
      <c r="F51" s="1">
        <f t="shared" ca="1" si="3"/>
        <v>37</v>
      </c>
      <c r="G51" s="1">
        <f t="shared" ca="1" si="4"/>
        <v>3</v>
      </c>
      <c r="H51" s="1">
        <f t="shared" ca="1" si="5"/>
        <v>4</v>
      </c>
      <c r="I51" s="1"/>
      <c r="J51" s="1">
        <f t="shared" ca="1" si="6"/>
        <v>33</v>
      </c>
      <c r="K51" s="1">
        <f t="shared" ca="1" si="7"/>
        <v>1.1108774153739047</v>
      </c>
      <c r="L51" s="1">
        <f t="shared" ca="1" si="8"/>
        <v>32</v>
      </c>
      <c r="M51" s="1"/>
      <c r="N51" s="1">
        <f t="shared" ca="1" si="9"/>
        <v>572</v>
      </c>
      <c r="O51" s="1">
        <f t="shared" ca="1" si="10"/>
        <v>37</v>
      </c>
      <c r="P51" s="1"/>
      <c r="Q51" s="1">
        <f t="shared" ca="1" si="11"/>
        <v>4.9414977292548548</v>
      </c>
      <c r="R51" s="1">
        <f t="shared" ca="1" si="12"/>
        <v>802</v>
      </c>
      <c r="S51" s="1"/>
      <c r="T51" s="1">
        <f t="shared" ca="1" si="13"/>
        <v>0.18664661315166595</v>
      </c>
      <c r="U51" s="1">
        <f t="shared" ca="1" si="14"/>
        <v>358</v>
      </c>
      <c r="V51" s="1">
        <f t="shared" ca="1" si="15"/>
        <v>3</v>
      </c>
      <c r="W51" s="1"/>
      <c r="X51" s="1">
        <f t="shared" ca="1" si="16"/>
        <v>1.2234726016261412</v>
      </c>
      <c r="Y51" s="1">
        <f t="shared" ca="1" si="17"/>
        <v>0.80439669118693602</v>
      </c>
      <c r="Z51" s="1">
        <f t="shared" ca="1" si="18"/>
        <v>391</v>
      </c>
      <c r="AB51" s="1">
        <f t="shared" ca="1" si="19"/>
        <v>0.70858529343498211</v>
      </c>
      <c r="AC51" s="1">
        <f t="shared" ca="1" si="20"/>
        <v>224</v>
      </c>
      <c r="AD51" s="1">
        <f t="shared" ca="1" si="21"/>
        <v>3.9391908232782122E-4</v>
      </c>
      <c r="AE51" s="1"/>
      <c r="AF51" s="1">
        <f t="shared" ca="1" si="22"/>
        <v>0.62735109937512712</v>
      </c>
      <c r="AG51" s="1">
        <f t="shared" ca="1" si="23"/>
        <v>440</v>
      </c>
      <c r="AH51" s="1">
        <f t="shared" ca="1" si="24"/>
        <v>5.0947569745731025E-3</v>
      </c>
      <c r="AJ51" s="1">
        <f t="shared" ca="1" si="25"/>
        <v>0.47029692916563648</v>
      </c>
      <c r="AK51" s="1">
        <f t="shared" ca="1" si="26"/>
        <v>4.7617202352396972E-3</v>
      </c>
      <c r="AL51" s="1"/>
      <c r="AM51" s="1">
        <f t="shared" ca="1" si="27"/>
        <v>0.19080178239367512</v>
      </c>
      <c r="AN51" s="1">
        <f t="shared" ca="1" si="28"/>
        <v>44</v>
      </c>
      <c r="AO51" s="1">
        <f t="shared" ca="1" si="29"/>
        <v>0</v>
      </c>
      <c r="AQ51" s="1">
        <f t="shared" ca="1" si="30"/>
        <v>15</v>
      </c>
      <c r="AR51" s="1">
        <f t="shared" ca="1" si="31"/>
        <v>2</v>
      </c>
      <c r="AS51" s="1">
        <f t="shared" ca="1" si="32"/>
        <v>68</v>
      </c>
      <c r="AU51" s="1">
        <f t="shared" ca="1" si="33"/>
        <v>118</v>
      </c>
      <c r="AV51" s="1">
        <f t="shared" ca="1" si="34"/>
        <v>3</v>
      </c>
      <c r="AW51" s="1">
        <f t="shared" ca="1" si="35"/>
        <v>3.3518838439496261E-2</v>
      </c>
      <c r="AY51" s="1">
        <f t="shared" ca="1" si="36"/>
        <v>1.343268023575289</v>
      </c>
      <c r="AZ51" s="1">
        <f t="shared" ca="1" si="37"/>
        <v>139</v>
      </c>
      <c r="BA51" s="1">
        <f t="shared" ca="1" si="38"/>
        <v>1.2458407002454842E-3</v>
      </c>
      <c r="BV51" s="1">
        <f t="shared" ca="1" si="39"/>
        <v>0.21317147313928916</v>
      </c>
      <c r="BW51" s="1">
        <f t="shared" ca="1" si="40"/>
        <v>603</v>
      </c>
      <c r="BX51" s="1">
        <f t="shared" ca="1" si="41"/>
        <v>5.3960487863356223E-4</v>
      </c>
      <c r="BY51" s="1">
        <f t="shared" ca="1" si="42"/>
        <v>3.8932262133489257E-2</v>
      </c>
      <c r="BZ51" s="1">
        <f t="shared" ca="1" si="43"/>
        <v>0.15136181772838109</v>
      </c>
      <c r="CB51" s="1">
        <f t="shared" ca="1" si="44"/>
        <v>484</v>
      </c>
      <c r="CC51" s="1">
        <f t="shared" ca="1" si="45"/>
        <v>11</v>
      </c>
      <c r="CD51" s="1">
        <f t="shared" ca="1" si="46"/>
        <v>8.8126119728010571E-2</v>
      </c>
      <c r="CE51" s="1">
        <f t="shared" ca="1" si="59"/>
        <v>0.81458008600118448</v>
      </c>
      <c r="CF51" s="1">
        <f t="shared" ca="1" si="59"/>
        <v>0.82933965353498196</v>
      </c>
      <c r="CH51" s="3">
        <f t="shared" ca="1" si="48"/>
        <v>0.17182012637848468</v>
      </c>
      <c r="CI51" s="3">
        <f t="shared" ca="1" si="49"/>
        <v>0.42352232797251244</v>
      </c>
      <c r="CJ51" s="3">
        <f t="shared" ca="1" si="50"/>
        <v>1300</v>
      </c>
      <c r="CK51" s="3">
        <f t="shared" ca="1" si="51"/>
        <v>5.5535557908054881E-4</v>
      </c>
      <c r="CL51" s="3">
        <f t="shared" ca="1" si="52"/>
        <v>0</v>
      </c>
      <c r="CM51" s="3"/>
      <c r="CN51" s="1">
        <f t="shared" ca="1" si="53"/>
        <v>17.18000355590825</v>
      </c>
      <c r="CO51" s="1">
        <f t="shared" ca="1" si="54"/>
        <v>0.19013911485504853</v>
      </c>
      <c r="CP51" s="1">
        <f t="shared" ca="1" si="55"/>
        <v>3</v>
      </c>
      <c r="DH51" s="1">
        <f t="shared" ca="1" si="56"/>
        <v>57</v>
      </c>
      <c r="DI51" s="1">
        <f t="shared" ca="1" si="57"/>
        <v>4.6083769336228625E-2</v>
      </c>
      <c r="DJ51" s="1">
        <f t="shared" ca="1" si="58"/>
        <v>8</v>
      </c>
    </row>
    <row r="52" spans="2:114" x14ac:dyDescent="0.25">
      <c r="B52">
        <f t="shared" ca="1" si="0"/>
        <v>984</v>
      </c>
      <c r="C52">
        <f t="shared" ca="1" si="1"/>
        <v>21</v>
      </c>
      <c r="D52">
        <f t="shared" ca="1" si="2"/>
        <v>1.5843789979117284E-2</v>
      </c>
      <c r="F52" s="1">
        <f t="shared" ca="1" si="3"/>
        <v>46</v>
      </c>
      <c r="G52" s="1">
        <f t="shared" ca="1" si="4"/>
        <v>10</v>
      </c>
      <c r="H52" s="1">
        <f t="shared" ca="1" si="5"/>
        <v>1</v>
      </c>
      <c r="I52" s="1"/>
      <c r="J52" s="1">
        <f t="shared" ca="1" si="6"/>
        <v>22</v>
      </c>
      <c r="K52" s="1">
        <f t="shared" ca="1" si="7"/>
        <v>1.1466230631976297</v>
      </c>
      <c r="L52" s="1">
        <f t="shared" ca="1" si="8"/>
        <v>5</v>
      </c>
      <c r="M52" s="1"/>
      <c r="N52" s="1">
        <f t="shared" ca="1" si="9"/>
        <v>418</v>
      </c>
      <c r="O52" s="1">
        <f t="shared" ca="1" si="10"/>
        <v>48</v>
      </c>
      <c r="P52" s="1"/>
      <c r="Q52" s="1">
        <f t="shared" ca="1" si="11"/>
        <v>1.0084187115408645</v>
      </c>
      <c r="R52" s="1">
        <f t="shared" ca="1" si="12"/>
        <v>440</v>
      </c>
      <c r="S52" s="1"/>
      <c r="T52" s="1">
        <f t="shared" ca="1" si="13"/>
        <v>4.2105361575148152E-2</v>
      </c>
      <c r="U52" s="1">
        <f t="shared" ca="1" si="14"/>
        <v>109</v>
      </c>
      <c r="V52" s="1">
        <f t="shared" ca="1" si="15"/>
        <v>7</v>
      </c>
      <c r="W52" s="1"/>
      <c r="X52" s="1">
        <f t="shared" ca="1" si="16"/>
        <v>6.7637969203528865</v>
      </c>
      <c r="Y52" s="1">
        <f t="shared" ca="1" si="17"/>
        <v>0.5349271917634757</v>
      </c>
      <c r="Z52" s="1">
        <f t="shared" ca="1" si="18"/>
        <v>1048</v>
      </c>
      <c r="AB52" s="1">
        <f t="shared" ca="1" si="19"/>
        <v>0.86472952610966414</v>
      </c>
      <c r="AC52" s="1">
        <f t="shared" ca="1" si="20"/>
        <v>136</v>
      </c>
      <c r="AD52" s="1">
        <f t="shared" ca="1" si="21"/>
        <v>5.2568868442252068E-3</v>
      </c>
      <c r="AE52" s="1"/>
      <c r="AF52" s="1">
        <f t="shared" ca="1" si="22"/>
        <v>0.32489760865317308</v>
      </c>
      <c r="AG52" s="1">
        <f t="shared" ca="1" si="23"/>
        <v>834</v>
      </c>
      <c r="AH52" s="1">
        <f t="shared" ca="1" si="24"/>
        <v>5.7276608951174974E-4</v>
      </c>
      <c r="AJ52" s="1">
        <f t="shared" ca="1" si="25"/>
        <v>8.7920405188593231E-2</v>
      </c>
      <c r="AK52" s="1">
        <f t="shared" ca="1" si="26"/>
        <v>9.5106861762862512E-4</v>
      </c>
      <c r="AL52" s="1"/>
      <c r="AM52" s="1">
        <f t="shared" ca="1" si="27"/>
        <v>2.4414954718201383E-2</v>
      </c>
      <c r="AN52" s="1">
        <f t="shared" ca="1" si="28"/>
        <v>47</v>
      </c>
      <c r="AO52" s="1">
        <f t="shared" ca="1" si="29"/>
        <v>6</v>
      </c>
      <c r="AQ52" s="1">
        <f t="shared" ca="1" si="30"/>
        <v>42</v>
      </c>
      <c r="AR52" s="1">
        <f t="shared" ca="1" si="31"/>
        <v>2</v>
      </c>
      <c r="AS52" s="1">
        <f t="shared" ca="1" si="32"/>
        <v>45</v>
      </c>
      <c r="AU52" s="1">
        <f t="shared" ca="1" si="33"/>
        <v>152</v>
      </c>
      <c r="AV52" s="1">
        <f t="shared" ca="1" si="34"/>
        <v>9</v>
      </c>
      <c r="AW52" s="1">
        <f t="shared" ca="1" si="35"/>
        <v>3.1649804464914222E-2</v>
      </c>
      <c r="AY52" s="1">
        <f t="shared" ca="1" si="36"/>
        <v>1.9769418055879586</v>
      </c>
      <c r="AZ52" s="1">
        <f t="shared" ca="1" si="37"/>
        <v>445</v>
      </c>
      <c r="BA52" s="1">
        <f t="shared" ca="1" si="38"/>
        <v>7.8143456113753465E-3</v>
      </c>
      <c r="BV52" s="1">
        <f t="shared" ca="1" si="39"/>
        <v>0.61048764638040831</v>
      </c>
      <c r="BW52" s="1">
        <f t="shared" ca="1" si="40"/>
        <v>700</v>
      </c>
      <c r="BX52" s="1">
        <f t="shared" ca="1" si="41"/>
        <v>5.1680626269066433E-4</v>
      </c>
      <c r="BY52" s="1">
        <f t="shared" ca="1" si="42"/>
        <v>2.8807203252632009E-2</v>
      </c>
      <c r="BZ52" s="1">
        <f t="shared" ca="1" si="43"/>
        <v>0.63302793986581984</v>
      </c>
      <c r="CB52" s="1">
        <f t="shared" ca="1" si="44"/>
        <v>262</v>
      </c>
      <c r="CC52" s="1">
        <f t="shared" ca="1" si="45"/>
        <v>10</v>
      </c>
      <c r="CD52" s="1">
        <f t="shared" ca="1" si="46"/>
        <v>0.13019010166000658</v>
      </c>
      <c r="CE52" s="1">
        <f t="shared" ca="1" si="59"/>
        <v>0.88306669125354387</v>
      </c>
      <c r="CF52" s="1">
        <f t="shared" ca="1" si="59"/>
        <v>0.56484805550629291</v>
      </c>
      <c r="CH52" s="3">
        <f t="shared" ca="1" si="48"/>
        <v>0.77463821106766317</v>
      </c>
      <c r="CI52" s="3">
        <f t="shared" ca="1" si="49"/>
        <v>0.41594618127493654</v>
      </c>
      <c r="CJ52" s="3">
        <f t="shared" ca="1" si="50"/>
        <v>1950</v>
      </c>
      <c r="CK52" s="3">
        <f t="shared" ca="1" si="51"/>
        <v>4.4127023755158217E-3</v>
      </c>
      <c r="CL52" s="3">
        <f t="shared" ca="1" si="52"/>
        <v>0</v>
      </c>
      <c r="CM52" s="3"/>
      <c r="CN52" s="1">
        <f t="shared" ca="1" si="53"/>
        <v>10.885748636278617</v>
      </c>
      <c r="CO52" s="1">
        <f t="shared" ca="1" si="54"/>
        <v>0.36622063757758139</v>
      </c>
      <c r="CP52" s="1">
        <f t="shared" ca="1" si="55"/>
        <v>2</v>
      </c>
      <c r="DH52" s="1">
        <f t="shared" ca="1" si="56"/>
        <v>77</v>
      </c>
      <c r="DI52" s="1">
        <f t="shared" ca="1" si="57"/>
        <v>0.92712756642093963</v>
      </c>
      <c r="DJ52" s="1">
        <f t="shared" ca="1" si="58"/>
        <v>4</v>
      </c>
    </row>
    <row r="53" spans="2:114" x14ac:dyDescent="0.25">
      <c r="B53">
        <f t="shared" ca="1" si="0"/>
        <v>759</v>
      </c>
      <c r="C53">
        <f t="shared" ca="1" si="1"/>
        <v>50</v>
      </c>
      <c r="D53">
        <f t="shared" ca="1" si="2"/>
        <v>0.19206656204679626</v>
      </c>
      <c r="F53" s="1">
        <f t="shared" ca="1" si="3"/>
        <v>32</v>
      </c>
      <c r="G53" s="1">
        <f t="shared" ca="1" si="4"/>
        <v>7</v>
      </c>
      <c r="H53" s="1">
        <f t="shared" ca="1" si="5"/>
        <v>9</v>
      </c>
      <c r="I53" s="1"/>
      <c r="J53" s="1">
        <f t="shared" ca="1" si="6"/>
        <v>33</v>
      </c>
      <c r="K53" s="1">
        <f t="shared" ca="1" si="7"/>
        <v>2.1918334589787163</v>
      </c>
      <c r="L53" s="1">
        <f t="shared" ca="1" si="8"/>
        <v>25</v>
      </c>
      <c r="M53" s="1"/>
      <c r="N53" s="1">
        <f t="shared" ca="1" si="9"/>
        <v>848</v>
      </c>
      <c r="O53" s="1">
        <f t="shared" ca="1" si="10"/>
        <v>26</v>
      </c>
      <c r="P53" s="1"/>
      <c r="Q53" s="1">
        <f t="shared" ca="1" si="11"/>
        <v>2.6928697295797823</v>
      </c>
      <c r="R53" s="1">
        <f t="shared" ca="1" si="12"/>
        <v>640</v>
      </c>
      <c r="S53" s="1"/>
      <c r="T53" s="1">
        <f t="shared" ca="1" si="13"/>
        <v>4.2487409704799334E-2</v>
      </c>
      <c r="U53" s="1">
        <f t="shared" ca="1" si="14"/>
        <v>289</v>
      </c>
      <c r="V53" s="1">
        <f t="shared" ca="1" si="15"/>
        <v>29</v>
      </c>
      <c r="W53" s="1"/>
      <c r="X53" s="1">
        <f t="shared" ca="1" si="16"/>
        <v>1.3673267329047836</v>
      </c>
      <c r="Y53" s="1">
        <f t="shared" ca="1" si="17"/>
        <v>0.68706319294395179</v>
      </c>
      <c r="Z53" s="1">
        <f t="shared" ca="1" si="18"/>
        <v>904</v>
      </c>
      <c r="AB53" s="1">
        <f t="shared" ca="1" si="19"/>
        <v>0.3875849447310642</v>
      </c>
      <c r="AC53" s="1">
        <f t="shared" ca="1" si="20"/>
        <v>313</v>
      </c>
      <c r="AD53" s="1">
        <f t="shared" ca="1" si="21"/>
        <v>1.5920411501782997E-3</v>
      </c>
      <c r="AE53" s="1"/>
      <c r="AF53" s="1">
        <f t="shared" ca="1" si="22"/>
        <v>0.27280361793447072</v>
      </c>
      <c r="AG53" s="1">
        <f t="shared" ca="1" si="23"/>
        <v>785</v>
      </c>
      <c r="AH53" s="1">
        <f t="shared" ca="1" si="24"/>
        <v>6.7254415674320219E-3</v>
      </c>
      <c r="AJ53" s="1">
        <f t="shared" ca="1" si="25"/>
        <v>0.94659529643927276</v>
      </c>
      <c r="AK53" s="1">
        <f t="shared" ca="1" si="26"/>
        <v>4.9230605325605815E-3</v>
      </c>
      <c r="AL53" s="1"/>
      <c r="AM53" s="1">
        <f t="shared" ca="1" si="27"/>
        <v>0.16514465728990024</v>
      </c>
      <c r="AN53" s="1">
        <f t="shared" ca="1" si="28"/>
        <v>36</v>
      </c>
      <c r="AO53" s="1">
        <f t="shared" ca="1" si="29"/>
        <v>11</v>
      </c>
      <c r="AQ53" s="1">
        <f t="shared" ca="1" si="30"/>
        <v>198</v>
      </c>
      <c r="AR53" s="1">
        <f t="shared" ca="1" si="31"/>
        <v>7</v>
      </c>
      <c r="AS53" s="1">
        <f t="shared" ca="1" si="32"/>
        <v>92</v>
      </c>
      <c r="AU53" s="1">
        <f t="shared" ca="1" si="33"/>
        <v>69</v>
      </c>
      <c r="AV53" s="1">
        <f t="shared" ca="1" si="34"/>
        <v>8</v>
      </c>
      <c r="AW53" s="1">
        <f t="shared" ca="1" si="35"/>
        <v>0.18857231254929899</v>
      </c>
      <c r="AY53" s="1">
        <f t="shared" ca="1" si="36"/>
        <v>1.3575498878854872</v>
      </c>
      <c r="AZ53" s="1">
        <f t="shared" ca="1" si="37"/>
        <v>480</v>
      </c>
      <c r="BA53" s="1">
        <f t="shared" ca="1" si="38"/>
        <v>5.4326980481377764E-3</v>
      </c>
      <c r="BV53" s="1">
        <f t="shared" ca="1" si="39"/>
        <v>0.99752331966321828</v>
      </c>
      <c r="BW53" s="1">
        <f t="shared" ca="1" si="40"/>
        <v>898</v>
      </c>
      <c r="BX53" s="1">
        <f t="shared" ca="1" si="41"/>
        <v>4.9042535225470411E-3</v>
      </c>
      <c r="BY53" s="1">
        <f t="shared" ca="1" si="42"/>
        <v>2.2357846268497104E-2</v>
      </c>
      <c r="BZ53" s="1">
        <f t="shared" ca="1" si="43"/>
        <v>0.40053220615738294</v>
      </c>
      <c r="CB53" s="1">
        <f t="shared" ca="1" si="44"/>
        <v>204</v>
      </c>
      <c r="CC53" s="1">
        <f t="shared" ca="1" si="45"/>
        <v>4</v>
      </c>
      <c r="CD53" s="1">
        <f t="shared" ca="1" si="46"/>
        <v>0.23337684316607946</v>
      </c>
      <c r="CE53" s="1">
        <f t="shared" ca="1" si="59"/>
        <v>0.69331889990262741</v>
      </c>
      <c r="CF53" s="1">
        <f t="shared" ca="1" si="59"/>
        <v>0.52882550121170291</v>
      </c>
      <c r="CH53" s="3">
        <f t="shared" ca="1" si="48"/>
        <v>0.55301538465229982</v>
      </c>
      <c r="CI53" s="3">
        <f t="shared" ca="1" si="49"/>
        <v>0.56938563060319991</v>
      </c>
      <c r="CJ53" s="3">
        <f t="shared" ca="1" si="50"/>
        <v>693</v>
      </c>
      <c r="CK53" s="3">
        <f t="shared" ca="1" si="51"/>
        <v>9.8969982018448175E-3</v>
      </c>
      <c r="CL53" s="3">
        <f t="shared" ca="1" si="52"/>
        <v>0</v>
      </c>
      <c r="CM53" s="3"/>
      <c r="CN53" s="1">
        <f t="shared" ca="1" si="53"/>
        <v>17.763936794557537</v>
      </c>
      <c r="CO53" s="1">
        <f t="shared" ca="1" si="54"/>
        <v>0.49041717579514549</v>
      </c>
      <c r="CP53" s="1">
        <f t="shared" ca="1" si="55"/>
        <v>2</v>
      </c>
      <c r="DH53" s="1">
        <f t="shared" ca="1" si="56"/>
        <v>634</v>
      </c>
      <c r="DI53" s="1">
        <f t="shared" ca="1" si="57"/>
        <v>0.72416213865215195</v>
      </c>
      <c r="DJ53" s="1">
        <f t="shared" ca="1" si="58"/>
        <v>23</v>
      </c>
    </row>
    <row r="54" spans="2:114" x14ac:dyDescent="0.25">
      <c r="B54">
        <f t="shared" ca="1" si="0"/>
        <v>206</v>
      </c>
      <c r="C54">
        <f t="shared" ca="1" si="1"/>
        <v>39</v>
      </c>
      <c r="D54">
        <f t="shared" ca="1" si="2"/>
        <v>0.28053274759696739</v>
      </c>
      <c r="F54" s="1">
        <f t="shared" ca="1" si="3"/>
        <v>20</v>
      </c>
      <c r="G54" s="1">
        <f t="shared" ca="1" si="4"/>
        <v>10</v>
      </c>
      <c r="H54" s="1">
        <f t="shared" ca="1" si="5"/>
        <v>7</v>
      </c>
      <c r="I54" s="1"/>
      <c r="J54" s="1">
        <f t="shared" ca="1" si="6"/>
        <v>5</v>
      </c>
      <c r="K54" s="1">
        <f t="shared" ca="1" si="7"/>
        <v>2.4917629570740361</v>
      </c>
      <c r="L54" s="1">
        <f t="shared" ca="1" si="8"/>
        <v>8</v>
      </c>
      <c r="M54" s="1"/>
      <c r="N54" s="1">
        <f t="shared" ca="1" si="9"/>
        <v>874</v>
      </c>
      <c r="O54" s="1">
        <f t="shared" ca="1" si="10"/>
        <v>24</v>
      </c>
      <c r="P54" s="1"/>
      <c r="Q54" s="1">
        <f t="shared" ca="1" si="11"/>
        <v>0.73915579122752639</v>
      </c>
      <c r="R54" s="1">
        <f t="shared" ca="1" si="12"/>
        <v>433</v>
      </c>
      <c r="S54" s="1"/>
      <c r="T54" s="1">
        <f t="shared" ca="1" si="13"/>
        <v>5.1873084398989584E-2</v>
      </c>
      <c r="U54" s="1">
        <f t="shared" ca="1" si="14"/>
        <v>389</v>
      </c>
      <c r="V54" s="1">
        <f t="shared" ca="1" si="15"/>
        <v>6</v>
      </c>
      <c r="W54" s="1"/>
      <c r="X54" s="1">
        <f t="shared" ca="1" si="16"/>
        <v>1.1531321112512574</v>
      </c>
      <c r="Y54" s="1">
        <f t="shared" ca="1" si="17"/>
        <v>0.51653514009234125</v>
      </c>
      <c r="Z54" s="1">
        <f t="shared" ca="1" si="18"/>
        <v>1668</v>
      </c>
      <c r="AB54" s="1">
        <f t="shared" ca="1" si="19"/>
        <v>0.64052038928327415</v>
      </c>
      <c r="AC54" s="1">
        <f t="shared" ca="1" si="20"/>
        <v>531</v>
      </c>
      <c r="AD54" s="1">
        <f t="shared" ca="1" si="21"/>
        <v>6.1132585506475578E-4</v>
      </c>
      <c r="AE54" s="1"/>
      <c r="AF54" s="1">
        <f t="shared" ca="1" si="22"/>
        <v>0.47417904793945798</v>
      </c>
      <c r="AG54" s="1">
        <f t="shared" ca="1" si="23"/>
        <v>842</v>
      </c>
      <c r="AH54" s="1">
        <f t="shared" ca="1" si="24"/>
        <v>1.9143028540531493E-3</v>
      </c>
      <c r="AJ54" s="1">
        <f t="shared" ca="1" si="25"/>
        <v>9.0120231928924932E-2</v>
      </c>
      <c r="AK54" s="1">
        <f t="shared" ca="1" si="26"/>
        <v>2.8679018762542232E-3</v>
      </c>
      <c r="AL54" s="1"/>
      <c r="AM54" s="1">
        <f t="shared" ca="1" si="27"/>
        <v>0.19476561950855598</v>
      </c>
      <c r="AN54" s="1">
        <f t="shared" ca="1" si="28"/>
        <v>67</v>
      </c>
      <c r="AO54" s="1">
        <f t="shared" ca="1" si="29"/>
        <v>12</v>
      </c>
      <c r="AQ54" s="1">
        <f t="shared" ca="1" si="30"/>
        <v>76</v>
      </c>
      <c r="AR54" s="1">
        <f t="shared" ca="1" si="31"/>
        <v>4</v>
      </c>
      <c r="AS54" s="1">
        <f t="shared" ca="1" si="32"/>
        <v>20</v>
      </c>
      <c r="AU54" s="1">
        <f t="shared" ca="1" si="33"/>
        <v>387</v>
      </c>
      <c r="AV54" s="1">
        <f t="shared" ca="1" si="34"/>
        <v>9</v>
      </c>
      <c r="AW54" s="1">
        <f t="shared" ca="1" si="35"/>
        <v>3.5340139211643154E-2</v>
      </c>
      <c r="AY54" s="1">
        <f t="shared" ca="1" si="36"/>
        <v>1.9702966907489881</v>
      </c>
      <c r="AZ54" s="1">
        <f t="shared" ca="1" si="37"/>
        <v>157</v>
      </c>
      <c r="BA54" s="1">
        <f t="shared" ca="1" si="38"/>
        <v>4.221599122032604E-3</v>
      </c>
      <c r="BV54" s="1">
        <f t="shared" ca="1" si="39"/>
        <v>0.57997945350439584</v>
      </c>
      <c r="BW54" s="1">
        <f t="shared" ca="1" si="40"/>
        <v>424</v>
      </c>
      <c r="BX54" s="1">
        <f t="shared" ca="1" si="41"/>
        <v>5.6630482953525631E-3</v>
      </c>
      <c r="BY54" s="1">
        <f t="shared" ca="1" si="42"/>
        <v>1.5021866024830488E-2</v>
      </c>
      <c r="BZ54" s="1">
        <f t="shared" ca="1" si="43"/>
        <v>0.92064248781189184</v>
      </c>
      <c r="CB54" s="1">
        <f t="shared" ca="1" si="44"/>
        <v>246</v>
      </c>
      <c r="CC54" s="1">
        <f t="shared" ca="1" si="45"/>
        <v>4</v>
      </c>
      <c r="CD54" s="1">
        <f t="shared" ca="1" si="46"/>
        <v>0.22744275649471921</v>
      </c>
      <c r="CE54" s="1">
        <f t="shared" ca="1" si="59"/>
        <v>0.85639286928740099</v>
      </c>
      <c r="CF54" s="1">
        <f t="shared" ca="1" si="59"/>
        <v>0.97622859875046042</v>
      </c>
      <c r="CH54" s="3">
        <f t="shared" ca="1" si="48"/>
        <v>0.95269461053921534</v>
      </c>
      <c r="CI54" s="3">
        <f t="shared" ca="1" si="49"/>
        <v>0.68620759177136437</v>
      </c>
      <c r="CJ54" s="3">
        <f t="shared" ca="1" si="50"/>
        <v>1822</v>
      </c>
      <c r="CK54" s="3">
        <f t="shared" ca="1" si="51"/>
        <v>2.4123438884501376E-3</v>
      </c>
      <c r="CL54" s="3">
        <f t="shared" ca="1" si="52"/>
        <v>0</v>
      </c>
      <c r="CM54" s="3"/>
      <c r="CN54" s="1">
        <f t="shared" ca="1" si="53"/>
        <v>3.8883174916265717</v>
      </c>
      <c r="CO54" s="1">
        <f t="shared" ca="1" si="54"/>
        <v>0.42920306510954032</v>
      </c>
      <c r="CP54" s="1">
        <f t="shared" ca="1" si="55"/>
        <v>4</v>
      </c>
      <c r="DH54" s="1">
        <f t="shared" ca="1" si="56"/>
        <v>459</v>
      </c>
      <c r="DI54" s="1">
        <f t="shared" ca="1" si="57"/>
        <v>0.51538560764191554</v>
      </c>
      <c r="DJ54" s="1">
        <f t="shared" ca="1" si="58"/>
        <v>23</v>
      </c>
    </row>
    <row r="55" spans="2:114" x14ac:dyDescent="0.25">
      <c r="B55">
        <f t="shared" ca="1" si="0"/>
        <v>918</v>
      </c>
      <c r="C55">
        <f t="shared" ca="1" si="1"/>
        <v>34</v>
      </c>
      <c r="D55">
        <f t="shared" ca="1" si="2"/>
        <v>0.24314560757592676</v>
      </c>
      <c r="F55" s="1">
        <f t="shared" ca="1" si="3"/>
        <v>48</v>
      </c>
      <c r="G55" s="1">
        <f t="shared" ca="1" si="4"/>
        <v>8</v>
      </c>
      <c r="H55" s="1">
        <f t="shared" ca="1" si="5"/>
        <v>9</v>
      </c>
      <c r="I55" s="1"/>
      <c r="J55" s="1">
        <f t="shared" ca="1" si="6"/>
        <v>29</v>
      </c>
      <c r="K55" s="1">
        <f t="shared" ca="1" si="7"/>
        <v>1.4794578239664737</v>
      </c>
      <c r="L55" s="1">
        <f t="shared" ca="1" si="8"/>
        <v>32</v>
      </c>
      <c r="M55" s="1"/>
      <c r="N55" s="1">
        <f t="shared" ca="1" si="9"/>
        <v>274</v>
      </c>
      <c r="O55" s="1">
        <f t="shared" ca="1" si="10"/>
        <v>36</v>
      </c>
      <c r="P55" s="1"/>
      <c r="Q55" s="1">
        <f t="shared" ca="1" si="11"/>
        <v>1.8085162461497604</v>
      </c>
      <c r="R55" s="1">
        <f t="shared" ca="1" si="12"/>
        <v>752</v>
      </c>
      <c r="S55" s="1"/>
      <c r="T55" s="1">
        <f t="shared" ca="1" si="13"/>
        <v>3.0105877655490595E-2</v>
      </c>
      <c r="U55" s="1">
        <f t="shared" ca="1" si="14"/>
        <v>358</v>
      </c>
      <c r="V55" s="1">
        <f t="shared" ca="1" si="15"/>
        <v>16</v>
      </c>
      <c r="W55" s="1"/>
      <c r="X55" s="1">
        <f t="shared" ca="1" si="16"/>
        <v>2.6359114991453314</v>
      </c>
      <c r="Y55" s="1">
        <f t="shared" ca="1" si="17"/>
        <v>0.1346335008288703</v>
      </c>
      <c r="Z55" s="1">
        <f t="shared" ca="1" si="18"/>
        <v>1048</v>
      </c>
      <c r="AB55" s="1">
        <f t="shared" ca="1" si="19"/>
        <v>0.24444029586087185</v>
      </c>
      <c r="AC55" s="1">
        <f t="shared" ca="1" si="20"/>
        <v>741</v>
      </c>
      <c r="AD55" s="1">
        <f t="shared" ca="1" si="21"/>
        <v>9.6982551694230776E-4</v>
      </c>
      <c r="AE55" s="1"/>
      <c r="AF55" s="1">
        <f t="shared" ca="1" si="22"/>
        <v>0.50603490167155085</v>
      </c>
      <c r="AG55" s="1">
        <f t="shared" ca="1" si="23"/>
        <v>563</v>
      </c>
      <c r="AH55" s="1">
        <f t="shared" ca="1" si="24"/>
        <v>1.9337033702060363E-5</v>
      </c>
      <c r="AJ55" s="1">
        <f t="shared" ca="1" si="25"/>
        <v>0.51621991302213288</v>
      </c>
      <c r="AK55" s="1">
        <f t="shared" ca="1" si="26"/>
        <v>5.4419838173116386E-3</v>
      </c>
      <c r="AL55" s="1"/>
      <c r="AM55" s="1">
        <f t="shared" ca="1" si="27"/>
        <v>1.9657685234667637E-2</v>
      </c>
      <c r="AN55" s="1">
        <f t="shared" ca="1" si="28"/>
        <v>33</v>
      </c>
      <c r="AO55" s="1">
        <f t="shared" ca="1" si="29"/>
        <v>1</v>
      </c>
      <c r="AQ55" s="1">
        <f t="shared" ca="1" si="30"/>
        <v>181</v>
      </c>
      <c r="AR55" s="1">
        <f t="shared" ca="1" si="31"/>
        <v>3</v>
      </c>
      <c r="AS55" s="1">
        <f t="shared" ca="1" si="32"/>
        <v>53</v>
      </c>
      <c r="AU55" s="1">
        <f t="shared" ca="1" si="33"/>
        <v>381</v>
      </c>
      <c r="AV55" s="1">
        <f t="shared" ca="1" si="34"/>
        <v>8</v>
      </c>
      <c r="AW55" s="1">
        <f t="shared" ca="1" si="35"/>
        <v>9.9174005764491729E-2</v>
      </c>
      <c r="AY55" s="1">
        <f t="shared" ca="1" si="36"/>
        <v>1.8972729117744163</v>
      </c>
      <c r="AZ55" s="1">
        <f t="shared" ca="1" si="37"/>
        <v>154</v>
      </c>
      <c r="BA55" s="1">
        <f t="shared" ca="1" si="38"/>
        <v>4.8882736644816393E-3</v>
      </c>
      <c r="BV55" s="1">
        <f t="shared" ca="1" si="39"/>
        <v>0.38335129543191265</v>
      </c>
      <c r="BW55" s="1">
        <f t="shared" ca="1" si="40"/>
        <v>104</v>
      </c>
      <c r="BX55" s="1">
        <f t="shared" ca="1" si="41"/>
        <v>5.5105280649731204E-3</v>
      </c>
      <c r="BY55" s="1">
        <f t="shared" ca="1" si="42"/>
        <v>7.5482107126633918E-2</v>
      </c>
      <c r="BZ55" s="1">
        <f t="shared" ca="1" si="43"/>
        <v>0.54504024822720876</v>
      </c>
      <c r="CB55" s="1">
        <f t="shared" ca="1" si="44"/>
        <v>311</v>
      </c>
      <c r="CC55" s="1">
        <f t="shared" ca="1" si="45"/>
        <v>4</v>
      </c>
      <c r="CD55" s="1">
        <f t="shared" ca="1" si="46"/>
        <v>0.28456748553336753</v>
      </c>
      <c r="CE55" s="1">
        <f t="shared" ca="1" si="59"/>
        <v>0.78085073696762919</v>
      </c>
      <c r="CF55" s="1">
        <f t="shared" ca="1" si="59"/>
        <v>0.98430762002553784</v>
      </c>
      <c r="CH55" s="3">
        <f t="shared" ca="1" si="48"/>
        <v>0.25347609731506837</v>
      </c>
      <c r="CI55" s="3">
        <f t="shared" ca="1" si="49"/>
        <v>0.19894616150369768</v>
      </c>
      <c r="CJ55" s="3">
        <f t="shared" ca="1" si="50"/>
        <v>1501</v>
      </c>
      <c r="CK55" s="3">
        <f t="shared" ca="1" si="51"/>
        <v>3.3698503462571317E-3</v>
      </c>
      <c r="CL55" s="3">
        <f t="shared" ca="1" si="52"/>
        <v>0</v>
      </c>
      <c r="CM55" s="3"/>
      <c r="CN55" s="1">
        <f t="shared" ca="1" si="53"/>
        <v>4.7176000296048652</v>
      </c>
      <c r="CO55" s="1">
        <f t="shared" ca="1" si="54"/>
        <v>0.40098293217518249</v>
      </c>
      <c r="CP55" s="1">
        <f t="shared" ca="1" si="55"/>
        <v>1</v>
      </c>
      <c r="DH55" s="1">
        <f t="shared" ca="1" si="56"/>
        <v>89</v>
      </c>
      <c r="DI55" s="1">
        <f t="shared" ca="1" si="57"/>
        <v>0.64758691482124042</v>
      </c>
      <c r="DJ55" s="1">
        <f t="shared" ca="1" si="58"/>
        <v>15</v>
      </c>
    </row>
    <row r="56" spans="2:114" x14ac:dyDescent="0.25">
      <c r="B56">
        <f t="shared" ca="1" si="0"/>
        <v>825</v>
      </c>
      <c r="C56">
        <f t="shared" ca="1" si="1"/>
        <v>3</v>
      </c>
      <c r="D56">
        <f t="shared" ca="1" si="2"/>
        <v>1.7730209984581219E-2</v>
      </c>
      <c r="F56" s="1">
        <f t="shared" ca="1" si="3"/>
        <v>49</v>
      </c>
      <c r="G56" s="1">
        <f t="shared" ca="1" si="4"/>
        <v>19</v>
      </c>
      <c r="H56" s="1">
        <f t="shared" ca="1" si="5"/>
        <v>6</v>
      </c>
      <c r="I56" s="1"/>
      <c r="J56" s="1">
        <f t="shared" ca="1" si="6"/>
        <v>21</v>
      </c>
      <c r="K56" s="1">
        <f t="shared" ca="1" si="7"/>
        <v>1.7663033223003919</v>
      </c>
      <c r="L56" s="1">
        <f t="shared" ca="1" si="8"/>
        <v>12</v>
      </c>
      <c r="M56" s="1"/>
      <c r="N56" s="1">
        <f t="shared" ca="1" si="9"/>
        <v>80</v>
      </c>
      <c r="O56" s="1">
        <f t="shared" ca="1" si="10"/>
        <v>24</v>
      </c>
      <c r="P56" s="1"/>
      <c r="Q56" s="1">
        <f t="shared" ca="1" si="11"/>
        <v>1.856722989887575</v>
      </c>
      <c r="R56" s="1">
        <f t="shared" ca="1" si="12"/>
        <v>981</v>
      </c>
      <c r="S56" s="1"/>
      <c r="T56" s="1">
        <f t="shared" ca="1" si="13"/>
        <v>2.6611414145376912E-2</v>
      </c>
      <c r="U56" s="1">
        <f t="shared" ca="1" si="14"/>
        <v>393</v>
      </c>
      <c r="V56" s="1">
        <f t="shared" ca="1" si="15"/>
        <v>46</v>
      </c>
      <c r="W56" s="1"/>
      <c r="X56" s="1">
        <f t="shared" ca="1" si="16"/>
        <v>4.9377936612870688</v>
      </c>
      <c r="Y56" s="1">
        <f t="shared" ca="1" si="17"/>
        <v>2.7927304917978096E-2</v>
      </c>
      <c r="Z56" s="1">
        <f t="shared" ca="1" si="18"/>
        <v>1785</v>
      </c>
      <c r="AB56" s="1">
        <f t="shared" ca="1" si="19"/>
        <v>0.13227275155585674</v>
      </c>
      <c r="AC56" s="1">
        <f t="shared" ca="1" si="20"/>
        <v>765</v>
      </c>
      <c r="AD56" s="1">
        <f t="shared" ca="1" si="21"/>
        <v>8.1360781005753141E-4</v>
      </c>
      <c r="AE56" s="1"/>
      <c r="AF56" s="1">
        <f t="shared" ca="1" si="22"/>
        <v>0.15876373434994209</v>
      </c>
      <c r="AG56" s="1">
        <f t="shared" ca="1" si="23"/>
        <v>434</v>
      </c>
      <c r="AH56" s="1">
        <f t="shared" ca="1" si="24"/>
        <v>2.228882040941061E-3</v>
      </c>
      <c r="AJ56" s="1">
        <f t="shared" ca="1" si="25"/>
        <v>0.11987881562123681</v>
      </c>
      <c r="AK56" s="1">
        <f t="shared" ca="1" si="26"/>
        <v>3.1279487093787413E-3</v>
      </c>
      <c r="AL56" s="1"/>
      <c r="AM56" s="1">
        <f t="shared" ca="1" si="27"/>
        <v>8.0045030192821165E-2</v>
      </c>
      <c r="AN56" s="1">
        <f t="shared" ca="1" si="28"/>
        <v>27</v>
      </c>
      <c r="AO56" s="1">
        <f t="shared" ca="1" si="29"/>
        <v>19</v>
      </c>
      <c r="AQ56" s="1">
        <f t="shared" ca="1" si="30"/>
        <v>40</v>
      </c>
      <c r="AR56" s="1">
        <f t="shared" ca="1" si="31"/>
        <v>9</v>
      </c>
      <c r="AS56" s="1">
        <f t="shared" ca="1" si="32"/>
        <v>35</v>
      </c>
      <c r="AU56" s="1">
        <f t="shared" ca="1" si="33"/>
        <v>93</v>
      </c>
      <c r="AV56" s="1">
        <f t="shared" ca="1" si="34"/>
        <v>2</v>
      </c>
      <c r="AW56" s="1">
        <f t="shared" ca="1" si="35"/>
        <v>0.17710854062830406</v>
      </c>
      <c r="AY56" s="1">
        <f t="shared" ca="1" si="36"/>
        <v>1.1489439733587372</v>
      </c>
      <c r="AZ56" s="1">
        <f t="shared" ca="1" si="37"/>
        <v>278</v>
      </c>
      <c r="BA56" s="1">
        <f t="shared" ca="1" si="38"/>
        <v>8.322171126786071E-3</v>
      </c>
      <c r="BV56" s="1">
        <f t="shared" ca="1" si="39"/>
        <v>0.40270409106925964</v>
      </c>
      <c r="BW56" s="1">
        <f t="shared" ca="1" si="40"/>
        <v>707</v>
      </c>
      <c r="BX56" s="1">
        <f t="shared" ca="1" si="41"/>
        <v>1.0463670886069038E-3</v>
      </c>
      <c r="BY56" s="1">
        <f t="shared" ca="1" si="42"/>
        <v>2.0087858774963503E-2</v>
      </c>
      <c r="BZ56" s="1">
        <f t="shared" ca="1" si="43"/>
        <v>0.46050833470509833</v>
      </c>
      <c r="CB56" s="1">
        <f t="shared" ca="1" si="44"/>
        <v>72</v>
      </c>
      <c r="CC56" s="1">
        <f t="shared" ca="1" si="45"/>
        <v>10</v>
      </c>
      <c r="CD56" s="1">
        <f t="shared" ca="1" si="46"/>
        <v>0.2871007084921921</v>
      </c>
      <c r="CE56" s="1">
        <f t="shared" ca="1" si="59"/>
        <v>0.98863881156476174</v>
      </c>
      <c r="CF56" s="1">
        <f t="shared" ca="1" si="59"/>
        <v>0.67828569065865152</v>
      </c>
      <c r="CH56" s="3">
        <f t="shared" ca="1" si="48"/>
        <v>0.74076004482190139</v>
      </c>
      <c r="CI56" s="3">
        <f t="shared" ca="1" si="49"/>
        <v>0.84104193363303692</v>
      </c>
      <c r="CJ56" s="3">
        <f t="shared" ca="1" si="50"/>
        <v>1011</v>
      </c>
      <c r="CK56" s="3">
        <f t="shared" ca="1" si="51"/>
        <v>3.8181750251380222E-4</v>
      </c>
      <c r="CL56" s="3">
        <f t="shared" ca="1" si="52"/>
        <v>1</v>
      </c>
      <c r="CM56" s="3"/>
      <c r="CN56" s="1">
        <f t="shared" ca="1" si="53"/>
        <v>17.189357954118446</v>
      </c>
      <c r="CO56" s="1">
        <f t="shared" ca="1" si="54"/>
        <v>0.26145312266285947</v>
      </c>
      <c r="CP56" s="1">
        <f t="shared" ca="1" si="55"/>
        <v>4</v>
      </c>
      <c r="DH56" s="1">
        <f t="shared" ca="1" si="56"/>
        <v>744</v>
      </c>
      <c r="DI56" s="1">
        <f t="shared" ca="1" si="57"/>
        <v>0.11371318877882258</v>
      </c>
      <c r="DJ56" s="1">
        <f t="shared" ca="1" si="58"/>
        <v>7</v>
      </c>
    </row>
    <row r="57" spans="2:114" x14ac:dyDescent="0.25">
      <c r="B57">
        <f t="shared" ca="1" si="0"/>
        <v>710</v>
      </c>
      <c r="C57">
        <f t="shared" ca="1" si="1"/>
        <v>52</v>
      </c>
      <c r="D57">
        <f t="shared" ca="1" si="2"/>
        <v>0.11399055285430004</v>
      </c>
      <c r="F57" s="1">
        <f t="shared" ca="1" si="3"/>
        <v>16</v>
      </c>
      <c r="G57" s="1">
        <f t="shared" ca="1" si="4"/>
        <v>21</v>
      </c>
      <c r="H57" s="1">
        <f t="shared" ca="1" si="5"/>
        <v>15</v>
      </c>
      <c r="I57" s="1"/>
      <c r="J57" s="1">
        <f t="shared" ca="1" si="6"/>
        <v>14</v>
      </c>
      <c r="K57" s="1">
        <f t="shared" ca="1" si="7"/>
        <v>1.1979474319169785</v>
      </c>
      <c r="L57" s="1">
        <f t="shared" ca="1" si="8"/>
        <v>3</v>
      </c>
      <c r="M57" s="1"/>
      <c r="N57" s="1">
        <f t="shared" ca="1" si="9"/>
        <v>171</v>
      </c>
      <c r="O57" s="1">
        <f t="shared" ca="1" si="10"/>
        <v>34</v>
      </c>
      <c r="P57" s="1"/>
      <c r="Q57" s="1">
        <f t="shared" ca="1" si="11"/>
        <v>3.5340628847539479</v>
      </c>
      <c r="R57" s="1">
        <f t="shared" ca="1" si="12"/>
        <v>252</v>
      </c>
      <c r="S57" s="1"/>
      <c r="T57" s="1">
        <f t="shared" ca="1" si="13"/>
        <v>2.8603852701367997E-2</v>
      </c>
      <c r="U57" s="1">
        <f t="shared" ca="1" si="14"/>
        <v>408</v>
      </c>
      <c r="V57" s="1">
        <f t="shared" ca="1" si="15"/>
        <v>23</v>
      </c>
      <c r="W57" s="1"/>
      <c r="X57" s="1">
        <f t="shared" ca="1" si="16"/>
        <v>1.1975548827808198</v>
      </c>
      <c r="Y57" s="1">
        <f t="shared" ca="1" si="17"/>
        <v>0.94875113613959405</v>
      </c>
      <c r="Z57" s="1">
        <f t="shared" ca="1" si="18"/>
        <v>759</v>
      </c>
      <c r="AB57" s="1">
        <f t="shared" ca="1" si="19"/>
        <v>0.58689086698815351</v>
      </c>
      <c r="AC57" s="1">
        <f t="shared" ca="1" si="20"/>
        <v>753</v>
      </c>
      <c r="AD57" s="1">
        <f t="shared" ca="1" si="21"/>
        <v>4.8020053614842659E-3</v>
      </c>
      <c r="AE57" s="1"/>
      <c r="AF57" s="1">
        <f t="shared" ca="1" si="22"/>
        <v>0.70040864325081276</v>
      </c>
      <c r="AG57" s="1">
        <f t="shared" ca="1" si="23"/>
        <v>164</v>
      </c>
      <c r="AH57" s="1">
        <f t="shared" ca="1" si="24"/>
        <v>2.4856903502972925E-3</v>
      </c>
      <c r="AJ57" s="1">
        <f t="shared" ca="1" si="25"/>
        <v>0.43358916419854943</v>
      </c>
      <c r="AK57" s="1">
        <f t="shared" ca="1" si="26"/>
        <v>4.9167291560980502E-3</v>
      </c>
      <c r="AL57" s="1"/>
      <c r="AM57" s="1">
        <f t="shared" ca="1" si="27"/>
        <v>0.12687092729933258</v>
      </c>
      <c r="AN57" s="1">
        <f t="shared" ca="1" si="28"/>
        <v>11</v>
      </c>
      <c r="AO57" s="1">
        <f t="shared" ca="1" si="29"/>
        <v>2</v>
      </c>
      <c r="AQ57" s="1">
        <f t="shared" ca="1" si="30"/>
        <v>97</v>
      </c>
      <c r="AR57" s="1">
        <f t="shared" ca="1" si="31"/>
        <v>5</v>
      </c>
      <c r="AS57" s="1">
        <f t="shared" ca="1" si="32"/>
        <v>100</v>
      </c>
      <c r="AU57" s="1">
        <f t="shared" ca="1" si="33"/>
        <v>107</v>
      </c>
      <c r="AV57" s="1">
        <f t="shared" ca="1" si="34"/>
        <v>9</v>
      </c>
      <c r="AW57" s="1">
        <f t="shared" ca="1" si="35"/>
        <v>9.5675214183675403E-2</v>
      </c>
      <c r="AY57" s="1">
        <f t="shared" ca="1" si="36"/>
        <v>1.3629217638745972</v>
      </c>
      <c r="AZ57" s="1">
        <f t="shared" ca="1" si="37"/>
        <v>85</v>
      </c>
      <c r="BA57" s="1">
        <f t="shared" ca="1" si="38"/>
        <v>2.4934567435215705E-3</v>
      </c>
      <c r="BV57" s="1">
        <f t="shared" ca="1" si="39"/>
        <v>8.5398354816248745E-3</v>
      </c>
      <c r="BW57" s="1">
        <f t="shared" ca="1" si="40"/>
        <v>395</v>
      </c>
      <c r="BX57" s="1">
        <f t="shared" ca="1" si="41"/>
        <v>7.1868829034529942E-3</v>
      </c>
      <c r="BY57" s="1">
        <f t="shared" ca="1" si="42"/>
        <v>3.7931840774304101E-2</v>
      </c>
      <c r="BZ57" s="1">
        <f t="shared" ca="1" si="43"/>
        <v>0.77458587549141966</v>
      </c>
      <c r="CB57" s="1">
        <f t="shared" ca="1" si="44"/>
        <v>377</v>
      </c>
      <c r="CC57" s="1">
        <f t="shared" ca="1" si="45"/>
        <v>11</v>
      </c>
      <c r="CD57" s="1">
        <f t="shared" ca="1" si="46"/>
        <v>2.343202160820454E-2</v>
      </c>
      <c r="CE57" s="1">
        <f t="shared" ca="1" si="59"/>
        <v>0.69625983577283657</v>
      </c>
      <c r="CF57" s="1">
        <f t="shared" ca="1" si="59"/>
        <v>0.73172331776585153</v>
      </c>
      <c r="CH57" s="3">
        <f t="shared" ca="1" si="48"/>
        <v>0.47754243340288161</v>
      </c>
      <c r="CI57" s="3">
        <f t="shared" ca="1" si="49"/>
        <v>0.51240776997835902</v>
      </c>
      <c r="CJ57" s="3">
        <f t="shared" ca="1" si="50"/>
        <v>507</v>
      </c>
      <c r="CK57" s="3">
        <f t="shared" ca="1" si="51"/>
        <v>2.2107996610236267E-3</v>
      </c>
      <c r="CL57" s="3">
        <f t="shared" ca="1" si="52"/>
        <v>1</v>
      </c>
      <c r="CM57" s="3"/>
      <c r="CN57" s="1">
        <f t="shared" ca="1" si="53"/>
        <v>18.906933853379687</v>
      </c>
      <c r="CO57" s="1">
        <f t="shared" ca="1" si="54"/>
        <v>0.23165449965644827</v>
      </c>
      <c r="CP57" s="1">
        <f t="shared" ca="1" si="55"/>
        <v>5</v>
      </c>
      <c r="DH57" s="1">
        <f t="shared" ca="1" si="56"/>
        <v>695</v>
      </c>
      <c r="DI57" s="1">
        <f t="shared" ca="1" si="57"/>
        <v>0.55632627577961269</v>
      </c>
      <c r="DJ57" s="1">
        <f t="shared" ca="1" si="58"/>
        <v>23</v>
      </c>
    </row>
    <row r="58" spans="2:114" x14ac:dyDescent="0.25">
      <c r="B58">
        <f t="shared" ca="1" si="0"/>
        <v>28</v>
      </c>
      <c r="C58">
        <f t="shared" ca="1" si="1"/>
        <v>3</v>
      </c>
      <c r="D58">
        <f t="shared" ca="1" si="2"/>
        <v>0.24957705210855477</v>
      </c>
      <c r="F58" s="1">
        <f t="shared" ca="1" si="3"/>
        <v>46</v>
      </c>
      <c r="G58" s="1">
        <f t="shared" ca="1" si="4"/>
        <v>8</v>
      </c>
      <c r="H58" s="1">
        <f t="shared" ca="1" si="5"/>
        <v>9</v>
      </c>
      <c r="I58" s="1"/>
      <c r="J58" s="1">
        <f t="shared" ca="1" si="6"/>
        <v>38</v>
      </c>
      <c r="K58" s="1">
        <f t="shared" ca="1" si="7"/>
        <v>1.2428850324336698</v>
      </c>
      <c r="L58" s="1">
        <f t="shared" ca="1" si="8"/>
        <v>12</v>
      </c>
      <c r="M58" s="1"/>
      <c r="N58" s="1">
        <f t="shared" ca="1" si="9"/>
        <v>228</v>
      </c>
      <c r="O58" s="1">
        <f t="shared" ca="1" si="10"/>
        <v>36</v>
      </c>
      <c r="P58" s="1"/>
      <c r="Q58" s="1">
        <f t="shared" ca="1" si="11"/>
        <v>1.8277793560555826</v>
      </c>
      <c r="R58" s="1">
        <f t="shared" ca="1" si="12"/>
        <v>278</v>
      </c>
      <c r="S58" s="1"/>
      <c r="T58" s="1">
        <f t="shared" ca="1" si="13"/>
        <v>0.10405829476063277</v>
      </c>
      <c r="U58" s="1">
        <f t="shared" ca="1" si="14"/>
        <v>261</v>
      </c>
      <c r="V58" s="1">
        <f t="shared" ca="1" si="15"/>
        <v>10</v>
      </c>
      <c r="W58" s="1"/>
      <c r="X58" s="1">
        <f t="shared" ca="1" si="16"/>
        <v>8.5373311714488</v>
      </c>
      <c r="Y58" s="1">
        <f t="shared" ca="1" si="17"/>
        <v>0.31438576623979325</v>
      </c>
      <c r="Z58" s="1">
        <f t="shared" ca="1" si="18"/>
        <v>532</v>
      </c>
      <c r="AB58" s="1">
        <f t="shared" ca="1" si="19"/>
        <v>0.18348804457651099</v>
      </c>
      <c r="AC58" s="1">
        <f t="shared" ca="1" si="20"/>
        <v>564</v>
      </c>
      <c r="AD58" s="1">
        <f t="shared" ca="1" si="21"/>
        <v>6.1035458874950065E-3</v>
      </c>
      <c r="AE58" s="1"/>
      <c r="AF58" s="1">
        <f t="shared" ca="1" si="22"/>
        <v>0.12953389547837732</v>
      </c>
      <c r="AG58" s="1">
        <f t="shared" ca="1" si="23"/>
        <v>922</v>
      </c>
      <c r="AH58" s="1">
        <f t="shared" ca="1" si="24"/>
        <v>5.665038844188165E-4</v>
      </c>
      <c r="AJ58" s="1">
        <f t="shared" ca="1" si="25"/>
        <v>0.990516644256203</v>
      </c>
      <c r="AK58" s="1">
        <f t="shared" ca="1" si="26"/>
        <v>6.3891731171852916E-3</v>
      </c>
      <c r="AL58" s="1"/>
      <c r="AM58" s="1">
        <f t="shared" ca="1" si="27"/>
        <v>3.9628952236457481E-2</v>
      </c>
      <c r="AN58" s="1">
        <f t="shared" ca="1" si="28"/>
        <v>37</v>
      </c>
      <c r="AO58" s="1">
        <f t="shared" ca="1" si="29"/>
        <v>4</v>
      </c>
      <c r="AQ58" s="1">
        <f t="shared" ca="1" si="30"/>
        <v>93</v>
      </c>
      <c r="AR58" s="1">
        <f t="shared" ca="1" si="31"/>
        <v>1</v>
      </c>
      <c r="AS58" s="1">
        <f t="shared" ca="1" si="32"/>
        <v>12</v>
      </c>
      <c r="AU58" s="1">
        <f t="shared" ca="1" si="33"/>
        <v>296</v>
      </c>
      <c r="AV58" s="1">
        <f t="shared" ca="1" si="34"/>
        <v>6</v>
      </c>
      <c r="AW58" s="1">
        <f t="shared" ca="1" si="35"/>
        <v>6.7247556083395499E-2</v>
      </c>
      <c r="AY58" s="1">
        <f t="shared" ca="1" si="36"/>
        <v>1.1407188712505147</v>
      </c>
      <c r="AZ58" s="1">
        <f t="shared" ca="1" si="37"/>
        <v>393</v>
      </c>
      <c r="BA58" s="1">
        <f t="shared" ca="1" si="38"/>
        <v>8.8699779525845575E-3</v>
      </c>
      <c r="BV58" s="1">
        <f t="shared" ca="1" si="39"/>
        <v>6.4367063549303008E-2</v>
      </c>
      <c r="BW58" s="1">
        <f t="shared" ca="1" si="40"/>
        <v>918</v>
      </c>
      <c r="BX58" s="1">
        <f t="shared" ca="1" si="41"/>
        <v>5.0709187068469367E-3</v>
      </c>
      <c r="BY58" s="1">
        <f t="shared" ca="1" si="42"/>
        <v>9.1974250453222772E-2</v>
      </c>
      <c r="BZ58" s="1">
        <f t="shared" ca="1" si="43"/>
        <v>0.17040868156579581</v>
      </c>
      <c r="CB58" s="1">
        <f t="shared" ca="1" si="44"/>
        <v>154</v>
      </c>
      <c r="CC58" s="1">
        <f t="shared" ca="1" si="45"/>
        <v>5</v>
      </c>
      <c r="CD58" s="1">
        <f t="shared" ca="1" si="46"/>
        <v>0.15777458793214977</v>
      </c>
      <c r="CE58" s="1">
        <f t="shared" ca="1" si="59"/>
        <v>0.75670561680251658</v>
      </c>
      <c r="CF58" s="1">
        <f t="shared" ca="1" si="59"/>
        <v>0.80729005744256721</v>
      </c>
      <c r="CH58" s="3">
        <f t="shared" ca="1" si="48"/>
        <v>0.7743468668202228</v>
      </c>
      <c r="CI58" s="3">
        <f t="shared" ca="1" si="49"/>
        <v>5.2555417420265003E-2</v>
      </c>
      <c r="CJ58" s="3">
        <f t="shared" ca="1" si="50"/>
        <v>125</v>
      </c>
      <c r="CK58" s="3">
        <f t="shared" ca="1" si="51"/>
        <v>3.5278514877719359E-3</v>
      </c>
      <c r="CL58" s="3">
        <f t="shared" ca="1" si="52"/>
        <v>1</v>
      </c>
      <c r="CM58" s="3"/>
      <c r="CN58" s="1">
        <f t="shared" ca="1" si="53"/>
        <v>10.544425181434901</v>
      </c>
      <c r="CO58" s="1">
        <f t="shared" ca="1" si="54"/>
        <v>0.42605083618520112</v>
      </c>
      <c r="CP58" s="1">
        <f t="shared" ca="1" si="55"/>
        <v>4</v>
      </c>
      <c r="DH58" s="1">
        <f t="shared" ca="1" si="56"/>
        <v>594</v>
      </c>
      <c r="DI58" s="1">
        <f t="shared" ca="1" si="57"/>
        <v>0.76736083619673789</v>
      </c>
      <c r="DJ58" s="1">
        <f t="shared" ca="1" si="58"/>
        <v>18</v>
      </c>
    </row>
    <row r="59" spans="2:114" x14ac:dyDescent="0.25">
      <c r="B59">
        <f t="shared" ca="1" si="0"/>
        <v>339</v>
      </c>
      <c r="C59">
        <f t="shared" ca="1" si="1"/>
        <v>18</v>
      </c>
      <c r="D59">
        <f t="shared" ca="1" si="2"/>
        <v>0.10055786484372116</v>
      </c>
      <c r="F59" s="1">
        <f t="shared" ca="1" si="3"/>
        <v>24</v>
      </c>
      <c r="G59" s="1">
        <f t="shared" ca="1" si="4"/>
        <v>21</v>
      </c>
      <c r="H59" s="1">
        <f t="shared" ca="1" si="5"/>
        <v>3</v>
      </c>
      <c r="I59" s="1"/>
      <c r="J59" s="1">
        <f t="shared" ca="1" si="6"/>
        <v>7</v>
      </c>
      <c r="K59" s="1">
        <f t="shared" ca="1" si="7"/>
        <v>1.0839693141721256</v>
      </c>
      <c r="L59" s="1">
        <f t="shared" ca="1" si="8"/>
        <v>28</v>
      </c>
      <c r="M59" s="1"/>
      <c r="N59" s="1">
        <f t="shared" ca="1" si="9"/>
        <v>856</v>
      </c>
      <c r="O59" s="1">
        <f t="shared" ca="1" si="10"/>
        <v>48</v>
      </c>
      <c r="P59" s="1"/>
      <c r="Q59" s="1">
        <f t="shared" ca="1" si="11"/>
        <v>4.9682965789475277</v>
      </c>
      <c r="R59" s="1">
        <f t="shared" ca="1" si="12"/>
        <v>1057</v>
      </c>
      <c r="S59" s="1"/>
      <c r="T59" s="1">
        <f t="shared" ca="1" si="13"/>
        <v>4.0608758402661385E-2</v>
      </c>
      <c r="U59" s="1">
        <f t="shared" ca="1" si="14"/>
        <v>410</v>
      </c>
      <c r="V59" s="1">
        <f t="shared" ca="1" si="15"/>
        <v>13</v>
      </c>
      <c r="W59" s="1"/>
      <c r="X59" s="1">
        <f t="shared" ca="1" si="16"/>
        <v>3.4576478457138529</v>
      </c>
      <c r="Y59" s="1">
        <f t="shared" ca="1" si="17"/>
        <v>0.39196848495562131</v>
      </c>
      <c r="Z59" s="1">
        <f t="shared" ca="1" si="18"/>
        <v>605</v>
      </c>
      <c r="AB59" s="1">
        <f t="shared" ca="1" si="19"/>
        <v>0.36292155531916392</v>
      </c>
      <c r="AC59" s="1">
        <f t="shared" ca="1" si="20"/>
        <v>748</v>
      </c>
      <c r="AD59" s="1">
        <f t="shared" ca="1" si="21"/>
        <v>6.3929436274534485E-3</v>
      </c>
      <c r="AE59" s="1"/>
      <c r="AF59" s="1">
        <f t="shared" ca="1" si="22"/>
        <v>0.7075347672336707</v>
      </c>
      <c r="AG59" s="1">
        <f t="shared" ca="1" si="23"/>
        <v>452</v>
      </c>
      <c r="AH59" s="1">
        <f t="shared" ca="1" si="24"/>
        <v>6.315050531176928E-3</v>
      </c>
      <c r="AJ59" s="1">
        <f t="shared" ca="1" si="25"/>
        <v>0.85185548798539246</v>
      </c>
      <c r="AK59" s="1">
        <f t="shared" ca="1" si="26"/>
        <v>1.3960371832619562E-4</v>
      </c>
      <c r="AL59" s="1"/>
      <c r="AM59" s="1">
        <f t="shared" ca="1" si="27"/>
        <v>9.5787916005977414E-2</v>
      </c>
      <c r="AN59" s="1">
        <f t="shared" ca="1" si="28"/>
        <v>70</v>
      </c>
      <c r="AO59" s="1">
        <f t="shared" ca="1" si="29"/>
        <v>-1</v>
      </c>
      <c r="AQ59" s="1">
        <f t="shared" ca="1" si="30"/>
        <v>116</v>
      </c>
      <c r="AR59" s="1">
        <f t="shared" ca="1" si="31"/>
        <v>0</v>
      </c>
      <c r="AS59" s="1">
        <f t="shared" ca="1" si="32"/>
        <v>38</v>
      </c>
      <c r="AU59" s="1">
        <f t="shared" ca="1" si="33"/>
        <v>255</v>
      </c>
      <c r="AV59" s="1">
        <f t="shared" ca="1" si="34"/>
        <v>5</v>
      </c>
      <c r="AW59" s="1">
        <f t="shared" ca="1" si="35"/>
        <v>0.1830284410177605</v>
      </c>
      <c r="AY59" s="1">
        <f t="shared" ca="1" si="36"/>
        <v>1.5380603620210227</v>
      </c>
      <c r="AZ59" s="1">
        <f t="shared" ca="1" si="37"/>
        <v>135</v>
      </c>
      <c r="BA59" s="1">
        <f t="shared" ca="1" si="38"/>
        <v>4.9319276158449098E-3</v>
      </c>
      <c r="BV59" s="1">
        <f t="shared" ca="1" si="39"/>
        <v>0.48981257230033698</v>
      </c>
      <c r="BW59" s="1">
        <f t="shared" ca="1" si="40"/>
        <v>353</v>
      </c>
      <c r="BX59" s="1">
        <f t="shared" ca="1" si="41"/>
        <v>1.3471426997294133E-4</v>
      </c>
      <c r="BY59" s="1">
        <f t="shared" ca="1" si="42"/>
        <v>9.8766013257539059E-2</v>
      </c>
      <c r="BZ59" s="1">
        <f t="shared" ca="1" si="43"/>
        <v>0.4097691866890566</v>
      </c>
      <c r="CB59" s="1">
        <f t="shared" ca="1" si="44"/>
        <v>419</v>
      </c>
      <c r="CC59" s="1">
        <f t="shared" ca="1" si="45"/>
        <v>8</v>
      </c>
      <c r="CD59" s="1">
        <f t="shared" ca="1" si="46"/>
        <v>0.11370853849331515</v>
      </c>
      <c r="CE59" s="1">
        <f t="shared" ca="1" si="59"/>
        <v>0.67953616501749647</v>
      </c>
      <c r="CF59" s="1">
        <f t="shared" ca="1" si="59"/>
        <v>0.51176666894339018</v>
      </c>
      <c r="CH59" s="3">
        <f t="shared" ca="1" si="48"/>
        <v>0.35131957923164597</v>
      </c>
      <c r="CI59" s="3">
        <f t="shared" ca="1" si="49"/>
        <v>0.37454720502273714</v>
      </c>
      <c r="CJ59" s="3">
        <f t="shared" ca="1" si="50"/>
        <v>489</v>
      </c>
      <c r="CK59" s="3">
        <f t="shared" ca="1" si="51"/>
        <v>9.8836958336316633E-3</v>
      </c>
      <c r="CL59" s="3">
        <f t="shared" ca="1" si="52"/>
        <v>1</v>
      </c>
      <c r="CM59" s="3"/>
      <c r="CN59" s="1">
        <f t="shared" ca="1" si="53"/>
        <v>7.3266070867306734</v>
      </c>
      <c r="CO59" s="1">
        <f t="shared" ca="1" si="54"/>
        <v>0.15925025616074526</v>
      </c>
      <c r="CP59" s="1">
        <f t="shared" ca="1" si="55"/>
        <v>5</v>
      </c>
      <c r="DH59" s="1">
        <f t="shared" ca="1" si="56"/>
        <v>322</v>
      </c>
      <c r="DI59" s="1">
        <f t="shared" ca="1" si="57"/>
        <v>0.5859760757150777</v>
      </c>
      <c r="DJ59" s="1">
        <f t="shared" ca="1" si="58"/>
        <v>22</v>
      </c>
    </row>
    <row r="60" spans="2:114" x14ac:dyDescent="0.25">
      <c r="B60">
        <f t="shared" ca="1" si="0"/>
        <v>623</v>
      </c>
      <c r="C60">
        <f t="shared" ca="1" si="1"/>
        <v>41</v>
      </c>
      <c r="D60">
        <f t="shared" ca="1" si="2"/>
        <v>0.11972133422911051</v>
      </c>
      <c r="F60" s="1">
        <f t="shared" ca="1" si="3"/>
        <v>7</v>
      </c>
      <c r="G60" s="1">
        <f t="shared" ca="1" si="4"/>
        <v>24</v>
      </c>
      <c r="H60" s="1">
        <f t="shared" ca="1" si="5"/>
        <v>15</v>
      </c>
      <c r="I60" s="1"/>
      <c r="J60" s="1">
        <f t="shared" ca="1" si="6"/>
        <v>28</v>
      </c>
      <c r="K60" s="1">
        <f t="shared" ca="1" si="7"/>
        <v>1.2472767496429158</v>
      </c>
      <c r="L60" s="1">
        <f t="shared" ca="1" si="8"/>
        <v>21</v>
      </c>
      <c r="M60" s="1"/>
      <c r="N60" s="1">
        <f t="shared" ca="1" si="9"/>
        <v>890</v>
      </c>
      <c r="O60" s="1">
        <f t="shared" ca="1" si="10"/>
        <v>17</v>
      </c>
      <c r="P60" s="1"/>
      <c r="Q60" s="1">
        <f t="shared" ca="1" si="11"/>
        <v>2.862447704177487</v>
      </c>
      <c r="R60" s="1">
        <f t="shared" ca="1" si="12"/>
        <v>1007</v>
      </c>
      <c r="S60" s="1"/>
      <c r="T60" s="1">
        <f t="shared" ca="1" si="13"/>
        <v>5.2014136736496519E-2</v>
      </c>
      <c r="U60" s="1">
        <f t="shared" ca="1" si="14"/>
        <v>288</v>
      </c>
      <c r="V60" s="1">
        <f t="shared" ca="1" si="15"/>
        <v>14</v>
      </c>
      <c r="W60" s="1"/>
      <c r="X60" s="1">
        <f t="shared" ca="1" si="16"/>
        <v>8.8108814882428792</v>
      </c>
      <c r="Y60" s="1">
        <f t="shared" ca="1" si="17"/>
        <v>0.58665203883989558</v>
      </c>
      <c r="Z60" s="1">
        <f t="shared" ca="1" si="18"/>
        <v>259</v>
      </c>
      <c r="AB60" s="1">
        <f t="shared" ca="1" si="19"/>
        <v>2.0671599992346888E-2</v>
      </c>
      <c r="AC60" s="1">
        <f t="shared" ca="1" si="20"/>
        <v>272</v>
      </c>
      <c r="AD60" s="1">
        <f t="shared" ca="1" si="21"/>
        <v>7.0593383478502201E-3</v>
      </c>
      <c r="AE60" s="1"/>
      <c r="AF60" s="1">
        <f t="shared" ca="1" si="22"/>
        <v>0.18763447649212167</v>
      </c>
      <c r="AG60" s="1">
        <f t="shared" ca="1" si="23"/>
        <v>517</v>
      </c>
      <c r="AH60" s="1">
        <f t="shared" ca="1" si="24"/>
        <v>5.7740093922094577E-3</v>
      </c>
      <c r="AJ60" s="1">
        <f t="shared" ca="1" si="25"/>
        <v>0.86256221560845958</v>
      </c>
      <c r="AK60" s="1">
        <f t="shared" ca="1" si="26"/>
        <v>7.8858075605747618E-3</v>
      </c>
      <c r="AL60" s="1"/>
      <c r="AM60" s="1">
        <f t="shared" ca="1" si="27"/>
        <v>0.13675127646027191</v>
      </c>
      <c r="AN60" s="1">
        <f t="shared" ca="1" si="28"/>
        <v>37</v>
      </c>
      <c r="AO60" s="1">
        <f t="shared" ca="1" si="29"/>
        <v>17</v>
      </c>
      <c r="AQ60" s="1">
        <f t="shared" ca="1" si="30"/>
        <v>164</v>
      </c>
      <c r="AR60" s="1">
        <f t="shared" ca="1" si="31"/>
        <v>1</v>
      </c>
      <c r="AS60" s="1">
        <f t="shared" ca="1" si="32"/>
        <v>54</v>
      </c>
      <c r="AU60" s="1">
        <f t="shared" ca="1" si="33"/>
        <v>208</v>
      </c>
      <c r="AV60" s="1">
        <f t="shared" ca="1" si="34"/>
        <v>9</v>
      </c>
      <c r="AW60" s="1">
        <f t="shared" ca="1" si="35"/>
        <v>0.12045305739749071</v>
      </c>
      <c r="AY60" s="1">
        <f t="shared" ca="1" si="36"/>
        <v>1.4696622497845215</v>
      </c>
      <c r="AZ60" s="1">
        <f t="shared" ca="1" si="37"/>
        <v>311</v>
      </c>
      <c r="BA60" s="1">
        <f t="shared" ca="1" si="38"/>
        <v>9.4754038892831561E-3</v>
      </c>
      <c r="BV60" s="1">
        <f t="shared" ca="1" si="39"/>
        <v>0.13887902081089029</v>
      </c>
      <c r="BW60" s="1">
        <f t="shared" ca="1" si="40"/>
        <v>396</v>
      </c>
      <c r="BX60" s="1">
        <f t="shared" ca="1" si="41"/>
        <v>1.6642157399361702E-3</v>
      </c>
      <c r="BY60" s="1">
        <f t="shared" ca="1" si="42"/>
        <v>3.4178544277468331E-2</v>
      </c>
      <c r="BZ60" s="1">
        <f t="shared" ca="1" si="43"/>
        <v>0.58977385689071948</v>
      </c>
      <c r="CB60" s="1">
        <f t="shared" ca="1" si="44"/>
        <v>158</v>
      </c>
      <c r="CC60" s="1">
        <f t="shared" ca="1" si="45"/>
        <v>11</v>
      </c>
      <c r="CD60" s="1">
        <f t="shared" ca="1" si="46"/>
        <v>1.0631686313199575E-2</v>
      </c>
      <c r="CE60" s="1">
        <f t="shared" ca="1" si="59"/>
        <v>0.52982949907972965</v>
      </c>
      <c r="CF60" s="1">
        <f t="shared" ca="1" si="59"/>
        <v>0.64447724571240839</v>
      </c>
      <c r="CH60" s="3">
        <f t="shared" ca="1" si="48"/>
        <v>0.32771870766019745</v>
      </c>
      <c r="CI60" s="3">
        <f t="shared" ca="1" si="49"/>
        <v>0.77666882139854088</v>
      </c>
      <c r="CJ60" s="3">
        <f t="shared" ca="1" si="50"/>
        <v>706</v>
      </c>
      <c r="CK60" s="3">
        <f t="shared" ca="1" si="51"/>
        <v>8.8554506135808293E-3</v>
      </c>
      <c r="CL60" s="3">
        <f t="shared" ca="1" si="52"/>
        <v>0</v>
      </c>
      <c r="CM60" s="3"/>
      <c r="CN60" s="1">
        <f t="shared" ca="1" si="53"/>
        <v>3.9692948718336636</v>
      </c>
      <c r="CO60" s="1">
        <f t="shared" ca="1" si="54"/>
        <v>6.8139050108573856E-3</v>
      </c>
      <c r="CP60" s="1">
        <f t="shared" ca="1" si="55"/>
        <v>2</v>
      </c>
      <c r="DH60" s="1">
        <f t="shared" ca="1" si="56"/>
        <v>785</v>
      </c>
      <c r="DI60" s="1">
        <f t="shared" ca="1" si="57"/>
        <v>0.1372369080762498</v>
      </c>
      <c r="DJ60" s="1">
        <f t="shared" ca="1" si="58"/>
        <v>26</v>
      </c>
    </row>
    <row r="61" spans="2:114" x14ac:dyDescent="0.25">
      <c r="B61">
        <f t="shared" ca="1" si="0"/>
        <v>556</v>
      </c>
      <c r="C61">
        <f t="shared" ca="1" si="1"/>
        <v>32</v>
      </c>
      <c r="D61">
        <f t="shared" ca="1" si="2"/>
        <v>4.1364863737038238E-2</v>
      </c>
      <c r="F61" s="1">
        <f t="shared" ca="1" si="3"/>
        <v>10</v>
      </c>
      <c r="G61" s="1">
        <f t="shared" ca="1" si="4"/>
        <v>4</v>
      </c>
      <c r="H61" s="1">
        <f t="shared" ca="1" si="5"/>
        <v>8</v>
      </c>
      <c r="I61" s="1"/>
      <c r="J61" s="1">
        <f t="shared" ca="1" si="6"/>
        <v>1</v>
      </c>
      <c r="K61" s="1">
        <f t="shared" ca="1" si="7"/>
        <v>1.4881498937082058</v>
      </c>
      <c r="L61" s="1">
        <f t="shared" ca="1" si="8"/>
        <v>28</v>
      </c>
      <c r="M61" s="1"/>
      <c r="N61" s="1">
        <f t="shared" ca="1" si="9"/>
        <v>551</v>
      </c>
      <c r="O61" s="1">
        <f t="shared" ca="1" si="10"/>
        <v>20</v>
      </c>
      <c r="P61" s="1"/>
      <c r="Q61" s="1">
        <f t="shared" ca="1" si="11"/>
        <v>3.3461957976895884</v>
      </c>
      <c r="R61" s="1">
        <f t="shared" ca="1" si="12"/>
        <v>745</v>
      </c>
      <c r="S61" s="1"/>
      <c r="T61" s="1">
        <f t="shared" ca="1" si="13"/>
        <v>0.13437295874790842</v>
      </c>
      <c r="U61" s="1">
        <f t="shared" ca="1" si="14"/>
        <v>336</v>
      </c>
      <c r="V61" s="1">
        <f t="shared" ca="1" si="15"/>
        <v>17</v>
      </c>
      <c r="W61" s="1"/>
      <c r="X61" s="1">
        <f t="shared" ca="1" si="16"/>
        <v>9.1665049401737804</v>
      </c>
      <c r="Y61" s="1">
        <f t="shared" ca="1" si="17"/>
        <v>0.46138979465968621</v>
      </c>
      <c r="Z61" s="1">
        <f t="shared" ca="1" si="18"/>
        <v>152</v>
      </c>
      <c r="AB61" s="1">
        <f t="shared" ca="1" si="19"/>
        <v>0.27586889055282965</v>
      </c>
      <c r="AC61" s="1">
        <f t="shared" ca="1" si="20"/>
        <v>138</v>
      </c>
      <c r="AD61" s="1">
        <f t="shared" ca="1" si="21"/>
        <v>4.3788886712146369E-3</v>
      </c>
      <c r="AE61" s="1"/>
      <c r="AF61" s="1">
        <f t="shared" ca="1" si="22"/>
        <v>0.45480017401176054</v>
      </c>
      <c r="AG61" s="1">
        <f t="shared" ca="1" si="23"/>
        <v>440</v>
      </c>
      <c r="AH61" s="1">
        <f t="shared" ca="1" si="24"/>
        <v>2.648635246095583E-3</v>
      </c>
      <c r="AJ61" s="1">
        <f t="shared" ca="1" si="25"/>
        <v>0.98797128079372787</v>
      </c>
      <c r="AK61" s="1">
        <f t="shared" ca="1" si="26"/>
        <v>2.5914155208414686E-3</v>
      </c>
      <c r="AL61" s="1"/>
      <c r="AM61" s="1">
        <f t="shared" ca="1" si="27"/>
        <v>0.17130198466544738</v>
      </c>
      <c r="AN61" s="1">
        <f t="shared" ca="1" si="28"/>
        <v>76</v>
      </c>
      <c r="AO61" s="1">
        <f t="shared" ca="1" si="29"/>
        <v>6</v>
      </c>
      <c r="AQ61" s="1">
        <f t="shared" ca="1" si="30"/>
        <v>189</v>
      </c>
      <c r="AR61" s="1">
        <f t="shared" ca="1" si="31"/>
        <v>9</v>
      </c>
      <c r="AS61" s="1">
        <f t="shared" ca="1" si="32"/>
        <v>24</v>
      </c>
      <c r="AU61" s="1">
        <f t="shared" ca="1" si="33"/>
        <v>400</v>
      </c>
      <c r="AV61" s="1">
        <f t="shared" ca="1" si="34"/>
        <v>7</v>
      </c>
      <c r="AW61" s="1">
        <f t="shared" ca="1" si="35"/>
        <v>0.19199881487503581</v>
      </c>
      <c r="AY61" s="1">
        <f t="shared" ca="1" si="36"/>
        <v>1.9657118583758872</v>
      </c>
      <c r="AZ61" s="1">
        <f t="shared" ca="1" si="37"/>
        <v>91</v>
      </c>
      <c r="BA61" s="1">
        <f t="shared" ca="1" si="38"/>
        <v>7.923556473842297E-3</v>
      </c>
      <c r="BV61" s="1">
        <f t="shared" ca="1" si="39"/>
        <v>0.6153739055532087</v>
      </c>
      <c r="BW61" s="1">
        <f t="shared" ca="1" si="40"/>
        <v>387</v>
      </c>
      <c r="BX61" s="1">
        <f t="shared" ca="1" si="41"/>
        <v>4.7225472418051485E-3</v>
      </c>
      <c r="BY61" s="1">
        <f t="shared" ca="1" si="42"/>
        <v>3.3561520187408912E-2</v>
      </c>
      <c r="BZ61" s="1">
        <f t="shared" ca="1" si="43"/>
        <v>0.1262817664142738</v>
      </c>
      <c r="CB61" s="1">
        <f t="shared" ca="1" si="44"/>
        <v>443</v>
      </c>
      <c r="CC61" s="1">
        <f t="shared" ca="1" si="45"/>
        <v>10</v>
      </c>
      <c r="CD61" s="1">
        <f t="shared" ca="1" si="46"/>
        <v>0.13112010156889459</v>
      </c>
      <c r="CE61" s="1">
        <f t="shared" ca="1" si="59"/>
        <v>0.83489766476557103</v>
      </c>
      <c r="CF61" s="1">
        <f t="shared" ca="1" si="59"/>
        <v>0.54538549050344376</v>
      </c>
      <c r="CH61" s="3">
        <f t="shared" ca="1" si="48"/>
        <v>0.11401008963742346</v>
      </c>
      <c r="CI61" s="3">
        <f t="shared" ca="1" si="49"/>
        <v>0.70599457585124226</v>
      </c>
      <c r="CJ61" s="3">
        <f t="shared" ca="1" si="50"/>
        <v>1114</v>
      </c>
      <c r="CK61" s="3">
        <f t="shared" ca="1" si="51"/>
        <v>1.7371248513398136E-3</v>
      </c>
      <c r="CL61" s="3">
        <f t="shared" ca="1" si="52"/>
        <v>0</v>
      </c>
      <c r="CM61" s="3"/>
      <c r="CN61" s="1">
        <f t="shared" ca="1" si="53"/>
        <v>19.654941882053858</v>
      </c>
      <c r="CO61" s="1">
        <f t="shared" ca="1" si="54"/>
        <v>0.21832210803624047</v>
      </c>
      <c r="CP61" s="1">
        <f t="shared" ca="1" si="55"/>
        <v>3</v>
      </c>
      <c r="DH61" s="1">
        <f t="shared" ca="1" si="56"/>
        <v>100</v>
      </c>
      <c r="DI61" s="1">
        <f t="shared" ca="1" si="57"/>
        <v>0.56634472921800016</v>
      </c>
      <c r="DJ61" s="1">
        <f t="shared" ca="1" si="58"/>
        <v>20</v>
      </c>
    </row>
    <row r="62" spans="2:114" x14ac:dyDescent="0.25">
      <c r="B62">
        <f t="shared" ca="1" si="0"/>
        <v>708</v>
      </c>
      <c r="C62">
        <f t="shared" ca="1" si="1"/>
        <v>42</v>
      </c>
      <c r="D62">
        <f t="shared" ca="1" si="2"/>
        <v>0.15101255935958319</v>
      </c>
      <c r="F62" s="1">
        <f t="shared" ca="1" si="3"/>
        <v>31</v>
      </c>
      <c r="G62" s="1">
        <f t="shared" ca="1" si="4"/>
        <v>2</v>
      </c>
      <c r="H62" s="1">
        <f t="shared" ca="1" si="5"/>
        <v>13</v>
      </c>
      <c r="I62" s="1"/>
      <c r="J62" s="1">
        <f t="shared" ca="1" si="6"/>
        <v>28</v>
      </c>
      <c r="K62" s="1">
        <f t="shared" ca="1" si="7"/>
        <v>1.8323696226749708</v>
      </c>
      <c r="L62" s="1">
        <f t="shared" ca="1" si="8"/>
        <v>25</v>
      </c>
      <c r="M62" s="1"/>
      <c r="N62" s="1">
        <f t="shared" ca="1" si="9"/>
        <v>89</v>
      </c>
      <c r="O62" s="1">
        <f t="shared" ca="1" si="10"/>
        <v>46</v>
      </c>
      <c r="P62" s="1"/>
      <c r="Q62" s="1">
        <f t="shared" ca="1" si="11"/>
        <v>3.0184811799709106</v>
      </c>
      <c r="R62" s="1">
        <f t="shared" ca="1" si="12"/>
        <v>599</v>
      </c>
      <c r="S62" s="1"/>
      <c r="T62" s="1">
        <f t="shared" ca="1" si="13"/>
        <v>7.4820768819716707E-2</v>
      </c>
      <c r="U62" s="1">
        <f t="shared" ca="1" si="14"/>
        <v>106</v>
      </c>
      <c r="V62" s="1">
        <f t="shared" ca="1" si="15"/>
        <v>34</v>
      </c>
      <c r="W62" s="1"/>
      <c r="X62" s="1">
        <f t="shared" ca="1" si="16"/>
        <v>2.5764711179135498</v>
      </c>
      <c r="Y62" s="1">
        <f t="shared" ca="1" si="17"/>
        <v>0.62945613085417662</v>
      </c>
      <c r="Z62" s="1">
        <f t="shared" ca="1" si="18"/>
        <v>176</v>
      </c>
      <c r="AB62" s="1">
        <f t="shared" ca="1" si="19"/>
        <v>0.62057231555149939</v>
      </c>
      <c r="AC62" s="1">
        <f t="shared" ca="1" si="20"/>
        <v>276</v>
      </c>
      <c r="AD62" s="1">
        <f t="shared" ca="1" si="21"/>
        <v>8.1116728439338537E-3</v>
      </c>
      <c r="AE62" s="1"/>
      <c r="AF62" s="1">
        <f t="shared" ca="1" si="22"/>
        <v>0.54299239701440194</v>
      </c>
      <c r="AG62" s="1">
        <f t="shared" ca="1" si="23"/>
        <v>534</v>
      </c>
      <c r="AH62" s="1">
        <f t="shared" ca="1" si="24"/>
        <v>4.9047037293675497E-3</v>
      </c>
      <c r="AJ62" s="1">
        <f t="shared" ca="1" si="25"/>
        <v>0.522607692137111</v>
      </c>
      <c r="AK62" s="1">
        <f t="shared" ca="1" si="26"/>
        <v>3.1914384441380441E-3</v>
      </c>
      <c r="AL62" s="1"/>
      <c r="AM62" s="1">
        <f t="shared" ca="1" si="27"/>
        <v>6.6763019390822562E-2</v>
      </c>
      <c r="AN62" s="1">
        <f t="shared" ca="1" si="28"/>
        <v>58</v>
      </c>
      <c r="AO62" s="1">
        <f t="shared" ca="1" si="29"/>
        <v>8</v>
      </c>
      <c r="AQ62" s="1">
        <f t="shared" ca="1" si="30"/>
        <v>171</v>
      </c>
      <c r="AR62" s="1">
        <f t="shared" ca="1" si="31"/>
        <v>10</v>
      </c>
      <c r="AS62" s="1">
        <f t="shared" ca="1" si="32"/>
        <v>25</v>
      </c>
      <c r="AU62" s="1">
        <f t="shared" ca="1" si="33"/>
        <v>298</v>
      </c>
      <c r="AV62" s="1">
        <f t="shared" ca="1" si="34"/>
        <v>5</v>
      </c>
      <c r="AW62" s="1">
        <f t="shared" ca="1" si="35"/>
        <v>2.4019866740201457E-2</v>
      </c>
      <c r="AY62" s="1">
        <f t="shared" ca="1" si="36"/>
        <v>1.5497539472849708</v>
      </c>
      <c r="AZ62" s="1">
        <f t="shared" ca="1" si="37"/>
        <v>100</v>
      </c>
      <c r="BA62" s="1">
        <f t="shared" ca="1" si="38"/>
        <v>1.5482813181079533E-4</v>
      </c>
      <c r="BV62" s="1">
        <f t="shared" ca="1" si="39"/>
        <v>0.57323343772510738</v>
      </c>
      <c r="BW62" s="1">
        <f t="shared" ca="1" si="40"/>
        <v>879</v>
      </c>
      <c r="BX62" s="1">
        <f t="shared" ca="1" si="41"/>
        <v>8.4949189654779204E-3</v>
      </c>
      <c r="BY62" s="1">
        <f t="shared" ca="1" si="42"/>
        <v>8.1043838377110683E-2</v>
      </c>
      <c r="BZ62" s="1">
        <f t="shared" ca="1" si="43"/>
        <v>0.11667023189802872</v>
      </c>
      <c r="CB62" s="1">
        <f t="shared" ca="1" si="44"/>
        <v>449</v>
      </c>
      <c r="CC62" s="1">
        <f t="shared" ca="1" si="45"/>
        <v>14</v>
      </c>
      <c r="CD62" s="1">
        <f t="shared" ca="1" si="46"/>
        <v>1.9647836259167877E-2</v>
      </c>
      <c r="CE62" s="1">
        <f t="shared" ca="1" si="59"/>
        <v>0.53137668791308379</v>
      </c>
      <c r="CF62" s="1">
        <f t="shared" ca="1" si="59"/>
        <v>0.74107725622694975</v>
      </c>
      <c r="CH62" s="3">
        <f t="shared" ca="1" si="48"/>
        <v>0.70461818344740434</v>
      </c>
      <c r="CI62" s="3">
        <f t="shared" ca="1" si="49"/>
        <v>3.4603584546392625E-2</v>
      </c>
      <c r="CJ62" s="3">
        <f t="shared" ca="1" si="50"/>
        <v>1769</v>
      </c>
      <c r="CK62" s="3">
        <f t="shared" ca="1" si="51"/>
        <v>9.82792682521977E-3</v>
      </c>
      <c r="CL62" s="3">
        <f t="shared" ca="1" si="52"/>
        <v>1</v>
      </c>
      <c r="CM62" s="3"/>
      <c r="CN62" s="1">
        <f t="shared" ca="1" si="53"/>
        <v>11.25175883107149</v>
      </c>
      <c r="CO62" s="1">
        <f t="shared" ca="1" si="54"/>
        <v>0.36957853741249796</v>
      </c>
      <c r="CP62" s="1">
        <f t="shared" ca="1" si="55"/>
        <v>1</v>
      </c>
      <c r="DH62" s="1">
        <f t="shared" ca="1" si="56"/>
        <v>10</v>
      </c>
      <c r="DI62" s="1">
        <f t="shared" ca="1" si="57"/>
        <v>0.43791109061147315</v>
      </c>
      <c r="DJ62" s="1">
        <f t="shared" ca="1" si="58"/>
        <v>21</v>
      </c>
    </row>
    <row r="63" spans="2:114" x14ac:dyDescent="0.25">
      <c r="B63">
        <f t="shared" ca="1" si="0"/>
        <v>141</v>
      </c>
      <c r="C63">
        <f t="shared" ca="1" si="1"/>
        <v>27</v>
      </c>
      <c r="D63">
        <f t="shared" ca="1" si="2"/>
        <v>0.18277305926597598</v>
      </c>
      <c r="F63" s="1">
        <f t="shared" ca="1" si="3"/>
        <v>30</v>
      </c>
      <c r="G63" s="1">
        <f t="shared" ca="1" si="4"/>
        <v>24</v>
      </c>
      <c r="H63" s="1">
        <f t="shared" ca="1" si="5"/>
        <v>8</v>
      </c>
      <c r="I63" s="1"/>
      <c r="J63" s="1">
        <f t="shared" ca="1" si="6"/>
        <v>7</v>
      </c>
      <c r="K63" s="1">
        <f t="shared" ca="1" si="7"/>
        <v>1.2131168819011995</v>
      </c>
      <c r="L63" s="1">
        <f t="shared" ca="1" si="8"/>
        <v>19</v>
      </c>
      <c r="M63" s="1"/>
      <c r="N63" s="1">
        <f t="shared" ca="1" si="9"/>
        <v>288</v>
      </c>
      <c r="O63" s="1">
        <f t="shared" ca="1" si="10"/>
        <v>2</v>
      </c>
      <c r="P63" s="1"/>
      <c r="Q63" s="1">
        <f t="shared" ca="1" si="11"/>
        <v>1.8566720068035385</v>
      </c>
      <c r="R63" s="1">
        <f t="shared" ca="1" si="12"/>
        <v>425</v>
      </c>
      <c r="S63" s="1"/>
      <c r="T63" s="1">
        <f t="shared" ca="1" si="13"/>
        <v>0.17192288949761644</v>
      </c>
      <c r="U63" s="1">
        <f t="shared" ca="1" si="14"/>
        <v>394</v>
      </c>
      <c r="V63" s="1">
        <f t="shared" ca="1" si="15"/>
        <v>17</v>
      </c>
      <c r="W63" s="1"/>
      <c r="X63" s="1">
        <f t="shared" ca="1" si="16"/>
        <v>5.1908783564508303</v>
      </c>
      <c r="Y63" s="1">
        <f t="shared" ca="1" si="17"/>
        <v>0.90557796838726001</v>
      </c>
      <c r="Z63" s="1">
        <f t="shared" ca="1" si="18"/>
        <v>436</v>
      </c>
      <c r="AB63" s="1">
        <f t="shared" ca="1" si="19"/>
        <v>0.10292112992638384</v>
      </c>
      <c r="AC63" s="1">
        <f t="shared" ca="1" si="20"/>
        <v>486</v>
      </c>
      <c r="AD63" s="1">
        <f t="shared" ca="1" si="21"/>
        <v>3.775239080456344E-3</v>
      </c>
      <c r="AE63" s="1"/>
      <c r="AF63" s="1">
        <f t="shared" ca="1" si="22"/>
        <v>0.27312213261665486</v>
      </c>
      <c r="AG63" s="1">
        <f t="shared" ca="1" si="23"/>
        <v>106</v>
      </c>
      <c r="AH63" s="1">
        <f t="shared" ca="1" si="24"/>
        <v>3.8768654389476562E-3</v>
      </c>
      <c r="AJ63" s="1">
        <f t="shared" ca="1" si="25"/>
        <v>0.24123436914200236</v>
      </c>
      <c r="AK63" s="1">
        <f t="shared" ca="1" si="26"/>
        <v>3.4527348049611024E-3</v>
      </c>
      <c r="AL63" s="1"/>
      <c r="AM63" s="1">
        <f t="shared" ca="1" si="27"/>
        <v>0.10596213660075868</v>
      </c>
      <c r="AN63" s="1">
        <f t="shared" ca="1" si="28"/>
        <v>60</v>
      </c>
      <c r="AO63" s="1">
        <f t="shared" ca="1" si="29"/>
        <v>10</v>
      </c>
      <c r="AQ63" s="1">
        <f t="shared" ca="1" si="30"/>
        <v>163</v>
      </c>
      <c r="AR63" s="1">
        <f t="shared" ca="1" si="31"/>
        <v>1</v>
      </c>
      <c r="AS63" s="1">
        <f t="shared" ca="1" si="32"/>
        <v>58</v>
      </c>
      <c r="AU63" s="1">
        <f t="shared" ca="1" si="33"/>
        <v>370</v>
      </c>
      <c r="AV63" s="1">
        <f t="shared" ca="1" si="34"/>
        <v>10</v>
      </c>
      <c r="AW63" s="1">
        <f t="shared" ca="1" si="35"/>
        <v>3.288742367827515E-2</v>
      </c>
      <c r="AY63" s="1">
        <f t="shared" ca="1" si="36"/>
        <v>1.8244150947323443</v>
      </c>
      <c r="AZ63" s="1">
        <f t="shared" ca="1" si="37"/>
        <v>447</v>
      </c>
      <c r="BA63" s="1">
        <f t="shared" ca="1" si="38"/>
        <v>9.3837199353292023E-4</v>
      </c>
      <c r="BV63" s="1">
        <f t="shared" ca="1" si="39"/>
        <v>0.76574298267428609</v>
      </c>
      <c r="BW63" s="1">
        <f t="shared" ca="1" si="40"/>
        <v>108</v>
      </c>
      <c r="BX63" s="1">
        <f t="shared" ca="1" si="41"/>
        <v>4.5859582627191123E-3</v>
      </c>
      <c r="BY63" s="1">
        <f t="shared" ca="1" si="42"/>
        <v>7.8006457101538473E-2</v>
      </c>
      <c r="BZ63" s="1">
        <f t="shared" ca="1" si="43"/>
        <v>0.76214613891949368</v>
      </c>
      <c r="CB63" s="1">
        <f t="shared" ca="1" si="44"/>
        <v>347</v>
      </c>
      <c r="CC63" s="1">
        <f t="shared" ca="1" si="45"/>
        <v>4</v>
      </c>
      <c r="CD63" s="1">
        <f t="shared" ca="1" si="46"/>
        <v>0.29386314067225255</v>
      </c>
      <c r="CE63" s="1">
        <f t="shared" ca="1" si="59"/>
        <v>0.79669463818778685</v>
      </c>
      <c r="CF63" s="1">
        <f t="shared" ca="1" si="59"/>
        <v>0.62402345166755002</v>
      </c>
      <c r="CH63" s="3">
        <f t="shared" ca="1" si="48"/>
        <v>0.65795044793562274</v>
      </c>
      <c r="CI63" s="3">
        <f t="shared" ca="1" si="49"/>
        <v>0.42867592169280144</v>
      </c>
      <c r="CJ63" s="3">
        <f t="shared" ca="1" si="50"/>
        <v>1978</v>
      </c>
      <c r="CK63" s="3">
        <f t="shared" ca="1" si="51"/>
        <v>4.3202728813165519E-3</v>
      </c>
      <c r="CL63" s="3">
        <f t="shared" ca="1" si="52"/>
        <v>1</v>
      </c>
      <c r="CM63" s="3"/>
      <c r="CN63" s="1">
        <f t="shared" ca="1" si="53"/>
        <v>11.893849966136942</v>
      </c>
      <c r="CO63" s="1">
        <f t="shared" ca="1" si="54"/>
        <v>0.30773115139816365</v>
      </c>
      <c r="CP63" s="1">
        <f t="shared" ca="1" si="55"/>
        <v>1</v>
      </c>
      <c r="DH63" s="1">
        <f t="shared" ca="1" si="56"/>
        <v>677</v>
      </c>
      <c r="DI63" s="1">
        <f t="shared" ca="1" si="57"/>
        <v>0.58560368243782368</v>
      </c>
      <c r="DJ63" s="1">
        <f t="shared" ca="1" si="58"/>
        <v>25</v>
      </c>
    </row>
    <row r="64" spans="2:114" x14ac:dyDescent="0.25">
      <c r="B64">
        <f t="shared" ca="1" si="0"/>
        <v>419</v>
      </c>
      <c r="C64">
        <f t="shared" ca="1" si="1"/>
        <v>9</v>
      </c>
      <c r="D64">
        <f t="shared" ca="1" si="2"/>
        <v>0.15278326103233061</v>
      </c>
      <c r="F64" s="1">
        <f t="shared" ca="1" si="3"/>
        <v>12</v>
      </c>
      <c r="G64" s="1">
        <f t="shared" ca="1" si="4"/>
        <v>25</v>
      </c>
      <c r="H64" s="1">
        <f t="shared" ca="1" si="5"/>
        <v>9</v>
      </c>
      <c r="I64" s="1"/>
      <c r="J64" s="1">
        <f t="shared" ca="1" si="6"/>
        <v>35</v>
      </c>
      <c r="K64" s="1">
        <f t="shared" ca="1" si="7"/>
        <v>2.3622212494486323</v>
      </c>
      <c r="L64" s="1">
        <f t="shared" ca="1" si="8"/>
        <v>3</v>
      </c>
      <c r="M64" s="1"/>
      <c r="N64" s="1">
        <f t="shared" ca="1" si="9"/>
        <v>418</v>
      </c>
      <c r="O64" s="1">
        <f t="shared" ca="1" si="10"/>
        <v>33</v>
      </c>
      <c r="P64" s="1"/>
      <c r="Q64" s="1">
        <f t="shared" ca="1" si="11"/>
        <v>3.9618014602036729</v>
      </c>
      <c r="R64" s="1">
        <f t="shared" ca="1" si="12"/>
        <v>241</v>
      </c>
      <c r="S64" s="1"/>
      <c r="T64" s="1">
        <f t="shared" ca="1" si="13"/>
        <v>0.18220387469914065</v>
      </c>
      <c r="U64" s="1">
        <f t="shared" ca="1" si="14"/>
        <v>75</v>
      </c>
      <c r="V64" s="1">
        <f t="shared" ca="1" si="15"/>
        <v>3</v>
      </c>
      <c r="W64" s="1"/>
      <c r="X64" s="1">
        <f t="shared" ca="1" si="16"/>
        <v>5.6414874136295881</v>
      </c>
      <c r="Y64" s="1">
        <f t="shared" ca="1" si="17"/>
        <v>0.68873426675792571</v>
      </c>
      <c r="Z64" s="1">
        <f t="shared" ca="1" si="18"/>
        <v>1214</v>
      </c>
      <c r="AB64" s="1">
        <f t="shared" ca="1" si="19"/>
        <v>0.24061274199398533</v>
      </c>
      <c r="AC64" s="1">
        <f t="shared" ca="1" si="20"/>
        <v>888</v>
      </c>
      <c r="AD64" s="1">
        <f t="shared" ca="1" si="21"/>
        <v>4.9560381551056222E-3</v>
      </c>
      <c r="AE64" s="1"/>
      <c r="AF64" s="1">
        <f t="shared" ca="1" si="22"/>
        <v>0.6056698752474704</v>
      </c>
      <c r="AG64" s="1">
        <f t="shared" ca="1" si="23"/>
        <v>465</v>
      </c>
      <c r="AH64" s="1">
        <f t="shared" ca="1" si="24"/>
        <v>9.5665709271127199E-3</v>
      </c>
      <c r="AJ64" s="1">
        <f t="shared" ca="1" si="25"/>
        <v>0.96330051926465232</v>
      </c>
      <c r="AK64" s="1">
        <f t="shared" ca="1" si="26"/>
        <v>3.0979760781257751E-3</v>
      </c>
      <c r="AL64" s="1"/>
      <c r="AM64" s="1">
        <f t="shared" ca="1" si="27"/>
        <v>0.18731961809488326</v>
      </c>
      <c r="AN64" s="1">
        <f t="shared" ca="1" si="28"/>
        <v>45</v>
      </c>
      <c r="AO64" s="1">
        <f t="shared" ca="1" si="29"/>
        <v>-1</v>
      </c>
      <c r="AQ64" s="1">
        <f t="shared" ca="1" si="30"/>
        <v>111</v>
      </c>
      <c r="AR64" s="1">
        <f t="shared" ca="1" si="31"/>
        <v>4</v>
      </c>
      <c r="AS64" s="1">
        <f t="shared" ca="1" si="32"/>
        <v>37</v>
      </c>
      <c r="AU64" s="1">
        <f t="shared" ca="1" si="33"/>
        <v>239</v>
      </c>
      <c r="AV64" s="1">
        <f t="shared" ca="1" si="34"/>
        <v>8</v>
      </c>
      <c r="AW64" s="1">
        <f t="shared" ca="1" si="35"/>
        <v>8.4730421927638258E-2</v>
      </c>
      <c r="AY64" s="1">
        <f t="shared" ca="1" si="36"/>
        <v>1.4705087520910851</v>
      </c>
      <c r="AZ64" s="1">
        <f t="shared" ca="1" si="37"/>
        <v>85</v>
      </c>
      <c r="BA64" s="1">
        <f t="shared" ca="1" si="38"/>
        <v>1.4843048516450583E-4</v>
      </c>
      <c r="BV64" s="1">
        <f t="shared" ca="1" si="39"/>
        <v>0.5858295069833146</v>
      </c>
      <c r="BW64" s="1">
        <f t="shared" ca="1" si="40"/>
        <v>473</v>
      </c>
      <c r="BX64" s="1">
        <f t="shared" ca="1" si="41"/>
        <v>5.8623675792207064E-3</v>
      </c>
      <c r="BY64" s="1">
        <f t="shared" ca="1" si="42"/>
        <v>7.366462624082977E-2</v>
      </c>
      <c r="BZ64" s="1">
        <f t="shared" ca="1" si="43"/>
        <v>0.23071078938699374</v>
      </c>
      <c r="CB64" s="1">
        <f t="shared" ca="1" si="44"/>
        <v>219</v>
      </c>
      <c r="CC64" s="1">
        <f t="shared" ca="1" si="45"/>
        <v>9</v>
      </c>
      <c r="CD64" s="1">
        <f t="shared" ca="1" si="46"/>
        <v>0.22026928003536056</v>
      </c>
      <c r="CE64" s="1">
        <f t="shared" ca="1" si="59"/>
        <v>0.52906827648699228</v>
      </c>
      <c r="CF64" s="1">
        <f t="shared" ca="1" si="59"/>
        <v>0.82554013019911765</v>
      </c>
      <c r="CH64" s="3">
        <f t="shared" ca="1" si="48"/>
        <v>2.1855857696591881E-2</v>
      </c>
      <c r="CI64" s="3">
        <f t="shared" ca="1" si="49"/>
        <v>0.75763047971016717</v>
      </c>
      <c r="CJ64" s="3">
        <f t="shared" ca="1" si="50"/>
        <v>482</v>
      </c>
      <c r="CK64" s="3">
        <f t="shared" ca="1" si="51"/>
        <v>5.8588530805638757E-3</v>
      </c>
      <c r="CL64" s="3">
        <f t="shared" ca="1" si="52"/>
        <v>1</v>
      </c>
      <c r="CM64" s="3"/>
      <c r="CN64" s="1">
        <f t="shared" ca="1" si="53"/>
        <v>11.727511217541197</v>
      </c>
      <c r="CO64" s="1">
        <f t="shared" ca="1" si="54"/>
        <v>3.3690718947439265E-3</v>
      </c>
      <c r="CP64" s="1">
        <f t="shared" ca="1" si="55"/>
        <v>1</v>
      </c>
      <c r="DH64" s="1">
        <f t="shared" ca="1" si="56"/>
        <v>61</v>
      </c>
      <c r="DI64" s="1">
        <f t="shared" ca="1" si="57"/>
        <v>0.59522805901613995</v>
      </c>
      <c r="DJ64" s="1">
        <f t="shared" ca="1" si="58"/>
        <v>15</v>
      </c>
    </row>
    <row r="65" spans="2:114" x14ac:dyDescent="0.25">
      <c r="B65">
        <f t="shared" ca="1" si="0"/>
        <v>627</v>
      </c>
      <c r="C65">
        <f t="shared" ca="1" si="1"/>
        <v>16</v>
      </c>
      <c r="D65">
        <f t="shared" ca="1" si="2"/>
        <v>9.2865430476841163E-2</v>
      </c>
      <c r="F65" s="1">
        <f t="shared" ca="1" si="3"/>
        <v>2</v>
      </c>
      <c r="G65" s="1">
        <f t="shared" ca="1" si="4"/>
        <v>8</v>
      </c>
      <c r="H65" s="1">
        <f t="shared" ca="1" si="5"/>
        <v>7</v>
      </c>
      <c r="I65" s="1"/>
      <c r="J65" s="1">
        <f t="shared" ca="1" si="6"/>
        <v>2</v>
      </c>
      <c r="K65" s="1">
        <f t="shared" ca="1" si="7"/>
        <v>2.1231638535168509</v>
      </c>
      <c r="L65" s="1">
        <f t="shared" ca="1" si="8"/>
        <v>24</v>
      </c>
      <c r="M65" s="1"/>
      <c r="N65" s="1">
        <f t="shared" ca="1" si="9"/>
        <v>38</v>
      </c>
      <c r="O65" s="1">
        <f t="shared" ca="1" si="10"/>
        <v>2</v>
      </c>
      <c r="P65" s="1"/>
      <c r="Q65" s="1">
        <f t="shared" ca="1" si="11"/>
        <v>4.4596999816805489</v>
      </c>
      <c r="R65" s="1">
        <f t="shared" ca="1" si="12"/>
        <v>650</v>
      </c>
      <c r="S65" s="1"/>
      <c r="T65" s="1">
        <f t="shared" ca="1" si="13"/>
        <v>0.12079873800296391</v>
      </c>
      <c r="U65" s="1">
        <f t="shared" ca="1" si="14"/>
        <v>159</v>
      </c>
      <c r="V65" s="1">
        <f t="shared" ca="1" si="15"/>
        <v>4</v>
      </c>
      <c r="W65" s="1"/>
      <c r="X65" s="1">
        <f t="shared" ca="1" si="16"/>
        <v>3.9983878566547544</v>
      </c>
      <c r="Y65" s="1">
        <f t="shared" ca="1" si="17"/>
        <v>1.2327273024616739E-2</v>
      </c>
      <c r="Z65" s="1">
        <f t="shared" ca="1" si="18"/>
        <v>1948</v>
      </c>
      <c r="AB65" s="1">
        <f t="shared" ca="1" si="19"/>
        <v>0.51833400911957994</v>
      </c>
      <c r="AC65" s="1">
        <f t="shared" ca="1" si="20"/>
        <v>406</v>
      </c>
      <c r="AD65" s="1">
        <f t="shared" ca="1" si="21"/>
        <v>5.641256886211839E-3</v>
      </c>
      <c r="AE65" s="1"/>
      <c r="AF65" s="1">
        <f t="shared" ca="1" si="22"/>
        <v>0.37436786056122018</v>
      </c>
      <c r="AG65" s="1">
        <f t="shared" ca="1" si="23"/>
        <v>543</v>
      </c>
      <c r="AH65" s="1">
        <f t="shared" ca="1" si="24"/>
        <v>3.6886902445384452E-3</v>
      </c>
      <c r="AJ65" s="1">
        <f t="shared" ca="1" si="25"/>
        <v>0.13237413324594638</v>
      </c>
      <c r="AK65" s="1">
        <f t="shared" ca="1" si="26"/>
        <v>8.8714821573402207E-3</v>
      </c>
      <c r="AL65" s="1"/>
      <c r="AM65" s="1">
        <f t="shared" ca="1" si="27"/>
        <v>0.14387077698816539</v>
      </c>
      <c r="AN65" s="1">
        <f t="shared" ca="1" si="28"/>
        <v>27</v>
      </c>
      <c r="AO65" s="1">
        <f t="shared" ca="1" si="29"/>
        <v>14</v>
      </c>
      <c r="AQ65" s="1">
        <f t="shared" ca="1" si="30"/>
        <v>151</v>
      </c>
      <c r="AR65" s="1">
        <f t="shared" ca="1" si="31"/>
        <v>8</v>
      </c>
      <c r="AS65" s="1">
        <f t="shared" ca="1" si="32"/>
        <v>51</v>
      </c>
      <c r="AU65" s="1">
        <f t="shared" ca="1" si="33"/>
        <v>189</v>
      </c>
      <c r="AV65" s="1">
        <f t="shared" ca="1" si="34"/>
        <v>8</v>
      </c>
      <c r="AW65" s="1">
        <f t="shared" ca="1" si="35"/>
        <v>0.15718722535941004</v>
      </c>
      <c r="AY65" s="1">
        <f t="shared" ca="1" si="36"/>
        <v>1.2313456615147631</v>
      </c>
      <c r="AZ65" s="1">
        <f t="shared" ca="1" si="37"/>
        <v>498</v>
      </c>
      <c r="BA65" s="1">
        <f t="shared" ca="1" si="38"/>
        <v>9.0401774551283256E-3</v>
      </c>
      <c r="BV65" s="1">
        <f t="shared" ca="1" si="39"/>
        <v>0.19057540412570964</v>
      </c>
      <c r="BW65" s="1">
        <f t="shared" ca="1" si="40"/>
        <v>121</v>
      </c>
      <c r="BX65" s="1">
        <f t="shared" ca="1" si="41"/>
        <v>2.2792120140225085E-3</v>
      </c>
      <c r="BY65" s="1">
        <f t="shared" ca="1" si="42"/>
        <v>9.5496819761459531E-2</v>
      </c>
      <c r="BZ65" s="1">
        <f t="shared" ca="1" si="43"/>
        <v>0.66495987721058414</v>
      </c>
      <c r="CB65" s="1">
        <f t="shared" ca="1" si="44"/>
        <v>201</v>
      </c>
      <c r="CC65" s="1">
        <f t="shared" ca="1" si="45"/>
        <v>7</v>
      </c>
      <c r="CD65" s="1">
        <f t="shared" ca="1" si="46"/>
        <v>8.6261795286417017E-2</v>
      </c>
      <c r="CE65" s="1">
        <f t="shared" ca="1" si="59"/>
        <v>0.973289626541611</v>
      </c>
      <c r="CF65" s="1">
        <f t="shared" ca="1" si="59"/>
        <v>0.93279411177600902</v>
      </c>
      <c r="CH65" s="3">
        <f t="shared" ca="1" si="48"/>
        <v>0.30582278018987635</v>
      </c>
      <c r="CI65" s="3">
        <f t="shared" ca="1" si="49"/>
        <v>0.15055367907935349</v>
      </c>
      <c r="CJ65" s="3">
        <f t="shared" ca="1" si="50"/>
        <v>743</v>
      </c>
      <c r="CK65" s="3">
        <f t="shared" ca="1" si="51"/>
        <v>3.2448748165997531E-3</v>
      </c>
      <c r="CL65" s="3">
        <f t="shared" ca="1" si="52"/>
        <v>0</v>
      </c>
      <c r="CM65" s="3"/>
      <c r="CN65" s="1">
        <f t="shared" ca="1" si="53"/>
        <v>15.914258176457254</v>
      </c>
      <c r="CO65" s="1">
        <f t="shared" ca="1" si="54"/>
        <v>8.4851756734799361E-2</v>
      </c>
      <c r="CP65" s="1">
        <f t="shared" ca="1" si="55"/>
        <v>3</v>
      </c>
      <c r="DH65" s="1">
        <f t="shared" ca="1" si="56"/>
        <v>792</v>
      </c>
      <c r="DI65" s="1">
        <f t="shared" ca="1" si="57"/>
        <v>0.61942170293399235</v>
      </c>
      <c r="DJ65" s="1">
        <f t="shared" ca="1" si="58"/>
        <v>4</v>
      </c>
    </row>
    <row r="66" spans="2:114" x14ac:dyDescent="0.25">
      <c r="B66">
        <f t="shared" ca="1" si="0"/>
        <v>709</v>
      </c>
      <c r="C66">
        <f t="shared" ca="1" si="1"/>
        <v>48</v>
      </c>
      <c r="D66">
        <f t="shared" ca="1" si="2"/>
        <v>0.21551568037323518</v>
      </c>
      <c r="F66" s="1">
        <f t="shared" ca="1" si="3"/>
        <v>35</v>
      </c>
      <c r="G66" s="1">
        <f t="shared" ca="1" si="4"/>
        <v>5</v>
      </c>
      <c r="H66" s="1">
        <f t="shared" ca="1" si="5"/>
        <v>4</v>
      </c>
      <c r="I66" s="1"/>
      <c r="J66" s="1">
        <f t="shared" ca="1" si="6"/>
        <v>31</v>
      </c>
      <c r="K66" s="1">
        <f t="shared" ca="1" si="7"/>
        <v>2.944595575827595</v>
      </c>
      <c r="L66" s="1">
        <f t="shared" ca="1" si="8"/>
        <v>25</v>
      </c>
      <c r="M66" s="1"/>
      <c r="N66" s="1">
        <f t="shared" ca="1" si="9"/>
        <v>32</v>
      </c>
      <c r="O66" s="1">
        <f t="shared" ca="1" si="10"/>
        <v>35</v>
      </c>
      <c r="P66" s="1"/>
      <c r="Q66" s="1">
        <f t="shared" ca="1" si="11"/>
        <v>3.5824603294666519</v>
      </c>
      <c r="R66" s="1">
        <f t="shared" ca="1" si="12"/>
        <v>286</v>
      </c>
      <c r="S66" s="1"/>
      <c r="T66" s="1">
        <f t="shared" ca="1" si="13"/>
        <v>8.695636247285142E-2</v>
      </c>
      <c r="U66" s="1">
        <f t="shared" ca="1" si="14"/>
        <v>196</v>
      </c>
      <c r="V66" s="1">
        <f t="shared" ca="1" si="15"/>
        <v>31</v>
      </c>
      <c r="W66" s="1"/>
      <c r="X66" s="1">
        <f t="shared" ca="1" si="16"/>
        <v>8.0326591683164317</v>
      </c>
      <c r="Y66" s="1">
        <f t="shared" ca="1" si="17"/>
        <v>0.51449001406175687</v>
      </c>
      <c r="Z66" s="1">
        <f t="shared" ca="1" si="18"/>
        <v>1722</v>
      </c>
      <c r="AB66" s="1">
        <f t="shared" ca="1" si="19"/>
        <v>7.2781876167769308E-2</v>
      </c>
      <c r="AC66" s="1">
        <f t="shared" ca="1" si="20"/>
        <v>703</v>
      </c>
      <c r="AD66" s="1">
        <f t="shared" ca="1" si="21"/>
        <v>8.7327997849550546E-4</v>
      </c>
      <c r="AE66" s="1"/>
      <c r="AF66" s="1">
        <f t="shared" ca="1" si="22"/>
        <v>0.54698702841740909</v>
      </c>
      <c r="AG66" s="1">
        <f t="shared" ca="1" si="23"/>
        <v>792</v>
      </c>
      <c r="AH66" s="1">
        <f t="shared" ca="1" si="24"/>
        <v>6.6467499714141379E-3</v>
      </c>
      <c r="AJ66" s="1">
        <f t="shared" ca="1" si="25"/>
        <v>0.24865127196900116</v>
      </c>
      <c r="AK66" s="1">
        <f t="shared" ca="1" si="26"/>
        <v>9.1487190558501696E-3</v>
      </c>
      <c r="AL66" s="1"/>
      <c r="AM66" s="1">
        <f t="shared" ca="1" si="27"/>
        <v>5.1799870527072515E-2</v>
      </c>
      <c r="AN66" s="1">
        <f t="shared" ca="1" si="28"/>
        <v>64</v>
      </c>
      <c r="AO66" s="1">
        <f t="shared" ca="1" si="29"/>
        <v>4</v>
      </c>
      <c r="AQ66" s="1">
        <f t="shared" ca="1" si="30"/>
        <v>77</v>
      </c>
      <c r="AR66" s="1">
        <f t="shared" ca="1" si="31"/>
        <v>5</v>
      </c>
      <c r="AS66" s="1">
        <f t="shared" ca="1" si="32"/>
        <v>77</v>
      </c>
      <c r="AU66" s="1">
        <f t="shared" ca="1" si="33"/>
        <v>338</v>
      </c>
      <c r="AV66" s="1">
        <f t="shared" ca="1" si="34"/>
        <v>8</v>
      </c>
      <c r="AW66" s="1">
        <f t="shared" ca="1" si="35"/>
        <v>0.15373675116466851</v>
      </c>
      <c r="AY66" s="1">
        <f t="shared" ca="1" si="36"/>
        <v>1.7241484786462236</v>
      </c>
      <c r="AZ66" s="1">
        <f t="shared" ca="1" si="37"/>
        <v>241</v>
      </c>
      <c r="BA66" s="1">
        <f t="shared" ca="1" si="38"/>
        <v>3.9447309464776259E-3</v>
      </c>
      <c r="BV66" s="1">
        <f t="shared" ca="1" si="39"/>
        <v>0.8120522782183176</v>
      </c>
      <c r="BW66" s="1">
        <f t="shared" ca="1" si="40"/>
        <v>825</v>
      </c>
      <c r="BX66" s="1">
        <f t="shared" ca="1" si="41"/>
        <v>4.8670854507959181E-3</v>
      </c>
      <c r="BY66" s="1">
        <f t="shared" ca="1" si="42"/>
        <v>5.4536831686681018E-2</v>
      </c>
      <c r="BZ66" s="1">
        <f t="shared" ca="1" si="43"/>
        <v>1.9503568698149731E-2</v>
      </c>
      <c r="CB66" s="1">
        <f t="shared" ca="1" si="44"/>
        <v>303</v>
      </c>
      <c r="CC66" s="1">
        <f t="shared" ca="1" si="45"/>
        <v>9</v>
      </c>
      <c r="CD66" s="1">
        <f t="shared" ca="1" si="46"/>
        <v>0.27713079706392918</v>
      </c>
      <c r="CE66" s="1">
        <f t="shared" ca="1" si="59"/>
        <v>0.5624771879066619</v>
      </c>
      <c r="CF66" s="1">
        <f t="shared" ca="1" si="59"/>
        <v>0.61908738203877955</v>
      </c>
      <c r="CH66" s="3">
        <f t="shared" ca="1" si="48"/>
        <v>0.52047422541282251</v>
      </c>
      <c r="CI66" s="3">
        <f t="shared" ca="1" si="49"/>
        <v>0.84612610588757142</v>
      </c>
      <c r="CJ66" s="3">
        <f t="shared" ca="1" si="50"/>
        <v>1038</v>
      </c>
      <c r="CK66" s="3">
        <f t="shared" ca="1" si="51"/>
        <v>2.6103973895509965E-3</v>
      </c>
      <c r="CL66" s="3">
        <f t="shared" ca="1" si="52"/>
        <v>0</v>
      </c>
      <c r="CM66" s="3"/>
      <c r="CN66" s="1">
        <f t="shared" ca="1" si="53"/>
        <v>16.874061767513908</v>
      </c>
      <c r="CO66" s="1">
        <f t="shared" ca="1" si="54"/>
        <v>0.37263548490682463</v>
      </c>
      <c r="CP66" s="1">
        <f t="shared" ca="1" si="55"/>
        <v>1</v>
      </c>
      <c r="DH66" s="1">
        <f t="shared" ca="1" si="56"/>
        <v>701</v>
      </c>
      <c r="DI66" s="1">
        <f t="shared" ca="1" si="57"/>
        <v>0.34606643073463239</v>
      </c>
      <c r="DJ66" s="1">
        <f t="shared" ca="1" si="58"/>
        <v>14</v>
      </c>
    </row>
    <row r="67" spans="2:114" x14ac:dyDescent="0.25">
      <c r="B67">
        <f t="shared" ca="1" si="0"/>
        <v>691</v>
      </c>
      <c r="C67">
        <f t="shared" ca="1" si="1"/>
        <v>41</v>
      </c>
      <c r="D67">
        <f t="shared" ca="1" si="2"/>
        <v>4.8936019520454316E-2</v>
      </c>
      <c r="F67" s="1">
        <f t="shared" ca="1" si="3"/>
        <v>29</v>
      </c>
      <c r="G67" s="1">
        <f t="shared" ca="1" si="4"/>
        <v>18</v>
      </c>
      <c r="H67" s="1">
        <f t="shared" ca="1" si="5"/>
        <v>11</v>
      </c>
      <c r="I67" s="1"/>
      <c r="J67" s="1">
        <f t="shared" ca="1" si="6"/>
        <v>4</v>
      </c>
      <c r="K67" s="1">
        <f t="shared" ca="1" si="7"/>
        <v>1.5201161631997928</v>
      </c>
      <c r="L67" s="1">
        <f t="shared" ca="1" si="8"/>
        <v>23</v>
      </c>
      <c r="M67" s="1"/>
      <c r="N67" s="1">
        <f t="shared" ca="1" si="9"/>
        <v>714</v>
      </c>
      <c r="O67" s="1">
        <f t="shared" ca="1" si="10"/>
        <v>7</v>
      </c>
      <c r="P67" s="1"/>
      <c r="Q67" s="1">
        <f t="shared" ca="1" si="11"/>
        <v>0.5458638322524495</v>
      </c>
      <c r="R67" s="1">
        <f t="shared" ca="1" si="12"/>
        <v>395</v>
      </c>
      <c r="S67" s="1"/>
      <c r="T67" s="1">
        <f t="shared" ca="1" si="13"/>
        <v>0.17252771143153223</v>
      </c>
      <c r="U67" s="1">
        <f t="shared" ca="1" si="14"/>
        <v>63</v>
      </c>
      <c r="V67" s="1">
        <f t="shared" ca="1" si="15"/>
        <v>7</v>
      </c>
      <c r="W67" s="1"/>
      <c r="X67" s="1">
        <f t="shared" ca="1" si="16"/>
        <v>1.208592939642867</v>
      </c>
      <c r="Y67" s="1">
        <f t="shared" ca="1" si="17"/>
        <v>0.58435516320534964</v>
      </c>
      <c r="Z67" s="1">
        <f t="shared" ca="1" si="18"/>
        <v>818</v>
      </c>
      <c r="AB67" s="1">
        <f t="shared" ca="1" si="19"/>
        <v>0.80279941626317786</v>
      </c>
      <c r="AC67" s="1">
        <f t="shared" ca="1" si="20"/>
        <v>651</v>
      </c>
      <c r="AD67" s="1">
        <f t="shared" ca="1" si="21"/>
        <v>9.9644911100399396E-3</v>
      </c>
      <c r="AE67" s="1"/>
      <c r="AF67" s="1">
        <f t="shared" ca="1" si="22"/>
        <v>0.44672462898411014</v>
      </c>
      <c r="AG67" s="1">
        <f t="shared" ca="1" si="23"/>
        <v>925</v>
      </c>
      <c r="AH67" s="1">
        <f t="shared" ca="1" si="24"/>
        <v>5.6751108116068932E-4</v>
      </c>
      <c r="AJ67" s="1">
        <f t="shared" ca="1" si="25"/>
        <v>7.3229434279483474E-2</v>
      </c>
      <c r="AK67" s="1">
        <f t="shared" ca="1" si="26"/>
        <v>6.22567652934705E-3</v>
      </c>
      <c r="AL67" s="1"/>
      <c r="AM67" s="1">
        <f t="shared" ca="1" si="27"/>
        <v>0.12251387227990929</v>
      </c>
      <c r="AN67" s="1">
        <f t="shared" ca="1" si="28"/>
        <v>71</v>
      </c>
      <c r="AO67" s="1">
        <f t="shared" ca="1" si="29"/>
        <v>-1</v>
      </c>
      <c r="AQ67" s="1">
        <f t="shared" ca="1" si="30"/>
        <v>149</v>
      </c>
      <c r="AR67" s="1">
        <f t="shared" ca="1" si="31"/>
        <v>8</v>
      </c>
      <c r="AS67" s="1">
        <f t="shared" ca="1" si="32"/>
        <v>84</v>
      </c>
      <c r="AU67" s="1">
        <f t="shared" ca="1" si="33"/>
        <v>383</v>
      </c>
      <c r="AV67" s="1">
        <f t="shared" ca="1" si="34"/>
        <v>6</v>
      </c>
      <c r="AW67" s="1">
        <f t="shared" ca="1" si="35"/>
        <v>9.0465706228257142E-2</v>
      </c>
      <c r="AY67" s="1">
        <f t="shared" ca="1" si="36"/>
        <v>1.7141707175687775</v>
      </c>
      <c r="AZ67" s="1">
        <f t="shared" ca="1" si="37"/>
        <v>162</v>
      </c>
      <c r="BA67" s="1">
        <f t="shared" ca="1" si="38"/>
        <v>2.1488940191630459E-3</v>
      </c>
      <c r="BV67" s="1">
        <f t="shared" ca="1" si="39"/>
        <v>0.86829856540106021</v>
      </c>
      <c r="BW67" s="1">
        <f t="shared" ca="1" si="40"/>
        <v>859</v>
      </c>
      <c r="BX67" s="1">
        <f t="shared" ca="1" si="41"/>
        <v>4.1350237204762314E-3</v>
      </c>
      <c r="BY67" s="1">
        <f t="shared" ca="1" si="42"/>
        <v>6.5031759098993364E-2</v>
      </c>
      <c r="BZ67" s="1">
        <f t="shared" ca="1" si="43"/>
        <v>7.9945635134017423E-2</v>
      </c>
      <c r="CB67" s="1">
        <f t="shared" ca="1" si="44"/>
        <v>419</v>
      </c>
      <c r="CC67" s="1">
        <f t="shared" ca="1" si="45"/>
        <v>12</v>
      </c>
      <c r="CD67" s="1">
        <f t="shared" ca="1" si="46"/>
        <v>0.23860080286100771</v>
      </c>
      <c r="CE67" s="1">
        <f t="shared" ca="1" si="59"/>
        <v>0.58864056569108381</v>
      </c>
      <c r="CF67" s="1">
        <f t="shared" ca="1" si="59"/>
        <v>0.54254778023501871</v>
      </c>
      <c r="CH67" s="3">
        <f t="shared" ca="1" si="48"/>
        <v>0.80387087311542282</v>
      </c>
      <c r="CI67" s="3">
        <f t="shared" ca="1" si="49"/>
        <v>0.46865239885027121</v>
      </c>
      <c r="CJ67" s="3">
        <f t="shared" ca="1" si="50"/>
        <v>432</v>
      </c>
      <c r="CK67" s="3">
        <f t="shared" ca="1" si="51"/>
        <v>5.6627679803676967E-3</v>
      </c>
      <c r="CL67" s="3">
        <f t="shared" ca="1" si="52"/>
        <v>0</v>
      </c>
      <c r="CM67" s="3"/>
      <c r="CN67" s="1">
        <f t="shared" ca="1" si="53"/>
        <v>7.6280863165535235</v>
      </c>
      <c r="CO67" s="1">
        <f t="shared" ca="1" si="54"/>
        <v>0.36920155174396047</v>
      </c>
      <c r="CP67" s="1">
        <f t="shared" ca="1" si="55"/>
        <v>5</v>
      </c>
      <c r="DH67" s="1">
        <f t="shared" ca="1" si="56"/>
        <v>605</v>
      </c>
      <c r="DI67" s="1">
        <f t="shared" ca="1" si="57"/>
        <v>0.31234790636040149</v>
      </c>
      <c r="DJ67" s="1">
        <f t="shared" ca="1" si="58"/>
        <v>4</v>
      </c>
    </row>
    <row r="68" spans="2:114" x14ac:dyDescent="0.25">
      <c r="B68">
        <f t="shared" ref="B68:B131" ca="1" si="60">RANDBETWEEN(15,1000)</f>
        <v>98</v>
      </c>
      <c r="C68">
        <f t="shared" ref="C68:C131" ca="1" si="61">RANDBETWEEN(2,52)</f>
        <v>17</v>
      </c>
      <c r="D68">
        <f t="shared" ref="D68:D131" ca="1" si="62">RAND()*(0.3-0.01)+0.01</f>
        <v>0.15173174154576338</v>
      </c>
      <c r="F68" s="1">
        <f t="shared" ref="F68:F131" ca="1" si="63">RANDBETWEEN(2,52)</f>
        <v>7</v>
      </c>
      <c r="G68" s="1">
        <f t="shared" ref="G68:G131" ca="1" si="64">RANDBETWEEN(2,30)</f>
        <v>6</v>
      </c>
      <c r="H68" s="1">
        <f t="shared" ref="H68:H131" ca="1" si="65">RANDBETWEEN(1,15)</f>
        <v>5</v>
      </c>
      <c r="I68" s="1"/>
      <c r="J68" s="1">
        <f t="shared" ref="J68:J131" ca="1" si="66">RANDBETWEEN(1,39)</f>
        <v>17</v>
      </c>
      <c r="K68" s="1">
        <f t="shared" ref="K68:K131" ca="1" si="67">RAND()*(3-1)+1</f>
        <v>2.6965467488091042</v>
      </c>
      <c r="L68" s="1">
        <f t="shared" ref="L68:L131" ca="1" si="68">RANDBETWEEN(2,35)</f>
        <v>24</v>
      </c>
      <c r="M68" s="1"/>
      <c r="N68" s="1">
        <f t="shared" ref="N68:N131" ca="1" si="69">RANDBETWEEN(15,1000)</f>
        <v>611</v>
      </c>
      <c r="O68" s="1">
        <f t="shared" ref="O68:O131" ca="1" si="70">RANDBETWEEN(2,52)</f>
        <v>19</v>
      </c>
      <c r="P68" s="1"/>
      <c r="Q68" s="1">
        <f t="shared" ref="Q68:Q131" ca="1" si="71">RAND()*(5-0.01)+0.01</f>
        <v>2.7724238509525598</v>
      </c>
      <c r="R68" s="1">
        <f t="shared" ref="R68:R131" ca="1" si="72">RANDBETWEEN(200,1200)</f>
        <v>527</v>
      </c>
      <c r="S68" s="1"/>
      <c r="T68" s="1">
        <f t="shared" ref="T68:T131" ca="1" si="73">RAND()*(0.2-0.01)+0.01</f>
        <v>0.12831860633058606</v>
      </c>
      <c r="U68" s="1">
        <f t="shared" ref="U68:U131" ca="1" si="74">RANDBETWEEN(50,450)</f>
        <v>113</v>
      </c>
      <c r="V68" s="1">
        <f t="shared" ref="V68:V131" ca="1" si="75">RANDBETWEEN(2,52)</f>
        <v>30</v>
      </c>
      <c r="W68" s="1"/>
      <c r="X68" s="1">
        <f t="shared" ref="X68:X131" ca="1" si="76">RAND()*(10-0.01)+0.01</f>
        <v>1.1657697095776303</v>
      </c>
      <c r="Y68" s="1">
        <f t="shared" ref="Y68:Y131" ca="1" si="77">RAND()*(1-0.0001)+0.0001</f>
        <v>0.98584796339335212</v>
      </c>
      <c r="Z68" s="1">
        <f t="shared" ref="Z68:Z131" ca="1" si="78">RANDBETWEEN(100,2000)</f>
        <v>681</v>
      </c>
      <c r="AB68" s="1">
        <f t="shared" ref="AB68:AB131" ca="1" si="79">RAND()*(1-0.0001)+0.0001</f>
        <v>0.97565348610636016</v>
      </c>
      <c r="AC68" s="1">
        <f t="shared" ref="AC68:AC131" ca="1" si="80">RANDBETWEEN(100,1000)</f>
        <v>708</v>
      </c>
      <c r="AD68" s="1">
        <f t="shared" ref="AD68:AD131" ca="1" si="81">RAND()*(0.01-0.00001)+0.00001</f>
        <v>2.5178489018293257E-3</v>
      </c>
      <c r="AE68" s="1"/>
      <c r="AF68" s="1">
        <f t="shared" ref="AF68:AF131" ca="1" si="82">RAND()*(0.9-0.1)+0.1</f>
        <v>0.69286889388164441</v>
      </c>
      <c r="AG68" s="1">
        <f t="shared" ref="AG68:AG131" ca="1" si="83">RANDBETWEEN(100,1000)</f>
        <v>600</v>
      </c>
      <c r="AH68" s="1">
        <f t="shared" ref="AH68:AH131" ca="1" si="84">RAND()*(0.01-0.00001)+0.00001</f>
        <v>5.0157734583899704E-3</v>
      </c>
      <c r="AJ68" s="1">
        <f t="shared" ref="AJ68:AJ131" ca="1" si="85">RAND()*(1-0)+0</f>
        <v>0.98306906201366073</v>
      </c>
      <c r="AK68" s="1">
        <f t="shared" ref="AK68:AK131" ca="1" si="86">RAND()*(0.01-0.00001)+0.00001</f>
        <v>5.0565597716786485E-3</v>
      </c>
      <c r="AL68" s="1"/>
      <c r="AM68" s="1">
        <f t="shared" ref="AM68:AM131" ca="1" si="87">RAND()*(0.2-0.005)+0.005</f>
        <v>0.14971271139423756</v>
      </c>
      <c r="AN68" s="1">
        <f t="shared" ref="AN68:AN131" ca="1" si="88">RANDBETWEEN(10,80)</f>
        <v>66</v>
      </c>
      <c r="AO68" s="1">
        <f t="shared" ref="AO68:AO131" ca="1" si="89">RANDBETWEEN(-1,20)</f>
        <v>10</v>
      </c>
      <c r="AQ68" s="1">
        <f t="shared" ref="AQ68:AQ131" ca="1" si="90">RANDBETWEEN(10,200)</f>
        <v>101</v>
      </c>
      <c r="AR68" s="1">
        <f t="shared" ref="AR68:AR131" ca="1" si="91">RANDBETWEEN(0,10)</f>
        <v>5</v>
      </c>
      <c r="AS68" s="1">
        <f t="shared" ref="AS68:AS131" ca="1" si="92">RANDBETWEEN(1,100)</f>
        <v>5</v>
      </c>
      <c r="AU68" s="1">
        <f t="shared" ref="AU68:AU131" ca="1" si="93">RANDBETWEEN(50,400)</f>
        <v>171</v>
      </c>
      <c r="AV68" s="1">
        <f t="shared" ref="AV68:AV131" ca="1" si="94">RANDBETWEEN(2,10)</f>
        <v>8</v>
      </c>
      <c r="AW68" s="1">
        <f t="shared" ref="AW68:AW131" ca="1" si="95">RAND()*(0.2-0.01)+0.01</f>
        <v>3.1820082833389503E-2</v>
      </c>
      <c r="AY68" s="1">
        <f t="shared" ref="AY68:AY131" ca="1" si="96">RAND()*(2-1.1)+1.1</f>
        <v>1.491798156218781</v>
      </c>
      <c r="AZ68" s="1">
        <f t="shared" ref="AZ68:AZ131" ca="1" si="97">RANDBETWEEN(50,500)</f>
        <v>138</v>
      </c>
      <c r="BA68" s="1">
        <f t="shared" ref="BA68:BA131" ca="1" si="98">RAND()*(0.01-0.00001)+0.00001</f>
        <v>8.5254758061672348E-3</v>
      </c>
      <c r="BV68" s="1">
        <f t="shared" ref="BV68:BV131" ca="1" si="99">RAND()*(1-0.0001)+0.0001</f>
        <v>0.461922167107367</v>
      </c>
      <c r="BW68" s="1">
        <f t="shared" ref="BW68:BW131" ca="1" si="100">RANDBETWEEN(100,1000)</f>
        <v>591</v>
      </c>
      <c r="BX68" s="1">
        <f t="shared" ref="BX68:BX131" ca="1" si="101">RAND()*(0.01-0.00001)+0.00001</f>
        <v>4.8676288984477881E-3</v>
      </c>
      <c r="BY68" s="1">
        <f t="shared" ref="BY68:BY131" ca="1" si="102">RAND()*(0.1-0.0001)+0.0001</f>
        <v>8.9642355441662491E-2</v>
      </c>
      <c r="BZ68" s="1">
        <f t="shared" ref="BZ68:BZ131" ca="1" si="103">RAND()*(1-0)+0</f>
        <v>3.8413033588301171E-2</v>
      </c>
      <c r="CB68" s="1">
        <f t="shared" ref="CB68:CB131" ca="1" si="104">RANDBETWEEN(50,500)</f>
        <v>287</v>
      </c>
      <c r="CC68" s="1">
        <f t="shared" ref="CC68:CC131" ca="1" si="105">RANDBETWEEN(3,15)</f>
        <v>5</v>
      </c>
      <c r="CD68" s="1">
        <f t="shared" ref="CD68:CD131" ca="1" si="106">RAND()*(0.3-0.01)+0.01</f>
        <v>0.20458233033730025</v>
      </c>
      <c r="CE68" s="1">
        <f t="shared" ref="CE68:CF99" ca="1" si="107">RAND()*(1-0.5)+0.5</f>
        <v>0.82594164191095376</v>
      </c>
      <c r="CF68" s="1">
        <f t="shared" ca="1" si="107"/>
        <v>0.89068761563827303</v>
      </c>
      <c r="CH68" s="3">
        <f t="shared" ref="CH68:CH131" ca="1" si="108">RAND()*(1-0.0001)+0.0001</f>
        <v>4.1237805274128438E-2</v>
      </c>
      <c r="CI68" s="3">
        <f t="shared" ref="CI68:CI131" ca="1" si="109">RAND()*(0.99-0.01)+0.01</f>
        <v>0.21238223855402197</v>
      </c>
      <c r="CJ68" s="3">
        <f t="shared" ref="CJ68:CJ131" ca="1" si="110">RANDBETWEEN(100,2000)</f>
        <v>791</v>
      </c>
      <c r="CK68" s="3">
        <f t="shared" ref="CK68:CK131" ca="1" si="111">RAND()*(0.01-0.000001)+0.000001</f>
        <v>2.0156211852219263E-3</v>
      </c>
      <c r="CL68" s="3">
        <f t="shared" ref="CL68:CL131" ca="1" si="112">RANDBETWEEN(0,1)</f>
        <v>1</v>
      </c>
      <c r="CM68" s="3"/>
      <c r="CN68" s="1">
        <f t="shared" ref="CN68:CN131" ca="1" si="113">RAND()*(20-0.1)+0.1</f>
        <v>8.1173509120956258</v>
      </c>
      <c r="CO68" s="1">
        <f t="shared" ref="CO68:CO131" ca="1" si="114">RAND()*(0.5-0.001)+0.001</f>
        <v>0.15196312153188787</v>
      </c>
      <c r="CP68" s="1">
        <f t="shared" ref="CP68:CP131" ca="1" si="115">RANDBETWEEN(1,5)</f>
        <v>3</v>
      </c>
      <c r="DH68" s="1">
        <f t="shared" ref="DH68:DH131" ca="1" si="116">RANDBETWEEN(10,900)</f>
        <v>310</v>
      </c>
      <c r="DI68" s="1">
        <f t="shared" ref="DI68:DI131" ca="1" si="117">RAND()*(1-0.001)+0.001</f>
        <v>0.56979145009028731</v>
      </c>
      <c r="DJ68" s="1">
        <f t="shared" ref="DJ68:DJ131" ca="1" si="118">RANDBETWEEN(1,30)</f>
        <v>7</v>
      </c>
    </row>
    <row r="69" spans="2:114" x14ac:dyDescent="0.25">
      <c r="B69">
        <f t="shared" ca="1" si="60"/>
        <v>379</v>
      </c>
      <c r="C69">
        <f t="shared" ca="1" si="61"/>
        <v>40</v>
      </c>
      <c r="D69">
        <f t="shared" ca="1" si="62"/>
        <v>9.0323314877108221E-2</v>
      </c>
      <c r="F69" s="1">
        <f t="shared" ca="1" si="63"/>
        <v>43</v>
      </c>
      <c r="G69" s="1">
        <f t="shared" ca="1" si="64"/>
        <v>15</v>
      </c>
      <c r="H69" s="1">
        <f t="shared" ca="1" si="65"/>
        <v>15</v>
      </c>
      <c r="I69" s="1"/>
      <c r="J69" s="1">
        <f t="shared" ca="1" si="66"/>
        <v>8</v>
      </c>
      <c r="K69" s="1">
        <f t="shared" ca="1" si="67"/>
        <v>1.4603357077445351</v>
      </c>
      <c r="L69" s="1">
        <f t="shared" ca="1" si="68"/>
        <v>13</v>
      </c>
      <c r="M69" s="1"/>
      <c r="N69" s="1">
        <f t="shared" ca="1" si="69"/>
        <v>164</v>
      </c>
      <c r="O69" s="1">
        <f t="shared" ca="1" si="70"/>
        <v>45</v>
      </c>
      <c r="P69" s="1"/>
      <c r="Q69" s="1">
        <f t="shared" ca="1" si="71"/>
        <v>3.0185358103339461</v>
      </c>
      <c r="R69" s="1">
        <f t="shared" ca="1" si="72"/>
        <v>237</v>
      </c>
      <c r="S69" s="1"/>
      <c r="T69" s="1">
        <f t="shared" ca="1" si="73"/>
        <v>3.6059397981154082E-2</v>
      </c>
      <c r="U69" s="1">
        <f t="shared" ca="1" si="74"/>
        <v>249</v>
      </c>
      <c r="V69" s="1">
        <f t="shared" ca="1" si="75"/>
        <v>19</v>
      </c>
      <c r="W69" s="1"/>
      <c r="X69" s="1">
        <f t="shared" ca="1" si="76"/>
        <v>9.3747592263132837</v>
      </c>
      <c r="Y69" s="1">
        <f t="shared" ca="1" si="77"/>
        <v>0.15668406100494928</v>
      </c>
      <c r="Z69" s="1">
        <f t="shared" ca="1" si="78"/>
        <v>1309</v>
      </c>
      <c r="AB69" s="1">
        <f t="shared" ca="1" si="79"/>
        <v>0.75392428258044963</v>
      </c>
      <c r="AC69" s="1">
        <f t="shared" ca="1" si="80"/>
        <v>357</v>
      </c>
      <c r="AD69" s="1">
        <f t="shared" ca="1" si="81"/>
        <v>7.9820168322702249E-4</v>
      </c>
      <c r="AE69" s="1"/>
      <c r="AF69" s="1">
        <f t="shared" ca="1" si="82"/>
        <v>0.50333544085308102</v>
      </c>
      <c r="AG69" s="1">
        <f t="shared" ca="1" si="83"/>
        <v>444</v>
      </c>
      <c r="AH69" s="1">
        <f t="shared" ca="1" si="84"/>
        <v>1.2866179986270764E-4</v>
      </c>
      <c r="AJ69" s="1">
        <f t="shared" ca="1" si="85"/>
        <v>0.51692190958387618</v>
      </c>
      <c r="AK69" s="1">
        <f t="shared" ca="1" si="86"/>
        <v>8.3570138053269526E-3</v>
      </c>
      <c r="AL69" s="1"/>
      <c r="AM69" s="1">
        <f t="shared" ca="1" si="87"/>
        <v>0.12172139971847924</v>
      </c>
      <c r="AN69" s="1">
        <f t="shared" ca="1" si="88"/>
        <v>57</v>
      </c>
      <c r="AO69" s="1">
        <f t="shared" ca="1" si="89"/>
        <v>18</v>
      </c>
      <c r="AQ69" s="1">
        <f t="shared" ca="1" si="90"/>
        <v>77</v>
      </c>
      <c r="AR69" s="1">
        <f t="shared" ca="1" si="91"/>
        <v>4</v>
      </c>
      <c r="AS69" s="1">
        <f t="shared" ca="1" si="92"/>
        <v>88</v>
      </c>
      <c r="AU69" s="1">
        <f t="shared" ca="1" si="93"/>
        <v>388</v>
      </c>
      <c r="AV69" s="1">
        <f t="shared" ca="1" si="94"/>
        <v>8</v>
      </c>
      <c r="AW69" s="1">
        <f t="shared" ca="1" si="95"/>
        <v>6.673429189802306E-2</v>
      </c>
      <c r="AY69" s="1">
        <f t="shared" ca="1" si="96"/>
        <v>1.2366955365380541</v>
      </c>
      <c r="AZ69" s="1">
        <f t="shared" ca="1" si="97"/>
        <v>293</v>
      </c>
      <c r="BA69" s="1">
        <f t="shared" ca="1" si="98"/>
        <v>8.3937272558818592E-3</v>
      </c>
      <c r="BV69" s="1">
        <f t="shared" ca="1" si="99"/>
        <v>3.4170456298606287E-2</v>
      </c>
      <c r="BW69" s="1">
        <f t="shared" ca="1" si="100"/>
        <v>824</v>
      </c>
      <c r="BX69" s="1">
        <f t="shared" ca="1" si="101"/>
        <v>5.8911088529751852E-3</v>
      </c>
      <c r="BY69" s="1">
        <f t="shared" ca="1" si="102"/>
        <v>9.9748827019512806E-2</v>
      </c>
      <c r="BZ69" s="1">
        <f t="shared" ca="1" si="103"/>
        <v>0.648676227004366</v>
      </c>
      <c r="CB69" s="1">
        <f t="shared" ca="1" si="104"/>
        <v>455</v>
      </c>
      <c r="CC69" s="1">
        <f t="shared" ca="1" si="105"/>
        <v>7</v>
      </c>
      <c r="CD69" s="1">
        <f t="shared" ca="1" si="106"/>
        <v>0.1517285486099649</v>
      </c>
      <c r="CE69" s="1">
        <f t="shared" ca="1" si="107"/>
        <v>0.78367899743693903</v>
      </c>
      <c r="CF69" s="1">
        <f t="shared" ca="1" si="107"/>
        <v>0.91250593200137042</v>
      </c>
      <c r="CH69" s="3">
        <f t="shared" ca="1" si="108"/>
        <v>7.0081453181469591E-2</v>
      </c>
      <c r="CI69" s="3">
        <f t="shared" ca="1" si="109"/>
        <v>0.97691769745496215</v>
      </c>
      <c r="CJ69" s="3">
        <f t="shared" ca="1" si="110"/>
        <v>249</v>
      </c>
      <c r="CK69" s="3">
        <f t="shared" ca="1" si="111"/>
        <v>6.8366729415716369E-3</v>
      </c>
      <c r="CL69" s="3">
        <f t="shared" ca="1" si="112"/>
        <v>0</v>
      </c>
      <c r="CM69" s="3"/>
      <c r="CN69" s="1">
        <f t="shared" ca="1" si="113"/>
        <v>6.3541538242582254</v>
      </c>
      <c r="CO69" s="1">
        <f t="shared" ca="1" si="114"/>
        <v>0.43550491656277596</v>
      </c>
      <c r="CP69" s="1">
        <f t="shared" ca="1" si="115"/>
        <v>4</v>
      </c>
      <c r="DH69" s="1">
        <f t="shared" ca="1" si="116"/>
        <v>792</v>
      </c>
      <c r="DI69" s="1">
        <f t="shared" ca="1" si="117"/>
        <v>0.33858692909880078</v>
      </c>
      <c r="DJ69" s="1">
        <f t="shared" ca="1" si="118"/>
        <v>13</v>
      </c>
    </row>
    <row r="70" spans="2:114" x14ac:dyDescent="0.25">
      <c r="B70">
        <f t="shared" ca="1" si="60"/>
        <v>887</v>
      </c>
      <c r="C70">
        <f t="shared" ca="1" si="61"/>
        <v>7</v>
      </c>
      <c r="D70">
        <f t="shared" ca="1" si="62"/>
        <v>0.27575346876738177</v>
      </c>
      <c r="F70" s="1">
        <f t="shared" ca="1" si="63"/>
        <v>19</v>
      </c>
      <c r="G70" s="1">
        <f t="shared" ca="1" si="64"/>
        <v>18</v>
      </c>
      <c r="H70" s="1">
        <f t="shared" ca="1" si="65"/>
        <v>11</v>
      </c>
      <c r="I70" s="1"/>
      <c r="J70" s="1">
        <f t="shared" ca="1" si="66"/>
        <v>23</v>
      </c>
      <c r="K70" s="1">
        <f t="shared" ca="1" si="67"/>
        <v>2.9216542606924536</v>
      </c>
      <c r="L70" s="1">
        <f t="shared" ca="1" si="68"/>
        <v>17</v>
      </c>
      <c r="M70" s="1"/>
      <c r="N70" s="1">
        <f t="shared" ca="1" si="69"/>
        <v>260</v>
      </c>
      <c r="O70" s="1">
        <f t="shared" ca="1" si="70"/>
        <v>10</v>
      </c>
      <c r="P70" s="1"/>
      <c r="Q70" s="1">
        <f t="shared" ca="1" si="71"/>
        <v>1.3106112661313167</v>
      </c>
      <c r="R70" s="1">
        <f t="shared" ca="1" si="72"/>
        <v>223</v>
      </c>
      <c r="S70" s="1"/>
      <c r="T70" s="1">
        <f t="shared" ca="1" si="73"/>
        <v>8.9411066030819414E-2</v>
      </c>
      <c r="U70" s="1">
        <f t="shared" ca="1" si="74"/>
        <v>208</v>
      </c>
      <c r="V70" s="1">
        <f t="shared" ca="1" si="75"/>
        <v>50</v>
      </c>
      <c r="W70" s="1"/>
      <c r="X70" s="1">
        <f t="shared" ca="1" si="76"/>
        <v>7.1723219205225854</v>
      </c>
      <c r="Y70" s="1">
        <f t="shared" ca="1" si="77"/>
        <v>0.18064681127530458</v>
      </c>
      <c r="Z70" s="1">
        <f t="shared" ca="1" si="78"/>
        <v>667</v>
      </c>
      <c r="AB70" s="1">
        <f t="shared" ca="1" si="79"/>
        <v>0.51681528872563565</v>
      </c>
      <c r="AC70" s="1">
        <f t="shared" ca="1" si="80"/>
        <v>682</v>
      </c>
      <c r="AD70" s="1">
        <f t="shared" ca="1" si="81"/>
        <v>6.1293595078074281E-3</v>
      </c>
      <c r="AE70" s="1"/>
      <c r="AF70" s="1">
        <f t="shared" ca="1" si="82"/>
        <v>0.17773069512822179</v>
      </c>
      <c r="AG70" s="1">
        <f t="shared" ca="1" si="83"/>
        <v>804</v>
      </c>
      <c r="AH70" s="1">
        <f t="shared" ca="1" si="84"/>
        <v>6.8411206563541405E-4</v>
      </c>
      <c r="AJ70" s="1">
        <f t="shared" ca="1" si="85"/>
        <v>4.988420373596969E-2</v>
      </c>
      <c r="AK70" s="1">
        <f t="shared" ca="1" si="86"/>
        <v>4.2401933667906271E-3</v>
      </c>
      <c r="AL70" s="1"/>
      <c r="AM70" s="1">
        <f t="shared" ca="1" si="87"/>
        <v>0.18001463409970803</v>
      </c>
      <c r="AN70" s="1">
        <f t="shared" ca="1" si="88"/>
        <v>55</v>
      </c>
      <c r="AO70" s="1">
        <f t="shared" ca="1" si="89"/>
        <v>18</v>
      </c>
      <c r="AQ70" s="1">
        <f t="shared" ca="1" si="90"/>
        <v>146</v>
      </c>
      <c r="AR70" s="1">
        <f t="shared" ca="1" si="91"/>
        <v>8</v>
      </c>
      <c r="AS70" s="1">
        <f t="shared" ca="1" si="92"/>
        <v>50</v>
      </c>
      <c r="AU70" s="1">
        <f t="shared" ca="1" si="93"/>
        <v>82</v>
      </c>
      <c r="AV70" s="1">
        <f t="shared" ca="1" si="94"/>
        <v>8</v>
      </c>
      <c r="AW70" s="1">
        <f t="shared" ca="1" si="95"/>
        <v>4.8567116964761604E-2</v>
      </c>
      <c r="AY70" s="1">
        <f t="shared" ca="1" si="96"/>
        <v>1.4128540876562645</v>
      </c>
      <c r="AZ70" s="1">
        <f t="shared" ca="1" si="97"/>
        <v>407</v>
      </c>
      <c r="BA70" s="1">
        <f t="shared" ca="1" si="98"/>
        <v>2.2675299829775734E-3</v>
      </c>
      <c r="BV70" s="1">
        <f t="shared" ca="1" si="99"/>
        <v>0.19890059568042828</v>
      </c>
      <c r="BW70" s="1">
        <f t="shared" ca="1" si="100"/>
        <v>993</v>
      </c>
      <c r="BX70" s="1">
        <f t="shared" ca="1" si="101"/>
        <v>1.0992526789287043E-3</v>
      </c>
      <c r="BY70" s="1">
        <f t="shared" ca="1" si="102"/>
        <v>9.2029159706757652E-2</v>
      </c>
      <c r="BZ70" s="1">
        <f t="shared" ca="1" si="103"/>
        <v>0.82655146665207224</v>
      </c>
      <c r="CB70" s="1">
        <f t="shared" ca="1" si="104"/>
        <v>351</v>
      </c>
      <c r="CC70" s="1">
        <f t="shared" ca="1" si="105"/>
        <v>7</v>
      </c>
      <c r="CD70" s="1">
        <f t="shared" ca="1" si="106"/>
        <v>2.8213660293203255E-2</v>
      </c>
      <c r="CE70" s="1">
        <f t="shared" ca="1" si="107"/>
        <v>0.82102196060230281</v>
      </c>
      <c r="CF70" s="1">
        <f t="shared" ca="1" si="107"/>
        <v>0.60410346049707586</v>
      </c>
      <c r="CH70" s="3">
        <f t="shared" ca="1" si="108"/>
        <v>0.3150168046344452</v>
      </c>
      <c r="CI70" s="3">
        <f t="shared" ca="1" si="109"/>
        <v>0.19808728999762176</v>
      </c>
      <c r="CJ70" s="3">
        <f t="shared" ca="1" si="110"/>
        <v>201</v>
      </c>
      <c r="CK70" s="3">
        <f t="shared" ca="1" si="111"/>
        <v>6.7036694753955716E-3</v>
      </c>
      <c r="CL70" s="3">
        <f t="shared" ca="1" si="112"/>
        <v>1</v>
      </c>
      <c r="CM70" s="3"/>
      <c r="CN70" s="1">
        <f t="shared" ca="1" si="113"/>
        <v>14.826990651150487</v>
      </c>
      <c r="CO70" s="1">
        <f t="shared" ca="1" si="114"/>
        <v>6.2513068159051083E-2</v>
      </c>
      <c r="CP70" s="1">
        <f t="shared" ca="1" si="115"/>
        <v>4</v>
      </c>
      <c r="DH70" s="1">
        <f t="shared" ca="1" si="116"/>
        <v>626</v>
      </c>
      <c r="DI70" s="1">
        <f t="shared" ca="1" si="117"/>
        <v>0.31286973619792718</v>
      </c>
      <c r="DJ70" s="1">
        <f t="shared" ca="1" si="118"/>
        <v>6</v>
      </c>
    </row>
    <row r="71" spans="2:114" x14ac:dyDescent="0.25">
      <c r="B71">
        <f t="shared" ca="1" si="60"/>
        <v>834</v>
      </c>
      <c r="C71">
        <f t="shared" ca="1" si="61"/>
        <v>51</v>
      </c>
      <c r="D71">
        <f t="shared" ca="1" si="62"/>
        <v>0.20488864615945793</v>
      </c>
      <c r="F71" s="1">
        <f t="shared" ca="1" si="63"/>
        <v>45</v>
      </c>
      <c r="G71" s="1">
        <f t="shared" ca="1" si="64"/>
        <v>21</v>
      </c>
      <c r="H71" s="1">
        <f t="shared" ca="1" si="65"/>
        <v>3</v>
      </c>
      <c r="I71" s="1"/>
      <c r="J71" s="1">
        <f t="shared" ca="1" si="66"/>
        <v>38</v>
      </c>
      <c r="K71" s="1">
        <f t="shared" ca="1" si="67"/>
        <v>2.5152475378997545</v>
      </c>
      <c r="L71" s="1">
        <f t="shared" ca="1" si="68"/>
        <v>25</v>
      </c>
      <c r="M71" s="1"/>
      <c r="N71" s="1">
        <f t="shared" ca="1" si="69"/>
        <v>967</v>
      </c>
      <c r="O71" s="1">
        <f t="shared" ca="1" si="70"/>
        <v>2</v>
      </c>
      <c r="P71" s="1"/>
      <c r="Q71" s="1">
        <f t="shared" ca="1" si="71"/>
        <v>4.6194460116133245</v>
      </c>
      <c r="R71" s="1">
        <f t="shared" ca="1" si="72"/>
        <v>1148</v>
      </c>
      <c r="S71" s="1"/>
      <c r="T71" s="1">
        <f t="shared" ca="1" si="73"/>
        <v>0.12149277125225048</v>
      </c>
      <c r="U71" s="1">
        <f t="shared" ca="1" si="74"/>
        <v>350</v>
      </c>
      <c r="V71" s="1">
        <f t="shared" ca="1" si="75"/>
        <v>40</v>
      </c>
      <c r="W71" s="1"/>
      <c r="X71" s="1">
        <f t="shared" ca="1" si="76"/>
        <v>2.2654646508566514</v>
      </c>
      <c r="Y71" s="1">
        <f t="shared" ca="1" si="77"/>
        <v>0.82273259313630775</v>
      </c>
      <c r="Z71" s="1">
        <f t="shared" ca="1" si="78"/>
        <v>1914</v>
      </c>
      <c r="AB71" s="1">
        <f t="shared" ca="1" si="79"/>
        <v>0.53831342139172411</v>
      </c>
      <c r="AC71" s="1">
        <f t="shared" ca="1" si="80"/>
        <v>463</v>
      </c>
      <c r="AD71" s="1">
        <f t="shared" ca="1" si="81"/>
        <v>2.21048982474692E-3</v>
      </c>
      <c r="AE71" s="1"/>
      <c r="AF71" s="1">
        <f t="shared" ca="1" si="82"/>
        <v>0.75945439533708547</v>
      </c>
      <c r="AG71" s="1">
        <f t="shared" ca="1" si="83"/>
        <v>407</v>
      </c>
      <c r="AH71" s="1">
        <f t="shared" ca="1" si="84"/>
        <v>8.8603811627580974E-3</v>
      </c>
      <c r="AJ71" s="1">
        <f t="shared" ca="1" si="85"/>
        <v>0.88438155718775713</v>
      </c>
      <c r="AK71" s="1">
        <f t="shared" ca="1" si="86"/>
        <v>7.2794912102562672E-3</v>
      </c>
      <c r="AL71" s="1"/>
      <c r="AM71" s="1">
        <f t="shared" ca="1" si="87"/>
        <v>4.7531266058942527E-2</v>
      </c>
      <c r="AN71" s="1">
        <f t="shared" ca="1" si="88"/>
        <v>68</v>
      </c>
      <c r="AO71" s="1">
        <f t="shared" ca="1" si="89"/>
        <v>9</v>
      </c>
      <c r="AQ71" s="1">
        <f t="shared" ca="1" si="90"/>
        <v>13</v>
      </c>
      <c r="AR71" s="1">
        <f t="shared" ca="1" si="91"/>
        <v>9</v>
      </c>
      <c r="AS71" s="1">
        <f t="shared" ca="1" si="92"/>
        <v>52</v>
      </c>
      <c r="AU71" s="1">
        <f t="shared" ca="1" si="93"/>
        <v>292</v>
      </c>
      <c r="AV71" s="1">
        <f t="shared" ca="1" si="94"/>
        <v>9</v>
      </c>
      <c r="AW71" s="1">
        <f t="shared" ca="1" si="95"/>
        <v>0.15084486447984369</v>
      </c>
      <c r="AY71" s="1">
        <f t="shared" ca="1" si="96"/>
        <v>1.7845987175052436</v>
      </c>
      <c r="AZ71" s="1">
        <f t="shared" ca="1" si="97"/>
        <v>148</v>
      </c>
      <c r="BA71" s="1">
        <f t="shared" ca="1" si="98"/>
        <v>8.3360798322377697E-3</v>
      </c>
      <c r="BV71" s="1">
        <f t="shared" ca="1" si="99"/>
        <v>6.7374178116523617E-2</v>
      </c>
      <c r="BW71" s="1">
        <f t="shared" ca="1" si="100"/>
        <v>756</v>
      </c>
      <c r="BX71" s="1">
        <f t="shared" ca="1" si="101"/>
        <v>3.6973535806629322E-3</v>
      </c>
      <c r="BY71" s="1">
        <f t="shared" ca="1" si="102"/>
        <v>5.7466485914649604E-2</v>
      </c>
      <c r="BZ71" s="1">
        <f t="shared" ca="1" si="103"/>
        <v>0.13763092794846876</v>
      </c>
      <c r="CB71" s="1">
        <f t="shared" ca="1" si="104"/>
        <v>206</v>
      </c>
      <c r="CC71" s="1">
        <f t="shared" ca="1" si="105"/>
        <v>6</v>
      </c>
      <c r="CD71" s="1">
        <f t="shared" ca="1" si="106"/>
        <v>0.27476965627432248</v>
      </c>
      <c r="CE71" s="1">
        <f t="shared" ca="1" si="107"/>
        <v>0.54777193886032427</v>
      </c>
      <c r="CF71" s="1">
        <f t="shared" ca="1" si="107"/>
        <v>0.86517925088204817</v>
      </c>
      <c r="CH71" s="3">
        <f t="shared" ca="1" si="108"/>
        <v>0.57572508871766359</v>
      </c>
      <c r="CI71" s="3">
        <f t="shared" ca="1" si="109"/>
        <v>0.81267801863699418</v>
      </c>
      <c r="CJ71" s="3">
        <f t="shared" ca="1" si="110"/>
        <v>860</v>
      </c>
      <c r="CK71" s="3">
        <f t="shared" ca="1" si="111"/>
        <v>4.5069515391703164E-3</v>
      </c>
      <c r="CL71" s="3">
        <f t="shared" ca="1" si="112"/>
        <v>1</v>
      </c>
      <c r="CM71" s="3"/>
      <c r="CN71" s="1">
        <f t="shared" ca="1" si="113"/>
        <v>3.7553139412083096</v>
      </c>
      <c r="CO71" s="1">
        <f t="shared" ca="1" si="114"/>
        <v>0.36837025281582852</v>
      </c>
      <c r="CP71" s="1">
        <f t="shared" ca="1" si="115"/>
        <v>1</v>
      </c>
      <c r="DH71" s="1">
        <f t="shared" ca="1" si="116"/>
        <v>224</v>
      </c>
      <c r="DI71" s="1">
        <f t="shared" ca="1" si="117"/>
        <v>0.82944414606720107</v>
      </c>
      <c r="DJ71" s="1">
        <f t="shared" ca="1" si="118"/>
        <v>28</v>
      </c>
    </row>
    <row r="72" spans="2:114" x14ac:dyDescent="0.25">
      <c r="B72">
        <f t="shared" ca="1" si="60"/>
        <v>563</v>
      </c>
      <c r="C72">
        <f t="shared" ca="1" si="61"/>
        <v>12</v>
      </c>
      <c r="D72">
        <f t="shared" ca="1" si="62"/>
        <v>0.15533036804507097</v>
      </c>
      <c r="F72" s="1">
        <f t="shared" ca="1" si="63"/>
        <v>51</v>
      </c>
      <c r="G72" s="1">
        <f t="shared" ca="1" si="64"/>
        <v>2</v>
      </c>
      <c r="H72" s="1">
        <f t="shared" ca="1" si="65"/>
        <v>6</v>
      </c>
      <c r="I72" s="1"/>
      <c r="J72" s="1">
        <f t="shared" ca="1" si="66"/>
        <v>11</v>
      </c>
      <c r="K72" s="1">
        <f t="shared" ca="1" si="67"/>
        <v>2.0679516445280095</v>
      </c>
      <c r="L72" s="1">
        <f t="shared" ca="1" si="68"/>
        <v>33</v>
      </c>
      <c r="M72" s="1"/>
      <c r="N72" s="1">
        <f t="shared" ca="1" si="69"/>
        <v>669</v>
      </c>
      <c r="O72" s="1">
        <f t="shared" ca="1" si="70"/>
        <v>8</v>
      </c>
      <c r="P72" s="1"/>
      <c r="Q72" s="1">
        <f t="shared" ca="1" si="71"/>
        <v>2.8965498282503286</v>
      </c>
      <c r="R72" s="1">
        <f t="shared" ca="1" si="72"/>
        <v>682</v>
      </c>
      <c r="S72" s="1"/>
      <c r="T72" s="1">
        <f t="shared" ca="1" si="73"/>
        <v>0.14326183347301338</v>
      </c>
      <c r="U72" s="1">
        <f t="shared" ca="1" si="74"/>
        <v>409</v>
      </c>
      <c r="V72" s="1">
        <f t="shared" ca="1" si="75"/>
        <v>28</v>
      </c>
      <c r="W72" s="1"/>
      <c r="X72" s="1">
        <f t="shared" ca="1" si="76"/>
        <v>8.5765865376142578</v>
      </c>
      <c r="Y72" s="1">
        <f t="shared" ca="1" si="77"/>
        <v>0.16487071003482487</v>
      </c>
      <c r="Z72" s="1">
        <f t="shared" ca="1" si="78"/>
        <v>1234</v>
      </c>
      <c r="AB72" s="1">
        <f t="shared" ca="1" si="79"/>
        <v>0.3035189105792197</v>
      </c>
      <c r="AC72" s="1">
        <f t="shared" ca="1" si="80"/>
        <v>232</v>
      </c>
      <c r="AD72" s="1">
        <f t="shared" ca="1" si="81"/>
        <v>4.354665084257677E-3</v>
      </c>
      <c r="AE72" s="1"/>
      <c r="AF72" s="1">
        <f t="shared" ca="1" si="82"/>
        <v>0.51472335720143203</v>
      </c>
      <c r="AG72" s="1">
        <f t="shared" ca="1" si="83"/>
        <v>551</v>
      </c>
      <c r="AH72" s="1">
        <f t="shared" ca="1" si="84"/>
        <v>3.2755955210663234E-3</v>
      </c>
      <c r="AJ72" s="1">
        <f t="shared" ca="1" si="85"/>
        <v>9.7637428174654817E-2</v>
      </c>
      <c r="AK72" s="1">
        <f t="shared" ca="1" si="86"/>
        <v>8.4414974276127638E-3</v>
      </c>
      <c r="AL72" s="1"/>
      <c r="AM72" s="1">
        <f t="shared" ca="1" si="87"/>
        <v>1.5421377902298417E-2</v>
      </c>
      <c r="AN72" s="1">
        <f t="shared" ca="1" si="88"/>
        <v>58</v>
      </c>
      <c r="AO72" s="1">
        <f t="shared" ca="1" si="89"/>
        <v>1</v>
      </c>
      <c r="AQ72" s="1">
        <f t="shared" ca="1" si="90"/>
        <v>14</v>
      </c>
      <c r="AR72" s="1">
        <f t="shared" ca="1" si="91"/>
        <v>4</v>
      </c>
      <c r="AS72" s="1">
        <f t="shared" ca="1" si="92"/>
        <v>94</v>
      </c>
      <c r="AU72" s="1">
        <f t="shared" ca="1" si="93"/>
        <v>121</v>
      </c>
      <c r="AV72" s="1">
        <f t="shared" ca="1" si="94"/>
        <v>3</v>
      </c>
      <c r="AW72" s="1">
        <f t="shared" ca="1" si="95"/>
        <v>0.13217286839895259</v>
      </c>
      <c r="AY72" s="1">
        <f t="shared" ca="1" si="96"/>
        <v>1.8744577762289771</v>
      </c>
      <c r="AZ72" s="1">
        <f t="shared" ca="1" si="97"/>
        <v>139</v>
      </c>
      <c r="BA72" s="1">
        <f t="shared" ca="1" si="98"/>
        <v>8.1931229083640252E-3</v>
      </c>
      <c r="BV72" s="1">
        <f t="shared" ca="1" si="99"/>
        <v>0.46721803401590883</v>
      </c>
      <c r="BW72" s="1">
        <f t="shared" ca="1" si="100"/>
        <v>418</v>
      </c>
      <c r="BX72" s="1">
        <f t="shared" ca="1" si="101"/>
        <v>2.5726807090713068E-3</v>
      </c>
      <c r="BY72" s="1">
        <f t="shared" ca="1" si="102"/>
        <v>6.748733052044073E-2</v>
      </c>
      <c r="BZ72" s="1">
        <f t="shared" ca="1" si="103"/>
        <v>0.63584764702284124</v>
      </c>
      <c r="CB72" s="1">
        <f t="shared" ca="1" si="104"/>
        <v>204</v>
      </c>
      <c r="CC72" s="1">
        <f t="shared" ca="1" si="105"/>
        <v>14</v>
      </c>
      <c r="CD72" s="1">
        <f t="shared" ca="1" si="106"/>
        <v>0.14614098336150402</v>
      </c>
      <c r="CE72" s="1">
        <f t="shared" ca="1" si="107"/>
        <v>0.68033263735533844</v>
      </c>
      <c r="CF72" s="1">
        <f t="shared" ca="1" si="107"/>
        <v>0.78673338487085887</v>
      </c>
      <c r="CH72" s="3">
        <f t="shared" ca="1" si="108"/>
        <v>0.61311240346032125</v>
      </c>
      <c r="CI72" s="3">
        <f t="shared" ca="1" si="109"/>
        <v>7.051239350682835E-2</v>
      </c>
      <c r="CJ72" s="3">
        <f t="shared" ca="1" si="110"/>
        <v>1831</v>
      </c>
      <c r="CK72" s="3">
        <f t="shared" ca="1" si="111"/>
        <v>7.8631011724414647E-3</v>
      </c>
      <c r="CL72" s="3">
        <f t="shared" ca="1" si="112"/>
        <v>1</v>
      </c>
      <c r="CM72" s="3"/>
      <c r="CN72" s="1">
        <f t="shared" ca="1" si="113"/>
        <v>13.193510937923635</v>
      </c>
      <c r="CO72" s="1">
        <f t="shared" ca="1" si="114"/>
        <v>8.1247626240608356E-2</v>
      </c>
      <c r="CP72" s="1">
        <f t="shared" ca="1" si="115"/>
        <v>3</v>
      </c>
      <c r="DH72" s="1">
        <f t="shared" ca="1" si="116"/>
        <v>450</v>
      </c>
      <c r="DI72" s="1">
        <f t="shared" ca="1" si="117"/>
        <v>0.64652522854959349</v>
      </c>
      <c r="DJ72" s="1">
        <f t="shared" ca="1" si="118"/>
        <v>29</v>
      </c>
    </row>
    <row r="73" spans="2:114" x14ac:dyDescent="0.25">
      <c r="B73">
        <f t="shared" ca="1" si="60"/>
        <v>211</v>
      </c>
      <c r="C73">
        <f t="shared" ca="1" si="61"/>
        <v>41</v>
      </c>
      <c r="D73">
        <f t="shared" ca="1" si="62"/>
        <v>0.29610860198355954</v>
      </c>
      <c r="F73" s="1">
        <f t="shared" ca="1" si="63"/>
        <v>15</v>
      </c>
      <c r="G73" s="1">
        <f t="shared" ca="1" si="64"/>
        <v>2</v>
      </c>
      <c r="H73" s="1">
        <f t="shared" ca="1" si="65"/>
        <v>14</v>
      </c>
      <c r="I73" s="1"/>
      <c r="J73" s="1">
        <f t="shared" ca="1" si="66"/>
        <v>16</v>
      </c>
      <c r="K73" s="1">
        <f t="shared" ca="1" si="67"/>
        <v>1.4964506955020158</v>
      </c>
      <c r="L73" s="1">
        <f t="shared" ca="1" si="68"/>
        <v>14</v>
      </c>
      <c r="M73" s="1"/>
      <c r="N73" s="1">
        <f t="shared" ca="1" si="69"/>
        <v>869</v>
      </c>
      <c r="O73" s="1">
        <f t="shared" ca="1" si="70"/>
        <v>31</v>
      </c>
      <c r="P73" s="1"/>
      <c r="Q73" s="1">
        <f t="shared" ca="1" si="71"/>
        <v>3.7226266851708312</v>
      </c>
      <c r="R73" s="1">
        <f t="shared" ca="1" si="72"/>
        <v>744</v>
      </c>
      <c r="S73" s="1"/>
      <c r="T73" s="1">
        <f t="shared" ca="1" si="73"/>
        <v>6.4441118226442634E-2</v>
      </c>
      <c r="U73" s="1">
        <f t="shared" ca="1" si="74"/>
        <v>289</v>
      </c>
      <c r="V73" s="1">
        <f t="shared" ca="1" si="75"/>
        <v>8</v>
      </c>
      <c r="W73" s="1"/>
      <c r="X73" s="1">
        <f t="shared" ca="1" si="76"/>
        <v>0.86903564934858302</v>
      </c>
      <c r="Y73" s="1">
        <f t="shared" ca="1" si="77"/>
        <v>0.52754553881560939</v>
      </c>
      <c r="Z73" s="1">
        <f t="shared" ca="1" si="78"/>
        <v>1810</v>
      </c>
      <c r="AB73" s="1">
        <f t="shared" ca="1" si="79"/>
        <v>0.16542838206870883</v>
      </c>
      <c r="AC73" s="1">
        <f t="shared" ca="1" si="80"/>
        <v>794</v>
      </c>
      <c r="AD73" s="1">
        <f t="shared" ca="1" si="81"/>
        <v>7.6198127947380507E-3</v>
      </c>
      <c r="AE73" s="1"/>
      <c r="AF73" s="1">
        <f t="shared" ca="1" si="82"/>
        <v>0.48050257521368145</v>
      </c>
      <c r="AG73" s="1">
        <f t="shared" ca="1" si="83"/>
        <v>187</v>
      </c>
      <c r="AH73" s="1">
        <f t="shared" ca="1" si="84"/>
        <v>8.7329661899861164E-5</v>
      </c>
      <c r="AJ73" s="1">
        <f t="shared" ca="1" si="85"/>
        <v>0.2875266787859031</v>
      </c>
      <c r="AK73" s="1">
        <f t="shared" ca="1" si="86"/>
        <v>8.528723235740927E-3</v>
      </c>
      <c r="AL73" s="1"/>
      <c r="AM73" s="1">
        <f t="shared" ca="1" si="87"/>
        <v>0.13619452476487018</v>
      </c>
      <c r="AN73" s="1">
        <f t="shared" ca="1" si="88"/>
        <v>75</v>
      </c>
      <c r="AO73" s="1">
        <f t="shared" ca="1" si="89"/>
        <v>14</v>
      </c>
      <c r="AQ73" s="1">
        <f t="shared" ca="1" si="90"/>
        <v>83</v>
      </c>
      <c r="AR73" s="1">
        <f t="shared" ca="1" si="91"/>
        <v>6</v>
      </c>
      <c r="AS73" s="1">
        <f t="shared" ca="1" si="92"/>
        <v>54</v>
      </c>
      <c r="AU73" s="1">
        <f t="shared" ca="1" si="93"/>
        <v>314</v>
      </c>
      <c r="AV73" s="1">
        <f t="shared" ca="1" si="94"/>
        <v>3</v>
      </c>
      <c r="AW73" s="1">
        <f t="shared" ca="1" si="95"/>
        <v>1.0094793040372366E-2</v>
      </c>
      <c r="AY73" s="1">
        <f t="shared" ca="1" si="96"/>
        <v>1.4349738465140813</v>
      </c>
      <c r="AZ73" s="1">
        <f t="shared" ca="1" si="97"/>
        <v>199</v>
      </c>
      <c r="BA73" s="1">
        <f t="shared" ca="1" si="98"/>
        <v>4.5889987360655388E-3</v>
      </c>
      <c r="BV73" s="1">
        <f t="shared" ca="1" si="99"/>
        <v>0.38894720768081542</v>
      </c>
      <c r="BW73" s="1">
        <f t="shared" ca="1" si="100"/>
        <v>668</v>
      </c>
      <c r="BX73" s="1">
        <f t="shared" ca="1" si="101"/>
        <v>2.9006312187805656E-3</v>
      </c>
      <c r="BY73" s="1">
        <f t="shared" ca="1" si="102"/>
        <v>7.3418348654326948E-2</v>
      </c>
      <c r="BZ73" s="1">
        <f t="shared" ca="1" si="103"/>
        <v>0.36529090166977585</v>
      </c>
      <c r="CB73" s="1">
        <f t="shared" ca="1" si="104"/>
        <v>351</v>
      </c>
      <c r="CC73" s="1">
        <f t="shared" ca="1" si="105"/>
        <v>6</v>
      </c>
      <c r="CD73" s="1">
        <f t="shared" ca="1" si="106"/>
        <v>0.10053923251480659</v>
      </c>
      <c r="CE73" s="1">
        <f t="shared" ca="1" si="107"/>
        <v>0.87045778453908063</v>
      </c>
      <c r="CF73" s="1">
        <f t="shared" ca="1" si="107"/>
        <v>0.81211016043322726</v>
      </c>
      <c r="CH73" s="3">
        <f t="shared" ca="1" si="108"/>
        <v>0.40307276836164718</v>
      </c>
      <c r="CI73" s="3">
        <f t="shared" ca="1" si="109"/>
        <v>0.68538464168740654</v>
      </c>
      <c r="CJ73" s="3">
        <f t="shared" ca="1" si="110"/>
        <v>1893</v>
      </c>
      <c r="CK73" s="3">
        <f t="shared" ca="1" si="111"/>
        <v>8.3122071231770227E-3</v>
      </c>
      <c r="CL73" s="3">
        <f t="shared" ca="1" si="112"/>
        <v>0</v>
      </c>
      <c r="CM73" s="3"/>
      <c r="CN73" s="1">
        <f t="shared" ca="1" si="113"/>
        <v>8.7313337659401284</v>
      </c>
      <c r="CO73" s="1">
        <f t="shared" ca="1" si="114"/>
        <v>0.10412208077849509</v>
      </c>
      <c r="CP73" s="1">
        <f t="shared" ca="1" si="115"/>
        <v>5</v>
      </c>
      <c r="DH73" s="1">
        <f t="shared" ca="1" si="116"/>
        <v>99</v>
      </c>
      <c r="DI73" s="1">
        <f t="shared" ca="1" si="117"/>
        <v>0.52989001379200362</v>
      </c>
      <c r="DJ73" s="1">
        <f t="shared" ca="1" si="118"/>
        <v>30</v>
      </c>
    </row>
    <row r="74" spans="2:114" x14ac:dyDescent="0.25">
      <c r="B74">
        <f t="shared" ca="1" si="60"/>
        <v>858</v>
      </c>
      <c r="C74">
        <f t="shared" ca="1" si="61"/>
        <v>18</v>
      </c>
      <c r="D74">
        <f t="shared" ca="1" si="62"/>
        <v>0.24556306805638173</v>
      </c>
      <c r="F74" s="1">
        <f t="shared" ca="1" si="63"/>
        <v>19</v>
      </c>
      <c r="G74" s="1">
        <f t="shared" ca="1" si="64"/>
        <v>4</v>
      </c>
      <c r="H74" s="1">
        <f t="shared" ca="1" si="65"/>
        <v>13</v>
      </c>
      <c r="I74" s="1"/>
      <c r="J74" s="1">
        <f t="shared" ca="1" si="66"/>
        <v>17</v>
      </c>
      <c r="K74" s="1">
        <f t="shared" ca="1" si="67"/>
        <v>1.5349650033351785</v>
      </c>
      <c r="L74" s="1">
        <f t="shared" ca="1" si="68"/>
        <v>7</v>
      </c>
      <c r="M74" s="1"/>
      <c r="N74" s="1">
        <f t="shared" ca="1" si="69"/>
        <v>311</v>
      </c>
      <c r="O74" s="1">
        <f t="shared" ca="1" si="70"/>
        <v>25</v>
      </c>
      <c r="P74" s="1"/>
      <c r="Q74" s="1">
        <f t="shared" ca="1" si="71"/>
        <v>1.3341163353662651</v>
      </c>
      <c r="R74" s="1">
        <f t="shared" ca="1" si="72"/>
        <v>972</v>
      </c>
      <c r="S74" s="1"/>
      <c r="T74" s="1">
        <f t="shared" ca="1" si="73"/>
        <v>0.18858056453346383</v>
      </c>
      <c r="U74" s="1">
        <f t="shared" ca="1" si="74"/>
        <v>351</v>
      </c>
      <c r="V74" s="1">
        <f t="shared" ca="1" si="75"/>
        <v>40</v>
      </c>
      <c r="W74" s="1"/>
      <c r="X74" s="1">
        <f t="shared" ca="1" si="76"/>
        <v>2.881393361918295</v>
      </c>
      <c r="Y74" s="1">
        <f t="shared" ca="1" si="77"/>
        <v>2.7529321220861106E-2</v>
      </c>
      <c r="Z74" s="1">
        <f t="shared" ca="1" si="78"/>
        <v>1900</v>
      </c>
      <c r="AB74" s="1">
        <f t="shared" ca="1" si="79"/>
        <v>0.28808550432535329</v>
      </c>
      <c r="AC74" s="1">
        <f t="shared" ca="1" si="80"/>
        <v>998</v>
      </c>
      <c r="AD74" s="1">
        <f t="shared" ca="1" si="81"/>
        <v>3.6474182250847403E-3</v>
      </c>
      <c r="AE74" s="1"/>
      <c r="AF74" s="1">
        <f t="shared" ca="1" si="82"/>
        <v>0.1059609583773086</v>
      </c>
      <c r="AG74" s="1">
        <f t="shared" ca="1" si="83"/>
        <v>1000</v>
      </c>
      <c r="AH74" s="1">
        <f t="shared" ca="1" si="84"/>
        <v>9.9304650068323362E-3</v>
      </c>
      <c r="AJ74" s="1">
        <f t="shared" ca="1" si="85"/>
        <v>0.80091852112233242</v>
      </c>
      <c r="AK74" s="1">
        <f t="shared" ca="1" si="86"/>
        <v>2.0833999948967406E-3</v>
      </c>
      <c r="AL74" s="1"/>
      <c r="AM74" s="1">
        <f t="shared" ca="1" si="87"/>
        <v>0.10657341689926468</v>
      </c>
      <c r="AN74" s="1">
        <f t="shared" ca="1" si="88"/>
        <v>24</v>
      </c>
      <c r="AO74" s="1">
        <f t="shared" ca="1" si="89"/>
        <v>16</v>
      </c>
      <c r="AQ74" s="1">
        <f t="shared" ca="1" si="90"/>
        <v>174</v>
      </c>
      <c r="AR74" s="1">
        <f t="shared" ca="1" si="91"/>
        <v>7</v>
      </c>
      <c r="AS74" s="1">
        <f t="shared" ca="1" si="92"/>
        <v>29</v>
      </c>
      <c r="AU74" s="1">
        <f t="shared" ca="1" si="93"/>
        <v>269</v>
      </c>
      <c r="AV74" s="1">
        <f t="shared" ca="1" si="94"/>
        <v>8</v>
      </c>
      <c r="AW74" s="1">
        <f t="shared" ca="1" si="95"/>
        <v>2.1293497087957882E-2</v>
      </c>
      <c r="AY74" s="1">
        <f t="shared" ca="1" si="96"/>
        <v>1.7293945227675391</v>
      </c>
      <c r="AZ74" s="1">
        <f t="shared" ca="1" si="97"/>
        <v>94</v>
      </c>
      <c r="BA74" s="1">
        <f t="shared" ca="1" si="98"/>
        <v>6.9092634473829533E-3</v>
      </c>
      <c r="BV74" s="1">
        <f t="shared" ca="1" si="99"/>
        <v>0.93192625007105334</v>
      </c>
      <c r="BW74" s="1">
        <f t="shared" ca="1" si="100"/>
        <v>698</v>
      </c>
      <c r="BX74" s="1">
        <f t="shared" ca="1" si="101"/>
        <v>3.7382392653462736E-3</v>
      </c>
      <c r="BY74" s="1">
        <f t="shared" ca="1" si="102"/>
        <v>1.1608056992905756E-2</v>
      </c>
      <c r="BZ74" s="1">
        <f t="shared" ca="1" si="103"/>
        <v>1.5786745329723684E-2</v>
      </c>
      <c r="CB74" s="1">
        <f t="shared" ca="1" si="104"/>
        <v>80</v>
      </c>
      <c r="CC74" s="1">
        <f t="shared" ca="1" si="105"/>
        <v>9</v>
      </c>
      <c r="CD74" s="1">
        <f t="shared" ca="1" si="106"/>
        <v>0.28923491602152268</v>
      </c>
      <c r="CE74" s="1">
        <f t="shared" ca="1" si="107"/>
        <v>0.51118284874951747</v>
      </c>
      <c r="CF74" s="1">
        <f t="shared" ca="1" si="107"/>
        <v>0.90579879881293923</v>
      </c>
      <c r="CH74" s="3">
        <f t="shared" ca="1" si="108"/>
        <v>0.56496398559476924</v>
      </c>
      <c r="CI74" s="3">
        <f t="shared" ca="1" si="109"/>
        <v>0.15779333784696445</v>
      </c>
      <c r="CJ74" s="3">
        <f t="shared" ca="1" si="110"/>
        <v>1631</v>
      </c>
      <c r="CK74" s="3">
        <f t="shared" ca="1" si="111"/>
        <v>7.993374412758953E-3</v>
      </c>
      <c r="CL74" s="3">
        <f t="shared" ca="1" si="112"/>
        <v>1</v>
      </c>
      <c r="CM74" s="3"/>
      <c r="CN74" s="1">
        <f t="shared" ca="1" si="113"/>
        <v>14.476647172223759</v>
      </c>
      <c r="CO74" s="1">
        <f t="shared" ca="1" si="114"/>
        <v>0.45208833022447353</v>
      </c>
      <c r="CP74" s="1">
        <f t="shared" ca="1" si="115"/>
        <v>4</v>
      </c>
      <c r="DH74" s="1">
        <f t="shared" ca="1" si="116"/>
        <v>363</v>
      </c>
      <c r="DI74" s="1">
        <f t="shared" ca="1" si="117"/>
        <v>0.53903513027127925</v>
      </c>
      <c r="DJ74" s="1">
        <f t="shared" ca="1" si="118"/>
        <v>2</v>
      </c>
    </row>
    <row r="75" spans="2:114" x14ac:dyDescent="0.25">
      <c r="B75">
        <f t="shared" ca="1" si="60"/>
        <v>729</v>
      </c>
      <c r="C75">
        <f t="shared" ca="1" si="61"/>
        <v>38</v>
      </c>
      <c r="D75">
        <f t="shared" ca="1" si="62"/>
        <v>8.9025640330375147E-2</v>
      </c>
      <c r="F75" s="1">
        <f t="shared" ca="1" si="63"/>
        <v>48</v>
      </c>
      <c r="G75" s="1">
        <f t="shared" ca="1" si="64"/>
        <v>3</v>
      </c>
      <c r="H75" s="1">
        <f t="shared" ca="1" si="65"/>
        <v>2</v>
      </c>
      <c r="I75" s="1"/>
      <c r="J75" s="1">
        <f t="shared" ca="1" si="66"/>
        <v>37</v>
      </c>
      <c r="K75" s="1">
        <f t="shared" ca="1" si="67"/>
        <v>2.6028156933233655</v>
      </c>
      <c r="L75" s="1">
        <f t="shared" ca="1" si="68"/>
        <v>31</v>
      </c>
      <c r="M75" s="1"/>
      <c r="N75" s="1">
        <f t="shared" ca="1" si="69"/>
        <v>276</v>
      </c>
      <c r="O75" s="1">
        <f t="shared" ca="1" si="70"/>
        <v>35</v>
      </c>
      <c r="P75" s="1"/>
      <c r="Q75" s="1">
        <f t="shared" ca="1" si="71"/>
        <v>2.3237856651986171</v>
      </c>
      <c r="R75" s="1">
        <f t="shared" ca="1" si="72"/>
        <v>772</v>
      </c>
      <c r="S75" s="1"/>
      <c r="T75" s="1">
        <f t="shared" ca="1" si="73"/>
        <v>2.156346679303672E-2</v>
      </c>
      <c r="U75" s="1">
        <f t="shared" ca="1" si="74"/>
        <v>393</v>
      </c>
      <c r="V75" s="1">
        <f t="shared" ca="1" si="75"/>
        <v>16</v>
      </c>
      <c r="W75" s="1"/>
      <c r="X75" s="1">
        <f t="shared" ca="1" si="76"/>
        <v>2.4986855369646985</v>
      </c>
      <c r="Y75" s="1">
        <f t="shared" ca="1" si="77"/>
        <v>0.21865708446740847</v>
      </c>
      <c r="Z75" s="1">
        <f t="shared" ca="1" si="78"/>
        <v>609</v>
      </c>
      <c r="AB75" s="1">
        <f t="shared" ca="1" si="79"/>
        <v>0.27325456538780918</v>
      </c>
      <c r="AC75" s="1">
        <f t="shared" ca="1" si="80"/>
        <v>932</v>
      </c>
      <c r="AD75" s="1">
        <f t="shared" ca="1" si="81"/>
        <v>3.8494792551608753E-3</v>
      </c>
      <c r="AE75" s="1"/>
      <c r="AF75" s="1">
        <f t="shared" ca="1" si="82"/>
        <v>0.35758468035855739</v>
      </c>
      <c r="AG75" s="1">
        <f t="shared" ca="1" si="83"/>
        <v>476</v>
      </c>
      <c r="AH75" s="1">
        <f t="shared" ca="1" si="84"/>
        <v>2.1588756343105496E-3</v>
      </c>
      <c r="AJ75" s="1">
        <f t="shared" ca="1" si="85"/>
        <v>0.44955965345682503</v>
      </c>
      <c r="AK75" s="1">
        <f t="shared" ca="1" si="86"/>
        <v>7.3084876588146675E-3</v>
      </c>
      <c r="AL75" s="1"/>
      <c r="AM75" s="1">
        <f t="shared" ca="1" si="87"/>
        <v>0.16068565286685005</v>
      </c>
      <c r="AN75" s="1">
        <f t="shared" ca="1" si="88"/>
        <v>57</v>
      </c>
      <c r="AO75" s="1">
        <f t="shared" ca="1" si="89"/>
        <v>4</v>
      </c>
      <c r="AQ75" s="1">
        <f t="shared" ca="1" si="90"/>
        <v>100</v>
      </c>
      <c r="AR75" s="1">
        <f t="shared" ca="1" si="91"/>
        <v>5</v>
      </c>
      <c r="AS75" s="1">
        <f t="shared" ca="1" si="92"/>
        <v>86</v>
      </c>
      <c r="AU75" s="1">
        <f t="shared" ca="1" si="93"/>
        <v>279</v>
      </c>
      <c r="AV75" s="1">
        <f t="shared" ca="1" si="94"/>
        <v>2</v>
      </c>
      <c r="AW75" s="1">
        <f t="shared" ca="1" si="95"/>
        <v>7.3814151743950576E-2</v>
      </c>
      <c r="AY75" s="1">
        <f t="shared" ca="1" si="96"/>
        <v>1.9871647352541704</v>
      </c>
      <c r="AZ75" s="1">
        <f t="shared" ca="1" si="97"/>
        <v>406</v>
      </c>
      <c r="BA75" s="1">
        <f t="shared" ca="1" si="98"/>
        <v>5.7135885948151142E-3</v>
      </c>
      <c r="BV75" s="1">
        <f t="shared" ca="1" si="99"/>
        <v>0.51513148048343982</v>
      </c>
      <c r="BW75" s="1">
        <f t="shared" ca="1" si="100"/>
        <v>145</v>
      </c>
      <c r="BX75" s="1">
        <f t="shared" ca="1" si="101"/>
        <v>1.414097455426189E-3</v>
      </c>
      <c r="BY75" s="1">
        <f t="shared" ca="1" si="102"/>
        <v>8.9947077632576297E-2</v>
      </c>
      <c r="BZ75" s="1">
        <f t="shared" ca="1" si="103"/>
        <v>0.64050865983524008</v>
      </c>
      <c r="CB75" s="1">
        <f t="shared" ca="1" si="104"/>
        <v>254</v>
      </c>
      <c r="CC75" s="1">
        <f t="shared" ca="1" si="105"/>
        <v>14</v>
      </c>
      <c r="CD75" s="1">
        <f t="shared" ca="1" si="106"/>
        <v>0.28360563290929736</v>
      </c>
      <c r="CE75" s="1">
        <f t="shared" ca="1" si="107"/>
        <v>0.79023023353195287</v>
      </c>
      <c r="CF75" s="1">
        <f t="shared" ca="1" si="107"/>
        <v>0.75318455188899158</v>
      </c>
      <c r="CH75" s="3">
        <f t="shared" ca="1" si="108"/>
        <v>0.83762450893291951</v>
      </c>
      <c r="CI75" s="3">
        <f t="shared" ca="1" si="109"/>
        <v>0.53187407313333535</v>
      </c>
      <c r="CJ75" s="3">
        <f t="shared" ca="1" si="110"/>
        <v>1491</v>
      </c>
      <c r="CK75" s="3">
        <f t="shared" ca="1" si="111"/>
        <v>5.6941432058991107E-3</v>
      </c>
      <c r="CL75" s="3">
        <f t="shared" ca="1" si="112"/>
        <v>1</v>
      </c>
      <c r="CM75" s="3"/>
      <c r="CN75" s="1">
        <f t="shared" ca="1" si="113"/>
        <v>1.2020535117080109</v>
      </c>
      <c r="CO75" s="1">
        <f t="shared" ca="1" si="114"/>
        <v>0.19628072016623455</v>
      </c>
      <c r="CP75" s="1">
        <f t="shared" ca="1" si="115"/>
        <v>1</v>
      </c>
      <c r="DH75" s="1">
        <f t="shared" ca="1" si="116"/>
        <v>629</v>
      </c>
      <c r="DI75" s="1">
        <f t="shared" ca="1" si="117"/>
        <v>0.84366445961122227</v>
      </c>
      <c r="DJ75" s="1">
        <f t="shared" ca="1" si="118"/>
        <v>14</v>
      </c>
    </row>
    <row r="76" spans="2:114" x14ac:dyDescent="0.25">
      <c r="B76">
        <f t="shared" ca="1" si="60"/>
        <v>488</v>
      </c>
      <c r="C76">
        <f t="shared" ca="1" si="61"/>
        <v>49</v>
      </c>
      <c r="D76">
        <f t="shared" ca="1" si="62"/>
        <v>0.23964796877183986</v>
      </c>
      <c r="F76" s="1">
        <f t="shared" ca="1" si="63"/>
        <v>18</v>
      </c>
      <c r="G76" s="1">
        <f t="shared" ca="1" si="64"/>
        <v>11</v>
      </c>
      <c r="H76" s="1">
        <f t="shared" ca="1" si="65"/>
        <v>11</v>
      </c>
      <c r="I76" s="1"/>
      <c r="J76" s="1">
        <f t="shared" ca="1" si="66"/>
        <v>33</v>
      </c>
      <c r="K76" s="1">
        <f t="shared" ca="1" si="67"/>
        <v>2.6597170644037322</v>
      </c>
      <c r="L76" s="1">
        <f t="shared" ca="1" si="68"/>
        <v>7</v>
      </c>
      <c r="M76" s="1"/>
      <c r="N76" s="1">
        <f t="shared" ca="1" si="69"/>
        <v>461</v>
      </c>
      <c r="O76" s="1">
        <f t="shared" ca="1" si="70"/>
        <v>8</v>
      </c>
      <c r="P76" s="1"/>
      <c r="Q76" s="1">
        <f t="shared" ca="1" si="71"/>
        <v>0.2379561153563543</v>
      </c>
      <c r="R76" s="1">
        <f t="shared" ca="1" si="72"/>
        <v>1088</v>
      </c>
      <c r="S76" s="1"/>
      <c r="T76" s="1">
        <f t="shared" ca="1" si="73"/>
        <v>2.6836662818593926E-2</v>
      </c>
      <c r="U76" s="1">
        <f t="shared" ca="1" si="74"/>
        <v>210</v>
      </c>
      <c r="V76" s="1">
        <f t="shared" ca="1" si="75"/>
        <v>20</v>
      </c>
      <c r="W76" s="1"/>
      <c r="X76" s="1">
        <f t="shared" ca="1" si="76"/>
        <v>6.4800163791564316</v>
      </c>
      <c r="Y76" s="1">
        <f t="shared" ca="1" si="77"/>
        <v>0.16777353512088647</v>
      </c>
      <c r="Z76" s="1">
        <f t="shared" ca="1" si="78"/>
        <v>1524</v>
      </c>
      <c r="AB76" s="1">
        <f t="shared" ca="1" si="79"/>
        <v>0.43911494978623561</v>
      </c>
      <c r="AC76" s="1">
        <f t="shared" ca="1" si="80"/>
        <v>582</v>
      </c>
      <c r="AD76" s="1">
        <f t="shared" ca="1" si="81"/>
        <v>9.8786632265456809E-3</v>
      </c>
      <c r="AE76" s="1"/>
      <c r="AF76" s="1">
        <f t="shared" ca="1" si="82"/>
        <v>0.50185989455956437</v>
      </c>
      <c r="AG76" s="1">
        <f t="shared" ca="1" si="83"/>
        <v>467</v>
      </c>
      <c r="AH76" s="1">
        <f t="shared" ca="1" si="84"/>
        <v>4.4635318127312163E-3</v>
      </c>
      <c r="AJ76" s="1">
        <f t="shared" ca="1" si="85"/>
        <v>8.4269630989832756E-2</v>
      </c>
      <c r="AK76" s="1">
        <f t="shared" ca="1" si="86"/>
        <v>7.7780291184039703E-3</v>
      </c>
      <c r="AL76" s="1"/>
      <c r="AM76" s="1">
        <f t="shared" ca="1" si="87"/>
        <v>0.11946003996445444</v>
      </c>
      <c r="AN76" s="1">
        <f t="shared" ca="1" si="88"/>
        <v>45</v>
      </c>
      <c r="AO76" s="1">
        <f t="shared" ca="1" si="89"/>
        <v>7</v>
      </c>
      <c r="AQ76" s="1">
        <f t="shared" ca="1" si="90"/>
        <v>193</v>
      </c>
      <c r="AR76" s="1">
        <f t="shared" ca="1" si="91"/>
        <v>5</v>
      </c>
      <c r="AS76" s="1">
        <f t="shared" ca="1" si="92"/>
        <v>99</v>
      </c>
      <c r="AU76" s="1">
        <f t="shared" ca="1" si="93"/>
        <v>172</v>
      </c>
      <c r="AV76" s="1">
        <f t="shared" ca="1" si="94"/>
        <v>8</v>
      </c>
      <c r="AW76" s="1">
        <f t="shared" ca="1" si="95"/>
        <v>6.1424772781295621E-2</v>
      </c>
      <c r="AY76" s="1">
        <f t="shared" ca="1" si="96"/>
        <v>1.5571361294576025</v>
      </c>
      <c r="AZ76" s="1">
        <f t="shared" ca="1" si="97"/>
        <v>308</v>
      </c>
      <c r="BA76" s="1">
        <f t="shared" ca="1" si="98"/>
        <v>7.0909105400390107E-3</v>
      </c>
      <c r="BV76" s="1">
        <f t="shared" ca="1" si="99"/>
        <v>6.6222284741987061E-2</v>
      </c>
      <c r="BW76" s="1">
        <f t="shared" ca="1" si="100"/>
        <v>870</v>
      </c>
      <c r="BX76" s="1">
        <f t="shared" ca="1" si="101"/>
        <v>8.5959768629069958E-3</v>
      </c>
      <c r="BY76" s="1">
        <f t="shared" ca="1" si="102"/>
        <v>4.9826567032168194E-2</v>
      </c>
      <c r="BZ76" s="1">
        <f t="shared" ca="1" si="103"/>
        <v>0.3394878552749474</v>
      </c>
      <c r="CB76" s="1">
        <f t="shared" ca="1" si="104"/>
        <v>328</v>
      </c>
      <c r="CC76" s="1">
        <f t="shared" ca="1" si="105"/>
        <v>11</v>
      </c>
      <c r="CD76" s="1">
        <f t="shared" ca="1" si="106"/>
        <v>0.12607556437246586</v>
      </c>
      <c r="CE76" s="1">
        <f t="shared" ca="1" si="107"/>
        <v>0.92897799237141154</v>
      </c>
      <c r="CF76" s="1">
        <f t="shared" ca="1" si="107"/>
        <v>0.68853729544540898</v>
      </c>
      <c r="CH76" s="3">
        <f t="shared" ca="1" si="108"/>
        <v>0.82303471983326526</v>
      </c>
      <c r="CI76" s="3">
        <f t="shared" ca="1" si="109"/>
        <v>0.87270765150637086</v>
      </c>
      <c r="CJ76" s="3">
        <f t="shared" ca="1" si="110"/>
        <v>1636</v>
      </c>
      <c r="CK76" s="3">
        <f t="shared" ca="1" si="111"/>
        <v>4.6716936135050959E-3</v>
      </c>
      <c r="CL76" s="3">
        <f t="shared" ca="1" si="112"/>
        <v>0</v>
      </c>
      <c r="CM76" s="3"/>
      <c r="CN76" s="1">
        <f t="shared" ca="1" si="113"/>
        <v>8.5304622370605578</v>
      </c>
      <c r="CO76" s="1">
        <f t="shared" ca="1" si="114"/>
        <v>0.11359918415598065</v>
      </c>
      <c r="CP76" s="1">
        <f t="shared" ca="1" si="115"/>
        <v>4</v>
      </c>
      <c r="DH76" s="1">
        <f t="shared" ca="1" si="116"/>
        <v>780</v>
      </c>
      <c r="DI76" s="1">
        <f t="shared" ca="1" si="117"/>
        <v>0.25290386514764818</v>
      </c>
      <c r="DJ76" s="1">
        <f t="shared" ca="1" si="118"/>
        <v>20</v>
      </c>
    </row>
    <row r="77" spans="2:114" x14ac:dyDescent="0.25">
      <c r="B77">
        <f t="shared" ca="1" si="60"/>
        <v>415</v>
      </c>
      <c r="C77">
        <f t="shared" ca="1" si="61"/>
        <v>28</v>
      </c>
      <c r="D77">
        <f t="shared" ca="1" si="62"/>
        <v>0.20808529477817875</v>
      </c>
      <c r="F77" s="1">
        <f t="shared" ca="1" si="63"/>
        <v>49</v>
      </c>
      <c r="G77" s="1">
        <f t="shared" ca="1" si="64"/>
        <v>6</v>
      </c>
      <c r="H77" s="1">
        <f t="shared" ca="1" si="65"/>
        <v>3</v>
      </c>
      <c r="I77" s="1"/>
      <c r="J77" s="1">
        <f t="shared" ca="1" si="66"/>
        <v>7</v>
      </c>
      <c r="K77" s="1">
        <f t="shared" ca="1" si="67"/>
        <v>2.9440256263492808</v>
      </c>
      <c r="L77" s="1">
        <f t="shared" ca="1" si="68"/>
        <v>20</v>
      </c>
      <c r="M77" s="1"/>
      <c r="N77" s="1">
        <f t="shared" ca="1" si="69"/>
        <v>152</v>
      </c>
      <c r="O77" s="1">
        <f t="shared" ca="1" si="70"/>
        <v>51</v>
      </c>
      <c r="P77" s="1"/>
      <c r="Q77" s="1">
        <f t="shared" ca="1" si="71"/>
        <v>4.7396333740293324</v>
      </c>
      <c r="R77" s="1">
        <f t="shared" ca="1" si="72"/>
        <v>269</v>
      </c>
      <c r="S77" s="1"/>
      <c r="T77" s="1">
        <f t="shared" ca="1" si="73"/>
        <v>0.13676563895088517</v>
      </c>
      <c r="U77" s="1">
        <f t="shared" ca="1" si="74"/>
        <v>111</v>
      </c>
      <c r="V77" s="1">
        <f t="shared" ca="1" si="75"/>
        <v>13</v>
      </c>
      <c r="W77" s="1"/>
      <c r="X77" s="1">
        <f t="shared" ca="1" si="76"/>
        <v>4.9255623065088345</v>
      </c>
      <c r="Y77" s="1">
        <f t="shared" ca="1" si="77"/>
        <v>0.80971246570392297</v>
      </c>
      <c r="Z77" s="1">
        <f t="shared" ca="1" si="78"/>
        <v>626</v>
      </c>
      <c r="AB77" s="1">
        <f t="shared" ca="1" si="79"/>
        <v>0.31509366840365571</v>
      </c>
      <c r="AC77" s="1">
        <f t="shared" ca="1" si="80"/>
        <v>934</v>
      </c>
      <c r="AD77" s="1">
        <f t="shared" ca="1" si="81"/>
        <v>1.0737021702549277E-3</v>
      </c>
      <c r="AE77" s="1"/>
      <c r="AF77" s="1">
        <f t="shared" ca="1" si="82"/>
        <v>0.69169229641918062</v>
      </c>
      <c r="AG77" s="1">
        <f t="shared" ca="1" si="83"/>
        <v>647</v>
      </c>
      <c r="AH77" s="1">
        <f t="shared" ca="1" si="84"/>
        <v>3.3147517971007603E-3</v>
      </c>
      <c r="AJ77" s="1">
        <f t="shared" ca="1" si="85"/>
        <v>0.33048167891238311</v>
      </c>
      <c r="AK77" s="1">
        <f t="shared" ca="1" si="86"/>
        <v>1.2591743312870684E-3</v>
      </c>
      <c r="AL77" s="1"/>
      <c r="AM77" s="1">
        <f t="shared" ca="1" si="87"/>
        <v>8.2639034591581381E-2</v>
      </c>
      <c r="AN77" s="1">
        <f t="shared" ca="1" si="88"/>
        <v>80</v>
      </c>
      <c r="AO77" s="1">
        <f t="shared" ca="1" si="89"/>
        <v>8</v>
      </c>
      <c r="AQ77" s="1">
        <f t="shared" ca="1" si="90"/>
        <v>172</v>
      </c>
      <c r="AR77" s="1">
        <f t="shared" ca="1" si="91"/>
        <v>4</v>
      </c>
      <c r="AS77" s="1">
        <f t="shared" ca="1" si="92"/>
        <v>26</v>
      </c>
      <c r="AU77" s="1">
        <f t="shared" ca="1" si="93"/>
        <v>361</v>
      </c>
      <c r="AV77" s="1">
        <f t="shared" ca="1" si="94"/>
        <v>7</v>
      </c>
      <c r="AW77" s="1">
        <f t="shared" ca="1" si="95"/>
        <v>2.0001100347575629E-2</v>
      </c>
      <c r="AY77" s="1">
        <f t="shared" ca="1" si="96"/>
        <v>1.8638924665365919</v>
      </c>
      <c r="AZ77" s="1">
        <f t="shared" ca="1" si="97"/>
        <v>400</v>
      </c>
      <c r="BA77" s="1">
        <f t="shared" ca="1" si="98"/>
        <v>3.9555065253664779E-3</v>
      </c>
      <c r="BV77" s="1">
        <f t="shared" ca="1" si="99"/>
        <v>0.21854249877838128</v>
      </c>
      <c r="BW77" s="1">
        <f t="shared" ca="1" si="100"/>
        <v>833</v>
      </c>
      <c r="BX77" s="1">
        <f t="shared" ca="1" si="101"/>
        <v>4.306532695449547E-3</v>
      </c>
      <c r="BY77" s="1">
        <f t="shared" ca="1" si="102"/>
        <v>4.8655450679017651E-2</v>
      </c>
      <c r="BZ77" s="1">
        <f t="shared" ca="1" si="103"/>
        <v>0.11071822635680306</v>
      </c>
      <c r="CB77" s="1">
        <f t="shared" ca="1" si="104"/>
        <v>86</v>
      </c>
      <c r="CC77" s="1">
        <f t="shared" ca="1" si="105"/>
        <v>6</v>
      </c>
      <c r="CD77" s="1">
        <f t="shared" ca="1" si="106"/>
        <v>0.209825411951789</v>
      </c>
      <c r="CE77" s="1">
        <f t="shared" ca="1" si="107"/>
        <v>0.64245626576330916</v>
      </c>
      <c r="CF77" s="1">
        <f t="shared" ca="1" si="107"/>
        <v>0.84867833579622043</v>
      </c>
      <c r="CH77" s="3">
        <f t="shared" ca="1" si="108"/>
        <v>0.88436021106763596</v>
      </c>
      <c r="CI77" s="3">
        <f t="shared" ca="1" si="109"/>
        <v>0.16538339691642776</v>
      </c>
      <c r="CJ77" s="3">
        <f t="shared" ca="1" si="110"/>
        <v>1572</v>
      </c>
      <c r="CK77" s="3">
        <f t="shared" ca="1" si="111"/>
        <v>1.2564762171088128E-3</v>
      </c>
      <c r="CL77" s="3">
        <f t="shared" ca="1" si="112"/>
        <v>0</v>
      </c>
      <c r="CM77" s="3"/>
      <c r="CN77" s="1">
        <f t="shared" ca="1" si="113"/>
        <v>14.08205720240373</v>
      </c>
      <c r="CO77" s="1">
        <f t="shared" ca="1" si="114"/>
        <v>0.15175770711605666</v>
      </c>
      <c r="CP77" s="1">
        <f t="shared" ca="1" si="115"/>
        <v>1</v>
      </c>
      <c r="DH77" s="1">
        <f t="shared" ca="1" si="116"/>
        <v>281</v>
      </c>
      <c r="DI77" s="1">
        <f t="shared" ca="1" si="117"/>
        <v>0.56843419209868418</v>
      </c>
      <c r="DJ77" s="1">
        <f t="shared" ca="1" si="118"/>
        <v>18</v>
      </c>
    </row>
    <row r="78" spans="2:114" x14ac:dyDescent="0.25">
      <c r="B78">
        <f t="shared" ca="1" si="60"/>
        <v>533</v>
      </c>
      <c r="C78">
        <f t="shared" ca="1" si="61"/>
        <v>24</v>
      </c>
      <c r="D78">
        <f t="shared" ca="1" si="62"/>
        <v>0.2830203124013414</v>
      </c>
      <c r="F78" s="1">
        <f t="shared" ca="1" si="63"/>
        <v>14</v>
      </c>
      <c r="G78" s="1">
        <f t="shared" ca="1" si="64"/>
        <v>8</v>
      </c>
      <c r="H78" s="1">
        <f t="shared" ca="1" si="65"/>
        <v>11</v>
      </c>
      <c r="I78" s="1"/>
      <c r="J78" s="1">
        <f t="shared" ca="1" si="66"/>
        <v>22</v>
      </c>
      <c r="K78" s="1">
        <f t="shared" ca="1" si="67"/>
        <v>2.2755749946245523</v>
      </c>
      <c r="L78" s="1">
        <f t="shared" ca="1" si="68"/>
        <v>20</v>
      </c>
      <c r="M78" s="1"/>
      <c r="N78" s="1">
        <f t="shared" ca="1" si="69"/>
        <v>952</v>
      </c>
      <c r="O78" s="1">
        <f t="shared" ca="1" si="70"/>
        <v>46</v>
      </c>
      <c r="P78" s="1"/>
      <c r="Q78" s="1">
        <f t="shared" ca="1" si="71"/>
        <v>4.8845760993066731</v>
      </c>
      <c r="R78" s="1">
        <f t="shared" ca="1" si="72"/>
        <v>942</v>
      </c>
      <c r="S78" s="1"/>
      <c r="T78" s="1">
        <f t="shared" ca="1" si="73"/>
        <v>7.7592291028161953E-2</v>
      </c>
      <c r="U78" s="1">
        <f t="shared" ca="1" si="74"/>
        <v>109</v>
      </c>
      <c r="V78" s="1">
        <f t="shared" ca="1" si="75"/>
        <v>10</v>
      </c>
      <c r="W78" s="1"/>
      <c r="X78" s="1">
        <f t="shared" ca="1" si="76"/>
        <v>2.2889016626921701</v>
      </c>
      <c r="Y78" s="1">
        <f t="shared" ca="1" si="77"/>
        <v>0.9272325737279371</v>
      </c>
      <c r="Z78" s="1">
        <f t="shared" ca="1" si="78"/>
        <v>409</v>
      </c>
      <c r="AB78" s="1">
        <f t="shared" ca="1" si="79"/>
        <v>0.92360667619459524</v>
      </c>
      <c r="AC78" s="1">
        <f t="shared" ca="1" si="80"/>
        <v>705</v>
      </c>
      <c r="AD78" s="1">
        <f t="shared" ca="1" si="81"/>
        <v>1.6529126561392008E-3</v>
      </c>
      <c r="AE78" s="1"/>
      <c r="AF78" s="1">
        <f t="shared" ca="1" si="82"/>
        <v>0.87829119828961666</v>
      </c>
      <c r="AG78" s="1">
        <f t="shared" ca="1" si="83"/>
        <v>543</v>
      </c>
      <c r="AH78" s="1">
        <f t="shared" ca="1" si="84"/>
        <v>3.1398665561033975E-3</v>
      </c>
      <c r="AJ78" s="1">
        <f t="shared" ca="1" si="85"/>
        <v>0.77647669726463542</v>
      </c>
      <c r="AK78" s="1">
        <f t="shared" ca="1" si="86"/>
        <v>9.2405094425863105E-3</v>
      </c>
      <c r="AL78" s="1"/>
      <c r="AM78" s="1">
        <f t="shared" ca="1" si="87"/>
        <v>0.19537702786740924</v>
      </c>
      <c r="AN78" s="1">
        <f t="shared" ca="1" si="88"/>
        <v>80</v>
      </c>
      <c r="AO78" s="1">
        <f t="shared" ca="1" si="89"/>
        <v>15</v>
      </c>
      <c r="AQ78" s="1">
        <f t="shared" ca="1" si="90"/>
        <v>79</v>
      </c>
      <c r="AR78" s="1">
        <f t="shared" ca="1" si="91"/>
        <v>8</v>
      </c>
      <c r="AS78" s="1">
        <f t="shared" ca="1" si="92"/>
        <v>55</v>
      </c>
      <c r="AU78" s="1">
        <f t="shared" ca="1" si="93"/>
        <v>98</v>
      </c>
      <c r="AV78" s="1">
        <f t="shared" ca="1" si="94"/>
        <v>9</v>
      </c>
      <c r="AW78" s="1">
        <f t="shared" ca="1" si="95"/>
        <v>9.2918893997159038E-2</v>
      </c>
      <c r="AY78" s="1">
        <f t="shared" ca="1" si="96"/>
        <v>1.231637228476846</v>
      </c>
      <c r="AZ78" s="1">
        <f t="shared" ca="1" si="97"/>
        <v>116</v>
      </c>
      <c r="BA78" s="1">
        <f t="shared" ca="1" si="98"/>
        <v>4.2187051637359932E-3</v>
      </c>
      <c r="BV78" s="1">
        <f t="shared" ca="1" si="99"/>
        <v>0.64773314549825023</v>
      </c>
      <c r="BW78" s="1">
        <f t="shared" ca="1" si="100"/>
        <v>566</v>
      </c>
      <c r="BX78" s="1">
        <f t="shared" ca="1" si="101"/>
        <v>7.3711037664958958E-3</v>
      </c>
      <c r="BY78" s="1">
        <f t="shared" ca="1" si="102"/>
        <v>6.8902037842751174E-2</v>
      </c>
      <c r="BZ78" s="1">
        <f t="shared" ca="1" si="103"/>
        <v>0.47437160511485532</v>
      </c>
      <c r="CB78" s="1">
        <f t="shared" ca="1" si="104"/>
        <v>367</v>
      </c>
      <c r="CC78" s="1">
        <f t="shared" ca="1" si="105"/>
        <v>13</v>
      </c>
      <c r="CD78" s="1">
        <f t="shared" ca="1" si="106"/>
        <v>0.25521721795360885</v>
      </c>
      <c r="CE78" s="1">
        <f t="shared" ca="1" si="107"/>
        <v>0.51570542916378725</v>
      </c>
      <c r="CF78" s="1">
        <f t="shared" ca="1" si="107"/>
        <v>0.66912986909206063</v>
      </c>
      <c r="CH78" s="3">
        <f t="shared" ca="1" si="108"/>
        <v>0.40392393235709867</v>
      </c>
      <c r="CI78" s="3">
        <f t="shared" ca="1" si="109"/>
        <v>0.94635695266732878</v>
      </c>
      <c r="CJ78" s="3">
        <f t="shared" ca="1" si="110"/>
        <v>1020</v>
      </c>
      <c r="CK78" s="3">
        <f t="shared" ca="1" si="111"/>
        <v>5.028432767101171E-3</v>
      </c>
      <c r="CL78" s="3">
        <f t="shared" ca="1" si="112"/>
        <v>1</v>
      </c>
      <c r="CM78" s="3"/>
      <c r="CN78" s="1">
        <f t="shared" ca="1" si="113"/>
        <v>11.78453989841309</v>
      </c>
      <c r="CO78" s="1">
        <f t="shared" ca="1" si="114"/>
        <v>0.21641634449415384</v>
      </c>
      <c r="CP78" s="1">
        <f t="shared" ca="1" si="115"/>
        <v>5</v>
      </c>
      <c r="DH78" s="1">
        <f t="shared" ca="1" si="116"/>
        <v>721</v>
      </c>
      <c r="DI78" s="1">
        <f t="shared" ca="1" si="117"/>
        <v>5.8764012803684477E-2</v>
      </c>
      <c r="DJ78" s="1">
        <f t="shared" ca="1" si="118"/>
        <v>26</v>
      </c>
    </row>
    <row r="79" spans="2:114" x14ac:dyDescent="0.25">
      <c r="B79">
        <f t="shared" ca="1" si="60"/>
        <v>905</v>
      </c>
      <c r="C79">
        <f t="shared" ca="1" si="61"/>
        <v>20</v>
      </c>
      <c r="D79">
        <f t="shared" ca="1" si="62"/>
        <v>4.1829012404224188E-2</v>
      </c>
      <c r="F79" s="1">
        <f t="shared" ca="1" si="63"/>
        <v>20</v>
      </c>
      <c r="G79" s="1">
        <f t="shared" ca="1" si="64"/>
        <v>25</v>
      </c>
      <c r="H79" s="1">
        <f t="shared" ca="1" si="65"/>
        <v>3</v>
      </c>
      <c r="I79" s="1"/>
      <c r="J79" s="1">
        <f t="shared" ca="1" si="66"/>
        <v>6</v>
      </c>
      <c r="K79" s="1">
        <f t="shared" ca="1" si="67"/>
        <v>2.6700773834877816</v>
      </c>
      <c r="L79" s="1">
        <f t="shared" ca="1" si="68"/>
        <v>4</v>
      </c>
      <c r="M79" s="1"/>
      <c r="N79" s="1">
        <f t="shared" ca="1" si="69"/>
        <v>120</v>
      </c>
      <c r="O79" s="1">
        <f t="shared" ca="1" si="70"/>
        <v>10</v>
      </c>
      <c r="P79" s="1"/>
      <c r="Q79" s="1">
        <f t="shared" ca="1" si="71"/>
        <v>1.9372613423067402</v>
      </c>
      <c r="R79" s="1">
        <f t="shared" ca="1" si="72"/>
        <v>834</v>
      </c>
      <c r="S79" s="1"/>
      <c r="T79" s="1">
        <f t="shared" ca="1" si="73"/>
        <v>0.18912545710681211</v>
      </c>
      <c r="U79" s="1">
        <f t="shared" ca="1" si="74"/>
        <v>243</v>
      </c>
      <c r="V79" s="1">
        <f t="shared" ca="1" si="75"/>
        <v>15</v>
      </c>
      <c r="W79" s="1"/>
      <c r="X79" s="1">
        <f t="shared" ca="1" si="76"/>
        <v>5.1995564617429126</v>
      </c>
      <c r="Y79" s="1">
        <f t="shared" ca="1" si="77"/>
        <v>0.72900860433085846</v>
      </c>
      <c r="Z79" s="1">
        <f t="shared" ca="1" si="78"/>
        <v>231</v>
      </c>
      <c r="AB79" s="1">
        <f t="shared" ca="1" si="79"/>
        <v>0.27854120235389401</v>
      </c>
      <c r="AC79" s="1">
        <f t="shared" ca="1" si="80"/>
        <v>695</v>
      </c>
      <c r="AD79" s="1">
        <f t="shared" ca="1" si="81"/>
        <v>4.6702384578272199E-3</v>
      </c>
      <c r="AE79" s="1"/>
      <c r="AF79" s="1">
        <f t="shared" ca="1" si="82"/>
        <v>0.37215471733810723</v>
      </c>
      <c r="AG79" s="1">
        <f t="shared" ca="1" si="83"/>
        <v>909</v>
      </c>
      <c r="AH79" s="1">
        <f t="shared" ca="1" si="84"/>
        <v>9.1350670431299442E-3</v>
      </c>
      <c r="AJ79" s="1">
        <f t="shared" ca="1" si="85"/>
        <v>0.51506595102895103</v>
      </c>
      <c r="AK79" s="1">
        <f t="shared" ca="1" si="86"/>
        <v>2.2504286924641924E-3</v>
      </c>
      <c r="AL79" s="1"/>
      <c r="AM79" s="1">
        <f t="shared" ca="1" si="87"/>
        <v>7.1069160784582197E-2</v>
      </c>
      <c r="AN79" s="1">
        <f t="shared" ca="1" si="88"/>
        <v>65</v>
      </c>
      <c r="AO79" s="1">
        <f t="shared" ca="1" si="89"/>
        <v>16</v>
      </c>
      <c r="AQ79" s="1">
        <f t="shared" ca="1" si="90"/>
        <v>15</v>
      </c>
      <c r="AR79" s="1">
        <f t="shared" ca="1" si="91"/>
        <v>2</v>
      </c>
      <c r="AS79" s="1">
        <f t="shared" ca="1" si="92"/>
        <v>9</v>
      </c>
      <c r="AU79" s="1">
        <f t="shared" ca="1" si="93"/>
        <v>391</v>
      </c>
      <c r="AV79" s="1">
        <f t="shared" ca="1" si="94"/>
        <v>9</v>
      </c>
      <c r="AW79" s="1">
        <f t="shared" ca="1" si="95"/>
        <v>0.17895231272254417</v>
      </c>
      <c r="AY79" s="1">
        <f t="shared" ca="1" si="96"/>
        <v>1.9430851325114604</v>
      </c>
      <c r="AZ79" s="1">
        <f t="shared" ca="1" si="97"/>
        <v>423</v>
      </c>
      <c r="BA79" s="1">
        <f t="shared" ca="1" si="98"/>
        <v>8.7223269563233233E-3</v>
      </c>
      <c r="BV79" s="1">
        <f t="shared" ca="1" si="99"/>
        <v>0.86557161238779168</v>
      </c>
      <c r="BW79" s="1">
        <f t="shared" ca="1" si="100"/>
        <v>786</v>
      </c>
      <c r="BX79" s="1">
        <f t="shared" ca="1" si="101"/>
        <v>3.5741991155545556E-3</v>
      </c>
      <c r="BY79" s="1">
        <f t="shared" ca="1" si="102"/>
        <v>7.0435330511935776E-2</v>
      </c>
      <c r="BZ79" s="1">
        <f t="shared" ca="1" si="103"/>
        <v>0.12790099772899344</v>
      </c>
      <c r="CB79" s="1">
        <f t="shared" ca="1" si="104"/>
        <v>283</v>
      </c>
      <c r="CC79" s="1">
        <f t="shared" ca="1" si="105"/>
        <v>10</v>
      </c>
      <c r="CD79" s="1">
        <f t="shared" ca="1" si="106"/>
        <v>0.13514794262014757</v>
      </c>
      <c r="CE79" s="1">
        <f t="shared" ca="1" si="107"/>
        <v>0.97327351290487063</v>
      </c>
      <c r="CF79" s="1">
        <f t="shared" ca="1" si="107"/>
        <v>0.78150995591475658</v>
      </c>
      <c r="CH79" s="3">
        <f t="shared" ca="1" si="108"/>
        <v>0.54896070003627162</v>
      </c>
      <c r="CI79" s="3">
        <f t="shared" ca="1" si="109"/>
        <v>0.65945202418593507</v>
      </c>
      <c r="CJ79" s="3">
        <f t="shared" ca="1" si="110"/>
        <v>1699</v>
      </c>
      <c r="CK79" s="3">
        <f t="shared" ca="1" si="111"/>
        <v>4.5028578194733677E-4</v>
      </c>
      <c r="CL79" s="3">
        <f t="shared" ca="1" si="112"/>
        <v>0</v>
      </c>
      <c r="CM79" s="3"/>
      <c r="CN79" s="1">
        <f t="shared" ca="1" si="113"/>
        <v>0.21954841386865409</v>
      </c>
      <c r="CO79" s="1">
        <f t="shared" ca="1" si="114"/>
        <v>0.31469561839424987</v>
      </c>
      <c r="CP79" s="1">
        <f t="shared" ca="1" si="115"/>
        <v>3</v>
      </c>
      <c r="DH79" s="1">
        <f t="shared" ca="1" si="116"/>
        <v>289</v>
      </c>
      <c r="DI79" s="1">
        <f t="shared" ca="1" si="117"/>
        <v>0.27835937260632798</v>
      </c>
      <c r="DJ79" s="1">
        <f t="shared" ca="1" si="118"/>
        <v>29</v>
      </c>
    </row>
    <row r="80" spans="2:114" x14ac:dyDescent="0.25">
      <c r="B80">
        <f t="shared" ca="1" si="60"/>
        <v>27</v>
      </c>
      <c r="C80">
        <f t="shared" ca="1" si="61"/>
        <v>44</v>
      </c>
      <c r="D80">
        <f t="shared" ca="1" si="62"/>
        <v>0.23772182886109716</v>
      </c>
      <c r="F80" s="1">
        <f t="shared" ca="1" si="63"/>
        <v>46</v>
      </c>
      <c r="G80" s="1">
        <f t="shared" ca="1" si="64"/>
        <v>5</v>
      </c>
      <c r="H80" s="1">
        <f t="shared" ca="1" si="65"/>
        <v>5</v>
      </c>
      <c r="I80" s="1"/>
      <c r="J80" s="1">
        <f t="shared" ca="1" si="66"/>
        <v>30</v>
      </c>
      <c r="K80" s="1">
        <f t="shared" ca="1" si="67"/>
        <v>2.0857548075083154</v>
      </c>
      <c r="L80" s="1">
        <f t="shared" ca="1" si="68"/>
        <v>28</v>
      </c>
      <c r="M80" s="1"/>
      <c r="N80" s="1">
        <f t="shared" ca="1" si="69"/>
        <v>677</v>
      </c>
      <c r="O80" s="1">
        <f t="shared" ca="1" si="70"/>
        <v>33</v>
      </c>
      <c r="P80" s="1"/>
      <c r="Q80" s="1">
        <f t="shared" ca="1" si="71"/>
        <v>0.75284889457786319</v>
      </c>
      <c r="R80" s="1">
        <f t="shared" ca="1" si="72"/>
        <v>683</v>
      </c>
      <c r="S80" s="1"/>
      <c r="T80" s="1">
        <f t="shared" ca="1" si="73"/>
        <v>9.2187012567928439E-2</v>
      </c>
      <c r="U80" s="1">
        <f t="shared" ca="1" si="74"/>
        <v>297</v>
      </c>
      <c r="V80" s="1">
        <f t="shared" ca="1" si="75"/>
        <v>47</v>
      </c>
      <c r="W80" s="1"/>
      <c r="X80" s="1">
        <f t="shared" ca="1" si="76"/>
        <v>5.6406358717032283</v>
      </c>
      <c r="Y80" s="1">
        <f t="shared" ca="1" si="77"/>
        <v>0.3972396808930671</v>
      </c>
      <c r="Z80" s="1">
        <f t="shared" ca="1" si="78"/>
        <v>1855</v>
      </c>
      <c r="AB80" s="1">
        <f t="shared" ca="1" si="79"/>
        <v>0.36863050479423931</v>
      </c>
      <c r="AC80" s="1">
        <f t="shared" ca="1" si="80"/>
        <v>129</v>
      </c>
      <c r="AD80" s="1">
        <f t="shared" ca="1" si="81"/>
        <v>2.3831887981268884E-3</v>
      </c>
      <c r="AE80" s="1"/>
      <c r="AF80" s="1">
        <f t="shared" ca="1" si="82"/>
        <v>0.86877195713191391</v>
      </c>
      <c r="AG80" s="1">
        <f t="shared" ca="1" si="83"/>
        <v>368</v>
      </c>
      <c r="AH80" s="1">
        <f t="shared" ca="1" si="84"/>
        <v>8.5948008998713854E-3</v>
      </c>
      <c r="AJ80" s="1">
        <f t="shared" ca="1" si="85"/>
        <v>0.55909996313293819</v>
      </c>
      <c r="AK80" s="1">
        <f t="shared" ca="1" si="86"/>
        <v>4.6977119630200476E-3</v>
      </c>
      <c r="AL80" s="1"/>
      <c r="AM80" s="1">
        <f t="shared" ca="1" si="87"/>
        <v>0.19677114627901696</v>
      </c>
      <c r="AN80" s="1">
        <f t="shared" ca="1" si="88"/>
        <v>52</v>
      </c>
      <c r="AO80" s="1">
        <f t="shared" ca="1" si="89"/>
        <v>-1</v>
      </c>
      <c r="AQ80" s="1">
        <f t="shared" ca="1" si="90"/>
        <v>13</v>
      </c>
      <c r="AR80" s="1">
        <f t="shared" ca="1" si="91"/>
        <v>1</v>
      </c>
      <c r="AS80" s="1">
        <f t="shared" ca="1" si="92"/>
        <v>51</v>
      </c>
      <c r="AU80" s="1">
        <f t="shared" ca="1" si="93"/>
        <v>299</v>
      </c>
      <c r="AV80" s="1">
        <f t="shared" ca="1" si="94"/>
        <v>8</v>
      </c>
      <c r="AW80" s="1">
        <f t="shared" ca="1" si="95"/>
        <v>0.1479104795457786</v>
      </c>
      <c r="AY80" s="1">
        <f t="shared" ca="1" si="96"/>
        <v>1.2520685224034627</v>
      </c>
      <c r="AZ80" s="1">
        <f t="shared" ca="1" si="97"/>
        <v>227</v>
      </c>
      <c r="BA80" s="1">
        <f t="shared" ca="1" si="98"/>
        <v>7.7879577209006654E-3</v>
      </c>
      <c r="BV80" s="1">
        <f t="shared" ca="1" si="99"/>
        <v>0.25039190482662349</v>
      </c>
      <c r="BW80" s="1">
        <f t="shared" ca="1" si="100"/>
        <v>566</v>
      </c>
      <c r="BX80" s="1">
        <f t="shared" ca="1" si="101"/>
        <v>8.5108484611045865E-3</v>
      </c>
      <c r="BY80" s="1">
        <f t="shared" ca="1" si="102"/>
        <v>8.8672923207351678E-2</v>
      </c>
      <c r="BZ80" s="1">
        <f t="shared" ca="1" si="103"/>
        <v>0.24025735005950311</v>
      </c>
      <c r="CB80" s="1">
        <f t="shared" ca="1" si="104"/>
        <v>366</v>
      </c>
      <c r="CC80" s="1">
        <f t="shared" ca="1" si="105"/>
        <v>15</v>
      </c>
      <c r="CD80" s="1">
        <f t="shared" ca="1" si="106"/>
        <v>1.5331278845090345E-2</v>
      </c>
      <c r="CE80" s="1">
        <f t="shared" ca="1" si="107"/>
        <v>0.81010027815781493</v>
      </c>
      <c r="CF80" s="1">
        <f t="shared" ca="1" si="107"/>
        <v>0.9158341132435156</v>
      </c>
      <c r="CH80" s="3">
        <f t="shared" ca="1" si="108"/>
        <v>0.60455169845240286</v>
      </c>
      <c r="CI80" s="3">
        <f t="shared" ca="1" si="109"/>
        <v>0.6057060516695405</v>
      </c>
      <c r="CJ80" s="3">
        <f t="shared" ca="1" si="110"/>
        <v>1543</v>
      </c>
      <c r="CK80" s="3">
        <f t="shared" ca="1" si="111"/>
        <v>7.0929167564260157E-4</v>
      </c>
      <c r="CL80" s="3">
        <f t="shared" ca="1" si="112"/>
        <v>0</v>
      </c>
      <c r="CM80" s="3"/>
      <c r="CN80" s="1">
        <f t="shared" ca="1" si="113"/>
        <v>17.991702122661785</v>
      </c>
      <c r="CO80" s="1">
        <f t="shared" ca="1" si="114"/>
        <v>0.38150551983019981</v>
      </c>
      <c r="CP80" s="1">
        <f t="shared" ca="1" si="115"/>
        <v>2</v>
      </c>
      <c r="DH80" s="1">
        <f t="shared" ca="1" si="116"/>
        <v>177</v>
      </c>
      <c r="DI80" s="1">
        <f t="shared" ca="1" si="117"/>
        <v>0.48205309248707129</v>
      </c>
      <c r="DJ80" s="1">
        <f t="shared" ca="1" si="118"/>
        <v>2</v>
      </c>
    </row>
    <row r="81" spans="2:114" x14ac:dyDescent="0.25">
      <c r="B81">
        <f t="shared" ca="1" si="60"/>
        <v>990</v>
      </c>
      <c r="C81">
        <f t="shared" ca="1" si="61"/>
        <v>4</v>
      </c>
      <c r="D81">
        <f t="shared" ca="1" si="62"/>
        <v>0.29594834932719843</v>
      </c>
      <c r="F81" s="1">
        <f t="shared" ca="1" si="63"/>
        <v>50</v>
      </c>
      <c r="G81" s="1">
        <f t="shared" ca="1" si="64"/>
        <v>16</v>
      </c>
      <c r="H81" s="1">
        <f t="shared" ca="1" si="65"/>
        <v>2</v>
      </c>
      <c r="I81" s="1"/>
      <c r="J81" s="1">
        <f t="shared" ca="1" si="66"/>
        <v>19</v>
      </c>
      <c r="K81" s="1">
        <f t="shared" ca="1" si="67"/>
        <v>1.3367905996524692</v>
      </c>
      <c r="L81" s="1">
        <f t="shared" ca="1" si="68"/>
        <v>28</v>
      </c>
      <c r="M81" s="1"/>
      <c r="N81" s="1">
        <f t="shared" ca="1" si="69"/>
        <v>688</v>
      </c>
      <c r="O81" s="1">
        <f t="shared" ca="1" si="70"/>
        <v>38</v>
      </c>
      <c r="P81" s="1"/>
      <c r="Q81" s="1">
        <f t="shared" ca="1" si="71"/>
        <v>2.3887505357572949</v>
      </c>
      <c r="R81" s="1">
        <f t="shared" ca="1" si="72"/>
        <v>252</v>
      </c>
      <c r="S81" s="1"/>
      <c r="T81" s="1">
        <f t="shared" ca="1" si="73"/>
        <v>0.11931936054676198</v>
      </c>
      <c r="U81" s="1">
        <f t="shared" ca="1" si="74"/>
        <v>358</v>
      </c>
      <c r="V81" s="1">
        <f t="shared" ca="1" si="75"/>
        <v>18</v>
      </c>
      <c r="W81" s="1"/>
      <c r="X81" s="1">
        <f t="shared" ca="1" si="76"/>
        <v>3.0018605999922956</v>
      </c>
      <c r="Y81" s="1">
        <f t="shared" ca="1" si="77"/>
        <v>0.76595582264498796</v>
      </c>
      <c r="Z81" s="1">
        <f t="shared" ca="1" si="78"/>
        <v>1092</v>
      </c>
      <c r="AB81" s="1">
        <f t="shared" ca="1" si="79"/>
        <v>0.3606519886910472</v>
      </c>
      <c r="AC81" s="1">
        <f t="shared" ca="1" si="80"/>
        <v>535</v>
      </c>
      <c r="AD81" s="1">
        <f t="shared" ca="1" si="81"/>
        <v>8.4166800632028537E-3</v>
      </c>
      <c r="AE81" s="1"/>
      <c r="AF81" s="1">
        <f t="shared" ca="1" si="82"/>
        <v>0.87985473072789533</v>
      </c>
      <c r="AG81" s="1">
        <f t="shared" ca="1" si="83"/>
        <v>813</v>
      </c>
      <c r="AH81" s="1">
        <f t="shared" ca="1" si="84"/>
        <v>7.0925199677778622E-4</v>
      </c>
      <c r="AJ81" s="1">
        <f t="shared" ca="1" si="85"/>
        <v>0.42879643540984669</v>
      </c>
      <c r="AK81" s="1">
        <f t="shared" ca="1" si="86"/>
        <v>4.3059462031674383E-3</v>
      </c>
      <c r="AL81" s="1"/>
      <c r="AM81" s="1">
        <f t="shared" ca="1" si="87"/>
        <v>2.3094206174896898E-2</v>
      </c>
      <c r="AN81" s="1">
        <f t="shared" ca="1" si="88"/>
        <v>12</v>
      </c>
      <c r="AO81" s="1">
        <f t="shared" ca="1" si="89"/>
        <v>18</v>
      </c>
      <c r="AQ81" s="1">
        <f t="shared" ca="1" si="90"/>
        <v>29</v>
      </c>
      <c r="AR81" s="1">
        <f t="shared" ca="1" si="91"/>
        <v>10</v>
      </c>
      <c r="AS81" s="1">
        <f t="shared" ca="1" si="92"/>
        <v>30</v>
      </c>
      <c r="AU81" s="1">
        <f t="shared" ca="1" si="93"/>
        <v>392</v>
      </c>
      <c r="AV81" s="1">
        <f t="shared" ca="1" si="94"/>
        <v>9</v>
      </c>
      <c r="AW81" s="1">
        <f t="shared" ca="1" si="95"/>
        <v>8.1519628950666626E-2</v>
      </c>
      <c r="AY81" s="1">
        <f t="shared" ca="1" si="96"/>
        <v>1.5810030095230445</v>
      </c>
      <c r="AZ81" s="1">
        <f t="shared" ca="1" si="97"/>
        <v>80</v>
      </c>
      <c r="BA81" s="1">
        <f t="shared" ca="1" si="98"/>
        <v>4.0983724724582863E-3</v>
      </c>
      <c r="BV81" s="1">
        <f t="shared" ca="1" si="99"/>
        <v>0.4920458350049487</v>
      </c>
      <c r="BW81" s="1">
        <f t="shared" ca="1" si="100"/>
        <v>534</v>
      </c>
      <c r="BX81" s="1">
        <f t="shared" ca="1" si="101"/>
        <v>7.1496361561487936E-3</v>
      </c>
      <c r="BY81" s="1">
        <f t="shared" ca="1" si="102"/>
        <v>4.8596594429364474E-2</v>
      </c>
      <c r="BZ81" s="1">
        <f t="shared" ca="1" si="103"/>
        <v>0.19234915970087307</v>
      </c>
      <c r="CB81" s="1">
        <f t="shared" ca="1" si="104"/>
        <v>101</v>
      </c>
      <c r="CC81" s="1">
        <f t="shared" ca="1" si="105"/>
        <v>13</v>
      </c>
      <c r="CD81" s="1">
        <f t="shared" ca="1" si="106"/>
        <v>0.29222367487545814</v>
      </c>
      <c r="CE81" s="1">
        <f t="shared" ca="1" si="107"/>
        <v>0.51491374638362031</v>
      </c>
      <c r="CF81" s="1">
        <f t="shared" ca="1" si="107"/>
        <v>0.88541468281632651</v>
      </c>
      <c r="CH81" s="3">
        <f t="shared" ca="1" si="108"/>
        <v>0.89111692336242043</v>
      </c>
      <c r="CI81" s="3">
        <f t="shared" ca="1" si="109"/>
        <v>0.92778735010491031</v>
      </c>
      <c r="CJ81" s="3">
        <f t="shared" ca="1" si="110"/>
        <v>1526</v>
      </c>
      <c r="CK81" s="3">
        <f t="shared" ca="1" si="111"/>
        <v>2.374208565748027E-3</v>
      </c>
      <c r="CL81" s="3">
        <f t="shared" ca="1" si="112"/>
        <v>0</v>
      </c>
      <c r="CM81" s="3"/>
      <c r="CN81" s="1">
        <f t="shared" ca="1" si="113"/>
        <v>9.5309227797246656</v>
      </c>
      <c r="CO81" s="1">
        <f t="shared" ca="1" si="114"/>
        <v>0.32698965570182625</v>
      </c>
      <c r="CP81" s="1">
        <f t="shared" ca="1" si="115"/>
        <v>5</v>
      </c>
      <c r="DH81" s="1">
        <f t="shared" ca="1" si="116"/>
        <v>869</v>
      </c>
      <c r="DI81" s="1">
        <f t="shared" ca="1" si="117"/>
        <v>0.86209149685469821</v>
      </c>
      <c r="DJ81" s="1">
        <f t="shared" ca="1" si="118"/>
        <v>13</v>
      </c>
    </row>
    <row r="82" spans="2:114" x14ac:dyDescent="0.25">
      <c r="B82">
        <f t="shared" ca="1" si="60"/>
        <v>863</v>
      </c>
      <c r="C82">
        <f t="shared" ca="1" si="61"/>
        <v>22</v>
      </c>
      <c r="D82">
        <f t="shared" ca="1" si="62"/>
        <v>0.16396998442279689</v>
      </c>
      <c r="F82" s="1">
        <f t="shared" ca="1" si="63"/>
        <v>6</v>
      </c>
      <c r="G82" s="1">
        <f t="shared" ca="1" si="64"/>
        <v>21</v>
      </c>
      <c r="H82" s="1">
        <f t="shared" ca="1" si="65"/>
        <v>14</v>
      </c>
      <c r="I82" s="1"/>
      <c r="J82" s="1">
        <f t="shared" ca="1" si="66"/>
        <v>28</v>
      </c>
      <c r="K82" s="1">
        <f t="shared" ca="1" si="67"/>
        <v>1.2821602681330277</v>
      </c>
      <c r="L82" s="1">
        <f t="shared" ca="1" si="68"/>
        <v>21</v>
      </c>
      <c r="M82" s="1"/>
      <c r="N82" s="1">
        <f t="shared" ca="1" si="69"/>
        <v>603</v>
      </c>
      <c r="O82" s="1">
        <f t="shared" ca="1" si="70"/>
        <v>28</v>
      </c>
      <c r="P82" s="1"/>
      <c r="Q82" s="1">
        <f t="shared" ca="1" si="71"/>
        <v>3.4310125053085194</v>
      </c>
      <c r="R82" s="1">
        <f t="shared" ca="1" si="72"/>
        <v>524</v>
      </c>
      <c r="S82" s="1"/>
      <c r="T82" s="1">
        <f t="shared" ca="1" si="73"/>
        <v>0.10480283852634843</v>
      </c>
      <c r="U82" s="1">
        <f t="shared" ca="1" si="74"/>
        <v>99</v>
      </c>
      <c r="V82" s="1">
        <f t="shared" ca="1" si="75"/>
        <v>34</v>
      </c>
      <c r="W82" s="1"/>
      <c r="X82" s="1">
        <f t="shared" ca="1" si="76"/>
        <v>8.458994620207779</v>
      </c>
      <c r="Y82" s="1">
        <f t="shared" ca="1" si="77"/>
        <v>0.90451267034198357</v>
      </c>
      <c r="Z82" s="1">
        <f t="shared" ca="1" si="78"/>
        <v>123</v>
      </c>
      <c r="AB82" s="1">
        <f t="shared" ca="1" si="79"/>
        <v>0.83427842486810111</v>
      </c>
      <c r="AC82" s="1">
        <f t="shared" ca="1" si="80"/>
        <v>263</v>
      </c>
      <c r="AD82" s="1">
        <f t="shared" ca="1" si="81"/>
        <v>7.847824232727665E-3</v>
      </c>
      <c r="AE82" s="1"/>
      <c r="AF82" s="1">
        <f t="shared" ca="1" si="82"/>
        <v>0.60146775906375194</v>
      </c>
      <c r="AG82" s="1">
        <f t="shared" ca="1" si="83"/>
        <v>383</v>
      </c>
      <c r="AH82" s="1">
        <f t="shared" ca="1" si="84"/>
        <v>4.9771183331437817E-3</v>
      </c>
      <c r="AJ82" s="1">
        <f t="shared" ca="1" si="85"/>
        <v>0.69646371885031122</v>
      </c>
      <c r="AK82" s="1">
        <f t="shared" ca="1" si="86"/>
        <v>1.9258080036747864E-3</v>
      </c>
      <c r="AL82" s="1"/>
      <c r="AM82" s="1">
        <f t="shared" ca="1" si="87"/>
        <v>2.6011831877842839E-2</v>
      </c>
      <c r="AN82" s="1">
        <f t="shared" ca="1" si="88"/>
        <v>20</v>
      </c>
      <c r="AO82" s="1">
        <f t="shared" ca="1" si="89"/>
        <v>3</v>
      </c>
      <c r="AQ82" s="1">
        <f t="shared" ca="1" si="90"/>
        <v>131</v>
      </c>
      <c r="AR82" s="1">
        <f t="shared" ca="1" si="91"/>
        <v>10</v>
      </c>
      <c r="AS82" s="1">
        <f t="shared" ca="1" si="92"/>
        <v>73</v>
      </c>
      <c r="AU82" s="1">
        <f t="shared" ca="1" si="93"/>
        <v>368</v>
      </c>
      <c r="AV82" s="1">
        <f t="shared" ca="1" si="94"/>
        <v>2</v>
      </c>
      <c r="AW82" s="1">
        <f t="shared" ca="1" si="95"/>
        <v>6.34294202829601E-2</v>
      </c>
      <c r="AY82" s="1">
        <f t="shared" ca="1" si="96"/>
        <v>1.9949722086285653</v>
      </c>
      <c r="AZ82" s="1">
        <f t="shared" ca="1" si="97"/>
        <v>223</v>
      </c>
      <c r="BA82" s="1">
        <f t="shared" ca="1" si="98"/>
        <v>9.8202626627711034E-3</v>
      </c>
      <c r="BV82" s="1">
        <f t="shared" ca="1" si="99"/>
        <v>2.8539938813583441E-2</v>
      </c>
      <c r="BW82" s="1">
        <f t="shared" ca="1" si="100"/>
        <v>146</v>
      </c>
      <c r="BX82" s="1">
        <f t="shared" ca="1" si="101"/>
        <v>2.2868724208145205E-3</v>
      </c>
      <c r="BY82" s="1">
        <f t="shared" ca="1" si="102"/>
        <v>8.8491010184842511E-2</v>
      </c>
      <c r="BZ82" s="1">
        <f t="shared" ca="1" si="103"/>
        <v>0.96807346147873019</v>
      </c>
      <c r="CB82" s="1">
        <f t="shared" ca="1" si="104"/>
        <v>259</v>
      </c>
      <c r="CC82" s="1">
        <f t="shared" ca="1" si="105"/>
        <v>9</v>
      </c>
      <c r="CD82" s="1">
        <f t="shared" ca="1" si="106"/>
        <v>0.12755068330548944</v>
      </c>
      <c r="CE82" s="1">
        <f t="shared" ca="1" si="107"/>
        <v>0.75509040112410242</v>
      </c>
      <c r="CF82" s="1">
        <f t="shared" ca="1" si="107"/>
        <v>0.89940740386584306</v>
      </c>
      <c r="CH82" s="3">
        <f t="shared" ca="1" si="108"/>
        <v>0.68661198056939654</v>
      </c>
      <c r="CI82" s="3">
        <f t="shared" ca="1" si="109"/>
        <v>0.69200524761858062</v>
      </c>
      <c r="CJ82" s="3">
        <f t="shared" ca="1" si="110"/>
        <v>230</v>
      </c>
      <c r="CK82" s="3">
        <f t="shared" ca="1" si="111"/>
        <v>1.3911594778704239E-3</v>
      </c>
      <c r="CL82" s="3">
        <f t="shared" ca="1" si="112"/>
        <v>0</v>
      </c>
      <c r="CM82" s="3"/>
      <c r="CN82" s="1">
        <f t="shared" ca="1" si="113"/>
        <v>5.598567987395632</v>
      </c>
      <c r="CO82" s="1">
        <f t="shared" ca="1" si="114"/>
        <v>0.30208034099576409</v>
      </c>
      <c r="CP82" s="1">
        <f t="shared" ca="1" si="115"/>
        <v>1</v>
      </c>
      <c r="DH82" s="1">
        <f t="shared" ca="1" si="116"/>
        <v>516</v>
      </c>
      <c r="DI82" s="1">
        <f t="shared" ca="1" si="117"/>
        <v>0.40399569864663881</v>
      </c>
      <c r="DJ82" s="1">
        <f t="shared" ca="1" si="118"/>
        <v>29</v>
      </c>
    </row>
    <row r="83" spans="2:114" x14ac:dyDescent="0.25">
      <c r="B83">
        <f t="shared" ca="1" si="60"/>
        <v>888</v>
      </c>
      <c r="C83">
        <f t="shared" ca="1" si="61"/>
        <v>46</v>
      </c>
      <c r="D83">
        <f t="shared" ca="1" si="62"/>
        <v>9.7716730836016369E-2</v>
      </c>
      <c r="F83" s="1">
        <f t="shared" ca="1" si="63"/>
        <v>11</v>
      </c>
      <c r="G83" s="1">
        <f t="shared" ca="1" si="64"/>
        <v>24</v>
      </c>
      <c r="H83" s="1">
        <f t="shared" ca="1" si="65"/>
        <v>10</v>
      </c>
      <c r="I83" s="1"/>
      <c r="J83" s="1">
        <f t="shared" ca="1" si="66"/>
        <v>19</v>
      </c>
      <c r="K83" s="1">
        <f t="shared" ca="1" si="67"/>
        <v>1.3150260630318396</v>
      </c>
      <c r="L83" s="1">
        <f t="shared" ca="1" si="68"/>
        <v>32</v>
      </c>
      <c r="M83" s="1"/>
      <c r="N83" s="1">
        <f t="shared" ca="1" si="69"/>
        <v>630</v>
      </c>
      <c r="O83" s="1">
        <f t="shared" ca="1" si="70"/>
        <v>52</v>
      </c>
      <c r="P83" s="1"/>
      <c r="Q83" s="1">
        <f t="shared" ca="1" si="71"/>
        <v>3.5641092155219991</v>
      </c>
      <c r="R83" s="1">
        <f t="shared" ca="1" si="72"/>
        <v>701</v>
      </c>
      <c r="S83" s="1"/>
      <c r="T83" s="1">
        <f t="shared" ca="1" si="73"/>
        <v>1.3883236348470449E-2</v>
      </c>
      <c r="U83" s="1">
        <f t="shared" ca="1" si="74"/>
        <v>437</v>
      </c>
      <c r="V83" s="1">
        <f t="shared" ca="1" si="75"/>
        <v>51</v>
      </c>
      <c r="W83" s="1"/>
      <c r="X83" s="1">
        <f t="shared" ca="1" si="76"/>
        <v>8.9291870595678624</v>
      </c>
      <c r="Y83" s="1">
        <f t="shared" ca="1" si="77"/>
        <v>0.45464518243850588</v>
      </c>
      <c r="Z83" s="1">
        <f t="shared" ca="1" si="78"/>
        <v>1726</v>
      </c>
      <c r="AB83" s="1">
        <f t="shared" ca="1" si="79"/>
        <v>0.86043284630731909</v>
      </c>
      <c r="AC83" s="1">
        <f t="shared" ca="1" si="80"/>
        <v>352</v>
      </c>
      <c r="AD83" s="1">
        <f t="shared" ca="1" si="81"/>
        <v>6.3921817230067346E-3</v>
      </c>
      <c r="AE83" s="1"/>
      <c r="AF83" s="1">
        <f t="shared" ca="1" si="82"/>
        <v>0.80463183548553785</v>
      </c>
      <c r="AG83" s="1">
        <f t="shared" ca="1" si="83"/>
        <v>405</v>
      </c>
      <c r="AH83" s="1">
        <f t="shared" ca="1" si="84"/>
        <v>8.7834238310086753E-3</v>
      </c>
      <c r="AJ83" s="1">
        <f t="shared" ca="1" si="85"/>
        <v>0.43869567522731301</v>
      </c>
      <c r="AK83" s="1">
        <f t="shared" ca="1" si="86"/>
        <v>9.8186085602208362E-3</v>
      </c>
      <c r="AL83" s="1"/>
      <c r="AM83" s="1">
        <f t="shared" ca="1" si="87"/>
        <v>5.716295534934971E-2</v>
      </c>
      <c r="AN83" s="1">
        <f t="shared" ca="1" si="88"/>
        <v>38</v>
      </c>
      <c r="AO83" s="1">
        <f t="shared" ca="1" si="89"/>
        <v>13</v>
      </c>
      <c r="AQ83" s="1">
        <f t="shared" ca="1" si="90"/>
        <v>150</v>
      </c>
      <c r="AR83" s="1">
        <f t="shared" ca="1" si="91"/>
        <v>8</v>
      </c>
      <c r="AS83" s="1">
        <f t="shared" ca="1" si="92"/>
        <v>14</v>
      </c>
      <c r="AU83" s="1">
        <f t="shared" ca="1" si="93"/>
        <v>399</v>
      </c>
      <c r="AV83" s="1">
        <f t="shared" ca="1" si="94"/>
        <v>5</v>
      </c>
      <c r="AW83" s="1">
        <f t="shared" ca="1" si="95"/>
        <v>0.16158890874802584</v>
      </c>
      <c r="AY83" s="1">
        <f t="shared" ca="1" si="96"/>
        <v>1.6948643520235014</v>
      </c>
      <c r="AZ83" s="1">
        <f t="shared" ca="1" si="97"/>
        <v>399</v>
      </c>
      <c r="BA83" s="1">
        <f t="shared" ca="1" si="98"/>
        <v>4.652797766706177E-3</v>
      </c>
      <c r="BV83" s="1">
        <f t="shared" ca="1" si="99"/>
        <v>0.59920991228451237</v>
      </c>
      <c r="BW83" s="1">
        <f t="shared" ca="1" si="100"/>
        <v>562</v>
      </c>
      <c r="BX83" s="1">
        <f t="shared" ca="1" si="101"/>
        <v>4.8990873314558973E-3</v>
      </c>
      <c r="BY83" s="1">
        <f t="shared" ca="1" si="102"/>
        <v>1.2014454250602489E-2</v>
      </c>
      <c r="BZ83" s="1">
        <f t="shared" ca="1" si="103"/>
        <v>0.30347546255306834</v>
      </c>
      <c r="CB83" s="1">
        <f t="shared" ca="1" si="104"/>
        <v>355</v>
      </c>
      <c r="CC83" s="1">
        <f t="shared" ca="1" si="105"/>
        <v>10</v>
      </c>
      <c r="CD83" s="1">
        <f t="shared" ca="1" si="106"/>
        <v>9.6669675306771244E-2</v>
      </c>
      <c r="CE83" s="1">
        <f t="shared" ca="1" si="107"/>
        <v>0.72068790896032975</v>
      </c>
      <c r="CF83" s="1">
        <f t="shared" ca="1" si="107"/>
        <v>0.63515124165105807</v>
      </c>
      <c r="CH83" s="3">
        <f t="shared" ca="1" si="108"/>
        <v>6.2909566325946922E-3</v>
      </c>
      <c r="CI83" s="3">
        <f t="shared" ca="1" si="109"/>
        <v>2.1195710470656687E-2</v>
      </c>
      <c r="CJ83" s="3">
        <f t="shared" ca="1" si="110"/>
        <v>592</v>
      </c>
      <c r="CK83" s="3">
        <f t="shared" ca="1" si="111"/>
        <v>6.9353864304755267E-3</v>
      </c>
      <c r="CL83" s="3">
        <f t="shared" ca="1" si="112"/>
        <v>1</v>
      </c>
      <c r="CM83" s="3"/>
      <c r="CN83" s="1">
        <f t="shared" ca="1" si="113"/>
        <v>9.2038040093007645</v>
      </c>
      <c r="CO83" s="1">
        <f t="shared" ca="1" si="114"/>
        <v>1.4760189403413927E-2</v>
      </c>
      <c r="CP83" s="1">
        <f t="shared" ca="1" si="115"/>
        <v>2</v>
      </c>
      <c r="DH83" s="1">
        <f t="shared" ca="1" si="116"/>
        <v>182</v>
      </c>
      <c r="DI83" s="1">
        <f t="shared" ca="1" si="117"/>
        <v>0.59170741269878213</v>
      </c>
      <c r="DJ83" s="1">
        <f t="shared" ca="1" si="118"/>
        <v>26</v>
      </c>
    </row>
    <row r="84" spans="2:114" x14ac:dyDescent="0.25">
      <c r="B84">
        <f t="shared" ca="1" si="60"/>
        <v>961</v>
      </c>
      <c r="C84">
        <f t="shared" ca="1" si="61"/>
        <v>46</v>
      </c>
      <c r="D84">
        <f t="shared" ca="1" si="62"/>
        <v>4.159049461715543E-2</v>
      </c>
      <c r="F84" s="1">
        <f t="shared" ca="1" si="63"/>
        <v>45</v>
      </c>
      <c r="G84" s="1">
        <f t="shared" ca="1" si="64"/>
        <v>25</v>
      </c>
      <c r="H84" s="1">
        <f t="shared" ca="1" si="65"/>
        <v>5</v>
      </c>
      <c r="I84" s="1"/>
      <c r="J84" s="1">
        <f t="shared" ca="1" si="66"/>
        <v>11</v>
      </c>
      <c r="K84" s="1">
        <f t="shared" ca="1" si="67"/>
        <v>1.6876974168825762</v>
      </c>
      <c r="L84" s="1">
        <f t="shared" ca="1" si="68"/>
        <v>13</v>
      </c>
      <c r="M84" s="1"/>
      <c r="N84" s="1">
        <f t="shared" ca="1" si="69"/>
        <v>315</v>
      </c>
      <c r="O84" s="1">
        <f t="shared" ca="1" si="70"/>
        <v>51</v>
      </c>
      <c r="P84" s="1"/>
      <c r="Q84" s="1">
        <f t="shared" ca="1" si="71"/>
        <v>2.5086119642106874</v>
      </c>
      <c r="R84" s="1">
        <f t="shared" ca="1" si="72"/>
        <v>598</v>
      </c>
      <c r="S84" s="1"/>
      <c r="T84" s="1">
        <f t="shared" ca="1" si="73"/>
        <v>7.1133952150882432E-2</v>
      </c>
      <c r="U84" s="1">
        <f t="shared" ca="1" si="74"/>
        <v>197</v>
      </c>
      <c r="V84" s="1">
        <f t="shared" ca="1" si="75"/>
        <v>32</v>
      </c>
      <c r="W84" s="1"/>
      <c r="X84" s="1">
        <f t="shared" ca="1" si="76"/>
        <v>4.8057163896205672</v>
      </c>
      <c r="Y84" s="1">
        <f t="shared" ca="1" si="77"/>
        <v>0.24374203747545112</v>
      </c>
      <c r="Z84" s="1">
        <f t="shared" ca="1" si="78"/>
        <v>113</v>
      </c>
      <c r="AB84" s="1">
        <f t="shared" ca="1" si="79"/>
        <v>0.96567322939618172</v>
      </c>
      <c r="AC84" s="1">
        <f t="shared" ca="1" si="80"/>
        <v>246</v>
      </c>
      <c r="AD84" s="1">
        <f t="shared" ca="1" si="81"/>
        <v>3.9347539659131013E-3</v>
      </c>
      <c r="AE84" s="1"/>
      <c r="AF84" s="1">
        <f t="shared" ca="1" si="82"/>
        <v>0.60394733848249527</v>
      </c>
      <c r="AG84" s="1">
        <f t="shared" ca="1" si="83"/>
        <v>284</v>
      </c>
      <c r="AH84" s="1">
        <f t="shared" ca="1" si="84"/>
        <v>4.2363776165771066E-3</v>
      </c>
      <c r="AJ84" s="1">
        <f t="shared" ca="1" si="85"/>
        <v>0.65527741209596901</v>
      </c>
      <c r="AK84" s="1">
        <f t="shared" ca="1" si="86"/>
        <v>5.2513355335640161E-3</v>
      </c>
      <c r="AL84" s="1"/>
      <c r="AM84" s="1">
        <f t="shared" ca="1" si="87"/>
        <v>8.8392708892896077E-2</v>
      </c>
      <c r="AN84" s="1">
        <f t="shared" ca="1" si="88"/>
        <v>37</v>
      </c>
      <c r="AO84" s="1">
        <f t="shared" ca="1" si="89"/>
        <v>0</v>
      </c>
      <c r="AQ84" s="1">
        <f t="shared" ca="1" si="90"/>
        <v>99</v>
      </c>
      <c r="AR84" s="1">
        <f t="shared" ca="1" si="91"/>
        <v>1</v>
      </c>
      <c r="AS84" s="1">
        <f t="shared" ca="1" si="92"/>
        <v>88</v>
      </c>
      <c r="AU84" s="1">
        <f t="shared" ca="1" si="93"/>
        <v>176</v>
      </c>
      <c r="AV84" s="1">
        <f t="shared" ca="1" si="94"/>
        <v>3</v>
      </c>
      <c r="AW84" s="1">
        <f t="shared" ca="1" si="95"/>
        <v>4.0746155536607591E-2</v>
      </c>
      <c r="AY84" s="1">
        <f t="shared" ca="1" si="96"/>
        <v>1.6608077614925105</v>
      </c>
      <c r="AZ84" s="1">
        <f t="shared" ca="1" si="97"/>
        <v>452</v>
      </c>
      <c r="BA84" s="1">
        <f t="shared" ca="1" si="98"/>
        <v>9.822946718391885E-3</v>
      </c>
      <c r="BV84" s="1">
        <f t="shared" ca="1" si="99"/>
        <v>0.54878660987210848</v>
      </c>
      <c r="BW84" s="1">
        <f t="shared" ca="1" si="100"/>
        <v>756</v>
      </c>
      <c r="BX84" s="1">
        <f t="shared" ca="1" si="101"/>
        <v>1.8550120572084319E-3</v>
      </c>
      <c r="BY84" s="1">
        <f t="shared" ca="1" si="102"/>
        <v>9.493714877178408E-2</v>
      </c>
      <c r="BZ84" s="1">
        <f t="shared" ca="1" si="103"/>
        <v>0.19690389538202924</v>
      </c>
      <c r="CB84" s="1">
        <f t="shared" ca="1" si="104"/>
        <v>460</v>
      </c>
      <c r="CC84" s="1">
        <f t="shared" ca="1" si="105"/>
        <v>7</v>
      </c>
      <c r="CD84" s="1">
        <f t="shared" ca="1" si="106"/>
        <v>0.21572621389512237</v>
      </c>
      <c r="CE84" s="1">
        <f t="shared" ca="1" si="107"/>
        <v>0.93661452972734716</v>
      </c>
      <c r="CF84" s="1">
        <f t="shared" ca="1" si="107"/>
        <v>0.90443117870256207</v>
      </c>
      <c r="CH84" s="3">
        <f t="shared" ca="1" si="108"/>
        <v>1.3943685955044393E-2</v>
      </c>
      <c r="CI84" s="3">
        <f t="shared" ca="1" si="109"/>
        <v>0.76332306522453852</v>
      </c>
      <c r="CJ84" s="3">
        <f t="shared" ca="1" si="110"/>
        <v>1354</v>
      </c>
      <c r="CK84" s="3">
        <f t="shared" ca="1" si="111"/>
        <v>6.9774851189990062E-3</v>
      </c>
      <c r="CL84" s="3">
        <f t="shared" ca="1" si="112"/>
        <v>0</v>
      </c>
      <c r="CM84" s="3"/>
      <c r="CN84" s="1">
        <f t="shared" ca="1" si="113"/>
        <v>13.904749681477394</v>
      </c>
      <c r="CO84" s="1">
        <f t="shared" ca="1" si="114"/>
        <v>0.18099537560815304</v>
      </c>
      <c r="CP84" s="1">
        <f t="shared" ca="1" si="115"/>
        <v>2</v>
      </c>
      <c r="DH84" s="1">
        <f t="shared" ca="1" si="116"/>
        <v>397</v>
      </c>
      <c r="DI84" s="1">
        <f t="shared" ca="1" si="117"/>
        <v>0.24571510532397176</v>
      </c>
      <c r="DJ84" s="1">
        <f t="shared" ca="1" si="118"/>
        <v>20</v>
      </c>
    </row>
    <row r="85" spans="2:114" x14ac:dyDescent="0.25">
      <c r="B85">
        <f t="shared" ca="1" si="60"/>
        <v>54</v>
      </c>
      <c r="C85">
        <f t="shared" ca="1" si="61"/>
        <v>26</v>
      </c>
      <c r="D85">
        <f t="shared" ca="1" si="62"/>
        <v>8.6907270565130534E-2</v>
      </c>
      <c r="F85" s="1">
        <f t="shared" ca="1" si="63"/>
        <v>33</v>
      </c>
      <c r="G85" s="1">
        <f t="shared" ca="1" si="64"/>
        <v>20</v>
      </c>
      <c r="H85" s="1">
        <f t="shared" ca="1" si="65"/>
        <v>12</v>
      </c>
      <c r="I85" s="1"/>
      <c r="J85" s="1">
        <f t="shared" ca="1" si="66"/>
        <v>31</v>
      </c>
      <c r="K85" s="1">
        <f t="shared" ca="1" si="67"/>
        <v>2.7718091837104342</v>
      </c>
      <c r="L85" s="1">
        <f t="shared" ca="1" si="68"/>
        <v>31</v>
      </c>
      <c r="M85" s="1"/>
      <c r="N85" s="1">
        <f t="shared" ca="1" si="69"/>
        <v>961</v>
      </c>
      <c r="O85" s="1">
        <f t="shared" ca="1" si="70"/>
        <v>11</v>
      </c>
      <c r="P85" s="1"/>
      <c r="Q85" s="1">
        <f t="shared" ca="1" si="71"/>
        <v>3.8955365408742089</v>
      </c>
      <c r="R85" s="1">
        <f t="shared" ca="1" si="72"/>
        <v>1158</v>
      </c>
      <c r="S85" s="1"/>
      <c r="T85" s="1">
        <f t="shared" ca="1" si="73"/>
        <v>4.0714761869588029E-2</v>
      </c>
      <c r="U85" s="1">
        <f t="shared" ca="1" si="74"/>
        <v>432</v>
      </c>
      <c r="V85" s="1">
        <f t="shared" ca="1" si="75"/>
        <v>40</v>
      </c>
      <c r="W85" s="1"/>
      <c r="X85" s="1">
        <f t="shared" ca="1" si="76"/>
        <v>5.8983464885859114</v>
      </c>
      <c r="Y85" s="1">
        <f t="shared" ca="1" si="77"/>
        <v>0.51288778186338013</v>
      </c>
      <c r="Z85" s="1">
        <f t="shared" ca="1" si="78"/>
        <v>1450</v>
      </c>
      <c r="AB85" s="1">
        <f t="shared" ca="1" si="79"/>
        <v>0.38694201471146528</v>
      </c>
      <c r="AC85" s="1">
        <f t="shared" ca="1" si="80"/>
        <v>632</v>
      </c>
      <c r="AD85" s="1">
        <f t="shared" ca="1" si="81"/>
        <v>9.1753212922386519E-3</v>
      </c>
      <c r="AE85" s="1"/>
      <c r="AF85" s="1">
        <f t="shared" ca="1" si="82"/>
        <v>0.61480370846063093</v>
      </c>
      <c r="AG85" s="1">
        <f t="shared" ca="1" si="83"/>
        <v>364</v>
      </c>
      <c r="AH85" s="1">
        <f t="shared" ca="1" si="84"/>
        <v>8.3294540817529013E-3</v>
      </c>
      <c r="AJ85" s="1">
        <f t="shared" ca="1" si="85"/>
        <v>0.94355790375107651</v>
      </c>
      <c r="AK85" s="1">
        <f t="shared" ca="1" si="86"/>
        <v>3.3677062539582466E-3</v>
      </c>
      <c r="AL85" s="1"/>
      <c r="AM85" s="1">
        <f t="shared" ca="1" si="87"/>
        <v>8.5575005368647705E-2</v>
      </c>
      <c r="AN85" s="1">
        <f t="shared" ca="1" si="88"/>
        <v>42</v>
      </c>
      <c r="AO85" s="1">
        <f t="shared" ca="1" si="89"/>
        <v>14</v>
      </c>
      <c r="AQ85" s="1">
        <f t="shared" ca="1" si="90"/>
        <v>57</v>
      </c>
      <c r="AR85" s="1">
        <f t="shared" ca="1" si="91"/>
        <v>8</v>
      </c>
      <c r="AS85" s="1">
        <f t="shared" ca="1" si="92"/>
        <v>16</v>
      </c>
      <c r="AU85" s="1">
        <f t="shared" ca="1" si="93"/>
        <v>90</v>
      </c>
      <c r="AV85" s="1">
        <f t="shared" ca="1" si="94"/>
        <v>2</v>
      </c>
      <c r="AW85" s="1">
        <f t="shared" ca="1" si="95"/>
        <v>1.1989112139447778E-2</v>
      </c>
      <c r="AY85" s="1">
        <f t="shared" ca="1" si="96"/>
        <v>1.5483369320819085</v>
      </c>
      <c r="AZ85" s="1">
        <f t="shared" ca="1" si="97"/>
        <v>386</v>
      </c>
      <c r="BA85" s="1">
        <f t="shared" ca="1" si="98"/>
        <v>1.4783446718709687E-3</v>
      </c>
      <c r="BV85" s="1">
        <f t="shared" ca="1" si="99"/>
        <v>0.5670302100254937</v>
      </c>
      <c r="BW85" s="1">
        <f t="shared" ca="1" si="100"/>
        <v>801</v>
      </c>
      <c r="BX85" s="1">
        <f t="shared" ca="1" si="101"/>
        <v>9.4555223010150125E-3</v>
      </c>
      <c r="BY85" s="1">
        <f t="shared" ca="1" si="102"/>
        <v>4.5073206148528153E-2</v>
      </c>
      <c r="BZ85" s="1">
        <f t="shared" ca="1" si="103"/>
        <v>0.72772774773060356</v>
      </c>
      <c r="CB85" s="1">
        <f t="shared" ca="1" si="104"/>
        <v>409</v>
      </c>
      <c r="CC85" s="1">
        <f t="shared" ca="1" si="105"/>
        <v>11</v>
      </c>
      <c r="CD85" s="1">
        <f t="shared" ca="1" si="106"/>
        <v>3.6786609305581669E-2</v>
      </c>
      <c r="CE85" s="1">
        <f t="shared" ca="1" si="107"/>
        <v>0.84141886036603197</v>
      </c>
      <c r="CF85" s="1">
        <f t="shared" ca="1" si="107"/>
        <v>0.60812999490730213</v>
      </c>
      <c r="CH85" s="3">
        <f t="shared" ca="1" si="108"/>
        <v>0.5990470864961418</v>
      </c>
      <c r="CI85" s="3">
        <f t="shared" ca="1" si="109"/>
        <v>0.29072067573731908</v>
      </c>
      <c r="CJ85" s="3">
        <f t="shared" ca="1" si="110"/>
        <v>191</v>
      </c>
      <c r="CK85" s="3">
        <f t="shared" ca="1" si="111"/>
        <v>6.005472261920981E-3</v>
      </c>
      <c r="CL85" s="3">
        <f t="shared" ca="1" si="112"/>
        <v>0</v>
      </c>
      <c r="CM85" s="3"/>
      <c r="CN85" s="1">
        <f t="shared" ca="1" si="113"/>
        <v>12.530702079550416</v>
      </c>
      <c r="CO85" s="1">
        <f t="shared" ca="1" si="114"/>
        <v>0.45282223041563635</v>
      </c>
      <c r="CP85" s="1">
        <f t="shared" ca="1" si="115"/>
        <v>3</v>
      </c>
      <c r="DH85" s="1">
        <f t="shared" ca="1" si="116"/>
        <v>863</v>
      </c>
      <c r="DI85" s="1">
        <f t="shared" ca="1" si="117"/>
        <v>0.66847666140225681</v>
      </c>
      <c r="DJ85" s="1">
        <f t="shared" ca="1" si="118"/>
        <v>27</v>
      </c>
    </row>
    <row r="86" spans="2:114" x14ac:dyDescent="0.25">
      <c r="B86">
        <f t="shared" ca="1" si="60"/>
        <v>378</v>
      </c>
      <c r="C86">
        <f t="shared" ca="1" si="61"/>
        <v>24</v>
      </c>
      <c r="D86">
        <f t="shared" ca="1" si="62"/>
        <v>0.11186212941808606</v>
      </c>
      <c r="F86" s="1">
        <f t="shared" ca="1" si="63"/>
        <v>38</v>
      </c>
      <c r="G86" s="1">
        <f t="shared" ca="1" si="64"/>
        <v>5</v>
      </c>
      <c r="H86" s="1">
        <f t="shared" ca="1" si="65"/>
        <v>5</v>
      </c>
      <c r="I86" s="1"/>
      <c r="J86" s="1">
        <f t="shared" ca="1" si="66"/>
        <v>37</v>
      </c>
      <c r="K86" s="1">
        <f t="shared" ca="1" si="67"/>
        <v>2.8960759830282994</v>
      </c>
      <c r="L86" s="1">
        <f t="shared" ca="1" si="68"/>
        <v>31</v>
      </c>
      <c r="M86" s="1"/>
      <c r="N86" s="1">
        <f t="shared" ca="1" si="69"/>
        <v>486</v>
      </c>
      <c r="O86" s="1">
        <f t="shared" ca="1" si="70"/>
        <v>10</v>
      </c>
      <c r="P86" s="1"/>
      <c r="Q86" s="1">
        <f t="shared" ca="1" si="71"/>
        <v>4.6347320983393523</v>
      </c>
      <c r="R86" s="1">
        <f t="shared" ca="1" si="72"/>
        <v>770</v>
      </c>
      <c r="S86" s="1"/>
      <c r="T86" s="1">
        <f t="shared" ca="1" si="73"/>
        <v>0.19969851245220982</v>
      </c>
      <c r="U86" s="1">
        <f t="shared" ca="1" si="74"/>
        <v>165</v>
      </c>
      <c r="V86" s="1">
        <f t="shared" ca="1" si="75"/>
        <v>31</v>
      </c>
      <c r="W86" s="1"/>
      <c r="X86" s="1">
        <f t="shared" ca="1" si="76"/>
        <v>9.6361035190381674</v>
      </c>
      <c r="Y86" s="1">
        <f t="shared" ca="1" si="77"/>
        <v>0.57378380286619879</v>
      </c>
      <c r="Z86" s="1">
        <f t="shared" ca="1" si="78"/>
        <v>907</v>
      </c>
      <c r="AB86" s="1">
        <f t="shared" ca="1" si="79"/>
        <v>0.63742593198421493</v>
      </c>
      <c r="AC86" s="1">
        <f t="shared" ca="1" si="80"/>
        <v>984</v>
      </c>
      <c r="AD86" s="1">
        <f t="shared" ca="1" si="81"/>
        <v>1.8270724394523227E-3</v>
      </c>
      <c r="AE86" s="1"/>
      <c r="AF86" s="1">
        <f t="shared" ca="1" si="82"/>
        <v>0.12465396978143889</v>
      </c>
      <c r="AG86" s="1">
        <f t="shared" ca="1" si="83"/>
        <v>805</v>
      </c>
      <c r="AH86" s="1">
        <f t="shared" ca="1" si="84"/>
        <v>9.7054254055061705E-3</v>
      </c>
      <c r="AJ86" s="1">
        <f t="shared" ca="1" si="85"/>
        <v>0.7065540387000967</v>
      </c>
      <c r="AK86" s="1">
        <f t="shared" ca="1" si="86"/>
        <v>7.0265373673214703E-3</v>
      </c>
      <c r="AL86" s="1"/>
      <c r="AM86" s="1">
        <f t="shared" ca="1" si="87"/>
        <v>5.906952299336906E-3</v>
      </c>
      <c r="AN86" s="1">
        <f t="shared" ca="1" si="88"/>
        <v>38</v>
      </c>
      <c r="AO86" s="1">
        <f t="shared" ca="1" si="89"/>
        <v>5</v>
      </c>
      <c r="AQ86" s="1">
        <f t="shared" ca="1" si="90"/>
        <v>112</v>
      </c>
      <c r="AR86" s="1">
        <f t="shared" ca="1" si="91"/>
        <v>1</v>
      </c>
      <c r="AS86" s="1">
        <f t="shared" ca="1" si="92"/>
        <v>22</v>
      </c>
      <c r="AU86" s="1">
        <f t="shared" ca="1" si="93"/>
        <v>279</v>
      </c>
      <c r="AV86" s="1">
        <f t="shared" ca="1" si="94"/>
        <v>6</v>
      </c>
      <c r="AW86" s="1">
        <f t="shared" ca="1" si="95"/>
        <v>6.2639775633116346E-2</v>
      </c>
      <c r="AY86" s="1">
        <f t="shared" ca="1" si="96"/>
        <v>1.9325334349598773</v>
      </c>
      <c r="AZ86" s="1">
        <f t="shared" ca="1" si="97"/>
        <v>121</v>
      </c>
      <c r="BA86" s="1">
        <f t="shared" ca="1" si="98"/>
        <v>6.381966176274307E-3</v>
      </c>
      <c r="BV86" s="1">
        <f t="shared" ca="1" si="99"/>
        <v>0.76835668528144141</v>
      </c>
      <c r="BW86" s="1">
        <f t="shared" ca="1" si="100"/>
        <v>999</v>
      </c>
      <c r="BX86" s="1">
        <f t="shared" ca="1" si="101"/>
        <v>5.7963341107860559E-3</v>
      </c>
      <c r="BY86" s="1">
        <f t="shared" ca="1" si="102"/>
        <v>2.5531953935318784E-2</v>
      </c>
      <c r="BZ86" s="1">
        <f t="shared" ca="1" si="103"/>
        <v>0.19588392393074661</v>
      </c>
      <c r="CB86" s="1">
        <f t="shared" ca="1" si="104"/>
        <v>250</v>
      </c>
      <c r="CC86" s="1">
        <f t="shared" ca="1" si="105"/>
        <v>7</v>
      </c>
      <c r="CD86" s="1">
        <f t="shared" ca="1" si="106"/>
        <v>0.28082519786070426</v>
      </c>
      <c r="CE86" s="1">
        <f t="shared" ca="1" si="107"/>
        <v>0.9670335009397486</v>
      </c>
      <c r="CF86" s="1">
        <f t="shared" ca="1" si="107"/>
        <v>0.69489029461252705</v>
      </c>
      <c r="CH86" s="3">
        <f t="shared" ca="1" si="108"/>
        <v>0.47032169381291111</v>
      </c>
      <c r="CI86" s="3">
        <f t="shared" ca="1" si="109"/>
        <v>0.76837638975137179</v>
      </c>
      <c r="CJ86" s="3">
        <f t="shared" ca="1" si="110"/>
        <v>590</v>
      </c>
      <c r="CK86" s="3">
        <f t="shared" ca="1" si="111"/>
        <v>2.1072078363380893E-3</v>
      </c>
      <c r="CL86" s="3">
        <f t="shared" ca="1" si="112"/>
        <v>0</v>
      </c>
      <c r="CM86" s="3"/>
      <c r="CN86" s="1">
        <f t="shared" ca="1" si="113"/>
        <v>17.60373204551243</v>
      </c>
      <c r="CO86" s="1">
        <f t="shared" ca="1" si="114"/>
        <v>0.29459271479042398</v>
      </c>
      <c r="CP86" s="1">
        <f t="shared" ca="1" si="115"/>
        <v>3</v>
      </c>
      <c r="DH86" s="1">
        <f t="shared" ca="1" si="116"/>
        <v>555</v>
      </c>
      <c r="DI86" s="1">
        <f t="shared" ca="1" si="117"/>
        <v>0.65308315757215563</v>
      </c>
      <c r="DJ86" s="1">
        <f t="shared" ca="1" si="118"/>
        <v>3</v>
      </c>
    </row>
    <row r="87" spans="2:114" x14ac:dyDescent="0.25">
      <c r="B87">
        <f t="shared" ca="1" si="60"/>
        <v>99</v>
      </c>
      <c r="C87">
        <f t="shared" ca="1" si="61"/>
        <v>16</v>
      </c>
      <c r="D87">
        <f t="shared" ca="1" si="62"/>
        <v>8.4747338989095464E-2</v>
      </c>
      <c r="F87" s="1">
        <f t="shared" ca="1" si="63"/>
        <v>18</v>
      </c>
      <c r="G87" s="1">
        <f t="shared" ca="1" si="64"/>
        <v>28</v>
      </c>
      <c r="H87" s="1">
        <f t="shared" ca="1" si="65"/>
        <v>13</v>
      </c>
      <c r="I87" s="1"/>
      <c r="J87" s="1">
        <f t="shared" ca="1" si="66"/>
        <v>35</v>
      </c>
      <c r="K87" s="1">
        <f t="shared" ca="1" si="67"/>
        <v>2.560646904099996</v>
      </c>
      <c r="L87" s="1">
        <f t="shared" ca="1" si="68"/>
        <v>7</v>
      </c>
      <c r="M87" s="1"/>
      <c r="N87" s="1">
        <f t="shared" ca="1" si="69"/>
        <v>975</v>
      </c>
      <c r="O87" s="1">
        <f t="shared" ca="1" si="70"/>
        <v>46</v>
      </c>
      <c r="P87" s="1"/>
      <c r="Q87" s="1">
        <f t="shared" ca="1" si="71"/>
        <v>3.7642263424453573</v>
      </c>
      <c r="R87" s="1">
        <f t="shared" ca="1" si="72"/>
        <v>1105</v>
      </c>
      <c r="S87" s="1"/>
      <c r="T87" s="1">
        <f t="shared" ca="1" si="73"/>
        <v>1.5205616797585749E-2</v>
      </c>
      <c r="U87" s="1">
        <f t="shared" ca="1" si="74"/>
        <v>215</v>
      </c>
      <c r="V87" s="1">
        <f t="shared" ca="1" si="75"/>
        <v>51</v>
      </c>
      <c r="W87" s="1"/>
      <c r="X87" s="1">
        <f t="shared" ca="1" si="76"/>
        <v>9.212377495591495</v>
      </c>
      <c r="Y87" s="1">
        <f t="shared" ca="1" si="77"/>
        <v>0.93652913793068104</v>
      </c>
      <c r="Z87" s="1">
        <f t="shared" ca="1" si="78"/>
        <v>1395</v>
      </c>
      <c r="AB87" s="1">
        <f t="shared" ca="1" si="79"/>
        <v>0.70331513551156044</v>
      </c>
      <c r="AC87" s="1">
        <f t="shared" ca="1" si="80"/>
        <v>833</v>
      </c>
      <c r="AD87" s="1">
        <f t="shared" ca="1" si="81"/>
        <v>3.4575069351862214E-3</v>
      </c>
      <c r="AE87" s="1"/>
      <c r="AF87" s="1">
        <f t="shared" ca="1" si="82"/>
        <v>0.10477586950331058</v>
      </c>
      <c r="AG87" s="1">
        <f t="shared" ca="1" si="83"/>
        <v>758</v>
      </c>
      <c r="AH87" s="1">
        <f t="shared" ca="1" si="84"/>
        <v>8.3660455514821923E-3</v>
      </c>
      <c r="AJ87" s="1">
        <f t="shared" ca="1" si="85"/>
        <v>0.60010021638585775</v>
      </c>
      <c r="AK87" s="1">
        <f t="shared" ca="1" si="86"/>
        <v>7.4772737934962683E-3</v>
      </c>
      <c r="AL87" s="1"/>
      <c r="AM87" s="1">
        <f t="shared" ca="1" si="87"/>
        <v>6.5547806384039037E-2</v>
      </c>
      <c r="AN87" s="1">
        <f t="shared" ca="1" si="88"/>
        <v>15</v>
      </c>
      <c r="AO87" s="1">
        <f t="shared" ca="1" si="89"/>
        <v>16</v>
      </c>
      <c r="AQ87" s="1">
        <f t="shared" ca="1" si="90"/>
        <v>95</v>
      </c>
      <c r="AR87" s="1">
        <f t="shared" ca="1" si="91"/>
        <v>7</v>
      </c>
      <c r="AS87" s="1">
        <f t="shared" ca="1" si="92"/>
        <v>86</v>
      </c>
      <c r="AU87" s="1">
        <f t="shared" ca="1" si="93"/>
        <v>224</v>
      </c>
      <c r="AV87" s="1">
        <f t="shared" ca="1" si="94"/>
        <v>6</v>
      </c>
      <c r="AW87" s="1">
        <f t="shared" ca="1" si="95"/>
        <v>5.7107856118915952E-2</v>
      </c>
      <c r="AY87" s="1">
        <f t="shared" ca="1" si="96"/>
        <v>1.7485567744034669</v>
      </c>
      <c r="AZ87" s="1">
        <f t="shared" ca="1" si="97"/>
        <v>474</v>
      </c>
      <c r="BA87" s="1">
        <f t="shared" ca="1" si="98"/>
        <v>7.3793099771232848E-3</v>
      </c>
      <c r="BV87" s="1">
        <f t="shared" ca="1" si="99"/>
        <v>0.6176932832010561</v>
      </c>
      <c r="BW87" s="1">
        <f t="shared" ca="1" si="100"/>
        <v>877</v>
      </c>
      <c r="BX87" s="1">
        <f t="shared" ca="1" si="101"/>
        <v>4.2206578015340284E-3</v>
      </c>
      <c r="BY87" s="1">
        <f t="shared" ca="1" si="102"/>
        <v>1.7728532414451659E-2</v>
      </c>
      <c r="BZ87" s="1">
        <f t="shared" ca="1" si="103"/>
        <v>0.65584570478562554</v>
      </c>
      <c r="CB87" s="1">
        <f t="shared" ca="1" si="104"/>
        <v>339</v>
      </c>
      <c r="CC87" s="1">
        <f t="shared" ca="1" si="105"/>
        <v>12</v>
      </c>
      <c r="CD87" s="1">
        <f t="shared" ca="1" si="106"/>
        <v>0.14531609963160999</v>
      </c>
      <c r="CE87" s="1">
        <f t="shared" ca="1" si="107"/>
        <v>0.80560084346294625</v>
      </c>
      <c r="CF87" s="1">
        <f t="shared" ca="1" si="107"/>
        <v>0.66496561922247266</v>
      </c>
      <c r="CH87" s="3">
        <f t="shared" ca="1" si="108"/>
        <v>1.9734043959639479E-2</v>
      </c>
      <c r="CI87" s="3">
        <f t="shared" ca="1" si="109"/>
        <v>0.24178028542295893</v>
      </c>
      <c r="CJ87" s="3">
        <f t="shared" ca="1" si="110"/>
        <v>784</v>
      </c>
      <c r="CK87" s="3">
        <f t="shared" ca="1" si="111"/>
        <v>4.3067462025875667E-3</v>
      </c>
      <c r="CL87" s="3">
        <f t="shared" ca="1" si="112"/>
        <v>0</v>
      </c>
      <c r="CM87" s="3"/>
      <c r="CN87" s="1">
        <f t="shared" ca="1" si="113"/>
        <v>5.5351377784191671</v>
      </c>
      <c r="CO87" s="1">
        <f t="shared" ca="1" si="114"/>
        <v>8.9408409239594311E-2</v>
      </c>
      <c r="CP87" s="1">
        <f t="shared" ca="1" si="115"/>
        <v>5</v>
      </c>
      <c r="DH87" s="1">
        <f t="shared" ca="1" si="116"/>
        <v>394</v>
      </c>
      <c r="DI87" s="1">
        <f t="shared" ca="1" si="117"/>
        <v>0.18010328480780505</v>
      </c>
      <c r="DJ87" s="1">
        <f t="shared" ca="1" si="118"/>
        <v>18</v>
      </c>
    </row>
    <row r="88" spans="2:114" x14ac:dyDescent="0.25">
      <c r="B88">
        <f t="shared" ca="1" si="60"/>
        <v>16</v>
      </c>
      <c r="C88">
        <f t="shared" ca="1" si="61"/>
        <v>50</v>
      </c>
      <c r="D88">
        <f t="shared" ca="1" si="62"/>
        <v>0.21957754131396615</v>
      </c>
      <c r="F88" s="1">
        <f t="shared" ca="1" si="63"/>
        <v>27</v>
      </c>
      <c r="G88" s="1">
        <f t="shared" ca="1" si="64"/>
        <v>23</v>
      </c>
      <c r="H88" s="1">
        <f t="shared" ca="1" si="65"/>
        <v>2</v>
      </c>
      <c r="I88" s="1"/>
      <c r="J88" s="1">
        <f t="shared" ca="1" si="66"/>
        <v>25</v>
      </c>
      <c r="K88" s="1">
        <f t="shared" ca="1" si="67"/>
        <v>1.9948453981661021</v>
      </c>
      <c r="L88" s="1">
        <f t="shared" ca="1" si="68"/>
        <v>11</v>
      </c>
      <c r="M88" s="1"/>
      <c r="N88" s="1">
        <f t="shared" ca="1" si="69"/>
        <v>185</v>
      </c>
      <c r="O88" s="1">
        <f t="shared" ca="1" si="70"/>
        <v>34</v>
      </c>
      <c r="P88" s="1"/>
      <c r="Q88" s="1">
        <f t="shared" ca="1" si="71"/>
        <v>3.8188822589096123</v>
      </c>
      <c r="R88" s="1">
        <f t="shared" ca="1" si="72"/>
        <v>1095</v>
      </c>
      <c r="S88" s="1"/>
      <c r="T88" s="1">
        <f t="shared" ca="1" si="73"/>
        <v>0.19399477183752392</v>
      </c>
      <c r="U88" s="1">
        <f t="shared" ca="1" si="74"/>
        <v>335</v>
      </c>
      <c r="V88" s="1">
        <f t="shared" ca="1" si="75"/>
        <v>48</v>
      </c>
      <c r="W88" s="1"/>
      <c r="X88" s="1">
        <f t="shared" ca="1" si="76"/>
        <v>6.6601086777061145</v>
      </c>
      <c r="Y88" s="1">
        <f t="shared" ca="1" si="77"/>
        <v>0.52288997203851972</v>
      </c>
      <c r="Z88" s="1">
        <f t="shared" ca="1" si="78"/>
        <v>1415</v>
      </c>
      <c r="AB88" s="1">
        <f t="shared" ca="1" si="79"/>
        <v>0.50664839555634411</v>
      </c>
      <c r="AC88" s="1">
        <f t="shared" ca="1" si="80"/>
        <v>631</v>
      </c>
      <c r="AD88" s="1">
        <f t="shared" ca="1" si="81"/>
        <v>7.0295479945194986E-3</v>
      </c>
      <c r="AE88" s="1"/>
      <c r="AF88" s="1">
        <f t="shared" ca="1" si="82"/>
        <v>0.14567481345204999</v>
      </c>
      <c r="AG88" s="1">
        <f t="shared" ca="1" si="83"/>
        <v>797</v>
      </c>
      <c r="AH88" s="1">
        <f t="shared" ca="1" si="84"/>
        <v>1.0264181126000132E-3</v>
      </c>
      <c r="AJ88" s="1">
        <f t="shared" ca="1" si="85"/>
        <v>0.40121123313941121</v>
      </c>
      <c r="AK88" s="1">
        <f t="shared" ca="1" si="86"/>
        <v>9.9409289357733441E-3</v>
      </c>
      <c r="AL88" s="1"/>
      <c r="AM88" s="1">
        <f t="shared" ca="1" si="87"/>
        <v>0.17754870585559945</v>
      </c>
      <c r="AN88" s="1">
        <f t="shared" ca="1" si="88"/>
        <v>30</v>
      </c>
      <c r="AO88" s="1">
        <f t="shared" ca="1" si="89"/>
        <v>3</v>
      </c>
      <c r="AQ88" s="1">
        <f t="shared" ca="1" si="90"/>
        <v>109</v>
      </c>
      <c r="AR88" s="1">
        <f t="shared" ca="1" si="91"/>
        <v>5</v>
      </c>
      <c r="AS88" s="1">
        <f t="shared" ca="1" si="92"/>
        <v>48</v>
      </c>
      <c r="AU88" s="1">
        <f t="shared" ca="1" si="93"/>
        <v>224</v>
      </c>
      <c r="AV88" s="1">
        <f t="shared" ca="1" si="94"/>
        <v>6</v>
      </c>
      <c r="AW88" s="1">
        <f t="shared" ca="1" si="95"/>
        <v>0.18641061303048043</v>
      </c>
      <c r="AY88" s="1">
        <f t="shared" ca="1" si="96"/>
        <v>1.111200224994277</v>
      </c>
      <c r="AZ88" s="1">
        <f t="shared" ca="1" si="97"/>
        <v>121</v>
      </c>
      <c r="BA88" s="1">
        <f t="shared" ca="1" si="98"/>
        <v>1.7172569713417457E-3</v>
      </c>
      <c r="BV88" s="1">
        <f t="shared" ca="1" si="99"/>
        <v>0.61855151534237807</v>
      </c>
      <c r="BW88" s="1">
        <f t="shared" ca="1" si="100"/>
        <v>984</v>
      </c>
      <c r="BX88" s="1">
        <f t="shared" ca="1" si="101"/>
        <v>1.1127420998550857E-3</v>
      </c>
      <c r="BY88" s="1">
        <f t="shared" ca="1" si="102"/>
        <v>1.9912667346229183E-2</v>
      </c>
      <c r="BZ88" s="1">
        <f t="shared" ca="1" si="103"/>
        <v>0.19631198713257825</v>
      </c>
      <c r="CB88" s="1">
        <f t="shared" ca="1" si="104"/>
        <v>131</v>
      </c>
      <c r="CC88" s="1">
        <f t="shared" ca="1" si="105"/>
        <v>14</v>
      </c>
      <c r="CD88" s="1">
        <f t="shared" ca="1" si="106"/>
        <v>3.5924899672959962E-2</v>
      </c>
      <c r="CE88" s="1">
        <f t="shared" ca="1" si="107"/>
        <v>0.69312055437033049</v>
      </c>
      <c r="CF88" s="1">
        <f t="shared" ca="1" si="107"/>
        <v>0.65246487487297089</v>
      </c>
      <c r="CH88" s="3">
        <f t="shared" ca="1" si="108"/>
        <v>0.46969001891005591</v>
      </c>
      <c r="CI88" s="3">
        <f t="shared" ca="1" si="109"/>
        <v>7.174825754493154E-2</v>
      </c>
      <c r="CJ88" s="3">
        <f t="shared" ca="1" si="110"/>
        <v>1745</v>
      </c>
      <c r="CK88" s="3">
        <f t="shared" ca="1" si="111"/>
        <v>2.918471801908594E-3</v>
      </c>
      <c r="CL88" s="3">
        <f t="shared" ca="1" si="112"/>
        <v>0</v>
      </c>
      <c r="CM88" s="3"/>
      <c r="CN88" s="1">
        <f t="shared" ca="1" si="113"/>
        <v>9.3817580871778521</v>
      </c>
      <c r="CO88" s="1">
        <f t="shared" ca="1" si="114"/>
        <v>0.39592282188805766</v>
      </c>
      <c r="CP88" s="1">
        <f t="shared" ca="1" si="115"/>
        <v>2</v>
      </c>
      <c r="DH88" s="1">
        <f t="shared" ca="1" si="116"/>
        <v>897</v>
      </c>
      <c r="DI88" s="1">
        <f t="shared" ca="1" si="117"/>
        <v>0.49734610733996659</v>
      </c>
      <c r="DJ88" s="1">
        <f t="shared" ca="1" si="118"/>
        <v>22</v>
      </c>
    </row>
    <row r="89" spans="2:114" x14ac:dyDescent="0.25">
      <c r="B89">
        <f t="shared" ca="1" si="60"/>
        <v>129</v>
      </c>
      <c r="C89">
        <f t="shared" ca="1" si="61"/>
        <v>4</v>
      </c>
      <c r="D89">
        <f t="shared" ca="1" si="62"/>
        <v>0.27279737383221025</v>
      </c>
      <c r="F89" s="1">
        <f t="shared" ca="1" si="63"/>
        <v>52</v>
      </c>
      <c r="G89" s="1">
        <f t="shared" ca="1" si="64"/>
        <v>27</v>
      </c>
      <c r="H89" s="1">
        <f t="shared" ca="1" si="65"/>
        <v>7</v>
      </c>
      <c r="I89" s="1"/>
      <c r="J89" s="1">
        <f t="shared" ca="1" si="66"/>
        <v>38</v>
      </c>
      <c r="K89" s="1">
        <f t="shared" ca="1" si="67"/>
        <v>1.8750832638005397</v>
      </c>
      <c r="L89" s="1">
        <f t="shared" ca="1" si="68"/>
        <v>30</v>
      </c>
      <c r="M89" s="1"/>
      <c r="N89" s="1">
        <f t="shared" ca="1" si="69"/>
        <v>834</v>
      </c>
      <c r="O89" s="1">
        <f t="shared" ca="1" si="70"/>
        <v>51</v>
      </c>
      <c r="P89" s="1"/>
      <c r="Q89" s="1">
        <f t="shared" ca="1" si="71"/>
        <v>1.7972918712011554</v>
      </c>
      <c r="R89" s="1">
        <f t="shared" ca="1" si="72"/>
        <v>680</v>
      </c>
      <c r="S89" s="1"/>
      <c r="T89" s="1">
        <f t="shared" ca="1" si="73"/>
        <v>6.9967054292769934E-2</v>
      </c>
      <c r="U89" s="1">
        <f t="shared" ca="1" si="74"/>
        <v>278</v>
      </c>
      <c r="V89" s="1">
        <f t="shared" ca="1" si="75"/>
        <v>43</v>
      </c>
      <c r="W89" s="1"/>
      <c r="X89" s="1">
        <f t="shared" ca="1" si="76"/>
        <v>0.93313536874567848</v>
      </c>
      <c r="Y89" s="1">
        <f t="shared" ca="1" si="77"/>
        <v>0.42166821995780718</v>
      </c>
      <c r="Z89" s="1">
        <f t="shared" ca="1" si="78"/>
        <v>930</v>
      </c>
      <c r="AB89" s="1">
        <f t="shared" ca="1" si="79"/>
        <v>0.19114663874038709</v>
      </c>
      <c r="AC89" s="1">
        <f t="shared" ca="1" si="80"/>
        <v>940</v>
      </c>
      <c r="AD89" s="1">
        <f t="shared" ca="1" si="81"/>
        <v>8.3893314219293249E-4</v>
      </c>
      <c r="AE89" s="1"/>
      <c r="AF89" s="1">
        <f t="shared" ca="1" si="82"/>
        <v>0.81348019444224628</v>
      </c>
      <c r="AG89" s="1">
        <f t="shared" ca="1" si="83"/>
        <v>313</v>
      </c>
      <c r="AH89" s="1">
        <f t="shared" ca="1" si="84"/>
        <v>7.5695910412081997E-3</v>
      </c>
      <c r="AJ89" s="1">
        <f t="shared" ca="1" si="85"/>
        <v>0.56074205341464622</v>
      </c>
      <c r="AK89" s="1">
        <f t="shared" ca="1" si="86"/>
        <v>8.0946163422160225E-4</v>
      </c>
      <c r="AL89" s="1"/>
      <c r="AM89" s="1">
        <f t="shared" ca="1" si="87"/>
        <v>1.9971093914804096E-2</v>
      </c>
      <c r="AN89" s="1">
        <f t="shared" ca="1" si="88"/>
        <v>46</v>
      </c>
      <c r="AO89" s="1">
        <f t="shared" ca="1" si="89"/>
        <v>17</v>
      </c>
      <c r="AQ89" s="1">
        <f t="shared" ca="1" si="90"/>
        <v>170</v>
      </c>
      <c r="AR89" s="1">
        <f t="shared" ca="1" si="91"/>
        <v>10</v>
      </c>
      <c r="AS89" s="1">
        <f t="shared" ca="1" si="92"/>
        <v>50</v>
      </c>
      <c r="AU89" s="1">
        <f t="shared" ca="1" si="93"/>
        <v>267</v>
      </c>
      <c r="AV89" s="1">
        <f t="shared" ca="1" si="94"/>
        <v>2</v>
      </c>
      <c r="AW89" s="1">
        <f t="shared" ca="1" si="95"/>
        <v>0.18012284308094936</v>
      </c>
      <c r="AY89" s="1">
        <f t="shared" ca="1" si="96"/>
        <v>1.7831050333580427</v>
      </c>
      <c r="AZ89" s="1">
        <f t="shared" ca="1" si="97"/>
        <v>250</v>
      </c>
      <c r="BA89" s="1">
        <f t="shared" ca="1" si="98"/>
        <v>3.8944516264618535E-3</v>
      </c>
      <c r="BV89" s="1">
        <f t="shared" ca="1" si="99"/>
        <v>6.0560845363585823E-2</v>
      </c>
      <c r="BW89" s="1">
        <f t="shared" ca="1" si="100"/>
        <v>860</v>
      </c>
      <c r="BX89" s="1">
        <f t="shared" ca="1" si="101"/>
        <v>1.4675761367936382E-3</v>
      </c>
      <c r="BY89" s="1">
        <f t="shared" ca="1" si="102"/>
        <v>6.8529295765592468E-2</v>
      </c>
      <c r="BZ89" s="1">
        <f t="shared" ca="1" si="103"/>
        <v>0.4405907866020371</v>
      </c>
      <c r="CB89" s="1">
        <f t="shared" ca="1" si="104"/>
        <v>407</v>
      </c>
      <c r="CC89" s="1">
        <f t="shared" ca="1" si="105"/>
        <v>6</v>
      </c>
      <c r="CD89" s="1">
        <f t="shared" ca="1" si="106"/>
        <v>1.4118168233014844E-2</v>
      </c>
      <c r="CE89" s="1">
        <f t="shared" ca="1" si="107"/>
        <v>0.50746286232619919</v>
      </c>
      <c r="CF89" s="1">
        <f t="shared" ca="1" si="107"/>
        <v>0.50313114831409989</v>
      </c>
      <c r="CH89" s="3">
        <f t="shared" ca="1" si="108"/>
        <v>0.68232745792441107</v>
      </c>
      <c r="CI89" s="3">
        <f t="shared" ca="1" si="109"/>
        <v>0.85913793819959272</v>
      </c>
      <c r="CJ89" s="3">
        <f t="shared" ca="1" si="110"/>
        <v>1480</v>
      </c>
      <c r="CK89" s="3">
        <f t="shared" ca="1" si="111"/>
        <v>5.3208098724823547E-3</v>
      </c>
      <c r="CL89" s="3">
        <f t="shared" ca="1" si="112"/>
        <v>1</v>
      </c>
      <c r="CM89" s="3"/>
      <c r="CN89" s="1">
        <f t="shared" ca="1" si="113"/>
        <v>11.699184541451118</v>
      </c>
      <c r="CO89" s="1">
        <f t="shared" ca="1" si="114"/>
        <v>0.22923887917892027</v>
      </c>
      <c r="CP89" s="1">
        <f t="shared" ca="1" si="115"/>
        <v>1</v>
      </c>
      <c r="DH89" s="1">
        <f t="shared" ca="1" si="116"/>
        <v>303</v>
      </c>
      <c r="DI89" s="1">
        <f t="shared" ca="1" si="117"/>
        <v>0.30943966958767244</v>
      </c>
      <c r="DJ89" s="1">
        <f t="shared" ca="1" si="118"/>
        <v>10</v>
      </c>
    </row>
    <row r="90" spans="2:114" x14ac:dyDescent="0.25">
      <c r="B90">
        <f t="shared" ca="1" si="60"/>
        <v>218</v>
      </c>
      <c r="C90">
        <f t="shared" ca="1" si="61"/>
        <v>19</v>
      </c>
      <c r="D90">
        <f t="shared" ca="1" si="62"/>
        <v>0.18822517149675252</v>
      </c>
      <c r="F90" s="1">
        <f t="shared" ca="1" si="63"/>
        <v>39</v>
      </c>
      <c r="G90" s="1">
        <f t="shared" ca="1" si="64"/>
        <v>12</v>
      </c>
      <c r="H90" s="1">
        <f t="shared" ca="1" si="65"/>
        <v>4</v>
      </c>
      <c r="I90" s="1"/>
      <c r="J90" s="1">
        <f t="shared" ca="1" si="66"/>
        <v>2</v>
      </c>
      <c r="K90" s="1">
        <f t="shared" ca="1" si="67"/>
        <v>2.8874220009277458</v>
      </c>
      <c r="L90" s="1">
        <f t="shared" ca="1" si="68"/>
        <v>23</v>
      </c>
      <c r="M90" s="1"/>
      <c r="N90" s="1">
        <f t="shared" ca="1" si="69"/>
        <v>223</v>
      </c>
      <c r="O90" s="1">
        <f t="shared" ca="1" si="70"/>
        <v>38</v>
      </c>
      <c r="P90" s="1"/>
      <c r="Q90" s="1">
        <f t="shared" ca="1" si="71"/>
        <v>0.75842794427887583</v>
      </c>
      <c r="R90" s="1">
        <f t="shared" ca="1" si="72"/>
        <v>350</v>
      </c>
      <c r="S90" s="1"/>
      <c r="T90" s="1">
        <f t="shared" ca="1" si="73"/>
        <v>3.5778820139793679E-2</v>
      </c>
      <c r="U90" s="1">
        <f t="shared" ca="1" si="74"/>
        <v>324</v>
      </c>
      <c r="V90" s="1">
        <f t="shared" ca="1" si="75"/>
        <v>3</v>
      </c>
      <c r="W90" s="1"/>
      <c r="X90" s="1">
        <f t="shared" ca="1" si="76"/>
        <v>3.0186390952847377</v>
      </c>
      <c r="Y90" s="1">
        <f t="shared" ca="1" si="77"/>
        <v>0.14407539392228849</v>
      </c>
      <c r="Z90" s="1">
        <f t="shared" ca="1" si="78"/>
        <v>1498</v>
      </c>
      <c r="AB90" s="1">
        <f t="shared" ca="1" si="79"/>
        <v>0.10974920090244059</v>
      </c>
      <c r="AC90" s="1">
        <f t="shared" ca="1" si="80"/>
        <v>391</v>
      </c>
      <c r="AD90" s="1">
        <f t="shared" ca="1" si="81"/>
        <v>7.9746121533087275E-3</v>
      </c>
      <c r="AE90" s="1"/>
      <c r="AF90" s="1">
        <f t="shared" ca="1" si="82"/>
        <v>0.22553602022704614</v>
      </c>
      <c r="AG90" s="1">
        <f t="shared" ca="1" si="83"/>
        <v>837</v>
      </c>
      <c r="AH90" s="1">
        <f t="shared" ca="1" si="84"/>
        <v>8.8010973688151545E-3</v>
      </c>
      <c r="AJ90" s="1">
        <f t="shared" ca="1" si="85"/>
        <v>0.67382232992054425</v>
      </c>
      <c r="AK90" s="1">
        <f t="shared" ca="1" si="86"/>
        <v>4.5072622960289652E-4</v>
      </c>
      <c r="AL90" s="1"/>
      <c r="AM90" s="1">
        <f t="shared" ca="1" si="87"/>
        <v>0.12749243960007997</v>
      </c>
      <c r="AN90" s="1">
        <f t="shared" ca="1" si="88"/>
        <v>62</v>
      </c>
      <c r="AO90" s="1">
        <f t="shared" ca="1" si="89"/>
        <v>4</v>
      </c>
      <c r="AQ90" s="1">
        <f t="shared" ca="1" si="90"/>
        <v>158</v>
      </c>
      <c r="AR90" s="1">
        <f t="shared" ca="1" si="91"/>
        <v>4</v>
      </c>
      <c r="AS90" s="1">
        <f t="shared" ca="1" si="92"/>
        <v>84</v>
      </c>
      <c r="AU90" s="1">
        <f t="shared" ca="1" si="93"/>
        <v>265</v>
      </c>
      <c r="AV90" s="1">
        <f t="shared" ca="1" si="94"/>
        <v>10</v>
      </c>
      <c r="AW90" s="1">
        <f t="shared" ca="1" si="95"/>
        <v>4.3043637875234637E-2</v>
      </c>
      <c r="AY90" s="1">
        <f t="shared" ca="1" si="96"/>
        <v>1.8085443933255463</v>
      </c>
      <c r="AZ90" s="1">
        <f t="shared" ca="1" si="97"/>
        <v>460</v>
      </c>
      <c r="BA90" s="1">
        <f t="shared" ca="1" si="98"/>
        <v>4.3921642829808571E-3</v>
      </c>
      <c r="BV90" s="1">
        <f t="shared" ca="1" si="99"/>
        <v>0.74680920260641526</v>
      </c>
      <c r="BW90" s="1">
        <f t="shared" ca="1" si="100"/>
        <v>290</v>
      </c>
      <c r="BX90" s="1">
        <f t="shared" ca="1" si="101"/>
        <v>7.73112581907252E-3</v>
      </c>
      <c r="BY90" s="1">
        <f t="shared" ca="1" si="102"/>
        <v>5.5604024784752071E-2</v>
      </c>
      <c r="BZ90" s="1">
        <f t="shared" ca="1" si="103"/>
        <v>0.80357300593915115</v>
      </c>
      <c r="CB90" s="1">
        <f t="shared" ca="1" si="104"/>
        <v>188</v>
      </c>
      <c r="CC90" s="1">
        <f t="shared" ca="1" si="105"/>
        <v>14</v>
      </c>
      <c r="CD90" s="1">
        <f t="shared" ca="1" si="106"/>
        <v>9.9799708006137938E-2</v>
      </c>
      <c r="CE90" s="1">
        <f t="shared" ca="1" si="107"/>
        <v>0.657876235733859</v>
      </c>
      <c r="CF90" s="1">
        <f t="shared" ca="1" si="107"/>
        <v>0.62789054376041886</v>
      </c>
      <c r="CH90" s="3">
        <f t="shared" ca="1" si="108"/>
        <v>0.65635206659535483</v>
      </c>
      <c r="CI90" s="3">
        <f t="shared" ca="1" si="109"/>
        <v>0.96855377759623107</v>
      </c>
      <c r="CJ90" s="3">
        <f t="shared" ca="1" si="110"/>
        <v>270</v>
      </c>
      <c r="CK90" s="3">
        <f t="shared" ca="1" si="111"/>
        <v>1.8546864994677407E-3</v>
      </c>
      <c r="CL90" s="3">
        <f t="shared" ca="1" si="112"/>
        <v>1</v>
      </c>
      <c r="CM90" s="3"/>
      <c r="CN90" s="1">
        <f t="shared" ca="1" si="113"/>
        <v>3.2117580530479923</v>
      </c>
      <c r="CO90" s="1">
        <f t="shared" ca="1" si="114"/>
        <v>0.45377792698557967</v>
      </c>
      <c r="CP90" s="1">
        <f t="shared" ca="1" si="115"/>
        <v>3</v>
      </c>
      <c r="DH90" s="1">
        <f t="shared" ca="1" si="116"/>
        <v>351</v>
      </c>
      <c r="DI90" s="1">
        <f t="shared" ca="1" si="117"/>
        <v>0.43057516420453784</v>
      </c>
      <c r="DJ90" s="1">
        <f t="shared" ca="1" si="118"/>
        <v>9</v>
      </c>
    </row>
    <row r="91" spans="2:114" x14ac:dyDescent="0.25">
      <c r="B91">
        <f t="shared" ca="1" si="60"/>
        <v>603</v>
      </c>
      <c r="C91">
        <f t="shared" ca="1" si="61"/>
        <v>10</v>
      </c>
      <c r="D91">
        <f t="shared" ca="1" si="62"/>
        <v>3.9656168216686508E-2</v>
      </c>
      <c r="F91" s="1">
        <f t="shared" ca="1" si="63"/>
        <v>3</v>
      </c>
      <c r="G91" s="1">
        <f t="shared" ca="1" si="64"/>
        <v>15</v>
      </c>
      <c r="H91" s="1">
        <f t="shared" ca="1" si="65"/>
        <v>12</v>
      </c>
      <c r="I91" s="1"/>
      <c r="J91" s="1">
        <f t="shared" ca="1" si="66"/>
        <v>9</v>
      </c>
      <c r="K91" s="1">
        <f t="shared" ca="1" si="67"/>
        <v>2.593938508480405</v>
      </c>
      <c r="L91" s="1">
        <f t="shared" ca="1" si="68"/>
        <v>17</v>
      </c>
      <c r="M91" s="1"/>
      <c r="N91" s="1">
        <f t="shared" ca="1" si="69"/>
        <v>264</v>
      </c>
      <c r="O91" s="1">
        <f t="shared" ca="1" si="70"/>
        <v>22</v>
      </c>
      <c r="P91" s="1"/>
      <c r="Q91" s="1">
        <f t="shared" ca="1" si="71"/>
        <v>4.663500812747258E-2</v>
      </c>
      <c r="R91" s="1">
        <f t="shared" ca="1" si="72"/>
        <v>595</v>
      </c>
      <c r="S91" s="1"/>
      <c r="T91" s="1">
        <f t="shared" ca="1" si="73"/>
        <v>0.11994175676817526</v>
      </c>
      <c r="U91" s="1">
        <f t="shared" ca="1" si="74"/>
        <v>118</v>
      </c>
      <c r="V91" s="1">
        <f t="shared" ca="1" si="75"/>
        <v>29</v>
      </c>
      <c r="W91" s="1"/>
      <c r="X91" s="1">
        <f t="shared" ca="1" si="76"/>
        <v>5.6569348666527652</v>
      </c>
      <c r="Y91" s="1">
        <f t="shared" ca="1" si="77"/>
        <v>0.200971726562785</v>
      </c>
      <c r="Z91" s="1">
        <f t="shared" ca="1" si="78"/>
        <v>273</v>
      </c>
      <c r="AB91" s="1">
        <f t="shared" ca="1" si="79"/>
        <v>0.12986194076062077</v>
      </c>
      <c r="AC91" s="1">
        <f t="shared" ca="1" si="80"/>
        <v>182</v>
      </c>
      <c r="AD91" s="1">
        <f t="shared" ca="1" si="81"/>
        <v>6.8823519630721221E-3</v>
      </c>
      <c r="AE91" s="1"/>
      <c r="AF91" s="1">
        <f t="shared" ca="1" si="82"/>
        <v>0.47471008400072612</v>
      </c>
      <c r="AG91" s="1">
        <f t="shared" ca="1" si="83"/>
        <v>141</v>
      </c>
      <c r="AH91" s="1">
        <f t="shared" ca="1" si="84"/>
        <v>3.6197775148771754E-3</v>
      </c>
      <c r="AJ91" s="1">
        <f t="shared" ca="1" si="85"/>
        <v>0.49708520210356566</v>
      </c>
      <c r="AK91" s="1">
        <f t="shared" ca="1" si="86"/>
        <v>5.343598668318867E-3</v>
      </c>
      <c r="AL91" s="1"/>
      <c r="AM91" s="1">
        <f t="shared" ca="1" si="87"/>
        <v>0.18987242673289542</v>
      </c>
      <c r="AN91" s="1">
        <f t="shared" ca="1" si="88"/>
        <v>45</v>
      </c>
      <c r="AO91" s="1">
        <f t="shared" ca="1" si="89"/>
        <v>17</v>
      </c>
      <c r="AQ91" s="1">
        <f t="shared" ca="1" si="90"/>
        <v>32</v>
      </c>
      <c r="AR91" s="1">
        <f t="shared" ca="1" si="91"/>
        <v>2</v>
      </c>
      <c r="AS91" s="1">
        <f t="shared" ca="1" si="92"/>
        <v>79</v>
      </c>
      <c r="AU91" s="1">
        <f t="shared" ca="1" si="93"/>
        <v>56</v>
      </c>
      <c r="AV91" s="1">
        <f t="shared" ca="1" si="94"/>
        <v>7</v>
      </c>
      <c r="AW91" s="1">
        <f t="shared" ca="1" si="95"/>
        <v>6.0901676444413674E-2</v>
      </c>
      <c r="AY91" s="1">
        <f t="shared" ca="1" si="96"/>
        <v>1.5139543374746129</v>
      </c>
      <c r="AZ91" s="1">
        <f t="shared" ca="1" si="97"/>
        <v>285</v>
      </c>
      <c r="BA91" s="1">
        <f t="shared" ca="1" si="98"/>
        <v>8.8926153998367726E-3</v>
      </c>
      <c r="BV91" s="1">
        <f t="shared" ca="1" si="99"/>
        <v>0.11438358644221348</v>
      </c>
      <c r="BW91" s="1">
        <f t="shared" ca="1" si="100"/>
        <v>867</v>
      </c>
      <c r="BX91" s="1">
        <f t="shared" ca="1" si="101"/>
        <v>8.4538609932762587E-3</v>
      </c>
      <c r="BY91" s="1">
        <f t="shared" ca="1" si="102"/>
        <v>2.834987782598905E-2</v>
      </c>
      <c r="BZ91" s="1">
        <f t="shared" ca="1" si="103"/>
        <v>0.203536381386623</v>
      </c>
      <c r="CB91" s="1">
        <f t="shared" ca="1" si="104"/>
        <v>102</v>
      </c>
      <c r="CC91" s="1">
        <f t="shared" ca="1" si="105"/>
        <v>8</v>
      </c>
      <c r="CD91" s="1">
        <f t="shared" ca="1" si="106"/>
        <v>0.23509994201816667</v>
      </c>
      <c r="CE91" s="1">
        <f t="shared" ca="1" si="107"/>
        <v>0.9991021164404581</v>
      </c>
      <c r="CF91" s="1">
        <f t="shared" ca="1" si="107"/>
        <v>0.79706305438452907</v>
      </c>
      <c r="CH91" s="3">
        <f t="shared" ca="1" si="108"/>
        <v>0.34953839250441882</v>
      </c>
      <c r="CI91" s="3">
        <f t="shared" ca="1" si="109"/>
        <v>3.1978022535233262E-2</v>
      </c>
      <c r="CJ91" s="3">
        <f t="shared" ca="1" si="110"/>
        <v>688</v>
      </c>
      <c r="CK91" s="3">
        <f t="shared" ca="1" si="111"/>
        <v>6.0013892956326149E-3</v>
      </c>
      <c r="CL91" s="3">
        <f t="shared" ca="1" si="112"/>
        <v>0</v>
      </c>
      <c r="CM91" s="3"/>
      <c r="CN91" s="1">
        <f t="shared" ca="1" si="113"/>
        <v>1.3846712392496143</v>
      </c>
      <c r="CO91" s="1">
        <f t="shared" ca="1" si="114"/>
        <v>0.20023766977283303</v>
      </c>
      <c r="CP91" s="1">
        <f t="shared" ca="1" si="115"/>
        <v>3</v>
      </c>
      <c r="DH91" s="1">
        <f t="shared" ca="1" si="116"/>
        <v>465</v>
      </c>
      <c r="DI91" s="1">
        <f t="shared" ca="1" si="117"/>
        <v>0.83126526813977619</v>
      </c>
      <c r="DJ91" s="1">
        <f t="shared" ca="1" si="118"/>
        <v>29</v>
      </c>
    </row>
    <row r="92" spans="2:114" x14ac:dyDescent="0.25">
      <c r="B92">
        <f t="shared" ca="1" si="60"/>
        <v>581</v>
      </c>
      <c r="C92">
        <f t="shared" ca="1" si="61"/>
        <v>25</v>
      </c>
      <c r="D92">
        <f t="shared" ca="1" si="62"/>
        <v>4.2285520384101827E-2</v>
      </c>
      <c r="F92" s="1">
        <f t="shared" ca="1" si="63"/>
        <v>49</v>
      </c>
      <c r="G92" s="1">
        <f t="shared" ca="1" si="64"/>
        <v>15</v>
      </c>
      <c r="H92" s="1">
        <f t="shared" ca="1" si="65"/>
        <v>6</v>
      </c>
      <c r="I92" s="1"/>
      <c r="J92" s="1">
        <f t="shared" ca="1" si="66"/>
        <v>34</v>
      </c>
      <c r="K92" s="1">
        <f t="shared" ca="1" si="67"/>
        <v>2.5753439085822265</v>
      </c>
      <c r="L92" s="1">
        <f t="shared" ca="1" si="68"/>
        <v>29</v>
      </c>
      <c r="M92" s="1"/>
      <c r="N92" s="1">
        <f t="shared" ca="1" si="69"/>
        <v>518</v>
      </c>
      <c r="O92" s="1">
        <f t="shared" ca="1" si="70"/>
        <v>8</v>
      </c>
      <c r="P92" s="1"/>
      <c r="Q92" s="1">
        <f t="shared" ca="1" si="71"/>
        <v>4.8114985507988521</v>
      </c>
      <c r="R92" s="1">
        <f t="shared" ca="1" si="72"/>
        <v>361</v>
      </c>
      <c r="S92" s="1"/>
      <c r="T92" s="1">
        <f t="shared" ca="1" si="73"/>
        <v>0.11683020510875426</v>
      </c>
      <c r="U92" s="1">
        <f t="shared" ca="1" si="74"/>
        <v>130</v>
      </c>
      <c r="V92" s="1">
        <f t="shared" ca="1" si="75"/>
        <v>31</v>
      </c>
      <c r="W92" s="1"/>
      <c r="X92" s="1">
        <f t="shared" ca="1" si="76"/>
        <v>9.0007473070474102</v>
      </c>
      <c r="Y92" s="1">
        <f t="shared" ca="1" si="77"/>
        <v>0.15307579459788498</v>
      </c>
      <c r="Z92" s="1">
        <f t="shared" ca="1" si="78"/>
        <v>1304</v>
      </c>
      <c r="AB92" s="1">
        <f t="shared" ca="1" si="79"/>
        <v>0.84600050683732098</v>
      </c>
      <c r="AC92" s="1">
        <f t="shared" ca="1" si="80"/>
        <v>935</v>
      </c>
      <c r="AD92" s="1">
        <f t="shared" ca="1" si="81"/>
        <v>3.9485711162530511E-3</v>
      </c>
      <c r="AE92" s="1"/>
      <c r="AF92" s="1">
        <f t="shared" ca="1" si="82"/>
        <v>0.37346545561166566</v>
      </c>
      <c r="AG92" s="1">
        <f t="shared" ca="1" si="83"/>
        <v>323</v>
      </c>
      <c r="AH92" s="1">
        <f t="shared" ca="1" si="84"/>
        <v>3.7913008307985411E-3</v>
      </c>
      <c r="AJ92" s="1">
        <f t="shared" ca="1" si="85"/>
        <v>0.90573983880442011</v>
      </c>
      <c r="AK92" s="1">
        <f t="shared" ca="1" si="86"/>
        <v>8.3028649306476285E-3</v>
      </c>
      <c r="AL92" s="1"/>
      <c r="AM92" s="1">
        <f t="shared" ca="1" si="87"/>
        <v>7.2492005009992144E-2</v>
      </c>
      <c r="AN92" s="1">
        <f t="shared" ca="1" si="88"/>
        <v>78</v>
      </c>
      <c r="AO92" s="1">
        <f t="shared" ca="1" si="89"/>
        <v>-1</v>
      </c>
      <c r="AQ92" s="1">
        <f t="shared" ca="1" si="90"/>
        <v>71</v>
      </c>
      <c r="AR92" s="1">
        <f t="shared" ca="1" si="91"/>
        <v>7</v>
      </c>
      <c r="AS92" s="1">
        <f t="shared" ca="1" si="92"/>
        <v>23</v>
      </c>
      <c r="AU92" s="1">
        <f t="shared" ca="1" si="93"/>
        <v>399</v>
      </c>
      <c r="AV92" s="1">
        <f t="shared" ca="1" si="94"/>
        <v>9</v>
      </c>
      <c r="AW92" s="1">
        <f t="shared" ca="1" si="95"/>
        <v>0.15543970634277862</v>
      </c>
      <c r="AY92" s="1">
        <f t="shared" ca="1" si="96"/>
        <v>1.3948355256297573</v>
      </c>
      <c r="AZ92" s="1">
        <f t="shared" ca="1" si="97"/>
        <v>300</v>
      </c>
      <c r="BA92" s="1">
        <f t="shared" ca="1" si="98"/>
        <v>6.4877533878108639E-3</v>
      </c>
      <c r="BV92" s="1">
        <f t="shared" ca="1" si="99"/>
        <v>0.37139369160964297</v>
      </c>
      <c r="BW92" s="1">
        <f t="shared" ca="1" si="100"/>
        <v>103</v>
      </c>
      <c r="BX92" s="1">
        <f t="shared" ca="1" si="101"/>
        <v>5.770482224365249E-3</v>
      </c>
      <c r="BY92" s="1">
        <f t="shared" ca="1" si="102"/>
        <v>1.5966679803428543E-2</v>
      </c>
      <c r="BZ92" s="1">
        <f t="shared" ca="1" si="103"/>
        <v>0.1529491998938618</v>
      </c>
      <c r="CB92" s="1">
        <f t="shared" ca="1" si="104"/>
        <v>496</v>
      </c>
      <c r="CC92" s="1">
        <f t="shared" ca="1" si="105"/>
        <v>5</v>
      </c>
      <c r="CD92" s="1">
        <f t="shared" ca="1" si="106"/>
        <v>0.19336744605252365</v>
      </c>
      <c r="CE92" s="1">
        <f t="shared" ca="1" si="107"/>
        <v>0.60608276123218441</v>
      </c>
      <c r="CF92" s="1">
        <f t="shared" ca="1" si="107"/>
        <v>0.69628432140647978</v>
      </c>
      <c r="CH92" s="3">
        <f t="shared" ca="1" si="108"/>
        <v>6.8819116343952588E-2</v>
      </c>
      <c r="CI92" s="3">
        <f t="shared" ca="1" si="109"/>
        <v>1.5624742361221331E-2</v>
      </c>
      <c r="CJ92" s="3">
        <f t="shared" ca="1" si="110"/>
        <v>1826</v>
      </c>
      <c r="CK92" s="3">
        <f t="shared" ca="1" si="111"/>
        <v>3.1000252343854609E-3</v>
      </c>
      <c r="CL92" s="3">
        <f t="shared" ca="1" si="112"/>
        <v>0</v>
      </c>
      <c r="CM92" s="3"/>
      <c r="CN92" s="1">
        <f t="shared" ca="1" si="113"/>
        <v>7.3686533435812471</v>
      </c>
      <c r="CO92" s="1">
        <f t="shared" ca="1" si="114"/>
        <v>0.49868058457261766</v>
      </c>
      <c r="CP92" s="1">
        <f t="shared" ca="1" si="115"/>
        <v>5</v>
      </c>
      <c r="DH92" s="1">
        <f t="shared" ca="1" si="116"/>
        <v>380</v>
      </c>
      <c r="DI92" s="1">
        <f t="shared" ca="1" si="117"/>
        <v>0.31073820040546762</v>
      </c>
      <c r="DJ92" s="1">
        <f t="shared" ca="1" si="118"/>
        <v>22</v>
      </c>
    </row>
    <row r="93" spans="2:114" x14ac:dyDescent="0.25">
      <c r="B93">
        <f t="shared" ca="1" si="60"/>
        <v>564</v>
      </c>
      <c r="C93">
        <f t="shared" ca="1" si="61"/>
        <v>46</v>
      </c>
      <c r="D93">
        <f t="shared" ca="1" si="62"/>
        <v>0.14829905229566981</v>
      </c>
      <c r="F93" s="1">
        <f t="shared" ca="1" si="63"/>
        <v>46</v>
      </c>
      <c r="G93" s="1">
        <f t="shared" ca="1" si="64"/>
        <v>16</v>
      </c>
      <c r="H93" s="1">
        <f t="shared" ca="1" si="65"/>
        <v>5</v>
      </c>
      <c r="I93" s="1"/>
      <c r="J93" s="1">
        <f t="shared" ca="1" si="66"/>
        <v>15</v>
      </c>
      <c r="K93" s="1">
        <f t="shared" ca="1" si="67"/>
        <v>2.06075586275609</v>
      </c>
      <c r="L93" s="1">
        <f t="shared" ca="1" si="68"/>
        <v>2</v>
      </c>
      <c r="M93" s="1"/>
      <c r="N93" s="1">
        <f t="shared" ca="1" si="69"/>
        <v>57</v>
      </c>
      <c r="O93" s="1">
        <f t="shared" ca="1" si="70"/>
        <v>11</v>
      </c>
      <c r="P93" s="1"/>
      <c r="Q93" s="1">
        <f t="shared" ca="1" si="71"/>
        <v>2.6677246553600238</v>
      </c>
      <c r="R93" s="1">
        <f t="shared" ca="1" si="72"/>
        <v>759</v>
      </c>
      <c r="S93" s="1"/>
      <c r="T93" s="1">
        <f t="shared" ca="1" si="73"/>
        <v>4.683627937296439E-2</v>
      </c>
      <c r="U93" s="1">
        <f t="shared" ca="1" si="74"/>
        <v>323</v>
      </c>
      <c r="V93" s="1">
        <f t="shared" ca="1" si="75"/>
        <v>29</v>
      </c>
      <c r="W93" s="1"/>
      <c r="X93" s="1">
        <f t="shared" ca="1" si="76"/>
        <v>6.6961726393021079</v>
      </c>
      <c r="Y93" s="1">
        <f t="shared" ca="1" si="77"/>
        <v>0.90520719244622039</v>
      </c>
      <c r="Z93" s="1">
        <f t="shared" ca="1" si="78"/>
        <v>205</v>
      </c>
      <c r="AB93" s="1">
        <f t="shared" ca="1" si="79"/>
        <v>0.57213412402173813</v>
      </c>
      <c r="AC93" s="1">
        <f t="shared" ca="1" si="80"/>
        <v>769</v>
      </c>
      <c r="AD93" s="1">
        <f t="shared" ca="1" si="81"/>
        <v>7.1576130996651895E-3</v>
      </c>
      <c r="AE93" s="1"/>
      <c r="AF93" s="1">
        <f t="shared" ca="1" si="82"/>
        <v>0.72274713254915424</v>
      </c>
      <c r="AG93" s="1">
        <f t="shared" ca="1" si="83"/>
        <v>155</v>
      </c>
      <c r="AH93" s="1">
        <f t="shared" ca="1" si="84"/>
        <v>8.9466864728410186E-3</v>
      </c>
      <c r="AJ93" s="1">
        <f t="shared" ca="1" si="85"/>
        <v>0.3900529671816011</v>
      </c>
      <c r="AK93" s="1">
        <f t="shared" ca="1" si="86"/>
        <v>9.0837705417542852E-3</v>
      </c>
      <c r="AL93" s="1"/>
      <c r="AM93" s="1">
        <f t="shared" ca="1" si="87"/>
        <v>2.0796794154887822E-2</v>
      </c>
      <c r="AN93" s="1">
        <f t="shared" ca="1" si="88"/>
        <v>58</v>
      </c>
      <c r="AO93" s="1">
        <f t="shared" ca="1" si="89"/>
        <v>19</v>
      </c>
      <c r="AQ93" s="1">
        <f t="shared" ca="1" si="90"/>
        <v>153</v>
      </c>
      <c r="AR93" s="1">
        <f t="shared" ca="1" si="91"/>
        <v>6</v>
      </c>
      <c r="AS93" s="1">
        <f t="shared" ca="1" si="92"/>
        <v>95</v>
      </c>
      <c r="AU93" s="1">
        <f t="shared" ca="1" si="93"/>
        <v>392</v>
      </c>
      <c r="AV93" s="1">
        <f t="shared" ca="1" si="94"/>
        <v>5</v>
      </c>
      <c r="AW93" s="1">
        <f t="shared" ca="1" si="95"/>
        <v>5.6565096865420245E-2</v>
      </c>
      <c r="AY93" s="1">
        <f t="shared" ca="1" si="96"/>
        <v>1.2408663844662509</v>
      </c>
      <c r="AZ93" s="1">
        <f t="shared" ca="1" si="97"/>
        <v>493</v>
      </c>
      <c r="BA93" s="1">
        <f t="shared" ca="1" si="98"/>
        <v>1.50566399788359E-3</v>
      </c>
      <c r="BV93" s="1">
        <f t="shared" ca="1" si="99"/>
        <v>5.8501069498800131E-3</v>
      </c>
      <c r="BW93" s="1">
        <f t="shared" ca="1" si="100"/>
        <v>418</v>
      </c>
      <c r="BX93" s="1">
        <f t="shared" ca="1" si="101"/>
        <v>6.3410203586301908E-3</v>
      </c>
      <c r="BY93" s="1">
        <f t="shared" ca="1" si="102"/>
        <v>2.1595642241253554E-2</v>
      </c>
      <c r="BZ93" s="1">
        <f t="shared" ca="1" si="103"/>
        <v>0.28874775057214408</v>
      </c>
      <c r="CB93" s="1">
        <f t="shared" ca="1" si="104"/>
        <v>191</v>
      </c>
      <c r="CC93" s="1">
        <f t="shared" ca="1" si="105"/>
        <v>13</v>
      </c>
      <c r="CD93" s="1">
        <f t="shared" ca="1" si="106"/>
        <v>7.5978343863413456E-2</v>
      </c>
      <c r="CE93" s="1">
        <f t="shared" ca="1" si="107"/>
        <v>0.97354437149040107</v>
      </c>
      <c r="CF93" s="1">
        <f t="shared" ca="1" si="107"/>
        <v>0.86713371547213147</v>
      </c>
      <c r="CH93" s="3">
        <f t="shared" ca="1" si="108"/>
        <v>0.98036251770841998</v>
      </c>
      <c r="CI93" s="3">
        <f t="shared" ca="1" si="109"/>
        <v>0.94212767620211391</v>
      </c>
      <c r="CJ93" s="3">
        <f t="shared" ca="1" si="110"/>
        <v>1129</v>
      </c>
      <c r="CK93" s="3">
        <f t="shared" ca="1" si="111"/>
        <v>1.9817260062526196E-3</v>
      </c>
      <c r="CL93" s="3">
        <f t="shared" ca="1" si="112"/>
        <v>1</v>
      </c>
      <c r="CM93" s="3"/>
      <c r="CN93" s="1">
        <f t="shared" ca="1" si="113"/>
        <v>8.0228059357977877</v>
      </c>
      <c r="CO93" s="1">
        <f t="shared" ca="1" si="114"/>
        <v>0.31762928514797101</v>
      </c>
      <c r="CP93" s="1">
        <f t="shared" ca="1" si="115"/>
        <v>2</v>
      </c>
      <c r="DH93" s="1">
        <f t="shared" ca="1" si="116"/>
        <v>483</v>
      </c>
      <c r="DI93" s="1">
        <f t="shared" ca="1" si="117"/>
        <v>0.22100520786483846</v>
      </c>
      <c r="DJ93" s="1">
        <f t="shared" ca="1" si="118"/>
        <v>11</v>
      </c>
    </row>
    <row r="94" spans="2:114" x14ac:dyDescent="0.25">
      <c r="B94">
        <f t="shared" ca="1" si="60"/>
        <v>387</v>
      </c>
      <c r="C94">
        <f t="shared" ca="1" si="61"/>
        <v>20</v>
      </c>
      <c r="D94">
        <f t="shared" ca="1" si="62"/>
        <v>0.24709492775997072</v>
      </c>
      <c r="F94" s="1">
        <f t="shared" ca="1" si="63"/>
        <v>13</v>
      </c>
      <c r="G94" s="1">
        <f t="shared" ca="1" si="64"/>
        <v>26</v>
      </c>
      <c r="H94" s="1">
        <f t="shared" ca="1" si="65"/>
        <v>2</v>
      </c>
      <c r="I94" s="1"/>
      <c r="J94" s="1">
        <f t="shared" ca="1" si="66"/>
        <v>6</v>
      </c>
      <c r="K94" s="1">
        <f t="shared" ca="1" si="67"/>
        <v>1.5297159085247041</v>
      </c>
      <c r="L94" s="1">
        <f t="shared" ca="1" si="68"/>
        <v>34</v>
      </c>
      <c r="M94" s="1"/>
      <c r="N94" s="1">
        <f t="shared" ca="1" si="69"/>
        <v>32</v>
      </c>
      <c r="O94" s="1">
        <f t="shared" ca="1" si="70"/>
        <v>36</v>
      </c>
      <c r="P94" s="1"/>
      <c r="Q94" s="1">
        <f t="shared" ca="1" si="71"/>
        <v>1.754185224750729</v>
      </c>
      <c r="R94" s="1">
        <f t="shared" ca="1" si="72"/>
        <v>485</v>
      </c>
      <c r="S94" s="1"/>
      <c r="T94" s="1">
        <f t="shared" ca="1" si="73"/>
        <v>0.16074634689359579</v>
      </c>
      <c r="U94" s="1">
        <f t="shared" ca="1" si="74"/>
        <v>179</v>
      </c>
      <c r="V94" s="1">
        <f t="shared" ca="1" si="75"/>
        <v>25</v>
      </c>
      <c r="W94" s="1"/>
      <c r="X94" s="1">
        <f t="shared" ca="1" si="76"/>
        <v>7.7777883227813183</v>
      </c>
      <c r="Y94" s="1">
        <f t="shared" ca="1" si="77"/>
        <v>0.31642910489598336</v>
      </c>
      <c r="Z94" s="1">
        <f t="shared" ca="1" si="78"/>
        <v>837</v>
      </c>
      <c r="AB94" s="1">
        <f t="shared" ca="1" si="79"/>
        <v>0.95871665600495193</v>
      </c>
      <c r="AC94" s="1">
        <f t="shared" ca="1" si="80"/>
        <v>880</v>
      </c>
      <c r="AD94" s="1">
        <f t="shared" ca="1" si="81"/>
        <v>8.6090986313728749E-3</v>
      </c>
      <c r="AE94" s="1"/>
      <c r="AF94" s="1">
        <f t="shared" ca="1" si="82"/>
        <v>0.51846950000416514</v>
      </c>
      <c r="AG94" s="1">
        <f t="shared" ca="1" si="83"/>
        <v>362</v>
      </c>
      <c r="AH94" s="1">
        <f t="shared" ca="1" si="84"/>
        <v>2.7465848057757914E-3</v>
      </c>
      <c r="AJ94" s="1">
        <f t="shared" ca="1" si="85"/>
        <v>0.39347750759402866</v>
      </c>
      <c r="AK94" s="1">
        <f t="shared" ca="1" si="86"/>
        <v>3.0916163223270589E-3</v>
      </c>
      <c r="AL94" s="1"/>
      <c r="AM94" s="1">
        <f t="shared" ca="1" si="87"/>
        <v>6.8104575217049542E-3</v>
      </c>
      <c r="AN94" s="1">
        <f t="shared" ca="1" si="88"/>
        <v>16</v>
      </c>
      <c r="AO94" s="1">
        <f t="shared" ca="1" si="89"/>
        <v>16</v>
      </c>
      <c r="AQ94" s="1">
        <f t="shared" ca="1" si="90"/>
        <v>197</v>
      </c>
      <c r="AR94" s="1">
        <f t="shared" ca="1" si="91"/>
        <v>9</v>
      </c>
      <c r="AS94" s="1">
        <f t="shared" ca="1" si="92"/>
        <v>27</v>
      </c>
      <c r="AU94" s="1">
        <f t="shared" ca="1" si="93"/>
        <v>114</v>
      </c>
      <c r="AV94" s="1">
        <f t="shared" ca="1" si="94"/>
        <v>8</v>
      </c>
      <c r="AW94" s="1">
        <f t="shared" ca="1" si="95"/>
        <v>6.1567528075466088E-2</v>
      </c>
      <c r="AY94" s="1">
        <f t="shared" ca="1" si="96"/>
        <v>1.5179217169565684</v>
      </c>
      <c r="AZ94" s="1">
        <f t="shared" ca="1" si="97"/>
        <v>222</v>
      </c>
      <c r="BA94" s="1">
        <f t="shared" ca="1" si="98"/>
        <v>5.4206143833657981E-3</v>
      </c>
      <c r="BV94" s="1">
        <f t="shared" ca="1" si="99"/>
        <v>0.85551243536472255</v>
      </c>
      <c r="BW94" s="1">
        <f t="shared" ca="1" si="100"/>
        <v>977</v>
      </c>
      <c r="BX94" s="1">
        <f t="shared" ca="1" si="101"/>
        <v>5.219231486781821E-3</v>
      </c>
      <c r="BY94" s="1">
        <f t="shared" ca="1" si="102"/>
        <v>6.8535785457281805E-3</v>
      </c>
      <c r="BZ94" s="1">
        <f t="shared" ca="1" si="103"/>
        <v>0.6978551796416278</v>
      </c>
      <c r="CB94" s="1">
        <f t="shared" ca="1" si="104"/>
        <v>305</v>
      </c>
      <c r="CC94" s="1">
        <f t="shared" ca="1" si="105"/>
        <v>8</v>
      </c>
      <c r="CD94" s="1">
        <f t="shared" ca="1" si="106"/>
        <v>6.5691464198652336E-2</v>
      </c>
      <c r="CE94" s="1">
        <f t="shared" ca="1" si="107"/>
        <v>0.63534018381112556</v>
      </c>
      <c r="CF94" s="1">
        <f t="shared" ca="1" si="107"/>
        <v>0.77090732662834682</v>
      </c>
      <c r="CH94" s="3">
        <f t="shared" ca="1" si="108"/>
        <v>0.15918631553684473</v>
      </c>
      <c r="CI94" s="3">
        <f t="shared" ca="1" si="109"/>
        <v>0.17416581222636851</v>
      </c>
      <c r="CJ94" s="3">
        <f t="shared" ca="1" si="110"/>
        <v>1096</v>
      </c>
      <c r="CK94" s="3">
        <f t="shared" ca="1" si="111"/>
        <v>5.8740769147480557E-3</v>
      </c>
      <c r="CL94" s="3">
        <f t="shared" ca="1" si="112"/>
        <v>1</v>
      </c>
      <c r="CM94" s="3"/>
      <c r="CN94" s="1">
        <f t="shared" ca="1" si="113"/>
        <v>15.01374036445495</v>
      </c>
      <c r="CO94" s="1">
        <f t="shared" ca="1" si="114"/>
        <v>0.42105533103578635</v>
      </c>
      <c r="CP94" s="1">
        <f t="shared" ca="1" si="115"/>
        <v>3</v>
      </c>
      <c r="DH94" s="1">
        <f t="shared" ca="1" si="116"/>
        <v>583</v>
      </c>
      <c r="DI94" s="1">
        <f t="shared" ca="1" si="117"/>
        <v>0.34418047257736023</v>
      </c>
      <c r="DJ94" s="1">
        <f t="shared" ca="1" si="118"/>
        <v>4</v>
      </c>
    </row>
    <row r="95" spans="2:114" x14ac:dyDescent="0.25">
      <c r="B95">
        <f t="shared" ca="1" si="60"/>
        <v>426</v>
      </c>
      <c r="C95">
        <f t="shared" ca="1" si="61"/>
        <v>39</v>
      </c>
      <c r="D95">
        <f t="shared" ca="1" si="62"/>
        <v>8.6726897916221055E-2</v>
      </c>
      <c r="F95" s="1">
        <f t="shared" ca="1" si="63"/>
        <v>18</v>
      </c>
      <c r="G95" s="1">
        <f t="shared" ca="1" si="64"/>
        <v>23</v>
      </c>
      <c r="H95" s="1">
        <f t="shared" ca="1" si="65"/>
        <v>5</v>
      </c>
      <c r="I95" s="1"/>
      <c r="J95" s="1">
        <f t="shared" ca="1" si="66"/>
        <v>28</v>
      </c>
      <c r="K95" s="1">
        <f t="shared" ca="1" si="67"/>
        <v>1.4859569841746343</v>
      </c>
      <c r="L95" s="1">
        <f t="shared" ca="1" si="68"/>
        <v>32</v>
      </c>
      <c r="M95" s="1"/>
      <c r="N95" s="1">
        <f t="shared" ca="1" si="69"/>
        <v>161</v>
      </c>
      <c r="O95" s="1">
        <f t="shared" ca="1" si="70"/>
        <v>41</v>
      </c>
      <c r="P95" s="1"/>
      <c r="Q95" s="1">
        <f t="shared" ca="1" si="71"/>
        <v>4.9580154371155887</v>
      </c>
      <c r="R95" s="1">
        <f t="shared" ca="1" si="72"/>
        <v>1131</v>
      </c>
      <c r="S95" s="1"/>
      <c r="T95" s="1">
        <f t="shared" ca="1" si="73"/>
        <v>0.11903917553811651</v>
      </c>
      <c r="U95" s="1">
        <f t="shared" ca="1" si="74"/>
        <v>375</v>
      </c>
      <c r="V95" s="1">
        <f t="shared" ca="1" si="75"/>
        <v>19</v>
      </c>
      <c r="W95" s="1"/>
      <c r="X95" s="1">
        <f t="shared" ca="1" si="76"/>
        <v>8.4126288267002369</v>
      </c>
      <c r="Y95" s="1">
        <f t="shared" ca="1" si="77"/>
        <v>0.41070497641859094</v>
      </c>
      <c r="Z95" s="1">
        <f t="shared" ca="1" si="78"/>
        <v>422</v>
      </c>
      <c r="AB95" s="1">
        <f t="shared" ca="1" si="79"/>
        <v>0.79571140351845349</v>
      </c>
      <c r="AC95" s="1">
        <f t="shared" ca="1" si="80"/>
        <v>895</v>
      </c>
      <c r="AD95" s="1">
        <f t="shared" ca="1" si="81"/>
        <v>1.3078184308090328E-3</v>
      </c>
      <c r="AE95" s="1"/>
      <c r="AF95" s="1">
        <f t="shared" ca="1" si="82"/>
        <v>0.15904520824593016</v>
      </c>
      <c r="AG95" s="1">
        <f t="shared" ca="1" si="83"/>
        <v>347</v>
      </c>
      <c r="AH95" s="1">
        <f t="shared" ca="1" si="84"/>
        <v>4.9015886233546111E-3</v>
      </c>
      <c r="AJ95" s="1">
        <f t="shared" ca="1" si="85"/>
        <v>0.67960616622543801</v>
      </c>
      <c r="AK95" s="1">
        <f t="shared" ca="1" si="86"/>
        <v>5.5255724093279295E-3</v>
      </c>
      <c r="AL95" s="1"/>
      <c r="AM95" s="1">
        <f t="shared" ca="1" si="87"/>
        <v>0.18122366967507419</v>
      </c>
      <c r="AN95" s="1">
        <f t="shared" ca="1" si="88"/>
        <v>50</v>
      </c>
      <c r="AO95" s="1">
        <f t="shared" ca="1" si="89"/>
        <v>4</v>
      </c>
      <c r="AQ95" s="1">
        <f t="shared" ca="1" si="90"/>
        <v>108</v>
      </c>
      <c r="AR95" s="1">
        <f t="shared" ca="1" si="91"/>
        <v>6</v>
      </c>
      <c r="AS95" s="1">
        <f t="shared" ca="1" si="92"/>
        <v>77</v>
      </c>
      <c r="AU95" s="1">
        <f t="shared" ca="1" si="93"/>
        <v>369</v>
      </c>
      <c r="AV95" s="1">
        <f t="shared" ca="1" si="94"/>
        <v>3</v>
      </c>
      <c r="AW95" s="1">
        <f t="shared" ca="1" si="95"/>
        <v>9.0832221927109644E-2</v>
      </c>
      <c r="AY95" s="1">
        <f t="shared" ca="1" si="96"/>
        <v>1.8395491548312664</v>
      </c>
      <c r="AZ95" s="1">
        <f t="shared" ca="1" si="97"/>
        <v>117</v>
      </c>
      <c r="BA95" s="1">
        <f t="shared" ca="1" si="98"/>
        <v>7.1042346042212668E-3</v>
      </c>
      <c r="BV95" s="1">
        <f t="shared" ca="1" si="99"/>
        <v>0.380085340704021</v>
      </c>
      <c r="BW95" s="1">
        <f t="shared" ca="1" si="100"/>
        <v>898</v>
      </c>
      <c r="BX95" s="1">
        <f t="shared" ca="1" si="101"/>
        <v>4.9406206167175327E-3</v>
      </c>
      <c r="BY95" s="1">
        <f t="shared" ca="1" si="102"/>
        <v>4.2349645315859892E-2</v>
      </c>
      <c r="BZ95" s="1">
        <f t="shared" ca="1" si="103"/>
        <v>0.45582404182491976</v>
      </c>
      <c r="CB95" s="1">
        <f t="shared" ca="1" si="104"/>
        <v>187</v>
      </c>
      <c r="CC95" s="1">
        <f t="shared" ca="1" si="105"/>
        <v>10</v>
      </c>
      <c r="CD95" s="1">
        <f t="shared" ca="1" si="106"/>
        <v>0.17047620638287697</v>
      </c>
      <c r="CE95" s="1">
        <f t="shared" ca="1" si="107"/>
        <v>0.73995890188293834</v>
      </c>
      <c r="CF95" s="1">
        <f t="shared" ca="1" si="107"/>
        <v>0.75243236622599197</v>
      </c>
      <c r="CH95" s="3">
        <f t="shared" ca="1" si="108"/>
        <v>0.78127212372800248</v>
      </c>
      <c r="CI95" s="3">
        <f t="shared" ca="1" si="109"/>
        <v>0.53351281238901571</v>
      </c>
      <c r="CJ95" s="3">
        <f t="shared" ca="1" si="110"/>
        <v>206</v>
      </c>
      <c r="CK95" s="3">
        <f t="shared" ca="1" si="111"/>
        <v>5.4521667182149012E-3</v>
      </c>
      <c r="CL95" s="3">
        <f t="shared" ca="1" si="112"/>
        <v>1</v>
      </c>
      <c r="CM95" s="3"/>
      <c r="CN95" s="1">
        <f t="shared" ca="1" si="113"/>
        <v>8.1757551236311006</v>
      </c>
      <c r="CO95" s="1">
        <f t="shared" ca="1" si="114"/>
        <v>0.11869820050005386</v>
      </c>
      <c r="CP95" s="1">
        <f t="shared" ca="1" si="115"/>
        <v>1</v>
      </c>
      <c r="DH95" s="1">
        <f t="shared" ca="1" si="116"/>
        <v>821</v>
      </c>
      <c r="DI95" s="1">
        <f t="shared" ca="1" si="117"/>
        <v>0.4977517846581298</v>
      </c>
      <c r="DJ95" s="1">
        <f t="shared" ca="1" si="118"/>
        <v>2</v>
      </c>
    </row>
    <row r="96" spans="2:114" x14ac:dyDescent="0.25">
      <c r="B96">
        <f t="shared" ca="1" si="60"/>
        <v>359</v>
      </c>
      <c r="C96">
        <f t="shared" ca="1" si="61"/>
        <v>48</v>
      </c>
      <c r="D96">
        <f t="shared" ca="1" si="62"/>
        <v>1.2616355982561406E-2</v>
      </c>
      <c r="F96" s="1">
        <f t="shared" ca="1" si="63"/>
        <v>40</v>
      </c>
      <c r="G96" s="1">
        <f t="shared" ca="1" si="64"/>
        <v>22</v>
      </c>
      <c r="H96" s="1">
        <f t="shared" ca="1" si="65"/>
        <v>13</v>
      </c>
      <c r="I96" s="1"/>
      <c r="J96" s="1">
        <f t="shared" ca="1" si="66"/>
        <v>10</v>
      </c>
      <c r="K96" s="1">
        <f t="shared" ca="1" si="67"/>
        <v>2.1625526252631087</v>
      </c>
      <c r="L96" s="1">
        <f t="shared" ca="1" si="68"/>
        <v>2</v>
      </c>
      <c r="M96" s="1"/>
      <c r="N96" s="1">
        <f t="shared" ca="1" si="69"/>
        <v>686</v>
      </c>
      <c r="O96" s="1">
        <f t="shared" ca="1" si="70"/>
        <v>47</v>
      </c>
      <c r="P96" s="1"/>
      <c r="Q96" s="1">
        <f t="shared" ca="1" si="71"/>
        <v>4.2987643523326673</v>
      </c>
      <c r="R96" s="1">
        <f t="shared" ca="1" si="72"/>
        <v>1022</v>
      </c>
      <c r="S96" s="1"/>
      <c r="T96" s="1">
        <f t="shared" ca="1" si="73"/>
        <v>7.3146899433558732E-2</v>
      </c>
      <c r="U96" s="1">
        <f t="shared" ca="1" si="74"/>
        <v>238</v>
      </c>
      <c r="V96" s="1">
        <f t="shared" ca="1" si="75"/>
        <v>29</v>
      </c>
      <c r="W96" s="1"/>
      <c r="X96" s="1">
        <f t="shared" ca="1" si="76"/>
        <v>6.0163153406838132</v>
      </c>
      <c r="Y96" s="1">
        <f t="shared" ca="1" si="77"/>
        <v>0.36755231656454884</v>
      </c>
      <c r="Z96" s="1">
        <f t="shared" ca="1" si="78"/>
        <v>674</v>
      </c>
      <c r="AB96" s="1">
        <f t="shared" ca="1" si="79"/>
        <v>0.15092549896954185</v>
      </c>
      <c r="AC96" s="1">
        <f t="shared" ca="1" si="80"/>
        <v>514</v>
      </c>
      <c r="AD96" s="1">
        <f t="shared" ca="1" si="81"/>
        <v>5.7525831464177645E-3</v>
      </c>
      <c r="AE96" s="1"/>
      <c r="AF96" s="1">
        <f t="shared" ca="1" si="82"/>
        <v>0.15739168810937321</v>
      </c>
      <c r="AG96" s="1">
        <f t="shared" ca="1" si="83"/>
        <v>287</v>
      </c>
      <c r="AH96" s="1">
        <f t="shared" ca="1" si="84"/>
        <v>4.5103221916829965E-3</v>
      </c>
      <c r="AJ96" s="1">
        <f t="shared" ca="1" si="85"/>
        <v>0.77958843219623886</v>
      </c>
      <c r="AK96" s="1">
        <f t="shared" ca="1" si="86"/>
        <v>6.882362714032403E-3</v>
      </c>
      <c r="AL96" s="1"/>
      <c r="AM96" s="1">
        <f t="shared" ca="1" si="87"/>
        <v>0.15263352272859357</v>
      </c>
      <c r="AN96" s="1">
        <f t="shared" ca="1" si="88"/>
        <v>72</v>
      </c>
      <c r="AO96" s="1">
        <f t="shared" ca="1" si="89"/>
        <v>10</v>
      </c>
      <c r="AQ96" s="1">
        <f t="shared" ca="1" si="90"/>
        <v>193</v>
      </c>
      <c r="AR96" s="1">
        <f t="shared" ca="1" si="91"/>
        <v>3</v>
      </c>
      <c r="AS96" s="1">
        <f t="shared" ca="1" si="92"/>
        <v>92</v>
      </c>
      <c r="AU96" s="1">
        <f t="shared" ca="1" si="93"/>
        <v>396</v>
      </c>
      <c r="AV96" s="1">
        <f t="shared" ca="1" si="94"/>
        <v>10</v>
      </c>
      <c r="AW96" s="1">
        <f t="shared" ca="1" si="95"/>
        <v>4.3597033807087252E-2</v>
      </c>
      <c r="AY96" s="1">
        <f t="shared" ca="1" si="96"/>
        <v>1.9381582966120834</v>
      </c>
      <c r="AZ96" s="1">
        <f t="shared" ca="1" si="97"/>
        <v>376</v>
      </c>
      <c r="BA96" s="1">
        <f t="shared" ca="1" si="98"/>
        <v>4.0121106148036025E-4</v>
      </c>
      <c r="BV96" s="1">
        <f t="shared" ca="1" si="99"/>
        <v>0.34822187104683894</v>
      </c>
      <c r="BW96" s="1">
        <f t="shared" ca="1" si="100"/>
        <v>258</v>
      </c>
      <c r="BX96" s="1">
        <f t="shared" ca="1" si="101"/>
        <v>7.0886890388742662E-3</v>
      </c>
      <c r="BY96" s="1">
        <f t="shared" ca="1" si="102"/>
        <v>7.9448035814684015E-2</v>
      </c>
      <c r="BZ96" s="1">
        <f t="shared" ca="1" si="103"/>
        <v>0.71369219971914144</v>
      </c>
      <c r="CB96" s="1">
        <f t="shared" ca="1" si="104"/>
        <v>65</v>
      </c>
      <c r="CC96" s="1">
        <f t="shared" ca="1" si="105"/>
        <v>13</v>
      </c>
      <c r="CD96" s="1">
        <f t="shared" ca="1" si="106"/>
        <v>8.6622735312462729E-2</v>
      </c>
      <c r="CE96" s="1">
        <f t="shared" ca="1" si="107"/>
        <v>0.81036857959185404</v>
      </c>
      <c r="CF96" s="1">
        <f t="shared" ca="1" si="107"/>
        <v>0.54116129206698227</v>
      </c>
      <c r="CH96" s="3">
        <f t="shared" ca="1" si="108"/>
        <v>0.14199967332987473</v>
      </c>
      <c r="CI96" s="3">
        <f t="shared" ca="1" si="109"/>
        <v>0.76130561531423346</v>
      </c>
      <c r="CJ96" s="3">
        <f t="shared" ca="1" si="110"/>
        <v>391</v>
      </c>
      <c r="CK96" s="3">
        <f t="shared" ca="1" si="111"/>
        <v>7.7611706540477486E-3</v>
      </c>
      <c r="CL96" s="3">
        <f t="shared" ca="1" si="112"/>
        <v>1</v>
      </c>
      <c r="CM96" s="3"/>
      <c r="CN96" s="1">
        <f t="shared" ca="1" si="113"/>
        <v>7.1793511686340725</v>
      </c>
      <c r="CO96" s="1">
        <f t="shared" ca="1" si="114"/>
        <v>0.2266151267634853</v>
      </c>
      <c r="CP96" s="1">
        <f t="shared" ca="1" si="115"/>
        <v>4</v>
      </c>
      <c r="DH96" s="1">
        <f t="shared" ca="1" si="116"/>
        <v>304</v>
      </c>
      <c r="DI96" s="1">
        <f t="shared" ca="1" si="117"/>
        <v>0.36737647609964907</v>
      </c>
      <c r="DJ96" s="1">
        <f t="shared" ca="1" si="118"/>
        <v>11</v>
      </c>
    </row>
    <row r="97" spans="2:114" x14ac:dyDescent="0.25">
      <c r="B97">
        <f t="shared" ca="1" si="60"/>
        <v>381</v>
      </c>
      <c r="C97">
        <f t="shared" ca="1" si="61"/>
        <v>6</v>
      </c>
      <c r="D97">
        <f t="shared" ca="1" si="62"/>
        <v>7.690595233762608E-2</v>
      </c>
      <c r="F97" s="1">
        <f t="shared" ca="1" si="63"/>
        <v>14</v>
      </c>
      <c r="G97" s="1">
        <f t="shared" ca="1" si="64"/>
        <v>30</v>
      </c>
      <c r="H97" s="1">
        <f t="shared" ca="1" si="65"/>
        <v>9</v>
      </c>
      <c r="I97" s="1"/>
      <c r="J97" s="1">
        <f t="shared" ca="1" si="66"/>
        <v>15</v>
      </c>
      <c r="K97" s="1">
        <f t="shared" ca="1" si="67"/>
        <v>1.8894333488345372</v>
      </c>
      <c r="L97" s="1">
        <f t="shared" ca="1" si="68"/>
        <v>22</v>
      </c>
      <c r="M97" s="1"/>
      <c r="N97" s="1">
        <f t="shared" ca="1" si="69"/>
        <v>341</v>
      </c>
      <c r="O97" s="1">
        <f t="shared" ca="1" si="70"/>
        <v>23</v>
      </c>
      <c r="P97" s="1"/>
      <c r="Q97" s="1">
        <f t="shared" ca="1" si="71"/>
        <v>3.1898389114739891</v>
      </c>
      <c r="R97" s="1">
        <f t="shared" ca="1" si="72"/>
        <v>386</v>
      </c>
      <c r="S97" s="1"/>
      <c r="T97" s="1">
        <f t="shared" ca="1" si="73"/>
        <v>1.5716933973416145E-2</v>
      </c>
      <c r="U97" s="1">
        <f t="shared" ca="1" si="74"/>
        <v>221</v>
      </c>
      <c r="V97" s="1">
        <f t="shared" ca="1" si="75"/>
        <v>11</v>
      </c>
      <c r="W97" s="1"/>
      <c r="X97" s="1">
        <f t="shared" ca="1" si="76"/>
        <v>3.680331983259602</v>
      </c>
      <c r="Y97" s="1">
        <f t="shared" ca="1" si="77"/>
        <v>0.33421655668896394</v>
      </c>
      <c r="Z97" s="1">
        <f t="shared" ca="1" si="78"/>
        <v>300</v>
      </c>
      <c r="AB97" s="1">
        <f t="shared" ca="1" si="79"/>
        <v>0.44415971668164844</v>
      </c>
      <c r="AC97" s="1">
        <f t="shared" ca="1" si="80"/>
        <v>763</v>
      </c>
      <c r="AD97" s="1">
        <f t="shared" ca="1" si="81"/>
        <v>2.6016038562550908E-3</v>
      </c>
      <c r="AE97" s="1"/>
      <c r="AF97" s="1">
        <f t="shared" ca="1" si="82"/>
        <v>0.24184959207182219</v>
      </c>
      <c r="AG97" s="1">
        <f t="shared" ca="1" si="83"/>
        <v>718</v>
      </c>
      <c r="AH97" s="1">
        <f t="shared" ca="1" si="84"/>
        <v>2.5963105586023173E-3</v>
      </c>
      <c r="AJ97" s="1">
        <f t="shared" ca="1" si="85"/>
        <v>0.68550590676136858</v>
      </c>
      <c r="AK97" s="1">
        <f t="shared" ca="1" si="86"/>
        <v>1.2770240175207748E-3</v>
      </c>
      <c r="AL97" s="1"/>
      <c r="AM97" s="1">
        <f t="shared" ca="1" si="87"/>
        <v>0.12438122189311891</v>
      </c>
      <c r="AN97" s="1">
        <f t="shared" ca="1" si="88"/>
        <v>50</v>
      </c>
      <c r="AO97" s="1">
        <f t="shared" ca="1" si="89"/>
        <v>12</v>
      </c>
      <c r="AQ97" s="1">
        <f t="shared" ca="1" si="90"/>
        <v>111</v>
      </c>
      <c r="AR97" s="1">
        <f t="shared" ca="1" si="91"/>
        <v>0</v>
      </c>
      <c r="AS97" s="1">
        <f t="shared" ca="1" si="92"/>
        <v>14</v>
      </c>
      <c r="AU97" s="1">
        <f t="shared" ca="1" si="93"/>
        <v>142</v>
      </c>
      <c r="AV97" s="1">
        <f t="shared" ca="1" si="94"/>
        <v>8</v>
      </c>
      <c r="AW97" s="1">
        <f t="shared" ca="1" si="95"/>
        <v>0.15744596400792654</v>
      </c>
      <c r="AY97" s="1">
        <f t="shared" ca="1" si="96"/>
        <v>1.1579581479255576</v>
      </c>
      <c r="AZ97" s="1">
        <f t="shared" ca="1" si="97"/>
        <v>390</v>
      </c>
      <c r="BA97" s="1">
        <f t="shared" ca="1" si="98"/>
        <v>3.5648141753823431E-3</v>
      </c>
      <c r="BV97" s="1">
        <f t="shared" ca="1" si="99"/>
        <v>0.93669938640403239</v>
      </c>
      <c r="BW97" s="1">
        <f t="shared" ca="1" si="100"/>
        <v>300</v>
      </c>
      <c r="BX97" s="1">
        <f t="shared" ca="1" si="101"/>
        <v>5.1423148687800204E-3</v>
      </c>
      <c r="BY97" s="1">
        <f t="shared" ca="1" si="102"/>
        <v>6.6967193526429769E-2</v>
      </c>
      <c r="BZ97" s="1">
        <f t="shared" ca="1" si="103"/>
        <v>0.96735545654265642</v>
      </c>
      <c r="CB97" s="1">
        <f t="shared" ca="1" si="104"/>
        <v>459</v>
      </c>
      <c r="CC97" s="1">
        <f t="shared" ca="1" si="105"/>
        <v>8</v>
      </c>
      <c r="CD97" s="1">
        <f t="shared" ca="1" si="106"/>
        <v>0.24195053730852573</v>
      </c>
      <c r="CE97" s="1">
        <f t="shared" ca="1" si="107"/>
        <v>0.92664166501368395</v>
      </c>
      <c r="CF97" s="1">
        <f t="shared" ca="1" si="107"/>
        <v>0.72744339438410788</v>
      </c>
      <c r="CH97" s="3">
        <f t="shared" ca="1" si="108"/>
        <v>0.78445375201318601</v>
      </c>
      <c r="CI97" s="3">
        <f t="shared" ca="1" si="109"/>
        <v>0.57860647636090146</v>
      </c>
      <c r="CJ97" s="3">
        <f t="shared" ca="1" si="110"/>
        <v>1985</v>
      </c>
      <c r="CK97" s="3">
        <f t="shared" ca="1" si="111"/>
        <v>7.5379501424826809E-3</v>
      </c>
      <c r="CL97" s="3">
        <f t="shared" ca="1" si="112"/>
        <v>0</v>
      </c>
      <c r="CM97" s="3"/>
      <c r="CN97" s="1">
        <f t="shared" ca="1" si="113"/>
        <v>0.54479335032391385</v>
      </c>
      <c r="CO97" s="1">
        <f t="shared" ca="1" si="114"/>
        <v>9.8460228608843944E-2</v>
      </c>
      <c r="CP97" s="1">
        <f t="shared" ca="1" si="115"/>
        <v>2</v>
      </c>
      <c r="DH97" s="1">
        <f t="shared" ca="1" si="116"/>
        <v>479</v>
      </c>
      <c r="DI97" s="1">
        <f t="shared" ca="1" si="117"/>
        <v>0.20594958801608032</v>
      </c>
      <c r="DJ97" s="1">
        <f t="shared" ca="1" si="118"/>
        <v>4</v>
      </c>
    </row>
    <row r="98" spans="2:114" x14ac:dyDescent="0.25">
      <c r="B98">
        <f t="shared" ca="1" si="60"/>
        <v>693</v>
      </c>
      <c r="C98">
        <f t="shared" ca="1" si="61"/>
        <v>38</v>
      </c>
      <c r="D98">
        <f t="shared" ca="1" si="62"/>
        <v>4.9701312240260358E-2</v>
      </c>
      <c r="F98" s="1">
        <f t="shared" ca="1" si="63"/>
        <v>36</v>
      </c>
      <c r="G98" s="1">
        <f t="shared" ca="1" si="64"/>
        <v>11</v>
      </c>
      <c r="H98" s="1">
        <f t="shared" ca="1" si="65"/>
        <v>8</v>
      </c>
      <c r="I98" s="1"/>
      <c r="J98" s="1">
        <f t="shared" ca="1" si="66"/>
        <v>18</v>
      </c>
      <c r="K98" s="1">
        <f t="shared" ca="1" si="67"/>
        <v>1.215584912267629</v>
      </c>
      <c r="L98" s="1">
        <f t="shared" ca="1" si="68"/>
        <v>23</v>
      </c>
      <c r="M98" s="1"/>
      <c r="N98" s="1">
        <f t="shared" ca="1" si="69"/>
        <v>156</v>
      </c>
      <c r="O98" s="1">
        <f t="shared" ca="1" si="70"/>
        <v>33</v>
      </c>
      <c r="P98" s="1"/>
      <c r="Q98" s="1">
        <f t="shared" ca="1" si="71"/>
        <v>4.5504957908831498</v>
      </c>
      <c r="R98" s="1">
        <f t="shared" ca="1" si="72"/>
        <v>688</v>
      </c>
      <c r="S98" s="1"/>
      <c r="T98" s="1">
        <f t="shared" ca="1" si="73"/>
        <v>0.15469499390292349</v>
      </c>
      <c r="U98" s="1">
        <f t="shared" ca="1" si="74"/>
        <v>95</v>
      </c>
      <c r="V98" s="1">
        <f t="shared" ca="1" si="75"/>
        <v>34</v>
      </c>
      <c r="W98" s="1"/>
      <c r="X98" s="1">
        <f t="shared" ca="1" si="76"/>
        <v>8.928688794215347</v>
      </c>
      <c r="Y98" s="1">
        <f t="shared" ca="1" si="77"/>
        <v>0.28024023659014724</v>
      </c>
      <c r="Z98" s="1">
        <f t="shared" ca="1" si="78"/>
        <v>707</v>
      </c>
      <c r="AB98" s="1">
        <f t="shared" ca="1" si="79"/>
        <v>0.45375764362776821</v>
      </c>
      <c r="AC98" s="1">
        <f t="shared" ca="1" si="80"/>
        <v>854</v>
      </c>
      <c r="AD98" s="1">
        <f t="shared" ca="1" si="81"/>
        <v>7.9692089612888317E-3</v>
      </c>
      <c r="AE98" s="1"/>
      <c r="AF98" s="1">
        <f t="shared" ca="1" si="82"/>
        <v>0.36586062831359023</v>
      </c>
      <c r="AG98" s="1">
        <f t="shared" ca="1" si="83"/>
        <v>687</v>
      </c>
      <c r="AH98" s="1">
        <f t="shared" ca="1" si="84"/>
        <v>6.5134766935627478E-3</v>
      </c>
      <c r="AJ98" s="1">
        <f t="shared" ca="1" si="85"/>
        <v>0.81596681740884547</v>
      </c>
      <c r="AK98" s="1">
        <f t="shared" ca="1" si="86"/>
        <v>9.0234229208422858E-3</v>
      </c>
      <c r="AL98" s="1"/>
      <c r="AM98" s="1">
        <f t="shared" ca="1" si="87"/>
        <v>0.15942140297840782</v>
      </c>
      <c r="AN98" s="1">
        <f t="shared" ca="1" si="88"/>
        <v>61</v>
      </c>
      <c r="AO98" s="1">
        <f t="shared" ca="1" si="89"/>
        <v>8</v>
      </c>
      <c r="AQ98" s="1">
        <f t="shared" ca="1" si="90"/>
        <v>199</v>
      </c>
      <c r="AR98" s="1">
        <f t="shared" ca="1" si="91"/>
        <v>6</v>
      </c>
      <c r="AS98" s="1">
        <f t="shared" ca="1" si="92"/>
        <v>91</v>
      </c>
      <c r="AU98" s="1">
        <f t="shared" ca="1" si="93"/>
        <v>114</v>
      </c>
      <c r="AV98" s="1">
        <f t="shared" ca="1" si="94"/>
        <v>2</v>
      </c>
      <c r="AW98" s="1">
        <f t="shared" ca="1" si="95"/>
        <v>0.14002510886142308</v>
      </c>
      <c r="AY98" s="1">
        <f t="shared" ca="1" si="96"/>
        <v>1.4098100694497129</v>
      </c>
      <c r="AZ98" s="1">
        <f t="shared" ca="1" si="97"/>
        <v>292</v>
      </c>
      <c r="BA98" s="1">
        <f t="shared" ca="1" si="98"/>
        <v>3.8434648886320782E-4</v>
      </c>
      <c r="BV98" s="1">
        <f t="shared" ca="1" si="99"/>
        <v>0.16323857395720556</v>
      </c>
      <c r="BW98" s="1">
        <f t="shared" ca="1" si="100"/>
        <v>111</v>
      </c>
      <c r="BX98" s="1">
        <f t="shared" ca="1" si="101"/>
        <v>6.9772269310821077E-3</v>
      </c>
      <c r="BY98" s="1">
        <f t="shared" ca="1" si="102"/>
        <v>5.490320050831405E-2</v>
      </c>
      <c r="BZ98" s="1">
        <f t="shared" ca="1" si="103"/>
        <v>0.12532350732359032</v>
      </c>
      <c r="CB98" s="1">
        <f t="shared" ca="1" si="104"/>
        <v>236</v>
      </c>
      <c r="CC98" s="1">
        <f t="shared" ca="1" si="105"/>
        <v>5</v>
      </c>
      <c r="CD98" s="1">
        <f t="shared" ca="1" si="106"/>
        <v>1.9899521434394316E-2</v>
      </c>
      <c r="CE98" s="1">
        <f t="shared" ca="1" si="107"/>
        <v>0.65800102030953989</v>
      </c>
      <c r="CF98" s="1">
        <f t="shared" ca="1" si="107"/>
        <v>0.6065270871895283</v>
      </c>
      <c r="CH98" s="3">
        <f t="shared" ca="1" si="108"/>
        <v>0.34320120901000561</v>
      </c>
      <c r="CI98" s="3">
        <f t="shared" ca="1" si="109"/>
        <v>0.87647882850191294</v>
      </c>
      <c r="CJ98" s="3">
        <f t="shared" ca="1" si="110"/>
        <v>1196</v>
      </c>
      <c r="CK98" s="3">
        <f t="shared" ca="1" si="111"/>
        <v>9.8437590031339051E-3</v>
      </c>
      <c r="CL98" s="3">
        <f t="shared" ca="1" si="112"/>
        <v>0</v>
      </c>
      <c r="CM98" s="3"/>
      <c r="CN98" s="1">
        <f t="shared" ca="1" si="113"/>
        <v>10.17592504460052</v>
      </c>
      <c r="CO98" s="1">
        <f t="shared" ca="1" si="114"/>
        <v>0.18754005751879041</v>
      </c>
      <c r="CP98" s="1">
        <f t="shared" ca="1" si="115"/>
        <v>5</v>
      </c>
      <c r="DH98" s="1">
        <f t="shared" ca="1" si="116"/>
        <v>843</v>
      </c>
      <c r="DI98" s="1">
        <f t="shared" ca="1" si="117"/>
        <v>0.10054848355383704</v>
      </c>
      <c r="DJ98" s="1">
        <f t="shared" ca="1" si="118"/>
        <v>9</v>
      </c>
    </row>
    <row r="99" spans="2:114" x14ac:dyDescent="0.25">
      <c r="B99">
        <f t="shared" ca="1" si="60"/>
        <v>149</v>
      </c>
      <c r="C99">
        <f t="shared" ca="1" si="61"/>
        <v>11</v>
      </c>
      <c r="D99">
        <f t="shared" ca="1" si="62"/>
        <v>0.13991058965427305</v>
      </c>
      <c r="F99" s="1">
        <f t="shared" ca="1" si="63"/>
        <v>29</v>
      </c>
      <c r="G99" s="1">
        <f t="shared" ca="1" si="64"/>
        <v>4</v>
      </c>
      <c r="H99" s="1">
        <f t="shared" ca="1" si="65"/>
        <v>3</v>
      </c>
      <c r="I99" s="1"/>
      <c r="J99" s="1">
        <f t="shared" ca="1" si="66"/>
        <v>30</v>
      </c>
      <c r="K99" s="1">
        <f t="shared" ca="1" si="67"/>
        <v>2.2675671252565124</v>
      </c>
      <c r="L99" s="1">
        <f t="shared" ca="1" si="68"/>
        <v>2</v>
      </c>
      <c r="M99" s="1"/>
      <c r="N99" s="1">
        <f t="shared" ca="1" si="69"/>
        <v>928</v>
      </c>
      <c r="O99" s="1">
        <f t="shared" ca="1" si="70"/>
        <v>43</v>
      </c>
      <c r="P99" s="1"/>
      <c r="Q99" s="1">
        <f t="shared" ca="1" si="71"/>
        <v>4.0306504136714141</v>
      </c>
      <c r="R99" s="1">
        <f t="shared" ca="1" si="72"/>
        <v>562</v>
      </c>
      <c r="S99" s="1"/>
      <c r="T99" s="1">
        <f t="shared" ca="1" si="73"/>
        <v>9.7278039852155745E-2</v>
      </c>
      <c r="U99" s="1">
        <f t="shared" ca="1" si="74"/>
        <v>63</v>
      </c>
      <c r="V99" s="1">
        <f t="shared" ca="1" si="75"/>
        <v>14</v>
      </c>
      <c r="W99" s="1"/>
      <c r="X99" s="1">
        <f t="shared" ca="1" si="76"/>
        <v>3.4532284666862014</v>
      </c>
      <c r="Y99" s="1">
        <f t="shared" ca="1" si="77"/>
        <v>0.15457203238288619</v>
      </c>
      <c r="Z99" s="1">
        <f t="shared" ca="1" si="78"/>
        <v>1048</v>
      </c>
      <c r="AB99" s="1">
        <f t="shared" ca="1" si="79"/>
        <v>0.77446978677043232</v>
      </c>
      <c r="AC99" s="1">
        <f t="shared" ca="1" si="80"/>
        <v>864</v>
      </c>
      <c r="AD99" s="1">
        <f t="shared" ca="1" si="81"/>
        <v>9.9264841831118878E-3</v>
      </c>
      <c r="AE99" s="1"/>
      <c r="AF99" s="1">
        <f t="shared" ca="1" si="82"/>
        <v>0.21555897304999957</v>
      </c>
      <c r="AG99" s="1">
        <f t="shared" ca="1" si="83"/>
        <v>274</v>
      </c>
      <c r="AH99" s="1">
        <f t="shared" ca="1" si="84"/>
        <v>2.9957841864266554E-3</v>
      </c>
      <c r="AJ99" s="1">
        <f t="shared" ca="1" si="85"/>
        <v>0.35369931944883326</v>
      </c>
      <c r="AK99" s="1">
        <f t="shared" ca="1" si="86"/>
        <v>6.5050538235134738E-3</v>
      </c>
      <c r="AL99" s="1"/>
      <c r="AM99" s="1">
        <f t="shared" ca="1" si="87"/>
        <v>4.7569372293162097E-2</v>
      </c>
      <c r="AN99" s="1">
        <f t="shared" ca="1" si="88"/>
        <v>74</v>
      </c>
      <c r="AO99" s="1">
        <f t="shared" ca="1" si="89"/>
        <v>3</v>
      </c>
      <c r="AQ99" s="1">
        <f t="shared" ca="1" si="90"/>
        <v>111</v>
      </c>
      <c r="AR99" s="1">
        <f t="shared" ca="1" si="91"/>
        <v>7</v>
      </c>
      <c r="AS99" s="1">
        <f t="shared" ca="1" si="92"/>
        <v>82</v>
      </c>
      <c r="AU99" s="1">
        <f t="shared" ca="1" si="93"/>
        <v>72</v>
      </c>
      <c r="AV99" s="1">
        <f t="shared" ca="1" si="94"/>
        <v>8</v>
      </c>
      <c r="AW99" s="1">
        <f t="shared" ca="1" si="95"/>
        <v>6.6627718631117022E-2</v>
      </c>
      <c r="AY99" s="1">
        <f t="shared" ca="1" si="96"/>
        <v>1.8957282815456442</v>
      </c>
      <c r="AZ99" s="1">
        <f t="shared" ca="1" si="97"/>
        <v>175</v>
      </c>
      <c r="BA99" s="1">
        <f t="shared" ca="1" si="98"/>
        <v>4.4593023717079622E-3</v>
      </c>
      <c r="BV99" s="1">
        <f t="shared" ca="1" si="99"/>
        <v>0.30583810951415602</v>
      </c>
      <c r="BW99" s="1">
        <f t="shared" ca="1" si="100"/>
        <v>991</v>
      </c>
      <c r="BX99" s="1">
        <f t="shared" ca="1" si="101"/>
        <v>7.9195597035957941E-3</v>
      </c>
      <c r="BY99" s="1">
        <f t="shared" ca="1" si="102"/>
        <v>8.0553259578917014E-2</v>
      </c>
      <c r="BZ99" s="1">
        <f t="shared" ca="1" si="103"/>
        <v>0.79763618064238739</v>
      </c>
      <c r="CB99" s="1">
        <f t="shared" ca="1" si="104"/>
        <v>465</v>
      </c>
      <c r="CC99" s="1">
        <f t="shared" ca="1" si="105"/>
        <v>3</v>
      </c>
      <c r="CD99" s="1">
        <f t="shared" ca="1" si="106"/>
        <v>3.7321252551887521E-2</v>
      </c>
      <c r="CE99" s="1">
        <f t="shared" ca="1" si="107"/>
        <v>0.89973030595130321</v>
      </c>
      <c r="CF99" s="1">
        <f t="shared" ca="1" si="107"/>
        <v>0.93906376456561369</v>
      </c>
      <c r="CH99" s="3">
        <f t="shared" ca="1" si="108"/>
        <v>0.48501495956260277</v>
      </c>
      <c r="CI99" s="3">
        <f t="shared" ca="1" si="109"/>
        <v>0.79729928331394329</v>
      </c>
      <c r="CJ99" s="3">
        <f t="shared" ca="1" si="110"/>
        <v>691</v>
      </c>
      <c r="CK99" s="3">
        <f t="shared" ca="1" si="111"/>
        <v>4.9687687308310816E-3</v>
      </c>
      <c r="CL99" s="3">
        <f t="shared" ca="1" si="112"/>
        <v>1</v>
      </c>
      <c r="CM99" s="3"/>
      <c r="CN99" s="1">
        <f t="shared" ca="1" si="113"/>
        <v>13.974341934464285</v>
      </c>
      <c r="CO99" s="1">
        <f t="shared" ca="1" si="114"/>
        <v>0.10559891850914911</v>
      </c>
      <c r="CP99" s="1">
        <f t="shared" ca="1" si="115"/>
        <v>5</v>
      </c>
      <c r="DH99" s="1">
        <f t="shared" ca="1" si="116"/>
        <v>151</v>
      </c>
      <c r="DI99" s="1">
        <f t="shared" ca="1" si="117"/>
        <v>0.35453358386695405</v>
      </c>
      <c r="DJ99" s="1">
        <f t="shared" ca="1" si="118"/>
        <v>16</v>
      </c>
    </row>
    <row r="100" spans="2:114" x14ac:dyDescent="0.25">
      <c r="B100">
        <f t="shared" ca="1" si="60"/>
        <v>445</v>
      </c>
      <c r="C100">
        <f t="shared" ca="1" si="61"/>
        <v>17</v>
      </c>
      <c r="D100">
        <f t="shared" ca="1" si="62"/>
        <v>1.0482348995719174E-2</v>
      </c>
      <c r="F100" s="1">
        <f t="shared" ca="1" si="63"/>
        <v>18</v>
      </c>
      <c r="G100" s="1">
        <f t="shared" ca="1" si="64"/>
        <v>11</v>
      </c>
      <c r="H100" s="1">
        <f t="shared" ca="1" si="65"/>
        <v>9</v>
      </c>
      <c r="I100" s="1"/>
      <c r="J100" s="1">
        <f t="shared" ca="1" si="66"/>
        <v>34</v>
      </c>
      <c r="K100" s="1">
        <f t="shared" ca="1" si="67"/>
        <v>2.3871494746589295</v>
      </c>
      <c r="L100" s="1">
        <f t="shared" ca="1" si="68"/>
        <v>26</v>
      </c>
      <c r="M100" s="1"/>
      <c r="N100" s="1">
        <f t="shared" ca="1" si="69"/>
        <v>761</v>
      </c>
      <c r="O100" s="1">
        <f t="shared" ca="1" si="70"/>
        <v>5</v>
      </c>
      <c r="P100" s="1"/>
      <c r="Q100" s="1">
        <f t="shared" ca="1" si="71"/>
        <v>1.2693510576345379</v>
      </c>
      <c r="R100" s="1">
        <f t="shared" ca="1" si="72"/>
        <v>919</v>
      </c>
      <c r="S100" s="1"/>
      <c r="T100" s="1">
        <f t="shared" ca="1" si="73"/>
        <v>0.11113252718856977</v>
      </c>
      <c r="U100" s="1">
        <f t="shared" ca="1" si="74"/>
        <v>102</v>
      </c>
      <c r="V100" s="1">
        <f t="shared" ca="1" si="75"/>
        <v>2</v>
      </c>
      <c r="W100" s="1"/>
      <c r="X100" s="1">
        <f t="shared" ca="1" si="76"/>
        <v>7.0822785356355258</v>
      </c>
      <c r="Y100" s="1">
        <f t="shared" ca="1" si="77"/>
        <v>2.034622148882222E-2</v>
      </c>
      <c r="Z100" s="1">
        <f t="shared" ca="1" si="78"/>
        <v>1111</v>
      </c>
      <c r="AB100" s="1">
        <f t="shared" ca="1" si="79"/>
        <v>0.56220205738683282</v>
      </c>
      <c r="AC100" s="1">
        <f t="shared" ca="1" si="80"/>
        <v>658</v>
      </c>
      <c r="AD100" s="1">
        <f t="shared" ca="1" si="81"/>
        <v>9.0344031241525267E-3</v>
      </c>
      <c r="AE100" s="1"/>
      <c r="AF100" s="1">
        <f t="shared" ca="1" si="82"/>
        <v>0.49408702292134588</v>
      </c>
      <c r="AG100" s="1">
        <f t="shared" ca="1" si="83"/>
        <v>608</v>
      </c>
      <c r="AH100" s="1">
        <f t="shared" ca="1" si="84"/>
        <v>6.638878720277591E-3</v>
      </c>
      <c r="AJ100" s="1">
        <f t="shared" ca="1" si="85"/>
        <v>0.25085770201833846</v>
      </c>
      <c r="AK100" s="1">
        <f t="shared" ca="1" si="86"/>
        <v>9.2082796307797633E-3</v>
      </c>
      <c r="AL100" s="1"/>
      <c r="AM100" s="1">
        <f t="shared" ca="1" si="87"/>
        <v>0.17511753512702749</v>
      </c>
      <c r="AN100" s="1">
        <f t="shared" ca="1" si="88"/>
        <v>30</v>
      </c>
      <c r="AO100" s="1">
        <f t="shared" ca="1" si="89"/>
        <v>3</v>
      </c>
      <c r="AQ100" s="1">
        <f t="shared" ca="1" si="90"/>
        <v>134</v>
      </c>
      <c r="AR100" s="1">
        <f t="shared" ca="1" si="91"/>
        <v>5</v>
      </c>
      <c r="AS100" s="1">
        <f t="shared" ca="1" si="92"/>
        <v>42</v>
      </c>
      <c r="AU100" s="1">
        <f t="shared" ca="1" si="93"/>
        <v>292</v>
      </c>
      <c r="AV100" s="1">
        <f t="shared" ca="1" si="94"/>
        <v>3</v>
      </c>
      <c r="AW100" s="1">
        <f t="shared" ca="1" si="95"/>
        <v>0.15728737786213348</v>
      </c>
      <c r="AY100" s="1">
        <f t="shared" ca="1" si="96"/>
        <v>1.107817141151701</v>
      </c>
      <c r="AZ100" s="1">
        <f t="shared" ca="1" si="97"/>
        <v>316</v>
      </c>
      <c r="BA100" s="1">
        <f t="shared" ca="1" si="98"/>
        <v>8.6649938926119316E-3</v>
      </c>
      <c r="BV100" s="1">
        <f t="shared" ca="1" si="99"/>
        <v>0.24451323402466027</v>
      </c>
      <c r="BW100" s="1">
        <f t="shared" ca="1" si="100"/>
        <v>989</v>
      </c>
      <c r="BX100" s="1">
        <f t="shared" ca="1" si="101"/>
        <v>6.7033865616393875E-4</v>
      </c>
      <c r="BY100" s="1">
        <f t="shared" ca="1" si="102"/>
        <v>8.6933562039899701E-2</v>
      </c>
      <c r="BZ100" s="1">
        <f t="shared" ca="1" si="103"/>
        <v>6.5234500689196784E-2</v>
      </c>
      <c r="CB100" s="1">
        <f t="shared" ca="1" si="104"/>
        <v>456</v>
      </c>
      <c r="CC100" s="1">
        <f t="shared" ca="1" si="105"/>
        <v>9</v>
      </c>
      <c r="CD100" s="1">
        <f t="shared" ca="1" si="106"/>
        <v>0.24563460678632687</v>
      </c>
      <c r="CE100" s="1">
        <f t="shared" ref="CE100:CF131" ca="1" si="119">RAND()*(1-0.5)+0.5</f>
        <v>0.81059463600812764</v>
      </c>
      <c r="CF100" s="1">
        <f t="shared" ca="1" si="119"/>
        <v>0.94883028565750605</v>
      </c>
      <c r="CH100" s="3">
        <f t="shared" ca="1" si="108"/>
        <v>0.1172083341951184</v>
      </c>
      <c r="CI100" s="3">
        <f t="shared" ca="1" si="109"/>
        <v>0.83003416743715308</v>
      </c>
      <c r="CJ100" s="3">
        <f t="shared" ca="1" si="110"/>
        <v>1828</v>
      </c>
      <c r="CK100" s="3">
        <f t="shared" ca="1" si="111"/>
        <v>6.0501009227826479E-4</v>
      </c>
      <c r="CL100" s="3">
        <f t="shared" ca="1" si="112"/>
        <v>1</v>
      </c>
      <c r="CM100" s="3"/>
      <c r="CN100" s="1">
        <f t="shared" ca="1" si="113"/>
        <v>5.2255986471864961</v>
      </c>
      <c r="CO100" s="1">
        <f t="shared" ca="1" si="114"/>
        <v>0.29781456261450528</v>
      </c>
      <c r="CP100" s="1">
        <f t="shared" ca="1" si="115"/>
        <v>1</v>
      </c>
      <c r="DH100" s="1">
        <f t="shared" ca="1" si="116"/>
        <v>436</v>
      </c>
      <c r="DI100" s="1">
        <f t="shared" ca="1" si="117"/>
        <v>0.7441317093031351</v>
      </c>
      <c r="DJ100" s="1">
        <f t="shared" ca="1" si="118"/>
        <v>14</v>
      </c>
    </row>
    <row r="101" spans="2:114" x14ac:dyDescent="0.25">
      <c r="B101">
        <f t="shared" ca="1" si="60"/>
        <v>716</v>
      </c>
      <c r="C101">
        <f t="shared" ca="1" si="61"/>
        <v>13</v>
      </c>
      <c r="D101">
        <f t="shared" ca="1" si="62"/>
        <v>0.23881715099840137</v>
      </c>
      <c r="F101" s="1">
        <f t="shared" ca="1" si="63"/>
        <v>15</v>
      </c>
      <c r="G101" s="1">
        <f t="shared" ca="1" si="64"/>
        <v>12</v>
      </c>
      <c r="H101" s="1">
        <f t="shared" ca="1" si="65"/>
        <v>1</v>
      </c>
      <c r="I101" s="1"/>
      <c r="J101" s="1">
        <f t="shared" ca="1" si="66"/>
        <v>21</v>
      </c>
      <c r="K101" s="1">
        <f t="shared" ca="1" si="67"/>
        <v>1.1312005472444382</v>
      </c>
      <c r="L101" s="1">
        <f t="shared" ca="1" si="68"/>
        <v>34</v>
      </c>
      <c r="M101" s="1"/>
      <c r="N101" s="1">
        <f t="shared" ca="1" si="69"/>
        <v>202</v>
      </c>
      <c r="O101" s="1">
        <f t="shared" ca="1" si="70"/>
        <v>23</v>
      </c>
      <c r="P101" s="1"/>
      <c r="Q101" s="1">
        <f t="shared" ca="1" si="71"/>
        <v>2.0173261422612709</v>
      </c>
      <c r="R101" s="1">
        <f t="shared" ca="1" si="72"/>
        <v>678</v>
      </c>
      <c r="S101" s="1"/>
      <c r="T101" s="1">
        <f t="shared" ca="1" si="73"/>
        <v>4.3005819791889117E-2</v>
      </c>
      <c r="U101" s="1">
        <f t="shared" ca="1" si="74"/>
        <v>431</v>
      </c>
      <c r="V101" s="1">
        <f t="shared" ca="1" si="75"/>
        <v>26</v>
      </c>
      <c r="W101" s="1"/>
      <c r="X101" s="1">
        <f t="shared" ca="1" si="76"/>
        <v>1.9141814669926618</v>
      </c>
      <c r="Y101" s="1">
        <f t="shared" ca="1" si="77"/>
        <v>0.87815912856974332</v>
      </c>
      <c r="Z101" s="1">
        <f t="shared" ca="1" si="78"/>
        <v>1884</v>
      </c>
      <c r="AB101" s="1">
        <f t="shared" ca="1" si="79"/>
        <v>0.32898653570407932</v>
      </c>
      <c r="AC101" s="1">
        <f t="shared" ca="1" si="80"/>
        <v>520</v>
      </c>
      <c r="AD101" s="1">
        <f t="shared" ca="1" si="81"/>
        <v>8.5654779410431151E-3</v>
      </c>
      <c r="AE101" s="1"/>
      <c r="AF101" s="1">
        <f t="shared" ca="1" si="82"/>
        <v>0.53055666573055271</v>
      </c>
      <c r="AG101" s="1">
        <f t="shared" ca="1" si="83"/>
        <v>698</v>
      </c>
      <c r="AH101" s="1">
        <f t="shared" ca="1" si="84"/>
        <v>3.4956377291581113E-3</v>
      </c>
      <c r="AJ101" s="1">
        <f t="shared" ca="1" si="85"/>
        <v>0.1665441452026678</v>
      </c>
      <c r="AK101" s="1">
        <f t="shared" ca="1" si="86"/>
        <v>4.0819247552404229E-3</v>
      </c>
      <c r="AL101" s="1"/>
      <c r="AM101" s="1">
        <f t="shared" ca="1" si="87"/>
        <v>0.18566816344798703</v>
      </c>
      <c r="AN101" s="1">
        <f t="shared" ca="1" si="88"/>
        <v>73</v>
      </c>
      <c r="AO101" s="1">
        <f t="shared" ca="1" si="89"/>
        <v>4</v>
      </c>
      <c r="AQ101" s="1">
        <f t="shared" ca="1" si="90"/>
        <v>192</v>
      </c>
      <c r="AR101" s="1">
        <f t="shared" ca="1" si="91"/>
        <v>4</v>
      </c>
      <c r="AS101" s="1">
        <f t="shared" ca="1" si="92"/>
        <v>45</v>
      </c>
      <c r="AU101" s="1">
        <f t="shared" ca="1" si="93"/>
        <v>265</v>
      </c>
      <c r="AV101" s="1">
        <f t="shared" ca="1" si="94"/>
        <v>8</v>
      </c>
      <c r="AW101" s="1">
        <f t="shared" ca="1" si="95"/>
        <v>0.18326400280673813</v>
      </c>
      <c r="AY101" s="1">
        <f t="shared" ca="1" si="96"/>
        <v>1.1326828524790722</v>
      </c>
      <c r="AZ101" s="1">
        <f t="shared" ca="1" si="97"/>
        <v>144</v>
      </c>
      <c r="BA101" s="1">
        <f t="shared" ca="1" si="98"/>
        <v>5.4399611413992336E-3</v>
      </c>
      <c r="BV101" s="1">
        <f t="shared" ca="1" si="99"/>
        <v>0.12449675194082986</v>
      </c>
      <c r="BW101" s="1">
        <f t="shared" ca="1" si="100"/>
        <v>172</v>
      </c>
      <c r="BX101" s="1">
        <f t="shared" ca="1" si="101"/>
        <v>2.9567867761322989E-3</v>
      </c>
      <c r="BY101" s="1">
        <f t="shared" ca="1" si="102"/>
        <v>9.218265511514754E-3</v>
      </c>
      <c r="BZ101" s="1">
        <f t="shared" ca="1" si="103"/>
        <v>0.92675535504092299</v>
      </c>
      <c r="CB101" s="1">
        <f t="shared" ca="1" si="104"/>
        <v>215</v>
      </c>
      <c r="CC101" s="1">
        <f t="shared" ca="1" si="105"/>
        <v>15</v>
      </c>
      <c r="CD101" s="1">
        <f t="shared" ca="1" si="106"/>
        <v>0.13384770888737704</v>
      </c>
      <c r="CE101" s="1">
        <f t="shared" ca="1" si="119"/>
        <v>0.85106335416285006</v>
      </c>
      <c r="CF101" s="1">
        <f t="shared" ca="1" si="119"/>
        <v>0.54773323849245048</v>
      </c>
      <c r="CH101" s="3">
        <f t="shared" ca="1" si="108"/>
        <v>0.61013163011071314</v>
      </c>
      <c r="CI101" s="3">
        <f t="shared" ca="1" si="109"/>
        <v>0.42912889377011093</v>
      </c>
      <c r="CJ101" s="3">
        <f t="shared" ca="1" si="110"/>
        <v>1976</v>
      </c>
      <c r="CK101" s="3">
        <f t="shared" ca="1" si="111"/>
        <v>7.1558545814940245E-4</v>
      </c>
      <c r="CL101" s="3">
        <f t="shared" ca="1" si="112"/>
        <v>0</v>
      </c>
      <c r="CM101" s="3"/>
      <c r="CN101" s="1">
        <f t="shared" ca="1" si="113"/>
        <v>0.23453822665947024</v>
      </c>
      <c r="CO101" s="1">
        <f t="shared" ca="1" si="114"/>
        <v>0.2585258187725768</v>
      </c>
      <c r="CP101" s="1">
        <f t="shared" ca="1" si="115"/>
        <v>1</v>
      </c>
      <c r="DH101" s="1">
        <f t="shared" ca="1" si="116"/>
        <v>593</v>
      </c>
      <c r="DI101" s="1">
        <f t="shared" ca="1" si="117"/>
        <v>0.73355930161416116</v>
      </c>
      <c r="DJ101" s="1">
        <f t="shared" ca="1" si="118"/>
        <v>8</v>
      </c>
    </row>
    <row r="102" spans="2:114" x14ac:dyDescent="0.25">
      <c r="B102">
        <f t="shared" ca="1" si="60"/>
        <v>367</v>
      </c>
      <c r="C102">
        <f t="shared" ca="1" si="61"/>
        <v>30</v>
      </c>
      <c r="D102">
        <f t="shared" ca="1" si="62"/>
        <v>6.6415532921215284E-2</v>
      </c>
      <c r="F102" s="1">
        <f t="shared" ca="1" si="63"/>
        <v>10</v>
      </c>
      <c r="G102" s="1">
        <f t="shared" ca="1" si="64"/>
        <v>17</v>
      </c>
      <c r="H102" s="1">
        <f t="shared" ca="1" si="65"/>
        <v>5</v>
      </c>
      <c r="I102" s="1"/>
      <c r="J102" s="1">
        <f t="shared" ca="1" si="66"/>
        <v>27</v>
      </c>
      <c r="K102" s="1">
        <f t="shared" ca="1" si="67"/>
        <v>2.5459343953809297</v>
      </c>
      <c r="L102" s="1">
        <f t="shared" ca="1" si="68"/>
        <v>34</v>
      </c>
      <c r="M102" s="1"/>
      <c r="N102" s="1">
        <f t="shared" ca="1" si="69"/>
        <v>498</v>
      </c>
      <c r="O102" s="1">
        <f t="shared" ca="1" si="70"/>
        <v>32</v>
      </c>
      <c r="P102" s="1"/>
      <c r="Q102" s="1">
        <f t="shared" ca="1" si="71"/>
        <v>3.3706883224862669</v>
      </c>
      <c r="R102" s="1">
        <f t="shared" ca="1" si="72"/>
        <v>1068</v>
      </c>
      <c r="S102" s="1"/>
      <c r="T102" s="1">
        <f t="shared" ca="1" si="73"/>
        <v>0.15381363357608216</v>
      </c>
      <c r="U102" s="1">
        <f t="shared" ca="1" si="74"/>
        <v>296</v>
      </c>
      <c r="V102" s="1">
        <f t="shared" ca="1" si="75"/>
        <v>15</v>
      </c>
      <c r="W102" s="1"/>
      <c r="X102" s="1">
        <f t="shared" ca="1" si="76"/>
        <v>2.8033946531411407</v>
      </c>
      <c r="Y102" s="1">
        <f t="shared" ca="1" si="77"/>
        <v>0.80186422356240361</v>
      </c>
      <c r="Z102" s="1">
        <f t="shared" ca="1" si="78"/>
        <v>1055</v>
      </c>
      <c r="AB102" s="1">
        <f t="shared" ca="1" si="79"/>
        <v>0.39798954253352969</v>
      </c>
      <c r="AC102" s="1">
        <f t="shared" ca="1" si="80"/>
        <v>853</v>
      </c>
      <c r="AD102" s="1">
        <f t="shared" ca="1" si="81"/>
        <v>7.6699025953522485E-3</v>
      </c>
      <c r="AE102" s="1"/>
      <c r="AF102" s="1">
        <f t="shared" ca="1" si="82"/>
        <v>0.51217687408247203</v>
      </c>
      <c r="AG102" s="1">
        <f t="shared" ca="1" si="83"/>
        <v>180</v>
      </c>
      <c r="AH102" s="1">
        <f t="shared" ca="1" si="84"/>
        <v>3.7525826854179403E-3</v>
      </c>
      <c r="AJ102" s="1">
        <f t="shared" ca="1" si="85"/>
        <v>0.71706184309449628</v>
      </c>
      <c r="AK102" s="1">
        <f t="shared" ca="1" si="86"/>
        <v>1.7994692878970281E-4</v>
      </c>
      <c r="AL102" s="1"/>
      <c r="AM102" s="1">
        <f t="shared" ca="1" si="87"/>
        <v>0.16989984196769956</v>
      </c>
      <c r="AN102" s="1">
        <f t="shared" ca="1" si="88"/>
        <v>22</v>
      </c>
      <c r="AO102" s="1">
        <f t="shared" ca="1" si="89"/>
        <v>0</v>
      </c>
      <c r="AQ102" s="1">
        <f t="shared" ca="1" si="90"/>
        <v>77</v>
      </c>
      <c r="AR102" s="1">
        <f t="shared" ca="1" si="91"/>
        <v>6</v>
      </c>
      <c r="AS102" s="1">
        <f t="shared" ca="1" si="92"/>
        <v>67</v>
      </c>
      <c r="AU102" s="1">
        <f t="shared" ca="1" si="93"/>
        <v>115</v>
      </c>
      <c r="AV102" s="1">
        <f t="shared" ca="1" si="94"/>
        <v>9</v>
      </c>
      <c r="AW102" s="1">
        <f t="shared" ca="1" si="95"/>
        <v>3.2506211651184003E-2</v>
      </c>
      <c r="AY102" s="1">
        <f t="shared" ca="1" si="96"/>
        <v>1.8955332462808232</v>
      </c>
      <c r="AZ102" s="1">
        <f t="shared" ca="1" si="97"/>
        <v>479</v>
      </c>
      <c r="BA102" s="1">
        <f t="shared" ca="1" si="98"/>
        <v>9.5523594930301374E-3</v>
      </c>
      <c r="BV102" s="1">
        <f t="shared" ca="1" si="99"/>
        <v>0.50070314141211114</v>
      </c>
      <c r="BW102" s="1">
        <f t="shared" ca="1" si="100"/>
        <v>475</v>
      </c>
      <c r="BX102" s="1">
        <f t="shared" ca="1" si="101"/>
        <v>8.3938866241282731E-3</v>
      </c>
      <c r="BY102" s="1">
        <f t="shared" ca="1" si="102"/>
        <v>5.2603579775384129E-2</v>
      </c>
      <c r="BZ102" s="1">
        <f t="shared" ca="1" si="103"/>
        <v>0.90697833481833445</v>
      </c>
      <c r="CB102" s="1">
        <f t="shared" ca="1" si="104"/>
        <v>272</v>
      </c>
      <c r="CC102" s="1">
        <f t="shared" ca="1" si="105"/>
        <v>13</v>
      </c>
      <c r="CD102" s="1">
        <f t="shared" ca="1" si="106"/>
        <v>6.2591988458221795E-2</v>
      </c>
      <c r="CE102" s="1">
        <f t="shared" ca="1" si="119"/>
        <v>0.93944879371401657</v>
      </c>
      <c r="CF102" s="1">
        <f t="shared" ca="1" si="119"/>
        <v>0.5820308925162565</v>
      </c>
      <c r="CH102" s="3">
        <f t="shared" ca="1" si="108"/>
        <v>0.55833155833726389</v>
      </c>
      <c r="CI102" s="3">
        <f t="shared" ca="1" si="109"/>
        <v>0.74587626720141964</v>
      </c>
      <c r="CJ102" s="3">
        <f t="shared" ca="1" si="110"/>
        <v>217</v>
      </c>
      <c r="CK102" s="3">
        <f t="shared" ca="1" si="111"/>
        <v>8.5123779519422141E-3</v>
      </c>
      <c r="CL102" s="3">
        <f t="shared" ca="1" si="112"/>
        <v>1</v>
      </c>
      <c r="CM102" s="3"/>
      <c r="CN102" s="1">
        <f t="shared" ca="1" si="113"/>
        <v>16.830249034365895</v>
      </c>
      <c r="CO102" s="1">
        <f t="shared" ca="1" si="114"/>
        <v>0.40952504773462778</v>
      </c>
      <c r="CP102" s="1">
        <f t="shared" ca="1" si="115"/>
        <v>5</v>
      </c>
      <c r="DH102" s="1">
        <f t="shared" ca="1" si="116"/>
        <v>379</v>
      </c>
      <c r="DI102" s="1">
        <f t="shared" ca="1" si="117"/>
        <v>0.81283147349491169</v>
      </c>
      <c r="DJ102" s="1">
        <f t="shared" ca="1" si="118"/>
        <v>23</v>
      </c>
    </row>
    <row r="103" spans="2:114" x14ac:dyDescent="0.25">
      <c r="B103">
        <f t="shared" ca="1" si="60"/>
        <v>545</v>
      </c>
      <c r="C103">
        <f t="shared" ca="1" si="61"/>
        <v>6</v>
      </c>
      <c r="D103">
        <f t="shared" ca="1" si="62"/>
        <v>0.28568141497304783</v>
      </c>
      <c r="F103" s="1">
        <f t="shared" ca="1" si="63"/>
        <v>52</v>
      </c>
      <c r="G103" s="1">
        <f t="shared" ca="1" si="64"/>
        <v>19</v>
      </c>
      <c r="H103" s="1">
        <f t="shared" ca="1" si="65"/>
        <v>1</v>
      </c>
      <c r="I103" s="1"/>
      <c r="J103" s="1">
        <f t="shared" ca="1" si="66"/>
        <v>22</v>
      </c>
      <c r="K103" s="1">
        <f t="shared" ca="1" si="67"/>
        <v>2.7373240314450147</v>
      </c>
      <c r="L103" s="1">
        <f t="shared" ca="1" si="68"/>
        <v>10</v>
      </c>
      <c r="M103" s="1"/>
      <c r="N103" s="1">
        <f t="shared" ca="1" si="69"/>
        <v>387</v>
      </c>
      <c r="O103" s="1">
        <f t="shared" ca="1" si="70"/>
        <v>20</v>
      </c>
      <c r="P103" s="1"/>
      <c r="Q103" s="1">
        <f t="shared" ca="1" si="71"/>
        <v>3.2364039649289067</v>
      </c>
      <c r="R103" s="1">
        <f t="shared" ca="1" si="72"/>
        <v>888</v>
      </c>
      <c r="S103" s="1"/>
      <c r="T103" s="1">
        <f t="shared" ca="1" si="73"/>
        <v>0.12910131998536095</v>
      </c>
      <c r="U103" s="1">
        <f t="shared" ca="1" si="74"/>
        <v>345</v>
      </c>
      <c r="V103" s="1">
        <f t="shared" ca="1" si="75"/>
        <v>15</v>
      </c>
      <c r="W103" s="1"/>
      <c r="X103" s="1">
        <f t="shared" ca="1" si="76"/>
        <v>3.9183628370550099</v>
      </c>
      <c r="Y103" s="1">
        <f t="shared" ca="1" si="77"/>
        <v>0.64875801326175042</v>
      </c>
      <c r="Z103" s="1">
        <f t="shared" ca="1" si="78"/>
        <v>1029</v>
      </c>
      <c r="AB103" s="1">
        <f t="shared" ca="1" si="79"/>
        <v>0.65902923194607888</v>
      </c>
      <c r="AC103" s="1">
        <f t="shared" ca="1" si="80"/>
        <v>699</v>
      </c>
      <c r="AD103" s="1">
        <f t="shared" ca="1" si="81"/>
        <v>2.8293985655335993E-4</v>
      </c>
      <c r="AE103" s="1"/>
      <c r="AF103" s="1">
        <f t="shared" ca="1" si="82"/>
        <v>0.48576929401072932</v>
      </c>
      <c r="AG103" s="1">
        <f t="shared" ca="1" si="83"/>
        <v>619</v>
      </c>
      <c r="AH103" s="1">
        <f t="shared" ca="1" si="84"/>
        <v>5.0838703434891736E-3</v>
      </c>
      <c r="AJ103" s="1">
        <f t="shared" ca="1" si="85"/>
        <v>0.57031144218926122</v>
      </c>
      <c r="AK103" s="1">
        <f t="shared" ca="1" si="86"/>
        <v>8.5161928801701057E-5</v>
      </c>
      <c r="AL103" s="1"/>
      <c r="AM103" s="1">
        <f t="shared" ca="1" si="87"/>
        <v>0.10178553803177114</v>
      </c>
      <c r="AN103" s="1">
        <f t="shared" ca="1" si="88"/>
        <v>46</v>
      </c>
      <c r="AO103" s="1">
        <f t="shared" ca="1" si="89"/>
        <v>0</v>
      </c>
      <c r="AQ103" s="1">
        <f t="shared" ca="1" si="90"/>
        <v>98</v>
      </c>
      <c r="AR103" s="1">
        <f t="shared" ca="1" si="91"/>
        <v>5</v>
      </c>
      <c r="AS103" s="1">
        <f t="shared" ca="1" si="92"/>
        <v>21</v>
      </c>
      <c r="AU103" s="1">
        <f t="shared" ca="1" si="93"/>
        <v>312</v>
      </c>
      <c r="AV103" s="1">
        <f t="shared" ca="1" si="94"/>
        <v>2</v>
      </c>
      <c r="AW103" s="1">
        <f t="shared" ca="1" si="95"/>
        <v>0.11557030463200278</v>
      </c>
      <c r="AY103" s="1">
        <f t="shared" ca="1" si="96"/>
        <v>1.225240474155765</v>
      </c>
      <c r="AZ103" s="1">
        <f t="shared" ca="1" si="97"/>
        <v>154</v>
      </c>
      <c r="BA103" s="1">
        <f t="shared" ca="1" si="98"/>
        <v>9.254839523319942E-3</v>
      </c>
      <c r="BV103" s="1">
        <f t="shared" ca="1" si="99"/>
        <v>0.77632619627263511</v>
      </c>
      <c r="BW103" s="1">
        <f t="shared" ca="1" si="100"/>
        <v>548</v>
      </c>
      <c r="BX103" s="1">
        <f t="shared" ca="1" si="101"/>
        <v>6.4894577676498331E-3</v>
      </c>
      <c r="BY103" s="1">
        <f t="shared" ca="1" si="102"/>
        <v>3.9912244041420901E-2</v>
      </c>
      <c r="BZ103" s="1">
        <f t="shared" ca="1" si="103"/>
        <v>6.1641083512268824E-2</v>
      </c>
      <c r="CB103" s="1">
        <f t="shared" ca="1" si="104"/>
        <v>480</v>
      </c>
      <c r="CC103" s="1">
        <f t="shared" ca="1" si="105"/>
        <v>3</v>
      </c>
      <c r="CD103" s="1">
        <f t="shared" ca="1" si="106"/>
        <v>0.1363102354705395</v>
      </c>
      <c r="CE103" s="1">
        <f t="shared" ca="1" si="119"/>
        <v>0.89690721450318178</v>
      </c>
      <c r="CF103" s="1">
        <f t="shared" ca="1" si="119"/>
        <v>0.97458800037379767</v>
      </c>
      <c r="CH103" s="3">
        <f t="shared" ca="1" si="108"/>
        <v>0.85366685416309529</v>
      </c>
      <c r="CI103" s="3">
        <f t="shared" ca="1" si="109"/>
        <v>2.6449244983439604E-2</v>
      </c>
      <c r="CJ103" s="3">
        <f t="shared" ca="1" si="110"/>
        <v>332</v>
      </c>
      <c r="CK103" s="3">
        <f t="shared" ca="1" si="111"/>
        <v>5.3913046925777343E-3</v>
      </c>
      <c r="CL103" s="3">
        <f t="shared" ca="1" si="112"/>
        <v>1</v>
      </c>
      <c r="CM103" s="3"/>
      <c r="CN103" s="1">
        <f t="shared" ca="1" si="113"/>
        <v>15.834301366719753</v>
      </c>
      <c r="CO103" s="1">
        <f t="shared" ca="1" si="114"/>
        <v>0.17933268183625609</v>
      </c>
      <c r="CP103" s="1">
        <f t="shared" ca="1" si="115"/>
        <v>4</v>
      </c>
      <c r="DH103" s="1">
        <f t="shared" ca="1" si="116"/>
        <v>655</v>
      </c>
      <c r="DI103" s="1">
        <f t="shared" ca="1" si="117"/>
        <v>0.78305573051655886</v>
      </c>
      <c r="DJ103" s="1">
        <f t="shared" ca="1" si="118"/>
        <v>13</v>
      </c>
    </row>
    <row r="104" spans="2:114" x14ac:dyDescent="0.25">
      <c r="B104">
        <f t="shared" ca="1" si="60"/>
        <v>117</v>
      </c>
      <c r="C104">
        <f t="shared" ca="1" si="61"/>
        <v>6</v>
      </c>
      <c r="D104">
        <f t="shared" ca="1" si="62"/>
        <v>0.20023765462704454</v>
      </c>
      <c r="F104" s="1">
        <f t="shared" ca="1" si="63"/>
        <v>34</v>
      </c>
      <c r="G104" s="1">
        <f t="shared" ca="1" si="64"/>
        <v>29</v>
      </c>
      <c r="H104" s="1">
        <f t="shared" ca="1" si="65"/>
        <v>4</v>
      </c>
      <c r="I104" s="1"/>
      <c r="J104" s="1">
        <f t="shared" ca="1" si="66"/>
        <v>10</v>
      </c>
      <c r="K104" s="1">
        <f t="shared" ca="1" si="67"/>
        <v>2.8515067594620649</v>
      </c>
      <c r="L104" s="1">
        <f t="shared" ca="1" si="68"/>
        <v>13</v>
      </c>
      <c r="M104" s="1"/>
      <c r="N104" s="1">
        <f t="shared" ca="1" si="69"/>
        <v>99</v>
      </c>
      <c r="O104" s="1">
        <f t="shared" ca="1" si="70"/>
        <v>21</v>
      </c>
      <c r="P104" s="1"/>
      <c r="Q104" s="1">
        <f t="shared" ca="1" si="71"/>
        <v>5.6722266836625679E-2</v>
      </c>
      <c r="R104" s="1">
        <f t="shared" ca="1" si="72"/>
        <v>1134</v>
      </c>
      <c r="S104" s="1"/>
      <c r="T104" s="1">
        <f t="shared" ca="1" si="73"/>
        <v>0.11754867048359897</v>
      </c>
      <c r="U104" s="1">
        <f t="shared" ca="1" si="74"/>
        <v>324</v>
      </c>
      <c r="V104" s="1">
        <f t="shared" ca="1" si="75"/>
        <v>39</v>
      </c>
      <c r="W104" s="1"/>
      <c r="X104" s="1">
        <f t="shared" ca="1" si="76"/>
        <v>2.9360888908982674</v>
      </c>
      <c r="Y104" s="1">
        <f t="shared" ca="1" si="77"/>
        <v>0.39090219496519463</v>
      </c>
      <c r="Z104" s="1">
        <f t="shared" ca="1" si="78"/>
        <v>177</v>
      </c>
      <c r="AB104" s="1">
        <f t="shared" ca="1" si="79"/>
        <v>0.12673359656778757</v>
      </c>
      <c r="AC104" s="1">
        <f t="shared" ca="1" si="80"/>
        <v>716</v>
      </c>
      <c r="AD104" s="1">
        <f t="shared" ca="1" si="81"/>
        <v>5.0773285074940475E-3</v>
      </c>
      <c r="AE104" s="1"/>
      <c r="AF104" s="1">
        <f t="shared" ca="1" si="82"/>
        <v>0.3758441791751439</v>
      </c>
      <c r="AG104" s="1">
        <f t="shared" ca="1" si="83"/>
        <v>729</v>
      </c>
      <c r="AH104" s="1">
        <f t="shared" ca="1" si="84"/>
        <v>4.5798831009453392E-4</v>
      </c>
      <c r="AJ104" s="1">
        <f t="shared" ca="1" si="85"/>
        <v>0.16131977472299808</v>
      </c>
      <c r="AK104" s="1">
        <f t="shared" ca="1" si="86"/>
        <v>4.9471280683744817E-3</v>
      </c>
      <c r="AL104" s="1"/>
      <c r="AM104" s="1">
        <f t="shared" ca="1" si="87"/>
        <v>7.7814865081426085E-3</v>
      </c>
      <c r="AN104" s="1">
        <f t="shared" ca="1" si="88"/>
        <v>40</v>
      </c>
      <c r="AO104" s="1">
        <f t="shared" ca="1" si="89"/>
        <v>17</v>
      </c>
      <c r="AQ104" s="1">
        <f t="shared" ca="1" si="90"/>
        <v>200</v>
      </c>
      <c r="AR104" s="1">
        <f t="shared" ca="1" si="91"/>
        <v>7</v>
      </c>
      <c r="AS104" s="1">
        <f t="shared" ca="1" si="92"/>
        <v>17</v>
      </c>
      <c r="AU104" s="1">
        <f t="shared" ca="1" si="93"/>
        <v>88</v>
      </c>
      <c r="AV104" s="1">
        <f t="shared" ca="1" si="94"/>
        <v>2</v>
      </c>
      <c r="AW104" s="1">
        <f t="shared" ca="1" si="95"/>
        <v>8.5739419927109067E-2</v>
      </c>
      <c r="AY104" s="1">
        <f t="shared" ca="1" si="96"/>
        <v>1.7577340878844896</v>
      </c>
      <c r="AZ104" s="1">
        <f t="shared" ca="1" si="97"/>
        <v>496</v>
      </c>
      <c r="BA104" s="1">
        <f t="shared" ca="1" si="98"/>
        <v>8.5147101130220899E-3</v>
      </c>
      <c r="BV104" s="1">
        <f t="shared" ca="1" si="99"/>
        <v>0.44483251015433362</v>
      </c>
      <c r="BW104" s="1">
        <f t="shared" ca="1" si="100"/>
        <v>257</v>
      </c>
      <c r="BX104" s="1">
        <f t="shared" ca="1" si="101"/>
        <v>8.4574431336331846E-3</v>
      </c>
      <c r="BY104" s="1">
        <f t="shared" ca="1" si="102"/>
        <v>8.2221240356239747E-2</v>
      </c>
      <c r="BZ104" s="1">
        <f t="shared" ca="1" si="103"/>
        <v>0.68294770516573911</v>
      </c>
      <c r="CB104" s="1">
        <f t="shared" ca="1" si="104"/>
        <v>307</v>
      </c>
      <c r="CC104" s="1">
        <f t="shared" ca="1" si="105"/>
        <v>7</v>
      </c>
      <c r="CD104" s="1">
        <f t="shared" ca="1" si="106"/>
        <v>0.21823669743826912</v>
      </c>
      <c r="CE104" s="1">
        <f t="shared" ca="1" si="119"/>
        <v>0.78665028403533654</v>
      </c>
      <c r="CF104" s="1">
        <f t="shared" ca="1" si="119"/>
        <v>0.83002060490284735</v>
      </c>
      <c r="CH104" s="3">
        <f t="shared" ca="1" si="108"/>
        <v>0.93599908852871294</v>
      </c>
      <c r="CI104" s="3">
        <f t="shared" ca="1" si="109"/>
        <v>0.32881718856547965</v>
      </c>
      <c r="CJ104" s="3">
        <f t="shared" ca="1" si="110"/>
        <v>1945</v>
      </c>
      <c r="CK104" s="3">
        <f t="shared" ca="1" si="111"/>
        <v>5.5433299158251807E-4</v>
      </c>
      <c r="CL104" s="3">
        <f t="shared" ca="1" si="112"/>
        <v>1</v>
      </c>
      <c r="CM104" s="3"/>
      <c r="CN104" s="1">
        <f t="shared" ca="1" si="113"/>
        <v>13.276769879990438</v>
      </c>
      <c r="CO104" s="1">
        <f t="shared" ca="1" si="114"/>
        <v>0.1565317262042642</v>
      </c>
      <c r="CP104" s="1">
        <f t="shared" ca="1" si="115"/>
        <v>4</v>
      </c>
      <c r="DH104" s="1">
        <f t="shared" ca="1" si="116"/>
        <v>358</v>
      </c>
      <c r="DI104" s="1">
        <f t="shared" ca="1" si="117"/>
        <v>0.8687207856752639</v>
      </c>
      <c r="DJ104" s="1">
        <f t="shared" ca="1" si="118"/>
        <v>27</v>
      </c>
    </row>
    <row r="105" spans="2:114" x14ac:dyDescent="0.25">
      <c r="B105">
        <f t="shared" ca="1" si="60"/>
        <v>976</v>
      </c>
      <c r="C105">
        <f t="shared" ca="1" si="61"/>
        <v>35</v>
      </c>
      <c r="D105">
        <f t="shared" ca="1" si="62"/>
        <v>0.25515353726453782</v>
      </c>
      <c r="F105" s="1">
        <f t="shared" ca="1" si="63"/>
        <v>18</v>
      </c>
      <c r="G105" s="1">
        <f t="shared" ca="1" si="64"/>
        <v>22</v>
      </c>
      <c r="H105" s="1">
        <f t="shared" ca="1" si="65"/>
        <v>14</v>
      </c>
      <c r="I105" s="1"/>
      <c r="J105" s="1">
        <f t="shared" ca="1" si="66"/>
        <v>9</v>
      </c>
      <c r="K105" s="1">
        <f t="shared" ca="1" si="67"/>
        <v>2.2766356716466811</v>
      </c>
      <c r="L105" s="1">
        <f t="shared" ca="1" si="68"/>
        <v>4</v>
      </c>
      <c r="M105" s="1"/>
      <c r="N105" s="1">
        <f t="shared" ca="1" si="69"/>
        <v>843</v>
      </c>
      <c r="O105" s="1">
        <f t="shared" ca="1" si="70"/>
        <v>22</v>
      </c>
      <c r="P105" s="1"/>
      <c r="Q105" s="1">
        <f t="shared" ca="1" si="71"/>
        <v>3.0474884625402177</v>
      </c>
      <c r="R105" s="1">
        <f t="shared" ca="1" si="72"/>
        <v>909</v>
      </c>
      <c r="S105" s="1"/>
      <c r="T105" s="1">
        <f t="shared" ca="1" si="73"/>
        <v>1.6927937359438778E-2</v>
      </c>
      <c r="U105" s="1">
        <f t="shared" ca="1" si="74"/>
        <v>157</v>
      </c>
      <c r="V105" s="1">
        <f t="shared" ca="1" si="75"/>
        <v>3</v>
      </c>
      <c r="W105" s="1"/>
      <c r="X105" s="1">
        <f t="shared" ca="1" si="76"/>
        <v>5.4980726938432154</v>
      </c>
      <c r="Y105" s="1">
        <f t="shared" ca="1" si="77"/>
        <v>0.66428735252450222</v>
      </c>
      <c r="Z105" s="1">
        <f t="shared" ca="1" si="78"/>
        <v>369</v>
      </c>
      <c r="AB105" s="1">
        <f t="shared" ca="1" si="79"/>
        <v>0.14309464952388024</v>
      </c>
      <c r="AC105" s="1">
        <f t="shared" ca="1" si="80"/>
        <v>777</v>
      </c>
      <c r="AD105" s="1">
        <f t="shared" ca="1" si="81"/>
        <v>5.8469309654562212E-3</v>
      </c>
      <c r="AE105" s="1"/>
      <c r="AF105" s="1">
        <f t="shared" ca="1" si="82"/>
        <v>0.71450365132747551</v>
      </c>
      <c r="AG105" s="1">
        <f t="shared" ca="1" si="83"/>
        <v>503</v>
      </c>
      <c r="AH105" s="1">
        <f t="shared" ca="1" si="84"/>
        <v>1.6672335403658956E-3</v>
      </c>
      <c r="AJ105" s="1">
        <f t="shared" ca="1" si="85"/>
        <v>0.24504072240383923</v>
      </c>
      <c r="AK105" s="1">
        <f t="shared" ca="1" si="86"/>
        <v>6.2302920318879742E-3</v>
      </c>
      <c r="AL105" s="1"/>
      <c r="AM105" s="1">
        <f t="shared" ca="1" si="87"/>
        <v>7.0132803414271069E-2</v>
      </c>
      <c r="AN105" s="1">
        <f t="shared" ca="1" si="88"/>
        <v>44</v>
      </c>
      <c r="AO105" s="1">
        <f t="shared" ca="1" si="89"/>
        <v>13</v>
      </c>
      <c r="AQ105" s="1">
        <f t="shared" ca="1" si="90"/>
        <v>20</v>
      </c>
      <c r="AR105" s="1">
        <f t="shared" ca="1" si="91"/>
        <v>8</v>
      </c>
      <c r="AS105" s="1">
        <f t="shared" ca="1" si="92"/>
        <v>28</v>
      </c>
      <c r="AU105" s="1">
        <f t="shared" ca="1" si="93"/>
        <v>243</v>
      </c>
      <c r="AV105" s="1">
        <f t="shared" ca="1" si="94"/>
        <v>8</v>
      </c>
      <c r="AW105" s="1">
        <f t="shared" ca="1" si="95"/>
        <v>0.1298004230293742</v>
      </c>
      <c r="AY105" s="1">
        <f t="shared" ca="1" si="96"/>
        <v>1.7903478021891641</v>
      </c>
      <c r="AZ105" s="1">
        <f t="shared" ca="1" si="97"/>
        <v>140</v>
      </c>
      <c r="BA105" s="1">
        <f t="shared" ca="1" si="98"/>
        <v>6.7367294384272211E-3</v>
      </c>
      <c r="BV105" s="1">
        <f t="shared" ca="1" si="99"/>
        <v>0.95368940175788353</v>
      </c>
      <c r="BW105" s="1">
        <f t="shared" ca="1" si="100"/>
        <v>741</v>
      </c>
      <c r="BX105" s="1">
        <f t="shared" ca="1" si="101"/>
        <v>1.1088035650970607E-3</v>
      </c>
      <c r="BY105" s="1">
        <f t="shared" ca="1" si="102"/>
        <v>8.3488393000252875E-2</v>
      </c>
      <c r="BZ105" s="1">
        <f t="shared" ca="1" si="103"/>
        <v>0.35219639426947214</v>
      </c>
      <c r="CB105" s="1">
        <f t="shared" ca="1" si="104"/>
        <v>75</v>
      </c>
      <c r="CC105" s="1">
        <f t="shared" ca="1" si="105"/>
        <v>8</v>
      </c>
      <c r="CD105" s="1">
        <f t="shared" ca="1" si="106"/>
        <v>1.4954924202104466E-2</v>
      </c>
      <c r="CE105" s="1">
        <f t="shared" ca="1" si="119"/>
        <v>0.51383810176834133</v>
      </c>
      <c r="CF105" s="1">
        <f t="shared" ca="1" si="119"/>
        <v>0.78329082859742893</v>
      </c>
      <c r="CH105" s="3">
        <f t="shared" ca="1" si="108"/>
        <v>0.39425038137792434</v>
      </c>
      <c r="CI105" s="3">
        <f t="shared" ca="1" si="109"/>
        <v>0.11222611554697942</v>
      </c>
      <c r="CJ105" s="3">
        <f t="shared" ca="1" si="110"/>
        <v>1018</v>
      </c>
      <c r="CK105" s="3">
        <f t="shared" ca="1" si="111"/>
        <v>7.9482891312982022E-3</v>
      </c>
      <c r="CL105" s="3">
        <f t="shared" ca="1" si="112"/>
        <v>0</v>
      </c>
      <c r="CM105" s="3"/>
      <c r="CN105" s="1">
        <f t="shared" ca="1" si="113"/>
        <v>11.099689985479761</v>
      </c>
      <c r="CO105" s="1">
        <f t="shared" ca="1" si="114"/>
        <v>0.48119660561619204</v>
      </c>
      <c r="CP105" s="1">
        <f t="shared" ca="1" si="115"/>
        <v>5</v>
      </c>
      <c r="DH105" s="1">
        <f t="shared" ca="1" si="116"/>
        <v>371</v>
      </c>
      <c r="DI105" s="1">
        <f t="shared" ca="1" si="117"/>
        <v>6.4555139052637781E-2</v>
      </c>
      <c r="DJ105" s="1">
        <f t="shared" ca="1" si="118"/>
        <v>14</v>
      </c>
    </row>
    <row r="106" spans="2:114" x14ac:dyDescent="0.25">
      <c r="B106">
        <f t="shared" ca="1" si="60"/>
        <v>325</v>
      </c>
      <c r="C106">
        <f t="shared" ca="1" si="61"/>
        <v>44</v>
      </c>
      <c r="D106">
        <f t="shared" ca="1" si="62"/>
        <v>6.5502341396689867E-2</v>
      </c>
      <c r="F106" s="1">
        <f t="shared" ca="1" si="63"/>
        <v>29</v>
      </c>
      <c r="G106" s="1">
        <f t="shared" ca="1" si="64"/>
        <v>7</v>
      </c>
      <c r="H106" s="1">
        <f t="shared" ca="1" si="65"/>
        <v>9</v>
      </c>
      <c r="I106" s="1"/>
      <c r="J106" s="1">
        <f t="shared" ca="1" si="66"/>
        <v>37</v>
      </c>
      <c r="K106" s="1">
        <f t="shared" ca="1" si="67"/>
        <v>2.4253446719246581</v>
      </c>
      <c r="L106" s="1">
        <f t="shared" ca="1" si="68"/>
        <v>7</v>
      </c>
      <c r="M106" s="1"/>
      <c r="N106" s="1">
        <f t="shared" ca="1" si="69"/>
        <v>688</v>
      </c>
      <c r="O106" s="1">
        <f t="shared" ca="1" si="70"/>
        <v>17</v>
      </c>
      <c r="P106" s="1"/>
      <c r="Q106" s="1">
        <f t="shared" ca="1" si="71"/>
        <v>3.9717175818032144</v>
      </c>
      <c r="R106" s="1">
        <f t="shared" ca="1" si="72"/>
        <v>428</v>
      </c>
      <c r="S106" s="1"/>
      <c r="T106" s="1">
        <f t="shared" ca="1" si="73"/>
        <v>0.15465503682786497</v>
      </c>
      <c r="U106" s="1">
        <f t="shared" ca="1" si="74"/>
        <v>125</v>
      </c>
      <c r="V106" s="1">
        <f t="shared" ca="1" si="75"/>
        <v>43</v>
      </c>
      <c r="W106" s="1"/>
      <c r="X106" s="1">
        <f t="shared" ca="1" si="76"/>
        <v>8.576989562689862</v>
      </c>
      <c r="Y106" s="1">
        <f t="shared" ca="1" si="77"/>
        <v>2.1354962702731734E-3</v>
      </c>
      <c r="Z106" s="1">
        <f t="shared" ca="1" si="78"/>
        <v>196</v>
      </c>
      <c r="AB106" s="1">
        <f t="shared" ca="1" si="79"/>
        <v>0.30194507480325317</v>
      </c>
      <c r="AC106" s="1">
        <f t="shared" ca="1" si="80"/>
        <v>413</v>
      </c>
      <c r="AD106" s="1">
        <f t="shared" ca="1" si="81"/>
        <v>6.1013845577523405E-3</v>
      </c>
      <c r="AE106" s="1"/>
      <c r="AF106" s="1">
        <f t="shared" ca="1" si="82"/>
        <v>0.15423518777232978</v>
      </c>
      <c r="AG106" s="1">
        <f t="shared" ca="1" si="83"/>
        <v>308</v>
      </c>
      <c r="AH106" s="1">
        <f t="shared" ca="1" si="84"/>
        <v>4.4046202770163653E-3</v>
      </c>
      <c r="AJ106" s="1">
        <f t="shared" ca="1" si="85"/>
        <v>0.18278418980258138</v>
      </c>
      <c r="AK106" s="1">
        <f t="shared" ca="1" si="86"/>
        <v>1.0116352565488059E-3</v>
      </c>
      <c r="AL106" s="1"/>
      <c r="AM106" s="1">
        <f t="shared" ca="1" si="87"/>
        <v>0.15444818892644432</v>
      </c>
      <c r="AN106" s="1">
        <f t="shared" ca="1" si="88"/>
        <v>50</v>
      </c>
      <c r="AO106" s="1">
        <f t="shared" ca="1" si="89"/>
        <v>6</v>
      </c>
      <c r="AQ106" s="1">
        <f t="shared" ca="1" si="90"/>
        <v>84</v>
      </c>
      <c r="AR106" s="1">
        <f t="shared" ca="1" si="91"/>
        <v>9</v>
      </c>
      <c r="AS106" s="1">
        <f t="shared" ca="1" si="92"/>
        <v>41</v>
      </c>
      <c r="AU106" s="1">
        <f t="shared" ca="1" si="93"/>
        <v>176</v>
      </c>
      <c r="AV106" s="1">
        <f t="shared" ca="1" si="94"/>
        <v>2</v>
      </c>
      <c r="AW106" s="1">
        <f t="shared" ca="1" si="95"/>
        <v>7.9832484487601788E-2</v>
      </c>
      <c r="AY106" s="1">
        <f t="shared" ca="1" si="96"/>
        <v>1.1266680070967965</v>
      </c>
      <c r="AZ106" s="1">
        <f t="shared" ca="1" si="97"/>
        <v>318</v>
      </c>
      <c r="BA106" s="1">
        <f t="shared" ca="1" si="98"/>
        <v>9.6786604361796672E-4</v>
      </c>
      <c r="BV106" s="1">
        <f t="shared" ca="1" si="99"/>
        <v>4.0378048618142495E-2</v>
      </c>
      <c r="BW106" s="1">
        <f t="shared" ca="1" si="100"/>
        <v>611</v>
      </c>
      <c r="BX106" s="1">
        <f t="shared" ca="1" si="101"/>
        <v>3.8719107299685016E-3</v>
      </c>
      <c r="BY106" s="1">
        <f t="shared" ca="1" si="102"/>
        <v>8.7616369338563649E-2</v>
      </c>
      <c r="BZ106" s="1">
        <f t="shared" ca="1" si="103"/>
        <v>0.41912850608346008</v>
      </c>
      <c r="CB106" s="1">
        <f t="shared" ca="1" si="104"/>
        <v>499</v>
      </c>
      <c r="CC106" s="1">
        <f t="shared" ca="1" si="105"/>
        <v>7</v>
      </c>
      <c r="CD106" s="1">
        <f t="shared" ca="1" si="106"/>
        <v>0.27491158519887476</v>
      </c>
      <c r="CE106" s="1">
        <f t="shared" ca="1" si="119"/>
        <v>0.98468507476348988</v>
      </c>
      <c r="CF106" s="1">
        <f t="shared" ca="1" si="119"/>
        <v>0.71554002873512323</v>
      </c>
      <c r="CH106" s="3">
        <f t="shared" ca="1" si="108"/>
        <v>0.1016240021041787</v>
      </c>
      <c r="CI106" s="3">
        <f t="shared" ca="1" si="109"/>
        <v>0.19471204835814943</v>
      </c>
      <c r="CJ106" s="3">
        <f t="shared" ca="1" si="110"/>
        <v>1781</v>
      </c>
      <c r="CK106" s="3">
        <f t="shared" ca="1" si="111"/>
        <v>2.9031892707133858E-3</v>
      </c>
      <c r="CL106" s="3">
        <f t="shared" ca="1" si="112"/>
        <v>1</v>
      </c>
      <c r="CM106" s="3"/>
      <c r="CN106" s="1">
        <f t="shared" ca="1" si="113"/>
        <v>9.1476551445475085</v>
      </c>
      <c r="CO106" s="1">
        <f t="shared" ca="1" si="114"/>
        <v>0.42110179863906011</v>
      </c>
      <c r="CP106" s="1">
        <f t="shared" ca="1" si="115"/>
        <v>1</v>
      </c>
      <c r="DH106" s="1">
        <f t="shared" ca="1" si="116"/>
        <v>448</v>
      </c>
      <c r="DI106" s="1">
        <f t="shared" ca="1" si="117"/>
        <v>0.17243382056571577</v>
      </c>
      <c r="DJ106" s="1">
        <f t="shared" ca="1" si="118"/>
        <v>18</v>
      </c>
    </row>
    <row r="107" spans="2:114" x14ac:dyDescent="0.25">
      <c r="B107">
        <f t="shared" ca="1" si="60"/>
        <v>594</v>
      </c>
      <c r="C107">
        <f t="shared" ca="1" si="61"/>
        <v>51</v>
      </c>
      <c r="D107">
        <f t="shared" ca="1" si="62"/>
        <v>0.2730304217249252</v>
      </c>
      <c r="F107" s="1">
        <f t="shared" ca="1" si="63"/>
        <v>17</v>
      </c>
      <c r="G107" s="1">
        <f t="shared" ca="1" si="64"/>
        <v>3</v>
      </c>
      <c r="H107" s="1">
        <f t="shared" ca="1" si="65"/>
        <v>15</v>
      </c>
      <c r="I107" s="1"/>
      <c r="J107" s="1">
        <f t="shared" ca="1" si="66"/>
        <v>24</v>
      </c>
      <c r="K107" s="1">
        <f t="shared" ca="1" si="67"/>
        <v>1.5374340087903553</v>
      </c>
      <c r="L107" s="1">
        <f t="shared" ca="1" si="68"/>
        <v>13</v>
      </c>
      <c r="M107" s="1"/>
      <c r="N107" s="1">
        <f t="shared" ca="1" si="69"/>
        <v>715</v>
      </c>
      <c r="O107" s="1">
        <f t="shared" ca="1" si="70"/>
        <v>21</v>
      </c>
      <c r="P107" s="1"/>
      <c r="Q107" s="1">
        <f t="shared" ca="1" si="71"/>
        <v>1.6675690864330597</v>
      </c>
      <c r="R107" s="1">
        <f t="shared" ca="1" si="72"/>
        <v>409</v>
      </c>
      <c r="S107" s="1"/>
      <c r="T107" s="1">
        <f t="shared" ca="1" si="73"/>
        <v>0.17257935601020055</v>
      </c>
      <c r="U107" s="1">
        <f t="shared" ca="1" si="74"/>
        <v>154</v>
      </c>
      <c r="V107" s="1">
        <f t="shared" ca="1" si="75"/>
        <v>23</v>
      </c>
      <c r="W107" s="1"/>
      <c r="X107" s="1">
        <f t="shared" ca="1" si="76"/>
        <v>7.43775718580555</v>
      </c>
      <c r="Y107" s="1">
        <f t="shared" ca="1" si="77"/>
        <v>0.34944967076758904</v>
      </c>
      <c r="Z107" s="1">
        <f t="shared" ca="1" si="78"/>
        <v>1421</v>
      </c>
      <c r="AB107" s="1">
        <f t="shared" ca="1" si="79"/>
        <v>0.5289817311821372</v>
      </c>
      <c r="AC107" s="1">
        <f t="shared" ca="1" si="80"/>
        <v>893</v>
      </c>
      <c r="AD107" s="1">
        <f t="shared" ca="1" si="81"/>
        <v>5.8139032666744191E-3</v>
      </c>
      <c r="AE107" s="1"/>
      <c r="AF107" s="1">
        <f t="shared" ca="1" si="82"/>
        <v>0.1291969554017241</v>
      </c>
      <c r="AG107" s="1">
        <f t="shared" ca="1" si="83"/>
        <v>322</v>
      </c>
      <c r="AH107" s="1">
        <f t="shared" ca="1" si="84"/>
        <v>2.7834920698155234E-4</v>
      </c>
      <c r="AJ107" s="1">
        <f t="shared" ca="1" si="85"/>
        <v>0.94129886849042677</v>
      </c>
      <c r="AK107" s="1">
        <f t="shared" ca="1" si="86"/>
        <v>4.7988633901386397E-3</v>
      </c>
      <c r="AL107" s="1"/>
      <c r="AM107" s="1">
        <f t="shared" ca="1" si="87"/>
        <v>7.0238652059781179E-2</v>
      </c>
      <c r="AN107" s="1">
        <f t="shared" ca="1" si="88"/>
        <v>73</v>
      </c>
      <c r="AO107" s="1">
        <f t="shared" ca="1" si="89"/>
        <v>8</v>
      </c>
      <c r="AQ107" s="1">
        <f t="shared" ca="1" si="90"/>
        <v>181</v>
      </c>
      <c r="AR107" s="1">
        <f t="shared" ca="1" si="91"/>
        <v>8</v>
      </c>
      <c r="AS107" s="1">
        <f t="shared" ca="1" si="92"/>
        <v>6</v>
      </c>
      <c r="AU107" s="1">
        <f t="shared" ca="1" si="93"/>
        <v>174</v>
      </c>
      <c r="AV107" s="1">
        <f t="shared" ca="1" si="94"/>
        <v>6</v>
      </c>
      <c r="AW107" s="1">
        <f t="shared" ca="1" si="95"/>
        <v>0.1208148746955123</v>
      </c>
      <c r="AY107" s="1">
        <f t="shared" ca="1" si="96"/>
        <v>1.5546629787007786</v>
      </c>
      <c r="AZ107" s="1">
        <f t="shared" ca="1" si="97"/>
        <v>377</v>
      </c>
      <c r="BA107" s="1">
        <f t="shared" ca="1" si="98"/>
        <v>7.8920979191878429E-3</v>
      </c>
      <c r="BV107" s="1">
        <f t="shared" ca="1" si="99"/>
        <v>0.41150823520230001</v>
      </c>
      <c r="BW107" s="1">
        <f t="shared" ca="1" si="100"/>
        <v>809</v>
      </c>
      <c r="BX107" s="1">
        <f t="shared" ca="1" si="101"/>
        <v>1.5841597517669355E-3</v>
      </c>
      <c r="BY107" s="1">
        <f t="shared" ca="1" si="102"/>
        <v>5.9846051565589124E-4</v>
      </c>
      <c r="BZ107" s="1">
        <f t="shared" ca="1" si="103"/>
        <v>0.15112775653033872</v>
      </c>
      <c r="CB107" s="1">
        <f t="shared" ca="1" si="104"/>
        <v>474</v>
      </c>
      <c r="CC107" s="1">
        <f t="shared" ca="1" si="105"/>
        <v>4</v>
      </c>
      <c r="CD107" s="1">
        <f t="shared" ca="1" si="106"/>
        <v>5.8509567412288147E-2</v>
      </c>
      <c r="CE107" s="1">
        <f t="shared" ca="1" si="119"/>
        <v>0.53268587984436644</v>
      </c>
      <c r="CF107" s="1">
        <f t="shared" ca="1" si="119"/>
        <v>0.55291085048133803</v>
      </c>
      <c r="CH107" s="3">
        <f t="shared" ca="1" si="108"/>
        <v>0.38327119885375155</v>
      </c>
      <c r="CI107" s="3">
        <f t="shared" ca="1" si="109"/>
        <v>0.52524501009529878</v>
      </c>
      <c r="CJ107" s="3">
        <f t="shared" ca="1" si="110"/>
        <v>1359</v>
      </c>
      <c r="CK107" s="3">
        <f t="shared" ca="1" si="111"/>
        <v>2.56079552316649E-4</v>
      </c>
      <c r="CL107" s="3">
        <f t="shared" ca="1" si="112"/>
        <v>0</v>
      </c>
      <c r="CM107" s="3"/>
      <c r="CN107" s="1">
        <f t="shared" ca="1" si="113"/>
        <v>5.8163480502285356</v>
      </c>
      <c r="CO107" s="1">
        <f t="shared" ca="1" si="114"/>
        <v>0.25747702105948272</v>
      </c>
      <c r="CP107" s="1">
        <f t="shared" ca="1" si="115"/>
        <v>4</v>
      </c>
      <c r="DH107" s="1">
        <f t="shared" ca="1" si="116"/>
        <v>253</v>
      </c>
      <c r="DI107" s="1">
        <f t="shared" ca="1" si="117"/>
        <v>0.21605623707596358</v>
      </c>
      <c r="DJ107" s="1">
        <f t="shared" ca="1" si="118"/>
        <v>17</v>
      </c>
    </row>
    <row r="108" spans="2:114" x14ac:dyDescent="0.25">
      <c r="B108">
        <f t="shared" ca="1" si="60"/>
        <v>521</v>
      </c>
      <c r="C108">
        <f t="shared" ca="1" si="61"/>
        <v>9</v>
      </c>
      <c r="D108">
        <f t="shared" ca="1" si="62"/>
        <v>0.14365863946461482</v>
      </c>
      <c r="F108" s="1">
        <f t="shared" ca="1" si="63"/>
        <v>20</v>
      </c>
      <c r="G108" s="1">
        <f t="shared" ca="1" si="64"/>
        <v>9</v>
      </c>
      <c r="H108" s="1">
        <f t="shared" ca="1" si="65"/>
        <v>11</v>
      </c>
      <c r="I108" s="1"/>
      <c r="J108" s="1">
        <f t="shared" ca="1" si="66"/>
        <v>22</v>
      </c>
      <c r="K108" s="1">
        <f t="shared" ca="1" si="67"/>
        <v>1.1176829078369304</v>
      </c>
      <c r="L108" s="1">
        <f t="shared" ca="1" si="68"/>
        <v>12</v>
      </c>
      <c r="M108" s="1"/>
      <c r="N108" s="1">
        <f t="shared" ca="1" si="69"/>
        <v>273</v>
      </c>
      <c r="O108" s="1">
        <f t="shared" ca="1" si="70"/>
        <v>7</v>
      </c>
      <c r="P108" s="1"/>
      <c r="Q108" s="1">
        <f t="shared" ca="1" si="71"/>
        <v>4.2906190856040167</v>
      </c>
      <c r="R108" s="1">
        <f t="shared" ca="1" si="72"/>
        <v>345</v>
      </c>
      <c r="S108" s="1"/>
      <c r="T108" s="1">
        <f t="shared" ca="1" si="73"/>
        <v>0.16155382430833617</v>
      </c>
      <c r="U108" s="1">
        <f t="shared" ca="1" si="74"/>
        <v>229</v>
      </c>
      <c r="V108" s="1">
        <f t="shared" ca="1" si="75"/>
        <v>43</v>
      </c>
      <c r="W108" s="1"/>
      <c r="X108" s="1">
        <f t="shared" ca="1" si="76"/>
        <v>5.7134590770893876</v>
      </c>
      <c r="Y108" s="1">
        <f t="shared" ca="1" si="77"/>
        <v>0.57991951689457077</v>
      </c>
      <c r="Z108" s="1">
        <f t="shared" ca="1" si="78"/>
        <v>602</v>
      </c>
      <c r="AB108" s="1">
        <f t="shared" ca="1" si="79"/>
        <v>0.50967531653159914</v>
      </c>
      <c r="AC108" s="1">
        <f t="shared" ca="1" si="80"/>
        <v>908</v>
      </c>
      <c r="AD108" s="1">
        <f t="shared" ca="1" si="81"/>
        <v>7.7207783509126229E-3</v>
      </c>
      <c r="AE108" s="1"/>
      <c r="AF108" s="1">
        <f t="shared" ca="1" si="82"/>
        <v>0.89519806933095081</v>
      </c>
      <c r="AG108" s="1">
        <f t="shared" ca="1" si="83"/>
        <v>225</v>
      </c>
      <c r="AH108" s="1">
        <f t="shared" ca="1" si="84"/>
        <v>8.9594188269989539E-3</v>
      </c>
      <c r="AJ108" s="1">
        <f t="shared" ca="1" si="85"/>
        <v>0.9862371533015355</v>
      </c>
      <c r="AK108" s="1">
        <f t="shared" ca="1" si="86"/>
        <v>5.6860477848826021E-3</v>
      </c>
      <c r="AL108" s="1"/>
      <c r="AM108" s="1">
        <f t="shared" ca="1" si="87"/>
        <v>0.19799831617225894</v>
      </c>
      <c r="AN108" s="1">
        <f t="shared" ca="1" si="88"/>
        <v>35</v>
      </c>
      <c r="AO108" s="1">
        <f t="shared" ca="1" si="89"/>
        <v>5</v>
      </c>
      <c r="AQ108" s="1">
        <f t="shared" ca="1" si="90"/>
        <v>143</v>
      </c>
      <c r="AR108" s="1">
        <f t="shared" ca="1" si="91"/>
        <v>0</v>
      </c>
      <c r="AS108" s="1">
        <f t="shared" ca="1" si="92"/>
        <v>21</v>
      </c>
      <c r="AU108" s="1">
        <f t="shared" ca="1" si="93"/>
        <v>307</v>
      </c>
      <c r="AV108" s="1">
        <f t="shared" ca="1" si="94"/>
        <v>5</v>
      </c>
      <c r="AW108" s="1">
        <f t="shared" ca="1" si="95"/>
        <v>0.18816288042860838</v>
      </c>
      <c r="AY108" s="1">
        <f t="shared" ca="1" si="96"/>
        <v>1.4497694126591885</v>
      </c>
      <c r="AZ108" s="1">
        <f t="shared" ca="1" si="97"/>
        <v>264</v>
      </c>
      <c r="BA108" s="1">
        <f t="shared" ca="1" si="98"/>
        <v>3.662615162453634E-3</v>
      </c>
      <c r="BV108" s="1">
        <f t="shared" ca="1" si="99"/>
        <v>0.19959619978174004</v>
      </c>
      <c r="BW108" s="1">
        <f t="shared" ca="1" si="100"/>
        <v>641</v>
      </c>
      <c r="BX108" s="1">
        <f t="shared" ca="1" si="101"/>
        <v>2.5651625594154599E-3</v>
      </c>
      <c r="BY108" s="1">
        <f t="shared" ca="1" si="102"/>
        <v>1.8095126855843562E-2</v>
      </c>
      <c r="BZ108" s="1">
        <f t="shared" ca="1" si="103"/>
        <v>0.2763193331025382</v>
      </c>
      <c r="CB108" s="1">
        <f t="shared" ca="1" si="104"/>
        <v>269</v>
      </c>
      <c r="CC108" s="1">
        <f t="shared" ca="1" si="105"/>
        <v>7</v>
      </c>
      <c r="CD108" s="1">
        <f t="shared" ca="1" si="106"/>
        <v>0.141352785735436</v>
      </c>
      <c r="CE108" s="1">
        <f t="shared" ca="1" si="119"/>
        <v>0.53156354901343905</v>
      </c>
      <c r="CF108" s="1">
        <f t="shared" ca="1" si="119"/>
        <v>0.91357706573134223</v>
      </c>
      <c r="CH108" s="3">
        <f t="shared" ca="1" si="108"/>
        <v>5.5608167463064663E-2</v>
      </c>
      <c r="CI108" s="3">
        <f t="shared" ca="1" si="109"/>
        <v>1.9736609651434478E-2</v>
      </c>
      <c r="CJ108" s="3">
        <f t="shared" ca="1" si="110"/>
        <v>1962</v>
      </c>
      <c r="CK108" s="3">
        <f t="shared" ca="1" si="111"/>
        <v>7.9456106761899422E-4</v>
      </c>
      <c r="CL108" s="3">
        <f t="shared" ca="1" si="112"/>
        <v>1</v>
      </c>
      <c r="CM108" s="3"/>
      <c r="CN108" s="1">
        <f t="shared" ca="1" si="113"/>
        <v>14.038430067266315</v>
      </c>
      <c r="CO108" s="1">
        <f t="shared" ca="1" si="114"/>
        <v>3.9949302074090504E-2</v>
      </c>
      <c r="CP108" s="1">
        <f t="shared" ca="1" si="115"/>
        <v>2</v>
      </c>
      <c r="DH108" s="1">
        <f t="shared" ca="1" si="116"/>
        <v>300</v>
      </c>
      <c r="DI108" s="1">
        <f t="shared" ca="1" si="117"/>
        <v>0.50266976908101768</v>
      </c>
      <c r="DJ108" s="1">
        <f t="shared" ca="1" si="118"/>
        <v>6</v>
      </c>
    </row>
    <row r="109" spans="2:114" x14ac:dyDescent="0.25">
      <c r="B109">
        <f t="shared" ca="1" si="60"/>
        <v>178</v>
      </c>
      <c r="C109">
        <f t="shared" ca="1" si="61"/>
        <v>47</v>
      </c>
      <c r="D109">
        <f t="shared" ca="1" si="62"/>
        <v>1.5677778799199925E-2</v>
      </c>
      <c r="F109" s="1">
        <f t="shared" ca="1" si="63"/>
        <v>34</v>
      </c>
      <c r="G109" s="1">
        <f t="shared" ca="1" si="64"/>
        <v>29</v>
      </c>
      <c r="H109" s="1">
        <f t="shared" ca="1" si="65"/>
        <v>3</v>
      </c>
      <c r="I109" s="1"/>
      <c r="J109" s="1">
        <f t="shared" ca="1" si="66"/>
        <v>39</v>
      </c>
      <c r="K109" s="1">
        <f t="shared" ca="1" si="67"/>
        <v>1.1439410657392632</v>
      </c>
      <c r="L109" s="1">
        <f t="shared" ca="1" si="68"/>
        <v>3</v>
      </c>
      <c r="M109" s="1"/>
      <c r="N109" s="1">
        <f t="shared" ca="1" si="69"/>
        <v>316</v>
      </c>
      <c r="O109" s="1">
        <f t="shared" ca="1" si="70"/>
        <v>10</v>
      </c>
      <c r="P109" s="1"/>
      <c r="Q109" s="1">
        <f t="shared" ca="1" si="71"/>
        <v>4.3489544297512426</v>
      </c>
      <c r="R109" s="1">
        <f t="shared" ca="1" si="72"/>
        <v>798</v>
      </c>
      <c r="S109" s="1"/>
      <c r="T109" s="1">
        <f t="shared" ca="1" si="73"/>
        <v>0.13985886261874025</v>
      </c>
      <c r="U109" s="1">
        <f t="shared" ca="1" si="74"/>
        <v>212</v>
      </c>
      <c r="V109" s="1">
        <f t="shared" ca="1" si="75"/>
        <v>34</v>
      </c>
      <c r="W109" s="1"/>
      <c r="X109" s="1">
        <f t="shared" ca="1" si="76"/>
        <v>1.081981956836866</v>
      </c>
      <c r="Y109" s="1">
        <f t="shared" ca="1" si="77"/>
        <v>0.10847811381339369</v>
      </c>
      <c r="Z109" s="1">
        <f t="shared" ca="1" si="78"/>
        <v>1572</v>
      </c>
      <c r="AB109" s="1">
        <f t="shared" ca="1" si="79"/>
        <v>0.99490797287962163</v>
      </c>
      <c r="AC109" s="1">
        <f t="shared" ca="1" si="80"/>
        <v>163</v>
      </c>
      <c r="AD109" s="1">
        <f t="shared" ca="1" si="81"/>
        <v>5.5469821705998006E-3</v>
      </c>
      <c r="AE109" s="1"/>
      <c r="AF109" s="1">
        <f t="shared" ca="1" si="82"/>
        <v>0.11777137650662546</v>
      </c>
      <c r="AG109" s="1">
        <f t="shared" ca="1" si="83"/>
        <v>558</v>
      </c>
      <c r="AH109" s="1">
        <f t="shared" ca="1" si="84"/>
        <v>6.4144865884212914E-3</v>
      </c>
      <c r="AJ109" s="1">
        <f t="shared" ca="1" si="85"/>
        <v>8.9558183692453941E-2</v>
      </c>
      <c r="AK109" s="1">
        <f t="shared" ca="1" si="86"/>
        <v>9.4815593216329673E-3</v>
      </c>
      <c r="AL109" s="1"/>
      <c r="AM109" s="1">
        <f t="shared" ca="1" si="87"/>
        <v>0.12531463897987358</v>
      </c>
      <c r="AN109" s="1">
        <f t="shared" ca="1" si="88"/>
        <v>14</v>
      </c>
      <c r="AO109" s="1">
        <f t="shared" ca="1" si="89"/>
        <v>-1</v>
      </c>
      <c r="AQ109" s="1">
        <f t="shared" ca="1" si="90"/>
        <v>105</v>
      </c>
      <c r="AR109" s="1">
        <f t="shared" ca="1" si="91"/>
        <v>7</v>
      </c>
      <c r="AS109" s="1">
        <f t="shared" ca="1" si="92"/>
        <v>21</v>
      </c>
      <c r="AU109" s="1">
        <f t="shared" ca="1" si="93"/>
        <v>52</v>
      </c>
      <c r="AV109" s="1">
        <f t="shared" ca="1" si="94"/>
        <v>10</v>
      </c>
      <c r="AW109" s="1">
        <f t="shared" ca="1" si="95"/>
        <v>0.12650331095274495</v>
      </c>
      <c r="AY109" s="1">
        <f t="shared" ca="1" si="96"/>
        <v>1.7801228881646625</v>
      </c>
      <c r="AZ109" s="1">
        <f t="shared" ca="1" si="97"/>
        <v>390</v>
      </c>
      <c r="BA109" s="1">
        <f t="shared" ca="1" si="98"/>
        <v>7.5088390313707625E-3</v>
      </c>
      <c r="BV109" s="1">
        <f t="shared" ca="1" si="99"/>
        <v>0.24498141950013469</v>
      </c>
      <c r="BW109" s="1">
        <f t="shared" ca="1" si="100"/>
        <v>575</v>
      </c>
      <c r="BX109" s="1">
        <f t="shared" ca="1" si="101"/>
        <v>7.9827036792392229E-3</v>
      </c>
      <c r="BY109" s="1">
        <f t="shared" ca="1" si="102"/>
        <v>6.1214090812361711E-2</v>
      </c>
      <c r="BZ109" s="1">
        <f t="shared" ca="1" si="103"/>
        <v>0.86925935005099297</v>
      </c>
      <c r="CB109" s="1">
        <f t="shared" ca="1" si="104"/>
        <v>105</v>
      </c>
      <c r="CC109" s="1">
        <f t="shared" ca="1" si="105"/>
        <v>7</v>
      </c>
      <c r="CD109" s="1">
        <f t="shared" ca="1" si="106"/>
        <v>0.16142098334958127</v>
      </c>
      <c r="CE109" s="1">
        <f t="shared" ca="1" si="119"/>
        <v>0.70799949842267873</v>
      </c>
      <c r="CF109" s="1">
        <f t="shared" ca="1" si="119"/>
        <v>0.88597095458374198</v>
      </c>
      <c r="CH109" s="3">
        <f t="shared" ca="1" si="108"/>
        <v>6.1858734635752199E-2</v>
      </c>
      <c r="CI109" s="3">
        <f t="shared" ca="1" si="109"/>
        <v>0.53119547920351862</v>
      </c>
      <c r="CJ109" s="3">
        <f t="shared" ca="1" si="110"/>
        <v>162</v>
      </c>
      <c r="CK109" s="3">
        <f t="shared" ca="1" si="111"/>
        <v>9.0222300770795901E-3</v>
      </c>
      <c r="CL109" s="3">
        <f t="shared" ca="1" si="112"/>
        <v>1</v>
      </c>
      <c r="CM109" s="3"/>
      <c r="CN109" s="1">
        <f t="shared" ca="1" si="113"/>
        <v>15.828012989116544</v>
      </c>
      <c r="CO109" s="1">
        <f t="shared" ca="1" si="114"/>
        <v>0.29114638561109746</v>
      </c>
      <c r="CP109" s="1">
        <f t="shared" ca="1" si="115"/>
        <v>1</v>
      </c>
      <c r="DH109" s="1">
        <f t="shared" ca="1" si="116"/>
        <v>348</v>
      </c>
      <c r="DI109" s="1">
        <f t="shared" ca="1" si="117"/>
        <v>0.92204488413031727</v>
      </c>
      <c r="DJ109" s="1">
        <f t="shared" ca="1" si="118"/>
        <v>3</v>
      </c>
    </row>
    <row r="110" spans="2:114" x14ac:dyDescent="0.25">
      <c r="B110">
        <f t="shared" ca="1" si="60"/>
        <v>594</v>
      </c>
      <c r="C110">
        <f t="shared" ca="1" si="61"/>
        <v>28</v>
      </c>
      <c r="D110">
        <f t="shared" ca="1" si="62"/>
        <v>0.18538609509968665</v>
      </c>
      <c r="F110" s="1">
        <f t="shared" ca="1" si="63"/>
        <v>30</v>
      </c>
      <c r="G110" s="1">
        <f t="shared" ca="1" si="64"/>
        <v>29</v>
      </c>
      <c r="H110" s="1">
        <f t="shared" ca="1" si="65"/>
        <v>13</v>
      </c>
      <c r="I110" s="1"/>
      <c r="J110" s="1">
        <f t="shared" ca="1" si="66"/>
        <v>20</v>
      </c>
      <c r="K110" s="1">
        <f t="shared" ca="1" si="67"/>
        <v>2.1906178216826673</v>
      </c>
      <c r="L110" s="1">
        <f t="shared" ca="1" si="68"/>
        <v>30</v>
      </c>
      <c r="M110" s="1"/>
      <c r="N110" s="1">
        <f t="shared" ca="1" si="69"/>
        <v>501</v>
      </c>
      <c r="O110" s="1">
        <f t="shared" ca="1" si="70"/>
        <v>21</v>
      </c>
      <c r="P110" s="1"/>
      <c r="Q110" s="1">
        <f t="shared" ca="1" si="71"/>
        <v>2.6860268544623378</v>
      </c>
      <c r="R110" s="1">
        <f t="shared" ca="1" si="72"/>
        <v>929</v>
      </c>
      <c r="S110" s="1"/>
      <c r="T110" s="1">
        <f t="shared" ca="1" si="73"/>
        <v>0.16813905106390603</v>
      </c>
      <c r="U110" s="1">
        <f t="shared" ca="1" si="74"/>
        <v>203</v>
      </c>
      <c r="V110" s="1">
        <f t="shared" ca="1" si="75"/>
        <v>33</v>
      </c>
      <c r="W110" s="1"/>
      <c r="X110" s="1">
        <f t="shared" ca="1" si="76"/>
        <v>0.25678214432590851</v>
      </c>
      <c r="Y110" s="1">
        <f t="shared" ca="1" si="77"/>
        <v>0.75804093569331898</v>
      </c>
      <c r="Z110" s="1">
        <f t="shared" ca="1" si="78"/>
        <v>1590</v>
      </c>
      <c r="AB110" s="1">
        <f t="shared" ca="1" si="79"/>
        <v>0.72951621476505235</v>
      </c>
      <c r="AC110" s="1">
        <f t="shared" ca="1" si="80"/>
        <v>246</v>
      </c>
      <c r="AD110" s="1">
        <f t="shared" ca="1" si="81"/>
        <v>5.027457182838496E-3</v>
      </c>
      <c r="AE110" s="1"/>
      <c r="AF110" s="1">
        <f t="shared" ca="1" si="82"/>
        <v>0.78754862389745894</v>
      </c>
      <c r="AG110" s="1">
        <f t="shared" ca="1" si="83"/>
        <v>421</v>
      </c>
      <c r="AH110" s="1">
        <f t="shared" ca="1" si="84"/>
        <v>2.6742794326074615E-3</v>
      </c>
      <c r="AJ110" s="1">
        <f t="shared" ca="1" si="85"/>
        <v>0.69111402132377686</v>
      </c>
      <c r="AK110" s="1">
        <f t="shared" ca="1" si="86"/>
        <v>7.1570748058472538E-3</v>
      </c>
      <c r="AL110" s="1"/>
      <c r="AM110" s="1">
        <f t="shared" ca="1" si="87"/>
        <v>6.8610650659984992E-2</v>
      </c>
      <c r="AN110" s="1">
        <f t="shared" ca="1" si="88"/>
        <v>55</v>
      </c>
      <c r="AO110" s="1">
        <f t="shared" ca="1" si="89"/>
        <v>18</v>
      </c>
      <c r="AQ110" s="1">
        <f t="shared" ca="1" si="90"/>
        <v>136</v>
      </c>
      <c r="AR110" s="1">
        <f t="shared" ca="1" si="91"/>
        <v>7</v>
      </c>
      <c r="AS110" s="1">
        <f t="shared" ca="1" si="92"/>
        <v>67</v>
      </c>
      <c r="AU110" s="1">
        <f t="shared" ca="1" si="93"/>
        <v>397</v>
      </c>
      <c r="AV110" s="1">
        <f t="shared" ca="1" si="94"/>
        <v>2</v>
      </c>
      <c r="AW110" s="1">
        <f t="shared" ca="1" si="95"/>
        <v>0.14095132398660118</v>
      </c>
      <c r="AY110" s="1">
        <f t="shared" ca="1" si="96"/>
        <v>1.1501515200697818</v>
      </c>
      <c r="AZ110" s="1">
        <f t="shared" ca="1" si="97"/>
        <v>90</v>
      </c>
      <c r="BA110" s="1">
        <f t="shared" ca="1" si="98"/>
        <v>8.5257645195744129E-3</v>
      </c>
      <c r="BV110" s="1">
        <f t="shared" ca="1" si="99"/>
        <v>0.39516505871071472</v>
      </c>
      <c r="BW110" s="1">
        <f t="shared" ca="1" si="100"/>
        <v>801</v>
      </c>
      <c r="BX110" s="1">
        <f t="shared" ca="1" si="101"/>
        <v>7.1899004848809444E-3</v>
      </c>
      <c r="BY110" s="1">
        <f t="shared" ca="1" si="102"/>
        <v>3.9139591053033562E-3</v>
      </c>
      <c r="BZ110" s="1">
        <f t="shared" ca="1" si="103"/>
        <v>0.62718645873436785</v>
      </c>
      <c r="CB110" s="1">
        <f t="shared" ca="1" si="104"/>
        <v>67</v>
      </c>
      <c r="CC110" s="1">
        <f t="shared" ca="1" si="105"/>
        <v>14</v>
      </c>
      <c r="CD110" s="1">
        <f t="shared" ca="1" si="106"/>
        <v>9.9665619833329847E-2</v>
      </c>
      <c r="CE110" s="1">
        <f t="shared" ca="1" si="119"/>
        <v>0.59856818073296769</v>
      </c>
      <c r="CF110" s="1">
        <f t="shared" ca="1" si="119"/>
        <v>0.85909800850853157</v>
      </c>
      <c r="CH110" s="3">
        <f t="shared" ca="1" si="108"/>
        <v>0.38569587614868794</v>
      </c>
      <c r="CI110" s="3">
        <f t="shared" ca="1" si="109"/>
        <v>0.53208591327020172</v>
      </c>
      <c r="CJ110" s="3">
        <f t="shared" ca="1" si="110"/>
        <v>609</v>
      </c>
      <c r="CK110" s="3">
        <f t="shared" ca="1" si="111"/>
        <v>1.0989650899043762E-3</v>
      </c>
      <c r="CL110" s="3">
        <f t="shared" ca="1" si="112"/>
        <v>1</v>
      </c>
      <c r="CM110" s="3"/>
      <c r="CN110" s="1">
        <f t="shared" ca="1" si="113"/>
        <v>12.160261454932051</v>
      </c>
      <c r="CO110" s="1">
        <f t="shared" ca="1" si="114"/>
        <v>0.30264191015897346</v>
      </c>
      <c r="CP110" s="1">
        <f t="shared" ca="1" si="115"/>
        <v>3</v>
      </c>
      <c r="DH110" s="1">
        <f t="shared" ca="1" si="116"/>
        <v>67</v>
      </c>
      <c r="DI110" s="1">
        <f t="shared" ca="1" si="117"/>
        <v>0.31641681871817756</v>
      </c>
      <c r="DJ110" s="1">
        <f t="shared" ca="1" si="118"/>
        <v>28</v>
      </c>
    </row>
    <row r="111" spans="2:114" x14ac:dyDescent="0.25">
      <c r="B111">
        <f t="shared" ca="1" si="60"/>
        <v>431</v>
      </c>
      <c r="C111">
        <f t="shared" ca="1" si="61"/>
        <v>26</v>
      </c>
      <c r="D111">
        <f t="shared" ca="1" si="62"/>
        <v>0.22111142317921934</v>
      </c>
      <c r="F111" s="1">
        <f t="shared" ca="1" si="63"/>
        <v>47</v>
      </c>
      <c r="G111" s="1">
        <f t="shared" ca="1" si="64"/>
        <v>22</v>
      </c>
      <c r="H111" s="1">
        <f t="shared" ca="1" si="65"/>
        <v>4</v>
      </c>
      <c r="I111" s="1"/>
      <c r="J111" s="1">
        <f t="shared" ca="1" si="66"/>
        <v>1</v>
      </c>
      <c r="K111" s="1">
        <f t="shared" ca="1" si="67"/>
        <v>1.0923366920096649</v>
      </c>
      <c r="L111" s="1">
        <f t="shared" ca="1" si="68"/>
        <v>10</v>
      </c>
      <c r="M111" s="1"/>
      <c r="N111" s="1">
        <f t="shared" ca="1" si="69"/>
        <v>330</v>
      </c>
      <c r="O111" s="1">
        <f t="shared" ca="1" si="70"/>
        <v>33</v>
      </c>
      <c r="P111" s="1"/>
      <c r="Q111" s="1">
        <f t="shared" ca="1" si="71"/>
        <v>2.454457035643312</v>
      </c>
      <c r="R111" s="1">
        <f t="shared" ca="1" si="72"/>
        <v>923</v>
      </c>
      <c r="S111" s="1"/>
      <c r="T111" s="1">
        <f t="shared" ca="1" si="73"/>
        <v>0.15651918925491451</v>
      </c>
      <c r="U111" s="1">
        <f t="shared" ca="1" si="74"/>
        <v>183</v>
      </c>
      <c r="V111" s="1">
        <f t="shared" ca="1" si="75"/>
        <v>22</v>
      </c>
      <c r="W111" s="1"/>
      <c r="X111" s="1">
        <f t="shared" ca="1" si="76"/>
        <v>0.9545255484389864</v>
      </c>
      <c r="Y111" s="1">
        <f t="shared" ca="1" si="77"/>
        <v>0.67335642285634334</v>
      </c>
      <c r="Z111" s="1">
        <f t="shared" ca="1" si="78"/>
        <v>924</v>
      </c>
      <c r="AB111" s="1">
        <f t="shared" ca="1" si="79"/>
        <v>0.33594182105791243</v>
      </c>
      <c r="AC111" s="1">
        <f t="shared" ca="1" si="80"/>
        <v>608</v>
      </c>
      <c r="AD111" s="1">
        <f t="shared" ca="1" si="81"/>
        <v>7.3472816540277085E-3</v>
      </c>
      <c r="AE111" s="1"/>
      <c r="AF111" s="1">
        <f t="shared" ca="1" si="82"/>
        <v>0.23733094136717972</v>
      </c>
      <c r="AG111" s="1">
        <f t="shared" ca="1" si="83"/>
        <v>347</v>
      </c>
      <c r="AH111" s="1">
        <f t="shared" ca="1" si="84"/>
        <v>1.1194160887620401E-3</v>
      </c>
      <c r="AJ111" s="1">
        <f t="shared" ca="1" si="85"/>
        <v>0.62424038785862856</v>
      </c>
      <c r="AK111" s="1">
        <f t="shared" ca="1" si="86"/>
        <v>2.8184805999618718E-3</v>
      </c>
      <c r="AL111" s="1"/>
      <c r="AM111" s="1">
        <f t="shared" ca="1" si="87"/>
        <v>1.8684760234321713E-2</v>
      </c>
      <c r="AN111" s="1">
        <f t="shared" ca="1" si="88"/>
        <v>40</v>
      </c>
      <c r="AO111" s="1">
        <f t="shared" ca="1" si="89"/>
        <v>9</v>
      </c>
      <c r="AQ111" s="1">
        <f t="shared" ca="1" si="90"/>
        <v>47</v>
      </c>
      <c r="AR111" s="1">
        <f t="shared" ca="1" si="91"/>
        <v>1</v>
      </c>
      <c r="AS111" s="1">
        <f t="shared" ca="1" si="92"/>
        <v>35</v>
      </c>
      <c r="AU111" s="1">
        <f t="shared" ca="1" si="93"/>
        <v>66</v>
      </c>
      <c r="AV111" s="1">
        <f t="shared" ca="1" si="94"/>
        <v>6</v>
      </c>
      <c r="AW111" s="1">
        <f t="shared" ca="1" si="95"/>
        <v>8.4602741555062019E-2</v>
      </c>
      <c r="AY111" s="1">
        <f t="shared" ca="1" si="96"/>
        <v>1.8897541388453691</v>
      </c>
      <c r="AZ111" s="1">
        <f t="shared" ca="1" si="97"/>
        <v>490</v>
      </c>
      <c r="BA111" s="1">
        <f t="shared" ca="1" si="98"/>
        <v>7.7614397870572251E-3</v>
      </c>
      <c r="BV111" s="1">
        <f t="shared" ca="1" si="99"/>
        <v>0.46018074977637857</v>
      </c>
      <c r="BW111" s="1">
        <f t="shared" ca="1" si="100"/>
        <v>790</v>
      </c>
      <c r="BX111" s="1">
        <f t="shared" ca="1" si="101"/>
        <v>7.4001846855002431E-3</v>
      </c>
      <c r="BY111" s="1">
        <f t="shared" ca="1" si="102"/>
        <v>3.6716476221454443E-2</v>
      </c>
      <c r="BZ111" s="1">
        <f t="shared" ca="1" si="103"/>
        <v>0.25093222428905315</v>
      </c>
      <c r="CB111" s="1">
        <f t="shared" ca="1" si="104"/>
        <v>265</v>
      </c>
      <c r="CC111" s="1">
        <f t="shared" ca="1" si="105"/>
        <v>9</v>
      </c>
      <c r="CD111" s="1">
        <f t="shared" ca="1" si="106"/>
        <v>7.3383970414180183E-2</v>
      </c>
      <c r="CE111" s="1">
        <f t="shared" ca="1" si="119"/>
        <v>0.97551358479302719</v>
      </c>
      <c r="CF111" s="1">
        <f t="shared" ca="1" si="119"/>
        <v>0.54830441473071101</v>
      </c>
      <c r="CH111" s="3">
        <f t="shared" ca="1" si="108"/>
        <v>0.41907256931353243</v>
      </c>
      <c r="CI111" s="3">
        <f t="shared" ca="1" si="109"/>
        <v>0.10962640254341169</v>
      </c>
      <c r="CJ111" s="3">
        <f t="shared" ca="1" si="110"/>
        <v>1235</v>
      </c>
      <c r="CK111" s="3">
        <f t="shared" ca="1" si="111"/>
        <v>1.0308388848525736E-4</v>
      </c>
      <c r="CL111" s="3">
        <f t="shared" ca="1" si="112"/>
        <v>0</v>
      </c>
      <c r="CM111" s="3"/>
      <c r="CN111" s="1">
        <f t="shared" ca="1" si="113"/>
        <v>19.142247922319779</v>
      </c>
      <c r="CO111" s="1">
        <f t="shared" ca="1" si="114"/>
        <v>0.45749252690230502</v>
      </c>
      <c r="CP111" s="1">
        <f t="shared" ca="1" si="115"/>
        <v>1</v>
      </c>
      <c r="DH111" s="1">
        <f t="shared" ca="1" si="116"/>
        <v>698</v>
      </c>
      <c r="DI111" s="1">
        <f t="shared" ca="1" si="117"/>
        <v>0.40060788313719897</v>
      </c>
      <c r="DJ111" s="1">
        <f t="shared" ca="1" si="118"/>
        <v>25</v>
      </c>
    </row>
    <row r="112" spans="2:114" x14ac:dyDescent="0.25">
      <c r="B112">
        <f t="shared" ca="1" si="60"/>
        <v>421</v>
      </c>
      <c r="C112">
        <f t="shared" ca="1" si="61"/>
        <v>24</v>
      </c>
      <c r="D112">
        <f t="shared" ca="1" si="62"/>
        <v>0.10359335868299917</v>
      </c>
      <c r="F112" s="1">
        <f t="shared" ca="1" si="63"/>
        <v>42</v>
      </c>
      <c r="G112" s="1">
        <f t="shared" ca="1" si="64"/>
        <v>17</v>
      </c>
      <c r="H112" s="1">
        <f t="shared" ca="1" si="65"/>
        <v>8</v>
      </c>
      <c r="I112" s="1"/>
      <c r="J112" s="1">
        <f t="shared" ca="1" si="66"/>
        <v>21</v>
      </c>
      <c r="K112" s="1">
        <f t="shared" ca="1" si="67"/>
        <v>1.8348434381767322</v>
      </c>
      <c r="L112" s="1">
        <f t="shared" ca="1" si="68"/>
        <v>22</v>
      </c>
      <c r="M112" s="1"/>
      <c r="N112" s="1">
        <f t="shared" ca="1" si="69"/>
        <v>216</v>
      </c>
      <c r="O112" s="1">
        <f t="shared" ca="1" si="70"/>
        <v>17</v>
      </c>
      <c r="P112" s="1"/>
      <c r="Q112" s="1">
        <f t="shared" ca="1" si="71"/>
        <v>4.3745713240284774</v>
      </c>
      <c r="R112" s="1">
        <f t="shared" ca="1" si="72"/>
        <v>378</v>
      </c>
      <c r="S112" s="1"/>
      <c r="T112" s="1">
        <f t="shared" ca="1" si="73"/>
        <v>9.6823339041027634E-2</v>
      </c>
      <c r="U112" s="1">
        <f t="shared" ca="1" si="74"/>
        <v>263</v>
      </c>
      <c r="V112" s="1">
        <f t="shared" ca="1" si="75"/>
        <v>15</v>
      </c>
      <c r="W112" s="1"/>
      <c r="X112" s="1">
        <f t="shared" ca="1" si="76"/>
        <v>3.305681730565817</v>
      </c>
      <c r="Y112" s="1">
        <f t="shared" ca="1" si="77"/>
        <v>0.37482158432709434</v>
      </c>
      <c r="Z112" s="1">
        <f t="shared" ca="1" si="78"/>
        <v>1062</v>
      </c>
      <c r="AB112" s="1">
        <f t="shared" ca="1" si="79"/>
        <v>0.34754254025606485</v>
      </c>
      <c r="AC112" s="1">
        <f t="shared" ca="1" si="80"/>
        <v>116</v>
      </c>
      <c r="AD112" s="1">
        <f t="shared" ca="1" si="81"/>
        <v>8.0074517508018175E-4</v>
      </c>
      <c r="AE112" s="1"/>
      <c r="AF112" s="1">
        <f t="shared" ca="1" si="82"/>
        <v>0.85866857508255989</v>
      </c>
      <c r="AG112" s="1">
        <f t="shared" ca="1" si="83"/>
        <v>329</v>
      </c>
      <c r="AH112" s="1">
        <f t="shared" ca="1" si="84"/>
        <v>8.9850954367626697E-3</v>
      </c>
      <c r="AJ112" s="1">
        <f t="shared" ca="1" si="85"/>
        <v>0.89383046019148205</v>
      </c>
      <c r="AK112" s="1">
        <f t="shared" ca="1" si="86"/>
        <v>6.5658493667286018E-3</v>
      </c>
      <c r="AL112" s="1"/>
      <c r="AM112" s="1">
        <f t="shared" ca="1" si="87"/>
        <v>0.18711483908762269</v>
      </c>
      <c r="AN112" s="1">
        <f t="shared" ca="1" si="88"/>
        <v>58</v>
      </c>
      <c r="AO112" s="1">
        <f t="shared" ca="1" si="89"/>
        <v>10</v>
      </c>
      <c r="AQ112" s="1">
        <f t="shared" ca="1" si="90"/>
        <v>91</v>
      </c>
      <c r="AR112" s="1">
        <f t="shared" ca="1" si="91"/>
        <v>0</v>
      </c>
      <c r="AS112" s="1">
        <f t="shared" ca="1" si="92"/>
        <v>26</v>
      </c>
      <c r="AU112" s="1">
        <f t="shared" ca="1" si="93"/>
        <v>91</v>
      </c>
      <c r="AV112" s="1">
        <f t="shared" ca="1" si="94"/>
        <v>10</v>
      </c>
      <c r="AW112" s="1">
        <f t="shared" ca="1" si="95"/>
        <v>0.18763885357045265</v>
      </c>
      <c r="AY112" s="1">
        <f t="shared" ca="1" si="96"/>
        <v>1.8374326655489703</v>
      </c>
      <c r="AZ112" s="1">
        <f t="shared" ca="1" si="97"/>
        <v>446</v>
      </c>
      <c r="BA112" s="1">
        <f t="shared" ca="1" si="98"/>
        <v>8.6649256463981108E-3</v>
      </c>
      <c r="BV112" s="1">
        <f t="shared" ca="1" si="99"/>
        <v>0.5722145425169618</v>
      </c>
      <c r="BW112" s="1">
        <f t="shared" ca="1" si="100"/>
        <v>906</v>
      </c>
      <c r="BX112" s="1">
        <f t="shared" ca="1" si="101"/>
        <v>9.0524327167176637E-4</v>
      </c>
      <c r="BY112" s="1">
        <f t="shared" ca="1" si="102"/>
        <v>3.9368770370571675E-2</v>
      </c>
      <c r="BZ112" s="1">
        <f t="shared" ca="1" si="103"/>
        <v>0.57244116471342832</v>
      </c>
      <c r="CB112" s="1">
        <f t="shared" ca="1" si="104"/>
        <v>156</v>
      </c>
      <c r="CC112" s="1">
        <f t="shared" ca="1" si="105"/>
        <v>5</v>
      </c>
      <c r="CD112" s="1">
        <f t="shared" ca="1" si="106"/>
        <v>2.693511330624538E-2</v>
      </c>
      <c r="CE112" s="1">
        <f t="shared" ca="1" si="119"/>
        <v>0.58126882944032232</v>
      </c>
      <c r="CF112" s="1">
        <f t="shared" ca="1" si="119"/>
        <v>0.88748786701460358</v>
      </c>
      <c r="CH112" s="3">
        <f t="shared" ca="1" si="108"/>
        <v>0.87210734402211043</v>
      </c>
      <c r="CI112" s="3">
        <f t="shared" ca="1" si="109"/>
        <v>0.96031710756074817</v>
      </c>
      <c r="CJ112" s="3">
        <f t="shared" ca="1" si="110"/>
        <v>698</v>
      </c>
      <c r="CK112" s="3">
        <f t="shared" ca="1" si="111"/>
        <v>2.6036525236377132E-3</v>
      </c>
      <c r="CL112" s="3">
        <f t="shared" ca="1" si="112"/>
        <v>1</v>
      </c>
      <c r="CM112" s="3"/>
      <c r="CN112" s="1">
        <f t="shared" ca="1" si="113"/>
        <v>16.203767844919827</v>
      </c>
      <c r="CO112" s="1">
        <f t="shared" ca="1" si="114"/>
        <v>0.31015090397103046</v>
      </c>
      <c r="CP112" s="1">
        <f t="shared" ca="1" si="115"/>
        <v>3</v>
      </c>
      <c r="DH112" s="1">
        <f t="shared" ca="1" si="116"/>
        <v>199</v>
      </c>
      <c r="DI112" s="1">
        <f t="shared" ca="1" si="117"/>
        <v>5.581035920870954E-2</v>
      </c>
      <c r="DJ112" s="1">
        <f t="shared" ca="1" si="118"/>
        <v>4</v>
      </c>
    </row>
    <row r="113" spans="2:114" x14ac:dyDescent="0.25">
      <c r="B113">
        <f t="shared" ca="1" si="60"/>
        <v>571</v>
      </c>
      <c r="C113">
        <f t="shared" ca="1" si="61"/>
        <v>25</v>
      </c>
      <c r="D113">
        <f t="shared" ca="1" si="62"/>
        <v>0.22018950374759272</v>
      </c>
      <c r="F113" s="1">
        <f t="shared" ca="1" si="63"/>
        <v>21</v>
      </c>
      <c r="G113" s="1">
        <f t="shared" ca="1" si="64"/>
        <v>15</v>
      </c>
      <c r="H113" s="1">
        <f t="shared" ca="1" si="65"/>
        <v>1</v>
      </c>
      <c r="I113" s="1"/>
      <c r="J113" s="1">
        <f t="shared" ca="1" si="66"/>
        <v>14</v>
      </c>
      <c r="K113" s="1">
        <f t="shared" ca="1" si="67"/>
        <v>2.74957097824494</v>
      </c>
      <c r="L113" s="1">
        <f t="shared" ca="1" si="68"/>
        <v>11</v>
      </c>
      <c r="M113" s="1"/>
      <c r="N113" s="1">
        <f t="shared" ca="1" si="69"/>
        <v>704</v>
      </c>
      <c r="O113" s="1">
        <f t="shared" ca="1" si="70"/>
        <v>35</v>
      </c>
      <c r="P113" s="1"/>
      <c r="Q113" s="1">
        <f t="shared" ca="1" si="71"/>
        <v>2.5701462530039993</v>
      </c>
      <c r="R113" s="1">
        <f t="shared" ca="1" si="72"/>
        <v>1033</v>
      </c>
      <c r="S113" s="1"/>
      <c r="T113" s="1">
        <f t="shared" ca="1" si="73"/>
        <v>6.6879525177608298E-2</v>
      </c>
      <c r="U113" s="1">
        <f t="shared" ca="1" si="74"/>
        <v>432</v>
      </c>
      <c r="V113" s="1">
        <f t="shared" ca="1" si="75"/>
        <v>10</v>
      </c>
      <c r="W113" s="1"/>
      <c r="X113" s="1">
        <f t="shared" ca="1" si="76"/>
        <v>1.9979660830418093</v>
      </c>
      <c r="Y113" s="1">
        <f t="shared" ca="1" si="77"/>
        <v>0.42699904415938272</v>
      </c>
      <c r="Z113" s="1">
        <f t="shared" ca="1" si="78"/>
        <v>1550</v>
      </c>
      <c r="AB113" s="1">
        <f t="shared" ca="1" si="79"/>
        <v>0.12360041853136897</v>
      </c>
      <c r="AC113" s="1">
        <f t="shared" ca="1" si="80"/>
        <v>399</v>
      </c>
      <c r="AD113" s="1">
        <f t="shared" ca="1" si="81"/>
        <v>3.0779309883672882E-3</v>
      </c>
      <c r="AE113" s="1"/>
      <c r="AF113" s="1">
        <f t="shared" ca="1" si="82"/>
        <v>0.80495397482973619</v>
      </c>
      <c r="AG113" s="1">
        <f t="shared" ca="1" si="83"/>
        <v>299</v>
      </c>
      <c r="AH113" s="1">
        <f t="shared" ca="1" si="84"/>
        <v>7.5991127499479699E-3</v>
      </c>
      <c r="AJ113" s="1">
        <f t="shared" ca="1" si="85"/>
        <v>0.66900401637090767</v>
      </c>
      <c r="AK113" s="1">
        <f t="shared" ca="1" si="86"/>
        <v>8.3969371197846268E-3</v>
      </c>
      <c r="AL113" s="1"/>
      <c r="AM113" s="1">
        <f t="shared" ca="1" si="87"/>
        <v>2.0375462156995656E-2</v>
      </c>
      <c r="AN113" s="1">
        <f t="shared" ca="1" si="88"/>
        <v>34</v>
      </c>
      <c r="AO113" s="1">
        <f t="shared" ca="1" si="89"/>
        <v>12</v>
      </c>
      <c r="AQ113" s="1">
        <f t="shared" ca="1" si="90"/>
        <v>43</v>
      </c>
      <c r="AR113" s="1">
        <f t="shared" ca="1" si="91"/>
        <v>3</v>
      </c>
      <c r="AS113" s="1">
        <f t="shared" ca="1" si="92"/>
        <v>18</v>
      </c>
      <c r="AU113" s="1">
        <f t="shared" ca="1" si="93"/>
        <v>200</v>
      </c>
      <c r="AV113" s="1">
        <f t="shared" ca="1" si="94"/>
        <v>10</v>
      </c>
      <c r="AW113" s="1">
        <f t="shared" ca="1" si="95"/>
        <v>6.5499517616274788E-2</v>
      </c>
      <c r="AY113" s="1">
        <f t="shared" ca="1" si="96"/>
        <v>1.3900978144269176</v>
      </c>
      <c r="AZ113" s="1">
        <f t="shared" ca="1" si="97"/>
        <v>79</v>
      </c>
      <c r="BA113" s="1">
        <f t="shared" ca="1" si="98"/>
        <v>5.9261818575980828E-3</v>
      </c>
      <c r="BV113" s="1">
        <f t="shared" ca="1" si="99"/>
        <v>0.68098659168418785</v>
      </c>
      <c r="BW113" s="1">
        <f t="shared" ca="1" si="100"/>
        <v>633</v>
      </c>
      <c r="BX113" s="1">
        <f t="shared" ca="1" si="101"/>
        <v>8.1715135369278425E-3</v>
      </c>
      <c r="BY113" s="1">
        <f t="shared" ca="1" si="102"/>
        <v>9.3238168499952187E-2</v>
      </c>
      <c r="BZ113" s="1">
        <f t="shared" ca="1" si="103"/>
        <v>0.87659861536515393</v>
      </c>
      <c r="CB113" s="1">
        <f t="shared" ca="1" si="104"/>
        <v>491</v>
      </c>
      <c r="CC113" s="1">
        <f t="shared" ca="1" si="105"/>
        <v>15</v>
      </c>
      <c r="CD113" s="1">
        <f t="shared" ca="1" si="106"/>
        <v>0.14004515870798498</v>
      </c>
      <c r="CE113" s="1">
        <f t="shared" ca="1" si="119"/>
        <v>0.6227712339465028</v>
      </c>
      <c r="CF113" s="1">
        <f t="shared" ca="1" si="119"/>
        <v>0.54482958915492974</v>
      </c>
      <c r="CH113" s="3">
        <f t="shared" ca="1" si="108"/>
        <v>0.24236975991569229</v>
      </c>
      <c r="CI113" s="3">
        <f t="shared" ca="1" si="109"/>
        <v>0.32926285610762684</v>
      </c>
      <c r="CJ113" s="3">
        <f t="shared" ca="1" si="110"/>
        <v>554</v>
      </c>
      <c r="CK113" s="3">
        <f t="shared" ca="1" si="111"/>
        <v>8.7783252314517259E-3</v>
      </c>
      <c r="CL113" s="3">
        <f t="shared" ca="1" si="112"/>
        <v>0</v>
      </c>
      <c r="CM113" s="3"/>
      <c r="CN113" s="1">
        <f t="shared" ca="1" si="113"/>
        <v>6.6077394812439376</v>
      </c>
      <c r="CO113" s="1">
        <f t="shared" ca="1" si="114"/>
        <v>0.49134626485124822</v>
      </c>
      <c r="CP113" s="1">
        <f t="shared" ca="1" si="115"/>
        <v>5</v>
      </c>
      <c r="DH113" s="1">
        <f t="shared" ca="1" si="116"/>
        <v>170</v>
      </c>
      <c r="DI113" s="1">
        <f t="shared" ca="1" si="117"/>
        <v>0.8785099663840199</v>
      </c>
      <c r="DJ113" s="1">
        <f t="shared" ca="1" si="118"/>
        <v>5</v>
      </c>
    </row>
    <row r="114" spans="2:114" x14ac:dyDescent="0.25">
      <c r="B114">
        <f t="shared" ca="1" si="60"/>
        <v>378</v>
      </c>
      <c r="C114">
        <f t="shared" ca="1" si="61"/>
        <v>13</v>
      </c>
      <c r="D114">
        <f t="shared" ca="1" si="62"/>
        <v>0.26245523396239295</v>
      </c>
      <c r="F114" s="1">
        <f t="shared" ca="1" si="63"/>
        <v>44</v>
      </c>
      <c r="G114" s="1">
        <f t="shared" ca="1" si="64"/>
        <v>7</v>
      </c>
      <c r="H114" s="1">
        <f t="shared" ca="1" si="65"/>
        <v>14</v>
      </c>
      <c r="I114" s="1"/>
      <c r="J114" s="1">
        <f t="shared" ca="1" si="66"/>
        <v>27</v>
      </c>
      <c r="K114" s="1">
        <f t="shared" ca="1" si="67"/>
        <v>2.1791655234883009</v>
      </c>
      <c r="L114" s="1">
        <f t="shared" ca="1" si="68"/>
        <v>18</v>
      </c>
      <c r="M114" s="1"/>
      <c r="N114" s="1">
        <f t="shared" ca="1" si="69"/>
        <v>510</v>
      </c>
      <c r="O114" s="1">
        <f t="shared" ca="1" si="70"/>
        <v>46</v>
      </c>
      <c r="P114" s="1"/>
      <c r="Q114" s="1">
        <f t="shared" ca="1" si="71"/>
        <v>1.6153813215473907</v>
      </c>
      <c r="R114" s="1">
        <f t="shared" ca="1" si="72"/>
        <v>210</v>
      </c>
      <c r="S114" s="1"/>
      <c r="T114" s="1">
        <f t="shared" ca="1" si="73"/>
        <v>0.11649239111370245</v>
      </c>
      <c r="U114" s="1">
        <f t="shared" ca="1" si="74"/>
        <v>339</v>
      </c>
      <c r="V114" s="1">
        <f t="shared" ca="1" si="75"/>
        <v>23</v>
      </c>
      <c r="W114" s="1"/>
      <c r="X114" s="1">
        <f t="shared" ca="1" si="76"/>
        <v>8.166371579690237</v>
      </c>
      <c r="Y114" s="1">
        <f t="shared" ca="1" si="77"/>
        <v>0.17765602694488172</v>
      </c>
      <c r="Z114" s="1">
        <f t="shared" ca="1" si="78"/>
        <v>1791</v>
      </c>
      <c r="AB114" s="1">
        <f t="shared" ca="1" si="79"/>
        <v>0.54575327694797959</v>
      </c>
      <c r="AC114" s="1">
        <f t="shared" ca="1" si="80"/>
        <v>722</v>
      </c>
      <c r="AD114" s="1">
        <f t="shared" ca="1" si="81"/>
        <v>9.4918161663208149E-3</v>
      </c>
      <c r="AE114" s="1"/>
      <c r="AF114" s="1">
        <f t="shared" ca="1" si="82"/>
        <v>0.57503672584756904</v>
      </c>
      <c r="AG114" s="1">
        <f t="shared" ca="1" si="83"/>
        <v>275</v>
      </c>
      <c r="AH114" s="1">
        <f t="shared" ca="1" si="84"/>
        <v>6.4448697958079115E-3</v>
      </c>
      <c r="AJ114" s="1">
        <f t="shared" ca="1" si="85"/>
        <v>6.8583387553071806E-2</v>
      </c>
      <c r="AK114" s="1">
        <f t="shared" ca="1" si="86"/>
        <v>6.394087060078631E-3</v>
      </c>
      <c r="AL114" s="1"/>
      <c r="AM114" s="1">
        <f t="shared" ca="1" si="87"/>
        <v>9.2794328487908126E-2</v>
      </c>
      <c r="AN114" s="1">
        <f t="shared" ca="1" si="88"/>
        <v>34</v>
      </c>
      <c r="AO114" s="1">
        <f t="shared" ca="1" si="89"/>
        <v>6</v>
      </c>
      <c r="AQ114" s="1">
        <f t="shared" ca="1" si="90"/>
        <v>194</v>
      </c>
      <c r="AR114" s="1">
        <f t="shared" ca="1" si="91"/>
        <v>2</v>
      </c>
      <c r="AS114" s="1">
        <f t="shared" ca="1" si="92"/>
        <v>1</v>
      </c>
      <c r="AU114" s="1">
        <f t="shared" ca="1" si="93"/>
        <v>113</v>
      </c>
      <c r="AV114" s="1">
        <f t="shared" ca="1" si="94"/>
        <v>5</v>
      </c>
      <c r="AW114" s="1">
        <f t="shared" ca="1" si="95"/>
        <v>0.16788097247821951</v>
      </c>
      <c r="AY114" s="1">
        <f t="shared" ca="1" si="96"/>
        <v>1.7582261892120155</v>
      </c>
      <c r="AZ114" s="1">
        <f t="shared" ca="1" si="97"/>
        <v>402</v>
      </c>
      <c r="BA114" s="1">
        <f t="shared" ca="1" si="98"/>
        <v>9.2657611231533737E-3</v>
      </c>
      <c r="BV114" s="1">
        <f t="shared" ca="1" si="99"/>
        <v>0.21896793950112325</v>
      </c>
      <c r="BW114" s="1">
        <f t="shared" ca="1" si="100"/>
        <v>679</v>
      </c>
      <c r="BX114" s="1">
        <f t="shared" ca="1" si="101"/>
        <v>3.3381179348439178E-3</v>
      </c>
      <c r="BY114" s="1">
        <f t="shared" ca="1" si="102"/>
        <v>4.0687537191947509E-2</v>
      </c>
      <c r="BZ114" s="1">
        <f t="shared" ca="1" si="103"/>
        <v>0.68649937157406349</v>
      </c>
      <c r="CB114" s="1">
        <f t="shared" ca="1" si="104"/>
        <v>391</v>
      </c>
      <c r="CC114" s="1">
        <f t="shared" ca="1" si="105"/>
        <v>5</v>
      </c>
      <c r="CD114" s="1">
        <f t="shared" ca="1" si="106"/>
        <v>0.1178194079322042</v>
      </c>
      <c r="CE114" s="1">
        <f t="shared" ca="1" si="119"/>
        <v>0.53389520071596697</v>
      </c>
      <c r="CF114" s="1">
        <f t="shared" ca="1" si="119"/>
        <v>0.7497625686024707</v>
      </c>
      <c r="CH114" s="3">
        <f t="shared" ca="1" si="108"/>
        <v>0.88934178017212806</v>
      </c>
      <c r="CI114" s="3">
        <f t="shared" ca="1" si="109"/>
        <v>0.12571601510262609</v>
      </c>
      <c r="CJ114" s="3">
        <f t="shared" ca="1" si="110"/>
        <v>1925</v>
      </c>
      <c r="CK114" s="3">
        <f t="shared" ca="1" si="111"/>
        <v>1.8196558681403937E-3</v>
      </c>
      <c r="CL114" s="3">
        <f t="shared" ca="1" si="112"/>
        <v>1</v>
      </c>
      <c r="CM114" s="3"/>
      <c r="CN114" s="1">
        <f t="shared" ca="1" si="113"/>
        <v>19.925888643716217</v>
      </c>
      <c r="CO114" s="1">
        <f t="shared" ca="1" si="114"/>
        <v>0.17396019201355351</v>
      </c>
      <c r="CP114" s="1">
        <f t="shared" ca="1" si="115"/>
        <v>2</v>
      </c>
      <c r="DH114" s="1">
        <f t="shared" ca="1" si="116"/>
        <v>812</v>
      </c>
      <c r="DI114" s="1">
        <f t="shared" ca="1" si="117"/>
        <v>0.50114437138698809</v>
      </c>
      <c r="DJ114" s="1">
        <f t="shared" ca="1" si="118"/>
        <v>4</v>
      </c>
    </row>
    <row r="115" spans="2:114" x14ac:dyDescent="0.25">
      <c r="B115">
        <f t="shared" ca="1" si="60"/>
        <v>232</v>
      </c>
      <c r="C115">
        <f t="shared" ca="1" si="61"/>
        <v>14</v>
      </c>
      <c r="D115">
        <f t="shared" ca="1" si="62"/>
        <v>9.3405833256817505E-2</v>
      </c>
      <c r="F115" s="1">
        <f t="shared" ca="1" si="63"/>
        <v>48</v>
      </c>
      <c r="G115" s="1">
        <f t="shared" ca="1" si="64"/>
        <v>17</v>
      </c>
      <c r="H115" s="1">
        <f t="shared" ca="1" si="65"/>
        <v>14</v>
      </c>
      <c r="I115" s="1"/>
      <c r="J115" s="1">
        <f t="shared" ca="1" si="66"/>
        <v>29</v>
      </c>
      <c r="K115" s="1">
        <f t="shared" ca="1" si="67"/>
        <v>2.4365259990886292</v>
      </c>
      <c r="L115" s="1">
        <f t="shared" ca="1" si="68"/>
        <v>10</v>
      </c>
      <c r="M115" s="1"/>
      <c r="N115" s="1">
        <f t="shared" ca="1" si="69"/>
        <v>468</v>
      </c>
      <c r="O115" s="1">
        <f t="shared" ca="1" si="70"/>
        <v>26</v>
      </c>
      <c r="P115" s="1"/>
      <c r="Q115" s="1">
        <f t="shared" ca="1" si="71"/>
        <v>1.0134955275677187</v>
      </c>
      <c r="R115" s="1">
        <f t="shared" ca="1" si="72"/>
        <v>472</v>
      </c>
      <c r="S115" s="1"/>
      <c r="T115" s="1">
        <f t="shared" ca="1" si="73"/>
        <v>7.6372169640274934E-2</v>
      </c>
      <c r="U115" s="1">
        <f t="shared" ca="1" si="74"/>
        <v>167</v>
      </c>
      <c r="V115" s="1">
        <f t="shared" ca="1" si="75"/>
        <v>31</v>
      </c>
      <c r="W115" s="1"/>
      <c r="X115" s="1">
        <f t="shared" ca="1" si="76"/>
        <v>0.43632965338780416</v>
      </c>
      <c r="Y115" s="1">
        <f t="shared" ca="1" si="77"/>
        <v>0.96597032132758698</v>
      </c>
      <c r="Z115" s="1">
        <f t="shared" ca="1" si="78"/>
        <v>1751</v>
      </c>
      <c r="AB115" s="1">
        <f t="shared" ca="1" si="79"/>
        <v>9.5654959649293464E-2</v>
      </c>
      <c r="AC115" s="1">
        <f t="shared" ca="1" si="80"/>
        <v>940</v>
      </c>
      <c r="AD115" s="1">
        <f t="shared" ca="1" si="81"/>
        <v>4.4053767009865318E-3</v>
      </c>
      <c r="AE115" s="1"/>
      <c r="AF115" s="1">
        <f t="shared" ca="1" si="82"/>
        <v>0.81781206957056707</v>
      </c>
      <c r="AG115" s="1">
        <f t="shared" ca="1" si="83"/>
        <v>753</v>
      </c>
      <c r="AH115" s="1">
        <f t="shared" ca="1" si="84"/>
        <v>9.2911873389196487E-3</v>
      </c>
      <c r="AJ115" s="1">
        <f t="shared" ca="1" si="85"/>
        <v>0.42872202331297982</v>
      </c>
      <c r="AK115" s="1">
        <f t="shared" ca="1" si="86"/>
        <v>4.8793741756419703E-3</v>
      </c>
      <c r="AL115" s="1"/>
      <c r="AM115" s="1">
        <f t="shared" ca="1" si="87"/>
        <v>0.11874263621720015</v>
      </c>
      <c r="AN115" s="1">
        <f t="shared" ca="1" si="88"/>
        <v>78</v>
      </c>
      <c r="AO115" s="1">
        <f t="shared" ca="1" si="89"/>
        <v>16</v>
      </c>
      <c r="AQ115" s="1">
        <f t="shared" ca="1" si="90"/>
        <v>125</v>
      </c>
      <c r="AR115" s="1">
        <f t="shared" ca="1" si="91"/>
        <v>5</v>
      </c>
      <c r="AS115" s="1">
        <f t="shared" ca="1" si="92"/>
        <v>51</v>
      </c>
      <c r="AU115" s="1">
        <f t="shared" ca="1" si="93"/>
        <v>281</v>
      </c>
      <c r="AV115" s="1">
        <f t="shared" ca="1" si="94"/>
        <v>10</v>
      </c>
      <c r="AW115" s="1">
        <f t="shared" ca="1" si="95"/>
        <v>0.12738501219898787</v>
      </c>
      <c r="AY115" s="1">
        <f t="shared" ca="1" si="96"/>
        <v>1.88774004101036</v>
      </c>
      <c r="AZ115" s="1">
        <f t="shared" ca="1" si="97"/>
        <v>488</v>
      </c>
      <c r="BA115" s="1">
        <f t="shared" ca="1" si="98"/>
        <v>7.8961949898692287E-3</v>
      </c>
      <c r="BV115" s="1">
        <f t="shared" ca="1" si="99"/>
        <v>4.4950397234196825E-2</v>
      </c>
      <c r="BW115" s="1">
        <f t="shared" ca="1" si="100"/>
        <v>956</v>
      </c>
      <c r="BX115" s="1">
        <f t="shared" ca="1" si="101"/>
        <v>7.5143563708897116E-4</v>
      </c>
      <c r="BY115" s="1">
        <f t="shared" ca="1" si="102"/>
        <v>2.8928490403955068E-2</v>
      </c>
      <c r="BZ115" s="1">
        <f t="shared" ca="1" si="103"/>
        <v>0.87968315488277793</v>
      </c>
      <c r="CB115" s="1">
        <f t="shared" ca="1" si="104"/>
        <v>353</v>
      </c>
      <c r="CC115" s="1">
        <f t="shared" ca="1" si="105"/>
        <v>11</v>
      </c>
      <c r="CD115" s="1">
        <f t="shared" ca="1" si="106"/>
        <v>0.27474126123453929</v>
      </c>
      <c r="CE115" s="1">
        <f t="shared" ca="1" si="119"/>
        <v>0.87023927708638726</v>
      </c>
      <c r="CF115" s="1">
        <f t="shared" ca="1" si="119"/>
        <v>0.80121580799793035</v>
      </c>
      <c r="CH115" s="3">
        <f t="shared" ca="1" si="108"/>
        <v>0.66031218444876127</v>
      </c>
      <c r="CI115" s="3">
        <f t="shared" ca="1" si="109"/>
        <v>0.5832465955139744</v>
      </c>
      <c r="CJ115" s="3">
        <f t="shared" ca="1" si="110"/>
        <v>1953</v>
      </c>
      <c r="CK115" s="3">
        <f t="shared" ca="1" si="111"/>
        <v>4.8490680254808984E-3</v>
      </c>
      <c r="CL115" s="3">
        <f t="shared" ca="1" si="112"/>
        <v>1</v>
      </c>
      <c r="CM115" s="3"/>
      <c r="CN115" s="1">
        <f t="shared" ca="1" si="113"/>
        <v>1.9102615999233212</v>
      </c>
      <c r="CO115" s="1">
        <f t="shared" ca="1" si="114"/>
        <v>0.20762246344871765</v>
      </c>
      <c r="CP115" s="1">
        <f t="shared" ca="1" si="115"/>
        <v>5</v>
      </c>
      <c r="DH115" s="1">
        <f t="shared" ca="1" si="116"/>
        <v>802</v>
      </c>
      <c r="DI115" s="1">
        <f t="shared" ca="1" si="117"/>
        <v>0.5732791795163773</v>
      </c>
      <c r="DJ115" s="1">
        <f t="shared" ca="1" si="118"/>
        <v>26</v>
      </c>
    </row>
    <row r="116" spans="2:114" x14ac:dyDescent="0.25">
      <c r="B116">
        <f t="shared" ca="1" si="60"/>
        <v>312</v>
      </c>
      <c r="C116">
        <f t="shared" ca="1" si="61"/>
        <v>32</v>
      </c>
      <c r="D116">
        <f t="shared" ca="1" si="62"/>
        <v>1.1442385756428688E-2</v>
      </c>
      <c r="F116" s="1">
        <f t="shared" ca="1" si="63"/>
        <v>10</v>
      </c>
      <c r="G116" s="1">
        <f t="shared" ca="1" si="64"/>
        <v>17</v>
      </c>
      <c r="H116" s="1">
        <f t="shared" ca="1" si="65"/>
        <v>4</v>
      </c>
      <c r="I116" s="1"/>
      <c r="J116" s="1">
        <f t="shared" ca="1" si="66"/>
        <v>39</v>
      </c>
      <c r="K116" s="1">
        <f t="shared" ca="1" si="67"/>
        <v>2.8229501436097979</v>
      </c>
      <c r="L116" s="1">
        <f t="shared" ca="1" si="68"/>
        <v>8</v>
      </c>
      <c r="M116" s="1"/>
      <c r="N116" s="1">
        <f t="shared" ca="1" si="69"/>
        <v>738</v>
      </c>
      <c r="O116" s="1">
        <f t="shared" ca="1" si="70"/>
        <v>13</v>
      </c>
      <c r="P116" s="1"/>
      <c r="Q116" s="1">
        <f t="shared" ca="1" si="71"/>
        <v>1.4851488258282004</v>
      </c>
      <c r="R116" s="1">
        <f t="shared" ca="1" si="72"/>
        <v>806</v>
      </c>
      <c r="S116" s="1"/>
      <c r="T116" s="1">
        <f t="shared" ca="1" si="73"/>
        <v>8.2251468728720856E-2</v>
      </c>
      <c r="U116" s="1">
        <f t="shared" ca="1" si="74"/>
        <v>295</v>
      </c>
      <c r="V116" s="1">
        <f t="shared" ca="1" si="75"/>
        <v>21</v>
      </c>
      <c r="W116" s="1"/>
      <c r="X116" s="1">
        <f t="shared" ca="1" si="76"/>
        <v>6.3258675267619449</v>
      </c>
      <c r="Y116" s="1">
        <f t="shared" ca="1" si="77"/>
        <v>0.58675407961809511</v>
      </c>
      <c r="Z116" s="1">
        <f t="shared" ca="1" si="78"/>
        <v>1325</v>
      </c>
      <c r="AB116" s="1">
        <f t="shared" ca="1" si="79"/>
        <v>3.1541606396019099E-2</v>
      </c>
      <c r="AC116" s="1">
        <f t="shared" ca="1" si="80"/>
        <v>405</v>
      </c>
      <c r="AD116" s="1">
        <f t="shared" ca="1" si="81"/>
        <v>8.7288775862325134E-3</v>
      </c>
      <c r="AE116" s="1"/>
      <c r="AF116" s="1">
        <f t="shared" ca="1" si="82"/>
        <v>0.46358856726897324</v>
      </c>
      <c r="AG116" s="1">
        <f t="shared" ca="1" si="83"/>
        <v>960</v>
      </c>
      <c r="AH116" s="1">
        <f t="shared" ca="1" si="84"/>
        <v>3.4270882798778644E-3</v>
      </c>
      <c r="AJ116" s="1">
        <f t="shared" ca="1" si="85"/>
        <v>0.75407603465363204</v>
      </c>
      <c r="AK116" s="1">
        <f t="shared" ca="1" si="86"/>
        <v>5.9729025144128643E-3</v>
      </c>
      <c r="AL116" s="1"/>
      <c r="AM116" s="1">
        <f t="shared" ca="1" si="87"/>
        <v>0.14458160011946114</v>
      </c>
      <c r="AN116" s="1">
        <f t="shared" ca="1" si="88"/>
        <v>11</v>
      </c>
      <c r="AO116" s="1">
        <f t="shared" ca="1" si="89"/>
        <v>6</v>
      </c>
      <c r="AQ116" s="1">
        <f t="shared" ca="1" si="90"/>
        <v>177</v>
      </c>
      <c r="AR116" s="1">
        <f t="shared" ca="1" si="91"/>
        <v>4</v>
      </c>
      <c r="AS116" s="1">
        <f t="shared" ca="1" si="92"/>
        <v>59</v>
      </c>
      <c r="AU116" s="1">
        <f t="shared" ca="1" si="93"/>
        <v>88</v>
      </c>
      <c r="AV116" s="1">
        <f t="shared" ca="1" si="94"/>
        <v>9</v>
      </c>
      <c r="AW116" s="1">
        <f t="shared" ca="1" si="95"/>
        <v>0.1779048036122157</v>
      </c>
      <c r="AY116" s="1">
        <f t="shared" ca="1" si="96"/>
        <v>1.8097807536502442</v>
      </c>
      <c r="AZ116" s="1">
        <f t="shared" ca="1" si="97"/>
        <v>314</v>
      </c>
      <c r="BA116" s="1">
        <f t="shared" ca="1" si="98"/>
        <v>3.9676128628603804E-4</v>
      </c>
      <c r="BV116" s="1">
        <f t="shared" ca="1" si="99"/>
        <v>0.9139482590559983</v>
      </c>
      <c r="BW116" s="1">
        <f t="shared" ca="1" si="100"/>
        <v>974</v>
      </c>
      <c r="BX116" s="1">
        <f t="shared" ca="1" si="101"/>
        <v>2.2925996025352884E-3</v>
      </c>
      <c r="BY116" s="1">
        <f t="shared" ca="1" si="102"/>
        <v>3.1411425684066983E-2</v>
      </c>
      <c r="BZ116" s="1">
        <f t="shared" ca="1" si="103"/>
        <v>0.73572326907981089</v>
      </c>
      <c r="CB116" s="1">
        <f t="shared" ca="1" si="104"/>
        <v>445</v>
      </c>
      <c r="CC116" s="1">
        <f t="shared" ca="1" si="105"/>
        <v>3</v>
      </c>
      <c r="CD116" s="1">
        <f t="shared" ca="1" si="106"/>
        <v>0.10614395466423376</v>
      </c>
      <c r="CE116" s="1">
        <f t="shared" ca="1" si="119"/>
        <v>0.54589723618301345</v>
      </c>
      <c r="CF116" s="1">
        <f t="shared" ca="1" si="119"/>
        <v>0.68638641054064109</v>
      </c>
      <c r="CH116" s="3">
        <f t="shared" ca="1" si="108"/>
        <v>0.32151470506162333</v>
      </c>
      <c r="CI116" s="3">
        <f t="shared" ca="1" si="109"/>
        <v>0.43815071514092885</v>
      </c>
      <c r="CJ116" s="3">
        <f t="shared" ca="1" si="110"/>
        <v>1065</v>
      </c>
      <c r="CK116" s="3">
        <f t="shared" ca="1" si="111"/>
        <v>3.0707337791136507E-3</v>
      </c>
      <c r="CL116" s="3">
        <f t="shared" ca="1" si="112"/>
        <v>0</v>
      </c>
      <c r="CM116" s="3"/>
      <c r="CN116" s="1">
        <f t="shared" ca="1" si="113"/>
        <v>11.572540379480312</v>
      </c>
      <c r="CO116" s="1">
        <f t="shared" ca="1" si="114"/>
        <v>0.16804837842465395</v>
      </c>
      <c r="CP116" s="1">
        <f t="shared" ca="1" si="115"/>
        <v>3</v>
      </c>
      <c r="DH116" s="1">
        <f t="shared" ca="1" si="116"/>
        <v>374</v>
      </c>
      <c r="DI116" s="1">
        <f t="shared" ca="1" si="117"/>
        <v>0.33475908123602521</v>
      </c>
      <c r="DJ116" s="1">
        <f t="shared" ca="1" si="118"/>
        <v>27</v>
      </c>
    </row>
    <row r="117" spans="2:114" x14ac:dyDescent="0.25">
      <c r="B117">
        <f t="shared" ca="1" si="60"/>
        <v>644</v>
      </c>
      <c r="C117">
        <f t="shared" ca="1" si="61"/>
        <v>10</v>
      </c>
      <c r="D117">
        <f t="shared" ca="1" si="62"/>
        <v>0.14863418175285362</v>
      </c>
      <c r="F117" s="1">
        <f t="shared" ca="1" si="63"/>
        <v>7</v>
      </c>
      <c r="G117" s="1">
        <f t="shared" ca="1" si="64"/>
        <v>26</v>
      </c>
      <c r="H117" s="1">
        <f t="shared" ca="1" si="65"/>
        <v>9</v>
      </c>
      <c r="I117" s="1"/>
      <c r="J117" s="1">
        <f t="shared" ca="1" si="66"/>
        <v>16</v>
      </c>
      <c r="K117" s="1">
        <f t="shared" ca="1" si="67"/>
        <v>1.6089619202273786</v>
      </c>
      <c r="L117" s="1">
        <f t="shared" ca="1" si="68"/>
        <v>6</v>
      </c>
      <c r="M117" s="1"/>
      <c r="N117" s="1">
        <f t="shared" ca="1" si="69"/>
        <v>691</v>
      </c>
      <c r="O117" s="1">
        <f t="shared" ca="1" si="70"/>
        <v>43</v>
      </c>
      <c r="P117" s="1"/>
      <c r="Q117" s="1">
        <f t="shared" ca="1" si="71"/>
        <v>4.793014900511265</v>
      </c>
      <c r="R117" s="1">
        <f t="shared" ca="1" si="72"/>
        <v>690</v>
      </c>
      <c r="S117" s="1"/>
      <c r="T117" s="1">
        <f t="shared" ca="1" si="73"/>
        <v>2.8279699912637256E-2</v>
      </c>
      <c r="U117" s="1">
        <f t="shared" ca="1" si="74"/>
        <v>199</v>
      </c>
      <c r="V117" s="1">
        <f t="shared" ca="1" si="75"/>
        <v>27</v>
      </c>
      <c r="W117" s="1"/>
      <c r="X117" s="1">
        <f t="shared" ca="1" si="76"/>
        <v>0.34142466848508912</v>
      </c>
      <c r="Y117" s="1">
        <f t="shared" ca="1" si="77"/>
        <v>0.32874359448927987</v>
      </c>
      <c r="Z117" s="1">
        <f t="shared" ca="1" si="78"/>
        <v>902</v>
      </c>
      <c r="AB117" s="1">
        <f t="shared" ca="1" si="79"/>
        <v>0.61849428869177314</v>
      </c>
      <c r="AC117" s="1">
        <f t="shared" ca="1" si="80"/>
        <v>136</v>
      </c>
      <c r="AD117" s="1">
        <f t="shared" ca="1" si="81"/>
        <v>3.7121327604980694E-3</v>
      </c>
      <c r="AE117" s="1"/>
      <c r="AF117" s="1">
        <f t="shared" ca="1" si="82"/>
        <v>0.79369558816863317</v>
      </c>
      <c r="AG117" s="1">
        <f t="shared" ca="1" si="83"/>
        <v>680</v>
      </c>
      <c r="AH117" s="1">
        <f t="shared" ca="1" si="84"/>
        <v>3.4681427673455513E-3</v>
      </c>
      <c r="AJ117" s="1">
        <f t="shared" ca="1" si="85"/>
        <v>0.55756003264558529</v>
      </c>
      <c r="AK117" s="1">
        <f t="shared" ca="1" si="86"/>
        <v>4.0562968547232297E-3</v>
      </c>
      <c r="AL117" s="1"/>
      <c r="AM117" s="1">
        <f t="shared" ca="1" si="87"/>
        <v>5.6487898266995629E-2</v>
      </c>
      <c r="AN117" s="1">
        <f t="shared" ca="1" si="88"/>
        <v>62</v>
      </c>
      <c r="AO117" s="1">
        <f t="shared" ca="1" si="89"/>
        <v>-1</v>
      </c>
      <c r="AQ117" s="1">
        <f t="shared" ca="1" si="90"/>
        <v>52</v>
      </c>
      <c r="AR117" s="1">
        <f t="shared" ca="1" si="91"/>
        <v>5</v>
      </c>
      <c r="AS117" s="1">
        <f t="shared" ca="1" si="92"/>
        <v>67</v>
      </c>
      <c r="AU117" s="1">
        <f t="shared" ca="1" si="93"/>
        <v>161</v>
      </c>
      <c r="AV117" s="1">
        <f t="shared" ca="1" si="94"/>
        <v>2</v>
      </c>
      <c r="AW117" s="1">
        <f t="shared" ca="1" si="95"/>
        <v>0.14267950176634231</v>
      </c>
      <c r="AY117" s="1">
        <f t="shared" ca="1" si="96"/>
        <v>1.8577317140085934</v>
      </c>
      <c r="AZ117" s="1">
        <f t="shared" ca="1" si="97"/>
        <v>53</v>
      </c>
      <c r="BA117" s="1">
        <f t="shared" ca="1" si="98"/>
        <v>4.3315346585030747E-3</v>
      </c>
      <c r="BV117" s="1">
        <f t="shared" ca="1" si="99"/>
        <v>0.29862093791330618</v>
      </c>
      <c r="BW117" s="1">
        <f t="shared" ca="1" si="100"/>
        <v>967</v>
      </c>
      <c r="BX117" s="1">
        <f t="shared" ca="1" si="101"/>
        <v>4.1076315221828747E-3</v>
      </c>
      <c r="BY117" s="1">
        <f t="shared" ca="1" si="102"/>
        <v>6.2959391536877032E-2</v>
      </c>
      <c r="BZ117" s="1">
        <f t="shared" ca="1" si="103"/>
        <v>0.89117818178531416</v>
      </c>
      <c r="CB117" s="1">
        <f t="shared" ca="1" si="104"/>
        <v>56</v>
      </c>
      <c r="CC117" s="1">
        <f t="shared" ca="1" si="105"/>
        <v>12</v>
      </c>
      <c r="CD117" s="1">
        <f t="shared" ca="1" si="106"/>
        <v>0.18661851353761352</v>
      </c>
      <c r="CE117" s="1">
        <f t="shared" ca="1" si="119"/>
        <v>0.55435329790502408</v>
      </c>
      <c r="CF117" s="1">
        <f t="shared" ca="1" si="119"/>
        <v>0.70377177492466836</v>
      </c>
      <c r="CH117" s="3">
        <f t="shared" ca="1" si="108"/>
        <v>0.74942940154279891</v>
      </c>
      <c r="CI117" s="3">
        <f t="shared" ca="1" si="109"/>
        <v>0.81255157482158757</v>
      </c>
      <c r="CJ117" s="3">
        <f t="shared" ca="1" si="110"/>
        <v>644</v>
      </c>
      <c r="CK117" s="3">
        <f t="shared" ca="1" si="111"/>
        <v>6.7702194016415725E-3</v>
      </c>
      <c r="CL117" s="3">
        <f t="shared" ca="1" si="112"/>
        <v>0</v>
      </c>
      <c r="CM117" s="3"/>
      <c r="CN117" s="1">
        <f t="shared" ca="1" si="113"/>
        <v>7.2267042764904037</v>
      </c>
      <c r="CO117" s="1">
        <f t="shared" ca="1" si="114"/>
        <v>0.42672257603611602</v>
      </c>
      <c r="CP117" s="1">
        <f t="shared" ca="1" si="115"/>
        <v>5</v>
      </c>
      <c r="DH117" s="1">
        <f t="shared" ca="1" si="116"/>
        <v>112</v>
      </c>
      <c r="DI117" s="1">
        <f t="shared" ca="1" si="117"/>
        <v>0.302385943482744</v>
      </c>
      <c r="DJ117" s="1">
        <f t="shared" ca="1" si="118"/>
        <v>22</v>
      </c>
    </row>
    <row r="118" spans="2:114" x14ac:dyDescent="0.25">
      <c r="B118">
        <f t="shared" ca="1" si="60"/>
        <v>204</v>
      </c>
      <c r="C118">
        <f t="shared" ca="1" si="61"/>
        <v>43</v>
      </c>
      <c r="D118">
        <f t="shared" ca="1" si="62"/>
        <v>8.6756901357933333E-2</v>
      </c>
      <c r="F118" s="1">
        <f t="shared" ca="1" si="63"/>
        <v>41</v>
      </c>
      <c r="G118" s="1">
        <f t="shared" ca="1" si="64"/>
        <v>30</v>
      </c>
      <c r="H118" s="1">
        <f t="shared" ca="1" si="65"/>
        <v>1</v>
      </c>
      <c r="I118" s="1"/>
      <c r="J118" s="1">
        <f t="shared" ca="1" si="66"/>
        <v>38</v>
      </c>
      <c r="K118" s="1">
        <f t="shared" ca="1" si="67"/>
        <v>1.1179772297236406</v>
      </c>
      <c r="L118" s="1">
        <f t="shared" ca="1" si="68"/>
        <v>14</v>
      </c>
      <c r="M118" s="1"/>
      <c r="N118" s="1">
        <f t="shared" ca="1" si="69"/>
        <v>366</v>
      </c>
      <c r="O118" s="1">
        <f t="shared" ca="1" si="70"/>
        <v>30</v>
      </c>
      <c r="P118" s="1"/>
      <c r="Q118" s="1">
        <f t="shared" ca="1" si="71"/>
        <v>2.0237874934306284</v>
      </c>
      <c r="R118" s="1">
        <f t="shared" ca="1" si="72"/>
        <v>418</v>
      </c>
      <c r="S118" s="1"/>
      <c r="T118" s="1">
        <f t="shared" ca="1" si="73"/>
        <v>0.1289081726132642</v>
      </c>
      <c r="U118" s="1">
        <f t="shared" ca="1" si="74"/>
        <v>399</v>
      </c>
      <c r="V118" s="1">
        <f t="shared" ca="1" si="75"/>
        <v>16</v>
      </c>
      <c r="W118" s="1"/>
      <c r="X118" s="1">
        <f t="shared" ca="1" si="76"/>
        <v>6.4357039238489229</v>
      </c>
      <c r="Y118" s="1">
        <f t="shared" ca="1" si="77"/>
        <v>0.63137928368694152</v>
      </c>
      <c r="Z118" s="1">
        <f t="shared" ca="1" si="78"/>
        <v>1647</v>
      </c>
      <c r="AB118" s="1">
        <f t="shared" ca="1" si="79"/>
        <v>0.84383671247749881</v>
      </c>
      <c r="AC118" s="1">
        <f t="shared" ca="1" si="80"/>
        <v>770</v>
      </c>
      <c r="AD118" s="1">
        <f t="shared" ca="1" si="81"/>
        <v>3.6214264028418654E-3</v>
      </c>
      <c r="AE118" s="1"/>
      <c r="AF118" s="1">
        <f t="shared" ca="1" si="82"/>
        <v>0.76397292224968527</v>
      </c>
      <c r="AG118" s="1">
        <f t="shared" ca="1" si="83"/>
        <v>677</v>
      </c>
      <c r="AH118" s="1">
        <f t="shared" ca="1" si="84"/>
        <v>6.9839972167516492E-3</v>
      </c>
      <c r="AJ118" s="1">
        <f t="shared" ca="1" si="85"/>
        <v>3.343081866290154E-2</v>
      </c>
      <c r="AK118" s="1">
        <f t="shared" ca="1" si="86"/>
        <v>1.6300134658372833E-3</v>
      </c>
      <c r="AL118" s="1"/>
      <c r="AM118" s="1">
        <f t="shared" ca="1" si="87"/>
        <v>0.16339661800673036</v>
      </c>
      <c r="AN118" s="1">
        <f t="shared" ca="1" si="88"/>
        <v>60</v>
      </c>
      <c r="AO118" s="1">
        <f t="shared" ca="1" si="89"/>
        <v>0</v>
      </c>
      <c r="AQ118" s="1">
        <f t="shared" ca="1" si="90"/>
        <v>173</v>
      </c>
      <c r="AR118" s="1">
        <f t="shared" ca="1" si="91"/>
        <v>8</v>
      </c>
      <c r="AS118" s="1">
        <f t="shared" ca="1" si="92"/>
        <v>11</v>
      </c>
      <c r="AU118" s="1">
        <f t="shared" ca="1" si="93"/>
        <v>194</v>
      </c>
      <c r="AV118" s="1">
        <f t="shared" ca="1" si="94"/>
        <v>2</v>
      </c>
      <c r="AW118" s="1">
        <f t="shared" ca="1" si="95"/>
        <v>0.16605698258349091</v>
      </c>
      <c r="AY118" s="1">
        <f t="shared" ca="1" si="96"/>
        <v>1.9339967455959501</v>
      </c>
      <c r="AZ118" s="1">
        <f t="shared" ca="1" si="97"/>
        <v>66</v>
      </c>
      <c r="BA118" s="1">
        <f t="shared" ca="1" si="98"/>
        <v>6.5272589947149859E-3</v>
      </c>
      <c r="BV118" s="1">
        <f t="shared" ca="1" si="99"/>
        <v>0.44862122650478964</v>
      </c>
      <c r="BW118" s="1">
        <f t="shared" ca="1" si="100"/>
        <v>158</v>
      </c>
      <c r="BX118" s="1">
        <f t="shared" ca="1" si="101"/>
        <v>9.2701238422857532E-3</v>
      </c>
      <c r="BY118" s="1">
        <f t="shared" ca="1" si="102"/>
        <v>4.610585967789943E-2</v>
      </c>
      <c r="BZ118" s="1">
        <f t="shared" ca="1" si="103"/>
        <v>0.76494844465267486</v>
      </c>
      <c r="CB118" s="1">
        <f t="shared" ca="1" si="104"/>
        <v>122</v>
      </c>
      <c r="CC118" s="1">
        <f t="shared" ca="1" si="105"/>
        <v>8</v>
      </c>
      <c r="CD118" s="1">
        <f t="shared" ca="1" si="106"/>
        <v>0.11682665031622183</v>
      </c>
      <c r="CE118" s="1">
        <f t="shared" ca="1" si="119"/>
        <v>0.63482153140150643</v>
      </c>
      <c r="CF118" s="1">
        <f t="shared" ca="1" si="119"/>
        <v>0.50096518812769264</v>
      </c>
      <c r="CH118" s="3">
        <f t="shared" ca="1" si="108"/>
        <v>0.9878979985839702</v>
      </c>
      <c r="CI118" s="3">
        <f t="shared" ca="1" si="109"/>
        <v>0.26817395361013002</v>
      </c>
      <c r="CJ118" s="3">
        <f t="shared" ca="1" si="110"/>
        <v>166</v>
      </c>
      <c r="CK118" s="3">
        <f t="shared" ca="1" si="111"/>
        <v>6.8160888073526471E-3</v>
      </c>
      <c r="CL118" s="3">
        <f t="shared" ca="1" si="112"/>
        <v>0</v>
      </c>
      <c r="CM118" s="3"/>
      <c r="CN118" s="1">
        <f t="shared" ca="1" si="113"/>
        <v>19.35266030623059</v>
      </c>
      <c r="CO118" s="1">
        <f t="shared" ca="1" si="114"/>
        <v>0.4957912952430284</v>
      </c>
      <c r="CP118" s="1">
        <f t="shared" ca="1" si="115"/>
        <v>2</v>
      </c>
      <c r="DH118" s="1">
        <f t="shared" ca="1" si="116"/>
        <v>803</v>
      </c>
      <c r="DI118" s="1">
        <f t="shared" ca="1" si="117"/>
        <v>0.51277967294724658</v>
      </c>
      <c r="DJ118" s="1">
        <f t="shared" ca="1" si="118"/>
        <v>11</v>
      </c>
    </row>
    <row r="119" spans="2:114" x14ac:dyDescent="0.25">
      <c r="B119">
        <f t="shared" ca="1" si="60"/>
        <v>241</v>
      </c>
      <c r="C119">
        <f t="shared" ca="1" si="61"/>
        <v>44</v>
      </c>
      <c r="D119">
        <f t="shared" ca="1" si="62"/>
        <v>2.6949012938263801E-2</v>
      </c>
      <c r="F119" s="1">
        <f t="shared" ca="1" si="63"/>
        <v>41</v>
      </c>
      <c r="G119" s="1">
        <f t="shared" ca="1" si="64"/>
        <v>16</v>
      </c>
      <c r="H119" s="1">
        <f t="shared" ca="1" si="65"/>
        <v>8</v>
      </c>
      <c r="I119" s="1"/>
      <c r="J119" s="1">
        <f t="shared" ca="1" si="66"/>
        <v>23</v>
      </c>
      <c r="K119" s="1">
        <f t="shared" ca="1" si="67"/>
        <v>2.13100294396305</v>
      </c>
      <c r="L119" s="1">
        <f t="shared" ca="1" si="68"/>
        <v>33</v>
      </c>
      <c r="M119" s="1"/>
      <c r="N119" s="1">
        <f t="shared" ca="1" si="69"/>
        <v>423</v>
      </c>
      <c r="O119" s="1">
        <f t="shared" ca="1" si="70"/>
        <v>15</v>
      </c>
      <c r="P119" s="1"/>
      <c r="Q119" s="1">
        <f t="shared" ca="1" si="71"/>
        <v>1.2184803668048083</v>
      </c>
      <c r="R119" s="1">
        <f t="shared" ca="1" si="72"/>
        <v>1004</v>
      </c>
      <c r="S119" s="1"/>
      <c r="T119" s="1">
        <f t="shared" ca="1" si="73"/>
        <v>3.0461570860894099E-2</v>
      </c>
      <c r="U119" s="1">
        <f t="shared" ca="1" si="74"/>
        <v>179</v>
      </c>
      <c r="V119" s="1">
        <f t="shared" ca="1" si="75"/>
        <v>9</v>
      </c>
      <c r="W119" s="1"/>
      <c r="X119" s="1">
        <f t="shared" ca="1" si="76"/>
        <v>4.7829928236165031</v>
      </c>
      <c r="Y119" s="1">
        <f t="shared" ca="1" si="77"/>
        <v>0.36596003591319581</v>
      </c>
      <c r="Z119" s="1">
        <f t="shared" ca="1" si="78"/>
        <v>141</v>
      </c>
      <c r="AB119" s="1">
        <f t="shared" ca="1" si="79"/>
        <v>1.515833794478833E-2</v>
      </c>
      <c r="AC119" s="1">
        <f t="shared" ca="1" si="80"/>
        <v>682</v>
      </c>
      <c r="AD119" s="1">
        <f t="shared" ca="1" si="81"/>
        <v>9.5828665022524868E-3</v>
      </c>
      <c r="AE119" s="1"/>
      <c r="AF119" s="1">
        <f t="shared" ca="1" si="82"/>
        <v>0.37324338784994271</v>
      </c>
      <c r="AG119" s="1">
        <f t="shared" ca="1" si="83"/>
        <v>272</v>
      </c>
      <c r="AH119" s="1">
        <f t="shared" ca="1" si="84"/>
        <v>8.5393965096315205E-3</v>
      </c>
      <c r="AJ119" s="1">
        <f t="shared" ca="1" si="85"/>
        <v>0.88775548273696048</v>
      </c>
      <c r="AK119" s="1">
        <f t="shared" ca="1" si="86"/>
        <v>5.4549957451997715E-3</v>
      </c>
      <c r="AL119" s="1"/>
      <c r="AM119" s="1">
        <f t="shared" ca="1" si="87"/>
        <v>1.0600420190956947E-2</v>
      </c>
      <c r="AN119" s="1">
        <f t="shared" ca="1" si="88"/>
        <v>11</v>
      </c>
      <c r="AO119" s="1">
        <f t="shared" ca="1" si="89"/>
        <v>20</v>
      </c>
      <c r="AQ119" s="1">
        <f t="shared" ca="1" si="90"/>
        <v>174</v>
      </c>
      <c r="AR119" s="1">
        <f t="shared" ca="1" si="91"/>
        <v>4</v>
      </c>
      <c r="AS119" s="1">
        <f t="shared" ca="1" si="92"/>
        <v>6</v>
      </c>
      <c r="AU119" s="1">
        <f t="shared" ca="1" si="93"/>
        <v>335</v>
      </c>
      <c r="AV119" s="1">
        <f t="shared" ca="1" si="94"/>
        <v>2</v>
      </c>
      <c r="AW119" s="1">
        <f t="shared" ca="1" si="95"/>
        <v>0.18408986011258849</v>
      </c>
      <c r="AY119" s="1">
        <f t="shared" ca="1" si="96"/>
        <v>1.1066787257961166</v>
      </c>
      <c r="AZ119" s="1">
        <f t="shared" ca="1" si="97"/>
        <v>487</v>
      </c>
      <c r="BA119" s="1">
        <f t="shared" ca="1" si="98"/>
        <v>7.3533470837297849E-3</v>
      </c>
      <c r="BV119" s="1">
        <f t="shared" ca="1" si="99"/>
        <v>0.23061490092724227</v>
      </c>
      <c r="BW119" s="1">
        <f t="shared" ca="1" si="100"/>
        <v>460</v>
      </c>
      <c r="BX119" s="1">
        <f t="shared" ca="1" si="101"/>
        <v>4.2366555573835054E-3</v>
      </c>
      <c r="BY119" s="1">
        <f t="shared" ca="1" si="102"/>
        <v>2.8157774029069129E-2</v>
      </c>
      <c r="BZ119" s="1">
        <f t="shared" ca="1" si="103"/>
        <v>9.6669921298049521E-2</v>
      </c>
      <c r="CB119" s="1">
        <f t="shared" ca="1" si="104"/>
        <v>238</v>
      </c>
      <c r="CC119" s="1">
        <f t="shared" ca="1" si="105"/>
        <v>8</v>
      </c>
      <c r="CD119" s="1">
        <f t="shared" ca="1" si="106"/>
        <v>0.13199113786865752</v>
      </c>
      <c r="CE119" s="1">
        <f t="shared" ca="1" si="119"/>
        <v>0.73548899809949542</v>
      </c>
      <c r="CF119" s="1">
        <f t="shared" ca="1" si="119"/>
        <v>0.90424544391314987</v>
      </c>
      <c r="CH119" s="3">
        <f t="shared" ca="1" si="108"/>
        <v>0.68230448664838939</v>
      </c>
      <c r="CI119" s="3">
        <f t="shared" ca="1" si="109"/>
        <v>0.80583647330468877</v>
      </c>
      <c r="CJ119" s="3">
        <f t="shared" ca="1" si="110"/>
        <v>1603</v>
      </c>
      <c r="CK119" s="3">
        <f t="shared" ca="1" si="111"/>
        <v>1.8436775201772105E-3</v>
      </c>
      <c r="CL119" s="3">
        <f t="shared" ca="1" si="112"/>
        <v>0</v>
      </c>
      <c r="CM119" s="3"/>
      <c r="CN119" s="1">
        <f t="shared" ca="1" si="113"/>
        <v>3.5027454606513877</v>
      </c>
      <c r="CO119" s="1">
        <f t="shared" ca="1" si="114"/>
        <v>3.0337566180575978E-2</v>
      </c>
      <c r="CP119" s="1">
        <f t="shared" ca="1" si="115"/>
        <v>2</v>
      </c>
      <c r="DH119" s="1">
        <f t="shared" ca="1" si="116"/>
        <v>836</v>
      </c>
      <c r="DI119" s="1">
        <f t="shared" ca="1" si="117"/>
        <v>0.63731255017754507</v>
      </c>
      <c r="DJ119" s="1">
        <f t="shared" ca="1" si="118"/>
        <v>11</v>
      </c>
    </row>
    <row r="120" spans="2:114" x14ac:dyDescent="0.25">
      <c r="B120">
        <f t="shared" ca="1" si="60"/>
        <v>871</v>
      </c>
      <c r="C120">
        <f t="shared" ca="1" si="61"/>
        <v>6</v>
      </c>
      <c r="D120">
        <f t="shared" ca="1" si="62"/>
        <v>0.18544829414805611</v>
      </c>
      <c r="F120" s="1">
        <f t="shared" ca="1" si="63"/>
        <v>14</v>
      </c>
      <c r="G120" s="1">
        <f t="shared" ca="1" si="64"/>
        <v>13</v>
      </c>
      <c r="H120" s="1">
        <f t="shared" ca="1" si="65"/>
        <v>14</v>
      </c>
      <c r="I120" s="1"/>
      <c r="J120" s="1">
        <f t="shared" ca="1" si="66"/>
        <v>14</v>
      </c>
      <c r="K120" s="1">
        <f t="shared" ca="1" si="67"/>
        <v>2.3928850762722695</v>
      </c>
      <c r="L120" s="1">
        <f t="shared" ca="1" si="68"/>
        <v>34</v>
      </c>
      <c r="M120" s="1"/>
      <c r="N120" s="1">
        <f t="shared" ca="1" si="69"/>
        <v>835</v>
      </c>
      <c r="O120" s="1">
        <f t="shared" ca="1" si="70"/>
        <v>49</v>
      </c>
      <c r="P120" s="1"/>
      <c r="Q120" s="1">
        <f t="shared" ca="1" si="71"/>
        <v>3.2208481520226222</v>
      </c>
      <c r="R120" s="1">
        <f t="shared" ca="1" si="72"/>
        <v>570</v>
      </c>
      <c r="S120" s="1"/>
      <c r="T120" s="1">
        <f t="shared" ca="1" si="73"/>
        <v>0.19254010837542226</v>
      </c>
      <c r="U120" s="1">
        <f t="shared" ca="1" si="74"/>
        <v>419</v>
      </c>
      <c r="V120" s="1">
        <f t="shared" ca="1" si="75"/>
        <v>30</v>
      </c>
      <c r="W120" s="1"/>
      <c r="X120" s="1">
        <f t="shared" ca="1" si="76"/>
        <v>5.8880068898146325</v>
      </c>
      <c r="Y120" s="1">
        <f t="shared" ca="1" si="77"/>
        <v>0.71379171573221079</v>
      </c>
      <c r="Z120" s="1">
        <f t="shared" ca="1" si="78"/>
        <v>1370</v>
      </c>
      <c r="AB120" s="1">
        <f t="shared" ca="1" si="79"/>
        <v>0.74153201902487809</v>
      </c>
      <c r="AC120" s="1">
        <f t="shared" ca="1" si="80"/>
        <v>214</v>
      </c>
      <c r="AD120" s="1">
        <f t="shared" ca="1" si="81"/>
        <v>9.2993001509503598E-3</v>
      </c>
      <c r="AE120" s="1"/>
      <c r="AF120" s="1">
        <f t="shared" ca="1" si="82"/>
        <v>0.48167608594378442</v>
      </c>
      <c r="AG120" s="1">
        <f t="shared" ca="1" si="83"/>
        <v>958</v>
      </c>
      <c r="AH120" s="1">
        <f t="shared" ca="1" si="84"/>
        <v>9.2905593053389229E-3</v>
      </c>
      <c r="AJ120" s="1">
        <f t="shared" ca="1" si="85"/>
        <v>0.58010666677802858</v>
      </c>
      <c r="AK120" s="1">
        <f t="shared" ca="1" si="86"/>
        <v>9.7597998941214067E-3</v>
      </c>
      <c r="AL120" s="1"/>
      <c r="AM120" s="1">
        <f t="shared" ca="1" si="87"/>
        <v>0.1326821336150702</v>
      </c>
      <c r="AN120" s="1">
        <f t="shared" ca="1" si="88"/>
        <v>43</v>
      </c>
      <c r="AO120" s="1">
        <f t="shared" ca="1" si="89"/>
        <v>11</v>
      </c>
      <c r="AQ120" s="1">
        <f t="shared" ca="1" si="90"/>
        <v>49</v>
      </c>
      <c r="AR120" s="1">
        <f t="shared" ca="1" si="91"/>
        <v>5</v>
      </c>
      <c r="AS120" s="1">
        <f t="shared" ca="1" si="92"/>
        <v>22</v>
      </c>
      <c r="AU120" s="1">
        <f t="shared" ca="1" si="93"/>
        <v>185</v>
      </c>
      <c r="AV120" s="1">
        <f t="shared" ca="1" si="94"/>
        <v>2</v>
      </c>
      <c r="AW120" s="1">
        <f t="shared" ca="1" si="95"/>
        <v>0.17475056601625716</v>
      </c>
      <c r="AY120" s="1">
        <f t="shared" ca="1" si="96"/>
        <v>1.6680091971950235</v>
      </c>
      <c r="AZ120" s="1">
        <f t="shared" ca="1" si="97"/>
        <v>371</v>
      </c>
      <c r="BA120" s="1">
        <f t="shared" ca="1" si="98"/>
        <v>7.8774494410236429E-3</v>
      </c>
      <c r="BV120" s="1">
        <f t="shared" ca="1" si="99"/>
        <v>0.8432607383125208</v>
      </c>
      <c r="BW120" s="1">
        <f t="shared" ca="1" si="100"/>
        <v>655</v>
      </c>
      <c r="BX120" s="1">
        <f t="shared" ca="1" si="101"/>
        <v>9.1674699128572734E-3</v>
      </c>
      <c r="BY120" s="1">
        <f t="shared" ca="1" si="102"/>
        <v>3.0462309608451948E-2</v>
      </c>
      <c r="BZ120" s="1">
        <f t="shared" ca="1" si="103"/>
        <v>0.54391252129372114</v>
      </c>
      <c r="CB120" s="1">
        <f t="shared" ca="1" si="104"/>
        <v>480</v>
      </c>
      <c r="CC120" s="1">
        <f t="shared" ca="1" si="105"/>
        <v>12</v>
      </c>
      <c r="CD120" s="1">
        <f t="shared" ca="1" si="106"/>
        <v>0.25697554392386307</v>
      </c>
      <c r="CE120" s="1">
        <f t="shared" ca="1" si="119"/>
        <v>0.75448280543724433</v>
      </c>
      <c r="CF120" s="1">
        <f t="shared" ca="1" si="119"/>
        <v>0.88496579406584308</v>
      </c>
      <c r="CH120" s="3">
        <f t="shared" ca="1" si="108"/>
        <v>0.87531741227610282</v>
      </c>
      <c r="CI120" s="3">
        <f t="shared" ca="1" si="109"/>
        <v>0.28741954387909974</v>
      </c>
      <c r="CJ120" s="3">
        <f t="shared" ca="1" si="110"/>
        <v>1540</v>
      </c>
      <c r="CK120" s="3">
        <f t="shared" ca="1" si="111"/>
        <v>9.3645064136331675E-3</v>
      </c>
      <c r="CL120" s="3">
        <f t="shared" ca="1" si="112"/>
        <v>1</v>
      </c>
      <c r="CM120" s="3"/>
      <c r="CN120" s="1">
        <f t="shared" ca="1" si="113"/>
        <v>16.107588048438384</v>
      </c>
      <c r="CO120" s="1">
        <f t="shared" ca="1" si="114"/>
        <v>0.16826298421035424</v>
      </c>
      <c r="CP120" s="1">
        <f t="shared" ca="1" si="115"/>
        <v>1</v>
      </c>
      <c r="DH120" s="1">
        <f t="shared" ca="1" si="116"/>
        <v>114</v>
      </c>
      <c r="DI120" s="1">
        <f t="shared" ca="1" si="117"/>
        <v>0.68547614075211949</v>
      </c>
      <c r="DJ120" s="1">
        <f t="shared" ca="1" si="118"/>
        <v>10</v>
      </c>
    </row>
    <row r="121" spans="2:114" x14ac:dyDescent="0.25">
      <c r="B121">
        <f t="shared" ca="1" si="60"/>
        <v>16</v>
      </c>
      <c r="C121">
        <f t="shared" ca="1" si="61"/>
        <v>47</v>
      </c>
      <c r="D121">
        <f t="shared" ca="1" si="62"/>
        <v>0.26038753948215265</v>
      </c>
      <c r="F121" s="1">
        <f t="shared" ca="1" si="63"/>
        <v>39</v>
      </c>
      <c r="G121" s="1">
        <f t="shared" ca="1" si="64"/>
        <v>26</v>
      </c>
      <c r="H121" s="1">
        <f t="shared" ca="1" si="65"/>
        <v>5</v>
      </c>
      <c r="I121" s="1"/>
      <c r="J121" s="1">
        <f t="shared" ca="1" si="66"/>
        <v>32</v>
      </c>
      <c r="K121" s="1">
        <f t="shared" ca="1" si="67"/>
        <v>2.2207544412181122</v>
      </c>
      <c r="L121" s="1">
        <f t="shared" ca="1" si="68"/>
        <v>11</v>
      </c>
      <c r="M121" s="1"/>
      <c r="N121" s="1">
        <f t="shared" ca="1" si="69"/>
        <v>615</v>
      </c>
      <c r="O121" s="1">
        <f t="shared" ca="1" si="70"/>
        <v>19</v>
      </c>
      <c r="P121" s="1"/>
      <c r="Q121" s="1">
        <f t="shared" ca="1" si="71"/>
        <v>4.7874831879062656</v>
      </c>
      <c r="R121" s="1">
        <f t="shared" ca="1" si="72"/>
        <v>613</v>
      </c>
      <c r="S121" s="1"/>
      <c r="T121" s="1">
        <f t="shared" ca="1" si="73"/>
        <v>1.9273812686193444E-2</v>
      </c>
      <c r="U121" s="1">
        <f t="shared" ca="1" si="74"/>
        <v>74</v>
      </c>
      <c r="V121" s="1">
        <f t="shared" ca="1" si="75"/>
        <v>9</v>
      </c>
      <c r="W121" s="1"/>
      <c r="X121" s="1">
        <f t="shared" ca="1" si="76"/>
        <v>5.0482162809029036</v>
      </c>
      <c r="Y121" s="1">
        <f t="shared" ca="1" si="77"/>
        <v>0.17119287535817504</v>
      </c>
      <c r="Z121" s="1">
        <f t="shared" ca="1" si="78"/>
        <v>1086</v>
      </c>
      <c r="AB121" s="1">
        <f t="shared" ca="1" si="79"/>
        <v>0.27993265893711516</v>
      </c>
      <c r="AC121" s="1">
        <f t="shared" ca="1" si="80"/>
        <v>162</v>
      </c>
      <c r="AD121" s="1">
        <f t="shared" ca="1" si="81"/>
        <v>6.6887312236405024E-5</v>
      </c>
      <c r="AE121" s="1"/>
      <c r="AF121" s="1">
        <f t="shared" ca="1" si="82"/>
        <v>0.18515113925101884</v>
      </c>
      <c r="AG121" s="1">
        <f t="shared" ca="1" si="83"/>
        <v>824</v>
      </c>
      <c r="AH121" s="1">
        <f t="shared" ca="1" si="84"/>
        <v>7.6525132768663568E-3</v>
      </c>
      <c r="AJ121" s="1">
        <f t="shared" ca="1" si="85"/>
        <v>0.40375071303396004</v>
      </c>
      <c r="AK121" s="1">
        <f t="shared" ca="1" si="86"/>
        <v>4.4556773101707301E-3</v>
      </c>
      <c r="AL121" s="1"/>
      <c r="AM121" s="1">
        <f t="shared" ca="1" si="87"/>
        <v>3.2734316593283824E-2</v>
      </c>
      <c r="AN121" s="1">
        <f t="shared" ca="1" si="88"/>
        <v>72</v>
      </c>
      <c r="AO121" s="1">
        <f t="shared" ca="1" si="89"/>
        <v>8</v>
      </c>
      <c r="AQ121" s="1">
        <f t="shared" ca="1" si="90"/>
        <v>26</v>
      </c>
      <c r="AR121" s="1">
        <f t="shared" ca="1" si="91"/>
        <v>5</v>
      </c>
      <c r="AS121" s="1">
        <f t="shared" ca="1" si="92"/>
        <v>20</v>
      </c>
      <c r="AU121" s="1">
        <f t="shared" ca="1" si="93"/>
        <v>295</v>
      </c>
      <c r="AV121" s="1">
        <f t="shared" ca="1" si="94"/>
        <v>6</v>
      </c>
      <c r="AW121" s="1">
        <f t="shared" ca="1" si="95"/>
        <v>0.11943306813572825</v>
      </c>
      <c r="AY121" s="1">
        <f t="shared" ca="1" si="96"/>
        <v>1.6642451918530425</v>
      </c>
      <c r="AZ121" s="1">
        <f t="shared" ca="1" si="97"/>
        <v>181</v>
      </c>
      <c r="BA121" s="1">
        <f t="shared" ca="1" si="98"/>
        <v>8.0473924579037986E-3</v>
      </c>
      <c r="BV121" s="1">
        <f t="shared" ca="1" si="99"/>
        <v>0.10493563836632953</v>
      </c>
      <c r="BW121" s="1">
        <f t="shared" ca="1" si="100"/>
        <v>335</v>
      </c>
      <c r="BX121" s="1">
        <f t="shared" ca="1" si="101"/>
        <v>7.6756508888515575E-3</v>
      </c>
      <c r="BY121" s="1">
        <f t="shared" ca="1" si="102"/>
        <v>9.1156273513260042E-2</v>
      </c>
      <c r="BZ121" s="1">
        <f t="shared" ca="1" si="103"/>
        <v>0.99118653740473928</v>
      </c>
      <c r="CB121" s="1">
        <f t="shared" ca="1" si="104"/>
        <v>357</v>
      </c>
      <c r="CC121" s="1">
        <f t="shared" ca="1" si="105"/>
        <v>12</v>
      </c>
      <c r="CD121" s="1">
        <f t="shared" ca="1" si="106"/>
        <v>7.6134117483461231E-2</v>
      </c>
      <c r="CE121" s="1">
        <f t="shared" ca="1" si="119"/>
        <v>0.68042682855465708</v>
      </c>
      <c r="CF121" s="1">
        <f t="shared" ca="1" si="119"/>
        <v>0.80717539631783231</v>
      </c>
      <c r="CH121" s="3">
        <f t="shared" ca="1" si="108"/>
        <v>1.7695048907277133E-2</v>
      </c>
      <c r="CI121" s="3">
        <f t="shared" ca="1" si="109"/>
        <v>0.24677698179644258</v>
      </c>
      <c r="CJ121" s="3">
        <f t="shared" ca="1" si="110"/>
        <v>1709</v>
      </c>
      <c r="CK121" s="3">
        <f t="shared" ca="1" si="111"/>
        <v>9.5385594583294077E-3</v>
      </c>
      <c r="CL121" s="3">
        <f t="shared" ca="1" si="112"/>
        <v>0</v>
      </c>
      <c r="CM121" s="3"/>
      <c r="CN121" s="1">
        <f t="shared" ca="1" si="113"/>
        <v>9.2127289658157814</v>
      </c>
      <c r="CO121" s="1">
        <f t="shared" ca="1" si="114"/>
        <v>0.48733988499619285</v>
      </c>
      <c r="CP121" s="1">
        <f t="shared" ca="1" si="115"/>
        <v>4</v>
      </c>
      <c r="DH121" s="1">
        <f t="shared" ca="1" si="116"/>
        <v>323</v>
      </c>
      <c r="DI121" s="1">
        <f t="shared" ca="1" si="117"/>
        <v>0.94554478689358834</v>
      </c>
      <c r="DJ121" s="1">
        <f t="shared" ca="1" si="118"/>
        <v>12</v>
      </c>
    </row>
    <row r="122" spans="2:114" x14ac:dyDescent="0.25">
      <c r="B122">
        <f t="shared" ca="1" si="60"/>
        <v>217</v>
      </c>
      <c r="C122">
        <f t="shared" ca="1" si="61"/>
        <v>15</v>
      </c>
      <c r="D122">
        <f t="shared" ca="1" si="62"/>
        <v>3.7675101116279197E-2</v>
      </c>
      <c r="F122" s="1">
        <f t="shared" ca="1" si="63"/>
        <v>10</v>
      </c>
      <c r="G122" s="1">
        <f t="shared" ca="1" si="64"/>
        <v>18</v>
      </c>
      <c r="H122" s="1">
        <f t="shared" ca="1" si="65"/>
        <v>8</v>
      </c>
      <c r="I122" s="1"/>
      <c r="J122" s="1">
        <f t="shared" ca="1" si="66"/>
        <v>5</v>
      </c>
      <c r="K122" s="1">
        <f t="shared" ca="1" si="67"/>
        <v>1.8446450538019148</v>
      </c>
      <c r="L122" s="1">
        <f t="shared" ca="1" si="68"/>
        <v>4</v>
      </c>
      <c r="M122" s="1"/>
      <c r="N122" s="1">
        <f t="shared" ca="1" si="69"/>
        <v>440</v>
      </c>
      <c r="O122" s="1">
        <f t="shared" ca="1" si="70"/>
        <v>48</v>
      </c>
      <c r="P122" s="1"/>
      <c r="Q122" s="1">
        <f t="shared" ca="1" si="71"/>
        <v>3.7644450805717482</v>
      </c>
      <c r="R122" s="1">
        <f t="shared" ca="1" si="72"/>
        <v>923</v>
      </c>
      <c r="S122" s="1"/>
      <c r="T122" s="1">
        <f t="shared" ca="1" si="73"/>
        <v>9.7498961802247472E-2</v>
      </c>
      <c r="U122" s="1">
        <f t="shared" ca="1" si="74"/>
        <v>405</v>
      </c>
      <c r="V122" s="1">
        <f t="shared" ca="1" si="75"/>
        <v>13</v>
      </c>
      <c r="W122" s="1"/>
      <c r="X122" s="1">
        <f t="shared" ca="1" si="76"/>
        <v>2.9491160428031304</v>
      </c>
      <c r="Y122" s="1">
        <f t="shared" ca="1" si="77"/>
        <v>3.7919908242127582E-3</v>
      </c>
      <c r="Z122" s="1">
        <f t="shared" ca="1" si="78"/>
        <v>1925</v>
      </c>
      <c r="AB122" s="1">
        <f t="shared" ca="1" si="79"/>
        <v>0.46757150642782297</v>
      </c>
      <c r="AC122" s="1">
        <f t="shared" ca="1" si="80"/>
        <v>428</v>
      </c>
      <c r="AD122" s="1">
        <f t="shared" ca="1" si="81"/>
        <v>9.7332108958018727E-3</v>
      </c>
      <c r="AE122" s="1"/>
      <c r="AF122" s="1">
        <f t="shared" ca="1" si="82"/>
        <v>0.52071137753340058</v>
      </c>
      <c r="AG122" s="1">
        <f t="shared" ca="1" si="83"/>
        <v>771</v>
      </c>
      <c r="AH122" s="1">
        <f t="shared" ca="1" si="84"/>
        <v>1.092863427622443E-3</v>
      </c>
      <c r="AJ122" s="1">
        <f t="shared" ca="1" si="85"/>
        <v>0.78157995180083084</v>
      </c>
      <c r="AK122" s="1">
        <f t="shared" ca="1" si="86"/>
        <v>8.1274296949791457E-3</v>
      </c>
      <c r="AL122" s="1"/>
      <c r="AM122" s="1">
        <f t="shared" ca="1" si="87"/>
        <v>0.13334343579257149</v>
      </c>
      <c r="AN122" s="1">
        <f t="shared" ca="1" si="88"/>
        <v>41</v>
      </c>
      <c r="AO122" s="1">
        <f t="shared" ca="1" si="89"/>
        <v>20</v>
      </c>
      <c r="AQ122" s="1">
        <f t="shared" ca="1" si="90"/>
        <v>68</v>
      </c>
      <c r="AR122" s="1">
        <f t="shared" ca="1" si="91"/>
        <v>7</v>
      </c>
      <c r="AS122" s="1">
        <f t="shared" ca="1" si="92"/>
        <v>97</v>
      </c>
      <c r="AU122" s="1">
        <f t="shared" ca="1" si="93"/>
        <v>233</v>
      </c>
      <c r="AV122" s="1">
        <f t="shared" ca="1" si="94"/>
        <v>9</v>
      </c>
      <c r="AW122" s="1">
        <f t="shared" ca="1" si="95"/>
        <v>9.3132221299895374E-2</v>
      </c>
      <c r="AY122" s="1">
        <f t="shared" ca="1" si="96"/>
        <v>1.6597397016546673</v>
      </c>
      <c r="AZ122" s="1">
        <f t="shared" ca="1" si="97"/>
        <v>246</v>
      </c>
      <c r="BA122" s="1">
        <f t="shared" ca="1" si="98"/>
        <v>1.8837924473782679E-3</v>
      </c>
      <c r="BV122" s="1">
        <f t="shared" ca="1" si="99"/>
        <v>0.69880394893972553</v>
      </c>
      <c r="BW122" s="1">
        <f t="shared" ca="1" si="100"/>
        <v>145</v>
      </c>
      <c r="BX122" s="1">
        <f t="shared" ca="1" si="101"/>
        <v>8.7474966366403208E-3</v>
      </c>
      <c r="BY122" s="1">
        <f t="shared" ca="1" si="102"/>
        <v>2.5587566941199028E-2</v>
      </c>
      <c r="BZ122" s="1">
        <f t="shared" ca="1" si="103"/>
        <v>0.92175693923110247</v>
      </c>
      <c r="CB122" s="1">
        <f t="shared" ca="1" si="104"/>
        <v>125</v>
      </c>
      <c r="CC122" s="1">
        <f t="shared" ca="1" si="105"/>
        <v>4</v>
      </c>
      <c r="CD122" s="1">
        <f t="shared" ca="1" si="106"/>
        <v>3.0595949438547293E-2</v>
      </c>
      <c r="CE122" s="1">
        <f t="shared" ca="1" si="119"/>
        <v>0.80632962446085732</v>
      </c>
      <c r="CF122" s="1">
        <f t="shared" ca="1" si="119"/>
        <v>0.54915853992059382</v>
      </c>
      <c r="CH122" s="3">
        <f t="shared" ca="1" si="108"/>
        <v>0.67195675191766535</v>
      </c>
      <c r="CI122" s="3">
        <f t="shared" ca="1" si="109"/>
        <v>0.634415291744304</v>
      </c>
      <c r="CJ122" s="3">
        <f t="shared" ca="1" si="110"/>
        <v>350</v>
      </c>
      <c r="CK122" s="3">
        <f t="shared" ca="1" si="111"/>
        <v>3.2061032752747289E-3</v>
      </c>
      <c r="CL122" s="3">
        <f t="shared" ca="1" si="112"/>
        <v>0</v>
      </c>
      <c r="CM122" s="3"/>
      <c r="CN122" s="1">
        <f t="shared" ca="1" si="113"/>
        <v>4.6372928031741161</v>
      </c>
      <c r="CO122" s="1">
        <f t="shared" ca="1" si="114"/>
        <v>0.31955967130221363</v>
      </c>
      <c r="CP122" s="1">
        <f t="shared" ca="1" si="115"/>
        <v>5</v>
      </c>
      <c r="DH122" s="1">
        <f t="shared" ca="1" si="116"/>
        <v>629</v>
      </c>
      <c r="DI122" s="1">
        <f t="shared" ca="1" si="117"/>
        <v>0.74364889347303131</v>
      </c>
      <c r="DJ122" s="1">
        <f t="shared" ca="1" si="118"/>
        <v>22</v>
      </c>
    </row>
    <row r="123" spans="2:114" x14ac:dyDescent="0.25">
      <c r="B123">
        <f t="shared" ca="1" si="60"/>
        <v>981</v>
      </c>
      <c r="C123">
        <f t="shared" ca="1" si="61"/>
        <v>11</v>
      </c>
      <c r="D123">
        <f t="shared" ca="1" si="62"/>
        <v>2.8762082912348448E-2</v>
      </c>
      <c r="F123" s="1">
        <f t="shared" ca="1" si="63"/>
        <v>28</v>
      </c>
      <c r="G123" s="1">
        <f t="shared" ca="1" si="64"/>
        <v>29</v>
      </c>
      <c r="H123" s="1">
        <f t="shared" ca="1" si="65"/>
        <v>1</v>
      </c>
      <c r="I123" s="1"/>
      <c r="J123" s="1">
        <f t="shared" ca="1" si="66"/>
        <v>31</v>
      </c>
      <c r="K123" s="1">
        <f t="shared" ca="1" si="67"/>
        <v>2.2355439307891571</v>
      </c>
      <c r="L123" s="1">
        <f t="shared" ca="1" si="68"/>
        <v>34</v>
      </c>
      <c r="M123" s="1"/>
      <c r="N123" s="1">
        <f t="shared" ca="1" si="69"/>
        <v>385</v>
      </c>
      <c r="O123" s="1">
        <f t="shared" ca="1" si="70"/>
        <v>52</v>
      </c>
      <c r="P123" s="1"/>
      <c r="Q123" s="1">
        <f t="shared" ca="1" si="71"/>
        <v>2.9920255745152025</v>
      </c>
      <c r="R123" s="1">
        <f t="shared" ca="1" si="72"/>
        <v>1008</v>
      </c>
      <c r="S123" s="1"/>
      <c r="T123" s="1">
        <f t="shared" ca="1" si="73"/>
        <v>4.0554791185069716E-2</v>
      </c>
      <c r="U123" s="1">
        <f t="shared" ca="1" si="74"/>
        <v>342</v>
      </c>
      <c r="V123" s="1">
        <f t="shared" ca="1" si="75"/>
        <v>9</v>
      </c>
      <c r="W123" s="1"/>
      <c r="X123" s="1">
        <f t="shared" ca="1" si="76"/>
        <v>5.5555692727859647</v>
      </c>
      <c r="Y123" s="1">
        <f t="shared" ca="1" si="77"/>
        <v>0.89779717876796239</v>
      </c>
      <c r="Z123" s="1">
        <f t="shared" ca="1" si="78"/>
        <v>1222</v>
      </c>
      <c r="AB123" s="1">
        <f t="shared" ca="1" si="79"/>
        <v>0.84655097486173836</v>
      </c>
      <c r="AC123" s="1">
        <f t="shared" ca="1" si="80"/>
        <v>984</v>
      </c>
      <c r="AD123" s="1">
        <f t="shared" ca="1" si="81"/>
        <v>4.4841080048754218E-3</v>
      </c>
      <c r="AE123" s="1"/>
      <c r="AF123" s="1">
        <f t="shared" ca="1" si="82"/>
        <v>0.67909447201692275</v>
      </c>
      <c r="AG123" s="1">
        <f t="shared" ca="1" si="83"/>
        <v>406</v>
      </c>
      <c r="AH123" s="1">
        <f t="shared" ca="1" si="84"/>
        <v>9.8567728782599819E-3</v>
      </c>
      <c r="AJ123" s="1">
        <f t="shared" ca="1" si="85"/>
        <v>0.51267541823523866</v>
      </c>
      <c r="AK123" s="1">
        <f t="shared" ca="1" si="86"/>
        <v>1.9464106033840354E-3</v>
      </c>
      <c r="AL123" s="1"/>
      <c r="AM123" s="1">
        <f t="shared" ca="1" si="87"/>
        <v>0.1884097136323552</v>
      </c>
      <c r="AN123" s="1">
        <f t="shared" ca="1" si="88"/>
        <v>48</v>
      </c>
      <c r="AO123" s="1">
        <f t="shared" ca="1" si="89"/>
        <v>18</v>
      </c>
      <c r="AQ123" s="1">
        <f t="shared" ca="1" si="90"/>
        <v>53</v>
      </c>
      <c r="AR123" s="1">
        <f t="shared" ca="1" si="91"/>
        <v>9</v>
      </c>
      <c r="AS123" s="1">
        <f t="shared" ca="1" si="92"/>
        <v>88</v>
      </c>
      <c r="AU123" s="1">
        <f t="shared" ca="1" si="93"/>
        <v>299</v>
      </c>
      <c r="AV123" s="1">
        <f t="shared" ca="1" si="94"/>
        <v>3</v>
      </c>
      <c r="AW123" s="1">
        <f t="shared" ca="1" si="95"/>
        <v>0.11209590967274904</v>
      </c>
      <c r="AY123" s="1">
        <f t="shared" ca="1" si="96"/>
        <v>1.5995651418981391</v>
      </c>
      <c r="AZ123" s="1">
        <f t="shared" ca="1" si="97"/>
        <v>490</v>
      </c>
      <c r="BA123" s="1">
        <f t="shared" ca="1" si="98"/>
        <v>2.6476536746744077E-3</v>
      </c>
      <c r="BV123" s="1">
        <f t="shared" ca="1" si="99"/>
        <v>0.22197243651019813</v>
      </c>
      <c r="BW123" s="1">
        <f t="shared" ca="1" si="100"/>
        <v>458</v>
      </c>
      <c r="BX123" s="1">
        <f t="shared" ca="1" si="101"/>
        <v>8.2586593676317026E-3</v>
      </c>
      <c r="BY123" s="1">
        <f t="shared" ca="1" si="102"/>
        <v>6.7619215620273815E-2</v>
      </c>
      <c r="BZ123" s="1">
        <f t="shared" ca="1" si="103"/>
        <v>0.3163577101795072</v>
      </c>
      <c r="CB123" s="1">
        <f t="shared" ca="1" si="104"/>
        <v>353</v>
      </c>
      <c r="CC123" s="1">
        <f t="shared" ca="1" si="105"/>
        <v>11</v>
      </c>
      <c r="CD123" s="1">
        <f t="shared" ca="1" si="106"/>
        <v>0.12838292180605265</v>
      </c>
      <c r="CE123" s="1">
        <f t="shared" ca="1" si="119"/>
        <v>0.76521422583908771</v>
      </c>
      <c r="CF123" s="1">
        <f t="shared" ca="1" si="119"/>
        <v>0.98160296490284538</v>
      </c>
      <c r="CH123" s="3">
        <f t="shared" ca="1" si="108"/>
        <v>0.83211056718271648</v>
      </c>
      <c r="CI123" s="3">
        <f t="shared" ca="1" si="109"/>
        <v>0.64009506201984212</v>
      </c>
      <c r="CJ123" s="3">
        <f t="shared" ca="1" si="110"/>
        <v>1247</v>
      </c>
      <c r="CK123" s="3">
        <f t="shared" ca="1" si="111"/>
        <v>3.3618485427739739E-3</v>
      </c>
      <c r="CL123" s="3">
        <f t="shared" ca="1" si="112"/>
        <v>1</v>
      </c>
      <c r="CM123" s="3"/>
      <c r="CN123" s="1">
        <f t="shared" ca="1" si="113"/>
        <v>6.4053556881338869</v>
      </c>
      <c r="CO123" s="1">
        <f t="shared" ca="1" si="114"/>
        <v>0.24985095269689381</v>
      </c>
      <c r="CP123" s="1">
        <f t="shared" ca="1" si="115"/>
        <v>3</v>
      </c>
      <c r="DH123" s="1">
        <f t="shared" ca="1" si="116"/>
        <v>780</v>
      </c>
      <c r="DI123" s="1">
        <f t="shared" ca="1" si="117"/>
        <v>0.24458468457678287</v>
      </c>
      <c r="DJ123" s="1">
        <f t="shared" ca="1" si="118"/>
        <v>22</v>
      </c>
    </row>
    <row r="124" spans="2:114" x14ac:dyDescent="0.25">
      <c r="B124">
        <f t="shared" ca="1" si="60"/>
        <v>912</v>
      </c>
      <c r="C124">
        <f t="shared" ca="1" si="61"/>
        <v>51</v>
      </c>
      <c r="D124">
        <f t="shared" ca="1" si="62"/>
        <v>1.9544914642845367E-2</v>
      </c>
      <c r="F124" s="1">
        <f t="shared" ca="1" si="63"/>
        <v>51</v>
      </c>
      <c r="G124" s="1">
        <f t="shared" ca="1" si="64"/>
        <v>25</v>
      </c>
      <c r="H124" s="1">
        <f t="shared" ca="1" si="65"/>
        <v>15</v>
      </c>
      <c r="I124" s="1"/>
      <c r="J124" s="1">
        <f t="shared" ca="1" si="66"/>
        <v>37</v>
      </c>
      <c r="K124" s="1">
        <f t="shared" ca="1" si="67"/>
        <v>1.7616163744375726</v>
      </c>
      <c r="L124" s="1">
        <f t="shared" ca="1" si="68"/>
        <v>2</v>
      </c>
      <c r="M124" s="1"/>
      <c r="N124" s="1">
        <f t="shared" ca="1" si="69"/>
        <v>53</v>
      </c>
      <c r="O124" s="1">
        <f t="shared" ca="1" si="70"/>
        <v>19</v>
      </c>
      <c r="P124" s="1"/>
      <c r="Q124" s="1">
        <f t="shared" ca="1" si="71"/>
        <v>2.247440367429749</v>
      </c>
      <c r="R124" s="1">
        <f t="shared" ca="1" si="72"/>
        <v>838</v>
      </c>
      <c r="S124" s="1"/>
      <c r="T124" s="1">
        <f t="shared" ca="1" si="73"/>
        <v>6.5246476622884131E-2</v>
      </c>
      <c r="U124" s="1">
        <f t="shared" ca="1" si="74"/>
        <v>347</v>
      </c>
      <c r="V124" s="1">
        <f t="shared" ca="1" si="75"/>
        <v>13</v>
      </c>
      <c r="W124" s="1"/>
      <c r="X124" s="1">
        <f t="shared" ca="1" si="76"/>
        <v>9.4936043729787336</v>
      </c>
      <c r="Y124" s="1">
        <f t="shared" ca="1" si="77"/>
        <v>0.87544889853206909</v>
      </c>
      <c r="Z124" s="1">
        <f t="shared" ca="1" si="78"/>
        <v>1300</v>
      </c>
      <c r="AB124" s="1">
        <f t="shared" ca="1" si="79"/>
        <v>0.10472942337835103</v>
      </c>
      <c r="AC124" s="1">
        <f t="shared" ca="1" si="80"/>
        <v>557</v>
      </c>
      <c r="AD124" s="1">
        <f t="shared" ca="1" si="81"/>
        <v>6.4573926764530691E-3</v>
      </c>
      <c r="AE124" s="1"/>
      <c r="AF124" s="1">
        <f t="shared" ca="1" si="82"/>
        <v>0.83506209223743788</v>
      </c>
      <c r="AG124" s="1">
        <f t="shared" ca="1" si="83"/>
        <v>612</v>
      </c>
      <c r="AH124" s="1">
        <f t="shared" ca="1" si="84"/>
        <v>6.7389406504338055E-3</v>
      </c>
      <c r="AJ124" s="1">
        <f t="shared" ca="1" si="85"/>
        <v>3.1293812074055349E-2</v>
      </c>
      <c r="AK124" s="1">
        <f t="shared" ca="1" si="86"/>
        <v>7.4721822689414871E-3</v>
      </c>
      <c r="AL124" s="1"/>
      <c r="AM124" s="1">
        <f t="shared" ca="1" si="87"/>
        <v>0.15676021362158468</v>
      </c>
      <c r="AN124" s="1">
        <f t="shared" ca="1" si="88"/>
        <v>61</v>
      </c>
      <c r="AO124" s="1">
        <f t="shared" ca="1" si="89"/>
        <v>17</v>
      </c>
      <c r="AQ124" s="1">
        <f t="shared" ca="1" si="90"/>
        <v>162</v>
      </c>
      <c r="AR124" s="1">
        <f t="shared" ca="1" si="91"/>
        <v>10</v>
      </c>
      <c r="AS124" s="1">
        <f t="shared" ca="1" si="92"/>
        <v>41</v>
      </c>
      <c r="AU124" s="1">
        <f t="shared" ca="1" si="93"/>
        <v>393</v>
      </c>
      <c r="AV124" s="1">
        <f t="shared" ca="1" si="94"/>
        <v>5</v>
      </c>
      <c r="AW124" s="1">
        <f t="shared" ca="1" si="95"/>
        <v>0.10458326532041941</v>
      </c>
      <c r="AY124" s="1">
        <f t="shared" ca="1" si="96"/>
        <v>1.3786510905591545</v>
      </c>
      <c r="AZ124" s="1">
        <f t="shared" ca="1" si="97"/>
        <v>412</v>
      </c>
      <c r="BA124" s="1">
        <f t="shared" ca="1" si="98"/>
        <v>6.4728970045467675E-3</v>
      </c>
      <c r="BV124" s="1">
        <f t="shared" ca="1" si="99"/>
        <v>0.52199475312130994</v>
      </c>
      <c r="BW124" s="1">
        <f t="shared" ca="1" si="100"/>
        <v>697</v>
      </c>
      <c r="BX124" s="1">
        <f t="shared" ca="1" si="101"/>
        <v>6.2709045865891539E-3</v>
      </c>
      <c r="BY124" s="1">
        <f t="shared" ca="1" si="102"/>
        <v>7.0839899778101081E-2</v>
      </c>
      <c r="BZ124" s="1">
        <f t="shared" ca="1" si="103"/>
        <v>0.1797659780290396</v>
      </c>
      <c r="CB124" s="1">
        <f t="shared" ca="1" si="104"/>
        <v>129</v>
      </c>
      <c r="CC124" s="1">
        <f t="shared" ca="1" si="105"/>
        <v>8</v>
      </c>
      <c r="CD124" s="1">
        <f t="shared" ca="1" si="106"/>
        <v>6.7288539588817878E-2</v>
      </c>
      <c r="CE124" s="1">
        <f t="shared" ca="1" si="119"/>
        <v>0.86624430942708064</v>
      </c>
      <c r="CF124" s="1">
        <f t="shared" ca="1" si="119"/>
        <v>0.67218032889362123</v>
      </c>
      <c r="CH124" s="3">
        <f t="shared" ca="1" si="108"/>
        <v>0.93433590629178354</v>
      </c>
      <c r="CI124" s="3">
        <f t="shared" ca="1" si="109"/>
        <v>0.24331529221084403</v>
      </c>
      <c r="CJ124" s="3">
        <f t="shared" ca="1" si="110"/>
        <v>612</v>
      </c>
      <c r="CK124" s="3">
        <f t="shared" ca="1" si="111"/>
        <v>1.4778727098135982E-3</v>
      </c>
      <c r="CL124" s="3">
        <f t="shared" ca="1" si="112"/>
        <v>1</v>
      </c>
      <c r="CM124" s="3"/>
      <c r="CN124" s="1">
        <f t="shared" ca="1" si="113"/>
        <v>10.331119082096432</v>
      </c>
      <c r="CO124" s="1">
        <f t="shared" ca="1" si="114"/>
        <v>2.0625800723886433E-2</v>
      </c>
      <c r="CP124" s="1">
        <f t="shared" ca="1" si="115"/>
        <v>5</v>
      </c>
      <c r="DH124" s="1">
        <f t="shared" ca="1" si="116"/>
        <v>696</v>
      </c>
      <c r="DI124" s="1">
        <f t="shared" ca="1" si="117"/>
        <v>0.5840476407769658</v>
      </c>
      <c r="DJ124" s="1">
        <f t="shared" ca="1" si="118"/>
        <v>11</v>
      </c>
    </row>
    <row r="125" spans="2:114" x14ac:dyDescent="0.25">
      <c r="B125">
        <f t="shared" ca="1" si="60"/>
        <v>220</v>
      </c>
      <c r="C125">
        <f t="shared" ca="1" si="61"/>
        <v>51</v>
      </c>
      <c r="D125">
        <f t="shared" ca="1" si="62"/>
        <v>0.21058691746664501</v>
      </c>
      <c r="F125" s="1">
        <f t="shared" ca="1" si="63"/>
        <v>42</v>
      </c>
      <c r="G125" s="1">
        <f t="shared" ca="1" si="64"/>
        <v>8</v>
      </c>
      <c r="H125" s="1">
        <f t="shared" ca="1" si="65"/>
        <v>11</v>
      </c>
      <c r="I125" s="1"/>
      <c r="J125" s="1">
        <f t="shared" ca="1" si="66"/>
        <v>18</v>
      </c>
      <c r="K125" s="1">
        <f t="shared" ca="1" si="67"/>
        <v>2.6254335260997816</v>
      </c>
      <c r="L125" s="1">
        <f t="shared" ca="1" si="68"/>
        <v>22</v>
      </c>
      <c r="M125" s="1"/>
      <c r="N125" s="1">
        <f t="shared" ca="1" si="69"/>
        <v>710</v>
      </c>
      <c r="O125" s="1">
        <f t="shared" ca="1" si="70"/>
        <v>48</v>
      </c>
      <c r="P125" s="1"/>
      <c r="Q125" s="1">
        <f t="shared" ca="1" si="71"/>
        <v>2.8798819030946854</v>
      </c>
      <c r="R125" s="1">
        <f t="shared" ca="1" si="72"/>
        <v>271</v>
      </c>
      <c r="S125" s="1"/>
      <c r="T125" s="1">
        <f t="shared" ca="1" si="73"/>
        <v>0.18449501880727542</v>
      </c>
      <c r="U125" s="1">
        <f t="shared" ca="1" si="74"/>
        <v>147</v>
      </c>
      <c r="V125" s="1">
        <f t="shared" ca="1" si="75"/>
        <v>44</v>
      </c>
      <c r="W125" s="1"/>
      <c r="X125" s="1">
        <f t="shared" ca="1" si="76"/>
        <v>6.6325848302760937</v>
      </c>
      <c r="Y125" s="1">
        <f t="shared" ca="1" si="77"/>
        <v>0.20410140098715779</v>
      </c>
      <c r="Z125" s="1">
        <f t="shared" ca="1" si="78"/>
        <v>286</v>
      </c>
      <c r="AB125" s="1">
        <f t="shared" ca="1" si="79"/>
        <v>0.12475095601280441</v>
      </c>
      <c r="AC125" s="1">
        <f t="shared" ca="1" si="80"/>
        <v>122</v>
      </c>
      <c r="AD125" s="1">
        <f t="shared" ca="1" si="81"/>
        <v>6.0236594337553353E-3</v>
      </c>
      <c r="AE125" s="1"/>
      <c r="AF125" s="1">
        <f t="shared" ca="1" si="82"/>
        <v>0.16256311818523905</v>
      </c>
      <c r="AG125" s="1">
        <f t="shared" ca="1" si="83"/>
        <v>885</v>
      </c>
      <c r="AH125" s="1">
        <f t="shared" ca="1" si="84"/>
        <v>5.1431894625978778E-3</v>
      </c>
      <c r="AJ125" s="1">
        <f t="shared" ca="1" si="85"/>
        <v>0.80007586570985822</v>
      </c>
      <c r="AK125" s="1">
        <f t="shared" ca="1" si="86"/>
        <v>7.8077421279844376E-3</v>
      </c>
      <c r="AL125" s="1"/>
      <c r="AM125" s="1">
        <f t="shared" ca="1" si="87"/>
        <v>0.16466688104399307</v>
      </c>
      <c r="AN125" s="1">
        <f t="shared" ca="1" si="88"/>
        <v>51</v>
      </c>
      <c r="AO125" s="1">
        <f t="shared" ca="1" si="89"/>
        <v>13</v>
      </c>
      <c r="AQ125" s="1">
        <f t="shared" ca="1" si="90"/>
        <v>191</v>
      </c>
      <c r="AR125" s="1">
        <f t="shared" ca="1" si="91"/>
        <v>8</v>
      </c>
      <c r="AS125" s="1">
        <f t="shared" ca="1" si="92"/>
        <v>13</v>
      </c>
      <c r="AU125" s="1">
        <f t="shared" ca="1" si="93"/>
        <v>204</v>
      </c>
      <c r="AV125" s="1">
        <f t="shared" ca="1" si="94"/>
        <v>10</v>
      </c>
      <c r="AW125" s="1">
        <f t="shared" ca="1" si="95"/>
        <v>1.9298652980305767E-2</v>
      </c>
      <c r="AY125" s="1">
        <f t="shared" ca="1" si="96"/>
        <v>1.5891942042765026</v>
      </c>
      <c r="AZ125" s="1">
        <f t="shared" ca="1" si="97"/>
        <v>488</v>
      </c>
      <c r="BA125" s="1">
        <f t="shared" ca="1" si="98"/>
        <v>2.1858313167446718E-3</v>
      </c>
      <c r="BV125" s="1">
        <f t="shared" ca="1" si="99"/>
        <v>0.29547840819503995</v>
      </c>
      <c r="BW125" s="1">
        <f t="shared" ca="1" si="100"/>
        <v>736</v>
      </c>
      <c r="BX125" s="1">
        <f t="shared" ca="1" si="101"/>
        <v>6.1637122341382693E-4</v>
      </c>
      <c r="BY125" s="1">
        <f t="shared" ca="1" si="102"/>
        <v>6.2646355159218473E-2</v>
      </c>
      <c r="BZ125" s="1">
        <f t="shared" ca="1" si="103"/>
        <v>0.22247861820010961</v>
      </c>
      <c r="CB125" s="1">
        <f t="shared" ca="1" si="104"/>
        <v>317</v>
      </c>
      <c r="CC125" s="1">
        <f t="shared" ca="1" si="105"/>
        <v>6</v>
      </c>
      <c r="CD125" s="1">
        <f t="shared" ca="1" si="106"/>
        <v>0.20779910281059813</v>
      </c>
      <c r="CE125" s="1">
        <f t="shared" ca="1" si="119"/>
        <v>0.94454640701049475</v>
      </c>
      <c r="CF125" s="1">
        <f t="shared" ca="1" si="119"/>
        <v>0.57706070490583183</v>
      </c>
      <c r="CH125" s="3">
        <f t="shared" ca="1" si="108"/>
        <v>0.78540898423545102</v>
      </c>
      <c r="CI125" s="3">
        <f t="shared" ca="1" si="109"/>
        <v>0.92408452219859338</v>
      </c>
      <c r="CJ125" s="3">
        <f t="shared" ca="1" si="110"/>
        <v>1017</v>
      </c>
      <c r="CK125" s="3">
        <f t="shared" ca="1" si="111"/>
        <v>9.0675994240733328E-3</v>
      </c>
      <c r="CL125" s="3">
        <f t="shared" ca="1" si="112"/>
        <v>1</v>
      </c>
      <c r="CM125" s="3"/>
      <c r="CN125" s="1">
        <f t="shared" ca="1" si="113"/>
        <v>3.1285304872589568</v>
      </c>
      <c r="CO125" s="1">
        <f t="shared" ca="1" si="114"/>
        <v>0.46037230631910825</v>
      </c>
      <c r="CP125" s="1">
        <f t="shared" ca="1" si="115"/>
        <v>3</v>
      </c>
      <c r="DH125" s="1">
        <f t="shared" ca="1" si="116"/>
        <v>471</v>
      </c>
      <c r="DI125" s="1">
        <f t="shared" ca="1" si="117"/>
        <v>0.47031586001947479</v>
      </c>
      <c r="DJ125" s="1">
        <f t="shared" ca="1" si="118"/>
        <v>11</v>
      </c>
    </row>
    <row r="126" spans="2:114" x14ac:dyDescent="0.25">
      <c r="B126">
        <f t="shared" ca="1" si="60"/>
        <v>106</v>
      </c>
      <c r="C126">
        <f t="shared" ca="1" si="61"/>
        <v>43</v>
      </c>
      <c r="D126">
        <f t="shared" ca="1" si="62"/>
        <v>3.4079091510867063E-2</v>
      </c>
      <c r="F126" s="1">
        <f t="shared" ca="1" si="63"/>
        <v>45</v>
      </c>
      <c r="G126" s="1">
        <f t="shared" ca="1" si="64"/>
        <v>7</v>
      </c>
      <c r="H126" s="1">
        <f t="shared" ca="1" si="65"/>
        <v>5</v>
      </c>
      <c r="I126" s="1"/>
      <c r="J126" s="1">
        <f t="shared" ca="1" si="66"/>
        <v>9</v>
      </c>
      <c r="K126" s="1">
        <f t="shared" ca="1" si="67"/>
        <v>2.7685656376912644</v>
      </c>
      <c r="L126" s="1">
        <f t="shared" ca="1" si="68"/>
        <v>6</v>
      </c>
      <c r="M126" s="1"/>
      <c r="N126" s="1">
        <f t="shared" ca="1" si="69"/>
        <v>295</v>
      </c>
      <c r="O126" s="1">
        <f t="shared" ca="1" si="70"/>
        <v>7</v>
      </c>
      <c r="P126" s="1"/>
      <c r="Q126" s="1">
        <f t="shared" ca="1" si="71"/>
        <v>4.0185870342589194</v>
      </c>
      <c r="R126" s="1">
        <f t="shared" ca="1" si="72"/>
        <v>1048</v>
      </c>
      <c r="S126" s="1"/>
      <c r="T126" s="1">
        <f t="shared" ca="1" si="73"/>
        <v>0.12345935957336486</v>
      </c>
      <c r="U126" s="1">
        <f t="shared" ca="1" si="74"/>
        <v>420</v>
      </c>
      <c r="V126" s="1">
        <f t="shared" ca="1" si="75"/>
        <v>43</v>
      </c>
      <c r="W126" s="1"/>
      <c r="X126" s="1">
        <f t="shared" ca="1" si="76"/>
        <v>8.8194997355424469</v>
      </c>
      <c r="Y126" s="1">
        <f t="shared" ca="1" si="77"/>
        <v>0.64390377640755625</v>
      </c>
      <c r="Z126" s="1">
        <f t="shared" ca="1" si="78"/>
        <v>1177</v>
      </c>
      <c r="AB126" s="1">
        <f t="shared" ca="1" si="79"/>
        <v>0.6000159673320723</v>
      </c>
      <c r="AC126" s="1">
        <f t="shared" ca="1" si="80"/>
        <v>549</v>
      </c>
      <c r="AD126" s="1">
        <f t="shared" ca="1" si="81"/>
        <v>8.8482471875108038E-3</v>
      </c>
      <c r="AE126" s="1"/>
      <c r="AF126" s="1">
        <f t="shared" ca="1" si="82"/>
        <v>0.68974717409579722</v>
      </c>
      <c r="AG126" s="1">
        <f t="shared" ca="1" si="83"/>
        <v>521</v>
      </c>
      <c r="AH126" s="1">
        <f t="shared" ca="1" si="84"/>
        <v>7.0029411675923258E-3</v>
      </c>
      <c r="AJ126" s="1">
        <f t="shared" ca="1" si="85"/>
        <v>0.13698181912333607</v>
      </c>
      <c r="AK126" s="1">
        <f t="shared" ca="1" si="86"/>
        <v>1.5874267185491469E-3</v>
      </c>
      <c r="AL126" s="1"/>
      <c r="AM126" s="1">
        <f t="shared" ca="1" si="87"/>
        <v>0.14961964398785119</v>
      </c>
      <c r="AN126" s="1">
        <f t="shared" ca="1" si="88"/>
        <v>79</v>
      </c>
      <c r="AO126" s="1">
        <f t="shared" ca="1" si="89"/>
        <v>8</v>
      </c>
      <c r="AQ126" s="1">
        <f t="shared" ca="1" si="90"/>
        <v>72</v>
      </c>
      <c r="AR126" s="1">
        <f t="shared" ca="1" si="91"/>
        <v>6</v>
      </c>
      <c r="AS126" s="1">
        <f t="shared" ca="1" si="92"/>
        <v>11</v>
      </c>
      <c r="AU126" s="1">
        <f t="shared" ca="1" si="93"/>
        <v>169</v>
      </c>
      <c r="AV126" s="1">
        <f t="shared" ca="1" si="94"/>
        <v>5</v>
      </c>
      <c r="AW126" s="1">
        <f t="shared" ca="1" si="95"/>
        <v>0.19742686727662262</v>
      </c>
      <c r="AY126" s="1">
        <f t="shared" ca="1" si="96"/>
        <v>1.3267585488277585</v>
      </c>
      <c r="AZ126" s="1">
        <f t="shared" ca="1" si="97"/>
        <v>119</v>
      </c>
      <c r="BA126" s="1">
        <f t="shared" ca="1" si="98"/>
        <v>1.5953235322598402E-3</v>
      </c>
      <c r="BV126" s="1">
        <f t="shared" ca="1" si="99"/>
        <v>0.88662512941215188</v>
      </c>
      <c r="BW126" s="1">
        <f t="shared" ca="1" si="100"/>
        <v>157</v>
      </c>
      <c r="BX126" s="1">
        <f t="shared" ca="1" si="101"/>
        <v>8.8108083990182644E-3</v>
      </c>
      <c r="BY126" s="1">
        <f t="shared" ca="1" si="102"/>
        <v>2.9544613065056773E-2</v>
      </c>
      <c r="BZ126" s="1">
        <f t="shared" ca="1" si="103"/>
        <v>0.79731000928262685</v>
      </c>
      <c r="CB126" s="1">
        <f t="shared" ca="1" si="104"/>
        <v>378</v>
      </c>
      <c r="CC126" s="1">
        <f t="shared" ca="1" si="105"/>
        <v>10</v>
      </c>
      <c r="CD126" s="1">
        <f t="shared" ca="1" si="106"/>
        <v>0.29274978466469032</v>
      </c>
      <c r="CE126" s="1">
        <f t="shared" ca="1" si="119"/>
        <v>0.7134954490890566</v>
      </c>
      <c r="CF126" s="1">
        <f t="shared" ca="1" si="119"/>
        <v>0.60504707790666312</v>
      </c>
      <c r="CH126" s="3">
        <f t="shared" ca="1" si="108"/>
        <v>0.37033592075817984</v>
      </c>
      <c r="CI126" s="3">
        <f t="shared" ca="1" si="109"/>
        <v>0.58437719341184691</v>
      </c>
      <c r="CJ126" s="3">
        <f t="shared" ca="1" si="110"/>
        <v>501</v>
      </c>
      <c r="CK126" s="3">
        <f t="shared" ca="1" si="111"/>
        <v>4.3732645454512033E-3</v>
      </c>
      <c r="CL126" s="3">
        <f t="shared" ca="1" si="112"/>
        <v>1</v>
      </c>
      <c r="CM126" s="3"/>
      <c r="CN126" s="1">
        <f t="shared" ca="1" si="113"/>
        <v>15.393340783406973</v>
      </c>
      <c r="CO126" s="1">
        <f t="shared" ca="1" si="114"/>
        <v>0.20013839204500217</v>
      </c>
      <c r="CP126" s="1">
        <f t="shared" ca="1" si="115"/>
        <v>4</v>
      </c>
      <c r="DH126" s="1">
        <f t="shared" ca="1" si="116"/>
        <v>140</v>
      </c>
      <c r="DI126" s="1">
        <f t="shared" ca="1" si="117"/>
        <v>0.89485877109554923</v>
      </c>
      <c r="DJ126" s="1">
        <f t="shared" ca="1" si="118"/>
        <v>25</v>
      </c>
    </row>
    <row r="127" spans="2:114" x14ac:dyDescent="0.25">
      <c r="B127">
        <f t="shared" ca="1" si="60"/>
        <v>714</v>
      </c>
      <c r="C127">
        <f t="shared" ca="1" si="61"/>
        <v>11</v>
      </c>
      <c r="D127">
        <f t="shared" ca="1" si="62"/>
        <v>0.23615169798208416</v>
      </c>
      <c r="F127" s="1">
        <f t="shared" ca="1" si="63"/>
        <v>20</v>
      </c>
      <c r="G127" s="1">
        <f t="shared" ca="1" si="64"/>
        <v>13</v>
      </c>
      <c r="H127" s="1">
        <f t="shared" ca="1" si="65"/>
        <v>7</v>
      </c>
      <c r="I127" s="1"/>
      <c r="J127" s="1">
        <f t="shared" ca="1" si="66"/>
        <v>14</v>
      </c>
      <c r="K127" s="1">
        <f t="shared" ca="1" si="67"/>
        <v>2.0376139552874974</v>
      </c>
      <c r="L127" s="1">
        <f t="shared" ca="1" si="68"/>
        <v>30</v>
      </c>
      <c r="M127" s="1"/>
      <c r="N127" s="1">
        <f t="shared" ca="1" si="69"/>
        <v>146</v>
      </c>
      <c r="O127" s="1">
        <f t="shared" ca="1" si="70"/>
        <v>31</v>
      </c>
      <c r="P127" s="1"/>
      <c r="Q127" s="1">
        <f t="shared" ca="1" si="71"/>
        <v>4.3385121831713027</v>
      </c>
      <c r="R127" s="1">
        <f t="shared" ca="1" si="72"/>
        <v>1161</v>
      </c>
      <c r="S127" s="1"/>
      <c r="T127" s="1">
        <f t="shared" ca="1" si="73"/>
        <v>0.19937832103814654</v>
      </c>
      <c r="U127" s="1">
        <f t="shared" ca="1" si="74"/>
        <v>387</v>
      </c>
      <c r="V127" s="1">
        <f t="shared" ca="1" si="75"/>
        <v>28</v>
      </c>
      <c r="W127" s="1"/>
      <c r="X127" s="1">
        <f t="shared" ca="1" si="76"/>
        <v>8.8341600215179845</v>
      </c>
      <c r="Y127" s="1">
        <f t="shared" ca="1" si="77"/>
        <v>2.983980353773116E-2</v>
      </c>
      <c r="Z127" s="1">
        <f t="shared" ca="1" si="78"/>
        <v>560</v>
      </c>
      <c r="AB127" s="1">
        <f t="shared" ca="1" si="79"/>
        <v>0.83833473005607662</v>
      </c>
      <c r="AC127" s="1">
        <f t="shared" ca="1" si="80"/>
        <v>556</v>
      </c>
      <c r="AD127" s="1">
        <f t="shared" ca="1" si="81"/>
        <v>1.0911898752600608E-3</v>
      </c>
      <c r="AE127" s="1"/>
      <c r="AF127" s="1">
        <f t="shared" ca="1" si="82"/>
        <v>0.21292105457640612</v>
      </c>
      <c r="AG127" s="1">
        <f t="shared" ca="1" si="83"/>
        <v>702</v>
      </c>
      <c r="AH127" s="1">
        <f t="shared" ca="1" si="84"/>
        <v>7.5235642725775456E-3</v>
      </c>
      <c r="AJ127" s="1">
        <f t="shared" ca="1" si="85"/>
        <v>0.10993611755013655</v>
      </c>
      <c r="AK127" s="1">
        <f t="shared" ca="1" si="86"/>
        <v>1.0671937023512691E-3</v>
      </c>
      <c r="AL127" s="1"/>
      <c r="AM127" s="1">
        <f t="shared" ca="1" si="87"/>
        <v>0.12274168327704429</v>
      </c>
      <c r="AN127" s="1">
        <f t="shared" ca="1" si="88"/>
        <v>36</v>
      </c>
      <c r="AO127" s="1">
        <f t="shared" ca="1" si="89"/>
        <v>0</v>
      </c>
      <c r="AQ127" s="1">
        <f t="shared" ca="1" si="90"/>
        <v>124</v>
      </c>
      <c r="AR127" s="1">
        <f t="shared" ca="1" si="91"/>
        <v>8</v>
      </c>
      <c r="AS127" s="1">
        <f t="shared" ca="1" si="92"/>
        <v>99</v>
      </c>
      <c r="AU127" s="1">
        <f t="shared" ca="1" si="93"/>
        <v>139</v>
      </c>
      <c r="AV127" s="1">
        <f t="shared" ca="1" si="94"/>
        <v>2</v>
      </c>
      <c r="AW127" s="1">
        <f t="shared" ca="1" si="95"/>
        <v>0.19120288495503726</v>
      </c>
      <c r="AY127" s="1">
        <f t="shared" ca="1" si="96"/>
        <v>1.2477161094389506</v>
      </c>
      <c r="AZ127" s="1">
        <f t="shared" ca="1" si="97"/>
        <v>397</v>
      </c>
      <c r="BA127" s="1">
        <f t="shared" ca="1" si="98"/>
        <v>4.6961361940167784E-3</v>
      </c>
      <c r="BV127" s="1">
        <f t="shared" ca="1" si="99"/>
        <v>0.66646586984831546</v>
      </c>
      <c r="BW127" s="1">
        <f t="shared" ca="1" si="100"/>
        <v>907</v>
      </c>
      <c r="BX127" s="1">
        <f t="shared" ca="1" si="101"/>
        <v>3.0423603324553263E-3</v>
      </c>
      <c r="BY127" s="1">
        <f t="shared" ca="1" si="102"/>
        <v>3.6719350390605074E-2</v>
      </c>
      <c r="BZ127" s="1">
        <f t="shared" ca="1" si="103"/>
        <v>0.38751214604999507</v>
      </c>
      <c r="CB127" s="1">
        <f t="shared" ca="1" si="104"/>
        <v>433</v>
      </c>
      <c r="CC127" s="1">
        <f t="shared" ca="1" si="105"/>
        <v>10</v>
      </c>
      <c r="CD127" s="1">
        <f t="shared" ca="1" si="106"/>
        <v>5.5053780755176709E-2</v>
      </c>
      <c r="CE127" s="1">
        <f t="shared" ca="1" si="119"/>
        <v>0.9053998789237947</v>
      </c>
      <c r="CF127" s="1">
        <f t="shared" ca="1" si="119"/>
        <v>0.59167706526956221</v>
      </c>
      <c r="CH127" s="3">
        <f t="shared" ca="1" si="108"/>
        <v>0.36604588939901805</v>
      </c>
      <c r="CI127" s="3">
        <f t="shared" ca="1" si="109"/>
        <v>0.11771728994968085</v>
      </c>
      <c r="CJ127" s="3">
        <f t="shared" ca="1" si="110"/>
        <v>1832</v>
      </c>
      <c r="CK127" s="3">
        <f t="shared" ca="1" si="111"/>
        <v>8.4930800888797595E-3</v>
      </c>
      <c r="CL127" s="3">
        <f t="shared" ca="1" si="112"/>
        <v>0</v>
      </c>
      <c r="CM127" s="3"/>
      <c r="CN127" s="1">
        <f t="shared" ca="1" si="113"/>
        <v>13.786024427476015</v>
      </c>
      <c r="CO127" s="1">
        <f t="shared" ca="1" si="114"/>
        <v>0.44203655281056209</v>
      </c>
      <c r="CP127" s="1">
        <f t="shared" ca="1" si="115"/>
        <v>5</v>
      </c>
      <c r="DH127" s="1">
        <f t="shared" ca="1" si="116"/>
        <v>550</v>
      </c>
      <c r="DI127" s="1">
        <f t="shared" ca="1" si="117"/>
        <v>0.86407924548854431</v>
      </c>
      <c r="DJ127" s="1">
        <f t="shared" ca="1" si="118"/>
        <v>7</v>
      </c>
    </row>
    <row r="128" spans="2:114" x14ac:dyDescent="0.25">
      <c r="B128">
        <f t="shared" ca="1" si="60"/>
        <v>131</v>
      </c>
      <c r="C128">
        <f t="shared" ca="1" si="61"/>
        <v>20</v>
      </c>
      <c r="D128">
        <f t="shared" ca="1" si="62"/>
        <v>0.13674732106516127</v>
      </c>
      <c r="F128" s="1">
        <f t="shared" ca="1" si="63"/>
        <v>38</v>
      </c>
      <c r="G128" s="1">
        <f t="shared" ca="1" si="64"/>
        <v>18</v>
      </c>
      <c r="H128" s="1">
        <f t="shared" ca="1" si="65"/>
        <v>12</v>
      </c>
      <c r="I128" s="1"/>
      <c r="J128" s="1">
        <f t="shared" ca="1" si="66"/>
        <v>14</v>
      </c>
      <c r="K128" s="1">
        <f t="shared" ca="1" si="67"/>
        <v>2.6034262563116677</v>
      </c>
      <c r="L128" s="1">
        <f t="shared" ca="1" si="68"/>
        <v>30</v>
      </c>
      <c r="M128" s="1"/>
      <c r="N128" s="1">
        <f t="shared" ca="1" si="69"/>
        <v>419</v>
      </c>
      <c r="O128" s="1">
        <f t="shared" ca="1" si="70"/>
        <v>34</v>
      </c>
      <c r="P128" s="1"/>
      <c r="Q128" s="1">
        <f t="shared" ca="1" si="71"/>
        <v>1.9103143544522989</v>
      </c>
      <c r="R128" s="1">
        <f t="shared" ca="1" si="72"/>
        <v>917</v>
      </c>
      <c r="S128" s="1"/>
      <c r="T128" s="1">
        <f t="shared" ca="1" si="73"/>
        <v>0.16143585254798379</v>
      </c>
      <c r="U128" s="1">
        <f t="shared" ca="1" si="74"/>
        <v>131</v>
      </c>
      <c r="V128" s="1">
        <f t="shared" ca="1" si="75"/>
        <v>49</v>
      </c>
      <c r="W128" s="1"/>
      <c r="X128" s="1">
        <f t="shared" ca="1" si="76"/>
        <v>8.5753288692999856</v>
      </c>
      <c r="Y128" s="1">
        <f t="shared" ca="1" si="77"/>
        <v>0.20046881507052183</v>
      </c>
      <c r="Z128" s="1">
        <f t="shared" ca="1" si="78"/>
        <v>912</v>
      </c>
      <c r="AB128" s="1">
        <f t="shared" ca="1" si="79"/>
        <v>0.99897972658187906</v>
      </c>
      <c r="AC128" s="1">
        <f t="shared" ca="1" si="80"/>
        <v>513</v>
      </c>
      <c r="AD128" s="1">
        <f t="shared" ca="1" si="81"/>
        <v>1.0341580304978543E-3</v>
      </c>
      <c r="AE128" s="1"/>
      <c r="AF128" s="1">
        <f t="shared" ca="1" si="82"/>
        <v>0.57967477146112267</v>
      </c>
      <c r="AG128" s="1">
        <f t="shared" ca="1" si="83"/>
        <v>599</v>
      </c>
      <c r="AH128" s="1">
        <f t="shared" ca="1" si="84"/>
        <v>5.5266684744501833E-3</v>
      </c>
      <c r="AJ128" s="1">
        <f t="shared" ca="1" si="85"/>
        <v>0.86157202712195913</v>
      </c>
      <c r="AK128" s="1">
        <f t="shared" ca="1" si="86"/>
        <v>4.3776557647533946E-3</v>
      </c>
      <c r="AL128" s="1"/>
      <c r="AM128" s="1">
        <f t="shared" ca="1" si="87"/>
        <v>1.6384566728247087E-2</v>
      </c>
      <c r="AN128" s="1">
        <f t="shared" ca="1" si="88"/>
        <v>28</v>
      </c>
      <c r="AO128" s="1">
        <f t="shared" ca="1" si="89"/>
        <v>16</v>
      </c>
      <c r="AQ128" s="1">
        <f t="shared" ca="1" si="90"/>
        <v>13</v>
      </c>
      <c r="AR128" s="1">
        <f t="shared" ca="1" si="91"/>
        <v>1</v>
      </c>
      <c r="AS128" s="1">
        <f t="shared" ca="1" si="92"/>
        <v>72</v>
      </c>
      <c r="AU128" s="1">
        <f t="shared" ca="1" si="93"/>
        <v>153</v>
      </c>
      <c r="AV128" s="1">
        <f t="shared" ca="1" si="94"/>
        <v>4</v>
      </c>
      <c r="AW128" s="1">
        <f t="shared" ca="1" si="95"/>
        <v>0.14199386644742262</v>
      </c>
      <c r="AY128" s="1">
        <f t="shared" ca="1" si="96"/>
        <v>1.9597324415081943</v>
      </c>
      <c r="AZ128" s="1">
        <f t="shared" ca="1" si="97"/>
        <v>134</v>
      </c>
      <c r="BA128" s="1">
        <f t="shared" ca="1" si="98"/>
        <v>2.9357929793143601E-3</v>
      </c>
      <c r="BV128" s="1">
        <f t="shared" ca="1" si="99"/>
        <v>0.82630495341904941</v>
      </c>
      <c r="BW128" s="1">
        <f t="shared" ca="1" si="100"/>
        <v>503</v>
      </c>
      <c r="BX128" s="1">
        <f t="shared" ca="1" si="101"/>
        <v>8.4247958267687564E-3</v>
      </c>
      <c r="BY128" s="1">
        <f t="shared" ca="1" si="102"/>
        <v>1.197688505013993E-2</v>
      </c>
      <c r="BZ128" s="1">
        <f t="shared" ca="1" si="103"/>
        <v>0.49545941957338602</v>
      </c>
      <c r="CB128" s="1">
        <f t="shared" ca="1" si="104"/>
        <v>116</v>
      </c>
      <c r="CC128" s="1">
        <f t="shared" ca="1" si="105"/>
        <v>7</v>
      </c>
      <c r="CD128" s="1">
        <f t="shared" ca="1" si="106"/>
        <v>9.528572511783176E-2</v>
      </c>
      <c r="CE128" s="1">
        <f t="shared" ca="1" si="119"/>
        <v>0.77586594949690713</v>
      </c>
      <c r="CF128" s="1">
        <f t="shared" ca="1" si="119"/>
        <v>0.63785950960468019</v>
      </c>
      <c r="CH128" s="3">
        <f t="shared" ca="1" si="108"/>
        <v>0.68765201783460539</v>
      </c>
      <c r="CI128" s="3">
        <f t="shared" ca="1" si="109"/>
        <v>0.91973942980869061</v>
      </c>
      <c r="CJ128" s="3">
        <f t="shared" ca="1" si="110"/>
        <v>674</v>
      </c>
      <c r="CK128" s="3">
        <f t="shared" ca="1" si="111"/>
        <v>4.4814357718501122E-3</v>
      </c>
      <c r="CL128" s="3">
        <f t="shared" ca="1" si="112"/>
        <v>0</v>
      </c>
      <c r="CM128" s="3"/>
      <c r="CN128" s="1">
        <f t="shared" ca="1" si="113"/>
        <v>7.9495073558802902</v>
      </c>
      <c r="CO128" s="1">
        <f t="shared" ca="1" si="114"/>
        <v>0.20323703140346366</v>
      </c>
      <c r="CP128" s="1">
        <f t="shared" ca="1" si="115"/>
        <v>2</v>
      </c>
      <c r="DH128" s="1">
        <f t="shared" ca="1" si="116"/>
        <v>718</v>
      </c>
      <c r="DI128" s="1">
        <f t="shared" ca="1" si="117"/>
        <v>0.85118859522813317</v>
      </c>
      <c r="DJ128" s="1">
        <f t="shared" ca="1" si="118"/>
        <v>14</v>
      </c>
    </row>
    <row r="129" spans="2:114" x14ac:dyDescent="0.25">
      <c r="B129">
        <f t="shared" ca="1" si="60"/>
        <v>361</v>
      </c>
      <c r="C129">
        <f t="shared" ca="1" si="61"/>
        <v>7</v>
      </c>
      <c r="D129">
        <f t="shared" ca="1" si="62"/>
        <v>0.22494821909908869</v>
      </c>
      <c r="F129" s="1">
        <f t="shared" ca="1" si="63"/>
        <v>17</v>
      </c>
      <c r="G129" s="1">
        <f t="shared" ca="1" si="64"/>
        <v>19</v>
      </c>
      <c r="H129" s="1">
        <f t="shared" ca="1" si="65"/>
        <v>5</v>
      </c>
      <c r="I129" s="1"/>
      <c r="J129" s="1">
        <f t="shared" ca="1" si="66"/>
        <v>9</v>
      </c>
      <c r="K129" s="1">
        <f t="shared" ca="1" si="67"/>
        <v>1.3699705674425262</v>
      </c>
      <c r="L129" s="1">
        <f t="shared" ca="1" si="68"/>
        <v>21</v>
      </c>
      <c r="M129" s="1"/>
      <c r="N129" s="1">
        <f t="shared" ca="1" si="69"/>
        <v>380</v>
      </c>
      <c r="O129" s="1">
        <f t="shared" ca="1" si="70"/>
        <v>21</v>
      </c>
      <c r="P129" s="1"/>
      <c r="Q129" s="1">
        <f t="shared" ca="1" si="71"/>
        <v>4.8815706788597621</v>
      </c>
      <c r="R129" s="1">
        <f t="shared" ca="1" si="72"/>
        <v>688</v>
      </c>
      <c r="S129" s="1"/>
      <c r="T129" s="1">
        <f t="shared" ca="1" si="73"/>
        <v>0.14608787340991797</v>
      </c>
      <c r="U129" s="1">
        <f t="shared" ca="1" si="74"/>
        <v>240</v>
      </c>
      <c r="V129" s="1">
        <f t="shared" ca="1" si="75"/>
        <v>42</v>
      </c>
      <c r="W129" s="1"/>
      <c r="X129" s="1">
        <f t="shared" ca="1" si="76"/>
        <v>9.6996102113833551</v>
      </c>
      <c r="Y129" s="1">
        <f t="shared" ca="1" si="77"/>
        <v>0.76370151203806647</v>
      </c>
      <c r="Z129" s="1">
        <f t="shared" ca="1" si="78"/>
        <v>890</v>
      </c>
      <c r="AB129" s="1">
        <f t="shared" ca="1" si="79"/>
        <v>0.89169276452444723</v>
      </c>
      <c r="AC129" s="1">
        <f t="shared" ca="1" si="80"/>
        <v>603</v>
      </c>
      <c r="AD129" s="1">
        <f t="shared" ca="1" si="81"/>
        <v>3.8674916275162462E-3</v>
      </c>
      <c r="AE129" s="1"/>
      <c r="AF129" s="1">
        <f t="shared" ca="1" si="82"/>
        <v>0.87072867760068229</v>
      </c>
      <c r="AG129" s="1">
        <f t="shared" ca="1" si="83"/>
        <v>228</v>
      </c>
      <c r="AH129" s="1">
        <f t="shared" ca="1" si="84"/>
        <v>8.6985229825625662E-3</v>
      </c>
      <c r="AJ129" s="1">
        <f t="shared" ca="1" si="85"/>
        <v>0.68990261136176279</v>
      </c>
      <c r="AK129" s="1">
        <f t="shared" ca="1" si="86"/>
        <v>2.7705064921338548E-3</v>
      </c>
      <c r="AL129" s="1"/>
      <c r="AM129" s="1">
        <f t="shared" ca="1" si="87"/>
        <v>7.6461998936160014E-2</v>
      </c>
      <c r="AN129" s="1">
        <f t="shared" ca="1" si="88"/>
        <v>55</v>
      </c>
      <c r="AO129" s="1">
        <f t="shared" ca="1" si="89"/>
        <v>2</v>
      </c>
      <c r="AQ129" s="1">
        <f t="shared" ca="1" si="90"/>
        <v>199</v>
      </c>
      <c r="AR129" s="1">
        <f t="shared" ca="1" si="91"/>
        <v>7</v>
      </c>
      <c r="AS129" s="1">
        <f t="shared" ca="1" si="92"/>
        <v>7</v>
      </c>
      <c r="AU129" s="1">
        <f t="shared" ca="1" si="93"/>
        <v>137</v>
      </c>
      <c r="AV129" s="1">
        <f t="shared" ca="1" si="94"/>
        <v>9</v>
      </c>
      <c r="AW129" s="1">
        <f t="shared" ca="1" si="95"/>
        <v>8.8601499927318667E-2</v>
      </c>
      <c r="AY129" s="1">
        <f t="shared" ca="1" si="96"/>
        <v>1.6819387221387343</v>
      </c>
      <c r="AZ129" s="1">
        <f t="shared" ca="1" si="97"/>
        <v>219</v>
      </c>
      <c r="BA129" s="1">
        <f t="shared" ca="1" si="98"/>
        <v>8.0926069553050317E-3</v>
      </c>
      <c r="BV129" s="1">
        <f t="shared" ca="1" si="99"/>
        <v>0.40419785134057201</v>
      </c>
      <c r="BW129" s="1">
        <f t="shared" ca="1" si="100"/>
        <v>300</v>
      </c>
      <c r="BX129" s="1">
        <f t="shared" ca="1" si="101"/>
        <v>7.7337478883639857E-3</v>
      </c>
      <c r="BY129" s="1">
        <f t="shared" ca="1" si="102"/>
        <v>2.5231342036531639E-2</v>
      </c>
      <c r="BZ129" s="1">
        <f t="shared" ca="1" si="103"/>
        <v>0.64623942554431113</v>
      </c>
      <c r="CB129" s="1">
        <f t="shared" ca="1" si="104"/>
        <v>246</v>
      </c>
      <c r="CC129" s="1">
        <f t="shared" ca="1" si="105"/>
        <v>10</v>
      </c>
      <c r="CD129" s="1">
        <f t="shared" ca="1" si="106"/>
        <v>0.25046365764566003</v>
      </c>
      <c r="CE129" s="1">
        <f t="shared" ca="1" si="119"/>
        <v>0.8706582693749314</v>
      </c>
      <c r="CF129" s="1">
        <f t="shared" ca="1" si="119"/>
        <v>0.68652402859705397</v>
      </c>
      <c r="CH129" s="3">
        <f t="shared" ca="1" si="108"/>
        <v>0.86600193548123516</v>
      </c>
      <c r="CI129" s="3">
        <f t="shared" ca="1" si="109"/>
        <v>0.59854631821059101</v>
      </c>
      <c r="CJ129" s="3">
        <f t="shared" ca="1" si="110"/>
        <v>590</v>
      </c>
      <c r="CK129" s="3">
        <f t="shared" ca="1" si="111"/>
        <v>9.2505732865390076E-3</v>
      </c>
      <c r="CL129" s="3">
        <f t="shared" ca="1" si="112"/>
        <v>1</v>
      </c>
      <c r="CM129" s="3"/>
      <c r="CN129" s="1">
        <f t="shared" ca="1" si="113"/>
        <v>18.822716275103481</v>
      </c>
      <c r="CO129" s="1">
        <f t="shared" ca="1" si="114"/>
        <v>4.4463912268555728E-2</v>
      </c>
      <c r="CP129" s="1">
        <f t="shared" ca="1" si="115"/>
        <v>5</v>
      </c>
      <c r="DH129" s="1">
        <f t="shared" ca="1" si="116"/>
        <v>134</v>
      </c>
      <c r="DI129" s="1">
        <f t="shared" ca="1" si="117"/>
        <v>0.47379742980281631</v>
      </c>
      <c r="DJ129" s="1">
        <f t="shared" ca="1" si="118"/>
        <v>27</v>
      </c>
    </row>
    <row r="130" spans="2:114" x14ac:dyDescent="0.25">
      <c r="B130">
        <f t="shared" ca="1" si="60"/>
        <v>526</v>
      </c>
      <c r="C130">
        <f t="shared" ca="1" si="61"/>
        <v>23</v>
      </c>
      <c r="D130">
        <f t="shared" ca="1" si="62"/>
        <v>8.1775068371599147E-2</v>
      </c>
      <c r="F130" s="1">
        <f t="shared" ca="1" si="63"/>
        <v>34</v>
      </c>
      <c r="G130" s="1">
        <f t="shared" ca="1" si="64"/>
        <v>13</v>
      </c>
      <c r="H130" s="1">
        <f t="shared" ca="1" si="65"/>
        <v>9</v>
      </c>
      <c r="I130" s="1"/>
      <c r="J130" s="1">
        <f t="shared" ca="1" si="66"/>
        <v>14</v>
      </c>
      <c r="K130" s="1">
        <f t="shared" ca="1" si="67"/>
        <v>2.6010130974013679</v>
      </c>
      <c r="L130" s="1">
        <f t="shared" ca="1" si="68"/>
        <v>25</v>
      </c>
      <c r="M130" s="1"/>
      <c r="N130" s="1">
        <f t="shared" ca="1" si="69"/>
        <v>467</v>
      </c>
      <c r="O130" s="1">
        <f t="shared" ca="1" si="70"/>
        <v>3</v>
      </c>
      <c r="P130" s="1"/>
      <c r="Q130" s="1">
        <f t="shared" ca="1" si="71"/>
        <v>4.1671069544944608</v>
      </c>
      <c r="R130" s="1">
        <f t="shared" ca="1" si="72"/>
        <v>1014</v>
      </c>
      <c r="S130" s="1"/>
      <c r="T130" s="1">
        <f t="shared" ca="1" si="73"/>
        <v>8.8202594321115671E-2</v>
      </c>
      <c r="U130" s="1">
        <f t="shared" ca="1" si="74"/>
        <v>423</v>
      </c>
      <c r="V130" s="1">
        <f t="shared" ca="1" si="75"/>
        <v>46</v>
      </c>
      <c r="W130" s="1"/>
      <c r="X130" s="1">
        <f t="shared" ca="1" si="76"/>
        <v>3.7305903099179791</v>
      </c>
      <c r="Y130" s="1">
        <f t="shared" ca="1" si="77"/>
        <v>0.24013905841260177</v>
      </c>
      <c r="Z130" s="1">
        <f t="shared" ca="1" si="78"/>
        <v>1867</v>
      </c>
      <c r="AB130" s="1">
        <f t="shared" ca="1" si="79"/>
        <v>0.54830961922288124</v>
      </c>
      <c r="AC130" s="1">
        <f t="shared" ca="1" si="80"/>
        <v>134</v>
      </c>
      <c r="AD130" s="1">
        <f t="shared" ca="1" si="81"/>
        <v>3.2103208943220825E-3</v>
      </c>
      <c r="AE130" s="1"/>
      <c r="AF130" s="1">
        <f t="shared" ca="1" si="82"/>
        <v>0.8958071195422318</v>
      </c>
      <c r="AG130" s="1">
        <f t="shared" ca="1" si="83"/>
        <v>629</v>
      </c>
      <c r="AH130" s="1">
        <f t="shared" ca="1" si="84"/>
        <v>5.0109398870578506E-3</v>
      </c>
      <c r="AJ130" s="1">
        <f t="shared" ca="1" si="85"/>
        <v>0.28800523215844909</v>
      </c>
      <c r="AK130" s="1">
        <f t="shared" ca="1" si="86"/>
        <v>2.3109854593032866E-3</v>
      </c>
      <c r="AL130" s="1"/>
      <c r="AM130" s="1">
        <f t="shared" ca="1" si="87"/>
        <v>0.16809485640253591</v>
      </c>
      <c r="AN130" s="1">
        <f t="shared" ca="1" si="88"/>
        <v>46</v>
      </c>
      <c r="AO130" s="1">
        <f t="shared" ca="1" si="89"/>
        <v>8</v>
      </c>
      <c r="AQ130" s="1">
        <f t="shared" ca="1" si="90"/>
        <v>14</v>
      </c>
      <c r="AR130" s="1">
        <f t="shared" ca="1" si="91"/>
        <v>10</v>
      </c>
      <c r="AS130" s="1">
        <f t="shared" ca="1" si="92"/>
        <v>96</v>
      </c>
      <c r="AU130" s="1">
        <f t="shared" ca="1" si="93"/>
        <v>226</v>
      </c>
      <c r="AV130" s="1">
        <f t="shared" ca="1" si="94"/>
        <v>2</v>
      </c>
      <c r="AW130" s="1">
        <f t="shared" ca="1" si="95"/>
        <v>5.3467427447664528E-2</v>
      </c>
      <c r="AY130" s="1">
        <f t="shared" ca="1" si="96"/>
        <v>1.7096390561244497</v>
      </c>
      <c r="AZ130" s="1">
        <f t="shared" ca="1" si="97"/>
        <v>167</v>
      </c>
      <c r="BA130" s="1">
        <f t="shared" ca="1" si="98"/>
        <v>7.0490525561571326E-3</v>
      </c>
      <c r="BV130" s="1">
        <f t="shared" ca="1" si="99"/>
        <v>0.29640168237591175</v>
      </c>
      <c r="BW130" s="1">
        <f t="shared" ca="1" si="100"/>
        <v>355</v>
      </c>
      <c r="BX130" s="1">
        <f t="shared" ca="1" si="101"/>
        <v>4.616110380534449E-4</v>
      </c>
      <c r="BY130" s="1">
        <f t="shared" ca="1" si="102"/>
        <v>9.1612970886395154E-2</v>
      </c>
      <c r="BZ130" s="1">
        <f t="shared" ca="1" si="103"/>
        <v>0.30618113098868749</v>
      </c>
      <c r="CB130" s="1">
        <f t="shared" ca="1" si="104"/>
        <v>236</v>
      </c>
      <c r="CC130" s="1">
        <f t="shared" ca="1" si="105"/>
        <v>10</v>
      </c>
      <c r="CD130" s="1">
        <f t="shared" ca="1" si="106"/>
        <v>0.13413412145656506</v>
      </c>
      <c r="CE130" s="1">
        <f t="shared" ca="1" si="119"/>
        <v>0.71320738703296238</v>
      </c>
      <c r="CF130" s="1">
        <f t="shared" ca="1" si="119"/>
        <v>0.61073721600272191</v>
      </c>
      <c r="CH130" s="3">
        <f t="shared" ca="1" si="108"/>
        <v>0.89144521207232108</v>
      </c>
      <c r="CI130" s="3">
        <f t="shared" ca="1" si="109"/>
        <v>0.69617639788079422</v>
      </c>
      <c r="CJ130" s="3">
        <f t="shared" ca="1" si="110"/>
        <v>378</v>
      </c>
      <c r="CK130" s="3">
        <f t="shared" ca="1" si="111"/>
        <v>1.4839953809795358E-3</v>
      </c>
      <c r="CL130" s="3">
        <f t="shared" ca="1" si="112"/>
        <v>1</v>
      </c>
      <c r="CM130" s="3"/>
      <c r="CN130" s="1">
        <f t="shared" ca="1" si="113"/>
        <v>13.005251044330846</v>
      </c>
      <c r="CO130" s="1">
        <f t="shared" ca="1" si="114"/>
        <v>5.5775254543680139E-2</v>
      </c>
      <c r="CP130" s="1">
        <f t="shared" ca="1" si="115"/>
        <v>2</v>
      </c>
      <c r="DH130" s="1">
        <f t="shared" ca="1" si="116"/>
        <v>658</v>
      </c>
      <c r="DI130" s="1">
        <f t="shared" ca="1" si="117"/>
        <v>0.34530735241976102</v>
      </c>
      <c r="DJ130" s="1">
        <f t="shared" ca="1" si="118"/>
        <v>5</v>
      </c>
    </row>
    <row r="131" spans="2:114" x14ac:dyDescent="0.25">
      <c r="B131">
        <f t="shared" ca="1" si="60"/>
        <v>966</v>
      </c>
      <c r="C131">
        <f t="shared" ca="1" si="61"/>
        <v>37</v>
      </c>
      <c r="D131">
        <f t="shared" ca="1" si="62"/>
        <v>4.4704097986239262E-2</v>
      </c>
      <c r="F131" s="1">
        <f t="shared" ca="1" si="63"/>
        <v>39</v>
      </c>
      <c r="G131" s="1">
        <f t="shared" ca="1" si="64"/>
        <v>7</v>
      </c>
      <c r="H131" s="1">
        <f t="shared" ca="1" si="65"/>
        <v>6</v>
      </c>
      <c r="I131" s="1"/>
      <c r="J131" s="1">
        <f t="shared" ca="1" si="66"/>
        <v>11</v>
      </c>
      <c r="K131" s="1">
        <f t="shared" ca="1" si="67"/>
        <v>1.3923612981634002</v>
      </c>
      <c r="L131" s="1">
        <f t="shared" ca="1" si="68"/>
        <v>34</v>
      </c>
      <c r="M131" s="1"/>
      <c r="N131" s="1">
        <f t="shared" ca="1" si="69"/>
        <v>39</v>
      </c>
      <c r="O131" s="1">
        <f t="shared" ca="1" si="70"/>
        <v>50</v>
      </c>
      <c r="P131" s="1"/>
      <c r="Q131" s="1">
        <f t="shared" ca="1" si="71"/>
        <v>3.4543345444233586</v>
      </c>
      <c r="R131" s="1">
        <f t="shared" ca="1" si="72"/>
        <v>944</v>
      </c>
      <c r="S131" s="1"/>
      <c r="T131" s="1">
        <f t="shared" ca="1" si="73"/>
        <v>9.322020274191245E-2</v>
      </c>
      <c r="U131" s="1">
        <f t="shared" ca="1" si="74"/>
        <v>285</v>
      </c>
      <c r="V131" s="1">
        <f t="shared" ca="1" si="75"/>
        <v>17</v>
      </c>
      <c r="W131" s="1"/>
      <c r="X131" s="1">
        <f t="shared" ca="1" si="76"/>
        <v>3.9975699125330464</v>
      </c>
      <c r="Y131" s="1">
        <f t="shared" ca="1" si="77"/>
        <v>0.76915678402523313</v>
      </c>
      <c r="Z131" s="1">
        <f t="shared" ca="1" si="78"/>
        <v>1176</v>
      </c>
      <c r="AB131" s="1">
        <f t="shared" ca="1" si="79"/>
        <v>0.8654106728832256</v>
      </c>
      <c r="AC131" s="1">
        <f t="shared" ca="1" si="80"/>
        <v>115</v>
      </c>
      <c r="AD131" s="1">
        <f t="shared" ca="1" si="81"/>
        <v>9.3515343521458419E-3</v>
      </c>
      <c r="AE131" s="1"/>
      <c r="AF131" s="1">
        <f t="shared" ca="1" si="82"/>
        <v>0.49495478039194685</v>
      </c>
      <c r="AG131" s="1">
        <f t="shared" ca="1" si="83"/>
        <v>966</v>
      </c>
      <c r="AH131" s="1">
        <f t="shared" ca="1" si="84"/>
        <v>3.9936433326092447E-3</v>
      </c>
      <c r="AJ131" s="1">
        <f t="shared" ca="1" si="85"/>
        <v>0.92664032733765667</v>
      </c>
      <c r="AK131" s="1">
        <f t="shared" ca="1" si="86"/>
        <v>8.9446437721243475E-3</v>
      </c>
      <c r="AL131" s="1"/>
      <c r="AM131" s="1">
        <f t="shared" ca="1" si="87"/>
        <v>7.7441595198323124E-2</v>
      </c>
      <c r="AN131" s="1">
        <f t="shared" ca="1" si="88"/>
        <v>16</v>
      </c>
      <c r="AO131" s="1">
        <f t="shared" ca="1" si="89"/>
        <v>2</v>
      </c>
      <c r="AQ131" s="1">
        <f t="shared" ca="1" si="90"/>
        <v>195</v>
      </c>
      <c r="AR131" s="1">
        <f t="shared" ca="1" si="91"/>
        <v>5</v>
      </c>
      <c r="AS131" s="1">
        <f t="shared" ca="1" si="92"/>
        <v>83</v>
      </c>
      <c r="AU131" s="1">
        <f t="shared" ca="1" si="93"/>
        <v>145</v>
      </c>
      <c r="AV131" s="1">
        <f t="shared" ca="1" si="94"/>
        <v>10</v>
      </c>
      <c r="AW131" s="1">
        <f t="shared" ca="1" si="95"/>
        <v>7.3252494016618208E-2</v>
      </c>
      <c r="AY131" s="1">
        <f t="shared" ca="1" si="96"/>
        <v>1.8440517250985806</v>
      </c>
      <c r="AZ131" s="1">
        <f t="shared" ca="1" si="97"/>
        <v>332</v>
      </c>
      <c r="BA131" s="1">
        <f t="shared" ca="1" si="98"/>
        <v>9.0794283813487569E-3</v>
      </c>
      <c r="BV131" s="1">
        <f t="shared" ca="1" si="99"/>
        <v>0.84769131399241149</v>
      </c>
      <c r="BW131" s="1">
        <f t="shared" ca="1" si="100"/>
        <v>333</v>
      </c>
      <c r="BX131" s="1">
        <f t="shared" ca="1" si="101"/>
        <v>6.0142205337550053E-3</v>
      </c>
      <c r="BY131" s="1">
        <f t="shared" ca="1" si="102"/>
        <v>4.5792629939768965E-2</v>
      </c>
      <c r="BZ131" s="1">
        <f t="shared" ca="1" si="103"/>
        <v>0.75657390889950538</v>
      </c>
      <c r="CB131" s="1">
        <f t="shared" ca="1" si="104"/>
        <v>306</v>
      </c>
      <c r="CC131" s="1">
        <f t="shared" ca="1" si="105"/>
        <v>4</v>
      </c>
      <c r="CD131" s="1">
        <f t="shared" ca="1" si="106"/>
        <v>0.27436100640061006</v>
      </c>
      <c r="CE131" s="1">
        <f t="shared" ca="1" si="119"/>
        <v>0.8107965077085606</v>
      </c>
      <c r="CF131" s="1">
        <f t="shared" ca="1" si="119"/>
        <v>0.68945875640186371</v>
      </c>
      <c r="CH131" s="3">
        <f t="shared" ca="1" si="108"/>
        <v>0.57175621264437615</v>
      </c>
      <c r="CI131" s="3">
        <f t="shared" ca="1" si="109"/>
        <v>8.5839428352799813E-2</v>
      </c>
      <c r="CJ131" s="3">
        <f t="shared" ca="1" si="110"/>
        <v>1102</v>
      </c>
      <c r="CK131" s="3">
        <f t="shared" ca="1" si="111"/>
        <v>8.8776560536922376E-3</v>
      </c>
      <c r="CL131" s="3">
        <f t="shared" ca="1" si="112"/>
        <v>1</v>
      </c>
      <c r="CM131" s="3"/>
      <c r="CN131" s="1">
        <f t="shared" ca="1" si="113"/>
        <v>12.354150612744736</v>
      </c>
      <c r="CO131" s="1">
        <f t="shared" ca="1" si="114"/>
        <v>0.32173545528567954</v>
      </c>
      <c r="CP131" s="1">
        <f t="shared" ca="1" si="115"/>
        <v>2</v>
      </c>
      <c r="DH131" s="1">
        <f t="shared" ca="1" si="116"/>
        <v>317</v>
      </c>
      <c r="DI131" s="1">
        <f t="shared" ca="1" si="117"/>
        <v>0.42397497638441822</v>
      </c>
      <c r="DJ131" s="1">
        <f t="shared" ca="1" si="118"/>
        <v>26</v>
      </c>
    </row>
    <row r="132" spans="2:114" x14ac:dyDescent="0.25">
      <c r="B132">
        <f t="shared" ref="B132:B195" ca="1" si="120">RANDBETWEEN(15,1000)</f>
        <v>961</v>
      </c>
      <c r="C132">
        <f t="shared" ref="C132:C195" ca="1" si="121">RANDBETWEEN(2,52)</f>
        <v>39</v>
      </c>
      <c r="D132">
        <f t="shared" ref="D132:D195" ca="1" si="122">RAND()*(0.3-0.01)+0.01</f>
        <v>3.2765334003470273E-2</v>
      </c>
      <c r="F132" s="1">
        <f t="shared" ref="F132:F195" ca="1" si="123">RANDBETWEEN(2,52)</f>
        <v>44</v>
      </c>
      <c r="G132" s="1">
        <f t="shared" ref="G132:G195" ca="1" si="124">RANDBETWEEN(2,30)</f>
        <v>7</v>
      </c>
      <c r="H132" s="1">
        <f t="shared" ref="H132:H195" ca="1" si="125">RANDBETWEEN(1,15)</f>
        <v>12</v>
      </c>
      <c r="I132" s="1"/>
      <c r="J132" s="1">
        <f t="shared" ref="J132:J195" ca="1" si="126">RANDBETWEEN(1,39)</f>
        <v>17</v>
      </c>
      <c r="K132" s="1">
        <f t="shared" ref="K132:K195" ca="1" si="127">RAND()*(3-1)+1</f>
        <v>2.3214561645840739</v>
      </c>
      <c r="L132" s="1">
        <f t="shared" ref="L132:L195" ca="1" si="128">RANDBETWEEN(2,35)</f>
        <v>8</v>
      </c>
      <c r="M132" s="1"/>
      <c r="N132" s="1">
        <f t="shared" ref="N132:N195" ca="1" si="129">RANDBETWEEN(15,1000)</f>
        <v>282</v>
      </c>
      <c r="O132" s="1">
        <f t="shared" ref="O132:O195" ca="1" si="130">RANDBETWEEN(2,52)</f>
        <v>40</v>
      </c>
      <c r="P132" s="1"/>
      <c r="Q132" s="1">
        <f t="shared" ref="Q132:Q195" ca="1" si="131">RAND()*(5-0.01)+0.01</f>
        <v>4.5520307255586392</v>
      </c>
      <c r="R132" s="1">
        <f t="shared" ref="R132:R195" ca="1" si="132">RANDBETWEEN(200,1200)</f>
        <v>1025</v>
      </c>
      <c r="S132" s="1"/>
      <c r="T132" s="1">
        <f t="shared" ref="T132:T195" ca="1" si="133">RAND()*(0.2-0.01)+0.01</f>
        <v>5.0460271255548257E-2</v>
      </c>
      <c r="U132" s="1">
        <f t="shared" ref="U132:U195" ca="1" si="134">RANDBETWEEN(50,450)</f>
        <v>298</v>
      </c>
      <c r="V132" s="1">
        <f t="shared" ref="V132:V195" ca="1" si="135">RANDBETWEEN(2,52)</f>
        <v>20</v>
      </c>
      <c r="W132" s="1"/>
      <c r="X132" s="1">
        <f t="shared" ref="X132:X195" ca="1" si="136">RAND()*(10-0.01)+0.01</f>
        <v>6.5532841255144634</v>
      </c>
      <c r="Y132" s="1">
        <f t="shared" ref="Y132:Y195" ca="1" si="137">RAND()*(1-0.0001)+0.0001</f>
        <v>7.5935999668895089E-3</v>
      </c>
      <c r="Z132" s="1">
        <f t="shared" ref="Z132:Z195" ca="1" si="138">RANDBETWEEN(100,2000)</f>
        <v>1119</v>
      </c>
      <c r="AB132" s="1">
        <f t="shared" ref="AB132:AB195" ca="1" si="139">RAND()*(1-0.0001)+0.0001</f>
        <v>0.85931289872103589</v>
      </c>
      <c r="AC132" s="1">
        <f t="shared" ref="AC132:AC195" ca="1" si="140">RANDBETWEEN(100,1000)</f>
        <v>967</v>
      </c>
      <c r="AD132" s="1">
        <f t="shared" ref="AD132:AD195" ca="1" si="141">RAND()*(0.01-0.00001)+0.00001</f>
        <v>9.8917554220894158E-3</v>
      </c>
      <c r="AE132" s="1"/>
      <c r="AF132" s="1">
        <f t="shared" ref="AF132:AF195" ca="1" si="142">RAND()*(0.9-0.1)+0.1</f>
        <v>0.552590522577595</v>
      </c>
      <c r="AG132" s="1">
        <f t="shared" ref="AG132:AG195" ca="1" si="143">RANDBETWEEN(100,1000)</f>
        <v>755</v>
      </c>
      <c r="AH132" s="1">
        <f t="shared" ref="AH132:AH195" ca="1" si="144">RAND()*(0.01-0.00001)+0.00001</f>
        <v>6.4611912925761775E-3</v>
      </c>
      <c r="AJ132" s="1">
        <f t="shared" ref="AJ132:AJ195" ca="1" si="145">RAND()*(1-0)+0</f>
        <v>4.9154492461034316E-4</v>
      </c>
      <c r="AK132" s="1">
        <f t="shared" ref="AK132:AK195" ca="1" si="146">RAND()*(0.01-0.00001)+0.00001</f>
        <v>6.1674776105411794E-3</v>
      </c>
      <c r="AL132" s="1"/>
      <c r="AM132" s="1">
        <f t="shared" ref="AM132:AM195" ca="1" si="147">RAND()*(0.2-0.005)+0.005</f>
        <v>1.8483552769147742E-2</v>
      </c>
      <c r="AN132" s="1">
        <f t="shared" ref="AN132:AN195" ca="1" si="148">RANDBETWEEN(10,80)</f>
        <v>21</v>
      </c>
      <c r="AO132" s="1">
        <f t="shared" ref="AO132:AO195" ca="1" si="149">RANDBETWEEN(-1,20)</f>
        <v>19</v>
      </c>
      <c r="AQ132" s="1">
        <f t="shared" ref="AQ132:AQ195" ca="1" si="150">RANDBETWEEN(10,200)</f>
        <v>132</v>
      </c>
      <c r="AR132" s="1">
        <f t="shared" ref="AR132:AR195" ca="1" si="151">RANDBETWEEN(0,10)</f>
        <v>8</v>
      </c>
      <c r="AS132" s="1">
        <f t="shared" ref="AS132:AS195" ca="1" si="152">RANDBETWEEN(1,100)</f>
        <v>18</v>
      </c>
      <c r="AU132" s="1">
        <f t="shared" ref="AU132:AU195" ca="1" si="153">RANDBETWEEN(50,400)</f>
        <v>337</v>
      </c>
      <c r="AV132" s="1">
        <f t="shared" ref="AV132:AV195" ca="1" si="154">RANDBETWEEN(2,10)</f>
        <v>8</v>
      </c>
      <c r="AW132" s="1">
        <f t="shared" ref="AW132:AW195" ca="1" si="155">RAND()*(0.2-0.01)+0.01</f>
        <v>3.658910723638506E-2</v>
      </c>
      <c r="AY132" s="1">
        <f t="shared" ref="AY132:AY195" ca="1" si="156">RAND()*(2-1.1)+1.1</f>
        <v>1.2295692704050758</v>
      </c>
      <c r="AZ132" s="1">
        <f t="shared" ref="AZ132:AZ195" ca="1" si="157">RANDBETWEEN(50,500)</f>
        <v>316</v>
      </c>
      <c r="BA132" s="1">
        <f t="shared" ref="BA132:BA195" ca="1" si="158">RAND()*(0.01-0.00001)+0.00001</f>
        <v>8.0848756591705515E-3</v>
      </c>
      <c r="BV132" s="1">
        <f t="shared" ref="BV132:BV195" ca="1" si="159">RAND()*(1-0.0001)+0.0001</f>
        <v>1.2556866695729781E-2</v>
      </c>
      <c r="BW132" s="1">
        <f t="shared" ref="BW132:BW195" ca="1" si="160">RANDBETWEEN(100,1000)</f>
        <v>969</v>
      </c>
      <c r="BX132" s="1">
        <f t="shared" ref="BX132:BX195" ca="1" si="161">RAND()*(0.01-0.00001)+0.00001</f>
        <v>2.105516646141344E-3</v>
      </c>
      <c r="BY132" s="1">
        <f t="shared" ref="BY132:BY195" ca="1" si="162">RAND()*(0.1-0.0001)+0.0001</f>
        <v>2.9251124476281542E-2</v>
      </c>
      <c r="BZ132" s="1">
        <f t="shared" ref="BZ132:BZ195" ca="1" si="163">RAND()*(1-0)+0</f>
        <v>6.6662416627133458E-2</v>
      </c>
      <c r="CB132" s="1">
        <f t="shared" ref="CB132:CB195" ca="1" si="164">RANDBETWEEN(50,500)</f>
        <v>388</v>
      </c>
      <c r="CC132" s="1">
        <f t="shared" ref="CC132:CC195" ca="1" si="165">RANDBETWEEN(3,15)</f>
        <v>6</v>
      </c>
      <c r="CD132" s="1">
        <f t="shared" ref="CD132:CD195" ca="1" si="166">RAND()*(0.3-0.01)+0.01</f>
        <v>7.6313056367885254E-2</v>
      </c>
      <c r="CE132" s="1">
        <f t="shared" ref="CE132:CF163" ca="1" si="167">RAND()*(1-0.5)+0.5</f>
        <v>0.71317710248018806</v>
      </c>
      <c r="CF132" s="1">
        <f t="shared" ca="1" si="167"/>
        <v>0.88902622387587227</v>
      </c>
      <c r="CH132" s="3">
        <f t="shared" ref="CH132:CH195" ca="1" si="168">RAND()*(1-0.0001)+0.0001</f>
        <v>0.97327979968309686</v>
      </c>
      <c r="CI132" s="3">
        <f t="shared" ref="CI132:CI195" ca="1" si="169">RAND()*(0.99-0.01)+0.01</f>
        <v>0.59187972235402608</v>
      </c>
      <c r="CJ132" s="3">
        <f t="shared" ref="CJ132:CJ195" ca="1" si="170">RANDBETWEEN(100,2000)</f>
        <v>450</v>
      </c>
      <c r="CK132" s="3">
        <f t="shared" ref="CK132:CK195" ca="1" si="171">RAND()*(0.01-0.000001)+0.000001</f>
        <v>3.2453562387160361E-3</v>
      </c>
      <c r="CL132" s="3">
        <f t="shared" ref="CL132:CL195" ca="1" si="172">RANDBETWEEN(0,1)</f>
        <v>0</v>
      </c>
      <c r="CM132" s="3"/>
      <c r="CN132" s="1">
        <f t="shared" ref="CN132:CN195" ca="1" si="173">RAND()*(20-0.1)+0.1</f>
        <v>19.205609935110726</v>
      </c>
      <c r="CO132" s="1">
        <f t="shared" ref="CO132:CO195" ca="1" si="174">RAND()*(0.5-0.001)+0.001</f>
        <v>0.13143180563150622</v>
      </c>
      <c r="CP132" s="1">
        <f t="shared" ref="CP132:CP195" ca="1" si="175">RANDBETWEEN(1,5)</f>
        <v>2</v>
      </c>
      <c r="DH132" s="1">
        <f t="shared" ref="DH132:DH195" ca="1" si="176">RANDBETWEEN(10,900)</f>
        <v>38</v>
      </c>
      <c r="DI132" s="1">
        <f t="shared" ref="DI132:DI195" ca="1" si="177">RAND()*(1-0.001)+0.001</f>
        <v>0.26250482705259776</v>
      </c>
      <c r="DJ132" s="1">
        <f t="shared" ref="DJ132:DJ195" ca="1" si="178">RANDBETWEEN(1,30)</f>
        <v>5</v>
      </c>
    </row>
    <row r="133" spans="2:114" x14ac:dyDescent="0.25">
      <c r="B133">
        <f t="shared" ca="1" si="120"/>
        <v>812</v>
      </c>
      <c r="C133">
        <f t="shared" ca="1" si="121"/>
        <v>8</v>
      </c>
      <c r="D133">
        <f t="shared" ca="1" si="122"/>
        <v>0.13781903832701553</v>
      </c>
      <c r="F133" s="1">
        <f t="shared" ca="1" si="123"/>
        <v>20</v>
      </c>
      <c r="G133" s="1">
        <f t="shared" ca="1" si="124"/>
        <v>24</v>
      </c>
      <c r="H133" s="1">
        <f t="shared" ca="1" si="125"/>
        <v>4</v>
      </c>
      <c r="I133" s="1"/>
      <c r="J133" s="1">
        <f t="shared" ca="1" si="126"/>
        <v>28</v>
      </c>
      <c r="K133" s="1">
        <f t="shared" ca="1" si="127"/>
        <v>2.0325345053396902</v>
      </c>
      <c r="L133" s="1">
        <f t="shared" ca="1" si="128"/>
        <v>5</v>
      </c>
      <c r="M133" s="1"/>
      <c r="N133" s="1">
        <f t="shared" ca="1" si="129"/>
        <v>741</v>
      </c>
      <c r="O133" s="1">
        <f t="shared" ca="1" si="130"/>
        <v>4</v>
      </c>
      <c r="P133" s="1"/>
      <c r="Q133" s="1">
        <f t="shared" ca="1" si="131"/>
        <v>4.5225342701726756</v>
      </c>
      <c r="R133" s="1">
        <f t="shared" ca="1" si="132"/>
        <v>906</v>
      </c>
      <c r="S133" s="1"/>
      <c r="T133" s="1">
        <f t="shared" ca="1" si="133"/>
        <v>2.5162117479137325E-2</v>
      </c>
      <c r="U133" s="1">
        <f t="shared" ca="1" si="134"/>
        <v>419</v>
      </c>
      <c r="V133" s="1">
        <f t="shared" ca="1" si="135"/>
        <v>26</v>
      </c>
      <c r="W133" s="1"/>
      <c r="X133" s="1">
        <f t="shared" ca="1" si="136"/>
        <v>7.4380938684176332</v>
      </c>
      <c r="Y133" s="1">
        <f t="shared" ca="1" si="137"/>
        <v>6.9144236956401081E-2</v>
      </c>
      <c r="Z133" s="1">
        <f t="shared" ca="1" si="138"/>
        <v>1581</v>
      </c>
      <c r="AB133" s="1">
        <f t="shared" ca="1" si="139"/>
        <v>0.51668509966874288</v>
      </c>
      <c r="AC133" s="1">
        <f t="shared" ca="1" si="140"/>
        <v>625</v>
      </c>
      <c r="AD133" s="1">
        <f t="shared" ca="1" si="141"/>
        <v>8.2611916603714877E-3</v>
      </c>
      <c r="AE133" s="1"/>
      <c r="AF133" s="1">
        <f t="shared" ca="1" si="142"/>
        <v>0.43184459324826685</v>
      </c>
      <c r="AG133" s="1">
        <f t="shared" ca="1" si="143"/>
        <v>150</v>
      </c>
      <c r="AH133" s="1">
        <f t="shared" ca="1" si="144"/>
        <v>7.3847879725183066E-3</v>
      </c>
      <c r="AJ133" s="1">
        <f t="shared" ca="1" si="145"/>
        <v>0.85701263418205886</v>
      </c>
      <c r="AK133" s="1">
        <f t="shared" ca="1" si="146"/>
        <v>3.8981307295251214E-3</v>
      </c>
      <c r="AL133" s="1"/>
      <c r="AM133" s="1">
        <f t="shared" ca="1" si="147"/>
        <v>7.148189734310012E-2</v>
      </c>
      <c r="AN133" s="1">
        <f t="shared" ca="1" si="148"/>
        <v>17</v>
      </c>
      <c r="AO133" s="1">
        <f t="shared" ca="1" si="149"/>
        <v>11</v>
      </c>
      <c r="AQ133" s="1">
        <f t="shared" ca="1" si="150"/>
        <v>139</v>
      </c>
      <c r="AR133" s="1">
        <f t="shared" ca="1" si="151"/>
        <v>6</v>
      </c>
      <c r="AS133" s="1">
        <f t="shared" ca="1" si="152"/>
        <v>49</v>
      </c>
      <c r="AU133" s="1">
        <f t="shared" ca="1" si="153"/>
        <v>359</v>
      </c>
      <c r="AV133" s="1">
        <f t="shared" ca="1" si="154"/>
        <v>10</v>
      </c>
      <c r="AW133" s="1">
        <f t="shared" ca="1" si="155"/>
        <v>0.18819216444623652</v>
      </c>
      <c r="AY133" s="1">
        <f t="shared" ca="1" si="156"/>
        <v>1.7989441820023244</v>
      </c>
      <c r="AZ133" s="1">
        <f t="shared" ca="1" si="157"/>
        <v>61</v>
      </c>
      <c r="BA133" s="1">
        <f t="shared" ca="1" si="158"/>
        <v>1.4280705083199825E-3</v>
      </c>
      <c r="BV133" s="1">
        <f t="shared" ca="1" si="159"/>
        <v>0.81058833617287407</v>
      </c>
      <c r="BW133" s="1">
        <f t="shared" ca="1" si="160"/>
        <v>140</v>
      </c>
      <c r="BX133" s="1">
        <f t="shared" ca="1" si="161"/>
        <v>6.8798371787103562E-3</v>
      </c>
      <c r="BY133" s="1">
        <f t="shared" ca="1" si="162"/>
        <v>8.7304251888427151E-2</v>
      </c>
      <c r="BZ133" s="1">
        <f t="shared" ca="1" si="163"/>
        <v>0.70761407003659582</v>
      </c>
      <c r="CB133" s="1">
        <f t="shared" ca="1" si="164"/>
        <v>417</v>
      </c>
      <c r="CC133" s="1">
        <f t="shared" ca="1" si="165"/>
        <v>13</v>
      </c>
      <c r="CD133" s="1">
        <f t="shared" ca="1" si="166"/>
        <v>0.29000866695891792</v>
      </c>
      <c r="CE133" s="1">
        <f t="shared" ca="1" si="167"/>
        <v>0.78154353878156169</v>
      </c>
      <c r="CF133" s="1">
        <f t="shared" ca="1" si="167"/>
        <v>0.89277758098476667</v>
      </c>
      <c r="CH133" s="3">
        <f t="shared" ca="1" si="168"/>
        <v>0.5395668968710069</v>
      </c>
      <c r="CI133" s="3">
        <f t="shared" ca="1" si="169"/>
        <v>0.728868929040001</v>
      </c>
      <c r="CJ133" s="3">
        <f t="shared" ca="1" si="170"/>
        <v>130</v>
      </c>
      <c r="CK133" s="3">
        <f t="shared" ca="1" si="171"/>
        <v>3.0011081262627127E-3</v>
      </c>
      <c r="CL133" s="3">
        <f t="shared" ca="1" si="172"/>
        <v>1</v>
      </c>
      <c r="CM133" s="3"/>
      <c r="CN133" s="1">
        <f t="shared" ca="1" si="173"/>
        <v>4.8480805344552351</v>
      </c>
      <c r="CO133" s="1">
        <f t="shared" ca="1" si="174"/>
        <v>0.36414424670177853</v>
      </c>
      <c r="CP133" s="1">
        <f t="shared" ca="1" si="175"/>
        <v>3</v>
      </c>
      <c r="DH133" s="1">
        <f t="shared" ca="1" si="176"/>
        <v>769</v>
      </c>
      <c r="DI133" s="1">
        <f t="shared" ca="1" si="177"/>
        <v>0.24229893095968999</v>
      </c>
      <c r="DJ133" s="1">
        <f t="shared" ca="1" si="178"/>
        <v>27</v>
      </c>
    </row>
    <row r="134" spans="2:114" x14ac:dyDescent="0.25">
      <c r="B134">
        <f t="shared" ca="1" si="120"/>
        <v>106</v>
      </c>
      <c r="C134">
        <f t="shared" ca="1" si="121"/>
        <v>3</v>
      </c>
      <c r="D134">
        <f t="shared" ca="1" si="122"/>
        <v>1.3094980923089363E-2</v>
      </c>
      <c r="F134" s="1">
        <f t="shared" ca="1" si="123"/>
        <v>40</v>
      </c>
      <c r="G134" s="1">
        <f t="shared" ca="1" si="124"/>
        <v>25</v>
      </c>
      <c r="H134" s="1">
        <f t="shared" ca="1" si="125"/>
        <v>11</v>
      </c>
      <c r="I134" s="1"/>
      <c r="J134" s="1">
        <f t="shared" ca="1" si="126"/>
        <v>20</v>
      </c>
      <c r="K134" s="1">
        <f t="shared" ca="1" si="127"/>
        <v>2.6852647986578786</v>
      </c>
      <c r="L134" s="1">
        <f t="shared" ca="1" si="128"/>
        <v>5</v>
      </c>
      <c r="M134" s="1"/>
      <c r="N134" s="1">
        <f t="shared" ca="1" si="129"/>
        <v>238</v>
      </c>
      <c r="O134" s="1">
        <f t="shared" ca="1" si="130"/>
        <v>18</v>
      </c>
      <c r="P134" s="1"/>
      <c r="Q134" s="1">
        <f t="shared" ca="1" si="131"/>
        <v>0.27973633389510777</v>
      </c>
      <c r="R134" s="1">
        <f t="shared" ca="1" si="132"/>
        <v>562</v>
      </c>
      <c r="S134" s="1"/>
      <c r="T134" s="1">
        <f t="shared" ca="1" si="133"/>
        <v>8.5465892969782006E-2</v>
      </c>
      <c r="U134" s="1">
        <f t="shared" ca="1" si="134"/>
        <v>427</v>
      </c>
      <c r="V134" s="1">
        <f t="shared" ca="1" si="135"/>
        <v>52</v>
      </c>
      <c r="W134" s="1"/>
      <c r="X134" s="1">
        <f t="shared" ca="1" si="136"/>
        <v>8.1439059239969769</v>
      </c>
      <c r="Y134" s="1">
        <f t="shared" ca="1" si="137"/>
        <v>0.51440261734178028</v>
      </c>
      <c r="Z134" s="1">
        <f t="shared" ca="1" si="138"/>
        <v>1406</v>
      </c>
      <c r="AB134" s="1">
        <f t="shared" ca="1" si="139"/>
        <v>0.29676784016095104</v>
      </c>
      <c r="AC134" s="1">
        <f t="shared" ca="1" si="140"/>
        <v>380</v>
      </c>
      <c r="AD134" s="1">
        <f t="shared" ca="1" si="141"/>
        <v>2.9270330209467872E-3</v>
      </c>
      <c r="AE134" s="1"/>
      <c r="AF134" s="1">
        <f t="shared" ca="1" si="142"/>
        <v>0.89678709966560255</v>
      </c>
      <c r="AG134" s="1">
        <f t="shared" ca="1" si="143"/>
        <v>111</v>
      </c>
      <c r="AH134" s="1">
        <f t="shared" ca="1" si="144"/>
        <v>8.3708139727838252E-3</v>
      </c>
      <c r="AJ134" s="1">
        <f t="shared" ca="1" si="145"/>
        <v>0.66235209885484614</v>
      </c>
      <c r="AK134" s="1">
        <f t="shared" ca="1" si="146"/>
        <v>4.357819371515353E-3</v>
      </c>
      <c r="AL134" s="1"/>
      <c r="AM134" s="1">
        <f t="shared" ca="1" si="147"/>
        <v>2.539210724926182E-2</v>
      </c>
      <c r="AN134" s="1">
        <f t="shared" ca="1" si="148"/>
        <v>47</v>
      </c>
      <c r="AO134" s="1">
        <f t="shared" ca="1" si="149"/>
        <v>8</v>
      </c>
      <c r="AQ134" s="1">
        <f t="shared" ca="1" si="150"/>
        <v>17</v>
      </c>
      <c r="AR134" s="1">
        <f t="shared" ca="1" si="151"/>
        <v>9</v>
      </c>
      <c r="AS134" s="1">
        <f t="shared" ca="1" si="152"/>
        <v>13</v>
      </c>
      <c r="AU134" s="1">
        <f t="shared" ca="1" si="153"/>
        <v>150</v>
      </c>
      <c r="AV134" s="1">
        <f t="shared" ca="1" si="154"/>
        <v>5</v>
      </c>
      <c r="AW134" s="1">
        <f t="shared" ca="1" si="155"/>
        <v>0.16406211460439143</v>
      </c>
      <c r="AY134" s="1">
        <f t="shared" ca="1" si="156"/>
        <v>1.3799704584421997</v>
      </c>
      <c r="AZ134" s="1">
        <f t="shared" ca="1" si="157"/>
        <v>107</v>
      </c>
      <c r="BA134" s="1">
        <f t="shared" ca="1" si="158"/>
        <v>8.1271544719516073E-3</v>
      </c>
      <c r="BV134" s="1">
        <f t="shared" ca="1" si="159"/>
        <v>0.1636575625709496</v>
      </c>
      <c r="BW134" s="1">
        <f t="shared" ca="1" si="160"/>
        <v>264</v>
      </c>
      <c r="BX134" s="1">
        <f t="shared" ca="1" si="161"/>
        <v>2.9480204654153117E-3</v>
      </c>
      <c r="BY134" s="1">
        <f t="shared" ca="1" si="162"/>
        <v>2.6730551012875321E-2</v>
      </c>
      <c r="BZ134" s="1">
        <f t="shared" ca="1" si="163"/>
        <v>0.25779803294835613</v>
      </c>
      <c r="CB134" s="1">
        <f t="shared" ca="1" si="164"/>
        <v>255</v>
      </c>
      <c r="CC134" s="1">
        <f t="shared" ca="1" si="165"/>
        <v>15</v>
      </c>
      <c r="CD134" s="1">
        <f t="shared" ca="1" si="166"/>
        <v>0.16247463913062371</v>
      </c>
      <c r="CE134" s="1">
        <f t="shared" ca="1" si="167"/>
        <v>0.88240613159651948</v>
      </c>
      <c r="CF134" s="1">
        <f t="shared" ca="1" si="167"/>
        <v>0.559413843368056</v>
      </c>
      <c r="CH134" s="3">
        <f t="shared" ca="1" si="168"/>
        <v>0.87525231241480805</v>
      </c>
      <c r="CI134" s="3">
        <f t="shared" ca="1" si="169"/>
        <v>0.37737582639817868</v>
      </c>
      <c r="CJ134" s="3">
        <f t="shared" ca="1" si="170"/>
        <v>486</v>
      </c>
      <c r="CK134" s="3">
        <f t="shared" ca="1" si="171"/>
        <v>6.6351621297747396E-3</v>
      </c>
      <c r="CL134" s="3">
        <f t="shared" ca="1" si="172"/>
        <v>0</v>
      </c>
      <c r="CM134" s="3"/>
      <c r="CN134" s="1">
        <f t="shared" ca="1" si="173"/>
        <v>18.443503761949501</v>
      </c>
      <c r="CO134" s="1">
        <f t="shared" ca="1" si="174"/>
        <v>0.48654374943996953</v>
      </c>
      <c r="CP134" s="1">
        <f t="shared" ca="1" si="175"/>
        <v>4</v>
      </c>
      <c r="DH134" s="1">
        <f t="shared" ca="1" si="176"/>
        <v>489</v>
      </c>
      <c r="DI134" s="1">
        <f t="shared" ca="1" si="177"/>
        <v>0.93375645621849912</v>
      </c>
      <c r="DJ134" s="1">
        <f t="shared" ca="1" si="178"/>
        <v>27</v>
      </c>
    </row>
    <row r="135" spans="2:114" x14ac:dyDescent="0.25">
      <c r="B135">
        <f t="shared" ca="1" si="120"/>
        <v>801</v>
      </c>
      <c r="C135">
        <f t="shared" ca="1" si="121"/>
        <v>31</v>
      </c>
      <c r="D135">
        <f t="shared" ca="1" si="122"/>
        <v>4.2232459075458202E-2</v>
      </c>
      <c r="F135" s="1">
        <f t="shared" ca="1" si="123"/>
        <v>16</v>
      </c>
      <c r="G135" s="1">
        <f t="shared" ca="1" si="124"/>
        <v>29</v>
      </c>
      <c r="H135" s="1">
        <f t="shared" ca="1" si="125"/>
        <v>6</v>
      </c>
      <c r="I135" s="1"/>
      <c r="J135" s="1">
        <f t="shared" ca="1" si="126"/>
        <v>9</v>
      </c>
      <c r="K135" s="1">
        <f t="shared" ca="1" si="127"/>
        <v>2.6557058532165145</v>
      </c>
      <c r="L135" s="1">
        <f t="shared" ca="1" si="128"/>
        <v>24</v>
      </c>
      <c r="M135" s="1"/>
      <c r="N135" s="1">
        <f t="shared" ca="1" si="129"/>
        <v>866</v>
      </c>
      <c r="O135" s="1">
        <f t="shared" ca="1" si="130"/>
        <v>31</v>
      </c>
      <c r="P135" s="1"/>
      <c r="Q135" s="1">
        <f t="shared" ca="1" si="131"/>
        <v>0.83130839625460262</v>
      </c>
      <c r="R135" s="1">
        <f t="shared" ca="1" si="132"/>
        <v>548</v>
      </c>
      <c r="S135" s="1"/>
      <c r="T135" s="1">
        <f t="shared" ca="1" si="133"/>
        <v>3.3854180485819417E-2</v>
      </c>
      <c r="U135" s="1">
        <f t="shared" ca="1" si="134"/>
        <v>399</v>
      </c>
      <c r="V135" s="1">
        <f t="shared" ca="1" si="135"/>
        <v>29</v>
      </c>
      <c r="W135" s="1"/>
      <c r="X135" s="1">
        <f t="shared" ca="1" si="136"/>
        <v>8.1388477319028141</v>
      </c>
      <c r="Y135" s="1">
        <f t="shared" ca="1" si="137"/>
        <v>0.84231978918843298</v>
      </c>
      <c r="Z135" s="1">
        <f t="shared" ca="1" si="138"/>
        <v>590</v>
      </c>
      <c r="AB135" s="1">
        <f t="shared" ca="1" si="139"/>
        <v>0.55588539225192812</v>
      </c>
      <c r="AC135" s="1">
        <f t="shared" ca="1" si="140"/>
        <v>163</v>
      </c>
      <c r="AD135" s="1">
        <f t="shared" ca="1" si="141"/>
        <v>1.1663763753731122E-3</v>
      </c>
      <c r="AE135" s="1"/>
      <c r="AF135" s="1">
        <f t="shared" ca="1" si="142"/>
        <v>0.76444702628199257</v>
      </c>
      <c r="AG135" s="1">
        <f t="shared" ca="1" si="143"/>
        <v>504</v>
      </c>
      <c r="AH135" s="1">
        <f t="shared" ca="1" si="144"/>
        <v>5.2220384580107353E-3</v>
      </c>
      <c r="AJ135" s="1">
        <f t="shared" ca="1" si="145"/>
        <v>0.13133748902927356</v>
      </c>
      <c r="AK135" s="1">
        <f t="shared" ca="1" si="146"/>
        <v>3.2987563189536139E-3</v>
      </c>
      <c r="AL135" s="1"/>
      <c r="AM135" s="1">
        <f t="shared" ca="1" si="147"/>
        <v>0.1135336867591879</v>
      </c>
      <c r="AN135" s="1">
        <f t="shared" ca="1" si="148"/>
        <v>14</v>
      </c>
      <c r="AO135" s="1">
        <f t="shared" ca="1" si="149"/>
        <v>0</v>
      </c>
      <c r="AQ135" s="1">
        <f t="shared" ca="1" si="150"/>
        <v>127</v>
      </c>
      <c r="AR135" s="1">
        <f t="shared" ca="1" si="151"/>
        <v>0</v>
      </c>
      <c r="AS135" s="1">
        <f t="shared" ca="1" si="152"/>
        <v>20</v>
      </c>
      <c r="AU135" s="1">
        <f t="shared" ca="1" si="153"/>
        <v>102</v>
      </c>
      <c r="AV135" s="1">
        <f t="shared" ca="1" si="154"/>
        <v>2</v>
      </c>
      <c r="AW135" s="1">
        <f t="shared" ca="1" si="155"/>
        <v>0.10224946180828944</v>
      </c>
      <c r="AY135" s="1">
        <f t="shared" ca="1" si="156"/>
        <v>1.5590385764792485</v>
      </c>
      <c r="AZ135" s="1">
        <f t="shared" ca="1" si="157"/>
        <v>489</v>
      </c>
      <c r="BA135" s="1">
        <f t="shared" ca="1" si="158"/>
        <v>7.9110362646273216E-3</v>
      </c>
      <c r="BV135" s="1">
        <f t="shared" ca="1" si="159"/>
        <v>0.44184155692914712</v>
      </c>
      <c r="BW135" s="1">
        <f t="shared" ca="1" si="160"/>
        <v>176</v>
      </c>
      <c r="BX135" s="1">
        <f t="shared" ca="1" si="161"/>
        <v>6.5761975700659816E-4</v>
      </c>
      <c r="BY135" s="1">
        <f t="shared" ca="1" si="162"/>
        <v>1.1021473851078566E-2</v>
      </c>
      <c r="BZ135" s="1">
        <f t="shared" ca="1" si="163"/>
        <v>0.47706710398827556</v>
      </c>
      <c r="CB135" s="1">
        <f t="shared" ca="1" si="164"/>
        <v>329</v>
      </c>
      <c r="CC135" s="1">
        <f t="shared" ca="1" si="165"/>
        <v>15</v>
      </c>
      <c r="CD135" s="1">
        <f t="shared" ca="1" si="166"/>
        <v>0.27323678702273574</v>
      </c>
      <c r="CE135" s="1">
        <f t="shared" ca="1" si="167"/>
        <v>0.94891031456552788</v>
      </c>
      <c r="CF135" s="1">
        <f t="shared" ca="1" si="167"/>
        <v>0.66874559395494371</v>
      </c>
      <c r="CH135" s="3">
        <f t="shared" ca="1" si="168"/>
        <v>0.55135910674064481</v>
      </c>
      <c r="CI135" s="3">
        <f t="shared" ca="1" si="169"/>
        <v>0.95703202264064358</v>
      </c>
      <c r="CJ135" s="3">
        <f t="shared" ca="1" si="170"/>
        <v>1602</v>
      </c>
      <c r="CK135" s="3">
        <f t="shared" ca="1" si="171"/>
        <v>5.388337763071978E-3</v>
      </c>
      <c r="CL135" s="3">
        <f t="shared" ca="1" si="172"/>
        <v>0</v>
      </c>
      <c r="CM135" s="3"/>
      <c r="CN135" s="1">
        <f t="shared" ca="1" si="173"/>
        <v>8.4649715174499676</v>
      </c>
      <c r="CO135" s="1">
        <f t="shared" ca="1" si="174"/>
        <v>0.25769972975668082</v>
      </c>
      <c r="CP135" s="1">
        <f t="shared" ca="1" si="175"/>
        <v>5</v>
      </c>
      <c r="DH135" s="1">
        <f t="shared" ca="1" si="176"/>
        <v>725</v>
      </c>
      <c r="DI135" s="1">
        <f t="shared" ca="1" si="177"/>
        <v>0.61662486377613468</v>
      </c>
      <c r="DJ135" s="1">
        <f t="shared" ca="1" si="178"/>
        <v>10</v>
      </c>
    </row>
    <row r="136" spans="2:114" x14ac:dyDescent="0.25">
      <c r="B136">
        <f t="shared" ca="1" si="120"/>
        <v>476</v>
      </c>
      <c r="C136">
        <f t="shared" ca="1" si="121"/>
        <v>41</v>
      </c>
      <c r="D136">
        <f t="shared" ca="1" si="122"/>
        <v>0.27257648369370108</v>
      </c>
      <c r="F136" s="1">
        <f t="shared" ca="1" si="123"/>
        <v>12</v>
      </c>
      <c r="G136" s="1">
        <f t="shared" ca="1" si="124"/>
        <v>29</v>
      </c>
      <c r="H136" s="1">
        <f t="shared" ca="1" si="125"/>
        <v>3</v>
      </c>
      <c r="I136" s="1"/>
      <c r="J136" s="1">
        <f t="shared" ca="1" si="126"/>
        <v>21</v>
      </c>
      <c r="K136" s="1">
        <f t="shared" ca="1" si="127"/>
        <v>1.8009877541065455</v>
      </c>
      <c r="L136" s="1">
        <f t="shared" ca="1" si="128"/>
        <v>14</v>
      </c>
      <c r="M136" s="1"/>
      <c r="N136" s="1">
        <f t="shared" ca="1" si="129"/>
        <v>728</v>
      </c>
      <c r="O136" s="1">
        <f t="shared" ca="1" si="130"/>
        <v>15</v>
      </c>
      <c r="P136" s="1"/>
      <c r="Q136" s="1">
        <f t="shared" ca="1" si="131"/>
        <v>4.4018082445251894</v>
      </c>
      <c r="R136" s="1">
        <f t="shared" ca="1" si="132"/>
        <v>1077</v>
      </c>
      <c r="S136" s="1"/>
      <c r="T136" s="1">
        <f t="shared" ca="1" si="133"/>
        <v>0.10882883587777742</v>
      </c>
      <c r="U136" s="1">
        <f t="shared" ca="1" si="134"/>
        <v>311</v>
      </c>
      <c r="V136" s="1">
        <f t="shared" ca="1" si="135"/>
        <v>15</v>
      </c>
      <c r="W136" s="1"/>
      <c r="X136" s="1">
        <f t="shared" ca="1" si="136"/>
        <v>6.5806049522660972</v>
      </c>
      <c r="Y136" s="1">
        <f t="shared" ca="1" si="137"/>
        <v>0.58676459197907993</v>
      </c>
      <c r="Z136" s="1">
        <f t="shared" ca="1" si="138"/>
        <v>1716</v>
      </c>
      <c r="AB136" s="1">
        <f t="shared" ca="1" si="139"/>
        <v>0.68411868667360831</v>
      </c>
      <c r="AC136" s="1">
        <f t="shared" ca="1" si="140"/>
        <v>687</v>
      </c>
      <c r="AD136" s="1">
        <f t="shared" ca="1" si="141"/>
        <v>6.0669689089239082E-3</v>
      </c>
      <c r="AE136" s="1"/>
      <c r="AF136" s="1">
        <f t="shared" ca="1" si="142"/>
        <v>0.21089463679747072</v>
      </c>
      <c r="AG136" s="1">
        <f t="shared" ca="1" si="143"/>
        <v>587</v>
      </c>
      <c r="AH136" s="1">
        <f t="shared" ca="1" si="144"/>
        <v>8.5919408516052119E-4</v>
      </c>
      <c r="AJ136" s="1">
        <f t="shared" ca="1" si="145"/>
        <v>0.21970883895966331</v>
      </c>
      <c r="AK136" s="1">
        <f t="shared" ca="1" si="146"/>
        <v>5.9893067009454222E-3</v>
      </c>
      <c r="AL136" s="1"/>
      <c r="AM136" s="1">
        <f t="shared" ca="1" si="147"/>
        <v>0.12076920513347796</v>
      </c>
      <c r="AN136" s="1">
        <f t="shared" ca="1" si="148"/>
        <v>25</v>
      </c>
      <c r="AO136" s="1">
        <f t="shared" ca="1" si="149"/>
        <v>13</v>
      </c>
      <c r="AQ136" s="1">
        <f t="shared" ca="1" si="150"/>
        <v>82</v>
      </c>
      <c r="AR136" s="1">
        <f t="shared" ca="1" si="151"/>
        <v>5</v>
      </c>
      <c r="AS136" s="1">
        <f t="shared" ca="1" si="152"/>
        <v>75</v>
      </c>
      <c r="AU136" s="1">
        <f t="shared" ca="1" si="153"/>
        <v>80</v>
      </c>
      <c r="AV136" s="1">
        <f t="shared" ca="1" si="154"/>
        <v>2</v>
      </c>
      <c r="AW136" s="1">
        <f t="shared" ca="1" si="155"/>
        <v>0.19750210696727141</v>
      </c>
      <c r="AY136" s="1">
        <f t="shared" ca="1" si="156"/>
        <v>1.9526412123288586</v>
      </c>
      <c r="AZ136" s="1">
        <f t="shared" ca="1" si="157"/>
        <v>403</v>
      </c>
      <c r="BA136" s="1">
        <f t="shared" ca="1" si="158"/>
        <v>1.4695232437093202E-4</v>
      </c>
      <c r="BV136" s="1">
        <f t="shared" ca="1" si="159"/>
        <v>0.20123494345158843</v>
      </c>
      <c r="BW136" s="1">
        <f t="shared" ca="1" si="160"/>
        <v>429</v>
      </c>
      <c r="BX136" s="1">
        <f t="shared" ca="1" si="161"/>
        <v>6.5751780335697729E-3</v>
      </c>
      <c r="BY136" s="1">
        <f t="shared" ca="1" si="162"/>
        <v>7.5788208435307994E-2</v>
      </c>
      <c r="BZ136" s="1">
        <f t="shared" ca="1" si="163"/>
        <v>0.30269157043022166</v>
      </c>
      <c r="CB136" s="1">
        <f t="shared" ca="1" si="164"/>
        <v>226</v>
      </c>
      <c r="CC136" s="1">
        <f t="shared" ca="1" si="165"/>
        <v>15</v>
      </c>
      <c r="CD136" s="1">
        <f t="shared" ca="1" si="166"/>
        <v>0.2741645028076084</v>
      </c>
      <c r="CE136" s="1">
        <f t="shared" ca="1" si="167"/>
        <v>0.51661217616448196</v>
      </c>
      <c r="CF136" s="1">
        <f t="shared" ca="1" si="167"/>
        <v>0.64198472061638923</v>
      </c>
      <c r="CH136" s="3">
        <f t="shared" ca="1" si="168"/>
        <v>0.29086751277678413</v>
      </c>
      <c r="CI136" s="3">
        <f t="shared" ca="1" si="169"/>
        <v>0.15339946572346777</v>
      </c>
      <c r="CJ136" s="3">
        <f t="shared" ca="1" si="170"/>
        <v>1891</v>
      </c>
      <c r="CK136" s="3">
        <f t="shared" ca="1" si="171"/>
        <v>4.0123912261704042E-3</v>
      </c>
      <c r="CL136" s="3">
        <f t="shared" ca="1" si="172"/>
        <v>1</v>
      </c>
      <c r="CM136" s="3"/>
      <c r="CN136" s="1">
        <f t="shared" ca="1" si="173"/>
        <v>8.6081868511244615</v>
      </c>
      <c r="CO136" s="1">
        <f t="shared" ca="1" si="174"/>
        <v>0.16453187927598462</v>
      </c>
      <c r="CP136" s="1">
        <f t="shared" ca="1" si="175"/>
        <v>3</v>
      </c>
      <c r="DH136" s="1">
        <f t="shared" ca="1" si="176"/>
        <v>311</v>
      </c>
      <c r="DI136" s="1">
        <f t="shared" ca="1" si="177"/>
        <v>0.20448375300931806</v>
      </c>
      <c r="DJ136" s="1">
        <f t="shared" ca="1" si="178"/>
        <v>19</v>
      </c>
    </row>
    <row r="137" spans="2:114" x14ac:dyDescent="0.25">
      <c r="B137">
        <f t="shared" ca="1" si="120"/>
        <v>34</v>
      </c>
      <c r="C137">
        <f t="shared" ca="1" si="121"/>
        <v>25</v>
      </c>
      <c r="D137">
        <f t="shared" ca="1" si="122"/>
        <v>0.18746813507240978</v>
      </c>
      <c r="F137" s="1">
        <f t="shared" ca="1" si="123"/>
        <v>18</v>
      </c>
      <c r="G137" s="1">
        <f t="shared" ca="1" si="124"/>
        <v>23</v>
      </c>
      <c r="H137" s="1">
        <f t="shared" ca="1" si="125"/>
        <v>13</v>
      </c>
      <c r="I137" s="1"/>
      <c r="J137" s="1">
        <f t="shared" ca="1" si="126"/>
        <v>20</v>
      </c>
      <c r="K137" s="1">
        <f t="shared" ca="1" si="127"/>
        <v>1.3295880611334061</v>
      </c>
      <c r="L137" s="1">
        <f t="shared" ca="1" si="128"/>
        <v>25</v>
      </c>
      <c r="M137" s="1"/>
      <c r="N137" s="1">
        <f t="shared" ca="1" si="129"/>
        <v>89</v>
      </c>
      <c r="O137" s="1">
        <f t="shared" ca="1" si="130"/>
        <v>34</v>
      </c>
      <c r="P137" s="1"/>
      <c r="Q137" s="1">
        <f t="shared" ca="1" si="131"/>
        <v>4.6406465056421364</v>
      </c>
      <c r="R137" s="1">
        <f t="shared" ca="1" si="132"/>
        <v>234</v>
      </c>
      <c r="S137" s="1"/>
      <c r="T137" s="1">
        <f t="shared" ca="1" si="133"/>
        <v>7.3721210734745177E-2</v>
      </c>
      <c r="U137" s="1">
        <f t="shared" ca="1" si="134"/>
        <v>276</v>
      </c>
      <c r="V137" s="1">
        <f t="shared" ca="1" si="135"/>
        <v>41</v>
      </c>
      <c r="W137" s="1"/>
      <c r="X137" s="1">
        <f t="shared" ca="1" si="136"/>
        <v>0.90936838888578608</v>
      </c>
      <c r="Y137" s="1">
        <f t="shared" ca="1" si="137"/>
        <v>0.52925154778728067</v>
      </c>
      <c r="Z137" s="1">
        <f t="shared" ca="1" si="138"/>
        <v>1519</v>
      </c>
      <c r="AB137" s="1">
        <f t="shared" ca="1" si="139"/>
        <v>0.35909378408254145</v>
      </c>
      <c r="AC137" s="1">
        <f t="shared" ca="1" si="140"/>
        <v>741</v>
      </c>
      <c r="AD137" s="1">
        <f t="shared" ca="1" si="141"/>
        <v>3.6854083112387603E-3</v>
      </c>
      <c r="AE137" s="1"/>
      <c r="AF137" s="1">
        <f t="shared" ca="1" si="142"/>
        <v>0.63920066436630285</v>
      </c>
      <c r="AG137" s="1">
        <f t="shared" ca="1" si="143"/>
        <v>233</v>
      </c>
      <c r="AH137" s="1">
        <f t="shared" ca="1" si="144"/>
        <v>2.6421431222699911E-4</v>
      </c>
      <c r="AJ137" s="1">
        <f t="shared" ca="1" si="145"/>
        <v>0.9599402043092945</v>
      </c>
      <c r="AK137" s="1">
        <f t="shared" ca="1" si="146"/>
        <v>1.9197495807857579E-3</v>
      </c>
      <c r="AL137" s="1"/>
      <c r="AM137" s="1">
        <f t="shared" ca="1" si="147"/>
        <v>0.1806049240989909</v>
      </c>
      <c r="AN137" s="1">
        <f t="shared" ca="1" si="148"/>
        <v>42</v>
      </c>
      <c r="AO137" s="1">
        <f t="shared" ca="1" si="149"/>
        <v>-1</v>
      </c>
      <c r="AQ137" s="1">
        <f t="shared" ca="1" si="150"/>
        <v>187</v>
      </c>
      <c r="AR137" s="1">
        <f t="shared" ca="1" si="151"/>
        <v>4</v>
      </c>
      <c r="AS137" s="1">
        <f t="shared" ca="1" si="152"/>
        <v>50</v>
      </c>
      <c r="AU137" s="1">
        <f t="shared" ca="1" si="153"/>
        <v>245</v>
      </c>
      <c r="AV137" s="1">
        <f t="shared" ca="1" si="154"/>
        <v>3</v>
      </c>
      <c r="AW137" s="1">
        <f t="shared" ca="1" si="155"/>
        <v>9.1146919805776341E-2</v>
      </c>
      <c r="AY137" s="1">
        <f t="shared" ca="1" si="156"/>
        <v>1.7509736529373177</v>
      </c>
      <c r="AZ137" s="1">
        <f t="shared" ca="1" si="157"/>
        <v>441</v>
      </c>
      <c r="BA137" s="1">
        <f t="shared" ca="1" si="158"/>
        <v>3.8332142004339864E-3</v>
      </c>
      <c r="BV137" s="1">
        <f t="shared" ca="1" si="159"/>
        <v>0.73533871931503947</v>
      </c>
      <c r="BW137" s="1">
        <f t="shared" ca="1" si="160"/>
        <v>195</v>
      </c>
      <c r="BX137" s="1">
        <f t="shared" ca="1" si="161"/>
        <v>3.2931657049954451E-3</v>
      </c>
      <c r="BY137" s="1">
        <f t="shared" ca="1" si="162"/>
        <v>9.991495595265236E-2</v>
      </c>
      <c r="BZ137" s="1">
        <f t="shared" ca="1" si="163"/>
        <v>0.48946214312821168</v>
      </c>
      <c r="CB137" s="1">
        <f t="shared" ca="1" si="164"/>
        <v>369</v>
      </c>
      <c r="CC137" s="1">
        <f t="shared" ca="1" si="165"/>
        <v>14</v>
      </c>
      <c r="CD137" s="1">
        <f t="shared" ca="1" si="166"/>
        <v>0.17843494377212524</v>
      </c>
      <c r="CE137" s="1">
        <f t="shared" ca="1" si="167"/>
        <v>0.7736881669658473</v>
      </c>
      <c r="CF137" s="1">
        <f t="shared" ca="1" si="167"/>
        <v>0.62280411441249839</v>
      </c>
      <c r="CH137" s="3">
        <f t="shared" ca="1" si="168"/>
        <v>0.44549281267798058</v>
      </c>
      <c r="CI137" s="3">
        <f t="shared" ca="1" si="169"/>
        <v>0.85601260570380211</v>
      </c>
      <c r="CJ137" s="3">
        <f t="shared" ca="1" si="170"/>
        <v>546</v>
      </c>
      <c r="CK137" s="3">
        <f t="shared" ca="1" si="171"/>
        <v>5.0658364270645675E-3</v>
      </c>
      <c r="CL137" s="3">
        <f t="shared" ca="1" si="172"/>
        <v>1</v>
      </c>
      <c r="CM137" s="3"/>
      <c r="CN137" s="1">
        <f t="shared" ca="1" si="173"/>
        <v>10.96785451903645</v>
      </c>
      <c r="CO137" s="1">
        <f t="shared" ca="1" si="174"/>
        <v>0.37679795545789235</v>
      </c>
      <c r="CP137" s="1">
        <f t="shared" ca="1" si="175"/>
        <v>2</v>
      </c>
      <c r="DH137" s="1">
        <f t="shared" ca="1" si="176"/>
        <v>833</v>
      </c>
      <c r="DI137" s="1">
        <f t="shared" ca="1" si="177"/>
        <v>0.92250234015350707</v>
      </c>
      <c r="DJ137" s="1">
        <f t="shared" ca="1" si="178"/>
        <v>10</v>
      </c>
    </row>
    <row r="138" spans="2:114" x14ac:dyDescent="0.25">
      <c r="B138">
        <f t="shared" ca="1" si="120"/>
        <v>817</v>
      </c>
      <c r="C138">
        <f t="shared" ca="1" si="121"/>
        <v>39</v>
      </c>
      <c r="D138">
        <f t="shared" ca="1" si="122"/>
        <v>7.5429868939101072E-2</v>
      </c>
      <c r="F138" s="1">
        <f t="shared" ca="1" si="123"/>
        <v>45</v>
      </c>
      <c r="G138" s="1">
        <f t="shared" ca="1" si="124"/>
        <v>9</v>
      </c>
      <c r="H138" s="1">
        <f t="shared" ca="1" si="125"/>
        <v>10</v>
      </c>
      <c r="I138" s="1"/>
      <c r="J138" s="1">
        <f t="shared" ca="1" si="126"/>
        <v>12</v>
      </c>
      <c r="K138" s="1">
        <f t="shared" ca="1" si="127"/>
        <v>2.863806581728475</v>
      </c>
      <c r="L138" s="1">
        <f t="shared" ca="1" si="128"/>
        <v>15</v>
      </c>
      <c r="M138" s="1"/>
      <c r="N138" s="1">
        <f t="shared" ca="1" si="129"/>
        <v>330</v>
      </c>
      <c r="O138" s="1">
        <f t="shared" ca="1" si="130"/>
        <v>46</v>
      </c>
      <c r="P138" s="1"/>
      <c r="Q138" s="1">
        <f t="shared" ca="1" si="131"/>
        <v>1.2566639829718018</v>
      </c>
      <c r="R138" s="1">
        <f t="shared" ca="1" si="132"/>
        <v>530</v>
      </c>
      <c r="S138" s="1"/>
      <c r="T138" s="1">
        <f t="shared" ca="1" si="133"/>
        <v>0.16811468846539457</v>
      </c>
      <c r="U138" s="1">
        <f t="shared" ca="1" si="134"/>
        <v>190</v>
      </c>
      <c r="V138" s="1">
        <f t="shared" ca="1" si="135"/>
        <v>47</v>
      </c>
      <c r="W138" s="1"/>
      <c r="X138" s="1">
        <f t="shared" ca="1" si="136"/>
        <v>6.3206664801533696</v>
      </c>
      <c r="Y138" s="1">
        <f t="shared" ca="1" si="137"/>
        <v>0.86277440222115331</v>
      </c>
      <c r="Z138" s="1">
        <f t="shared" ca="1" si="138"/>
        <v>138</v>
      </c>
      <c r="AB138" s="1">
        <f t="shared" ca="1" si="139"/>
        <v>0.65005932819422052</v>
      </c>
      <c r="AC138" s="1">
        <f t="shared" ca="1" si="140"/>
        <v>848</v>
      </c>
      <c r="AD138" s="1">
        <f t="shared" ca="1" si="141"/>
        <v>1.2048302881467415E-3</v>
      </c>
      <c r="AE138" s="1"/>
      <c r="AF138" s="1">
        <f t="shared" ca="1" si="142"/>
        <v>0.73905150593815028</v>
      </c>
      <c r="AG138" s="1">
        <f t="shared" ca="1" si="143"/>
        <v>287</v>
      </c>
      <c r="AH138" s="1">
        <f t="shared" ca="1" si="144"/>
        <v>8.1760855837171194E-3</v>
      </c>
      <c r="AJ138" s="1">
        <f t="shared" ca="1" si="145"/>
        <v>6.1069767398984842E-2</v>
      </c>
      <c r="AK138" s="1">
        <f t="shared" ca="1" si="146"/>
        <v>9.7042041054590852E-3</v>
      </c>
      <c r="AL138" s="1"/>
      <c r="AM138" s="1">
        <f t="shared" ca="1" si="147"/>
        <v>0.10292975869653902</v>
      </c>
      <c r="AN138" s="1">
        <f t="shared" ca="1" si="148"/>
        <v>57</v>
      </c>
      <c r="AO138" s="1">
        <f t="shared" ca="1" si="149"/>
        <v>6</v>
      </c>
      <c r="AQ138" s="1">
        <f t="shared" ca="1" si="150"/>
        <v>96</v>
      </c>
      <c r="AR138" s="1">
        <f t="shared" ca="1" si="151"/>
        <v>7</v>
      </c>
      <c r="AS138" s="1">
        <f t="shared" ca="1" si="152"/>
        <v>63</v>
      </c>
      <c r="AU138" s="1">
        <f t="shared" ca="1" si="153"/>
        <v>203</v>
      </c>
      <c r="AV138" s="1">
        <f t="shared" ca="1" si="154"/>
        <v>4</v>
      </c>
      <c r="AW138" s="1">
        <f t="shared" ca="1" si="155"/>
        <v>0.13393952094434025</v>
      </c>
      <c r="AY138" s="1">
        <f t="shared" ca="1" si="156"/>
        <v>1.5333557387944181</v>
      </c>
      <c r="AZ138" s="1">
        <f t="shared" ca="1" si="157"/>
        <v>219</v>
      </c>
      <c r="BA138" s="1">
        <f t="shared" ca="1" si="158"/>
        <v>9.3235538887046134E-3</v>
      </c>
      <c r="BV138" s="1">
        <f t="shared" ca="1" si="159"/>
        <v>0.3854812972896397</v>
      </c>
      <c r="BW138" s="1">
        <f t="shared" ca="1" si="160"/>
        <v>407</v>
      </c>
      <c r="BX138" s="1">
        <f t="shared" ca="1" si="161"/>
        <v>4.6129063392999561E-3</v>
      </c>
      <c r="BY138" s="1">
        <f t="shared" ca="1" si="162"/>
        <v>5.8542568331027951E-2</v>
      </c>
      <c r="BZ138" s="1">
        <f t="shared" ca="1" si="163"/>
        <v>2.3588579796597675E-2</v>
      </c>
      <c r="CB138" s="1">
        <f t="shared" ca="1" si="164"/>
        <v>158</v>
      </c>
      <c r="CC138" s="1">
        <f t="shared" ca="1" si="165"/>
        <v>15</v>
      </c>
      <c r="CD138" s="1">
        <f t="shared" ca="1" si="166"/>
        <v>0.28383756189811715</v>
      </c>
      <c r="CE138" s="1">
        <f t="shared" ca="1" si="167"/>
        <v>0.70538961915628784</v>
      </c>
      <c r="CF138" s="1">
        <f t="shared" ca="1" si="167"/>
        <v>0.97119728927721749</v>
      </c>
      <c r="CH138" s="3">
        <f t="shared" ca="1" si="168"/>
        <v>0.16849084865037078</v>
      </c>
      <c r="CI138" s="3">
        <f t="shared" ca="1" si="169"/>
        <v>0.38991872863943572</v>
      </c>
      <c r="CJ138" s="3">
        <f t="shared" ca="1" si="170"/>
        <v>1378</v>
      </c>
      <c r="CK138" s="3">
        <f t="shared" ca="1" si="171"/>
        <v>1.816606862891687E-3</v>
      </c>
      <c r="CL138" s="3">
        <f t="shared" ca="1" si="172"/>
        <v>1</v>
      </c>
      <c r="CM138" s="3"/>
      <c r="CN138" s="1">
        <f t="shared" ca="1" si="173"/>
        <v>1.8226655745252613</v>
      </c>
      <c r="CO138" s="1">
        <f t="shared" ca="1" si="174"/>
        <v>0.14656331504071266</v>
      </c>
      <c r="CP138" s="1">
        <f t="shared" ca="1" si="175"/>
        <v>5</v>
      </c>
      <c r="DH138" s="1">
        <f t="shared" ca="1" si="176"/>
        <v>855</v>
      </c>
      <c r="DI138" s="1">
        <f t="shared" ca="1" si="177"/>
        <v>0.48365624052893974</v>
      </c>
      <c r="DJ138" s="1">
        <f t="shared" ca="1" si="178"/>
        <v>20</v>
      </c>
    </row>
    <row r="139" spans="2:114" x14ac:dyDescent="0.25">
      <c r="B139">
        <f t="shared" ca="1" si="120"/>
        <v>834</v>
      </c>
      <c r="C139">
        <f t="shared" ca="1" si="121"/>
        <v>37</v>
      </c>
      <c r="D139">
        <f t="shared" ca="1" si="122"/>
        <v>0.26393497343321026</v>
      </c>
      <c r="F139" s="1">
        <f t="shared" ca="1" si="123"/>
        <v>43</v>
      </c>
      <c r="G139" s="1">
        <f t="shared" ca="1" si="124"/>
        <v>10</v>
      </c>
      <c r="H139" s="1">
        <f t="shared" ca="1" si="125"/>
        <v>8</v>
      </c>
      <c r="I139" s="1"/>
      <c r="J139" s="1">
        <f t="shared" ca="1" si="126"/>
        <v>2</v>
      </c>
      <c r="K139" s="1">
        <f t="shared" ca="1" si="127"/>
        <v>2.9507235623387889</v>
      </c>
      <c r="L139" s="1">
        <f t="shared" ca="1" si="128"/>
        <v>15</v>
      </c>
      <c r="M139" s="1"/>
      <c r="N139" s="1">
        <f t="shared" ca="1" si="129"/>
        <v>895</v>
      </c>
      <c r="O139" s="1">
        <f t="shared" ca="1" si="130"/>
        <v>19</v>
      </c>
      <c r="P139" s="1"/>
      <c r="Q139" s="1">
        <f t="shared" ca="1" si="131"/>
        <v>4.3372163202156946</v>
      </c>
      <c r="R139" s="1">
        <f t="shared" ca="1" si="132"/>
        <v>401</v>
      </c>
      <c r="S139" s="1"/>
      <c r="T139" s="1">
        <f t="shared" ca="1" si="133"/>
        <v>0.17859376479761913</v>
      </c>
      <c r="U139" s="1">
        <f t="shared" ca="1" si="134"/>
        <v>438</v>
      </c>
      <c r="V139" s="1">
        <f t="shared" ca="1" si="135"/>
        <v>41</v>
      </c>
      <c r="W139" s="1"/>
      <c r="X139" s="1">
        <f t="shared" ca="1" si="136"/>
        <v>3.6343131708964385</v>
      </c>
      <c r="Y139" s="1">
        <f t="shared" ca="1" si="137"/>
        <v>0.60642663098341953</v>
      </c>
      <c r="Z139" s="1">
        <f t="shared" ca="1" si="138"/>
        <v>1799</v>
      </c>
      <c r="AB139" s="1">
        <f t="shared" ca="1" si="139"/>
        <v>0.24127075551265023</v>
      </c>
      <c r="AC139" s="1">
        <f t="shared" ca="1" si="140"/>
        <v>588</v>
      </c>
      <c r="AD139" s="1">
        <f t="shared" ca="1" si="141"/>
        <v>3.3381529406624971E-4</v>
      </c>
      <c r="AE139" s="1"/>
      <c r="AF139" s="1">
        <f t="shared" ca="1" si="142"/>
        <v>0.34756091123809529</v>
      </c>
      <c r="AG139" s="1">
        <f t="shared" ca="1" si="143"/>
        <v>159</v>
      </c>
      <c r="AH139" s="1">
        <f t="shared" ca="1" si="144"/>
        <v>3.7722683740681042E-3</v>
      </c>
      <c r="AJ139" s="1">
        <f t="shared" ca="1" si="145"/>
        <v>0.3635915607042558</v>
      </c>
      <c r="AK139" s="1">
        <f t="shared" ca="1" si="146"/>
        <v>6.870950294892565E-3</v>
      </c>
      <c r="AL139" s="1"/>
      <c r="AM139" s="1">
        <f t="shared" ca="1" si="147"/>
        <v>0.15067535325030115</v>
      </c>
      <c r="AN139" s="1">
        <f t="shared" ca="1" si="148"/>
        <v>67</v>
      </c>
      <c r="AO139" s="1">
        <f t="shared" ca="1" si="149"/>
        <v>10</v>
      </c>
      <c r="AQ139" s="1">
        <f t="shared" ca="1" si="150"/>
        <v>75</v>
      </c>
      <c r="AR139" s="1">
        <f t="shared" ca="1" si="151"/>
        <v>6</v>
      </c>
      <c r="AS139" s="1">
        <f t="shared" ca="1" si="152"/>
        <v>44</v>
      </c>
      <c r="AU139" s="1">
        <f t="shared" ca="1" si="153"/>
        <v>340</v>
      </c>
      <c r="AV139" s="1">
        <f t="shared" ca="1" si="154"/>
        <v>3</v>
      </c>
      <c r="AW139" s="1">
        <f t="shared" ca="1" si="155"/>
        <v>5.7368147930011146E-2</v>
      </c>
      <c r="AY139" s="1">
        <f t="shared" ca="1" si="156"/>
        <v>1.8508997725334622</v>
      </c>
      <c r="AZ139" s="1">
        <f t="shared" ca="1" si="157"/>
        <v>391</v>
      </c>
      <c r="BA139" s="1">
        <f t="shared" ca="1" si="158"/>
        <v>6.8964729363310837E-3</v>
      </c>
      <c r="BV139" s="1">
        <f t="shared" ca="1" si="159"/>
        <v>0.42845414993407155</v>
      </c>
      <c r="BW139" s="1">
        <f t="shared" ca="1" si="160"/>
        <v>795</v>
      </c>
      <c r="BX139" s="1">
        <f t="shared" ca="1" si="161"/>
        <v>9.1340314243155123E-3</v>
      </c>
      <c r="BY139" s="1">
        <f t="shared" ca="1" si="162"/>
        <v>3.2765841364753107E-2</v>
      </c>
      <c r="BZ139" s="1">
        <f t="shared" ca="1" si="163"/>
        <v>0.60223574695431326</v>
      </c>
      <c r="CB139" s="1">
        <f t="shared" ca="1" si="164"/>
        <v>481</v>
      </c>
      <c r="CC139" s="1">
        <f t="shared" ca="1" si="165"/>
        <v>11</v>
      </c>
      <c r="CD139" s="1">
        <f t="shared" ca="1" si="166"/>
        <v>0.14140448514578405</v>
      </c>
      <c r="CE139" s="1">
        <f t="shared" ca="1" si="167"/>
        <v>0.53720111688317007</v>
      </c>
      <c r="CF139" s="1">
        <f t="shared" ca="1" si="167"/>
        <v>0.51371153985184859</v>
      </c>
      <c r="CH139" s="3">
        <f t="shared" ca="1" si="168"/>
        <v>0.59129244586017671</v>
      </c>
      <c r="CI139" s="3">
        <f t="shared" ca="1" si="169"/>
        <v>0.15594178132559383</v>
      </c>
      <c r="CJ139" s="3">
        <f t="shared" ca="1" si="170"/>
        <v>129</v>
      </c>
      <c r="CK139" s="3">
        <f t="shared" ca="1" si="171"/>
        <v>4.2078321990548281E-3</v>
      </c>
      <c r="CL139" s="3">
        <f t="shared" ca="1" si="172"/>
        <v>0</v>
      </c>
      <c r="CM139" s="3"/>
      <c r="CN139" s="1">
        <f t="shared" ca="1" si="173"/>
        <v>12.564546886852614</v>
      </c>
      <c r="CO139" s="1">
        <f t="shared" ca="1" si="174"/>
        <v>0.16829893817540181</v>
      </c>
      <c r="CP139" s="1">
        <f t="shared" ca="1" si="175"/>
        <v>2</v>
      </c>
      <c r="DH139" s="1">
        <f t="shared" ca="1" si="176"/>
        <v>257</v>
      </c>
      <c r="DI139" s="1">
        <f t="shared" ca="1" si="177"/>
        <v>0.60870097572867576</v>
      </c>
      <c r="DJ139" s="1">
        <f t="shared" ca="1" si="178"/>
        <v>6</v>
      </c>
    </row>
    <row r="140" spans="2:114" x14ac:dyDescent="0.25">
      <c r="B140">
        <f t="shared" ca="1" si="120"/>
        <v>179</v>
      </c>
      <c r="C140">
        <f t="shared" ca="1" si="121"/>
        <v>27</v>
      </c>
      <c r="D140">
        <f t="shared" ca="1" si="122"/>
        <v>0.27218056112533678</v>
      </c>
      <c r="F140" s="1">
        <f t="shared" ca="1" si="123"/>
        <v>14</v>
      </c>
      <c r="G140" s="1">
        <f t="shared" ca="1" si="124"/>
        <v>20</v>
      </c>
      <c r="H140" s="1">
        <f t="shared" ca="1" si="125"/>
        <v>15</v>
      </c>
      <c r="I140" s="1"/>
      <c r="J140" s="1">
        <f t="shared" ca="1" si="126"/>
        <v>13</v>
      </c>
      <c r="K140" s="1">
        <f t="shared" ca="1" si="127"/>
        <v>1.0354858934106566</v>
      </c>
      <c r="L140" s="1">
        <f t="shared" ca="1" si="128"/>
        <v>26</v>
      </c>
      <c r="M140" s="1"/>
      <c r="N140" s="1">
        <f t="shared" ca="1" si="129"/>
        <v>226</v>
      </c>
      <c r="O140" s="1">
        <f t="shared" ca="1" si="130"/>
        <v>45</v>
      </c>
      <c r="P140" s="1"/>
      <c r="Q140" s="1">
        <f t="shared" ca="1" si="131"/>
        <v>3.2845854724126831</v>
      </c>
      <c r="R140" s="1">
        <f t="shared" ca="1" si="132"/>
        <v>754</v>
      </c>
      <c r="S140" s="1"/>
      <c r="T140" s="1">
        <f t="shared" ca="1" si="133"/>
        <v>0.13523491616942335</v>
      </c>
      <c r="U140" s="1">
        <f t="shared" ca="1" si="134"/>
        <v>170</v>
      </c>
      <c r="V140" s="1">
        <f t="shared" ca="1" si="135"/>
        <v>9</v>
      </c>
      <c r="W140" s="1"/>
      <c r="X140" s="1">
        <f t="shared" ca="1" si="136"/>
        <v>9.945641395457109</v>
      </c>
      <c r="Y140" s="1">
        <f t="shared" ca="1" si="137"/>
        <v>0.3151341698654514</v>
      </c>
      <c r="Z140" s="1">
        <f t="shared" ca="1" si="138"/>
        <v>1272</v>
      </c>
      <c r="AB140" s="1">
        <f t="shared" ca="1" si="139"/>
        <v>0.31088655829240269</v>
      </c>
      <c r="AC140" s="1">
        <f t="shared" ca="1" si="140"/>
        <v>427</v>
      </c>
      <c r="AD140" s="1">
        <f t="shared" ca="1" si="141"/>
        <v>9.5684260544424641E-3</v>
      </c>
      <c r="AE140" s="1"/>
      <c r="AF140" s="1">
        <f t="shared" ca="1" si="142"/>
        <v>0.15821600452109383</v>
      </c>
      <c r="AG140" s="1">
        <f t="shared" ca="1" si="143"/>
        <v>697</v>
      </c>
      <c r="AH140" s="1">
        <f t="shared" ca="1" si="144"/>
        <v>7.1759969497340904E-3</v>
      </c>
      <c r="AJ140" s="1">
        <f t="shared" ca="1" si="145"/>
        <v>0.54329547940457545</v>
      </c>
      <c r="AK140" s="1">
        <f t="shared" ca="1" si="146"/>
        <v>8.5998825165177917E-3</v>
      </c>
      <c r="AL140" s="1"/>
      <c r="AM140" s="1">
        <f t="shared" ca="1" si="147"/>
        <v>5.927853332366069E-2</v>
      </c>
      <c r="AN140" s="1">
        <f t="shared" ca="1" si="148"/>
        <v>65</v>
      </c>
      <c r="AO140" s="1">
        <f t="shared" ca="1" si="149"/>
        <v>-1</v>
      </c>
      <c r="AQ140" s="1">
        <f t="shared" ca="1" si="150"/>
        <v>154</v>
      </c>
      <c r="AR140" s="1">
        <f t="shared" ca="1" si="151"/>
        <v>7</v>
      </c>
      <c r="AS140" s="1">
        <f t="shared" ca="1" si="152"/>
        <v>49</v>
      </c>
      <c r="AU140" s="1">
        <f t="shared" ca="1" si="153"/>
        <v>130</v>
      </c>
      <c r="AV140" s="1">
        <f t="shared" ca="1" si="154"/>
        <v>7</v>
      </c>
      <c r="AW140" s="1">
        <f t="shared" ca="1" si="155"/>
        <v>8.2559018458988484E-2</v>
      </c>
      <c r="AY140" s="1">
        <f t="shared" ca="1" si="156"/>
        <v>1.8731092478913964</v>
      </c>
      <c r="AZ140" s="1">
        <f t="shared" ca="1" si="157"/>
        <v>167</v>
      </c>
      <c r="BA140" s="1">
        <f t="shared" ca="1" si="158"/>
        <v>1.1540877156286733E-3</v>
      </c>
      <c r="BV140" s="1">
        <f t="shared" ca="1" si="159"/>
        <v>8.4854639053084324E-2</v>
      </c>
      <c r="BW140" s="1">
        <f t="shared" ca="1" si="160"/>
        <v>118</v>
      </c>
      <c r="BX140" s="1">
        <f t="shared" ca="1" si="161"/>
        <v>1.2245312391524488E-3</v>
      </c>
      <c r="BY140" s="1">
        <f t="shared" ca="1" si="162"/>
        <v>7.3704749083854951E-2</v>
      </c>
      <c r="BZ140" s="1">
        <f t="shared" ca="1" si="163"/>
        <v>0.24623793047527331</v>
      </c>
      <c r="CB140" s="1">
        <f t="shared" ca="1" si="164"/>
        <v>443</v>
      </c>
      <c r="CC140" s="1">
        <f t="shared" ca="1" si="165"/>
        <v>4</v>
      </c>
      <c r="CD140" s="1">
        <f t="shared" ca="1" si="166"/>
        <v>0.10500871932019917</v>
      </c>
      <c r="CE140" s="1">
        <f t="shared" ca="1" si="167"/>
        <v>0.74671201475579774</v>
      </c>
      <c r="CF140" s="1">
        <f t="shared" ca="1" si="167"/>
        <v>0.85635928267340578</v>
      </c>
      <c r="CH140" s="3">
        <f t="shared" ca="1" si="168"/>
        <v>0.15177290356284062</v>
      </c>
      <c r="CI140" s="3">
        <f t="shared" ca="1" si="169"/>
        <v>0.17927773555709567</v>
      </c>
      <c r="CJ140" s="3">
        <f t="shared" ca="1" si="170"/>
        <v>193</v>
      </c>
      <c r="CK140" s="3">
        <f t="shared" ca="1" si="171"/>
        <v>4.7563119377386941E-4</v>
      </c>
      <c r="CL140" s="3">
        <f t="shared" ca="1" si="172"/>
        <v>0</v>
      </c>
      <c r="CM140" s="3"/>
      <c r="CN140" s="1">
        <f t="shared" ca="1" si="173"/>
        <v>10.861066013356254</v>
      </c>
      <c r="CO140" s="1">
        <f t="shared" ca="1" si="174"/>
        <v>9.0583024038443899E-2</v>
      </c>
      <c r="CP140" s="1">
        <f t="shared" ca="1" si="175"/>
        <v>1</v>
      </c>
      <c r="DH140" s="1">
        <f t="shared" ca="1" si="176"/>
        <v>600</v>
      </c>
      <c r="DI140" s="1">
        <f t="shared" ca="1" si="177"/>
        <v>0.45390260759929374</v>
      </c>
      <c r="DJ140" s="1">
        <f t="shared" ca="1" si="178"/>
        <v>22</v>
      </c>
    </row>
    <row r="141" spans="2:114" x14ac:dyDescent="0.25">
      <c r="B141">
        <f t="shared" ca="1" si="120"/>
        <v>40</v>
      </c>
      <c r="C141">
        <f t="shared" ca="1" si="121"/>
        <v>10</v>
      </c>
      <c r="D141">
        <f t="shared" ca="1" si="122"/>
        <v>6.7762778702996324E-2</v>
      </c>
      <c r="F141" s="1">
        <f t="shared" ca="1" si="123"/>
        <v>5</v>
      </c>
      <c r="G141" s="1">
        <f t="shared" ca="1" si="124"/>
        <v>29</v>
      </c>
      <c r="H141" s="1">
        <f t="shared" ca="1" si="125"/>
        <v>9</v>
      </c>
      <c r="I141" s="1"/>
      <c r="J141" s="1">
        <f t="shared" ca="1" si="126"/>
        <v>2</v>
      </c>
      <c r="K141" s="1">
        <f t="shared" ca="1" si="127"/>
        <v>2.2112582774211562</v>
      </c>
      <c r="L141" s="1">
        <f t="shared" ca="1" si="128"/>
        <v>19</v>
      </c>
      <c r="M141" s="1"/>
      <c r="N141" s="1">
        <f t="shared" ca="1" si="129"/>
        <v>510</v>
      </c>
      <c r="O141" s="1">
        <f t="shared" ca="1" si="130"/>
        <v>38</v>
      </c>
      <c r="P141" s="1"/>
      <c r="Q141" s="1">
        <f t="shared" ca="1" si="131"/>
        <v>3.9227021030248213</v>
      </c>
      <c r="R141" s="1">
        <f t="shared" ca="1" si="132"/>
        <v>400</v>
      </c>
      <c r="S141" s="1"/>
      <c r="T141" s="1">
        <f t="shared" ca="1" si="133"/>
        <v>0.15841076587091357</v>
      </c>
      <c r="U141" s="1">
        <f t="shared" ca="1" si="134"/>
        <v>248</v>
      </c>
      <c r="V141" s="1">
        <f t="shared" ca="1" si="135"/>
        <v>47</v>
      </c>
      <c r="W141" s="1"/>
      <c r="X141" s="1">
        <f t="shared" ca="1" si="136"/>
        <v>5.3939339009195901</v>
      </c>
      <c r="Y141" s="1">
        <f t="shared" ca="1" si="137"/>
        <v>0.23463773830932044</v>
      </c>
      <c r="Z141" s="1">
        <f t="shared" ca="1" si="138"/>
        <v>184</v>
      </c>
      <c r="AB141" s="1">
        <f t="shared" ca="1" si="139"/>
        <v>0.36827627491215037</v>
      </c>
      <c r="AC141" s="1">
        <f t="shared" ca="1" si="140"/>
        <v>757</v>
      </c>
      <c r="AD141" s="1">
        <f t="shared" ca="1" si="141"/>
        <v>1.017613695822317E-3</v>
      </c>
      <c r="AE141" s="1"/>
      <c r="AF141" s="1">
        <f t="shared" ca="1" si="142"/>
        <v>0.59943421125628227</v>
      </c>
      <c r="AG141" s="1">
        <f t="shared" ca="1" si="143"/>
        <v>201</v>
      </c>
      <c r="AH141" s="1">
        <f t="shared" ca="1" si="144"/>
        <v>1.5853055289880235E-3</v>
      </c>
      <c r="AJ141" s="1">
        <f t="shared" ca="1" si="145"/>
        <v>0.38149754893671073</v>
      </c>
      <c r="AK141" s="1">
        <f t="shared" ca="1" si="146"/>
        <v>9.0701302030365572E-3</v>
      </c>
      <c r="AL141" s="1"/>
      <c r="AM141" s="1">
        <f t="shared" ca="1" si="147"/>
        <v>1.6776509781697174E-2</v>
      </c>
      <c r="AN141" s="1">
        <f t="shared" ca="1" si="148"/>
        <v>38</v>
      </c>
      <c r="AO141" s="1">
        <f t="shared" ca="1" si="149"/>
        <v>7</v>
      </c>
      <c r="AQ141" s="1">
        <f t="shared" ca="1" si="150"/>
        <v>138</v>
      </c>
      <c r="AR141" s="1">
        <f t="shared" ca="1" si="151"/>
        <v>1</v>
      </c>
      <c r="AS141" s="1">
        <f t="shared" ca="1" si="152"/>
        <v>67</v>
      </c>
      <c r="AU141" s="1">
        <f t="shared" ca="1" si="153"/>
        <v>246</v>
      </c>
      <c r="AV141" s="1">
        <f t="shared" ca="1" si="154"/>
        <v>10</v>
      </c>
      <c r="AW141" s="1">
        <f t="shared" ca="1" si="155"/>
        <v>1.3475959257159964E-2</v>
      </c>
      <c r="AY141" s="1">
        <f t="shared" ca="1" si="156"/>
        <v>1.448406541820439</v>
      </c>
      <c r="AZ141" s="1">
        <f t="shared" ca="1" si="157"/>
        <v>270</v>
      </c>
      <c r="BA141" s="1">
        <f t="shared" ca="1" si="158"/>
        <v>3.0753965798429872E-3</v>
      </c>
      <c r="BV141" s="1">
        <f t="shared" ca="1" si="159"/>
        <v>0.968275847189632</v>
      </c>
      <c r="BW141" s="1">
        <f t="shared" ca="1" si="160"/>
        <v>319</v>
      </c>
      <c r="BX141" s="1">
        <f t="shared" ca="1" si="161"/>
        <v>8.8574934707581453E-3</v>
      </c>
      <c r="BY141" s="1">
        <f t="shared" ca="1" si="162"/>
        <v>9.7239933023399144E-2</v>
      </c>
      <c r="BZ141" s="1">
        <f t="shared" ca="1" si="163"/>
        <v>0.69391227674585587</v>
      </c>
      <c r="CB141" s="1">
        <f t="shared" ca="1" si="164"/>
        <v>127</v>
      </c>
      <c r="CC141" s="1">
        <f t="shared" ca="1" si="165"/>
        <v>8</v>
      </c>
      <c r="CD141" s="1">
        <f t="shared" ca="1" si="166"/>
        <v>0.2388551185579863</v>
      </c>
      <c r="CE141" s="1">
        <f t="shared" ca="1" si="167"/>
        <v>0.58664983701629625</v>
      </c>
      <c r="CF141" s="1">
        <f t="shared" ca="1" si="167"/>
        <v>0.92337398053093123</v>
      </c>
      <c r="CH141" s="3">
        <f t="shared" ca="1" si="168"/>
        <v>0.31740494859706614</v>
      </c>
      <c r="CI141" s="3">
        <f t="shared" ca="1" si="169"/>
        <v>0.49465971715833923</v>
      </c>
      <c r="CJ141" s="3">
        <f t="shared" ca="1" si="170"/>
        <v>1056</v>
      </c>
      <c r="CK141" s="3">
        <f t="shared" ca="1" si="171"/>
        <v>5.1948460407205026E-4</v>
      </c>
      <c r="CL141" s="3">
        <f t="shared" ca="1" si="172"/>
        <v>0</v>
      </c>
      <c r="CM141" s="3"/>
      <c r="CN141" s="1">
        <f t="shared" ca="1" si="173"/>
        <v>2.4571664410909002</v>
      </c>
      <c r="CO141" s="1">
        <f t="shared" ca="1" si="174"/>
        <v>0.13518487319821887</v>
      </c>
      <c r="CP141" s="1">
        <f t="shared" ca="1" si="175"/>
        <v>1</v>
      </c>
      <c r="DH141" s="1">
        <f t="shared" ca="1" si="176"/>
        <v>691</v>
      </c>
      <c r="DI141" s="1">
        <f t="shared" ca="1" si="177"/>
        <v>0.96687235788851877</v>
      </c>
      <c r="DJ141" s="1">
        <f t="shared" ca="1" si="178"/>
        <v>22</v>
      </c>
    </row>
    <row r="142" spans="2:114" x14ac:dyDescent="0.25">
      <c r="B142">
        <f t="shared" ca="1" si="120"/>
        <v>528</v>
      </c>
      <c r="C142">
        <f t="shared" ca="1" si="121"/>
        <v>25</v>
      </c>
      <c r="D142">
        <f t="shared" ca="1" si="122"/>
        <v>1.3289332616638304E-2</v>
      </c>
      <c r="F142" s="1">
        <f t="shared" ca="1" si="123"/>
        <v>43</v>
      </c>
      <c r="G142" s="1">
        <f t="shared" ca="1" si="124"/>
        <v>27</v>
      </c>
      <c r="H142" s="1">
        <f t="shared" ca="1" si="125"/>
        <v>5</v>
      </c>
      <c r="I142" s="1"/>
      <c r="J142" s="1">
        <f t="shared" ca="1" si="126"/>
        <v>31</v>
      </c>
      <c r="K142" s="1">
        <f t="shared" ca="1" si="127"/>
        <v>1.2651322611094027</v>
      </c>
      <c r="L142" s="1">
        <f t="shared" ca="1" si="128"/>
        <v>35</v>
      </c>
      <c r="M142" s="1"/>
      <c r="N142" s="1">
        <f t="shared" ca="1" si="129"/>
        <v>177</v>
      </c>
      <c r="O142" s="1">
        <f t="shared" ca="1" si="130"/>
        <v>20</v>
      </c>
      <c r="P142" s="1"/>
      <c r="Q142" s="1">
        <f t="shared" ca="1" si="131"/>
        <v>4.2577796586976353</v>
      </c>
      <c r="R142" s="1">
        <f t="shared" ca="1" si="132"/>
        <v>541</v>
      </c>
      <c r="S142" s="1"/>
      <c r="T142" s="1">
        <f t="shared" ca="1" si="133"/>
        <v>5.5006886778279952E-2</v>
      </c>
      <c r="U142" s="1">
        <f t="shared" ca="1" si="134"/>
        <v>380</v>
      </c>
      <c r="V142" s="1">
        <f t="shared" ca="1" si="135"/>
        <v>29</v>
      </c>
      <c r="W142" s="1"/>
      <c r="X142" s="1">
        <f t="shared" ca="1" si="136"/>
        <v>2.9393773896019697</v>
      </c>
      <c r="Y142" s="1">
        <f t="shared" ca="1" si="137"/>
        <v>0.25151445926527244</v>
      </c>
      <c r="Z142" s="1">
        <f t="shared" ca="1" si="138"/>
        <v>1366</v>
      </c>
      <c r="AB142" s="1">
        <f t="shared" ca="1" si="139"/>
        <v>0.37799617752010856</v>
      </c>
      <c r="AC142" s="1">
        <f t="shared" ca="1" si="140"/>
        <v>144</v>
      </c>
      <c r="AD142" s="1">
        <f t="shared" ca="1" si="141"/>
        <v>4.9224404113282242E-3</v>
      </c>
      <c r="AE142" s="1"/>
      <c r="AF142" s="1">
        <f t="shared" ca="1" si="142"/>
        <v>0.77026436477249016</v>
      </c>
      <c r="AG142" s="1">
        <f t="shared" ca="1" si="143"/>
        <v>603</v>
      </c>
      <c r="AH142" s="1">
        <f t="shared" ca="1" si="144"/>
        <v>2.6252854346936181E-3</v>
      </c>
      <c r="AJ142" s="1">
        <f t="shared" ca="1" si="145"/>
        <v>0.23752783587009219</v>
      </c>
      <c r="AK142" s="1">
        <f t="shared" ca="1" si="146"/>
        <v>6.2828755781001719E-4</v>
      </c>
      <c r="AL142" s="1"/>
      <c r="AM142" s="1">
        <f t="shared" ca="1" si="147"/>
        <v>0.17464487238923157</v>
      </c>
      <c r="AN142" s="1">
        <f t="shared" ca="1" si="148"/>
        <v>80</v>
      </c>
      <c r="AO142" s="1">
        <f t="shared" ca="1" si="149"/>
        <v>4</v>
      </c>
      <c r="AQ142" s="1">
        <f t="shared" ca="1" si="150"/>
        <v>21</v>
      </c>
      <c r="AR142" s="1">
        <f t="shared" ca="1" si="151"/>
        <v>7</v>
      </c>
      <c r="AS142" s="1">
        <f t="shared" ca="1" si="152"/>
        <v>39</v>
      </c>
      <c r="AU142" s="1">
        <f t="shared" ca="1" si="153"/>
        <v>243</v>
      </c>
      <c r="AV142" s="1">
        <f t="shared" ca="1" si="154"/>
        <v>4</v>
      </c>
      <c r="AW142" s="1">
        <f t="shared" ca="1" si="155"/>
        <v>0.16003111638618975</v>
      </c>
      <c r="AY142" s="1">
        <f t="shared" ca="1" si="156"/>
        <v>1.1093196313764389</v>
      </c>
      <c r="AZ142" s="1">
        <f t="shared" ca="1" si="157"/>
        <v>122</v>
      </c>
      <c r="BA142" s="1">
        <f t="shared" ca="1" si="158"/>
        <v>2.5950096287623982E-3</v>
      </c>
      <c r="BV142" s="1">
        <f t="shared" ca="1" si="159"/>
        <v>0.99477697389797681</v>
      </c>
      <c r="BW142" s="1">
        <f t="shared" ca="1" si="160"/>
        <v>969</v>
      </c>
      <c r="BX142" s="1">
        <f t="shared" ca="1" si="161"/>
        <v>9.1454626855683851E-3</v>
      </c>
      <c r="BY142" s="1">
        <f t="shared" ca="1" si="162"/>
        <v>9.0616331585427229E-2</v>
      </c>
      <c r="BZ142" s="1">
        <f t="shared" ca="1" si="163"/>
        <v>0.78593164657632519</v>
      </c>
      <c r="CB142" s="1">
        <f t="shared" ca="1" si="164"/>
        <v>447</v>
      </c>
      <c r="CC142" s="1">
        <f t="shared" ca="1" si="165"/>
        <v>7</v>
      </c>
      <c r="CD142" s="1">
        <f t="shared" ca="1" si="166"/>
        <v>6.2211928273231222E-2</v>
      </c>
      <c r="CE142" s="1">
        <f t="shared" ca="1" si="167"/>
        <v>0.72651563342835568</v>
      </c>
      <c r="CF142" s="1">
        <f t="shared" ca="1" si="167"/>
        <v>0.85701356659419203</v>
      </c>
      <c r="CH142" s="3">
        <f t="shared" ca="1" si="168"/>
        <v>0.23756719941032042</v>
      </c>
      <c r="CI142" s="3">
        <f t="shared" ca="1" si="169"/>
        <v>0.17881251897283132</v>
      </c>
      <c r="CJ142" s="3">
        <f t="shared" ca="1" si="170"/>
        <v>200</v>
      </c>
      <c r="CK142" s="3">
        <f t="shared" ca="1" si="171"/>
        <v>4.2781154801212655E-3</v>
      </c>
      <c r="CL142" s="3">
        <f t="shared" ca="1" si="172"/>
        <v>1</v>
      </c>
      <c r="CM142" s="3"/>
      <c r="CN142" s="1">
        <f t="shared" ca="1" si="173"/>
        <v>15.560842370854285</v>
      </c>
      <c r="CO142" s="1">
        <f t="shared" ca="1" si="174"/>
        <v>0.44872027533192743</v>
      </c>
      <c r="CP142" s="1">
        <f t="shared" ca="1" si="175"/>
        <v>5</v>
      </c>
      <c r="DH142" s="1">
        <f t="shared" ca="1" si="176"/>
        <v>35</v>
      </c>
      <c r="DI142" s="1">
        <f t="shared" ca="1" si="177"/>
        <v>0.19416167083698807</v>
      </c>
      <c r="DJ142" s="1">
        <f t="shared" ca="1" si="178"/>
        <v>19</v>
      </c>
    </row>
    <row r="143" spans="2:114" x14ac:dyDescent="0.25">
      <c r="B143">
        <f t="shared" ca="1" si="120"/>
        <v>829</v>
      </c>
      <c r="C143">
        <f t="shared" ca="1" si="121"/>
        <v>33</v>
      </c>
      <c r="D143">
        <f t="shared" ca="1" si="122"/>
        <v>0.27728758322079022</v>
      </c>
      <c r="F143" s="1">
        <f t="shared" ca="1" si="123"/>
        <v>35</v>
      </c>
      <c r="G143" s="1">
        <f t="shared" ca="1" si="124"/>
        <v>29</v>
      </c>
      <c r="H143" s="1">
        <f t="shared" ca="1" si="125"/>
        <v>9</v>
      </c>
      <c r="I143" s="1"/>
      <c r="J143" s="1">
        <f t="shared" ca="1" si="126"/>
        <v>8</v>
      </c>
      <c r="K143" s="1">
        <f t="shared" ca="1" si="127"/>
        <v>2.5237737355788736</v>
      </c>
      <c r="L143" s="1">
        <f t="shared" ca="1" si="128"/>
        <v>9</v>
      </c>
      <c r="M143" s="1"/>
      <c r="N143" s="1">
        <f t="shared" ca="1" si="129"/>
        <v>762</v>
      </c>
      <c r="O143" s="1">
        <f t="shared" ca="1" si="130"/>
        <v>10</v>
      </c>
      <c r="P143" s="1"/>
      <c r="Q143" s="1">
        <f t="shared" ca="1" si="131"/>
        <v>2.4985855829379346</v>
      </c>
      <c r="R143" s="1">
        <f t="shared" ca="1" si="132"/>
        <v>435</v>
      </c>
      <c r="S143" s="1"/>
      <c r="T143" s="1">
        <f t="shared" ca="1" si="133"/>
        <v>3.4224539366432098E-2</v>
      </c>
      <c r="U143" s="1">
        <f t="shared" ca="1" si="134"/>
        <v>374</v>
      </c>
      <c r="V143" s="1">
        <f t="shared" ca="1" si="135"/>
        <v>52</v>
      </c>
      <c r="W143" s="1"/>
      <c r="X143" s="1">
        <f t="shared" ca="1" si="136"/>
        <v>0.79386150012024237</v>
      </c>
      <c r="Y143" s="1">
        <f t="shared" ca="1" si="137"/>
        <v>0.80509021246599988</v>
      </c>
      <c r="Z143" s="1">
        <f t="shared" ca="1" si="138"/>
        <v>239</v>
      </c>
      <c r="AB143" s="1">
        <f t="shared" ca="1" si="139"/>
        <v>0.91694197053430193</v>
      </c>
      <c r="AC143" s="1">
        <f t="shared" ca="1" si="140"/>
        <v>412</v>
      </c>
      <c r="AD143" s="1">
        <f t="shared" ca="1" si="141"/>
        <v>6.6169106552641755E-3</v>
      </c>
      <c r="AE143" s="1"/>
      <c r="AF143" s="1">
        <f t="shared" ca="1" si="142"/>
        <v>0.71290829204155381</v>
      </c>
      <c r="AG143" s="1">
        <f t="shared" ca="1" si="143"/>
        <v>667</v>
      </c>
      <c r="AH143" s="1">
        <f t="shared" ca="1" si="144"/>
        <v>2.5270886505297575E-3</v>
      </c>
      <c r="AJ143" s="1">
        <f t="shared" ca="1" si="145"/>
        <v>0.54616614977006606</v>
      </c>
      <c r="AK143" s="1">
        <f t="shared" ca="1" si="146"/>
        <v>7.5229429920911717E-3</v>
      </c>
      <c r="AL143" s="1"/>
      <c r="AM143" s="1">
        <f t="shared" ca="1" si="147"/>
        <v>0.13614775081023259</v>
      </c>
      <c r="AN143" s="1">
        <f t="shared" ca="1" si="148"/>
        <v>44</v>
      </c>
      <c r="AO143" s="1">
        <f t="shared" ca="1" si="149"/>
        <v>2</v>
      </c>
      <c r="AQ143" s="1">
        <f t="shared" ca="1" si="150"/>
        <v>73</v>
      </c>
      <c r="AR143" s="1">
        <f t="shared" ca="1" si="151"/>
        <v>4</v>
      </c>
      <c r="AS143" s="1">
        <f t="shared" ca="1" si="152"/>
        <v>38</v>
      </c>
      <c r="AU143" s="1">
        <f t="shared" ca="1" si="153"/>
        <v>203</v>
      </c>
      <c r="AV143" s="1">
        <f t="shared" ca="1" si="154"/>
        <v>5</v>
      </c>
      <c r="AW143" s="1">
        <f t="shared" ca="1" si="155"/>
        <v>9.3660719897744868E-2</v>
      </c>
      <c r="AY143" s="1">
        <f t="shared" ca="1" si="156"/>
        <v>1.4239286706271967</v>
      </c>
      <c r="AZ143" s="1">
        <f t="shared" ca="1" si="157"/>
        <v>149</v>
      </c>
      <c r="BA143" s="1">
        <f t="shared" ca="1" si="158"/>
        <v>3.1719056527622987E-3</v>
      </c>
      <c r="BV143" s="1">
        <f t="shared" ca="1" si="159"/>
        <v>0.52445072802018344</v>
      </c>
      <c r="BW143" s="1">
        <f t="shared" ca="1" si="160"/>
        <v>156</v>
      </c>
      <c r="BX143" s="1">
        <f t="shared" ca="1" si="161"/>
        <v>7.3757464721367046E-3</v>
      </c>
      <c r="BY143" s="1">
        <f t="shared" ca="1" si="162"/>
        <v>4.3591271153134888E-2</v>
      </c>
      <c r="BZ143" s="1">
        <f t="shared" ca="1" si="163"/>
        <v>0.88108588886576789</v>
      </c>
      <c r="CB143" s="1">
        <f t="shared" ca="1" si="164"/>
        <v>167</v>
      </c>
      <c r="CC143" s="1">
        <f t="shared" ca="1" si="165"/>
        <v>13</v>
      </c>
      <c r="CD143" s="1">
        <f t="shared" ca="1" si="166"/>
        <v>0.16463501213791584</v>
      </c>
      <c r="CE143" s="1">
        <f t="shared" ca="1" si="167"/>
        <v>0.96320332148990362</v>
      </c>
      <c r="CF143" s="1">
        <f t="shared" ca="1" si="167"/>
        <v>0.77590327177177776</v>
      </c>
      <c r="CH143" s="3">
        <f t="shared" ca="1" si="168"/>
        <v>8.457221879504577E-2</v>
      </c>
      <c r="CI143" s="3">
        <f t="shared" ca="1" si="169"/>
        <v>0.84019926504384601</v>
      </c>
      <c r="CJ143" s="3">
        <f t="shared" ca="1" si="170"/>
        <v>1398</v>
      </c>
      <c r="CK143" s="3">
        <f t="shared" ca="1" si="171"/>
        <v>4.3403666517312801E-3</v>
      </c>
      <c r="CL143" s="3">
        <f t="shared" ca="1" si="172"/>
        <v>1</v>
      </c>
      <c r="CM143" s="3"/>
      <c r="CN143" s="1">
        <f t="shared" ca="1" si="173"/>
        <v>17.107530370527762</v>
      </c>
      <c r="CO143" s="1">
        <f t="shared" ca="1" si="174"/>
        <v>0.12427309192767542</v>
      </c>
      <c r="CP143" s="1">
        <f t="shared" ca="1" si="175"/>
        <v>5</v>
      </c>
      <c r="DH143" s="1">
        <f t="shared" ca="1" si="176"/>
        <v>104</v>
      </c>
      <c r="DI143" s="1">
        <f t="shared" ca="1" si="177"/>
        <v>8.7625477096358415E-2</v>
      </c>
      <c r="DJ143" s="1">
        <f t="shared" ca="1" si="178"/>
        <v>10</v>
      </c>
    </row>
    <row r="144" spans="2:114" x14ac:dyDescent="0.25">
      <c r="B144">
        <f t="shared" ca="1" si="120"/>
        <v>195</v>
      </c>
      <c r="C144">
        <f t="shared" ca="1" si="121"/>
        <v>45</v>
      </c>
      <c r="D144">
        <f t="shared" ca="1" si="122"/>
        <v>0.11527414279926963</v>
      </c>
      <c r="F144" s="1">
        <f t="shared" ca="1" si="123"/>
        <v>7</v>
      </c>
      <c r="G144" s="1">
        <f t="shared" ca="1" si="124"/>
        <v>24</v>
      </c>
      <c r="H144" s="1">
        <f t="shared" ca="1" si="125"/>
        <v>14</v>
      </c>
      <c r="I144" s="1"/>
      <c r="J144" s="1">
        <f t="shared" ca="1" si="126"/>
        <v>16</v>
      </c>
      <c r="K144" s="1">
        <f t="shared" ca="1" si="127"/>
        <v>2.4838169828219314</v>
      </c>
      <c r="L144" s="1">
        <f t="shared" ca="1" si="128"/>
        <v>9</v>
      </c>
      <c r="M144" s="1"/>
      <c r="N144" s="1">
        <f t="shared" ca="1" si="129"/>
        <v>424</v>
      </c>
      <c r="O144" s="1">
        <f t="shared" ca="1" si="130"/>
        <v>29</v>
      </c>
      <c r="P144" s="1"/>
      <c r="Q144" s="1">
        <f t="shared" ca="1" si="131"/>
        <v>1.5730311037230349</v>
      </c>
      <c r="R144" s="1">
        <f t="shared" ca="1" si="132"/>
        <v>571</v>
      </c>
      <c r="S144" s="1"/>
      <c r="T144" s="1">
        <f t="shared" ca="1" si="133"/>
        <v>0.1036684375157985</v>
      </c>
      <c r="U144" s="1">
        <f t="shared" ca="1" si="134"/>
        <v>127</v>
      </c>
      <c r="V144" s="1">
        <f t="shared" ca="1" si="135"/>
        <v>28</v>
      </c>
      <c r="W144" s="1"/>
      <c r="X144" s="1">
        <f t="shared" ca="1" si="136"/>
        <v>2.9180484698422053</v>
      </c>
      <c r="Y144" s="1">
        <f t="shared" ca="1" si="137"/>
        <v>0.13438226504796377</v>
      </c>
      <c r="Z144" s="1">
        <f t="shared" ca="1" si="138"/>
        <v>1744</v>
      </c>
      <c r="AB144" s="1">
        <f t="shared" ca="1" si="139"/>
        <v>0.43176393676212405</v>
      </c>
      <c r="AC144" s="1">
        <f t="shared" ca="1" si="140"/>
        <v>608</v>
      </c>
      <c r="AD144" s="1">
        <f t="shared" ca="1" si="141"/>
        <v>3.6132140294315297E-3</v>
      </c>
      <c r="AE144" s="1"/>
      <c r="AF144" s="1">
        <f t="shared" ca="1" si="142"/>
        <v>0.6219458027558642</v>
      </c>
      <c r="AG144" s="1">
        <f t="shared" ca="1" si="143"/>
        <v>778</v>
      </c>
      <c r="AH144" s="1">
        <f t="shared" ca="1" si="144"/>
        <v>5.138237376969665E-4</v>
      </c>
      <c r="AJ144" s="1">
        <f t="shared" ca="1" si="145"/>
        <v>0.91287213877511253</v>
      </c>
      <c r="AK144" s="1">
        <f t="shared" ca="1" si="146"/>
        <v>5.5209339217562343E-3</v>
      </c>
      <c r="AL144" s="1"/>
      <c r="AM144" s="1">
        <f t="shared" ca="1" si="147"/>
        <v>0.12324407107712447</v>
      </c>
      <c r="AN144" s="1">
        <f t="shared" ca="1" si="148"/>
        <v>70</v>
      </c>
      <c r="AO144" s="1">
        <f t="shared" ca="1" si="149"/>
        <v>1</v>
      </c>
      <c r="AQ144" s="1">
        <f t="shared" ca="1" si="150"/>
        <v>97</v>
      </c>
      <c r="AR144" s="1">
        <f t="shared" ca="1" si="151"/>
        <v>7</v>
      </c>
      <c r="AS144" s="1">
        <f t="shared" ca="1" si="152"/>
        <v>59</v>
      </c>
      <c r="AU144" s="1">
        <f t="shared" ca="1" si="153"/>
        <v>374</v>
      </c>
      <c r="AV144" s="1">
        <f t="shared" ca="1" si="154"/>
        <v>10</v>
      </c>
      <c r="AW144" s="1">
        <f t="shared" ca="1" si="155"/>
        <v>0.17763006882664514</v>
      </c>
      <c r="AY144" s="1">
        <f t="shared" ca="1" si="156"/>
        <v>1.3072065375948867</v>
      </c>
      <c r="AZ144" s="1">
        <f t="shared" ca="1" si="157"/>
        <v>163</v>
      </c>
      <c r="BA144" s="1">
        <f t="shared" ca="1" si="158"/>
        <v>5.6194534035631646E-3</v>
      </c>
      <c r="BV144" s="1">
        <f t="shared" ca="1" si="159"/>
        <v>0.99190983648311615</v>
      </c>
      <c r="BW144" s="1">
        <f t="shared" ca="1" si="160"/>
        <v>241</v>
      </c>
      <c r="BX144" s="1">
        <f t="shared" ca="1" si="161"/>
        <v>1.5767914212849342E-3</v>
      </c>
      <c r="BY144" s="1">
        <f t="shared" ca="1" si="162"/>
        <v>8.2520810949160098E-2</v>
      </c>
      <c r="BZ144" s="1">
        <f t="shared" ca="1" si="163"/>
        <v>0.69273953953122214</v>
      </c>
      <c r="CB144" s="1">
        <f t="shared" ca="1" si="164"/>
        <v>363</v>
      </c>
      <c r="CC144" s="1">
        <f t="shared" ca="1" si="165"/>
        <v>6</v>
      </c>
      <c r="CD144" s="1">
        <f t="shared" ca="1" si="166"/>
        <v>0.28704210905250827</v>
      </c>
      <c r="CE144" s="1">
        <f t="shared" ca="1" si="167"/>
        <v>0.806461422286195</v>
      </c>
      <c r="CF144" s="1">
        <f t="shared" ca="1" si="167"/>
        <v>0.51528676188589762</v>
      </c>
      <c r="CH144" s="3">
        <f t="shared" ca="1" si="168"/>
        <v>0.25555374867811537</v>
      </c>
      <c r="CI144" s="3">
        <f t="shared" ca="1" si="169"/>
        <v>0.69550337124909523</v>
      </c>
      <c r="CJ144" s="3">
        <f t="shared" ca="1" si="170"/>
        <v>684</v>
      </c>
      <c r="CK144" s="3">
        <f t="shared" ca="1" si="171"/>
        <v>4.5910529570476911E-3</v>
      </c>
      <c r="CL144" s="3">
        <f t="shared" ca="1" si="172"/>
        <v>0</v>
      </c>
      <c r="CM144" s="3"/>
      <c r="CN144" s="1">
        <f t="shared" ca="1" si="173"/>
        <v>13.561763761023752</v>
      </c>
      <c r="CO144" s="1">
        <f t="shared" ca="1" si="174"/>
        <v>0.4658818500485421</v>
      </c>
      <c r="CP144" s="1">
        <f t="shared" ca="1" si="175"/>
        <v>5</v>
      </c>
      <c r="DH144" s="1">
        <f t="shared" ca="1" si="176"/>
        <v>24</v>
      </c>
      <c r="DI144" s="1">
        <f t="shared" ca="1" si="177"/>
        <v>0.30480336593002338</v>
      </c>
      <c r="DJ144" s="1">
        <f t="shared" ca="1" si="178"/>
        <v>23</v>
      </c>
    </row>
    <row r="145" spans="2:114" x14ac:dyDescent="0.25">
      <c r="B145">
        <f t="shared" ca="1" si="120"/>
        <v>630</v>
      </c>
      <c r="C145">
        <f t="shared" ca="1" si="121"/>
        <v>18</v>
      </c>
      <c r="D145">
        <f t="shared" ca="1" si="122"/>
        <v>1.3673516605533205E-2</v>
      </c>
      <c r="F145" s="1">
        <f t="shared" ca="1" si="123"/>
        <v>28</v>
      </c>
      <c r="G145" s="1">
        <f t="shared" ca="1" si="124"/>
        <v>10</v>
      </c>
      <c r="H145" s="1">
        <f t="shared" ca="1" si="125"/>
        <v>8</v>
      </c>
      <c r="I145" s="1"/>
      <c r="J145" s="1">
        <f t="shared" ca="1" si="126"/>
        <v>5</v>
      </c>
      <c r="K145" s="1">
        <f t="shared" ca="1" si="127"/>
        <v>1.4038365215553983</v>
      </c>
      <c r="L145" s="1">
        <f t="shared" ca="1" si="128"/>
        <v>15</v>
      </c>
      <c r="M145" s="1"/>
      <c r="N145" s="1">
        <f t="shared" ca="1" si="129"/>
        <v>520</v>
      </c>
      <c r="O145" s="1">
        <f t="shared" ca="1" si="130"/>
        <v>42</v>
      </c>
      <c r="P145" s="1"/>
      <c r="Q145" s="1">
        <f t="shared" ca="1" si="131"/>
        <v>1.9181055537902725</v>
      </c>
      <c r="R145" s="1">
        <f t="shared" ca="1" si="132"/>
        <v>1121</v>
      </c>
      <c r="S145" s="1"/>
      <c r="T145" s="1">
        <f t="shared" ca="1" si="133"/>
        <v>8.3172964313707604E-2</v>
      </c>
      <c r="U145" s="1">
        <f t="shared" ca="1" si="134"/>
        <v>244</v>
      </c>
      <c r="V145" s="1">
        <f t="shared" ca="1" si="135"/>
        <v>46</v>
      </c>
      <c r="W145" s="1"/>
      <c r="X145" s="1">
        <f t="shared" ca="1" si="136"/>
        <v>5.0561952076844872</v>
      </c>
      <c r="Y145" s="1">
        <f t="shared" ca="1" si="137"/>
        <v>0.17722559617897807</v>
      </c>
      <c r="Z145" s="1">
        <f t="shared" ca="1" si="138"/>
        <v>619</v>
      </c>
      <c r="AB145" s="1">
        <f t="shared" ca="1" si="139"/>
        <v>0.24961022544971559</v>
      </c>
      <c r="AC145" s="1">
        <f t="shared" ca="1" si="140"/>
        <v>524</v>
      </c>
      <c r="AD145" s="1">
        <f t="shared" ca="1" si="141"/>
        <v>8.6587919772088406E-3</v>
      </c>
      <c r="AE145" s="1"/>
      <c r="AF145" s="1">
        <f t="shared" ca="1" si="142"/>
        <v>0.67296861227608551</v>
      </c>
      <c r="AG145" s="1">
        <f t="shared" ca="1" si="143"/>
        <v>542</v>
      </c>
      <c r="AH145" s="1">
        <f t="shared" ca="1" si="144"/>
        <v>1.8129769558308012E-3</v>
      </c>
      <c r="AJ145" s="1">
        <f t="shared" ca="1" si="145"/>
        <v>8.5177701662154659E-2</v>
      </c>
      <c r="AK145" s="1">
        <f t="shared" ca="1" si="146"/>
        <v>3.2269640446870606E-3</v>
      </c>
      <c r="AL145" s="1"/>
      <c r="AM145" s="1">
        <f t="shared" ca="1" si="147"/>
        <v>5.2781284327251911E-2</v>
      </c>
      <c r="AN145" s="1">
        <f t="shared" ca="1" si="148"/>
        <v>42</v>
      </c>
      <c r="AO145" s="1">
        <f t="shared" ca="1" si="149"/>
        <v>8</v>
      </c>
      <c r="AQ145" s="1">
        <f t="shared" ca="1" si="150"/>
        <v>95</v>
      </c>
      <c r="AR145" s="1">
        <f t="shared" ca="1" si="151"/>
        <v>6</v>
      </c>
      <c r="AS145" s="1">
        <f t="shared" ca="1" si="152"/>
        <v>77</v>
      </c>
      <c r="AU145" s="1">
        <f t="shared" ca="1" si="153"/>
        <v>223</v>
      </c>
      <c r="AV145" s="1">
        <f t="shared" ca="1" si="154"/>
        <v>6</v>
      </c>
      <c r="AW145" s="1">
        <f t="shared" ca="1" si="155"/>
        <v>2.6259809751620206E-2</v>
      </c>
      <c r="AY145" s="1">
        <f t="shared" ca="1" si="156"/>
        <v>1.2969416854850562</v>
      </c>
      <c r="AZ145" s="1">
        <f t="shared" ca="1" si="157"/>
        <v>122</v>
      </c>
      <c r="BA145" s="1">
        <f t="shared" ca="1" si="158"/>
        <v>5.3577386782313911E-3</v>
      </c>
      <c r="BV145" s="1">
        <f t="shared" ca="1" si="159"/>
        <v>0.5938773506600098</v>
      </c>
      <c r="BW145" s="1">
        <f t="shared" ca="1" si="160"/>
        <v>456</v>
      </c>
      <c r="BX145" s="1">
        <f t="shared" ca="1" si="161"/>
        <v>7.9350877077552268E-4</v>
      </c>
      <c r="BY145" s="1">
        <f t="shared" ca="1" si="162"/>
        <v>7.1865175312457452E-2</v>
      </c>
      <c r="BZ145" s="1">
        <f t="shared" ca="1" si="163"/>
        <v>0.74260812870776782</v>
      </c>
      <c r="CB145" s="1">
        <f t="shared" ca="1" si="164"/>
        <v>248</v>
      </c>
      <c r="CC145" s="1">
        <f t="shared" ca="1" si="165"/>
        <v>14</v>
      </c>
      <c r="CD145" s="1">
        <f t="shared" ca="1" si="166"/>
        <v>0.10280166899090118</v>
      </c>
      <c r="CE145" s="1">
        <f t="shared" ca="1" si="167"/>
        <v>0.62043393060472429</v>
      </c>
      <c r="CF145" s="1">
        <f t="shared" ca="1" si="167"/>
        <v>0.83423290163566199</v>
      </c>
      <c r="CH145" s="3">
        <f t="shared" ca="1" si="168"/>
        <v>0.49514402163814275</v>
      </c>
      <c r="CI145" s="3">
        <f t="shared" ca="1" si="169"/>
        <v>0.52893374343623689</v>
      </c>
      <c r="CJ145" s="3">
        <f t="shared" ca="1" si="170"/>
        <v>1744</v>
      </c>
      <c r="CK145" s="3">
        <f t="shared" ca="1" si="171"/>
        <v>5.9078408115506367E-3</v>
      </c>
      <c r="CL145" s="3">
        <f t="shared" ca="1" si="172"/>
        <v>1</v>
      </c>
      <c r="CM145" s="3"/>
      <c r="CN145" s="1">
        <f t="shared" ca="1" si="173"/>
        <v>7.6189635508655833</v>
      </c>
      <c r="CO145" s="1">
        <f t="shared" ca="1" si="174"/>
        <v>9.5665203688236056E-3</v>
      </c>
      <c r="CP145" s="1">
        <f t="shared" ca="1" si="175"/>
        <v>1</v>
      </c>
      <c r="DH145" s="1">
        <f t="shared" ca="1" si="176"/>
        <v>299</v>
      </c>
      <c r="DI145" s="1">
        <f t="shared" ca="1" si="177"/>
        <v>0.85455831904041579</v>
      </c>
      <c r="DJ145" s="1">
        <f t="shared" ca="1" si="178"/>
        <v>2</v>
      </c>
    </row>
    <row r="146" spans="2:114" x14ac:dyDescent="0.25">
      <c r="B146">
        <f t="shared" ca="1" si="120"/>
        <v>114</v>
      </c>
      <c r="C146">
        <f t="shared" ca="1" si="121"/>
        <v>13</v>
      </c>
      <c r="D146">
        <f t="shared" ca="1" si="122"/>
        <v>9.7417907637789264E-2</v>
      </c>
      <c r="F146" s="1">
        <f t="shared" ca="1" si="123"/>
        <v>29</v>
      </c>
      <c r="G146" s="1">
        <f t="shared" ca="1" si="124"/>
        <v>14</v>
      </c>
      <c r="H146" s="1">
        <f t="shared" ca="1" si="125"/>
        <v>5</v>
      </c>
      <c r="I146" s="1"/>
      <c r="J146" s="1">
        <f t="shared" ca="1" si="126"/>
        <v>17</v>
      </c>
      <c r="K146" s="1">
        <f t="shared" ca="1" si="127"/>
        <v>1.0756874140825452</v>
      </c>
      <c r="L146" s="1">
        <f t="shared" ca="1" si="128"/>
        <v>33</v>
      </c>
      <c r="M146" s="1"/>
      <c r="N146" s="1">
        <f t="shared" ca="1" si="129"/>
        <v>377</v>
      </c>
      <c r="O146" s="1">
        <f t="shared" ca="1" si="130"/>
        <v>52</v>
      </c>
      <c r="P146" s="1"/>
      <c r="Q146" s="1">
        <f t="shared" ca="1" si="131"/>
        <v>4.0557565704572536</v>
      </c>
      <c r="R146" s="1">
        <f t="shared" ca="1" si="132"/>
        <v>826</v>
      </c>
      <c r="S146" s="1"/>
      <c r="T146" s="1">
        <f t="shared" ca="1" si="133"/>
        <v>0.1849435456947866</v>
      </c>
      <c r="U146" s="1">
        <f t="shared" ca="1" si="134"/>
        <v>62</v>
      </c>
      <c r="V146" s="1">
        <f t="shared" ca="1" si="135"/>
        <v>28</v>
      </c>
      <c r="W146" s="1"/>
      <c r="X146" s="1">
        <f t="shared" ca="1" si="136"/>
        <v>4.8424200800180444</v>
      </c>
      <c r="Y146" s="1">
        <f t="shared" ca="1" si="137"/>
        <v>0.174670110030436</v>
      </c>
      <c r="Z146" s="1">
        <f t="shared" ca="1" si="138"/>
        <v>654</v>
      </c>
      <c r="AB146" s="1">
        <f t="shared" ca="1" si="139"/>
        <v>8.6118583406687169E-2</v>
      </c>
      <c r="AC146" s="1">
        <f t="shared" ca="1" si="140"/>
        <v>254</v>
      </c>
      <c r="AD146" s="1">
        <f t="shared" ca="1" si="141"/>
        <v>4.886000672862917E-3</v>
      </c>
      <c r="AE146" s="1"/>
      <c r="AF146" s="1">
        <f t="shared" ca="1" si="142"/>
        <v>0.25144771160189561</v>
      </c>
      <c r="AG146" s="1">
        <f t="shared" ca="1" si="143"/>
        <v>175</v>
      </c>
      <c r="AH146" s="1">
        <f t="shared" ca="1" si="144"/>
        <v>6.2875108692254699E-3</v>
      </c>
      <c r="AJ146" s="1">
        <f t="shared" ca="1" si="145"/>
        <v>0.80464343138651384</v>
      </c>
      <c r="AK146" s="1">
        <f t="shared" ca="1" si="146"/>
        <v>2.3489690535826819E-3</v>
      </c>
      <c r="AL146" s="1"/>
      <c r="AM146" s="1">
        <f t="shared" ca="1" si="147"/>
        <v>0.13912042685238171</v>
      </c>
      <c r="AN146" s="1">
        <f t="shared" ca="1" si="148"/>
        <v>67</v>
      </c>
      <c r="AO146" s="1">
        <f t="shared" ca="1" si="149"/>
        <v>12</v>
      </c>
      <c r="AQ146" s="1">
        <f t="shared" ca="1" si="150"/>
        <v>171</v>
      </c>
      <c r="AR146" s="1">
        <f t="shared" ca="1" si="151"/>
        <v>9</v>
      </c>
      <c r="AS146" s="1">
        <f t="shared" ca="1" si="152"/>
        <v>83</v>
      </c>
      <c r="AU146" s="1">
        <f t="shared" ca="1" si="153"/>
        <v>71</v>
      </c>
      <c r="AV146" s="1">
        <f t="shared" ca="1" si="154"/>
        <v>2</v>
      </c>
      <c r="AW146" s="1">
        <f t="shared" ca="1" si="155"/>
        <v>0.16937108836952305</v>
      </c>
      <c r="AY146" s="1">
        <f t="shared" ca="1" si="156"/>
        <v>1.8216822188995343</v>
      </c>
      <c r="AZ146" s="1">
        <f t="shared" ca="1" si="157"/>
        <v>200</v>
      </c>
      <c r="BA146" s="1">
        <f t="shared" ca="1" si="158"/>
        <v>2.0563503418173242E-3</v>
      </c>
      <c r="BV146" s="1">
        <f t="shared" ca="1" si="159"/>
        <v>0.79358870182038088</v>
      </c>
      <c r="BW146" s="1">
        <f t="shared" ca="1" si="160"/>
        <v>932</v>
      </c>
      <c r="BX146" s="1">
        <f t="shared" ca="1" si="161"/>
        <v>2.1945358080332866E-3</v>
      </c>
      <c r="BY146" s="1">
        <f t="shared" ca="1" si="162"/>
        <v>7.0299179339962338E-3</v>
      </c>
      <c r="BZ146" s="1">
        <f t="shared" ca="1" si="163"/>
        <v>0.64308982124512537</v>
      </c>
      <c r="CB146" s="1">
        <f t="shared" ca="1" si="164"/>
        <v>290</v>
      </c>
      <c r="CC146" s="1">
        <f t="shared" ca="1" si="165"/>
        <v>5</v>
      </c>
      <c r="CD146" s="1">
        <f t="shared" ca="1" si="166"/>
        <v>0.25231687056630447</v>
      </c>
      <c r="CE146" s="1">
        <f t="shared" ca="1" si="167"/>
        <v>0.63787145721232885</v>
      </c>
      <c r="CF146" s="1">
        <f t="shared" ca="1" si="167"/>
        <v>0.60121017035651148</v>
      </c>
      <c r="CH146" s="3">
        <f t="shared" ca="1" si="168"/>
        <v>0.3301109405727336</v>
      </c>
      <c r="CI146" s="3">
        <f t="shared" ca="1" si="169"/>
        <v>0.77013774903246668</v>
      </c>
      <c r="CJ146" s="3">
        <f t="shared" ca="1" si="170"/>
        <v>1176</v>
      </c>
      <c r="CK146" s="3">
        <f t="shared" ca="1" si="171"/>
        <v>2.2268256258268374E-3</v>
      </c>
      <c r="CL146" s="3">
        <f t="shared" ca="1" si="172"/>
        <v>0</v>
      </c>
      <c r="CM146" s="3"/>
      <c r="CN146" s="1">
        <f t="shared" ca="1" si="173"/>
        <v>16.687692943487864</v>
      </c>
      <c r="CO146" s="1">
        <f t="shared" ca="1" si="174"/>
        <v>0.12847611961226918</v>
      </c>
      <c r="CP146" s="1">
        <f t="shared" ca="1" si="175"/>
        <v>1</v>
      </c>
      <c r="DH146" s="1">
        <f t="shared" ca="1" si="176"/>
        <v>377</v>
      </c>
      <c r="DI146" s="1">
        <f t="shared" ca="1" si="177"/>
        <v>0.22305851943926408</v>
      </c>
      <c r="DJ146" s="1">
        <f t="shared" ca="1" si="178"/>
        <v>17</v>
      </c>
    </row>
    <row r="147" spans="2:114" x14ac:dyDescent="0.25">
      <c r="B147">
        <f t="shared" ca="1" si="120"/>
        <v>717</v>
      </c>
      <c r="C147">
        <f t="shared" ca="1" si="121"/>
        <v>44</v>
      </c>
      <c r="D147">
        <f t="shared" ca="1" si="122"/>
        <v>5.8482440791511582E-2</v>
      </c>
      <c r="F147" s="1">
        <f t="shared" ca="1" si="123"/>
        <v>20</v>
      </c>
      <c r="G147" s="1">
        <f t="shared" ca="1" si="124"/>
        <v>28</v>
      </c>
      <c r="H147" s="1">
        <f t="shared" ca="1" si="125"/>
        <v>10</v>
      </c>
      <c r="I147" s="1"/>
      <c r="J147" s="1">
        <f t="shared" ca="1" si="126"/>
        <v>33</v>
      </c>
      <c r="K147" s="1">
        <f t="shared" ca="1" si="127"/>
        <v>1.3007905353204219</v>
      </c>
      <c r="L147" s="1">
        <f t="shared" ca="1" si="128"/>
        <v>27</v>
      </c>
      <c r="M147" s="1"/>
      <c r="N147" s="1">
        <f t="shared" ca="1" si="129"/>
        <v>428</v>
      </c>
      <c r="O147" s="1">
        <f t="shared" ca="1" si="130"/>
        <v>29</v>
      </c>
      <c r="P147" s="1"/>
      <c r="Q147" s="1">
        <f t="shared" ca="1" si="131"/>
        <v>3.0274292945476375</v>
      </c>
      <c r="R147" s="1">
        <f t="shared" ca="1" si="132"/>
        <v>339</v>
      </c>
      <c r="S147" s="1"/>
      <c r="T147" s="1">
        <f t="shared" ca="1" si="133"/>
        <v>0.11261767525914324</v>
      </c>
      <c r="U147" s="1">
        <f t="shared" ca="1" si="134"/>
        <v>187</v>
      </c>
      <c r="V147" s="1">
        <f t="shared" ca="1" si="135"/>
        <v>35</v>
      </c>
      <c r="W147" s="1"/>
      <c r="X147" s="1">
        <f t="shared" ca="1" si="136"/>
        <v>1.19476422880029</v>
      </c>
      <c r="Y147" s="1">
        <f t="shared" ca="1" si="137"/>
        <v>0.22071800586565912</v>
      </c>
      <c r="Z147" s="1">
        <f t="shared" ca="1" si="138"/>
        <v>1983</v>
      </c>
      <c r="AB147" s="1">
        <f t="shared" ca="1" si="139"/>
        <v>0.85014670353992428</v>
      </c>
      <c r="AC147" s="1">
        <f t="shared" ca="1" si="140"/>
        <v>664</v>
      </c>
      <c r="AD147" s="1">
        <f t="shared" ca="1" si="141"/>
        <v>4.5060783695357182E-3</v>
      </c>
      <c r="AE147" s="1"/>
      <c r="AF147" s="1">
        <f t="shared" ca="1" si="142"/>
        <v>0.12978260563165567</v>
      </c>
      <c r="AG147" s="1">
        <f t="shared" ca="1" si="143"/>
        <v>488</v>
      </c>
      <c r="AH147" s="1">
        <f t="shared" ca="1" si="144"/>
        <v>2.9405382047676168E-3</v>
      </c>
      <c r="AJ147" s="1">
        <f t="shared" ca="1" si="145"/>
        <v>9.958704533482754E-2</v>
      </c>
      <c r="AK147" s="1">
        <f t="shared" ca="1" si="146"/>
        <v>4.0174046055976671E-3</v>
      </c>
      <c r="AL147" s="1"/>
      <c r="AM147" s="1">
        <f t="shared" ca="1" si="147"/>
        <v>4.6305818741850698E-2</v>
      </c>
      <c r="AN147" s="1">
        <f t="shared" ca="1" si="148"/>
        <v>27</v>
      </c>
      <c r="AO147" s="1">
        <f t="shared" ca="1" si="149"/>
        <v>14</v>
      </c>
      <c r="AQ147" s="1">
        <f t="shared" ca="1" si="150"/>
        <v>37</v>
      </c>
      <c r="AR147" s="1">
        <f t="shared" ca="1" si="151"/>
        <v>8</v>
      </c>
      <c r="AS147" s="1">
        <f t="shared" ca="1" si="152"/>
        <v>100</v>
      </c>
      <c r="AU147" s="1">
        <f t="shared" ca="1" si="153"/>
        <v>244</v>
      </c>
      <c r="AV147" s="1">
        <f t="shared" ca="1" si="154"/>
        <v>8</v>
      </c>
      <c r="AW147" s="1">
        <f t="shared" ca="1" si="155"/>
        <v>0.13835815882877125</v>
      </c>
      <c r="AY147" s="1">
        <f t="shared" ca="1" si="156"/>
        <v>1.5523283199450739</v>
      </c>
      <c r="AZ147" s="1">
        <f t="shared" ca="1" si="157"/>
        <v>465</v>
      </c>
      <c r="BA147" s="1">
        <f t="shared" ca="1" si="158"/>
        <v>3.7153562590667966E-3</v>
      </c>
      <c r="BV147" s="1">
        <f t="shared" ca="1" si="159"/>
        <v>0.32784132305323749</v>
      </c>
      <c r="BW147" s="1">
        <f t="shared" ca="1" si="160"/>
        <v>834</v>
      </c>
      <c r="BX147" s="1">
        <f t="shared" ca="1" si="161"/>
        <v>3.805865054255586E-3</v>
      </c>
      <c r="BY147" s="1">
        <f t="shared" ca="1" si="162"/>
        <v>4.6928425943467501E-2</v>
      </c>
      <c r="BZ147" s="1">
        <f t="shared" ca="1" si="163"/>
        <v>0.26150783656621157</v>
      </c>
      <c r="CB147" s="1">
        <f t="shared" ca="1" si="164"/>
        <v>79</v>
      </c>
      <c r="CC147" s="1">
        <f t="shared" ca="1" si="165"/>
        <v>3</v>
      </c>
      <c r="CD147" s="1">
        <f t="shared" ca="1" si="166"/>
        <v>0.14172043130692102</v>
      </c>
      <c r="CE147" s="1">
        <f t="shared" ca="1" si="167"/>
        <v>0.84455114361264294</v>
      </c>
      <c r="CF147" s="1">
        <f t="shared" ca="1" si="167"/>
        <v>0.89816125927177293</v>
      </c>
      <c r="CH147" s="3">
        <f t="shared" ca="1" si="168"/>
        <v>0.88029569512859052</v>
      </c>
      <c r="CI147" s="3">
        <f t="shared" ca="1" si="169"/>
        <v>4.6224550704341234E-2</v>
      </c>
      <c r="CJ147" s="3">
        <f t="shared" ca="1" si="170"/>
        <v>1216</v>
      </c>
      <c r="CK147" s="3">
        <f t="shared" ca="1" si="171"/>
        <v>5.3186005608462476E-3</v>
      </c>
      <c r="CL147" s="3">
        <f t="shared" ca="1" si="172"/>
        <v>1</v>
      </c>
      <c r="CM147" s="3"/>
      <c r="CN147" s="1">
        <f t="shared" ca="1" si="173"/>
        <v>11.201490361103028</v>
      </c>
      <c r="CO147" s="1">
        <f t="shared" ca="1" si="174"/>
        <v>4.7293004252677087E-2</v>
      </c>
      <c r="CP147" s="1">
        <f t="shared" ca="1" si="175"/>
        <v>5</v>
      </c>
      <c r="DH147" s="1">
        <f t="shared" ca="1" si="176"/>
        <v>205</v>
      </c>
      <c r="DI147" s="1">
        <f t="shared" ca="1" si="177"/>
        <v>0.85569550892051982</v>
      </c>
      <c r="DJ147" s="1">
        <f t="shared" ca="1" si="178"/>
        <v>20</v>
      </c>
    </row>
    <row r="148" spans="2:114" x14ac:dyDescent="0.25">
      <c r="B148">
        <f t="shared" ca="1" si="120"/>
        <v>367</v>
      </c>
      <c r="C148">
        <f t="shared" ca="1" si="121"/>
        <v>35</v>
      </c>
      <c r="D148">
        <f t="shared" ca="1" si="122"/>
        <v>0.12323395778160187</v>
      </c>
      <c r="F148" s="1">
        <f t="shared" ca="1" si="123"/>
        <v>11</v>
      </c>
      <c r="G148" s="1">
        <f t="shared" ca="1" si="124"/>
        <v>18</v>
      </c>
      <c r="H148" s="1">
        <f t="shared" ca="1" si="125"/>
        <v>1</v>
      </c>
      <c r="I148" s="1"/>
      <c r="J148" s="1">
        <f t="shared" ca="1" si="126"/>
        <v>21</v>
      </c>
      <c r="K148" s="1">
        <f t="shared" ca="1" si="127"/>
        <v>1.2133989657762352</v>
      </c>
      <c r="L148" s="1">
        <f t="shared" ca="1" si="128"/>
        <v>30</v>
      </c>
      <c r="M148" s="1"/>
      <c r="N148" s="1">
        <f t="shared" ca="1" si="129"/>
        <v>227</v>
      </c>
      <c r="O148" s="1">
        <f t="shared" ca="1" si="130"/>
        <v>51</v>
      </c>
      <c r="P148" s="1"/>
      <c r="Q148" s="1">
        <f t="shared" ca="1" si="131"/>
        <v>1.3516254662218612</v>
      </c>
      <c r="R148" s="1">
        <f t="shared" ca="1" si="132"/>
        <v>921</v>
      </c>
      <c r="S148" s="1"/>
      <c r="T148" s="1">
        <f t="shared" ca="1" si="133"/>
        <v>0.13079140538093104</v>
      </c>
      <c r="U148" s="1">
        <f t="shared" ca="1" si="134"/>
        <v>260</v>
      </c>
      <c r="V148" s="1">
        <f t="shared" ca="1" si="135"/>
        <v>36</v>
      </c>
      <c r="W148" s="1"/>
      <c r="X148" s="1">
        <f t="shared" ca="1" si="136"/>
        <v>5.6036550184420468</v>
      </c>
      <c r="Y148" s="1">
        <f t="shared" ca="1" si="137"/>
        <v>0.39234553882330137</v>
      </c>
      <c r="Z148" s="1">
        <f t="shared" ca="1" si="138"/>
        <v>635</v>
      </c>
      <c r="AB148" s="1">
        <f t="shared" ca="1" si="139"/>
        <v>0.1053375333217851</v>
      </c>
      <c r="AC148" s="1">
        <f t="shared" ca="1" si="140"/>
        <v>831</v>
      </c>
      <c r="AD148" s="1">
        <f t="shared" ca="1" si="141"/>
        <v>2.4859616612012002E-3</v>
      </c>
      <c r="AE148" s="1"/>
      <c r="AF148" s="1">
        <f t="shared" ca="1" si="142"/>
        <v>0.15849264653561487</v>
      </c>
      <c r="AG148" s="1">
        <f t="shared" ca="1" si="143"/>
        <v>914</v>
      </c>
      <c r="AH148" s="1">
        <f t="shared" ca="1" si="144"/>
        <v>3.5690295680159156E-3</v>
      </c>
      <c r="AJ148" s="1">
        <f t="shared" ca="1" si="145"/>
        <v>0.28226934288601335</v>
      </c>
      <c r="AK148" s="1">
        <f t="shared" ca="1" si="146"/>
        <v>8.9839582692985871E-3</v>
      </c>
      <c r="AL148" s="1"/>
      <c r="AM148" s="1">
        <f t="shared" ca="1" si="147"/>
        <v>0.15389062524982836</v>
      </c>
      <c r="AN148" s="1">
        <f t="shared" ca="1" si="148"/>
        <v>50</v>
      </c>
      <c r="AO148" s="1">
        <f t="shared" ca="1" si="149"/>
        <v>1</v>
      </c>
      <c r="AQ148" s="1">
        <f t="shared" ca="1" si="150"/>
        <v>186</v>
      </c>
      <c r="AR148" s="1">
        <f t="shared" ca="1" si="151"/>
        <v>3</v>
      </c>
      <c r="AS148" s="1">
        <f t="shared" ca="1" si="152"/>
        <v>59</v>
      </c>
      <c r="AU148" s="1">
        <f t="shared" ca="1" si="153"/>
        <v>294</v>
      </c>
      <c r="AV148" s="1">
        <f t="shared" ca="1" si="154"/>
        <v>3</v>
      </c>
      <c r="AW148" s="1">
        <f t="shared" ca="1" si="155"/>
        <v>0.18933864724811655</v>
      </c>
      <c r="AY148" s="1">
        <f t="shared" ca="1" si="156"/>
        <v>1.4017027738452641</v>
      </c>
      <c r="AZ148" s="1">
        <f t="shared" ca="1" si="157"/>
        <v>70</v>
      </c>
      <c r="BA148" s="1">
        <f t="shared" ca="1" si="158"/>
        <v>4.8070732839448566E-3</v>
      </c>
      <c r="BV148" s="1">
        <f t="shared" ca="1" si="159"/>
        <v>0.40814532753464555</v>
      </c>
      <c r="BW148" s="1">
        <f t="shared" ca="1" si="160"/>
        <v>636</v>
      </c>
      <c r="BX148" s="1">
        <f t="shared" ca="1" si="161"/>
        <v>3.1901604704781543E-3</v>
      </c>
      <c r="BY148" s="1">
        <f t="shared" ca="1" si="162"/>
        <v>8.7115295305675453E-2</v>
      </c>
      <c r="BZ148" s="1">
        <f t="shared" ca="1" si="163"/>
        <v>0.2084485008135879</v>
      </c>
      <c r="CB148" s="1">
        <f t="shared" ca="1" si="164"/>
        <v>445</v>
      </c>
      <c r="CC148" s="1">
        <f t="shared" ca="1" si="165"/>
        <v>7</v>
      </c>
      <c r="CD148" s="1">
        <f t="shared" ca="1" si="166"/>
        <v>0.14322983948613344</v>
      </c>
      <c r="CE148" s="1">
        <f t="shared" ca="1" si="167"/>
        <v>0.58662378724328212</v>
      </c>
      <c r="CF148" s="1">
        <f t="shared" ca="1" si="167"/>
        <v>0.52827936911584716</v>
      </c>
      <c r="CH148" s="3">
        <f t="shared" ca="1" si="168"/>
        <v>0.18107810620811815</v>
      </c>
      <c r="CI148" s="3">
        <f t="shared" ca="1" si="169"/>
        <v>0.1201775224092152</v>
      </c>
      <c r="CJ148" s="3">
        <f t="shared" ca="1" si="170"/>
        <v>1610</v>
      </c>
      <c r="CK148" s="3">
        <f t="shared" ca="1" si="171"/>
        <v>4.7224854130116182E-3</v>
      </c>
      <c r="CL148" s="3">
        <f t="shared" ca="1" si="172"/>
        <v>0</v>
      </c>
      <c r="CM148" s="3"/>
      <c r="CN148" s="1">
        <f t="shared" ca="1" si="173"/>
        <v>5.7683191469435791</v>
      </c>
      <c r="CO148" s="1">
        <f t="shared" ca="1" si="174"/>
        <v>0.24476326308121427</v>
      </c>
      <c r="CP148" s="1">
        <f t="shared" ca="1" si="175"/>
        <v>3</v>
      </c>
      <c r="DH148" s="1">
        <f t="shared" ca="1" si="176"/>
        <v>152</v>
      </c>
      <c r="DI148" s="1">
        <f t="shared" ca="1" si="177"/>
        <v>0.66592446225408841</v>
      </c>
      <c r="DJ148" s="1">
        <f t="shared" ca="1" si="178"/>
        <v>8</v>
      </c>
    </row>
    <row r="149" spans="2:114" x14ac:dyDescent="0.25">
      <c r="B149">
        <f t="shared" ca="1" si="120"/>
        <v>633</v>
      </c>
      <c r="C149">
        <f t="shared" ca="1" si="121"/>
        <v>6</v>
      </c>
      <c r="D149">
        <f t="shared" ca="1" si="122"/>
        <v>0.25198241858798676</v>
      </c>
      <c r="F149" s="1">
        <f t="shared" ca="1" si="123"/>
        <v>42</v>
      </c>
      <c r="G149" s="1">
        <f t="shared" ca="1" si="124"/>
        <v>11</v>
      </c>
      <c r="H149" s="1">
        <f t="shared" ca="1" si="125"/>
        <v>7</v>
      </c>
      <c r="I149" s="1"/>
      <c r="J149" s="1">
        <f t="shared" ca="1" si="126"/>
        <v>15</v>
      </c>
      <c r="K149" s="1">
        <f t="shared" ca="1" si="127"/>
        <v>2.0329384333893179</v>
      </c>
      <c r="L149" s="1">
        <f t="shared" ca="1" si="128"/>
        <v>9</v>
      </c>
      <c r="M149" s="1"/>
      <c r="N149" s="1">
        <f t="shared" ca="1" si="129"/>
        <v>420</v>
      </c>
      <c r="O149" s="1">
        <f t="shared" ca="1" si="130"/>
        <v>42</v>
      </c>
      <c r="P149" s="1"/>
      <c r="Q149" s="1">
        <f t="shared" ca="1" si="131"/>
        <v>1.7683198382525067</v>
      </c>
      <c r="R149" s="1">
        <f t="shared" ca="1" si="132"/>
        <v>237</v>
      </c>
      <c r="S149" s="1"/>
      <c r="T149" s="1">
        <f t="shared" ca="1" si="133"/>
        <v>0.15607705305440286</v>
      </c>
      <c r="U149" s="1">
        <f t="shared" ca="1" si="134"/>
        <v>73</v>
      </c>
      <c r="V149" s="1">
        <f t="shared" ca="1" si="135"/>
        <v>49</v>
      </c>
      <c r="W149" s="1"/>
      <c r="X149" s="1">
        <f t="shared" ca="1" si="136"/>
        <v>4.0760667387689304</v>
      </c>
      <c r="Y149" s="1">
        <f t="shared" ca="1" si="137"/>
        <v>0.70044197342962955</v>
      </c>
      <c r="Z149" s="1">
        <f t="shared" ca="1" si="138"/>
        <v>1457</v>
      </c>
      <c r="AB149" s="1">
        <f t="shared" ca="1" si="139"/>
        <v>0.84496618084434605</v>
      </c>
      <c r="AC149" s="1">
        <f t="shared" ca="1" si="140"/>
        <v>945</v>
      </c>
      <c r="AD149" s="1">
        <f t="shared" ca="1" si="141"/>
        <v>5.7091373554646139E-3</v>
      </c>
      <c r="AE149" s="1"/>
      <c r="AF149" s="1">
        <f t="shared" ca="1" si="142"/>
        <v>0.24797855114953482</v>
      </c>
      <c r="AG149" s="1">
        <f t="shared" ca="1" si="143"/>
        <v>249</v>
      </c>
      <c r="AH149" s="1">
        <f t="shared" ca="1" si="144"/>
        <v>9.8633657754424522E-3</v>
      </c>
      <c r="AJ149" s="1">
        <f t="shared" ca="1" si="145"/>
        <v>0.53288822764023813</v>
      </c>
      <c r="AK149" s="1">
        <f t="shared" ca="1" si="146"/>
        <v>6.1604472732560223E-3</v>
      </c>
      <c r="AL149" s="1"/>
      <c r="AM149" s="1">
        <f t="shared" ca="1" si="147"/>
        <v>2.2320933546305554E-2</v>
      </c>
      <c r="AN149" s="1">
        <f t="shared" ca="1" si="148"/>
        <v>33</v>
      </c>
      <c r="AO149" s="1">
        <f t="shared" ca="1" si="149"/>
        <v>7</v>
      </c>
      <c r="AQ149" s="1">
        <f t="shared" ca="1" si="150"/>
        <v>130</v>
      </c>
      <c r="AR149" s="1">
        <f t="shared" ca="1" si="151"/>
        <v>3</v>
      </c>
      <c r="AS149" s="1">
        <f t="shared" ca="1" si="152"/>
        <v>69</v>
      </c>
      <c r="AU149" s="1">
        <f t="shared" ca="1" si="153"/>
        <v>325</v>
      </c>
      <c r="AV149" s="1">
        <f t="shared" ca="1" si="154"/>
        <v>9</v>
      </c>
      <c r="AW149" s="1">
        <f t="shared" ca="1" si="155"/>
        <v>9.4128509735717777E-2</v>
      </c>
      <c r="AY149" s="1">
        <f t="shared" ca="1" si="156"/>
        <v>1.8420184614353943</v>
      </c>
      <c r="AZ149" s="1">
        <f t="shared" ca="1" si="157"/>
        <v>253</v>
      </c>
      <c r="BA149" s="1">
        <f t="shared" ca="1" si="158"/>
        <v>2.64466502190688E-3</v>
      </c>
      <c r="BV149" s="1">
        <f t="shared" ca="1" si="159"/>
        <v>0.88387681618629388</v>
      </c>
      <c r="BW149" s="1">
        <f t="shared" ca="1" si="160"/>
        <v>402</v>
      </c>
      <c r="BX149" s="1">
        <f t="shared" ca="1" si="161"/>
        <v>5.4390587593610065E-3</v>
      </c>
      <c r="BY149" s="1">
        <f t="shared" ca="1" si="162"/>
        <v>1.1816247545221542E-2</v>
      </c>
      <c r="BZ149" s="1">
        <f t="shared" ca="1" si="163"/>
        <v>0.34982646348323199</v>
      </c>
      <c r="CB149" s="1">
        <f t="shared" ca="1" si="164"/>
        <v>193</v>
      </c>
      <c r="CC149" s="1">
        <f t="shared" ca="1" si="165"/>
        <v>10</v>
      </c>
      <c r="CD149" s="1">
        <f t="shared" ca="1" si="166"/>
        <v>0.25709980711781288</v>
      </c>
      <c r="CE149" s="1">
        <f t="shared" ca="1" si="167"/>
        <v>0.84605306753875764</v>
      </c>
      <c r="CF149" s="1">
        <f t="shared" ca="1" si="167"/>
        <v>0.94408003442311861</v>
      </c>
      <c r="CH149" s="3">
        <f t="shared" ca="1" si="168"/>
        <v>0.10526748734706361</v>
      </c>
      <c r="CI149" s="3">
        <f t="shared" ca="1" si="169"/>
        <v>0.86918179574584797</v>
      </c>
      <c r="CJ149" s="3">
        <f t="shared" ca="1" si="170"/>
        <v>1228</v>
      </c>
      <c r="CK149" s="3">
        <f t="shared" ca="1" si="171"/>
        <v>3.1835328141838187E-3</v>
      </c>
      <c r="CL149" s="3">
        <f t="shared" ca="1" si="172"/>
        <v>0</v>
      </c>
      <c r="CM149" s="3"/>
      <c r="CN149" s="1">
        <f t="shared" ca="1" si="173"/>
        <v>7.6797451681727233</v>
      </c>
      <c r="CO149" s="1">
        <f t="shared" ca="1" si="174"/>
        <v>8.102725225798138E-2</v>
      </c>
      <c r="CP149" s="1">
        <f t="shared" ca="1" si="175"/>
        <v>3</v>
      </c>
      <c r="DH149" s="1">
        <f t="shared" ca="1" si="176"/>
        <v>228</v>
      </c>
      <c r="DI149" s="1">
        <f t="shared" ca="1" si="177"/>
        <v>0.23322015824775374</v>
      </c>
      <c r="DJ149" s="1">
        <f t="shared" ca="1" si="178"/>
        <v>24</v>
      </c>
    </row>
    <row r="150" spans="2:114" x14ac:dyDescent="0.25">
      <c r="B150">
        <f t="shared" ca="1" si="120"/>
        <v>904</v>
      </c>
      <c r="C150">
        <f t="shared" ca="1" si="121"/>
        <v>4</v>
      </c>
      <c r="D150">
        <f t="shared" ca="1" si="122"/>
        <v>0.2605343623076331</v>
      </c>
      <c r="F150" s="1">
        <f t="shared" ca="1" si="123"/>
        <v>32</v>
      </c>
      <c r="G150" s="1">
        <f t="shared" ca="1" si="124"/>
        <v>28</v>
      </c>
      <c r="H150" s="1">
        <f t="shared" ca="1" si="125"/>
        <v>9</v>
      </c>
      <c r="I150" s="1"/>
      <c r="J150" s="1">
        <f t="shared" ca="1" si="126"/>
        <v>25</v>
      </c>
      <c r="K150" s="1">
        <f t="shared" ca="1" si="127"/>
        <v>1.0770136316882686</v>
      </c>
      <c r="L150" s="1">
        <f t="shared" ca="1" si="128"/>
        <v>29</v>
      </c>
      <c r="M150" s="1"/>
      <c r="N150" s="1">
        <f t="shared" ca="1" si="129"/>
        <v>492</v>
      </c>
      <c r="O150" s="1">
        <f t="shared" ca="1" si="130"/>
        <v>27</v>
      </c>
      <c r="P150" s="1"/>
      <c r="Q150" s="1">
        <f t="shared" ca="1" si="131"/>
        <v>0.65715198077614734</v>
      </c>
      <c r="R150" s="1">
        <f t="shared" ca="1" si="132"/>
        <v>512</v>
      </c>
      <c r="S150" s="1"/>
      <c r="T150" s="1">
        <f t="shared" ca="1" si="133"/>
        <v>4.5653279193569339E-2</v>
      </c>
      <c r="U150" s="1">
        <f t="shared" ca="1" si="134"/>
        <v>74</v>
      </c>
      <c r="V150" s="1">
        <f t="shared" ca="1" si="135"/>
        <v>11</v>
      </c>
      <c r="W150" s="1"/>
      <c r="X150" s="1">
        <f t="shared" ca="1" si="136"/>
        <v>8.6426966289595999</v>
      </c>
      <c r="Y150" s="1">
        <f t="shared" ca="1" si="137"/>
        <v>0.3311393382977193</v>
      </c>
      <c r="Z150" s="1">
        <f t="shared" ca="1" si="138"/>
        <v>114</v>
      </c>
      <c r="AB150" s="1">
        <f t="shared" ca="1" si="139"/>
        <v>0.90520443553815</v>
      </c>
      <c r="AC150" s="1">
        <f t="shared" ca="1" si="140"/>
        <v>752</v>
      </c>
      <c r="AD150" s="1">
        <f t="shared" ca="1" si="141"/>
        <v>4.0742687950857308E-4</v>
      </c>
      <c r="AE150" s="1"/>
      <c r="AF150" s="1">
        <f t="shared" ca="1" si="142"/>
        <v>0.56179605506469066</v>
      </c>
      <c r="AG150" s="1">
        <f t="shared" ca="1" si="143"/>
        <v>706</v>
      </c>
      <c r="AH150" s="1">
        <f t="shared" ca="1" si="144"/>
        <v>5.706220539132844E-3</v>
      </c>
      <c r="AJ150" s="1">
        <f t="shared" ca="1" si="145"/>
        <v>8.5391842167046872E-2</v>
      </c>
      <c r="AK150" s="1">
        <f t="shared" ca="1" si="146"/>
        <v>1.751874815749409E-3</v>
      </c>
      <c r="AL150" s="1"/>
      <c r="AM150" s="1">
        <f t="shared" ca="1" si="147"/>
        <v>0.16490833110929315</v>
      </c>
      <c r="AN150" s="1">
        <f t="shared" ca="1" si="148"/>
        <v>15</v>
      </c>
      <c r="AO150" s="1">
        <f t="shared" ca="1" si="149"/>
        <v>19</v>
      </c>
      <c r="AQ150" s="1">
        <f t="shared" ca="1" si="150"/>
        <v>175</v>
      </c>
      <c r="AR150" s="1">
        <f t="shared" ca="1" si="151"/>
        <v>9</v>
      </c>
      <c r="AS150" s="1">
        <f t="shared" ca="1" si="152"/>
        <v>17</v>
      </c>
      <c r="AU150" s="1">
        <f t="shared" ca="1" si="153"/>
        <v>376</v>
      </c>
      <c r="AV150" s="1">
        <f t="shared" ca="1" si="154"/>
        <v>10</v>
      </c>
      <c r="AW150" s="1">
        <f t="shared" ca="1" si="155"/>
        <v>4.1463019178929833E-2</v>
      </c>
      <c r="AY150" s="1">
        <f t="shared" ca="1" si="156"/>
        <v>1.4085344805109554</v>
      </c>
      <c r="AZ150" s="1">
        <f t="shared" ca="1" si="157"/>
        <v>353</v>
      </c>
      <c r="BA150" s="1">
        <f t="shared" ca="1" si="158"/>
        <v>5.9184105326777082E-3</v>
      </c>
      <c r="BV150" s="1">
        <f t="shared" ca="1" si="159"/>
        <v>0.81557696637276833</v>
      </c>
      <c r="BW150" s="1">
        <f t="shared" ca="1" si="160"/>
        <v>880</v>
      </c>
      <c r="BX150" s="1">
        <f t="shared" ca="1" si="161"/>
        <v>1.4455056268641135E-3</v>
      </c>
      <c r="BY150" s="1">
        <f t="shared" ca="1" si="162"/>
        <v>3.2225533768426434E-2</v>
      </c>
      <c r="BZ150" s="1">
        <f t="shared" ca="1" si="163"/>
        <v>0.33017605507024339</v>
      </c>
      <c r="CB150" s="1">
        <f t="shared" ca="1" si="164"/>
        <v>236</v>
      </c>
      <c r="CC150" s="1">
        <f t="shared" ca="1" si="165"/>
        <v>6</v>
      </c>
      <c r="CD150" s="1">
        <f t="shared" ca="1" si="166"/>
        <v>0.15935657512721804</v>
      </c>
      <c r="CE150" s="1">
        <f t="shared" ca="1" si="167"/>
        <v>0.95875884593887128</v>
      </c>
      <c r="CF150" s="1">
        <f t="shared" ca="1" si="167"/>
        <v>0.7564054928864441</v>
      </c>
      <c r="CH150" s="3">
        <f t="shared" ca="1" si="168"/>
        <v>0.39149764904541073</v>
      </c>
      <c r="CI150" s="3">
        <f t="shared" ca="1" si="169"/>
        <v>0.60282515044859653</v>
      </c>
      <c r="CJ150" s="3">
        <f t="shared" ca="1" si="170"/>
        <v>1769</v>
      </c>
      <c r="CK150" s="3">
        <f t="shared" ca="1" si="171"/>
        <v>6.5679526101300968E-3</v>
      </c>
      <c r="CL150" s="3">
        <f t="shared" ca="1" si="172"/>
        <v>0</v>
      </c>
      <c r="CM150" s="3"/>
      <c r="CN150" s="1">
        <f t="shared" ca="1" si="173"/>
        <v>8.1563823023496198</v>
      </c>
      <c r="CO150" s="1">
        <f t="shared" ca="1" si="174"/>
        <v>0.49807362205967481</v>
      </c>
      <c r="CP150" s="1">
        <f t="shared" ca="1" si="175"/>
        <v>4</v>
      </c>
      <c r="DH150" s="1">
        <f t="shared" ca="1" si="176"/>
        <v>557</v>
      </c>
      <c r="DI150" s="1">
        <f t="shared" ca="1" si="177"/>
        <v>0.77877557919268647</v>
      </c>
      <c r="DJ150" s="1">
        <f t="shared" ca="1" si="178"/>
        <v>15</v>
      </c>
    </row>
    <row r="151" spans="2:114" x14ac:dyDescent="0.25">
      <c r="B151">
        <f t="shared" ca="1" si="120"/>
        <v>188</v>
      </c>
      <c r="C151">
        <f t="shared" ca="1" si="121"/>
        <v>11</v>
      </c>
      <c r="D151">
        <f t="shared" ca="1" si="122"/>
        <v>9.2533122268268625E-2</v>
      </c>
      <c r="F151" s="1">
        <f t="shared" ca="1" si="123"/>
        <v>23</v>
      </c>
      <c r="G151" s="1">
        <f t="shared" ca="1" si="124"/>
        <v>5</v>
      </c>
      <c r="H151" s="1">
        <f t="shared" ca="1" si="125"/>
        <v>11</v>
      </c>
      <c r="I151" s="1"/>
      <c r="J151" s="1">
        <f t="shared" ca="1" si="126"/>
        <v>14</v>
      </c>
      <c r="K151" s="1">
        <f t="shared" ca="1" si="127"/>
        <v>2.4920365345212101</v>
      </c>
      <c r="L151" s="1">
        <f t="shared" ca="1" si="128"/>
        <v>27</v>
      </c>
      <c r="M151" s="1"/>
      <c r="N151" s="1">
        <f t="shared" ca="1" si="129"/>
        <v>705</v>
      </c>
      <c r="O151" s="1">
        <f t="shared" ca="1" si="130"/>
        <v>2</v>
      </c>
      <c r="P151" s="1"/>
      <c r="Q151" s="1">
        <f t="shared" ca="1" si="131"/>
        <v>3.7245384354090088</v>
      </c>
      <c r="R151" s="1">
        <f t="shared" ca="1" si="132"/>
        <v>776</v>
      </c>
      <c r="S151" s="1"/>
      <c r="T151" s="1">
        <f t="shared" ca="1" si="133"/>
        <v>0.16493890494945732</v>
      </c>
      <c r="U151" s="1">
        <f t="shared" ca="1" si="134"/>
        <v>212</v>
      </c>
      <c r="V151" s="1">
        <f t="shared" ca="1" si="135"/>
        <v>35</v>
      </c>
      <c r="W151" s="1"/>
      <c r="X151" s="1">
        <f t="shared" ca="1" si="136"/>
        <v>0.62021167146082212</v>
      </c>
      <c r="Y151" s="1">
        <f t="shared" ca="1" si="137"/>
        <v>0.88219707613571463</v>
      </c>
      <c r="Z151" s="1">
        <f t="shared" ca="1" si="138"/>
        <v>618</v>
      </c>
      <c r="AB151" s="1">
        <f t="shared" ca="1" si="139"/>
        <v>0.38962302054231956</v>
      </c>
      <c r="AC151" s="1">
        <f t="shared" ca="1" si="140"/>
        <v>349</v>
      </c>
      <c r="AD151" s="1">
        <f t="shared" ca="1" si="141"/>
        <v>3.1945433131492806E-3</v>
      </c>
      <c r="AE151" s="1"/>
      <c r="AF151" s="1">
        <f t="shared" ca="1" si="142"/>
        <v>0.52693760473727269</v>
      </c>
      <c r="AG151" s="1">
        <f t="shared" ca="1" si="143"/>
        <v>802</v>
      </c>
      <c r="AH151" s="1">
        <f t="shared" ca="1" si="144"/>
        <v>2.2475343552752678E-3</v>
      </c>
      <c r="AJ151" s="1">
        <f t="shared" ca="1" si="145"/>
        <v>0.23004000730984075</v>
      </c>
      <c r="AK151" s="1">
        <f t="shared" ca="1" si="146"/>
        <v>7.8732635465027425E-3</v>
      </c>
      <c r="AL151" s="1"/>
      <c r="AM151" s="1">
        <f t="shared" ca="1" si="147"/>
        <v>0.12848767725414667</v>
      </c>
      <c r="AN151" s="1">
        <f t="shared" ca="1" si="148"/>
        <v>64</v>
      </c>
      <c r="AO151" s="1">
        <f t="shared" ca="1" si="149"/>
        <v>19</v>
      </c>
      <c r="AQ151" s="1">
        <f t="shared" ca="1" si="150"/>
        <v>34</v>
      </c>
      <c r="AR151" s="1">
        <f t="shared" ca="1" si="151"/>
        <v>4</v>
      </c>
      <c r="AS151" s="1">
        <f t="shared" ca="1" si="152"/>
        <v>93</v>
      </c>
      <c r="AU151" s="1">
        <f t="shared" ca="1" si="153"/>
        <v>83</v>
      </c>
      <c r="AV151" s="1">
        <f t="shared" ca="1" si="154"/>
        <v>7</v>
      </c>
      <c r="AW151" s="1">
        <f t="shared" ca="1" si="155"/>
        <v>7.6374711387147215E-2</v>
      </c>
      <c r="AY151" s="1">
        <f t="shared" ca="1" si="156"/>
        <v>1.9240833142718756</v>
      </c>
      <c r="AZ151" s="1">
        <f t="shared" ca="1" si="157"/>
        <v>203</v>
      </c>
      <c r="BA151" s="1">
        <f t="shared" ca="1" si="158"/>
        <v>6.262581345013128E-3</v>
      </c>
      <c r="BV151" s="1">
        <f t="shared" ca="1" si="159"/>
        <v>7.8020992250809372E-3</v>
      </c>
      <c r="BW151" s="1">
        <f t="shared" ca="1" si="160"/>
        <v>747</v>
      </c>
      <c r="BX151" s="1">
        <f t="shared" ca="1" si="161"/>
        <v>7.596210965977724E-3</v>
      </c>
      <c r="BY151" s="1">
        <f t="shared" ca="1" si="162"/>
        <v>5.1750924864897602E-2</v>
      </c>
      <c r="BZ151" s="1">
        <f t="shared" ca="1" si="163"/>
        <v>0.1663661655337878</v>
      </c>
      <c r="CB151" s="1">
        <f t="shared" ca="1" si="164"/>
        <v>135</v>
      </c>
      <c r="CC151" s="1">
        <f t="shared" ca="1" si="165"/>
        <v>5</v>
      </c>
      <c r="CD151" s="1">
        <f t="shared" ca="1" si="166"/>
        <v>4.023573344550159E-2</v>
      </c>
      <c r="CE151" s="1">
        <f t="shared" ca="1" si="167"/>
        <v>0.77912286721111534</v>
      </c>
      <c r="CF151" s="1">
        <f t="shared" ca="1" si="167"/>
        <v>0.82803017115317634</v>
      </c>
      <c r="CH151" s="3">
        <f t="shared" ca="1" si="168"/>
        <v>0.15259210538171017</v>
      </c>
      <c r="CI151" s="3">
        <f t="shared" ca="1" si="169"/>
        <v>0.1067152045595197</v>
      </c>
      <c r="CJ151" s="3">
        <f t="shared" ca="1" si="170"/>
        <v>1631</v>
      </c>
      <c r="CK151" s="3">
        <f t="shared" ca="1" si="171"/>
        <v>7.037290063673915E-3</v>
      </c>
      <c r="CL151" s="3">
        <f t="shared" ca="1" si="172"/>
        <v>1</v>
      </c>
      <c r="CM151" s="3"/>
      <c r="CN151" s="1">
        <f t="shared" ca="1" si="173"/>
        <v>3.3979907518309993</v>
      </c>
      <c r="CO151" s="1">
        <f t="shared" ca="1" si="174"/>
        <v>0.47214746438255994</v>
      </c>
      <c r="CP151" s="1">
        <f t="shared" ca="1" si="175"/>
        <v>2</v>
      </c>
      <c r="DH151" s="1">
        <f t="shared" ca="1" si="176"/>
        <v>186</v>
      </c>
      <c r="DI151" s="1">
        <f t="shared" ca="1" si="177"/>
        <v>0.27845955092213293</v>
      </c>
      <c r="DJ151" s="1">
        <f t="shared" ca="1" si="178"/>
        <v>16</v>
      </c>
    </row>
    <row r="152" spans="2:114" x14ac:dyDescent="0.25">
      <c r="B152">
        <f t="shared" ca="1" si="120"/>
        <v>693</v>
      </c>
      <c r="C152">
        <f t="shared" ca="1" si="121"/>
        <v>16</v>
      </c>
      <c r="D152">
        <f t="shared" ca="1" si="122"/>
        <v>0.28512071417879475</v>
      </c>
      <c r="F152" s="1">
        <f t="shared" ca="1" si="123"/>
        <v>14</v>
      </c>
      <c r="G152" s="1">
        <f t="shared" ca="1" si="124"/>
        <v>21</v>
      </c>
      <c r="H152" s="1">
        <f t="shared" ca="1" si="125"/>
        <v>3</v>
      </c>
      <c r="I152" s="1"/>
      <c r="J152" s="1">
        <f t="shared" ca="1" si="126"/>
        <v>24</v>
      </c>
      <c r="K152" s="1">
        <f t="shared" ca="1" si="127"/>
        <v>1.9454777486225059</v>
      </c>
      <c r="L152" s="1">
        <f t="shared" ca="1" si="128"/>
        <v>9</v>
      </c>
      <c r="M152" s="1"/>
      <c r="N152" s="1">
        <f t="shared" ca="1" si="129"/>
        <v>347</v>
      </c>
      <c r="O152" s="1">
        <f t="shared" ca="1" si="130"/>
        <v>42</v>
      </c>
      <c r="P152" s="1"/>
      <c r="Q152" s="1">
        <f t="shared" ca="1" si="131"/>
        <v>3.6049018412904967</v>
      </c>
      <c r="R152" s="1">
        <f t="shared" ca="1" si="132"/>
        <v>761</v>
      </c>
      <c r="S152" s="1"/>
      <c r="T152" s="1">
        <f t="shared" ca="1" si="133"/>
        <v>0.13607201789823151</v>
      </c>
      <c r="U152" s="1">
        <f t="shared" ca="1" si="134"/>
        <v>222</v>
      </c>
      <c r="V152" s="1">
        <f t="shared" ca="1" si="135"/>
        <v>22</v>
      </c>
      <c r="W152" s="1"/>
      <c r="X152" s="1">
        <f t="shared" ca="1" si="136"/>
        <v>1.4270864135566168</v>
      </c>
      <c r="Y152" s="1">
        <f t="shared" ca="1" si="137"/>
        <v>0.41929438933062491</v>
      </c>
      <c r="Z152" s="1">
        <f t="shared" ca="1" si="138"/>
        <v>1405</v>
      </c>
      <c r="AB152" s="1">
        <f t="shared" ca="1" si="139"/>
        <v>0.79331343233728691</v>
      </c>
      <c r="AC152" s="1">
        <f t="shared" ca="1" si="140"/>
        <v>274</v>
      </c>
      <c r="AD152" s="1">
        <f t="shared" ca="1" si="141"/>
        <v>6.2908774213865117E-4</v>
      </c>
      <c r="AE152" s="1"/>
      <c r="AF152" s="1">
        <f t="shared" ca="1" si="142"/>
        <v>0.85770013352053764</v>
      </c>
      <c r="AG152" s="1">
        <f t="shared" ca="1" si="143"/>
        <v>856</v>
      </c>
      <c r="AH152" s="1">
        <f t="shared" ca="1" si="144"/>
        <v>3.2480503621182197E-3</v>
      </c>
      <c r="AJ152" s="1">
        <f t="shared" ca="1" si="145"/>
        <v>0.69363133539376709</v>
      </c>
      <c r="AK152" s="1">
        <f t="shared" ca="1" si="146"/>
        <v>6.6242533990701373E-3</v>
      </c>
      <c r="AL152" s="1"/>
      <c r="AM152" s="1">
        <f t="shared" ca="1" si="147"/>
        <v>3.4200391379848039E-2</v>
      </c>
      <c r="AN152" s="1">
        <f t="shared" ca="1" si="148"/>
        <v>33</v>
      </c>
      <c r="AO152" s="1">
        <f t="shared" ca="1" si="149"/>
        <v>2</v>
      </c>
      <c r="AQ152" s="1">
        <f t="shared" ca="1" si="150"/>
        <v>167</v>
      </c>
      <c r="AR152" s="1">
        <f t="shared" ca="1" si="151"/>
        <v>2</v>
      </c>
      <c r="AS152" s="1">
        <f t="shared" ca="1" si="152"/>
        <v>87</v>
      </c>
      <c r="AU152" s="1">
        <f t="shared" ca="1" si="153"/>
        <v>352</v>
      </c>
      <c r="AV152" s="1">
        <f t="shared" ca="1" si="154"/>
        <v>10</v>
      </c>
      <c r="AW152" s="1">
        <f t="shared" ca="1" si="155"/>
        <v>0.14053628208970115</v>
      </c>
      <c r="AY152" s="1">
        <f t="shared" ca="1" si="156"/>
        <v>1.6533532540399354</v>
      </c>
      <c r="AZ152" s="1">
        <f t="shared" ca="1" si="157"/>
        <v>367</v>
      </c>
      <c r="BA152" s="1">
        <f t="shared" ca="1" si="158"/>
        <v>4.1639152847565385E-3</v>
      </c>
      <c r="BV152" s="1">
        <f t="shared" ca="1" si="159"/>
        <v>0.67123205802167818</v>
      </c>
      <c r="BW152" s="1">
        <f t="shared" ca="1" si="160"/>
        <v>992</v>
      </c>
      <c r="BX152" s="1">
        <f t="shared" ca="1" si="161"/>
        <v>4.2485893962776241E-3</v>
      </c>
      <c r="BY152" s="1">
        <f t="shared" ca="1" si="162"/>
        <v>1.8177520405992846E-2</v>
      </c>
      <c r="BZ152" s="1">
        <f t="shared" ca="1" si="163"/>
        <v>5.1134587927110897E-2</v>
      </c>
      <c r="CB152" s="1">
        <f t="shared" ca="1" si="164"/>
        <v>193</v>
      </c>
      <c r="CC152" s="1">
        <f t="shared" ca="1" si="165"/>
        <v>10</v>
      </c>
      <c r="CD152" s="1">
        <f t="shared" ca="1" si="166"/>
        <v>0.19074880563339727</v>
      </c>
      <c r="CE152" s="1">
        <f t="shared" ca="1" si="167"/>
        <v>0.67531756663300202</v>
      </c>
      <c r="CF152" s="1">
        <f t="shared" ca="1" si="167"/>
        <v>0.55984479601984893</v>
      </c>
      <c r="CH152" s="3">
        <f t="shared" ca="1" si="168"/>
        <v>0.36198954282998319</v>
      </c>
      <c r="CI152" s="3">
        <f t="shared" ca="1" si="169"/>
        <v>0.94621150286380706</v>
      </c>
      <c r="CJ152" s="3">
        <f t="shared" ca="1" si="170"/>
        <v>1444</v>
      </c>
      <c r="CK152" s="3">
        <f t="shared" ca="1" si="171"/>
        <v>8.559441854046481E-4</v>
      </c>
      <c r="CL152" s="3">
        <f t="shared" ca="1" si="172"/>
        <v>1</v>
      </c>
      <c r="CM152" s="3"/>
      <c r="CN152" s="1">
        <f t="shared" ca="1" si="173"/>
        <v>9.2386485441828423</v>
      </c>
      <c r="CO152" s="1">
        <f t="shared" ca="1" si="174"/>
        <v>0.32278021897550846</v>
      </c>
      <c r="CP152" s="1">
        <f t="shared" ca="1" si="175"/>
        <v>2</v>
      </c>
      <c r="DH152" s="1">
        <f t="shared" ca="1" si="176"/>
        <v>142</v>
      </c>
      <c r="DI152" s="1">
        <f t="shared" ca="1" si="177"/>
        <v>0.82779646822673714</v>
      </c>
      <c r="DJ152" s="1">
        <f t="shared" ca="1" si="178"/>
        <v>22</v>
      </c>
    </row>
    <row r="153" spans="2:114" x14ac:dyDescent="0.25">
      <c r="B153">
        <f t="shared" ca="1" si="120"/>
        <v>688</v>
      </c>
      <c r="C153">
        <f t="shared" ca="1" si="121"/>
        <v>50</v>
      </c>
      <c r="D153">
        <f t="shared" ca="1" si="122"/>
        <v>3.9937142501758956E-2</v>
      </c>
      <c r="F153" s="1">
        <f t="shared" ca="1" si="123"/>
        <v>20</v>
      </c>
      <c r="G153" s="1">
        <f t="shared" ca="1" si="124"/>
        <v>14</v>
      </c>
      <c r="H153" s="1">
        <f t="shared" ca="1" si="125"/>
        <v>9</v>
      </c>
      <c r="I153" s="1"/>
      <c r="J153" s="1">
        <f t="shared" ca="1" si="126"/>
        <v>31</v>
      </c>
      <c r="K153" s="1">
        <f t="shared" ca="1" si="127"/>
        <v>1.0240089125080498</v>
      </c>
      <c r="L153" s="1">
        <f t="shared" ca="1" si="128"/>
        <v>29</v>
      </c>
      <c r="M153" s="1"/>
      <c r="N153" s="1">
        <f t="shared" ca="1" si="129"/>
        <v>978</v>
      </c>
      <c r="O153" s="1">
        <f t="shared" ca="1" si="130"/>
        <v>43</v>
      </c>
      <c r="P153" s="1"/>
      <c r="Q153" s="1">
        <f t="shared" ca="1" si="131"/>
        <v>3.6315556289058009</v>
      </c>
      <c r="R153" s="1">
        <f t="shared" ca="1" si="132"/>
        <v>1011</v>
      </c>
      <c r="S153" s="1"/>
      <c r="T153" s="1">
        <f t="shared" ca="1" si="133"/>
        <v>7.4645882166587338E-2</v>
      </c>
      <c r="U153" s="1">
        <f t="shared" ca="1" si="134"/>
        <v>295</v>
      </c>
      <c r="V153" s="1">
        <f t="shared" ca="1" si="135"/>
        <v>36</v>
      </c>
      <c r="W153" s="1"/>
      <c r="X153" s="1">
        <f t="shared" ca="1" si="136"/>
        <v>3.7870445637915111</v>
      </c>
      <c r="Y153" s="1">
        <f t="shared" ca="1" si="137"/>
        <v>0.10160285155773721</v>
      </c>
      <c r="Z153" s="1">
        <f t="shared" ca="1" si="138"/>
        <v>1061</v>
      </c>
      <c r="AB153" s="1">
        <f t="shared" ca="1" si="139"/>
        <v>0.22386745477751746</v>
      </c>
      <c r="AC153" s="1">
        <f t="shared" ca="1" si="140"/>
        <v>379</v>
      </c>
      <c r="AD153" s="1">
        <f t="shared" ca="1" si="141"/>
        <v>2.9906991545841726E-3</v>
      </c>
      <c r="AE153" s="1"/>
      <c r="AF153" s="1">
        <f t="shared" ca="1" si="142"/>
        <v>0.78680731032700357</v>
      </c>
      <c r="AG153" s="1">
        <f t="shared" ca="1" si="143"/>
        <v>833</v>
      </c>
      <c r="AH153" s="1">
        <f t="shared" ca="1" si="144"/>
        <v>5.4472668033349689E-3</v>
      </c>
      <c r="AJ153" s="1">
        <f t="shared" ca="1" si="145"/>
        <v>9.8271460369714458E-2</v>
      </c>
      <c r="AK153" s="1">
        <f t="shared" ca="1" si="146"/>
        <v>8.4574893853420693E-3</v>
      </c>
      <c r="AL153" s="1"/>
      <c r="AM153" s="1">
        <f t="shared" ca="1" si="147"/>
        <v>0.10982509686048243</v>
      </c>
      <c r="AN153" s="1">
        <f t="shared" ca="1" si="148"/>
        <v>53</v>
      </c>
      <c r="AO153" s="1">
        <f t="shared" ca="1" si="149"/>
        <v>13</v>
      </c>
      <c r="AQ153" s="1">
        <f t="shared" ca="1" si="150"/>
        <v>106</v>
      </c>
      <c r="AR153" s="1">
        <f t="shared" ca="1" si="151"/>
        <v>7</v>
      </c>
      <c r="AS153" s="1">
        <f t="shared" ca="1" si="152"/>
        <v>48</v>
      </c>
      <c r="AU153" s="1">
        <f t="shared" ca="1" si="153"/>
        <v>101</v>
      </c>
      <c r="AV153" s="1">
        <f t="shared" ca="1" si="154"/>
        <v>2</v>
      </c>
      <c r="AW153" s="1">
        <f t="shared" ca="1" si="155"/>
        <v>2.2826995018818217E-2</v>
      </c>
      <c r="AY153" s="1">
        <f t="shared" ca="1" si="156"/>
        <v>1.2674750178453467</v>
      </c>
      <c r="AZ153" s="1">
        <f t="shared" ca="1" si="157"/>
        <v>334</v>
      </c>
      <c r="BA153" s="1">
        <f t="shared" ca="1" si="158"/>
        <v>7.7383048382769935E-4</v>
      </c>
      <c r="BV153" s="1">
        <f t="shared" ca="1" si="159"/>
        <v>0.93753750216901577</v>
      </c>
      <c r="BW153" s="1">
        <f t="shared" ca="1" si="160"/>
        <v>242</v>
      </c>
      <c r="BX153" s="1">
        <f t="shared" ca="1" si="161"/>
        <v>6.8757219198550016E-3</v>
      </c>
      <c r="BY153" s="1">
        <f t="shared" ca="1" si="162"/>
        <v>4.2565397946226789E-2</v>
      </c>
      <c r="BZ153" s="1">
        <f t="shared" ca="1" si="163"/>
        <v>0.31700293781164257</v>
      </c>
      <c r="CB153" s="1">
        <f t="shared" ca="1" si="164"/>
        <v>458</v>
      </c>
      <c r="CC153" s="1">
        <f t="shared" ca="1" si="165"/>
        <v>4</v>
      </c>
      <c r="CD153" s="1">
        <f t="shared" ca="1" si="166"/>
        <v>0.29974926831155912</v>
      </c>
      <c r="CE153" s="1">
        <f t="shared" ca="1" si="167"/>
        <v>0.57386368459353954</v>
      </c>
      <c r="CF153" s="1">
        <f t="shared" ca="1" si="167"/>
        <v>0.69521154744307823</v>
      </c>
      <c r="CH153" s="3">
        <f t="shared" ca="1" si="168"/>
        <v>0.52130992577670765</v>
      </c>
      <c r="CI153" s="3">
        <f t="shared" ca="1" si="169"/>
        <v>0.77638500622132278</v>
      </c>
      <c r="CJ153" s="3">
        <f t="shared" ca="1" si="170"/>
        <v>1944</v>
      </c>
      <c r="CK153" s="3">
        <f t="shared" ca="1" si="171"/>
        <v>2.9651755968157847E-4</v>
      </c>
      <c r="CL153" s="3">
        <f t="shared" ca="1" si="172"/>
        <v>1</v>
      </c>
      <c r="CM153" s="3"/>
      <c r="CN153" s="1">
        <f t="shared" ca="1" si="173"/>
        <v>18.759288486684618</v>
      </c>
      <c r="CO153" s="1">
        <f t="shared" ca="1" si="174"/>
        <v>3.4977092563356287E-2</v>
      </c>
      <c r="CP153" s="1">
        <f t="shared" ca="1" si="175"/>
        <v>2</v>
      </c>
      <c r="DH153" s="1">
        <f t="shared" ca="1" si="176"/>
        <v>759</v>
      </c>
      <c r="DI153" s="1">
        <f t="shared" ca="1" si="177"/>
        <v>0.36084896972977565</v>
      </c>
      <c r="DJ153" s="1">
        <f t="shared" ca="1" si="178"/>
        <v>23</v>
      </c>
    </row>
    <row r="154" spans="2:114" x14ac:dyDescent="0.25">
      <c r="B154">
        <f t="shared" ca="1" si="120"/>
        <v>142</v>
      </c>
      <c r="C154">
        <f t="shared" ca="1" si="121"/>
        <v>36</v>
      </c>
      <c r="D154">
        <f t="shared" ca="1" si="122"/>
        <v>8.5912185124588744E-2</v>
      </c>
      <c r="F154" s="1">
        <f t="shared" ca="1" si="123"/>
        <v>24</v>
      </c>
      <c r="G154" s="1">
        <f t="shared" ca="1" si="124"/>
        <v>17</v>
      </c>
      <c r="H154" s="1">
        <f t="shared" ca="1" si="125"/>
        <v>2</v>
      </c>
      <c r="I154" s="1"/>
      <c r="J154" s="1">
        <f t="shared" ca="1" si="126"/>
        <v>6</v>
      </c>
      <c r="K154" s="1">
        <f t="shared" ca="1" si="127"/>
        <v>1.8114675425571436</v>
      </c>
      <c r="L154" s="1">
        <f t="shared" ca="1" si="128"/>
        <v>31</v>
      </c>
      <c r="M154" s="1"/>
      <c r="N154" s="1">
        <f t="shared" ca="1" si="129"/>
        <v>469</v>
      </c>
      <c r="O154" s="1">
        <f t="shared" ca="1" si="130"/>
        <v>13</v>
      </c>
      <c r="P154" s="1"/>
      <c r="Q154" s="1">
        <f t="shared" ca="1" si="131"/>
        <v>3.2233971216316388</v>
      </c>
      <c r="R154" s="1">
        <f t="shared" ca="1" si="132"/>
        <v>1005</v>
      </c>
      <c r="S154" s="1"/>
      <c r="T154" s="1">
        <f t="shared" ca="1" si="133"/>
        <v>1.221511253865987E-2</v>
      </c>
      <c r="U154" s="1">
        <f t="shared" ca="1" si="134"/>
        <v>286</v>
      </c>
      <c r="V154" s="1">
        <f t="shared" ca="1" si="135"/>
        <v>40</v>
      </c>
      <c r="W154" s="1"/>
      <c r="X154" s="1">
        <f t="shared" ca="1" si="136"/>
        <v>0.91306747980189074</v>
      </c>
      <c r="Y154" s="1">
        <f t="shared" ca="1" si="137"/>
        <v>0.70968657636084309</v>
      </c>
      <c r="Z154" s="1">
        <f t="shared" ca="1" si="138"/>
        <v>968</v>
      </c>
      <c r="AB154" s="1">
        <f t="shared" ca="1" si="139"/>
        <v>0.65354238015798027</v>
      </c>
      <c r="AC154" s="1">
        <f t="shared" ca="1" si="140"/>
        <v>462</v>
      </c>
      <c r="AD154" s="1">
        <f t="shared" ca="1" si="141"/>
        <v>7.788964140509674E-4</v>
      </c>
      <c r="AE154" s="1"/>
      <c r="AF154" s="1">
        <f t="shared" ca="1" si="142"/>
        <v>0.20056253320523895</v>
      </c>
      <c r="AG154" s="1">
        <f t="shared" ca="1" si="143"/>
        <v>319</v>
      </c>
      <c r="AH154" s="1">
        <f t="shared" ca="1" si="144"/>
        <v>3.5515912298435086E-3</v>
      </c>
      <c r="AJ154" s="1">
        <f t="shared" ca="1" si="145"/>
        <v>0.62713498202954077</v>
      </c>
      <c r="AK154" s="1">
        <f t="shared" ca="1" si="146"/>
        <v>4.0245915902835617E-3</v>
      </c>
      <c r="AL154" s="1"/>
      <c r="AM154" s="1">
        <f t="shared" ca="1" si="147"/>
        <v>0.19242835016710583</v>
      </c>
      <c r="AN154" s="1">
        <f t="shared" ca="1" si="148"/>
        <v>48</v>
      </c>
      <c r="AO154" s="1">
        <f t="shared" ca="1" si="149"/>
        <v>11</v>
      </c>
      <c r="AQ154" s="1">
        <f t="shared" ca="1" si="150"/>
        <v>22</v>
      </c>
      <c r="AR154" s="1">
        <f t="shared" ca="1" si="151"/>
        <v>5</v>
      </c>
      <c r="AS154" s="1">
        <f t="shared" ca="1" si="152"/>
        <v>81</v>
      </c>
      <c r="AU154" s="1">
        <f t="shared" ca="1" si="153"/>
        <v>228</v>
      </c>
      <c r="AV154" s="1">
        <f t="shared" ca="1" si="154"/>
        <v>5</v>
      </c>
      <c r="AW154" s="1">
        <f t="shared" ca="1" si="155"/>
        <v>0.13739725597318492</v>
      </c>
      <c r="AY154" s="1">
        <f t="shared" ca="1" si="156"/>
        <v>1.6216730329906559</v>
      </c>
      <c r="AZ154" s="1">
        <f t="shared" ca="1" si="157"/>
        <v>295</v>
      </c>
      <c r="BA154" s="1">
        <f t="shared" ca="1" si="158"/>
        <v>5.9723306948318011E-3</v>
      </c>
      <c r="BV154" s="1">
        <f t="shared" ca="1" si="159"/>
        <v>0.79374510506361651</v>
      </c>
      <c r="BW154" s="1">
        <f t="shared" ca="1" si="160"/>
        <v>452</v>
      </c>
      <c r="BX154" s="1">
        <f t="shared" ca="1" si="161"/>
        <v>8.5136361356072613E-3</v>
      </c>
      <c r="BY154" s="1">
        <f t="shared" ca="1" si="162"/>
        <v>5.9270316832774644E-2</v>
      </c>
      <c r="BZ154" s="1">
        <f t="shared" ca="1" si="163"/>
        <v>0.54622263987025133</v>
      </c>
      <c r="CB154" s="1">
        <f t="shared" ca="1" si="164"/>
        <v>67</v>
      </c>
      <c r="CC154" s="1">
        <f t="shared" ca="1" si="165"/>
        <v>8</v>
      </c>
      <c r="CD154" s="1">
        <f t="shared" ca="1" si="166"/>
        <v>0.19811083944715802</v>
      </c>
      <c r="CE154" s="1">
        <f t="shared" ca="1" si="167"/>
        <v>0.91005502241481595</v>
      </c>
      <c r="CF154" s="1">
        <f t="shared" ca="1" si="167"/>
        <v>0.88291321737889117</v>
      </c>
      <c r="CH154" s="3">
        <f t="shared" ca="1" si="168"/>
        <v>1.415080386246401E-2</v>
      </c>
      <c r="CI154" s="3">
        <f t="shared" ca="1" si="169"/>
        <v>0.63565173333998759</v>
      </c>
      <c r="CJ154" s="3">
        <f t="shared" ca="1" si="170"/>
        <v>1521</v>
      </c>
      <c r="CK154" s="3">
        <f t="shared" ca="1" si="171"/>
        <v>5.3620007037676505E-3</v>
      </c>
      <c r="CL154" s="3">
        <f t="shared" ca="1" si="172"/>
        <v>0</v>
      </c>
      <c r="CM154" s="3"/>
      <c r="CN154" s="1">
        <f t="shared" ca="1" si="173"/>
        <v>17.341451789603138</v>
      </c>
      <c r="CO154" s="1">
        <f t="shared" ca="1" si="174"/>
        <v>9.7391835458112141E-2</v>
      </c>
      <c r="CP154" s="1">
        <f t="shared" ca="1" si="175"/>
        <v>1</v>
      </c>
      <c r="DH154" s="1">
        <f t="shared" ca="1" si="176"/>
        <v>539</v>
      </c>
      <c r="DI154" s="1">
        <f t="shared" ca="1" si="177"/>
        <v>0.67144578428909552</v>
      </c>
      <c r="DJ154" s="1">
        <f t="shared" ca="1" si="178"/>
        <v>29</v>
      </c>
    </row>
    <row r="155" spans="2:114" x14ac:dyDescent="0.25">
      <c r="B155">
        <f t="shared" ca="1" si="120"/>
        <v>160</v>
      </c>
      <c r="C155">
        <f t="shared" ca="1" si="121"/>
        <v>6</v>
      </c>
      <c r="D155">
        <f t="shared" ca="1" si="122"/>
        <v>0.23048998923510552</v>
      </c>
      <c r="F155" s="1">
        <f t="shared" ca="1" si="123"/>
        <v>10</v>
      </c>
      <c r="G155" s="1">
        <f t="shared" ca="1" si="124"/>
        <v>17</v>
      </c>
      <c r="H155" s="1">
        <f t="shared" ca="1" si="125"/>
        <v>8</v>
      </c>
      <c r="I155" s="1"/>
      <c r="J155" s="1">
        <f t="shared" ca="1" si="126"/>
        <v>18</v>
      </c>
      <c r="K155" s="1">
        <f t="shared" ca="1" si="127"/>
        <v>2.4061463840231054</v>
      </c>
      <c r="L155" s="1">
        <f t="shared" ca="1" si="128"/>
        <v>14</v>
      </c>
      <c r="M155" s="1"/>
      <c r="N155" s="1">
        <f t="shared" ca="1" si="129"/>
        <v>932</v>
      </c>
      <c r="O155" s="1">
        <f t="shared" ca="1" si="130"/>
        <v>16</v>
      </c>
      <c r="P155" s="1"/>
      <c r="Q155" s="1">
        <f t="shared" ca="1" si="131"/>
        <v>3.5942253559032591</v>
      </c>
      <c r="R155" s="1">
        <f t="shared" ca="1" si="132"/>
        <v>982</v>
      </c>
      <c r="S155" s="1"/>
      <c r="T155" s="1">
        <f t="shared" ca="1" si="133"/>
        <v>3.9000075708787121E-2</v>
      </c>
      <c r="U155" s="1">
        <f t="shared" ca="1" si="134"/>
        <v>313</v>
      </c>
      <c r="V155" s="1">
        <f t="shared" ca="1" si="135"/>
        <v>3</v>
      </c>
      <c r="W155" s="1"/>
      <c r="X155" s="1">
        <f t="shared" ca="1" si="136"/>
        <v>9.7654570916894556</v>
      </c>
      <c r="Y155" s="1">
        <f t="shared" ca="1" si="137"/>
        <v>2.1291580712409035E-2</v>
      </c>
      <c r="Z155" s="1">
        <f t="shared" ca="1" si="138"/>
        <v>1463</v>
      </c>
      <c r="AB155" s="1">
        <f t="shared" ca="1" si="139"/>
        <v>0.40738727391390189</v>
      </c>
      <c r="AC155" s="1">
        <f t="shared" ca="1" si="140"/>
        <v>371</v>
      </c>
      <c r="AD155" s="1">
        <f t="shared" ca="1" si="141"/>
        <v>6.2831524636566488E-3</v>
      </c>
      <c r="AE155" s="1"/>
      <c r="AF155" s="1">
        <f t="shared" ca="1" si="142"/>
        <v>0.41782733985749554</v>
      </c>
      <c r="AG155" s="1">
        <f t="shared" ca="1" si="143"/>
        <v>243</v>
      </c>
      <c r="AH155" s="1">
        <f t="shared" ca="1" si="144"/>
        <v>5.1448616738063108E-3</v>
      </c>
      <c r="AJ155" s="1">
        <f t="shared" ca="1" si="145"/>
        <v>0.44355987729026547</v>
      </c>
      <c r="AK155" s="1">
        <f t="shared" ca="1" si="146"/>
        <v>7.9375843191619704E-3</v>
      </c>
      <c r="AL155" s="1"/>
      <c r="AM155" s="1">
        <f t="shared" ca="1" si="147"/>
        <v>5.7762454526102097E-2</v>
      </c>
      <c r="AN155" s="1">
        <f t="shared" ca="1" si="148"/>
        <v>53</v>
      </c>
      <c r="AO155" s="1">
        <f t="shared" ca="1" si="149"/>
        <v>12</v>
      </c>
      <c r="AQ155" s="1">
        <f t="shared" ca="1" si="150"/>
        <v>148</v>
      </c>
      <c r="AR155" s="1">
        <f t="shared" ca="1" si="151"/>
        <v>9</v>
      </c>
      <c r="AS155" s="1">
        <f t="shared" ca="1" si="152"/>
        <v>72</v>
      </c>
      <c r="AU155" s="1">
        <f t="shared" ca="1" si="153"/>
        <v>190</v>
      </c>
      <c r="AV155" s="1">
        <f t="shared" ca="1" si="154"/>
        <v>2</v>
      </c>
      <c r="AW155" s="1">
        <f t="shared" ca="1" si="155"/>
        <v>0.19688173672653195</v>
      </c>
      <c r="AY155" s="1">
        <f t="shared" ca="1" si="156"/>
        <v>1.519803494395509</v>
      </c>
      <c r="AZ155" s="1">
        <f t="shared" ca="1" si="157"/>
        <v>443</v>
      </c>
      <c r="BA155" s="1">
        <f t="shared" ca="1" si="158"/>
        <v>8.2991008742943663E-3</v>
      </c>
      <c r="BV155" s="1">
        <f t="shared" ca="1" si="159"/>
        <v>0.44221301761909493</v>
      </c>
      <c r="BW155" s="1">
        <f t="shared" ca="1" si="160"/>
        <v>228</v>
      </c>
      <c r="BX155" s="1">
        <f t="shared" ca="1" si="161"/>
        <v>8.5157374837062164E-3</v>
      </c>
      <c r="BY155" s="1">
        <f t="shared" ca="1" si="162"/>
        <v>6.2829772515020046E-2</v>
      </c>
      <c r="BZ155" s="1">
        <f t="shared" ca="1" si="163"/>
        <v>2.4087315809053877E-2</v>
      </c>
      <c r="CB155" s="1">
        <f t="shared" ca="1" si="164"/>
        <v>495</v>
      </c>
      <c r="CC155" s="1">
        <f t="shared" ca="1" si="165"/>
        <v>6</v>
      </c>
      <c r="CD155" s="1">
        <f t="shared" ca="1" si="166"/>
        <v>0.17318858515269633</v>
      </c>
      <c r="CE155" s="1">
        <f t="shared" ca="1" si="167"/>
        <v>0.62523246987104375</v>
      </c>
      <c r="CF155" s="1">
        <f t="shared" ca="1" si="167"/>
        <v>0.96833781178764777</v>
      </c>
      <c r="CH155" s="3">
        <f t="shared" ca="1" si="168"/>
        <v>0.12591532124527366</v>
      </c>
      <c r="CI155" s="3">
        <f t="shared" ca="1" si="169"/>
        <v>0.68543278182717415</v>
      </c>
      <c r="CJ155" s="3">
        <f t="shared" ca="1" si="170"/>
        <v>1957</v>
      </c>
      <c r="CK155" s="3">
        <f t="shared" ca="1" si="171"/>
        <v>1.4061630097167799E-3</v>
      </c>
      <c r="CL155" s="3">
        <f t="shared" ca="1" si="172"/>
        <v>1</v>
      </c>
      <c r="CM155" s="3"/>
      <c r="CN155" s="1">
        <f t="shared" ca="1" si="173"/>
        <v>14.692795259193641</v>
      </c>
      <c r="CO155" s="1">
        <f t="shared" ca="1" si="174"/>
        <v>0.27753394520158381</v>
      </c>
      <c r="CP155" s="1">
        <f t="shared" ca="1" si="175"/>
        <v>3</v>
      </c>
      <c r="DH155" s="1">
        <f t="shared" ca="1" si="176"/>
        <v>499</v>
      </c>
      <c r="DI155" s="1">
        <f t="shared" ca="1" si="177"/>
        <v>0.72772294671285653</v>
      </c>
      <c r="DJ155" s="1">
        <f t="shared" ca="1" si="178"/>
        <v>4</v>
      </c>
    </row>
    <row r="156" spans="2:114" x14ac:dyDescent="0.25">
      <c r="B156">
        <f t="shared" ca="1" si="120"/>
        <v>434</v>
      </c>
      <c r="C156">
        <f t="shared" ca="1" si="121"/>
        <v>7</v>
      </c>
      <c r="D156">
        <f t="shared" ca="1" si="122"/>
        <v>3.6620692658311825E-2</v>
      </c>
      <c r="F156" s="1">
        <f t="shared" ca="1" si="123"/>
        <v>26</v>
      </c>
      <c r="G156" s="1">
        <f t="shared" ca="1" si="124"/>
        <v>28</v>
      </c>
      <c r="H156" s="1">
        <f t="shared" ca="1" si="125"/>
        <v>7</v>
      </c>
      <c r="I156" s="1"/>
      <c r="J156" s="1">
        <f t="shared" ca="1" si="126"/>
        <v>19</v>
      </c>
      <c r="K156" s="1">
        <f t="shared" ca="1" si="127"/>
        <v>1.5485180936826266</v>
      </c>
      <c r="L156" s="1">
        <f t="shared" ca="1" si="128"/>
        <v>34</v>
      </c>
      <c r="M156" s="1"/>
      <c r="N156" s="1">
        <f t="shared" ca="1" si="129"/>
        <v>571</v>
      </c>
      <c r="O156" s="1">
        <f t="shared" ca="1" si="130"/>
        <v>44</v>
      </c>
      <c r="P156" s="1"/>
      <c r="Q156" s="1">
        <f t="shared" ca="1" si="131"/>
        <v>1.1869616439733612</v>
      </c>
      <c r="R156" s="1">
        <f t="shared" ca="1" si="132"/>
        <v>636</v>
      </c>
      <c r="S156" s="1"/>
      <c r="T156" s="1">
        <f t="shared" ca="1" si="133"/>
        <v>8.842801350268957E-2</v>
      </c>
      <c r="U156" s="1">
        <f t="shared" ca="1" si="134"/>
        <v>102</v>
      </c>
      <c r="V156" s="1">
        <f t="shared" ca="1" si="135"/>
        <v>33</v>
      </c>
      <c r="W156" s="1"/>
      <c r="X156" s="1">
        <f t="shared" ca="1" si="136"/>
        <v>2.0412282647612421</v>
      </c>
      <c r="Y156" s="1">
        <f t="shared" ca="1" si="137"/>
        <v>0.45518192220352621</v>
      </c>
      <c r="Z156" s="1">
        <f t="shared" ca="1" si="138"/>
        <v>1181</v>
      </c>
      <c r="AB156" s="1">
        <f t="shared" ca="1" si="139"/>
        <v>0.78957169405827166</v>
      </c>
      <c r="AC156" s="1">
        <f t="shared" ca="1" si="140"/>
        <v>953</v>
      </c>
      <c r="AD156" s="1">
        <f t="shared" ca="1" si="141"/>
        <v>4.3344314777987655E-3</v>
      </c>
      <c r="AE156" s="1"/>
      <c r="AF156" s="1">
        <f t="shared" ca="1" si="142"/>
        <v>0.53933067620425579</v>
      </c>
      <c r="AG156" s="1">
        <f t="shared" ca="1" si="143"/>
        <v>935</v>
      </c>
      <c r="AH156" s="1">
        <f t="shared" ca="1" si="144"/>
        <v>5.6935503395069541E-3</v>
      </c>
      <c r="AJ156" s="1">
        <f t="shared" ca="1" si="145"/>
        <v>5.285000723721478E-2</v>
      </c>
      <c r="AK156" s="1">
        <f t="shared" ca="1" si="146"/>
        <v>9.0212380505089052E-3</v>
      </c>
      <c r="AL156" s="1"/>
      <c r="AM156" s="1">
        <f t="shared" ca="1" si="147"/>
        <v>0.16544116046753493</v>
      </c>
      <c r="AN156" s="1">
        <f t="shared" ca="1" si="148"/>
        <v>65</v>
      </c>
      <c r="AO156" s="1">
        <f t="shared" ca="1" si="149"/>
        <v>11</v>
      </c>
      <c r="AQ156" s="1">
        <f t="shared" ca="1" si="150"/>
        <v>126</v>
      </c>
      <c r="AR156" s="1">
        <f t="shared" ca="1" si="151"/>
        <v>7</v>
      </c>
      <c r="AS156" s="1">
        <f t="shared" ca="1" si="152"/>
        <v>51</v>
      </c>
      <c r="AU156" s="1">
        <f t="shared" ca="1" si="153"/>
        <v>186</v>
      </c>
      <c r="AV156" s="1">
        <f t="shared" ca="1" si="154"/>
        <v>8</v>
      </c>
      <c r="AW156" s="1">
        <f t="shared" ca="1" si="155"/>
        <v>4.9138833410826005E-2</v>
      </c>
      <c r="AY156" s="1">
        <f t="shared" ca="1" si="156"/>
        <v>1.7135548130496094</v>
      </c>
      <c r="AZ156" s="1">
        <f t="shared" ca="1" si="157"/>
        <v>491</v>
      </c>
      <c r="BA156" s="1">
        <f t="shared" ca="1" si="158"/>
        <v>2.7935401073474479E-3</v>
      </c>
      <c r="BV156" s="1">
        <f t="shared" ca="1" si="159"/>
        <v>0.65752264470804866</v>
      </c>
      <c r="BW156" s="1">
        <f t="shared" ca="1" si="160"/>
        <v>168</v>
      </c>
      <c r="BX156" s="1">
        <f t="shared" ca="1" si="161"/>
        <v>6.2075825365850894E-3</v>
      </c>
      <c r="BY156" s="1">
        <f t="shared" ca="1" si="162"/>
        <v>8.294831292513348E-2</v>
      </c>
      <c r="BZ156" s="1">
        <f t="shared" ca="1" si="163"/>
        <v>0.27512360068840847</v>
      </c>
      <c r="CB156" s="1">
        <f t="shared" ca="1" si="164"/>
        <v>229</v>
      </c>
      <c r="CC156" s="1">
        <f t="shared" ca="1" si="165"/>
        <v>7</v>
      </c>
      <c r="CD156" s="1">
        <f t="shared" ca="1" si="166"/>
        <v>0.1028958496923983</v>
      </c>
      <c r="CE156" s="1">
        <f t="shared" ca="1" si="167"/>
        <v>0.90943440643042095</v>
      </c>
      <c r="CF156" s="1">
        <f t="shared" ca="1" si="167"/>
        <v>0.628217586767023</v>
      </c>
      <c r="CH156" s="3">
        <f t="shared" ca="1" si="168"/>
        <v>0.31884849154526534</v>
      </c>
      <c r="CI156" s="3">
        <f t="shared" ca="1" si="169"/>
        <v>0.90633160139126212</v>
      </c>
      <c r="CJ156" s="3">
        <f t="shared" ca="1" si="170"/>
        <v>529</v>
      </c>
      <c r="CK156" s="3">
        <f t="shared" ca="1" si="171"/>
        <v>2.1788869838779029E-3</v>
      </c>
      <c r="CL156" s="3">
        <f t="shared" ca="1" si="172"/>
        <v>1</v>
      </c>
      <c r="CM156" s="3"/>
      <c r="CN156" s="1">
        <f t="shared" ca="1" si="173"/>
        <v>8.2650331266809474</v>
      </c>
      <c r="CO156" s="1">
        <f t="shared" ca="1" si="174"/>
        <v>0.43859032882988158</v>
      </c>
      <c r="CP156" s="1">
        <f t="shared" ca="1" si="175"/>
        <v>5</v>
      </c>
      <c r="DH156" s="1">
        <f t="shared" ca="1" si="176"/>
        <v>407</v>
      </c>
      <c r="DI156" s="1">
        <f t="shared" ca="1" si="177"/>
        <v>4.3137357191772779E-2</v>
      </c>
      <c r="DJ156" s="1">
        <f t="shared" ca="1" si="178"/>
        <v>11</v>
      </c>
    </row>
    <row r="157" spans="2:114" x14ac:dyDescent="0.25">
      <c r="B157">
        <f t="shared" ca="1" si="120"/>
        <v>413</v>
      </c>
      <c r="C157">
        <f t="shared" ca="1" si="121"/>
        <v>20</v>
      </c>
      <c r="D157">
        <f t="shared" ca="1" si="122"/>
        <v>0.25009523646954457</v>
      </c>
      <c r="F157" s="1">
        <f t="shared" ca="1" si="123"/>
        <v>46</v>
      </c>
      <c r="G157" s="1">
        <f t="shared" ca="1" si="124"/>
        <v>9</v>
      </c>
      <c r="H157" s="1">
        <f t="shared" ca="1" si="125"/>
        <v>15</v>
      </c>
      <c r="I157" s="1"/>
      <c r="J157" s="1">
        <f t="shared" ca="1" si="126"/>
        <v>29</v>
      </c>
      <c r="K157" s="1">
        <f t="shared" ca="1" si="127"/>
        <v>2.256821600563224</v>
      </c>
      <c r="L157" s="1">
        <f t="shared" ca="1" si="128"/>
        <v>21</v>
      </c>
      <c r="M157" s="1"/>
      <c r="N157" s="1">
        <f t="shared" ca="1" si="129"/>
        <v>206</v>
      </c>
      <c r="O157" s="1">
        <f t="shared" ca="1" si="130"/>
        <v>44</v>
      </c>
      <c r="P157" s="1"/>
      <c r="Q157" s="1">
        <f t="shared" ca="1" si="131"/>
        <v>1.4693117949307064</v>
      </c>
      <c r="R157" s="1">
        <f t="shared" ca="1" si="132"/>
        <v>604</v>
      </c>
      <c r="S157" s="1"/>
      <c r="T157" s="1">
        <f t="shared" ca="1" si="133"/>
        <v>5.3899010224517797E-2</v>
      </c>
      <c r="U157" s="1">
        <f t="shared" ca="1" si="134"/>
        <v>53</v>
      </c>
      <c r="V157" s="1">
        <f t="shared" ca="1" si="135"/>
        <v>40</v>
      </c>
      <c r="W157" s="1"/>
      <c r="X157" s="1">
        <f t="shared" ca="1" si="136"/>
        <v>4.0728523362957993</v>
      </c>
      <c r="Y157" s="1">
        <f t="shared" ca="1" si="137"/>
        <v>0.12078704932106274</v>
      </c>
      <c r="Z157" s="1">
        <f t="shared" ca="1" si="138"/>
        <v>256</v>
      </c>
      <c r="AB157" s="1">
        <f t="shared" ca="1" si="139"/>
        <v>0.94851196984767672</v>
      </c>
      <c r="AC157" s="1">
        <f t="shared" ca="1" si="140"/>
        <v>886</v>
      </c>
      <c r="AD157" s="1">
        <f t="shared" ca="1" si="141"/>
        <v>6.0719359860218498E-3</v>
      </c>
      <c r="AE157" s="1"/>
      <c r="AF157" s="1">
        <f t="shared" ca="1" si="142"/>
        <v>0.12708095340247541</v>
      </c>
      <c r="AG157" s="1">
        <f t="shared" ca="1" si="143"/>
        <v>585</v>
      </c>
      <c r="AH157" s="1">
        <f t="shared" ca="1" si="144"/>
        <v>1.6061407282415214E-3</v>
      </c>
      <c r="AJ157" s="1">
        <f t="shared" ca="1" si="145"/>
        <v>0.72183570564476074</v>
      </c>
      <c r="AK157" s="1">
        <f t="shared" ca="1" si="146"/>
        <v>1.9260794466980755E-3</v>
      </c>
      <c r="AL157" s="1"/>
      <c r="AM157" s="1">
        <f t="shared" ca="1" si="147"/>
        <v>5.3173309963084933E-2</v>
      </c>
      <c r="AN157" s="1">
        <f t="shared" ca="1" si="148"/>
        <v>40</v>
      </c>
      <c r="AO157" s="1">
        <f t="shared" ca="1" si="149"/>
        <v>3</v>
      </c>
      <c r="AQ157" s="1">
        <f t="shared" ca="1" si="150"/>
        <v>41</v>
      </c>
      <c r="AR157" s="1">
        <f t="shared" ca="1" si="151"/>
        <v>3</v>
      </c>
      <c r="AS157" s="1">
        <f t="shared" ca="1" si="152"/>
        <v>42</v>
      </c>
      <c r="AU157" s="1">
        <f t="shared" ca="1" si="153"/>
        <v>210</v>
      </c>
      <c r="AV157" s="1">
        <f t="shared" ca="1" si="154"/>
        <v>4</v>
      </c>
      <c r="AW157" s="1">
        <f t="shared" ca="1" si="155"/>
        <v>0.15139550558686427</v>
      </c>
      <c r="AY157" s="1">
        <f t="shared" ca="1" si="156"/>
        <v>1.5073517329845381</v>
      </c>
      <c r="AZ157" s="1">
        <f t="shared" ca="1" si="157"/>
        <v>399</v>
      </c>
      <c r="BA157" s="1">
        <f t="shared" ca="1" si="158"/>
        <v>2.4890822701899205E-3</v>
      </c>
      <c r="BV157" s="1">
        <f t="shared" ca="1" si="159"/>
        <v>0.36217204682437842</v>
      </c>
      <c r="BW157" s="1">
        <f t="shared" ca="1" si="160"/>
        <v>984</v>
      </c>
      <c r="BX157" s="1">
        <f t="shared" ca="1" si="161"/>
        <v>8.3266989395043688E-3</v>
      </c>
      <c r="BY157" s="1">
        <f t="shared" ca="1" si="162"/>
        <v>7.9184554960071568E-2</v>
      </c>
      <c r="BZ157" s="1">
        <f t="shared" ca="1" si="163"/>
        <v>0.57680056744000507</v>
      </c>
      <c r="CB157" s="1">
        <f t="shared" ca="1" si="164"/>
        <v>495</v>
      </c>
      <c r="CC157" s="1">
        <f t="shared" ca="1" si="165"/>
        <v>4</v>
      </c>
      <c r="CD157" s="1">
        <f t="shared" ca="1" si="166"/>
        <v>0.23371208135560798</v>
      </c>
      <c r="CE157" s="1">
        <f t="shared" ca="1" si="167"/>
        <v>0.71812283821775824</v>
      </c>
      <c r="CF157" s="1">
        <f t="shared" ca="1" si="167"/>
        <v>0.57585535157684486</v>
      </c>
      <c r="CH157" s="3">
        <f t="shared" ca="1" si="168"/>
        <v>0.91662912424253973</v>
      </c>
      <c r="CI157" s="3">
        <f t="shared" ca="1" si="169"/>
        <v>0.11678153110488118</v>
      </c>
      <c r="CJ157" s="3">
        <f t="shared" ca="1" si="170"/>
        <v>1826</v>
      </c>
      <c r="CK157" s="3">
        <f t="shared" ca="1" si="171"/>
        <v>5.1110229186082448E-3</v>
      </c>
      <c r="CL157" s="3">
        <f t="shared" ca="1" si="172"/>
        <v>1</v>
      </c>
      <c r="CM157" s="3"/>
      <c r="CN157" s="1">
        <f t="shared" ca="1" si="173"/>
        <v>17.235416010874697</v>
      </c>
      <c r="CO157" s="1">
        <f t="shared" ca="1" si="174"/>
        <v>0.3167559376649331</v>
      </c>
      <c r="CP157" s="1">
        <f t="shared" ca="1" si="175"/>
        <v>2</v>
      </c>
      <c r="DH157" s="1">
        <f t="shared" ca="1" si="176"/>
        <v>316</v>
      </c>
      <c r="DI157" s="1">
        <f t="shared" ca="1" si="177"/>
        <v>0.92302599285417808</v>
      </c>
      <c r="DJ157" s="1">
        <f t="shared" ca="1" si="178"/>
        <v>26</v>
      </c>
    </row>
    <row r="158" spans="2:114" x14ac:dyDescent="0.25">
      <c r="B158">
        <f t="shared" ca="1" si="120"/>
        <v>127</v>
      </c>
      <c r="C158">
        <f t="shared" ca="1" si="121"/>
        <v>26</v>
      </c>
      <c r="D158">
        <f t="shared" ca="1" si="122"/>
        <v>0.23878693775652718</v>
      </c>
      <c r="F158" s="1">
        <f t="shared" ca="1" si="123"/>
        <v>32</v>
      </c>
      <c r="G158" s="1">
        <f t="shared" ca="1" si="124"/>
        <v>4</v>
      </c>
      <c r="H158" s="1">
        <f t="shared" ca="1" si="125"/>
        <v>13</v>
      </c>
      <c r="I158" s="1"/>
      <c r="J158" s="1">
        <f t="shared" ca="1" si="126"/>
        <v>31</v>
      </c>
      <c r="K158" s="1">
        <f t="shared" ca="1" si="127"/>
        <v>1.9691926695002429</v>
      </c>
      <c r="L158" s="1">
        <f t="shared" ca="1" si="128"/>
        <v>14</v>
      </c>
      <c r="M158" s="1"/>
      <c r="N158" s="1">
        <f t="shared" ca="1" si="129"/>
        <v>616</v>
      </c>
      <c r="O158" s="1">
        <f t="shared" ca="1" si="130"/>
        <v>10</v>
      </c>
      <c r="P158" s="1"/>
      <c r="Q158" s="1">
        <f t="shared" ca="1" si="131"/>
        <v>0.72410407459040582</v>
      </c>
      <c r="R158" s="1">
        <f t="shared" ca="1" si="132"/>
        <v>389</v>
      </c>
      <c r="S158" s="1"/>
      <c r="T158" s="1">
        <f t="shared" ca="1" si="133"/>
        <v>0.14156146167929673</v>
      </c>
      <c r="U158" s="1">
        <f t="shared" ca="1" si="134"/>
        <v>335</v>
      </c>
      <c r="V158" s="1">
        <f t="shared" ca="1" si="135"/>
        <v>34</v>
      </c>
      <c r="W158" s="1"/>
      <c r="X158" s="1">
        <f t="shared" ca="1" si="136"/>
        <v>6.803870139655567</v>
      </c>
      <c r="Y158" s="1">
        <f t="shared" ca="1" si="137"/>
        <v>9.1109272464272625E-2</v>
      </c>
      <c r="Z158" s="1">
        <f t="shared" ca="1" si="138"/>
        <v>483</v>
      </c>
      <c r="AB158" s="1">
        <f t="shared" ca="1" si="139"/>
        <v>8.8737474586221363E-3</v>
      </c>
      <c r="AC158" s="1">
        <f t="shared" ca="1" si="140"/>
        <v>305</v>
      </c>
      <c r="AD158" s="1">
        <f t="shared" ca="1" si="141"/>
        <v>6.8812022199189011E-3</v>
      </c>
      <c r="AE158" s="1"/>
      <c r="AF158" s="1">
        <f t="shared" ca="1" si="142"/>
        <v>0.86845824646019243</v>
      </c>
      <c r="AG158" s="1">
        <f t="shared" ca="1" si="143"/>
        <v>239</v>
      </c>
      <c r="AH158" s="1">
        <f t="shared" ca="1" si="144"/>
        <v>9.3535842517480476E-3</v>
      </c>
      <c r="AJ158" s="1">
        <f t="shared" ca="1" si="145"/>
        <v>0.82458240254128157</v>
      </c>
      <c r="AK158" s="1">
        <f t="shared" ca="1" si="146"/>
        <v>7.7458902284921862E-3</v>
      </c>
      <c r="AL158" s="1"/>
      <c r="AM158" s="1">
        <f t="shared" ca="1" si="147"/>
        <v>9.690935966433013E-3</v>
      </c>
      <c r="AN158" s="1">
        <f t="shared" ca="1" si="148"/>
        <v>16</v>
      </c>
      <c r="AO158" s="1">
        <f t="shared" ca="1" si="149"/>
        <v>19</v>
      </c>
      <c r="AQ158" s="1">
        <f t="shared" ca="1" si="150"/>
        <v>194</v>
      </c>
      <c r="AR158" s="1">
        <f t="shared" ca="1" si="151"/>
        <v>10</v>
      </c>
      <c r="AS158" s="1">
        <f t="shared" ca="1" si="152"/>
        <v>25</v>
      </c>
      <c r="AU158" s="1">
        <f t="shared" ca="1" si="153"/>
        <v>283</v>
      </c>
      <c r="AV158" s="1">
        <f t="shared" ca="1" si="154"/>
        <v>6</v>
      </c>
      <c r="AW158" s="1">
        <f t="shared" ca="1" si="155"/>
        <v>0.17309671573593602</v>
      </c>
      <c r="AY158" s="1">
        <f t="shared" ca="1" si="156"/>
        <v>1.8104681313424988</v>
      </c>
      <c r="AZ158" s="1">
        <f t="shared" ca="1" si="157"/>
        <v>123</v>
      </c>
      <c r="BA158" s="1">
        <f t="shared" ca="1" si="158"/>
        <v>9.2197623732346544E-3</v>
      </c>
      <c r="BV158" s="1">
        <f t="shared" ca="1" si="159"/>
        <v>0.48860582917678469</v>
      </c>
      <c r="BW158" s="1">
        <f t="shared" ca="1" si="160"/>
        <v>919</v>
      </c>
      <c r="BX158" s="1">
        <f t="shared" ca="1" si="161"/>
        <v>4.3247935297541489E-3</v>
      </c>
      <c r="BY158" s="1">
        <f t="shared" ca="1" si="162"/>
        <v>5.873287944105076E-2</v>
      </c>
      <c r="BZ158" s="1">
        <f t="shared" ca="1" si="163"/>
        <v>0.11818150073810596</v>
      </c>
      <c r="CB158" s="1">
        <f t="shared" ca="1" si="164"/>
        <v>304</v>
      </c>
      <c r="CC158" s="1">
        <f t="shared" ca="1" si="165"/>
        <v>9</v>
      </c>
      <c r="CD158" s="1">
        <f t="shared" ca="1" si="166"/>
        <v>0.29500078518144518</v>
      </c>
      <c r="CE158" s="1">
        <f t="shared" ca="1" si="167"/>
        <v>0.51355638879491017</v>
      </c>
      <c r="CF158" s="1">
        <f t="shared" ca="1" si="167"/>
        <v>0.90160159732996314</v>
      </c>
      <c r="CH158" s="3">
        <f t="shared" ca="1" si="168"/>
        <v>0.59392096742533884</v>
      </c>
      <c r="CI158" s="3">
        <f t="shared" ca="1" si="169"/>
        <v>0.8490115549763726</v>
      </c>
      <c r="CJ158" s="3">
        <f t="shared" ca="1" si="170"/>
        <v>1503</v>
      </c>
      <c r="CK158" s="3">
        <f t="shared" ca="1" si="171"/>
        <v>6.7257654402016805E-3</v>
      </c>
      <c r="CL158" s="3">
        <f t="shared" ca="1" si="172"/>
        <v>0</v>
      </c>
      <c r="CM158" s="3"/>
      <c r="CN158" s="1">
        <f t="shared" ca="1" si="173"/>
        <v>1.585003724132928</v>
      </c>
      <c r="CO158" s="1">
        <f t="shared" ca="1" si="174"/>
        <v>0.47773076916542023</v>
      </c>
      <c r="CP158" s="1">
        <f t="shared" ca="1" si="175"/>
        <v>5</v>
      </c>
      <c r="DH158" s="1">
        <f t="shared" ca="1" si="176"/>
        <v>766</v>
      </c>
      <c r="DI158" s="1">
        <f t="shared" ca="1" si="177"/>
        <v>0.89791077441660827</v>
      </c>
      <c r="DJ158" s="1">
        <f t="shared" ca="1" si="178"/>
        <v>1</v>
      </c>
    </row>
    <row r="159" spans="2:114" x14ac:dyDescent="0.25">
      <c r="B159">
        <f t="shared" ca="1" si="120"/>
        <v>809</v>
      </c>
      <c r="C159">
        <f t="shared" ca="1" si="121"/>
        <v>12</v>
      </c>
      <c r="D159">
        <f t="shared" ca="1" si="122"/>
        <v>0.12524836582621568</v>
      </c>
      <c r="F159" s="1">
        <f t="shared" ca="1" si="123"/>
        <v>52</v>
      </c>
      <c r="G159" s="1">
        <f t="shared" ca="1" si="124"/>
        <v>23</v>
      </c>
      <c r="H159" s="1">
        <f t="shared" ca="1" si="125"/>
        <v>13</v>
      </c>
      <c r="I159" s="1"/>
      <c r="J159" s="1">
        <f t="shared" ca="1" si="126"/>
        <v>5</v>
      </c>
      <c r="K159" s="1">
        <f t="shared" ca="1" si="127"/>
        <v>2.4864959683234047</v>
      </c>
      <c r="L159" s="1">
        <f t="shared" ca="1" si="128"/>
        <v>34</v>
      </c>
      <c r="M159" s="1"/>
      <c r="N159" s="1">
        <f t="shared" ca="1" si="129"/>
        <v>591</v>
      </c>
      <c r="O159" s="1">
        <f t="shared" ca="1" si="130"/>
        <v>23</v>
      </c>
      <c r="P159" s="1"/>
      <c r="Q159" s="1">
        <f t="shared" ca="1" si="131"/>
        <v>0.54056202976788725</v>
      </c>
      <c r="R159" s="1">
        <f t="shared" ca="1" si="132"/>
        <v>978</v>
      </c>
      <c r="S159" s="1"/>
      <c r="T159" s="1">
        <f t="shared" ca="1" si="133"/>
        <v>0.10933203784530088</v>
      </c>
      <c r="U159" s="1">
        <f t="shared" ca="1" si="134"/>
        <v>417</v>
      </c>
      <c r="V159" s="1">
        <f t="shared" ca="1" si="135"/>
        <v>5</v>
      </c>
      <c r="W159" s="1"/>
      <c r="X159" s="1">
        <f t="shared" ca="1" si="136"/>
        <v>9.2921740217991982</v>
      </c>
      <c r="Y159" s="1">
        <f t="shared" ca="1" si="137"/>
        <v>0.88353341552466413</v>
      </c>
      <c r="Z159" s="1">
        <f t="shared" ca="1" si="138"/>
        <v>632</v>
      </c>
      <c r="AB159" s="1">
        <f t="shared" ca="1" si="139"/>
        <v>0.45541045002047931</v>
      </c>
      <c r="AC159" s="1">
        <f t="shared" ca="1" si="140"/>
        <v>410</v>
      </c>
      <c r="AD159" s="1">
        <f t="shared" ca="1" si="141"/>
        <v>7.2169446038935258E-3</v>
      </c>
      <c r="AE159" s="1"/>
      <c r="AF159" s="1">
        <f t="shared" ca="1" si="142"/>
        <v>0.45146763252669719</v>
      </c>
      <c r="AG159" s="1">
        <f t="shared" ca="1" si="143"/>
        <v>721</v>
      </c>
      <c r="AH159" s="1">
        <f t="shared" ca="1" si="144"/>
        <v>1.3426768530563351E-3</v>
      </c>
      <c r="AJ159" s="1">
        <f t="shared" ca="1" si="145"/>
        <v>0.21164127007304379</v>
      </c>
      <c r="AK159" s="1">
        <f t="shared" ca="1" si="146"/>
        <v>7.471760764058661E-3</v>
      </c>
      <c r="AL159" s="1"/>
      <c r="AM159" s="1">
        <f t="shared" ca="1" si="147"/>
        <v>0.15668074758448672</v>
      </c>
      <c r="AN159" s="1">
        <f t="shared" ca="1" si="148"/>
        <v>25</v>
      </c>
      <c r="AO159" s="1">
        <f t="shared" ca="1" si="149"/>
        <v>19</v>
      </c>
      <c r="AQ159" s="1">
        <f t="shared" ca="1" si="150"/>
        <v>65</v>
      </c>
      <c r="AR159" s="1">
        <f t="shared" ca="1" si="151"/>
        <v>6</v>
      </c>
      <c r="AS159" s="1">
        <f t="shared" ca="1" si="152"/>
        <v>4</v>
      </c>
      <c r="AU159" s="1">
        <f t="shared" ca="1" si="153"/>
        <v>375</v>
      </c>
      <c r="AV159" s="1">
        <f t="shared" ca="1" si="154"/>
        <v>8</v>
      </c>
      <c r="AW159" s="1">
        <f t="shared" ca="1" si="155"/>
        <v>2.6076736737540331E-2</v>
      </c>
      <c r="AY159" s="1">
        <f t="shared" ca="1" si="156"/>
        <v>1.2909605618718736</v>
      </c>
      <c r="AZ159" s="1">
        <f t="shared" ca="1" si="157"/>
        <v>182</v>
      </c>
      <c r="BA159" s="1">
        <f t="shared" ca="1" si="158"/>
        <v>4.0610080227338141E-4</v>
      </c>
      <c r="BV159" s="1">
        <f t="shared" ca="1" si="159"/>
        <v>0.81832345414239871</v>
      </c>
      <c r="BW159" s="1">
        <f t="shared" ca="1" si="160"/>
        <v>658</v>
      </c>
      <c r="BX159" s="1">
        <f t="shared" ca="1" si="161"/>
        <v>2.2941449685441015E-4</v>
      </c>
      <c r="BY159" s="1">
        <f t="shared" ca="1" si="162"/>
        <v>3.3274533644255491E-2</v>
      </c>
      <c r="BZ159" s="1">
        <f t="shared" ca="1" si="163"/>
        <v>0.25598473386409104</v>
      </c>
      <c r="CB159" s="1">
        <f t="shared" ca="1" si="164"/>
        <v>447</v>
      </c>
      <c r="CC159" s="1">
        <f t="shared" ca="1" si="165"/>
        <v>13</v>
      </c>
      <c r="CD159" s="1">
        <f t="shared" ca="1" si="166"/>
        <v>0.10172412898102838</v>
      </c>
      <c r="CE159" s="1">
        <f t="shared" ca="1" si="167"/>
        <v>0.57011093508462807</v>
      </c>
      <c r="CF159" s="1">
        <f t="shared" ca="1" si="167"/>
        <v>0.52650993743896635</v>
      </c>
      <c r="CH159" s="3">
        <f t="shared" ca="1" si="168"/>
        <v>0.46791634307602109</v>
      </c>
      <c r="CI159" s="3">
        <f t="shared" ca="1" si="169"/>
        <v>0.4807636864254588</v>
      </c>
      <c r="CJ159" s="3">
        <f t="shared" ca="1" si="170"/>
        <v>464</v>
      </c>
      <c r="CK159" s="3">
        <f t="shared" ca="1" si="171"/>
        <v>7.6642128079800837E-5</v>
      </c>
      <c r="CL159" s="3">
        <f t="shared" ca="1" si="172"/>
        <v>1</v>
      </c>
      <c r="CM159" s="3"/>
      <c r="CN159" s="1">
        <f t="shared" ca="1" si="173"/>
        <v>5.0198513475689861</v>
      </c>
      <c r="CO159" s="1">
        <f t="shared" ca="1" si="174"/>
        <v>0.33214787383406325</v>
      </c>
      <c r="CP159" s="1">
        <f t="shared" ca="1" si="175"/>
        <v>5</v>
      </c>
      <c r="DH159" s="1">
        <f t="shared" ca="1" si="176"/>
        <v>182</v>
      </c>
      <c r="DI159" s="1">
        <f t="shared" ca="1" si="177"/>
        <v>0.87038846317431662</v>
      </c>
      <c r="DJ159" s="1">
        <f t="shared" ca="1" si="178"/>
        <v>2</v>
      </c>
    </row>
    <row r="160" spans="2:114" x14ac:dyDescent="0.25">
      <c r="B160">
        <f t="shared" ca="1" si="120"/>
        <v>639</v>
      </c>
      <c r="C160">
        <f t="shared" ca="1" si="121"/>
        <v>52</v>
      </c>
      <c r="D160">
        <f t="shared" ca="1" si="122"/>
        <v>0.29398940624630737</v>
      </c>
      <c r="F160" s="1">
        <f t="shared" ca="1" si="123"/>
        <v>38</v>
      </c>
      <c r="G160" s="1">
        <f t="shared" ca="1" si="124"/>
        <v>3</v>
      </c>
      <c r="H160" s="1">
        <f t="shared" ca="1" si="125"/>
        <v>12</v>
      </c>
      <c r="I160" s="1"/>
      <c r="J160" s="1">
        <f t="shared" ca="1" si="126"/>
        <v>20</v>
      </c>
      <c r="K160" s="1">
        <f t="shared" ca="1" si="127"/>
        <v>1.6440614535239897</v>
      </c>
      <c r="L160" s="1">
        <f t="shared" ca="1" si="128"/>
        <v>29</v>
      </c>
      <c r="M160" s="1"/>
      <c r="N160" s="1">
        <f t="shared" ca="1" si="129"/>
        <v>495</v>
      </c>
      <c r="O160" s="1">
        <f t="shared" ca="1" si="130"/>
        <v>23</v>
      </c>
      <c r="P160" s="1"/>
      <c r="Q160" s="1">
        <f t="shared" ca="1" si="131"/>
        <v>3.8346169559234142</v>
      </c>
      <c r="R160" s="1">
        <f t="shared" ca="1" si="132"/>
        <v>724</v>
      </c>
      <c r="S160" s="1"/>
      <c r="T160" s="1">
        <f t="shared" ca="1" si="133"/>
        <v>0.14830461117081908</v>
      </c>
      <c r="U160" s="1">
        <f t="shared" ca="1" si="134"/>
        <v>274</v>
      </c>
      <c r="V160" s="1">
        <f t="shared" ca="1" si="135"/>
        <v>50</v>
      </c>
      <c r="W160" s="1"/>
      <c r="X160" s="1">
        <f t="shared" ca="1" si="136"/>
        <v>2.6364205223782302</v>
      </c>
      <c r="Y160" s="1">
        <f t="shared" ca="1" si="137"/>
        <v>0.80134343169024203</v>
      </c>
      <c r="Z160" s="1">
        <f t="shared" ca="1" si="138"/>
        <v>1408</v>
      </c>
      <c r="AB160" s="1">
        <f t="shared" ca="1" si="139"/>
        <v>0.9086455861508359</v>
      </c>
      <c r="AC160" s="1">
        <f t="shared" ca="1" si="140"/>
        <v>686</v>
      </c>
      <c r="AD160" s="1">
        <f t="shared" ca="1" si="141"/>
        <v>1.3500526729982739E-3</v>
      </c>
      <c r="AE160" s="1"/>
      <c r="AF160" s="1">
        <f t="shared" ca="1" si="142"/>
        <v>0.83154036759707839</v>
      </c>
      <c r="AG160" s="1">
        <f t="shared" ca="1" si="143"/>
        <v>744</v>
      </c>
      <c r="AH160" s="1">
        <f t="shared" ca="1" si="144"/>
        <v>4.746662126727366E-3</v>
      </c>
      <c r="AJ160" s="1">
        <f t="shared" ca="1" si="145"/>
        <v>0.65567668291210912</v>
      </c>
      <c r="AK160" s="1">
        <f t="shared" ca="1" si="146"/>
        <v>5.6698995414641538E-3</v>
      </c>
      <c r="AL160" s="1"/>
      <c r="AM160" s="1">
        <f t="shared" ca="1" si="147"/>
        <v>0.17563723322217431</v>
      </c>
      <c r="AN160" s="1">
        <f t="shared" ca="1" si="148"/>
        <v>23</v>
      </c>
      <c r="AO160" s="1">
        <f t="shared" ca="1" si="149"/>
        <v>0</v>
      </c>
      <c r="AQ160" s="1">
        <f t="shared" ca="1" si="150"/>
        <v>67</v>
      </c>
      <c r="AR160" s="1">
        <f t="shared" ca="1" si="151"/>
        <v>8</v>
      </c>
      <c r="AS160" s="1">
        <f t="shared" ca="1" si="152"/>
        <v>82</v>
      </c>
      <c r="AU160" s="1">
        <f t="shared" ca="1" si="153"/>
        <v>76</v>
      </c>
      <c r="AV160" s="1">
        <f t="shared" ca="1" si="154"/>
        <v>2</v>
      </c>
      <c r="AW160" s="1">
        <f t="shared" ca="1" si="155"/>
        <v>6.2082632794498299E-2</v>
      </c>
      <c r="AY160" s="1">
        <f t="shared" ca="1" si="156"/>
        <v>1.2903890550547295</v>
      </c>
      <c r="AZ160" s="1">
        <f t="shared" ca="1" si="157"/>
        <v>400</v>
      </c>
      <c r="BA160" s="1">
        <f t="shared" ca="1" si="158"/>
        <v>4.2486734207952941E-3</v>
      </c>
      <c r="BV160" s="1">
        <f t="shared" ca="1" si="159"/>
        <v>0.56004432578837138</v>
      </c>
      <c r="BW160" s="1">
        <f t="shared" ca="1" si="160"/>
        <v>670</v>
      </c>
      <c r="BX160" s="1">
        <f t="shared" ca="1" si="161"/>
        <v>2.7568327687022636E-3</v>
      </c>
      <c r="BY160" s="1">
        <f t="shared" ca="1" si="162"/>
        <v>3.3741048167722082E-3</v>
      </c>
      <c r="BZ160" s="1">
        <f t="shared" ca="1" si="163"/>
        <v>0.92214315169870931</v>
      </c>
      <c r="CB160" s="1">
        <f t="shared" ca="1" si="164"/>
        <v>283</v>
      </c>
      <c r="CC160" s="1">
        <f t="shared" ca="1" si="165"/>
        <v>5</v>
      </c>
      <c r="CD160" s="1">
        <f t="shared" ca="1" si="166"/>
        <v>0.21057940027491212</v>
      </c>
      <c r="CE160" s="1">
        <f t="shared" ca="1" si="167"/>
        <v>0.89002808950814294</v>
      </c>
      <c r="CF160" s="1">
        <f t="shared" ca="1" si="167"/>
        <v>0.85625830999763775</v>
      </c>
      <c r="CH160" s="3">
        <f t="shared" ca="1" si="168"/>
        <v>0.91491982782618497</v>
      </c>
      <c r="CI160" s="3">
        <f t="shared" ca="1" si="169"/>
        <v>0.69345534789581831</v>
      </c>
      <c r="CJ160" s="3">
        <f t="shared" ca="1" si="170"/>
        <v>730</v>
      </c>
      <c r="CK160" s="3">
        <f t="shared" ca="1" si="171"/>
        <v>5.223577594141127E-3</v>
      </c>
      <c r="CL160" s="3">
        <f t="shared" ca="1" si="172"/>
        <v>0</v>
      </c>
      <c r="CM160" s="3"/>
      <c r="CN160" s="1">
        <f t="shared" ca="1" si="173"/>
        <v>9.1507438713176068</v>
      </c>
      <c r="CO160" s="1">
        <f t="shared" ca="1" si="174"/>
        <v>0.14215129056331674</v>
      </c>
      <c r="CP160" s="1">
        <f t="shared" ca="1" si="175"/>
        <v>4</v>
      </c>
      <c r="DH160" s="1">
        <f t="shared" ca="1" si="176"/>
        <v>556</v>
      </c>
      <c r="DI160" s="1">
        <f t="shared" ca="1" si="177"/>
        <v>0.24885535827721608</v>
      </c>
      <c r="DJ160" s="1">
        <f t="shared" ca="1" si="178"/>
        <v>7</v>
      </c>
    </row>
    <row r="161" spans="2:114" x14ac:dyDescent="0.25">
      <c r="B161">
        <f t="shared" ca="1" si="120"/>
        <v>159</v>
      </c>
      <c r="C161">
        <f t="shared" ca="1" si="121"/>
        <v>19</v>
      </c>
      <c r="D161">
        <f t="shared" ca="1" si="122"/>
        <v>8.4984380378647917E-2</v>
      </c>
      <c r="F161" s="1">
        <f t="shared" ca="1" si="123"/>
        <v>11</v>
      </c>
      <c r="G161" s="1">
        <f t="shared" ca="1" si="124"/>
        <v>9</v>
      </c>
      <c r="H161" s="1">
        <f t="shared" ca="1" si="125"/>
        <v>1</v>
      </c>
      <c r="I161" s="1"/>
      <c r="J161" s="1">
        <f t="shared" ca="1" si="126"/>
        <v>26</v>
      </c>
      <c r="K161" s="1">
        <f t="shared" ca="1" si="127"/>
        <v>2.1537746708802983</v>
      </c>
      <c r="L161" s="1">
        <f t="shared" ca="1" si="128"/>
        <v>25</v>
      </c>
      <c r="M161" s="1"/>
      <c r="N161" s="1">
        <f t="shared" ca="1" si="129"/>
        <v>820</v>
      </c>
      <c r="O161" s="1">
        <f t="shared" ca="1" si="130"/>
        <v>20</v>
      </c>
      <c r="P161" s="1"/>
      <c r="Q161" s="1">
        <f t="shared" ca="1" si="131"/>
        <v>0.15886464726909758</v>
      </c>
      <c r="R161" s="1">
        <f t="shared" ca="1" si="132"/>
        <v>274</v>
      </c>
      <c r="S161" s="1"/>
      <c r="T161" s="1">
        <f t="shared" ca="1" si="133"/>
        <v>1.8076356288712864E-2</v>
      </c>
      <c r="U161" s="1">
        <f t="shared" ca="1" si="134"/>
        <v>88</v>
      </c>
      <c r="V161" s="1">
        <f t="shared" ca="1" si="135"/>
        <v>6</v>
      </c>
      <c r="W161" s="1"/>
      <c r="X161" s="1">
        <f t="shared" ca="1" si="136"/>
        <v>1.3883182709345316</v>
      </c>
      <c r="Y161" s="1">
        <f t="shared" ca="1" si="137"/>
        <v>0.75943939572321173</v>
      </c>
      <c r="Z161" s="1">
        <f t="shared" ca="1" si="138"/>
        <v>1368</v>
      </c>
      <c r="AB161" s="1">
        <f t="shared" ca="1" si="139"/>
        <v>9.1003053000204448E-2</v>
      </c>
      <c r="AC161" s="1">
        <f t="shared" ca="1" si="140"/>
        <v>734</v>
      </c>
      <c r="AD161" s="1">
        <f t="shared" ca="1" si="141"/>
        <v>1.0553011641560888E-4</v>
      </c>
      <c r="AE161" s="1"/>
      <c r="AF161" s="1">
        <f t="shared" ca="1" si="142"/>
        <v>0.63023416204787819</v>
      </c>
      <c r="AG161" s="1">
        <f t="shared" ca="1" si="143"/>
        <v>170</v>
      </c>
      <c r="AH161" s="1">
        <f t="shared" ca="1" si="144"/>
        <v>8.7461247915968342E-3</v>
      </c>
      <c r="AJ161" s="1">
        <f t="shared" ca="1" si="145"/>
        <v>0.22573148726548542</v>
      </c>
      <c r="AK161" s="1">
        <f t="shared" ca="1" si="146"/>
        <v>6.944881979332876E-3</v>
      </c>
      <c r="AL161" s="1"/>
      <c r="AM161" s="1">
        <f t="shared" ca="1" si="147"/>
        <v>2.4179248751576492E-2</v>
      </c>
      <c r="AN161" s="1">
        <f t="shared" ca="1" si="148"/>
        <v>16</v>
      </c>
      <c r="AO161" s="1">
        <f t="shared" ca="1" si="149"/>
        <v>16</v>
      </c>
      <c r="AQ161" s="1">
        <f t="shared" ca="1" si="150"/>
        <v>25</v>
      </c>
      <c r="AR161" s="1">
        <f t="shared" ca="1" si="151"/>
        <v>2</v>
      </c>
      <c r="AS161" s="1">
        <f t="shared" ca="1" si="152"/>
        <v>4</v>
      </c>
      <c r="AU161" s="1">
        <f t="shared" ca="1" si="153"/>
        <v>237</v>
      </c>
      <c r="AV161" s="1">
        <f t="shared" ca="1" si="154"/>
        <v>2</v>
      </c>
      <c r="AW161" s="1">
        <f t="shared" ca="1" si="155"/>
        <v>0.19303801624825043</v>
      </c>
      <c r="AY161" s="1">
        <f t="shared" ca="1" si="156"/>
        <v>1.3712650152727679</v>
      </c>
      <c r="AZ161" s="1">
        <f t="shared" ca="1" si="157"/>
        <v>369</v>
      </c>
      <c r="BA161" s="1">
        <f t="shared" ca="1" si="158"/>
        <v>4.5506364773824685E-4</v>
      </c>
      <c r="BV161" s="1">
        <f t="shared" ca="1" si="159"/>
        <v>0.13192197172434222</v>
      </c>
      <c r="BW161" s="1">
        <f t="shared" ca="1" si="160"/>
        <v>899</v>
      </c>
      <c r="BX161" s="1">
        <f t="shared" ca="1" si="161"/>
        <v>8.258148339101894E-3</v>
      </c>
      <c r="BY161" s="1">
        <f t="shared" ca="1" si="162"/>
        <v>1.8121438090176911E-2</v>
      </c>
      <c r="BZ161" s="1">
        <f t="shared" ca="1" si="163"/>
        <v>0.38364014304711447</v>
      </c>
      <c r="CB161" s="1">
        <f t="shared" ca="1" si="164"/>
        <v>328</v>
      </c>
      <c r="CC161" s="1">
        <f t="shared" ca="1" si="165"/>
        <v>11</v>
      </c>
      <c r="CD161" s="1">
        <f t="shared" ca="1" si="166"/>
        <v>9.0410489889274206E-2</v>
      </c>
      <c r="CE161" s="1">
        <f t="shared" ca="1" si="167"/>
        <v>0.76158170313704932</v>
      </c>
      <c r="CF161" s="1">
        <f t="shared" ca="1" si="167"/>
        <v>0.72606942849911915</v>
      </c>
      <c r="CH161" s="3">
        <f t="shared" ca="1" si="168"/>
        <v>0.4156638380769439</v>
      </c>
      <c r="CI161" s="3">
        <f t="shared" ca="1" si="169"/>
        <v>0.616087185683588</v>
      </c>
      <c r="CJ161" s="3">
        <f t="shared" ca="1" si="170"/>
        <v>1163</v>
      </c>
      <c r="CK161" s="3">
        <f t="shared" ca="1" si="171"/>
        <v>6.2608097473882685E-3</v>
      </c>
      <c r="CL161" s="3">
        <f t="shared" ca="1" si="172"/>
        <v>0</v>
      </c>
      <c r="CM161" s="3"/>
      <c r="CN161" s="1">
        <f t="shared" ca="1" si="173"/>
        <v>5.9620202098011994</v>
      </c>
      <c r="CO161" s="1">
        <f t="shared" ca="1" si="174"/>
        <v>0.36159517174328193</v>
      </c>
      <c r="CP161" s="1">
        <f t="shared" ca="1" si="175"/>
        <v>2</v>
      </c>
      <c r="DH161" s="1">
        <f t="shared" ca="1" si="176"/>
        <v>575</v>
      </c>
      <c r="DI161" s="1">
        <f t="shared" ca="1" si="177"/>
        <v>0.16318880503069458</v>
      </c>
      <c r="DJ161" s="1">
        <f t="shared" ca="1" si="178"/>
        <v>28</v>
      </c>
    </row>
    <row r="162" spans="2:114" x14ac:dyDescent="0.25">
      <c r="B162">
        <f t="shared" ca="1" si="120"/>
        <v>793</v>
      </c>
      <c r="C162">
        <f t="shared" ca="1" si="121"/>
        <v>44</v>
      </c>
      <c r="D162">
        <f t="shared" ca="1" si="122"/>
        <v>0.23000670800872816</v>
      </c>
      <c r="F162" s="1">
        <f t="shared" ca="1" si="123"/>
        <v>29</v>
      </c>
      <c r="G162" s="1">
        <f t="shared" ca="1" si="124"/>
        <v>4</v>
      </c>
      <c r="H162" s="1">
        <f t="shared" ca="1" si="125"/>
        <v>1</v>
      </c>
      <c r="I162" s="1"/>
      <c r="J162" s="1">
        <f t="shared" ca="1" si="126"/>
        <v>23</v>
      </c>
      <c r="K162" s="1">
        <f t="shared" ca="1" si="127"/>
        <v>2.7732450223674481</v>
      </c>
      <c r="L162" s="1">
        <f t="shared" ca="1" si="128"/>
        <v>12</v>
      </c>
      <c r="M162" s="1"/>
      <c r="N162" s="1">
        <f t="shared" ca="1" si="129"/>
        <v>751</v>
      </c>
      <c r="O162" s="1">
        <f t="shared" ca="1" si="130"/>
        <v>26</v>
      </c>
      <c r="P162" s="1"/>
      <c r="Q162" s="1">
        <f t="shared" ca="1" si="131"/>
        <v>1.2497974681852104</v>
      </c>
      <c r="R162" s="1">
        <f t="shared" ca="1" si="132"/>
        <v>961</v>
      </c>
      <c r="S162" s="1"/>
      <c r="T162" s="1">
        <f t="shared" ca="1" si="133"/>
        <v>0.15437244671936215</v>
      </c>
      <c r="U162" s="1">
        <f t="shared" ca="1" si="134"/>
        <v>253</v>
      </c>
      <c r="V162" s="1">
        <f t="shared" ca="1" si="135"/>
        <v>46</v>
      </c>
      <c r="W162" s="1"/>
      <c r="X162" s="1">
        <f t="shared" ca="1" si="136"/>
        <v>6.9300250122284552</v>
      </c>
      <c r="Y162" s="1">
        <f t="shared" ca="1" si="137"/>
        <v>0.99742248030555636</v>
      </c>
      <c r="Z162" s="1">
        <f t="shared" ca="1" si="138"/>
        <v>1752</v>
      </c>
      <c r="AB162" s="1">
        <f t="shared" ca="1" si="139"/>
        <v>9.0088713805252102E-3</v>
      </c>
      <c r="AC162" s="1">
        <f t="shared" ca="1" si="140"/>
        <v>899</v>
      </c>
      <c r="AD162" s="1">
        <f t="shared" ca="1" si="141"/>
        <v>3.4647972473415729E-3</v>
      </c>
      <c r="AE162" s="1"/>
      <c r="AF162" s="1">
        <f t="shared" ca="1" si="142"/>
        <v>0.1856302714737626</v>
      </c>
      <c r="AG162" s="1">
        <f t="shared" ca="1" si="143"/>
        <v>983</v>
      </c>
      <c r="AH162" s="1">
        <f t="shared" ca="1" si="144"/>
        <v>3.2771061699900335E-3</v>
      </c>
      <c r="AJ162" s="1">
        <f t="shared" ca="1" si="145"/>
        <v>0.50805692249218226</v>
      </c>
      <c r="AK162" s="1">
        <f t="shared" ca="1" si="146"/>
        <v>2.1290595401349775E-3</v>
      </c>
      <c r="AL162" s="1"/>
      <c r="AM162" s="1">
        <f t="shared" ca="1" si="147"/>
        <v>0.1439790260892799</v>
      </c>
      <c r="AN162" s="1">
        <f t="shared" ca="1" si="148"/>
        <v>50</v>
      </c>
      <c r="AO162" s="1">
        <f t="shared" ca="1" si="149"/>
        <v>1</v>
      </c>
      <c r="AQ162" s="1">
        <f t="shared" ca="1" si="150"/>
        <v>130</v>
      </c>
      <c r="AR162" s="1">
        <f t="shared" ca="1" si="151"/>
        <v>10</v>
      </c>
      <c r="AS162" s="1">
        <f t="shared" ca="1" si="152"/>
        <v>90</v>
      </c>
      <c r="AU162" s="1">
        <f t="shared" ca="1" si="153"/>
        <v>210</v>
      </c>
      <c r="AV162" s="1">
        <f t="shared" ca="1" si="154"/>
        <v>4</v>
      </c>
      <c r="AW162" s="1">
        <f t="shared" ca="1" si="155"/>
        <v>0.14357417679278298</v>
      </c>
      <c r="AY162" s="1">
        <f t="shared" ca="1" si="156"/>
        <v>1.7042979979769752</v>
      </c>
      <c r="AZ162" s="1">
        <f t="shared" ca="1" si="157"/>
        <v>418</v>
      </c>
      <c r="BA162" s="1">
        <f t="shared" ca="1" si="158"/>
        <v>7.3250501512025033E-3</v>
      </c>
      <c r="BV162" s="1">
        <f t="shared" ca="1" si="159"/>
        <v>0.99441157618271947</v>
      </c>
      <c r="BW162" s="1">
        <f t="shared" ca="1" si="160"/>
        <v>980</v>
      </c>
      <c r="BX162" s="1">
        <f t="shared" ca="1" si="161"/>
        <v>7.2480031097896013E-3</v>
      </c>
      <c r="BY162" s="1">
        <f t="shared" ca="1" si="162"/>
        <v>7.2905320354326564E-2</v>
      </c>
      <c r="BZ162" s="1">
        <f t="shared" ca="1" si="163"/>
        <v>5.8431811997899485E-2</v>
      </c>
      <c r="CB162" s="1">
        <f t="shared" ca="1" si="164"/>
        <v>339</v>
      </c>
      <c r="CC162" s="1">
        <f t="shared" ca="1" si="165"/>
        <v>3</v>
      </c>
      <c r="CD162" s="1">
        <f t="shared" ca="1" si="166"/>
        <v>0.24451734290283494</v>
      </c>
      <c r="CE162" s="1">
        <f t="shared" ca="1" si="167"/>
        <v>0.79158332342036308</v>
      </c>
      <c r="CF162" s="1">
        <f t="shared" ca="1" si="167"/>
        <v>0.87496272894773552</v>
      </c>
      <c r="CH162" s="3">
        <f t="shared" ca="1" si="168"/>
        <v>0.38488723726715579</v>
      </c>
      <c r="CI162" s="3">
        <f t="shared" ca="1" si="169"/>
        <v>3.5879562820272964E-2</v>
      </c>
      <c r="CJ162" s="3">
        <f t="shared" ca="1" si="170"/>
        <v>727</v>
      </c>
      <c r="CK162" s="3">
        <f t="shared" ca="1" si="171"/>
        <v>3.3462371957708697E-3</v>
      </c>
      <c r="CL162" s="3">
        <f t="shared" ca="1" si="172"/>
        <v>1</v>
      </c>
      <c r="CM162" s="3"/>
      <c r="CN162" s="1">
        <f t="shared" ca="1" si="173"/>
        <v>3.6853929069086533</v>
      </c>
      <c r="CO162" s="1">
        <f t="shared" ca="1" si="174"/>
        <v>7.6572915120166465E-2</v>
      </c>
      <c r="CP162" s="1">
        <f t="shared" ca="1" si="175"/>
        <v>5</v>
      </c>
      <c r="DH162" s="1">
        <f t="shared" ca="1" si="176"/>
        <v>67</v>
      </c>
      <c r="DI162" s="1">
        <f t="shared" ca="1" si="177"/>
        <v>0.88749264141872053</v>
      </c>
      <c r="DJ162" s="1">
        <f t="shared" ca="1" si="178"/>
        <v>29</v>
      </c>
    </row>
    <row r="163" spans="2:114" x14ac:dyDescent="0.25">
      <c r="B163">
        <f t="shared" ca="1" si="120"/>
        <v>688</v>
      </c>
      <c r="C163">
        <f t="shared" ca="1" si="121"/>
        <v>13</v>
      </c>
      <c r="D163">
        <f t="shared" ca="1" si="122"/>
        <v>9.818761173516076E-2</v>
      </c>
      <c r="F163" s="1">
        <f t="shared" ca="1" si="123"/>
        <v>37</v>
      </c>
      <c r="G163" s="1">
        <f t="shared" ca="1" si="124"/>
        <v>18</v>
      </c>
      <c r="H163" s="1">
        <f t="shared" ca="1" si="125"/>
        <v>13</v>
      </c>
      <c r="I163" s="1"/>
      <c r="J163" s="1">
        <f t="shared" ca="1" si="126"/>
        <v>18</v>
      </c>
      <c r="K163" s="1">
        <f t="shared" ca="1" si="127"/>
        <v>2.7535014130436806</v>
      </c>
      <c r="L163" s="1">
        <f t="shared" ca="1" si="128"/>
        <v>20</v>
      </c>
      <c r="M163" s="1"/>
      <c r="N163" s="1">
        <f t="shared" ca="1" si="129"/>
        <v>345</v>
      </c>
      <c r="O163" s="1">
        <f t="shared" ca="1" si="130"/>
        <v>51</v>
      </c>
      <c r="P163" s="1"/>
      <c r="Q163" s="1">
        <f t="shared" ca="1" si="131"/>
        <v>0.62016577870055634</v>
      </c>
      <c r="R163" s="1">
        <f t="shared" ca="1" si="132"/>
        <v>1103</v>
      </c>
      <c r="S163" s="1"/>
      <c r="T163" s="1">
        <f t="shared" ca="1" si="133"/>
        <v>2.6933094008755286E-2</v>
      </c>
      <c r="U163" s="1">
        <f t="shared" ca="1" si="134"/>
        <v>387</v>
      </c>
      <c r="V163" s="1">
        <f t="shared" ca="1" si="135"/>
        <v>8</v>
      </c>
      <c r="W163" s="1"/>
      <c r="X163" s="1">
        <f t="shared" ca="1" si="136"/>
        <v>2.2138798711060876</v>
      </c>
      <c r="Y163" s="1">
        <f t="shared" ca="1" si="137"/>
        <v>0.29861154363695991</v>
      </c>
      <c r="Z163" s="1">
        <f t="shared" ca="1" si="138"/>
        <v>1013</v>
      </c>
      <c r="AB163" s="1">
        <f t="shared" ca="1" si="139"/>
        <v>0.47518541020585675</v>
      </c>
      <c r="AC163" s="1">
        <f t="shared" ca="1" si="140"/>
        <v>282</v>
      </c>
      <c r="AD163" s="1">
        <f t="shared" ca="1" si="141"/>
        <v>5.7298499795667918E-3</v>
      </c>
      <c r="AE163" s="1"/>
      <c r="AF163" s="1">
        <f t="shared" ca="1" si="142"/>
        <v>0.43302298766845704</v>
      </c>
      <c r="AG163" s="1">
        <f t="shared" ca="1" si="143"/>
        <v>765</v>
      </c>
      <c r="AH163" s="1">
        <f t="shared" ca="1" si="144"/>
        <v>7.997328948108496E-3</v>
      </c>
      <c r="AJ163" s="1">
        <f t="shared" ca="1" si="145"/>
        <v>0.66567727252626796</v>
      </c>
      <c r="AK163" s="1">
        <f t="shared" ca="1" si="146"/>
        <v>7.8070600237411527E-4</v>
      </c>
      <c r="AL163" s="1"/>
      <c r="AM163" s="1">
        <f t="shared" ca="1" si="147"/>
        <v>4.6946482192258152E-2</v>
      </c>
      <c r="AN163" s="1">
        <f t="shared" ca="1" si="148"/>
        <v>72</v>
      </c>
      <c r="AO163" s="1">
        <f t="shared" ca="1" si="149"/>
        <v>7</v>
      </c>
      <c r="AQ163" s="1">
        <f t="shared" ca="1" si="150"/>
        <v>118</v>
      </c>
      <c r="AR163" s="1">
        <f t="shared" ca="1" si="151"/>
        <v>0</v>
      </c>
      <c r="AS163" s="1">
        <f t="shared" ca="1" si="152"/>
        <v>1</v>
      </c>
      <c r="AU163" s="1">
        <f t="shared" ca="1" si="153"/>
        <v>350</v>
      </c>
      <c r="AV163" s="1">
        <f t="shared" ca="1" si="154"/>
        <v>7</v>
      </c>
      <c r="AW163" s="1">
        <f t="shared" ca="1" si="155"/>
        <v>0.18106290146986986</v>
      </c>
      <c r="AY163" s="1">
        <f t="shared" ca="1" si="156"/>
        <v>1.4627176835216085</v>
      </c>
      <c r="AZ163" s="1">
        <f t="shared" ca="1" si="157"/>
        <v>206</v>
      </c>
      <c r="BA163" s="1">
        <f t="shared" ca="1" si="158"/>
        <v>9.7314671955780439E-3</v>
      </c>
      <c r="BV163" s="1">
        <f t="shared" ca="1" si="159"/>
        <v>0.22939330090029314</v>
      </c>
      <c r="BW163" s="1">
        <f t="shared" ca="1" si="160"/>
        <v>934</v>
      </c>
      <c r="BX163" s="1">
        <f t="shared" ca="1" si="161"/>
        <v>3.293066919771877E-3</v>
      </c>
      <c r="BY163" s="1">
        <f t="shared" ca="1" si="162"/>
        <v>8.7378024458889966E-2</v>
      </c>
      <c r="BZ163" s="1">
        <f t="shared" ca="1" si="163"/>
        <v>0.74946475114150479</v>
      </c>
      <c r="CB163" s="1">
        <f t="shared" ca="1" si="164"/>
        <v>351</v>
      </c>
      <c r="CC163" s="1">
        <f t="shared" ca="1" si="165"/>
        <v>6</v>
      </c>
      <c r="CD163" s="1">
        <f t="shared" ca="1" si="166"/>
        <v>1.1628668491675861E-2</v>
      </c>
      <c r="CE163" s="1">
        <f t="shared" ca="1" si="167"/>
        <v>0.72468591387100245</v>
      </c>
      <c r="CF163" s="1">
        <f t="shared" ca="1" si="167"/>
        <v>0.58288559431853715</v>
      </c>
      <c r="CH163" s="3">
        <f t="shared" ca="1" si="168"/>
        <v>0.55294041765879065</v>
      </c>
      <c r="CI163" s="3">
        <f t="shared" ca="1" si="169"/>
        <v>8.427445605849844E-2</v>
      </c>
      <c r="CJ163" s="3">
        <f t="shared" ca="1" si="170"/>
        <v>1546</v>
      </c>
      <c r="CK163" s="3">
        <f t="shared" ca="1" si="171"/>
        <v>8.8768257979272257E-3</v>
      </c>
      <c r="CL163" s="3">
        <f t="shared" ca="1" si="172"/>
        <v>1</v>
      </c>
      <c r="CM163" s="3"/>
      <c r="CN163" s="1">
        <f t="shared" ca="1" si="173"/>
        <v>11.724087015851534</v>
      </c>
      <c r="CO163" s="1">
        <f t="shared" ca="1" si="174"/>
        <v>2.0123559989004749E-2</v>
      </c>
      <c r="CP163" s="1">
        <f t="shared" ca="1" si="175"/>
        <v>1</v>
      </c>
      <c r="DH163" s="1">
        <f t="shared" ca="1" si="176"/>
        <v>196</v>
      </c>
      <c r="DI163" s="1">
        <f t="shared" ca="1" si="177"/>
        <v>0.40780974489979771</v>
      </c>
      <c r="DJ163" s="1">
        <f t="shared" ca="1" si="178"/>
        <v>3</v>
      </c>
    </row>
    <row r="164" spans="2:114" x14ac:dyDescent="0.25">
      <c r="B164">
        <f t="shared" ca="1" si="120"/>
        <v>476</v>
      </c>
      <c r="C164">
        <f t="shared" ca="1" si="121"/>
        <v>48</v>
      </c>
      <c r="D164">
        <f t="shared" ca="1" si="122"/>
        <v>0.21324889178525602</v>
      </c>
      <c r="F164" s="1">
        <f t="shared" ca="1" si="123"/>
        <v>36</v>
      </c>
      <c r="G164" s="1">
        <f t="shared" ca="1" si="124"/>
        <v>24</v>
      </c>
      <c r="H164" s="1">
        <f t="shared" ca="1" si="125"/>
        <v>5</v>
      </c>
      <c r="I164" s="1"/>
      <c r="J164" s="1">
        <f t="shared" ca="1" si="126"/>
        <v>35</v>
      </c>
      <c r="K164" s="1">
        <f t="shared" ca="1" si="127"/>
        <v>1.5836603712901547</v>
      </c>
      <c r="L164" s="1">
        <f t="shared" ca="1" si="128"/>
        <v>23</v>
      </c>
      <c r="M164" s="1"/>
      <c r="N164" s="1">
        <f t="shared" ca="1" si="129"/>
        <v>34</v>
      </c>
      <c r="O164" s="1">
        <f t="shared" ca="1" si="130"/>
        <v>51</v>
      </c>
      <c r="P164" s="1"/>
      <c r="Q164" s="1">
        <f t="shared" ca="1" si="131"/>
        <v>4.7225013496411226</v>
      </c>
      <c r="R164" s="1">
        <f t="shared" ca="1" si="132"/>
        <v>1059</v>
      </c>
      <c r="S164" s="1"/>
      <c r="T164" s="1">
        <f t="shared" ca="1" si="133"/>
        <v>0.12769194992889193</v>
      </c>
      <c r="U164" s="1">
        <f t="shared" ca="1" si="134"/>
        <v>252</v>
      </c>
      <c r="V164" s="1">
        <f t="shared" ca="1" si="135"/>
        <v>49</v>
      </c>
      <c r="W164" s="1"/>
      <c r="X164" s="1">
        <f t="shared" ca="1" si="136"/>
        <v>4.2991732908492279</v>
      </c>
      <c r="Y164" s="1">
        <f t="shared" ca="1" si="137"/>
        <v>9.0351332850832564E-2</v>
      </c>
      <c r="Z164" s="1">
        <f t="shared" ca="1" si="138"/>
        <v>305</v>
      </c>
      <c r="AB164" s="1">
        <f t="shared" ca="1" si="139"/>
        <v>0.85755219222244439</v>
      </c>
      <c r="AC164" s="1">
        <f t="shared" ca="1" si="140"/>
        <v>374</v>
      </c>
      <c r="AD164" s="1">
        <f t="shared" ca="1" si="141"/>
        <v>1.0520985314086196E-3</v>
      </c>
      <c r="AE164" s="1"/>
      <c r="AF164" s="1">
        <f t="shared" ca="1" si="142"/>
        <v>0.60187204237577363</v>
      </c>
      <c r="AG164" s="1">
        <f t="shared" ca="1" si="143"/>
        <v>810</v>
      </c>
      <c r="AH164" s="1">
        <f t="shared" ca="1" si="144"/>
        <v>4.3209882088118146E-3</v>
      </c>
      <c r="AJ164" s="1">
        <f t="shared" ca="1" si="145"/>
        <v>5.3458171717280289E-2</v>
      </c>
      <c r="AK164" s="1">
        <f t="shared" ca="1" si="146"/>
        <v>3.5420369055518429E-3</v>
      </c>
      <c r="AL164" s="1"/>
      <c r="AM164" s="1">
        <f t="shared" ca="1" si="147"/>
        <v>6.4483272583421902E-2</v>
      </c>
      <c r="AN164" s="1">
        <f t="shared" ca="1" si="148"/>
        <v>57</v>
      </c>
      <c r="AO164" s="1">
        <f t="shared" ca="1" si="149"/>
        <v>19</v>
      </c>
      <c r="AQ164" s="1">
        <f t="shared" ca="1" si="150"/>
        <v>183</v>
      </c>
      <c r="AR164" s="1">
        <f t="shared" ca="1" si="151"/>
        <v>10</v>
      </c>
      <c r="AS164" s="1">
        <f t="shared" ca="1" si="152"/>
        <v>36</v>
      </c>
      <c r="AU164" s="1">
        <f t="shared" ca="1" si="153"/>
        <v>106</v>
      </c>
      <c r="AV164" s="1">
        <f t="shared" ca="1" si="154"/>
        <v>5</v>
      </c>
      <c r="AW164" s="1">
        <f t="shared" ca="1" si="155"/>
        <v>4.1652142669771845E-2</v>
      </c>
      <c r="AY164" s="1">
        <f t="shared" ca="1" si="156"/>
        <v>1.1723432787534378</v>
      </c>
      <c r="AZ164" s="1">
        <f t="shared" ca="1" si="157"/>
        <v>383</v>
      </c>
      <c r="BA164" s="1">
        <f t="shared" ca="1" si="158"/>
        <v>4.7594752778705477E-3</v>
      </c>
      <c r="BV164" s="1">
        <f t="shared" ca="1" si="159"/>
        <v>0.34534401874120796</v>
      </c>
      <c r="BW164" s="1">
        <f t="shared" ca="1" si="160"/>
        <v>177</v>
      </c>
      <c r="BX164" s="1">
        <f t="shared" ca="1" si="161"/>
        <v>8.1664216865237147E-3</v>
      </c>
      <c r="BY164" s="1">
        <f t="shared" ca="1" si="162"/>
        <v>6.5824391360184725E-2</v>
      </c>
      <c r="BZ164" s="1">
        <f t="shared" ca="1" si="163"/>
        <v>0.16231541180409426</v>
      </c>
      <c r="CB164" s="1">
        <f t="shared" ca="1" si="164"/>
        <v>337</v>
      </c>
      <c r="CC164" s="1">
        <f t="shared" ca="1" si="165"/>
        <v>6</v>
      </c>
      <c r="CD164" s="1">
        <f t="shared" ca="1" si="166"/>
        <v>0.11562837281726578</v>
      </c>
      <c r="CE164" s="1">
        <f t="shared" ref="CE164:CF202" ca="1" si="179">RAND()*(1-0.5)+0.5</f>
        <v>0.7541945375371748</v>
      </c>
      <c r="CF164" s="1">
        <f t="shared" ca="1" si="179"/>
        <v>0.56106706528106598</v>
      </c>
      <c r="CH164" s="3">
        <f t="shared" ca="1" si="168"/>
        <v>0.98477327804377823</v>
      </c>
      <c r="CI164" s="3">
        <f t="shared" ca="1" si="169"/>
        <v>0.69606555900215494</v>
      </c>
      <c r="CJ164" s="3">
        <f t="shared" ca="1" si="170"/>
        <v>401</v>
      </c>
      <c r="CK164" s="3">
        <f t="shared" ca="1" si="171"/>
        <v>1.7781228243168067E-4</v>
      </c>
      <c r="CL164" s="3">
        <f t="shared" ca="1" si="172"/>
        <v>1</v>
      </c>
      <c r="CM164" s="3"/>
      <c r="CN164" s="1">
        <f t="shared" ca="1" si="173"/>
        <v>0.35999263491734734</v>
      </c>
      <c r="CO164" s="1">
        <f t="shared" ca="1" si="174"/>
        <v>0.23442692834161674</v>
      </c>
      <c r="CP164" s="1">
        <f t="shared" ca="1" si="175"/>
        <v>5</v>
      </c>
      <c r="DH164" s="1">
        <f t="shared" ca="1" si="176"/>
        <v>218</v>
      </c>
      <c r="DI164" s="1">
        <f t="shared" ca="1" si="177"/>
        <v>0.36779566549789328</v>
      </c>
      <c r="DJ164" s="1">
        <f t="shared" ca="1" si="178"/>
        <v>25</v>
      </c>
    </row>
    <row r="165" spans="2:114" x14ac:dyDescent="0.25">
      <c r="B165">
        <f t="shared" ca="1" si="120"/>
        <v>578</v>
      </c>
      <c r="C165">
        <f t="shared" ca="1" si="121"/>
        <v>7</v>
      </c>
      <c r="D165">
        <f t="shared" ca="1" si="122"/>
        <v>5.5576218722421952E-2</v>
      </c>
      <c r="F165" s="1">
        <f t="shared" ca="1" si="123"/>
        <v>28</v>
      </c>
      <c r="G165" s="1">
        <f t="shared" ca="1" si="124"/>
        <v>6</v>
      </c>
      <c r="H165" s="1">
        <f t="shared" ca="1" si="125"/>
        <v>13</v>
      </c>
      <c r="I165" s="1"/>
      <c r="J165" s="1">
        <f t="shared" ca="1" si="126"/>
        <v>12</v>
      </c>
      <c r="K165" s="1">
        <f t="shared" ca="1" si="127"/>
        <v>1.0327971208154896</v>
      </c>
      <c r="L165" s="1">
        <f t="shared" ca="1" si="128"/>
        <v>6</v>
      </c>
      <c r="M165" s="1"/>
      <c r="N165" s="1">
        <f t="shared" ca="1" si="129"/>
        <v>872</v>
      </c>
      <c r="O165" s="1">
        <f t="shared" ca="1" si="130"/>
        <v>52</v>
      </c>
      <c r="P165" s="1"/>
      <c r="Q165" s="1">
        <f t="shared" ca="1" si="131"/>
        <v>1.24796149561894</v>
      </c>
      <c r="R165" s="1">
        <f t="shared" ca="1" si="132"/>
        <v>264</v>
      </c>
      <c r="S165" s="1"/>
      <c r="T165" s="1">
        <f t="shared" ca="1" si="133"/>
        <v>0.13404859514386913</v>
      </c>
      <c r="U165" s="1">
        <f t="shared" ca="1" si="134"/>
        <v>67</v>
      </c>
      <c r="V165" s="1">
        <f t="shared" ca="1" si="135"/>
        <v>25</v>
      </c>
      <c r="W165" s="1"/>
      <c r="X165" s="1">
        <f t="shared" ca="1" si="136"/>
        <v>3.1855424925851272</v>
      </c>
      <c r="Y165" s="1">
        <f t="shared" ca="1" si="137"/>
        <v>0.98369013621244639</v>
      </c>
      <c r="Z165" s="1">
        <f t="shared" ca="1" si="138"/>
        <v>124</v>
      </c>
      <c r="AB165" s="1">
        <f t="shared" ca="1" si="139"/>
        <v>0.67062601522839693</v>
      </c>
      <c r="AC165" s="1">
        <f t="shared" ca="1" si="140"/>
        <v>698</v>
      </c>
      <c r="AD165" s="1">
        <f t="shared" ca="1" si="141"/>
        <v>3.5903878797303966E-3</v>
      </c>
      <c r="AE165" s="1"/>
      <c r="AF165" s="1">
        <f t="shared" ca="1" si="142"/>
        <v>0.33946576942773465</v>
      </c>
      <c r="AG165" s="1">
        <f t="shared" ca="1" si="143"/>
        <v>585</v>
      </c>
      <c r="AH165" s="1">
        <f t="shared" ca="1" si="144"/>
        <v>9.1531620437627012E-3</v>
      </c>
      <c r="AJ165" s="1">
        <f t="shared" ca="1" si="145"/>
        <v>0.24222450218388347</v>
      </c>
      <c r="AK165" s="1">
        <f t="shared" ca="1" si="146"/>
        <v>6.5791622630320817E-3</v>
      </c>
      <c r="AL165" s="1"/>
      <c r="AM165" s="1">
        <f t="shared" ca="1" si="147"/>
        <v>3.2199612137627849E-2</v>
      </c>
      <c r="AN165" s="1">
        <f t="shared" ca="1" si="148"/>
        <v>30</v>
      </c>
      <c r="AO165" s="1">
        <f t="shared" ca="1" si="149"/>
        <v>-1</v>
      </c>
      <c r="AQ165" s="1">
        <f t="shared" ca="1" si="150"/>
        <v>121</v>
      </c>
      <c r="AR165" s="1">
        <f t="shared" ca="1" si="151"/>
        <v>9</v>
      </c>
      <c r="AS165" s="1">
        <f t="shared" ca="1" si="152"/>
        <v>10</v>
      </c>
      <c r="AU165" s="1">
        <f t="shared" ca="1" si="153"/>
        <v>381</v>
      </c>
      <c r="AV165" s="1">
        <f t="shared" ca="1" si="154"/>
        <v>5</v>
      </c>
      <c r="AW165" s="1">
        <f t="shared" ca="1" si="155"/>
        <v>9.0699563917814835E-2</v>
      </c>
      <c r="AY165" s="1">
        <f t="shared" ca="1" si="156"/>
        <v>1.4967270772012291</v>
      </c>
      <c r="AZ165" s="1">
        <f t="shared" ca="1" si="157"/>
        <v>235</v>
      </c>
      <c r="BA165" s="1">
        <f t="shared" ca="1" si="158"/>
        <v>3.6848497267521194E-3</v>
      </c>
      <c r="BV165" s="1">
        <f t="shared" ca="1" si="159"/>
        <v>0.86756195819591309</v>
      </c>
      <c r="BW165" s="1">
        <f t="shared" ca="1" si="160"/>
        <v>310</v>
      </c>
      <c r="BX165" s="1">
        <f t="shared" ca="1" si="161"/>
        <v>4.7970021668360925E-3</v>
      </c>
      <c r="BY165" s="1">
        <f t="shared" ca="1" si="162"/>
        <v>9.3040593633051307E-3</v>
      </c>
      <c r="BZ165" s="1">
        <f t="shared" ca="1" si="163"/>
        <v>0.40013196786442773</v>
      </c>
      <c r="CB165" s="1">
        <f t="shared" ca="1" si="164"/>
        <v>149</v>
      </c>
      <c r="CC165" s="1">
        <f t="shared" ca="1" si="165"/>
        <v>11</v>
      </c>
      <c r="CD165" s="1">
        <f t="shared" ca="1" si="166"/>
        <v>0.28899616686809421</v>
      </c>
      <c r="CE165" s="1">
        <f t="shared" ca="1" si="179"/>
        <v>0.7045409161198315</v>
      </c>
      <c r="CF165" s="1">
        <f t="shared" ca="1" si="179"/>
        <v>0.87297215273967199</v>
      </c>
      <c r="CH165" s="3">
        <f t="shared" ca="1" si="168"/>
        <v>0.24265738294333664</v>
      </c>
      <c r="CI165" s="3">
        <f t="shared" ca="1" si="169"/>
        <v>0.71560582951023122</v>
      </c>
      <c r="CJ165" s="3">
        <f t="shared" ca="1" si="170"/>
        <v>536</v>
      </c>
      <c r="CK165" s="3">
        <f t="shared" ca="1" si="171"/>
        <v>6.1856961202806154E-3</v>
      </c>
      <c r="CL165" s="3">
        <f t="shared" ca="1" si="172"/>
        <v>1</v>
      </c>
      <c r="CM165" s="3"/>
      <c r="CN165" s="1">
        <f t="shared" ca="1" si="173"/>
        <v>11.695784793073933</v>
      </c>
      <c r="CO165" s="1">
        <f t="shared" ca="1" si="174"/>
        <v>0.47510791025984817</v>
      </c>
      <c r="CP165" s="1">
        <f t="shared" ca="1" si="175"/>
        <v>2</v>
      </c>
      <c r="DH165" s="1">
        <f t="shared" ca="1" si="176"/>
        <v>521</v>
      </c>
      <c r="DI165" s="1">
        <f t="shared" ca="1" si="177"/>
        <v>0.47859495251744771</v>
      </c>
      <c r="DJ165" s="1">
        <f t="shared" ca="1" si="178"/>
        <v>2</v>
      </c>
    </row>
    <row r="166" spans="2:114" x14ac:dyDescent="0.25">
      <c r="B166">
        <f t="shared" ca="1" si="120"/>
        <v>627</v>
      </c>
      <c r="C166">
        <f t="shared" ca="1" si="121"/>
        <v>27</v>
      </c>
      <c r="D166">
        <f t="shared" ca="1" si="122"/>
        <v>0.29717402463953413</v>
      </c>
      <c r="F166" s="1">
        <f t="shared" ca="1" si="123"/>
        <v>10</v>
      </c>
      <c r="G166" s="1">
        <f t="shared" ca="1" si="124"/>
        <v>7</v>
      </c>
      <c r="H166" s="1">
        <f t="shared" ca="1" si="125"/>
        <v>14</v>
      </c>
      <c r="I166" s="1"/>
      <c r="J166" s="1">
        <f t="shared" ca="1" si="126"/>
        <v>6</v>
      </c>
      <c r="K166" s="1">
        <f t="shared" ca="1" si="127"/>
        <v>2.137050207788731</v>
      </c>
      <c r="L166" s="1">
        <f t="shared" ca="1" si="128"/>
        <v>9</v>
      </c>
      <c r="M166" s="1"/>
      <c r="N166" s="1">
        <f t="shared" ca="1" si="129"/>
        <v>676</v>
      </c>
      <c r="O166" s="1">
        <f t="shared" ca="1" si="130"/>
        <v>37</v>
      </c>
      <c r="P166" s="1"/>
      <c r="Q166" s="1">
        <f t="shared" ca="1" si="131"/>
        <v>1.4816703357448475</v>
      </c>
      <c r="R166" s="1">
        <f t="shared" ca="1" si="132"/>
        <v>507</v>
      </c>
      <c r="S166" s="1"/>
      <c r="T166" s="1">
        <f t="shared" ca="1" si="133"/>
        <v>8.9948721281379457E-2</v>
      </c>
      <c r="U166" s="1">
        <f t="shared" ca="1" si="134"/>
        <v>265</v>
      </c>
      <c r="V166" s="1">
        <f t="shared" ca="1" si="135"/>
        <v>52</v>
      </c>
      <c r="W166" s="1"/>
      <c r="X166" s="1">
        <f t="shared" ca="1" si="136"/>
        <v>5.3630679689262921</v>
      </c>
      <c r="Y166" s="1">
        <f t="shared" ca="1" si="137"/>
        <v>0.48854605844697374</v>
      </c>
      <c r="Z166" s="1">
        <f t="shared" ca="1" si="138"/>
        <v>681</v>
      </c>
      <c r="AB166" s="1">
        <f t="shared" ca="1" si="139"/>
        <v>0.87536270416388551</v>
      </c>
      <c r="AC166" s="1">
        <f t="shared" ca="1" si="140"/>
        <v>109</v>
      </c>
      <c r="AD166" s="1">
        <f t="shared" ca="1" si="141"/>
        <v>2.1078638103792405E-3</v>
      </c>
      <c r="AE166" s="1"/>
      <c r="AF166" s="1">
        <f t="shared" ca="1" si="142"/>
        <v>0.64257662548524574</v>
      </c>
      <c r="AG166" s="1">
        <f t="shared" ca="1" si="143"/>
        <v>708</v>
      </c>
      <c r="AH166" s="1">
        <f t="shared" ca="1" si="144"/>
        <v>3.080119073178685E-3</v>
      </c>
      <c r="AJ166" s="1">
        <f t="shared" ca="1" si="145"/>
        <v>4.6966016808526412E-2</v>
      </c>
      <c r="AK166" s="1">
        <f t="shared" ca="1" si="146"/>
        <v>9.1956559912153013E-3</v>
      </c>
      <c r="AL166" s="1"/>
      <c r="AM166" s="1">
        <f t="shared" ca="1" si="147"/>
        <v>0.14131961284847488</v>
      </c>
      <c r="AN166" s="1">
        <f t="shared" ca="1" si="148"/>
        <v>15</v>
      </c>
      <c r="AO166" s="1">
        <f t="shared" ca="1" si="149"/>
        <v>13</v>
      </c>
      <c r="AQ166" s="1">
        <f t="shared" ca="1" si="150"/>
        <v>165</v>
      </c>
      <c r="AR166" s="1">
        <f t="shared" ca="1" si="151"/>
        <v>5</v>
      </c>
      <c r="AS166" s="1">
        <f t="shared" ca="1" si="152"/>
        <v>83</v>
      </c>
      <c r="AU166" s="1">
        <f t="shared" ca="1" si="153"/>
        <v>122</v>
      </c>
      <c r="AV166" s="1">
        <f t="shared" ca="1" si="154"/>
        <v>8</v>
      </c>
      <c r="AW166" s="1">
        <f t="shared" ca="1" si="155"/>
        <v>6.2217544322651121E-2</v>
      </c>
      <c r="AY166" s="1">
        <f t="shared" ca="1" si="156"/>
        <v>1.947621681835574</v>
      </c>
      <c r="AZ166" s="1">
        <f t="shared" ca="1" si="157"/>
        <v>469</v>
      </c>
      <c r="BA166" s="1">
        <f t="shared" ca="1" si="158"/>
        <v>4.0333287140511907E-3</v>
      </c>
      <c r="BV166" s="1">
        <f t="shared" ca="1" si="159"/>
        <v>0.87303836183021111</v>
      </c>
      <c r="BW166" s="1">
        <f t="shared" ca="1" si="160"/>
        <v>872</v>
      </c>
      <c r="BX166" s="1">
        <f t="shared" ca="1" si="161"/>
        <v>5.4374246224371545E-3</v>
      </c>
      <c r="BY166" s="1">
        <f t="shared" ca="1" si="162"/>
        <v>4.4418822035091135E-2</v>
      </c>
      <c r="BZ166" s="1">
        <f t="shared" ca="1" si="163"/>
        <v>0.41049266088488667</v>
      </c>
      <c r="CB166" s="1">
        <f t="shared" ca="1" si="164"/>
        <v>233</v>
      </c>
      <c r="CC166" s="1">
        <f t="shared" ca="1" si="165"/>
        <v>5</v>
      </c>
      <c r="CD166" s="1">
        <f t="shared" ca="1" si="166"/>
        <v>0.14473948004657558</v>
      </c>
      <c r="CE166" s="1">
        <f t="shared" ca="1" si="179"/>
        <v>0.69484362396806665</v>
      </c>
      <c r="CF166" s="1">
        <f t="shared" ca="1" si="179"/>
        <v>0.52870047088214811</v>
      </c>
      <c r="CH166" s="3">
        <f t="shared" ca="1" si="168"/>
        <v>0.54904448043389509</v>
      </c>
      <c r="CI166" s="3">
        <f t="shared" ca="1" si="169"/>
        <v>7.1588919376209828E-2</v>
      </c>
      <c r="CJ166" s="3">
        <f t="shared" ca="1" si="170"/>
        <v>724</v>
      </c>
      <c r="CK166" s="3">
        <f t="shared" ca="1" si="171"/>
        <v>9.7468579399498621E-3</v>
      </c>
      <c r="CL166" s="3">
        <f t="shared" ca="1" si="172"/>
        <v>1</v>
      </c>
      <c r="CM166" s="3"/>
      <c r="CN166" s="1">
        <f t="shared" ca="1" si="173"/>
        <v>15.54525956436501</v>
      </c>
      <c r="CO166" s="1">
        <f t="shared" ca="1" si="174"/>
        <v>4.0133433677326143E-2</v>
      </c>
      <c r="CP166" s="1">
        <f t="shared" ca="1" si="175"/>
        <v>4</v>
      </c>
      <c r="DH166" s="1">
        <f t="shared" ca="1" si="176"/>
        <v>95</v>
      </c>
      <c r="DI166" s="1">
        <f t="shared" ca="1" si="177"/>
        <v>0.51353447910477223</v>
      </c>
      <c r="DJ166" s="1">
        <f t="shared" ca="1" si="178"/>
        <v>24</v>
      </c>
    </row>
    <row r="167" spans="2:114" x14ac:dyDescent="0.25">
      <c r="B167">
        <f t="shared" ca="1" si="120"/>
        <v>539</v>
      </c>
      <c r="C167">
        <f t="shared" ca="1" si="121"/>
        <v>47</v>
      </c>
      <c r="D167">
        <f t="shared" ca="1" si="122"/>
        <v>9.2928304003967802E-2</v>
      </c>
      <c r="F167" s="1">
        <f t="shared" ca="1" si="123"/>
        <v>34</v>
      </c>
      <c r="G167" s="1">
        <f t="shared" ca="1" si="124"/>
        <v>11</v>
      </c>
      <c r="H167" s="1">
        <f t="shared" ca="1" si="125"/>
        <v>4</v>
      </c>
      <c r="I167" s="1"/>
      <c r="J167" s="1">
        <f t="shared" ca="1" si="126"/>
        <v>9</v>
      </c>
      <c r="K167" s="1">
        <f t="shared" ca="1" si="127"/>
        <v>1.5913602459000222</v>
      </c>
      <c r="L167" s="1">
        <f t="shared" ca="1" si="128"/>
        <v>33</v>
      </c>
      <c r="M167" s="1"/>
      <c r="N167" s="1">
        <f t="shared" ca="1" si="129"/>
        <v>846</v>
      </c>
      <c r="O167" s="1">
        <f t="shared" ca="1" si="130"/>
        <v>8</v>
      </c>
      <c r="P167" s="1"/>
      <c r="Q167" s="1">
        <f t="shared" ca="1" si="131"/>
        <v>4.7494602477400347</v>
      </c>
      <c r="R167" s="1">
        <f t="shared" ca="1" si="132"/>
        <v>1198</v>
      </c>
      <c r="S167" s="1"/>
      <c r="T167" s="1">
        <f t="shared" ca="1" si="133"/>
        <v>7.4139413757612266E-2</v>
      </c>
      <c r="U167" s="1">
        <f t="shared" ca="1" si="134"/>
        <v>282</v>
      </c>
      <c r="V167" s="1">
        <f t="shared" ca="1" si="135"/>
        <v>6</v>
      </c>
      <c r="W167" s="1"/>
      <c r="X167" s="1">
        <f t="shared" ca="1" si="136"/>
        <v>8.5963594986270806</v>
      </c>
      <c r="Y167" s="1">
        <f t="shared" ca="1" si="137"/>
        <v>9.7053969904579665E-2</v>
      </c>
      <c r="Z167" s="1">
        <f t="shared" ca="1" si="138"/>
        <v>653</v>
      </c>
      <c r="AB167" s="1">
        <f t="shared" ca="1" si="139"/>
        <v>1.9166145282028188E-3</v>
      </c>
      <c r="AC167" s="1">
        <f t="shared" ca="1" si="140"/>
        <v>455</v>
      </c>
      <c r="AD167" s="1">
        <f t="shared" ca="1" si="141"/>
        <v>3.1407910233831699E-3</v>
      </c>
      <c r="AE167" s="1"/>
      <c r="AF167" s="1">
        <f t="shared" ca="1" si="142"/>
        <v>0.11857784016472239</v>
      </c>
      <c r="AG167" s="1">
        <f t="shared" ca="1" si="143"/>
        <v>456</v>
      </c>
      <c r="AH167" s="1">
        <f t="shared" ca="1" si="144"/>
        <v>2.003199356949615E-3</v>
      </c>
      <c r="AJ167" s="1">
        <f t="shared" ca="1" si="145"/>
        <v>0.79133163388159466</v>
      </c>
      <c r="AK167" s="1">
        <f t="shared" ca="1" si="146"/>
        <v>9.8906355588262874E-3</v>
      </c>
      <c r="AL167" s="1"/>
      <c r="AM167" s="1">
        <f t="shared" ca="1" si="147"/>
        <v>0.16252507996979232</v>
      </c>
      <c r="AN167" s="1">
        <f t="shared" ca="1" si="148"/>
        <v>18</v>
      </c>
      <c r="AO167" s="1">
        <f t="shared" ca="1" si="149"/>
        <v>14</v>
      </c>
      <c r="AQ167" s="1">
        <f t="shared" ca="1" si="150"/>
        <v>14</v>
      </c>
      <c r="AR167" s="1">
        <f t="shared" ca="1" si="151"/>
        <v>7</v>
      </c>
      <c r="AS167" s="1">
        <f t="shared" ca="1" si="152"/>
        <v>86</v>
      </c>
      <c r="AU167" s="1">
        <f t="shared" ca="1" si="153"/>
        <v>134</v>
      </c>
      <c r="AV167" s="1">
        <f t="shared" ca="1" si="154"/>
        <v>10</v>
      </c>
      <c r="AW167" s="1">
        <f t="shared" ca="1" si="155"/>
        <v>3.7986060942050565E-2</v>
      </c>
      <c r="AY167" s="1">
        <f t="shared" ca="1" si="156"/>
        <v>1.6730607246789977</v>
      </c>
      <c r="AZ167" s="1">
        <f t="shared" ca="1" si="157"/>
        <v>387</v>
      </c>
      <c r="BA167" s="1">
        <f t="shared" ca="1" si="158"/>
        <v>9.6987394534593253E-3</v>
      </c>
      <c r="BV167" s="1">
        <f t="shared" ca="1" si="159"/>
        <v>0.5976023107802908</v>
      </c>
      <c r="BW167" s="1">
        <f t="shared" ca="1" si="160"/>
        <v>534</v>
      </c>
      <c r="BX167" s="1">
        <f t="shared" ca="1" si="161"/>
        <v>8.5550639458529601E-3</v>
      </c>
      <c r="BY167" s="1">
        <f t="shared" ca="1" si="162"/>
        <v>2.2128122795447333E-2</v>
      </c>
      <c r="BZ167" s="1">
        <f t="shared" ca="1" si="163"/>
        <v>0.33939203747673774</v>
      </c>
      <c r="CB167" s="1">
        <f t="shared" ca="1" si="164"/>
        <v>375</v>
      </c>
      <c r="CC167" s="1">
        <f t="shared" ca="1" si="165"/>
        <v>11</v>
      </c>
      <c r="CD167" s="1">
        <f t="shared" ca="1" si="166"/>
        <v>0.16496405306187367</v>
      </c>
      <c r="CE167" s="1">
        <f t="shared" ca="1" si="179"/>
        <v>0.90304959687583297</v>
      </c>
      <c r="CF167" s="1">
        <f t="shared" ca="1" si="179"/>
        <v>0.6166789359419329</v>
      </c>
      <c r="CH167" s="3">
        <f t="shared" ca="1" si="168"/>
        <v>0.76222199844085614</v>
      </c>
      <c r="CI167" s="3">
        <f t="shared" ca="1" si="169"/>
        <v>0.64075022828056871</v>
      </c>
      <c r="CJ167" s="3">
        <f t="shared" ca="1" si="170"/>
        <v>689</v>
      </c>
      <c r="CK167" s="3">
        <f t="shared" ca="1" si="171"/>
        <v>2.8506183794280881E-4</v>
      </c>
      <c r="CL167" s="3">
        <f t="shared" ca="1" si="172"/>
        <v>0</v>
      </c>
      <c r="CM167" s="3"/>
      <c r="CN167" s="1">
        <f t="shared" ca="1" si="173"/>
        <v>16.218911094040777</v>
      </c>
      <c r="CO167" s="1">
        <f t="shared" ca="1" si="174"/>
        <v>0.23270053120431772</v>
      </c>
      <c r="CP167" s="1">
        <f t="shared" ca="1" si="175"/>
        <v>2</v>
      </c>
      <c r="DH167" s="1">
        <f t="shared" ca="1" si="176"/>
        <v>100</v>
      </c>
      <c r="DI167" s="1">
        <f t="shared" ca="1" si="177"/>
        <v>0.44029740547762819</v>
      </c>
      <c r="DJ167" s="1">
        <f t="shared" ca="1" si="178"/>
        <v>11</v>
      </c>
    </row>
    <row r="168" spans="2:114" x14ac:dyDescent="0.25">
      <c r="B168">
        <f t="shared" ca="1" si="120"/>
        <v>536</v>
      </c>
      <c r="C168">
        <f t="shared" ca="1" si="121"/>
        <v>25</v>
      </c>
      <c r="D168">
        <f t="shared" ca="1" si="122"/>
        <v>5.9598857233970036E-2</v>
      </c>
      <c r="F168" s="1">
        <f t="shared" ca="1" si="123"/>
        <v>24</v>
      </c>
      <c r="G168" s="1">
        <f t="shared" ca="1" si="124"/>
        <v>17</v>
      </c>
      <c r="H168" s="1">
        <f t="shared" ca="1" si="125"/>
        <v>12</v>
      </c>
      <c r="I168" s="1"/>
      <c r="J168" s="1">
        <f t="shared" ca="1" si="126"/>
        <v>17</v>
      </c>
      <c r="K168" s="1">
        <f t="shared" ca="1" si="127"/>
        <v>2.8947867029837697</v>
      </c>
      <c r="L168" s="1">
        <f t="shared" ca="1" si="128"/>
        <v>29</v>
      </c>
      <c r="M168" s="1"/>
      <c r="N168" s="1">
        <f t="shared" ca="1" si="129"/>
        <v>573</v>
      </c>
      <c r="O168" s="1">
        <f t="shared" ca="1" si="130"/>
        <v>49</v>
      </c>
      <c r="P168" s="1"/>
      <c r="Q168" s="1">
        <f t="shared" ca="1" si="131"/>
        <v>4.3324928782753949</v>
      </c>
      <c r="R168" s="1">
        <f t="shared" ca="1" si="132"/>
        <v>822</v>
      </c>
      <c r="S168" s="1"/>
      <c r="T168" s="1">
        <f t="shared" ca="1" si="133"/>
        <v>7.2720163993269651E-2</v>
      </c>
      <c r="U168" s="1">
        <f t="shared" ca="1" si="134"/>
        <v>382</v>
      </c>
      <c r="V168" s="1">
        <f t="shared" ca="1" si="135"/>
        <v>14</v>
      </c>
      <c r="W168" s="1"/>
      <c r="X168" s="1">
        <f t="shared" ca="1" si="136"/>
        <v>1.822025699151627</v>
      </c>
      <c r="Y168" s="1">
        <f t="shared" ca="1" si="137"/>
        <v>0.84965346465093761</v>
      </c>
      <c r="Z168" s="1">
        <f t="shared" ca="1" si="138"/>
        <v>470</v>
      </c>
      <c r="AB168" s="1">
        <f t="shared" ca="1" si="139"/>
        <v>0.40227050396333452</v>
      </c>
      <c r="AC168" s="1">
        <f t="shared" ca="1" si="140"/>
        <v>462</v>
      </c>
      <c r="AD168" s="1">
        <f t="shared" ca="1" si="141"/>
        <v>5.6495876423150425E-3</v>
      </c>
      <c r="AE168" s="1"/>
      <c r="AF168" s="1">
        <f t="shared" ca="1" si="142"/>
        <v>0.69901834665950402</v>
      </c>
      <c r="AG168" s="1">
        <f t="shared" ca="1" si="143"/>
        <v>142</v>
      </c>
      <c r="AH168" s="1">
        <f t="shared" ca="1" si="144"/>
        <v>5.6291929040089232E-3</v>
      </c>
      <c r="AJ168" s="1">
        <f t="shared" ca="1" si="145"/>
        <v>0.58828892160421675</v>
      </c>
      <c r="AK168" s="1">
        <f t="shared" ca="1" si="146"/>
        <v>3.0982324112253184E-3</v>
      </c>
      <c r="AL168" s="1"/>
      <c r="AM168" s="1">
        <f t="shared" ca="1" si="147"/>
        <v>6.8335314359272967E-2</v>
      </c>
      <c r="AN168" s="1">
        <f t="shared" ca="1" si="148"/>
        <v>25</v>
      </c>
      <c r="AO168" s="1">
        <f t="shared" ca="1" si="149"/>
        <v>0</v>
      </c>
      <c r="AQ168" s="1">
        <f t="shared" ca="1" si="150"/>
        <v>95</v>
      </c>
      <c r="AR168" s="1">
        <f t="shared" ca="1" si="151"/>
        <v>5</v>
      </c>
      <c r="AS168" s="1">
        <f t="shared" ca="1" si="152"/>
        <v>54</v>
      </c>
      <c r="AU168" s="1">
        <f t="shared" ca="1" si="153"/>
        <v>161</v>
      </c>
      <c r="AV168" s="1">
        <f t="shared" ca="1" si="154"/>
        <v>5</v>
      </c>
      <c r="AW168" s="1">
        <f t="shared" ca="1" si="155"/>
        <v>0.1657792894733667</v>
      </c>
      <c r="AY168" s="1">
        <f t="shared" ca="1" si="156"/>
        <v>1.6027882203688524</v>
      </c>
      <c r="AZ168" s="1">
        <f t="shared" ca="1" si="157"/>
        <v>265</v>
      </c>
      <c r="BA168" s="1">
        <f t="shared" ca="1" si="158"/>
        <v>8.0700288830828568E-3</v>
      </c>
      <c r="BV168" s="1">
        <f t="shared" ca="1" si="159"/>
        <v>0.47399943338690825</v>
      </c>
      <c r="BW168" s="1">
        <f t="shared" ca="1" si="160"/>
        <v>518</v>
      </c>
      <c r="BX168" s="1">
        <f t="shared" ca="1" si="161"/>
        <v>8.7661355664314586E-3</v>
      </c>
      <c r="BY168" s="1">
        <f t="shared" ca="1" si="162"/>
        <v>1.8267248511738499E-2</v>
      </c>
      <c r="BZ168" s="1">
        <f t="shared" ca="1" si="163"/>
        <v>0.5803622959814535</v>
      </c>
      <c r="CB168" s="1">
        <f t="shared" ca="1" si="164"/>
        <v>307</v>
      </c>
      <c r="CC168" s="1">
        <f t="shared" ca="1" si="165"/>
        <v>12</v>
      </c>
      <c r="CD168" s="1">
        <f t="shared" ca="1" si="166"/>
        <v>2.2327698079578431E-2</v>
      </c>
      <c r="CE168" s="1">
        <f t="shared" ca="1" si="179"/>
        <v>0.98521843525462671</v>
      </c>
      <c r="CF168" s="1">
        <f t="shared" ca="1" si="179"/>
        <v>0.91843312503271046</v>
      </c>
      <c r="CH168" s="3">
        <f t="shared" ca="1" si="168"/>
        <v>5.1944778210872957E-3</v>
      </c>
      <c r="CI168" s="3">
        <f t="shared" ca="1" si="169"/>
        <v>0.27918770390843134</v>
      </c>
      <c r="CJ168" s="3">
        <f t="shared" ca="1" si="170"/>
        <v>1667</v>
      </c>
      <c r="CK168" s="3">
        <f t="shared" ca="1" si="171"/>
        <v>9.2543441737817731E-3</v>
      </c>
      <c r="CL168" s="3">
        <f t="shared" ca="1" si="172"/>
        <v>0</v>
      </c>
      <c r="CM168" s="3"/>
      <c r="CN168" s="1">
        <f t="shared" ca="1" si="173"/>
        <v>10.207347035908157</v>
      </c>
      <c r="CO168" s="1">
        <f t="shared" ca="1" si="174"/>
        <v>5.7944339851891138E-2</v>
      </c>
      <c r="CP168" s="1">
        <f t="shared" ca="1" si="175"/>
        <v>2</v>
      </c>
      <c r="DH168" s="1">
        <f t="shared" ca="1" si="176"/>
        <v>31</v>
      </c>
      <c r="DI168" s="1">
        <f t="shared" ca="1" si="177"/>
        <v>0.38911363263780407</v>
      </c>
      <c r="DJ168" s="1">
        <f t="shared" ca="1" si="178"/>
        <v>4</v>
      </c>
    </row>
    <row r="169" spans="2:114" x14ac:dyDescent="0.25">
      <c r="B169">
        <f t="shared" ca="1" si="120"/>
        <v>94</v>
      </c>
      <c r="C169">
        <f t="shared" ca="1" si="121"/>
        <v>47</v>
      </c>
      <c r="D169">
        <f t="shared" ca="1" si="122"/>
        <v>0.22427400855753185</v>
      </c>
      <c r="F169" s="1">
        <f t="shared" ca="1" si="123"/>
        <v>21</v>
      </c>
      <c r="G169" s="1">
        <f t="shared" ca="1" si="124"/>
        <v>11</v>
      </c>
      <c r="H169" s="1">
        <f t="shared" ca="1" si="125"/>
        <v>7</v>
      </c>
      <c r="I169" s="1"/>
      <c r="J169" s="1">
        <f t="shared" ca="1" si="126"/>
        <v>29</v>
      </c>
      <c r="K169" s="1">
        <f t="shared" ca="1" si="127"/>
        <v>2.8958509043875207</v>
      </c>
      <c r="L169" s="1">
        <f t="shared" ca="1" si="128"/>
        <v>23</v>
      </c>
      <c r="M169" s="1"/>
      <c r="N169" s="1">
        <f t="shared" ca="1" si="129"/>
        <v>834</v>
      </c>
      <c r="O169" s="1">
        <f t="shared" ca="1" si="130"/>
        <v>30</v>
      </c>
      <c r="P169" s="1"/>
      <c r="Q169" s="1">
        <f t="shared" ca="1" si="131"/>
        <v>1.1544233109835618</v>
      </c>
      <c r="R169" s="1">
        <f t="shared" ca="1" si="132"/>
        <v>995</v>
      </c>
      <c r="S169" s="1"/>
      <c r="T169" s="1">
        <f t="shared" ca="1" si="133"/>
        <v>0.16755878217757553</v>
      </c>
      <c r="U169" s="1">
        <f t="shared" ca="1" si="134"/>
        <v>255</v>
      </c>
      <c r="V169" s="1">
        <f t="shared" ca="1" si="135"/>
        <v>37</v>
      </c>
      <c r="W169" s="1"/>
      <c r="X169" s="1">
        <f t="shared" ca="1" si="136"/>
        <v>2.9223582912132753</v>
      </c>
      <c r="Y169" s="1">
        <f t="shared" ca="1" si="137"/>
        <v>0.81685207810371097</v>
      </c>
      <c r="Z169" s="1">
        <f t="shared" ca="1" si="138"/>
        <v>1201</v>
      </c>
      <c r="AB169" s="1">
        <f t="shared" ca="1" si="139"/>
        <v>3.092028196198475E-2</v>
      </c>
      <c r="AC169" s="1">
        <f t="shared" ca="1" si="140"/>
        <v>137</v>
      </c>
      <c r="AD169" s="1">
        <f t="shared" ca="1" si="141"/>
        <v>7.2085241429787911E-3</v>
      </c>
      <c r="AE169" s="1"/>
      <c r="AF169" s="1">
        <f t="shared" ca="1" si="142"/>
        <v>0.51189698203344536</v>
      </c>
      <c r="AG169" s="1">
        <f t="shared" ca="1" si="143"/>
        <v>297</v>
      </c>
      <c r="AH169" s="1">
        <f t="shared" ca="1" si="144"/>
        <v>1.8857625303451188E-3</v>
      </c>
      <c r="AJ169" s="1">
        <f t="shared" ca="1" si="145"/>
        <v>0.11770068878108686</v>
      </c>
      <c r="AK169" s="1">
        <f t="shared" ca="1" si="146"/>
        <v>2.0926789752474364E-3</v>
      </c>
      <c r="AL169" s="1"/>
      <c r="AM169" s="1">
        <f t="shared" ca="1" si="147"/>
        <v>1.3264605094915515E-2</v>
      </c>
      <c r="AN169" s="1">
        <f t="shared" ca="1" si="148"/>
        <v>69</v>
      </c>
      <c r="AO169" s="1">
        <f t="shared" ca="1" si="149"/>
        <v>14</v>
      </c>
      <c r="AQ169" s="1">
        <f t="shared" ca="1" si="150"/>
        <v>114</v>
      </c>
      <c r="AR169" s="1">
        <f t="shared" ca="1" si="151"/>
        <v>7</v>
      </c>
      <c r="AS169" s="1">
        <f t="shared" ca="1" si="152"/>
        <v>24</v>
      </c>
      <c r="AU169" s="1">
        <f t="shared" ca="1" si="153"/>
        <v>372</v>
      </c>
      <c r="AV169" s="1">
        <f t="shared" ca="1" si="154"/>
        <v>7</v>
      </c>
      <c r="AW169" s="1">
        <f t="shared" ca="1" si="155"/>
        <v>8.4606680316170177E-2</v>
      </c>
      <c r="AY169" s="1">
        <f t="shared" ca="1" si="156"/>
        <v>1.2572840007767003</v>
      </c>
      <c r="AZ169" s="1">
        <f t="shared" ca="1" si="157"/>
        <v>195</v>
      </c>
      <c r="BA169" s="1">
        <f t="shared" ca="1" si="158"/>
        <v>3.6366321853302996E-4</v>
      </c>
      <c r="BV169" s="1">
        <f t="shared" ca="1" si="159"/>
        <v>0.57153916358136314</v>
      </c>
      <c r="BW169" s="1">
        <f t="shared" ca="1" si="160"/>
        <v>674</v>
      </c>
      <c r="BX169" s="1">
        <f t="shared" ca="1" si="161"/>
        <v>7.1379162035206667E-3</v>
      </c>
      <c r="BY169" s="1">
        <f t="shared" ca="1" si="162"/>
        <v>3.9337547372369067E-2</v>
      </c>
      <c r="BZ169" s="1">
        <f t="shared" ca="1" si="163"/>
        <v>0.95693053072206224</v>
      </c>
      <c r="CB169" s="1">
        <f t="shared" ca="1" si="164"/>
        <v>211</v>
      </c>
      <c r="CC169" s="1">
        <f t="shared" ca="1" si="165"/>
        <v>3</v>
      </c>
      <c r="CD169" s="1">
        <f t="shared" ca="1" si="166"/>
        <v>0.27275455826579514</v>
      </c>
      <c r="CE169" s="1">
        <f t="shared" ca="1" si="179"/>
        <v>0.67004401551414161</v>
      </c>
      <c r="CF169" s="1">
        <f t="shared" ca="1" si="179"/>
        <v>0.70325658081868347</v>
      </c>
      <c r="CH169" s="3">
        <f t="shared" ca="1" si="168"/>
        <v>0.34134997888699598</v>
      </c>
      <c r="CI169" s="3">
        <f t="shared" ca="1" si="169"/>
        <v>3.1562712437843109E-2</v>
      </c>
      <c r="CJ169" s="3">
        <f t="shared" ca="1" si="170"/>
        <v>1484</v>
      </c>
      <c r="CK169" s="3">
        <f t="shared" ca="1" si="171"/>
        <v>5.6552558683456945E-3</v>
      </c>
      <c r="CL169" s="3">
        <f t="shared" ca="1" si="172"/>
        <v>0</v>
      </c>
      <c r="CM169" s="3"/>
      <c r="CN169" s="1">
        <f t="shared" ca="1" si="173"/>
        <v>0.20514410419922369</v>
      </c>
      <c r="CO169" s="1">
        <f t="shared" ca="1" si="174"/>
        <v>0.36699416816609387</v>
      </c>
      <c r="CP169" s="1">
        <f t="shared" ca="1" si="175"/>
        <v>2</v>
      </c>
      <c r="DH169" s="1">
        <f t="shared" ca="1" si="176"/>
        <v>737</v>
      </c>
      <c r="DI169" s="1">
        <f t="shared" ca="1" si="177"/>
        <v>0.49119542941627214</v>
      </c>
      <c r="DJ169" s="1">
        <f t="shared" ca="1" si="178"/>
        <v>25</v>
      </c>
    </row>
    <row r="170" spans="2:114" x14ac:dyDescent="0.25">
      <c r="B170">
        <f t="shared" ca="1" si="120"/>
        <v>236</v>
      </c>
      <c r="C170">
        <f t="shared" ca="1" si="121"/>
        <v>21</v>
      </c>
      <c r="D170">
        <f t="shared" ca="1" si="122"/>
        <v>0.18901315026226476</v>
      </c>
      <c r="F170" s="1">
        <f t="shared" ca="1" si="123"/>
        <v>14</v>
      </c>
      <c r="G170" s="1">
        <f t="shared" ca="1" si="124"/>
        <v>28</v>
      </c>
      <c r="H170" s="1">
        <f t="shared" ca="1" si="125"/>
        <v>13</v>
      </c>
      <c r="I170" s="1"/>
      <c r="J170" s="1">
        <f t="shared" ca="1" si="126"/>
        <v>18</v>
      </c>
      <c r="K170" s="1">
        <f t="shared" ca="1" si="127"/>
        <v>2.840050576260353</v>
      </c>
      <c r="L170" s="1">
        <f t="shared" ca="1" si="128"/>
        <v>27</v>
      </c>
      <c r="M170" s="1"/>
      <c r="N170" s="1">
        <f t="shared" ca="1" si="129"/>
        <v>662</v>
      </c>
      <c r="O170" s="1">
        <f t="shared" ca="1" si="130"/>
        <v>36</v>
      </c>
      <c r="P170" s="1"/>
      <c r="Q170" s="1">
        <f t="shared" ca="1" si="131"/>
        <v>1.3204814858227536</v>
      </c>
      <c r="R170" s="1">
        <f t="shared" ca="1" si="132"/>
        <v>241</v>
      </c>
      <c r="S170" s="1"/>
      <c r="T170" s="1">
        <f t="shared" ca="1" si="133"/>
        <v>0.10984762984005436</v>
      </c>
      <c r="U170" s="1">
        <f t="shared" ca="1" si="134"/>
        <v>51</v>
      </c>
      <c r="V170" s="1">
        <f t="shared" ca="1" si="135"/>
        <v>14</v>
      </c>
      <c r="W170" s="1"/>
      <c r="X170" s="1">
        <f t="shared" ca="1" si="136"/>
        <v>7.1901739481568496</v>
      </c>
      <c r="Y170" s="1">
        <f t="shared" ca="1" si="137"/>
        <v>0.17220463717598092</v>
      </c>
      <c r="Z170" s="1">
        <f t="shared" ca="1" si="138"/>
        <v>282</v>
      </c>
      <c r="AB170" s="1">
        <f t="shared" ca="1" si="139"/>
        <v>0.92376943132376699</v>
      </c>
      <c r="AC170" s="1">
        <f t="shared" ca="1" si="140"/>
        <v>857</v>
      </c>
      <c r="AD170" s="1">
        <f t="shared" ca="1" si="141"/>
        <v>4.9644442590800432E-3</v>
      </c>
      <c r="AE170" s="1"/>
      <c r="AF170" s="1">
        <f t="shared" ca="1" si="142"/>
        <v>0.45917606622242946</v>
      </c>
      <c r="AG170" s="1">
        <f t="shared" ca="1" si="143"/>
        <v>905</v>
      </c>
      <c r="AH170" s="1">
        <f t="shared" ca="1" si="144"/>
        <v>7.4423868854056729E-3</v>
      </c>
      <c r="AJ170" s="1">
        <f t="shared" ca="1" si="145"/>
        <v>0.78104824783354698</v>
      </c>
      <c r="AK170" s="1">
        <f t="shared" ca="1" si="146"/>
        <v>2.8796199839807054E-3</v>
      </c>
      <c r="AL170" s="1"/>
      <c r="AM170" s="1">
        <f t="shared" ca="1" si="147"/>
        <v>4.0109516190891079E-2</v>
      </c>
      <c r="AN170" s="1">
        <f t="shared" ca="1" si="148"/>
        <v>45</v>
      </c>
      <c r="AO170" s="1">
        <f t="shared" ca="1" si="149"/>
        <v>11</v>
      </c>
      <c r="AQ170" s="1">
        <f t="shared" ca="1" si="150"/>
        <v>65</v>
      </c>
      <c r="AR170" s="1">
        <f t="shared" ca="1" si="151"/>
        <v>8</v>
      </c>
      <c r="AS170" s="1">
        <f t="shared" ca="1" si="152"/>
        <v>7</v>
      </c>
      <c r="AU170" s="1">
        <f t="shared" ca="1" si="153"/>
        <v>205</v>
      </c>
      <c r="AV170" s="1">
        <f t="shared" ca="1" si="154"/>
        <v>8</v>
      </c>
      <c r="AW170" s="1">
        <f t="shared" ca="1" si="155"/>
        <v>0.17209855050333761</v>
      </c>
      <c r="AY170" s="1">
        <f t="shared" ca="1" si="156"/>
        <v>1.9771714246242682</v>
      </c>
      <c r="AZ170" s="1">
        <f t="shared" ca="1" si="157"/>
        <v>459</v>
      </c>
      <c r="BA170" s="1">
        <f t="shared" ca="1" si="158"/>
        <v>1.1836733177567824E-3</v>
      </c>
      <c r="BV170" s="1">
        <f t="shared" ca="1" si="159"/>
        <v>0.23224572153033043</v>
      </c>
      <c r="BW170" s="1">
        <f t="shared" ca="1" si="160"/>
        <v>110</v>
      </c>
      <c r="BX170" s="1">
        <f t="shared" ca="1" si="161"/>
        <v>5.6250643078176038E-3</v>
      </c>
      <c r="BY170" s="1">
        <f t="shared" ca="1" si="162"/>
        <v>9.1100363151278438E-2</v>
      </c>
      <c r="BZ170" s="1">
        <f t="shared" ca="1" si="163"/>
        <v>0.90713371591782976</v>
      </c>
      <c r="CB170" s="1">
        <f t="shared" ca="1" si="164"/>
        <v>458</v>
      </c>
      <c r="CC170" s="1">
        <f t="shared" ca="1" si="165"/>
        <v>10</v>
      </c>
      <c r="CD170" s="1">
        <f t="shared" ca="1" si="166"/>
        <v>0.16759932729089852</v>
      </c>
      <c r="CE170" s="1">
        <f t="shared" ca="1" si="179"/>
        <v>0.64853627639534706</v>
      </c>
      <c r="CF170" s="1">
        <f t="shared" ca="1" si="179"/>
        <v>0.51364823487386979</v>
      </c>
      <c r="CH170" s="3">
        <f t="shared" ca="1" si="168"/>
        <v>0.60074137602939026</v>
      </c>
      <c r="CI170" s="3">
        <f t="shared" ca="1" si="169"/>
        <v>0.56107687674935447</v>
      </c>
      <c r="CJ170" s="3">
        <f t="shared" ca="1" si="170"/>
        <v>1030</v>
      </c>
      <c r="CK170" s="3">
        <f t="shared" ca="1" si="171"/>
        <v>4.7227885654359059E-3</v>
      </c>
      <c r="CL170" s="3">
        <f t="shared" ca="1" si="172"/>
        <v>1</v>
      </c>
      <c r="CM170" s="3"/>
      <c r="CN170" s="1">
        <f t="shared" ca="1" si="173"/>
        <v>8.7932929346038708</v>
      </c>
      <c r="CO170" s="1">
        <f t="shared" ca="1" si="174"/>
        <v>0.39930530535901271</v>
      </c>
      <c r="CP170" s="1">
        <f t="shared" ca="1" si="175"/>
        <v>4</v>
      </c>
      <c r="DH170" s="1">
        <f t="shared" ca="1" si="176"/>
        <v>248</v>
      </c>
      <c r="DI170" s="1">
        <f t="shared" ca="1" si="177"/>
        <v>0.92778406320051598</v>
      </c>
      <c r="DJ170" s="1">
        <f t="shared" ca="1" si="178"/>
        <v>19</v>
      </c>
    </row>
    <row r="171" spans="2:114" x14ac:dyDescent="0.25">
      <c r="B171">
        <f t="shared" ca="1" si="120"/>
        <v>851</v>
      </c>
      <c r="C171">
        <f t="shared" ca="1" si="121"/>
        <v>35</v>
      </c>
      <c r="D171">
        <f t="shared" ca="1" si="122"/>
        <v>5.5825097732765824E-2</v>
      </c>
      <c r="F171" s="1">
        <f t="shared" ca="1" si="123"/>
        <v>19</v>
      </c>
      <c r="G171" s="1">
        <f t="shared" ca="1" si="124"/>
        <v>24</v>
      </c>
      <c r="H171" s="1">
        <f t="shared" ca="1" si="125"/>
        <v>8</v>
      </c>
      <c r="I171" s="1"/>
      <c r="J171" s="1">
        <f t="shared" ca="1" si="126"/>
        <v>30</v>
      </c>
      <c r="K171" s="1">
        <f t="shared" ca="1" si="127"/>
        <v>1.5169173914620329</v>
      </c>
      <c r="L171" s="1">
        <f t="shared" ca="1" si="128"/>
        <v>9</v>
      </c>
      <c r="M171" s="1"/>
      <c r="N171" s="1">
        <f t="shared" ca="1" si="129"/>
        <v>600</v>
      </c>
      <c r="O171" s="1">
        <f t="shared" ca="1" si="130"/>
        <v>21</v>
      </c>
      <c r="P171" s="1"/>
      <c r="Q171" s="1">
        <f t="shared" ca="1" si="131"/>
        <v>3.6675521154919153</v>
      </c>
      <c r="R171" s="1">
        <f t="shared" ca="1" si="132"/>
        <v>813</v>
      </c>
      <c r="S171" s="1"/>
      <c r="T171" s="1">
        <f t="shared" ca="1" si="133"/>
        <v>0.15552091578484151</v>
      </c>
      <c r="U171" s="1">
        <f t="shared" ca="1" si="134"/>
        <v>257</v>
      </c>
      <c r="V171" s="1">
        <f t="shared" ca="1" si="135"/>
        <v>5</v>
      </c>
      <c r="W171" s="1"/>
      <c r="X171" s="1">
        <f t="shared" ca="1" si="136"/>
        <v>2.3923256236674724</v>
      </c>
      <c r="Y171" s="1">
        <f t="shared" ca="1" si="137"/>
        <v>0.63356220749223213</v>
      </c>
      <c r="Z171" s="1">
        <f t="shared" ca="1" si="138"/>
        <v>203</v>
      </c>
      <c r="AB171" s="1">
        <f t="shared" ca="1" si="139"/>
        <v>0.91372941214006653</v>
      </c>
      <c r="AC171" s="1">
        <f t="shared" ca="1" si="140"/>
        <v>372</v>
      </c>
      <c r="AD171" s="1">
        <f t="shared" ca="1" si="141"/>
        <v>9.7310366527457743E-3</v>
      </c>
      <c r="AE171" s="1"/>
      <c r="AF171" s="1">
        <f t="shared" ca="1" si="142"/>
        <v>0.27655340477514817</v>
      </c>
      <c r="AG171" s="1">
        <f t="shared" ca="1" si="143"/>
        <v>977</v>
      </c>
      <c r="AH171" s="1">
        <f t="shared" ca="1" si="144"/>
        <v>4.8312380227537154E-3</v>
      </c>
      <c r="AJ171" s="1">
        <f t="shared" ca="1" si="145"/>
        <v>0.69480857229468085</v>
      </c>
      <c r="AK171" s="1">
        <f t="shared" ca="1" si="146"/>
        <v>5.479075031306414E-3</v>
      </c>
      <c r="AL171" s="1"/>
      <c r="AM171" s="1">
        <f t="shared" ca="1" si="147"/>
        <v>0.19039335854569148</v>
      </c>
      <c r="AN171" s="1">
        <f t="shared" ca="1" si="148"/>
        <v>46</v>
      </c>
      <c r="AO171" s="1">
        <f t="shared" ca="1" si="149"/>
        <v>5</v>
      </c>
      <c r="AQ171" s="1">
        <f t="shared" ca="1" si="150"/>
        <v>164</v>
      </c>
      <c r="AR171" s="1">
        <f t="shared" ca="1" si="151"/>
        <v>3</v>
      </c>
      <c r="AS171" s="1">
        <f t="shared" ca="1" si="152"/>
        <v>53</v>
      </c>
      <c r="AU171" s="1">
        <f t="shared" ca="1" si="153"/>
        <v>264</v>
      </c>
      <c r="AV171" s="1">
        <f t="shared" ca="1" si="154"/>
        <v>5</v>
      </c>
      <c r="AW171" s="1">
        <f t="shared" ca="1" si="155"/>
        <v>0.14095292258766237</v>
      </c>
      <c r="AY171" s="1">
        <f t="shared" ca="1" si="156"/>
        <v>1.6871206720496885</v>
      </c>
      <c r="AZ171" s="1">
        <f t="shared" ca="1" si="157"/>
        <v>459</v>
      </c>
      <c r="BA171" s="1">
        <f t="shared" ca="1" si="158"/>
        <v>3.9266351300014501E-3</v>
      </c>
      <c r="BV171" s="1">
        <f t="shared" ca="1" si="159"/>
        <v>0.74732722759732562</v>
      </c>
      <c r="BW171" s="1">
        <f t="shared" ca="1" si="160"/>
        <v>558</v>
      </c>
      <c r="BX171" s="1">
        <f t="shared" ca="1" si="161"/>
        <v>8.0563858555873216E-4</v>
      </c>
      <c r="BY171" s="1">
        <f t="shared" ca="1" si="162"/>
        <v>3.7650991919908901E-2</v>
      </c>
      <c r="BZ171" s="1">
        <f t="shared" ca="1" si="163"/>
        <v>0.61430222896975417</v>
      </c>
      <c r="CB171" s="1">
        <f t="shared" ca="1" si="164"/>
        <v>196</v>
      </c>
      <c r="CC171" s="1">
        <f t="shared" ca="1" si="165"/>
        <v>12</v>
      </c>
      <c r="CD171" s="1">
        <f t="shared" ca="1" si="166"/>
        <v>0.20919085413256991</v>
      </c>
      <c r="CE171" s="1">
        <f t="shared" ca="1" si="179"/>
        <v>0.9176615668387893</v>
      </c>
      <c r="CF171" s="1">
        <f t="shared" ca="1" si="179"/>
        <v>0.66937506101091215</v>
      </c>
      <c r="CH171" s="3">
        <f t="shared" ca="1" si="168"/>
        <v>0.26762836661347</v>
      </c>
      <c r="CI171" s="3">
        <f t="shared" ca="1" si="169"/>
        <v>0.2058205969230463</v>
      </c>
      <c r="CJ171" s="3">
        <f t="shared" ca="1" si="170"/>
        <v>1339</v>
      </c>
      <c r="CK171" s="3">
        <f t="shared" ca="1" si="171"/>
        <v>1.7402793713790742E-3</v>
      </c>
      <c r="CL171" s="3">
        <f t="shared" ca="1" si="172"/>
        <v>0</v>
      </c>
      <c r="CM171" s="3"/>
      <c r="CN171" s="1">
        <f t="shared" ca="1" si="173"/>
        <v>3.606574174859746</v>
      </c>
      <c r="CO171" s="1">
        <f t="shared" ca="1" si="174"/>
        <v>0.29388160215651771</v>
      </c>
      <c r="CP171" s="1">
        <f t="shared" ca="1" si="175"/>
        <v>3</v>
      </c>
      <c r="DH171" s="1">
        <f t="shared" ca="1" si="176"/>
        <v>78</v>
      </c>
      <c r="DI171" s="1">
        <f t="shared" ca="1" si="177"/>
        <v>0.58842613720224601</v>
      </c>
      <c r="DJ171" s="1">
        <f t="shared" ca="1" si="178"/>
        <v>23</v>
      </c>
    </row>
    <row r="172" spans="2:114" x14ac:dyDescent="0.25">
      <c r="B172">
        <f t="shared" ca="1" si="120"/>
        <v>634</v>
      </c>
      <c r="C172">
        <f t="shared" ca="1" si="121"/>
        <v>3</v>
      </c>
      <c r="D172">
        <f t="shared" ca="1" si="122"/>
        <v>3.9730970073148401E-2</v>
      </c>
      <c r="F172" s="1">
        <f t="shared" ca="1" si="123"/>
        <v>29</v>
      </c>
      <c r="G172" s="1">
        <f t="shared" ca="1" si="124"/>
        <v>18</v>
      </c>
      <c r="H172" s="1">
        <f t="shared" ca="1" si="125"/>
        <v>8</v>
      </c>
      <c r="I172" s="1"/>
      <c r="J172" s="1">
        <f t="shared" ca="1" si="126"/>
        <v>18</v>
      </c>
      <c r="K172" s="1">
        <f t="shared" ca="1" si="127"/>
        <v>2.5474530459010554</v>
      </c>
      <c r="L172" s="1">
        <f t="shared" ca="1" si="128"/>
        <v>22</v>
      </c>
      <c r="M172" s="1"/>
      <c r="N172" s="1">
        <f t="shared" ca="1" si="129"/>
        <v>931</v>
      </c>
      <c r="O172" s="1">
        <f t="shared" ca="1" si="130"/>
        <v>2</v>
      </c>
      <c r="P172" s="1"/>
      <c r="Q172" s="1">
        <f t="shared" ca="1" si="131"/>
        <v>1.8617856058367188</v>
      </c>
      <c r="R172" s="1">
        <f t="shared" ca="1" si="132"/>
        <v>267</v>
      </c>
      <c r="S172" s="1"/>
      <c r="T172" s="1">
        <f t="shared" ca="1" si="133"/>
        <v>0.16380878310982452</v>
      </c>
      <c r="U172" s="1">
        <f t="shared" ca="1" si="134"/>
        <v>201</v>
      </c>
      <c r="V172" s="1">
        <f t="shared" ca="1" si="135"/>
        <v>47</v>
      </c>
      <c r="W172" s="1"/>
      <c r="X172" s="1">
        <f t="shared" ca="1" si="136"/>
        <v>9.3945039155121393</v>
      </c>
      <c r="Y172" s="1">
        <f t="shared" ca="1" si="137"/>
        <v>0.31636296951374382</v>
      </c>
      <c r="Z172" s="1">
        <f t="shared" ca="1" si="138"/>
        <v>180</v>
      </c>
      <c r="AB172" s="1">
        <f t="shared" ca="1" si="139"/>
        <v>0.25711469860347036</v>
      </c>
      <c r="AC172" s="1">
        <f t="shared" ca="1" si="140"/>
        <v>389</v>
      </c>
      <c r="AD172" s="1">
        <f t="shared" ca="1" si="141"/>
        <v>6.6788685737169482E-3</v>
      </c>
      <c r="AE172" s="1"/>
      <c r="AF172" s="1">
        <f t="shared" ca="1" si="142"/>
        <v>0.28301370166357454</v>
      </c>
      <c r="AG172" s="1">
        <f t="shared" ca="1" si="143"/>
        <v>149</v>
      </c>
      <c r="AH172" s="1">
        <f t="shared" ca="1" si="144"/>
        <v>5.665681192061468E-3</v>
      </c>
      <c r="AJ172" s="1">
        <f t="shared" ca="1" si="145"/>
        <v>0.40062619754272732</v>
      </c>
      <c r="AK172" s="1">
        <f t="shared" ca="1" si="146"/>
        <v>5.6811794007120657E-3</v>
      </c>
      <c r="AL172" s="1"/>
      <c r="AM172" s="1">
        <f t="shared" ca="1" si="147"/>
        <v>0.15926621323504642</v>
      </c>
      <c r="AN172" s="1">
        <f t="shared" ca="1" si="148"/>
        <v>32</v>
      </c>
      <c r="AO172" s="1">
        <f t="shared" ca="1" si="149"/>
        <v>3</v>
      </c>
      <c r="AQ172" s="1">
        <f t="shared" ca="1" si="150"/>
        <v>162</v>
      </c>
      <c r="AR172" s="1">
        <f t="shared" ca="1" si="151"/>
        <v>9</v>
      </c>
      <c r="AS172" s="1">
        <f t="shared" ca="1" si="152"/>
        <v>50</v>
      </c>
      <c r="AU172" s="1">
        <f t="shared" ca="1" si="153"/>
        <v>279</v>
      </c>
      <c r="AV172" s="1">
        <f t="shared" ca="1" si="154"/>
        <v>3</v>
      </c>
      <c r="AW172" s="1">
        <f t="shared" ca="1" si="155"/>
        <v>8.3734695651422358E-2</v>
      </c>
      <c r="AY172" s="1">
        <f t="shared" ca="1" si="156"/>
        <v>1.9032576571958115</v>
      </c>
      <c r="AZ172" s="1">
        <f t="shared" ca="1" si="157"/>
        <v>339</v>
      </c>
      <c r="BA172" s="1">
        <f t="shared" ca="1" si="158"/>
        <v>3.5017386128485799E-3</v>
      </c>
      <c r="BV172" s="1">
        <f t="shared" ca="1" si="159"/>
        <v>0.71292385639430123</v>
      </c>
      <c r="BW172" s="1">
        <f t="shared" ca="1" si="160"/>
        <v>135</v>
      </c>
      <c r="BX172" s="1">
        <f t="shared" ca="1" si="161"/>
        <v>2.1548375966806087E-3</v>
      </c>
      <c r="BY172" s="1">
        <f t="shared" ca="1" si="162"/>
        <v>5.9551973911491467E-2</v>
      </c>
      <c r="BZ172" s="1">
        <f t="shared" ca="1" si="163"/>
        <v>0.40352083392336491</v>
      </c>
      <c r="CB172" s="1">
        <f t="shared" ca="1" si="164"/>
        <v>194</v>
      </c>
      <c r="CC172" s="1">
        <f t="shared" ca="1" si="165"/>
        <v>11</v>
      </c>
      <c r="CD172" s="1">
        <f t="shared" ca="1" si="166"/>
        <v>2.6214214703929976E-2</v>
      </c>
      <c r="CE172" s="1">
        <f t="shared" ca="1" si="179"/>
        <v>0.84847220377865296</v>
      </c>
      <c r="CF172" s="1">
        <f t="shared" ca="1" si="179"/>
        <v>0.83584490048191096</v>
      </c>
      <c r="CH172" s="3">
        <f t="shared" ca="1" si="168"/>
        <v>0.46500315365010575</v>
      </c>
      <c r="CI172" s="3">
        <f t="shared" ca="1" si="169"/>
        <v>0.55134756826677422</v>
      </c>
      <c r="CJ172" s="3">
        <f t="shared" ca="1" si="170"/>
        <v>578</v>
      </c>
      <c r="CK172" s="3">
        <f t="shared" ca="1" si="171"/>
        <v>8.2987017364183173E-3</v>
      </c>
      <c r="CL172" s="3">
        <f t="shared" ca="1" si="172"/>
        <v>1</v>
      </c>
      <c r="CM172" s="3"/>
      <c r="CN172" s="1">
        <f t="shared" ca="1" si="173"/>
        <v>18.257620077095304</v>
      </c>
      <c r="CO172" s="1">
        <f t="shared" ca="1" si="174"/>
        <v>0.43135929735554884</v>
      </c>
      <c r="CP172" s="1">
        <f t="shared" ca="1" si="175"/>
        <v>5</v>
      </c>
      <c r="DH172" s="1">
        <f t="shared" ca="1" si="176"/>
        <v>751</v>
      </c>
      <c r="DI172" s="1">
        <f t="shared" ca="1" si="177"/>
        <v>1.9282646285331471E-2</v>
      </c>
      <c r="DJ172" s="1">
        <f t="shared" ca="1" si="178"/>
        <v>30</v>
      </c>
    </row>
    <row r="173" spans="2:114" x14ac:dyDescent="0.25">
      <c r="B173">
        <f t="shared" ca="1" si="120"/>
        <v>131</v>
      </c>
      <c r="C173">
        <f t="shared" ca="1" si="121"/>
        <v>47</v>
      </c>
      <c r="D173">
        <f t="shared" ca="1" si="122"/>
        <v>1.4252041049195762E-2</v>
      </c>
      <c r="F173" s="1">
        <f t="shared" ca="1" si="123"/>
        <v>50</v>
      </c>
      <c r="G173" s="1">
        <f t="shared" ca="1" si="124"/>
        <v>2</v>
      </c>
      <c r="H173" s="1">
        <f t="shared" ca="1" si="125"/>
        <v>6</v>
      </c>
      <c r="I173" s="1"/>
      <c r="J173" s="1">
        <f t="shared" ca="1" si="126"/>
        <v>18</v>
      </c>
      <c r="K173" s="1">
        <f t="shared" ca="1" si="127"/>
        <v>2.4678369194176515</v>
      </c>
      <c r="L173" s="1">
        <f t="shared" ca="1" si="128"/>
        <v>35</v>
      </c>
      <c r="M173" s="1"/>
      <c r="N173" s="1">
        <f t="shared" ca="1" si="129"/>
        <v>472</v>
      </c>
      <c r="O173" s="1">
        <f t="shared" ca="1" si="130"/>
        <v>14</v>
      </c>
      <c r="P173" s="1"/>
      <c r="Q173" s="1">
        <f t="shared" ca="1" si="131"/>
        <v>3.0273056665683664</v>
      </c>
      <c r="R173" s="1">
        <f t="shared" ca="1" si="132"/>
        <v>877</v>
      </c>
      <c r="S173" s="1"/>
      <c r="T173" s="1">
        <f t="shared" ca="1" si="133"/>
        <v>6.4693558358392911E-2</v>
      </c>
      <c r="U173" s="1">
        <f t="shared" ca="1" si="134"/>
        <v>447</v>
      </c>
      <c r="V173" s="1">
        <f t="shared" ca="1" si="135"/>
        <v>37</v>
      </c>
      <c r="W173" s="1"/>
      <c r="X173" s="1">
        <f t="shared" ca="1" si="136"/>
        <v>2.372605315179638</v>
      </c>
      <c r="Y173" s="1">
        <f t="shared" ca="1" si="137"/>
        <v>0.20310555003861722</v>
      </c>
      <c r="Z173" s="1">
        <f t="shared" ca="1" si="138"/>
        <v>1984</v>
      </c>
      <c r="AB173" s="1">
        <f t="shared" ca="1" si="139"/>
        <v>6.3946578245238486E-2</v>
      </c>
      <c r="AC173" s="1">
        <f t="shared" ca="1" si="140"/>
        <v>926</v>
      </c>
      <c r="AD173" s="1">
        <f t="shared" ca="1" si="141"/>
        <v>5.6341803194053155E-3</v>
      </c>
      <c r="AE173" s="1"/>
      <c r="AF173" s="1">
        <f t="shared" ca="1" si="142"/>
        <v>0.65363434122791075</v>
      </c>
      <c r="AG173" s="1">
        <f t="shared" ca="1" si="143"/>
        <v>788</v>
      </c>
      <c r="AH173" s="1">
        <f t="shared" ca="1" si="144"/>
        <v>7.2139575779784828E-3</v>
      </c>
      <c r="AJ173" s="1">
        <f t="shared" ca="1" si="145"/>
        <v>6.8067861797537432E-2</v>
      </c>
      <c r="AK173" s="1">
        <f t="shared" ca="1" si="146"/>
        <v>3.8384404488385495E-3</v>
      </c>
      <c r="AL173" s="1"/>
      <c r="AM173" s="1">
        <f t="shared" ca="1" si="147"/>
        <v>0.10536493830530978</v>
      </c>
      <c r="AN173" s="1">
        <f t="shared" ca="1" si="148"/>
        <v>54</v>
      </c>
      <c r="AO173" s="1">
        <f t="shared" ca="1" si="149"/>
        <v>14</v>
      </c>
      <c r="AQ173" s="1">
        <f t="shared" ca="1" si="150"/>
        <v>109</v>
      </c>
      <c r="AR173" s="1">
        <f t="shared" ca="1" si="151"/>
        <v>6</v>
      </c>
      <c r="AS173" s="1">
        <f t="shared" ca="1" si="152"/>
        <v>11</v>
      </c>
      <c r="AU173" s="1">
        <f t="shared" ca="1" si="153"/>
        <v>379</v>
      </c>
      <c r="AV173" s="1">
        <f t="shared" ca="1" si="154"/>
        <v>2</v>
      </c>
      <c r="AW173" s="1">
        <f t="shared" ca="1" si="155"/>
        <v>0.13767480327206433</v>
      </c>
      <c r="AY173" s="1">
        <f t="shared" ca="1" si="156"/>
        <v>1.174535179496883</v>
      </c>
      <c r="AZ173" s="1">
        <f t="shared" ca="1" si="157"/>
        <v>485</v>
      </c>
      <c r="BA173" s="1">
        <f t="shared" ca="1" si="158"/>
        <v>8.7230475271221613E-3</v>
      </c>
      <c r="BV173" s="1">
        <f t="shared" ca="1" si="159"/>
        <v>0.62762787418414778</v>
      </c>
      <c r="BW173" s="1">
        <f t="shared" ca="1" si="160"/>
        <v>521</v>
      </c>
      <c r="BX173" s="1">
        <f t="shared" ca="1" si="161"/>
        <v>5.5227611237191037E-3</v>
      </c>
      <c r="BY173" s="1">
        <f t="shared" ca="1" si="162"/>
        <v>3.2601114958387502E-2</v>
      </c>
      <c r="BZ173" s="1">
        <f t="shared" ca="1" si="163"/>
        <v>0.57991384702573434</v>
      </c>
      <c r="CB173" s="1">
        <f t="shared" ca="1" si="164"/>
        <v>90</v>
      </c>
      <c r="CC173" s="1">
        <f t="shared" ca="1" si="165"/>
        <v>13</v>
      </c>
      <c r="CD173" s="1">
        <f t="shared" ca="1" si="166"/>
        <v>7.7559700326789091E-2</v>
      </c>
      <c r="CE173" s="1">
        <f t="shared" ca="1" si="179"/>
        <v>0.71529391821785837</v>
      </c>
      <c r="CF173" s="1">
        <f t="shared" ca="1" si="179"/>
        <v>0.5764781946929014</v>
      </c>
      <c r="CH173" s="3">
        <f t="shared" ca="1" si="168"/>
        <v>7.7248998001273175E-2</v>
      </c>
      <c r="CI173" s="3">
        <f t="shared" ca="1" si="169"/>
        <v>0.88294819258645274</v>
      </c>
      <c r="CJ173" s="3">
        <f t="shared" ca="1" si="170"/>
        <v>314</v>
      </c>
      <c r="CK173" s="3">
        <f t="shared" ca="1" si="171"/>
        <v>1.2596102857535588E-3</v>
      </c>
      <c r="CL173" s="3">
        <f t="shared" ca="1" si="172"/>
        <v>0</v>
      </c>
      <c r="CM173" s="3"/>
      <c r="CN173" s="1">
        <f t="shared" ca="1" si="173"/>
        <v>0.85233925010237377</v>
      </c>
      <c r="CO173" s="1">
        <f t="shared" ca="1" si="174"/>
        <v>0.45323330647380128</v>
      </c>
      <c r="CP173" s="1">
        <f t="shared" ca="1" si="175"/>
        <v>1</v>
      </c>
      <c r="DH173" s="1">
        <f t="shared" ca="1" si="176"/>
        <v>30</v>
      </c>
      <c r="DI173" s="1">
        <f t="shared" ca="1" si="177"/>
        <v>0.42914158476693659</v>
      </c>
      <c r="DJ173" s="1">
        <f t="shared" ca="1" si="178"/>
        <v>4</v>
      </c>
    </row>
    <row r="174" spans="2:114" x14ac:dyDescent="0.25">
      <c r="B174">
        <f t="shared" ca="1" si="120"/>
        <v>243</v>
      </c>
      <c r="C174">
        <f t="shared" ca="1" si="121"/>
        <v>48</v>
      </c>
      <c r="D174">
        <f t="shared" ca="1" si="122"/>
        <v>0.27177495132311402</v>
      </c>
      <c r="F174" s="1">
        <f t="shared" ca="1" si="123"/>
        <v>10</v>
      </c>
      <c r="G174" s="1">
        <f t="shared" ca="1" si="124"/>
        <v>23</v>
      </c>
      <c r="H174" s="1">
        <f t="shared" ca="1" si="125"/>
        <v>15</v>
      </c>
      <c r="I174" s="1"/>
      <c r="J174" s="1">
        <f t="shared" ca="1" si="126"/>
        <v>36</v>
      </c>
      <c r="K174" s="1">
        <f t="shared" ca="1" si="127"/>
        <v>1.3551439003214132</v>
      </c>
      <c r="L174" s="1">
        <f t="shared" ca="1" si="128"/>
        <v>34</v>
      </c>
      <c r="M174" s="1"/>
      <c r="N174" s="1">
        <f t="shared" ca="1" si="129"/>
        <v>212</v>
      </c>
      <c r="O174" s="1">
        <f t="shared" ca="1" si="130"/>
        <v>11</v>
      </c>
      <c r="P174" s="1"/>
      <c r="Q174" s="1">
        <f t="shared" ca="1" si="131"/>
        <v>2.541703985212254</v>
      </c>
      <c r="R174" s="1">
        <f t="shared" ca="1" si="132"/>
        <v>858</v>
      </c>
      <c r="S174" s="1"/>
      <c r="T174" s="1">
        <f t="shared" ca="1" si="133"/>
        <v>0.12051718300195075</v>
      </c>
      <c r="U174" s="1">
        <f t="shared" ca="1" si="134"/>
        <v>298</v>
      </c>
      <c r="V174" s="1">
        <f t="shared" ca="1" si="135"/>
        <v>47</v>
      </c>
      <c r="W174" s="1"/>
      <c r="X174" s="1">
        <f t="shared" ca="1" si="136"/>
        <v>9.6133491939716862</v>
      </c>
      <c r="Y174" s="1">
        <f t="shared" ca="1" si="137"/>
        <v>0.26028232694195363</v>
      </c>
      <c r="Z174" s="1">
        <f t="shared" ca="1" si="138"/>
        <v>1522</v>
      </c>
      <c r="AB174" s="1">
        <f t="shared" ca="1" si="139"/>
        <v>0.34350693489494866</v>
      </c>
      <c r="AC174" s="1">
        <f t="shared" ca="1" si="140"/>
        <v>719</v>
      </c>
      <c r="AD174" s="1">
        <f t="shared" ca="1" si="141"/>
        <v>9.6157474633524233E-3</v>
      </c>
      <c r="AE174" s="1"/>
      <c r="AF174" s="1">
        <f t="shared" ca="1" si="142"/>
        <v>0.37601504787258477</v>
      </c>
      <c r="AG174" s="1">
        <f t="shared" ca="1" si="143"/>
        <v>850</v>
      </c>
      <c r="AH174" s="1">
        <f t="shared" ca="1" si="144"/>
        <v>1.1512671844288735E-3</v>
      </c>
      <c r="AJ174" s="1">
        <f t="shared" ca="1" si="145"/>
        <v>0.35024778123026212</v>
      </c>
      <c r="AK174" s="1">
        <f t="shared" ca="1" si="146"/>
        <v>5.4107261732793902E-3</v>
      </c>
      <c r="AL174" s="1"/>
      <c r="AM174" s="1">
        <f t="shared" ca="1" si="147"/>
        <v>0.11122310311762146</v>
      </c>
      <c r="AN174" s="1">
        <f t="shared" ca="1" si="148"/>
        <v>35</v>
      </c>
      <c r="AO174" s="1">
        <f t="shared" ca="1" si="149"/>
        <v>18</v>
      </c>
      <c r="AQ174" s="1">
        <f t="shared" ca="1" si="150"/>
        <v>60</v>
      </c>
      <c r="AR174" s="1">
        <f t="shared" ca="1" si="151"/>
        <v>0</v>
      </c>
      <c r="AS174" s="1">
        <f t="shared" ca="1" si="152"/>
        <v>21</v>
      </c>
      <c r="AU174" s="1">
        <f t="shared" ca="1" si="153"/>
        <v>350</v>
      </c>
      <c r="AV174" s="1">
        <f t="shared" ca="1" si="154"/>
        <v>10</v>
      </c>
      <c r="AW174" s="1">
        <f t="shared" ca="1" si="155"/>
        <v>2.0717495716206839E-2</v>
      </c>
      <c r="AY174" s="1">
        <f t="shared" ca="1" si="156"/>
        <v>1.4410891111336408</v>
      </c>
      <c r="AZ174" s="1">
        <f t="shared" ca="1" si="157"/>
        <v>102</v>
      </c>
      <c r="BA174" s="1">
        <f t="shared" ca="1" si="158"/>
        <v>1.8474235130039368E-3</v>
      </c>
      <c r="BV174" s="1">
        <f t="shared" ca="1" si="159"/>
        <v>0.9966956294710646</v>
      </c>
      <c r="BW174" s="1">
        <f t="shared" ca="1" si="160"/>
        <v>257</v>
      </c>
      <c r="BX174" s="1">
        <f t="shared" ca="1" si="161"/>
        <v>7.2694139992469722E-3</v>
      </c>
      <c r="BY174" s="1">
        <f t="shared" ca="1" si="162"/>
        <v>6.2259092419004285E-2</v>
      </c>
      <c r="BZ174" s="1">
        <f t="shared" ca="1" si="163"/>
        <v>7.7895791767708888E-2</v>
      </c>
      <c r="CB174" s="1">
        <f t="shared" ca="1" si="164"/>
        <v>430</v>
      </c>
      <c r="CC174" s="1">
        <f t="shared" ca="1" si="165"/>
        <v>6</v>
      </c>
      <c r="CD174" s="1">
        <f t="shared" ca="1" si="166"/>
        <v>0.22030799982828367</v>
      </c>
      <c r="CE174" s="1">
        <f t="shared" ca="1" si="179"/>
        <v>0.66656517901359025</v>
      </c>
      <c r="CF174" s="1">
        <f t="shared" ca="1" si="179"/>
        <v>0.63992320238183853</v>
      </c>
      <c r="CH174" s="3">
        <f t="shared" ca="1" si="168"/>
        <v>0.63979546454206671</v>
      </c>
      <c r="CI174" s="3">
        <f t="shared" ca="1" si="169"/>
        <v>0.64963556664489797</v>
      </c>
      <c r="CJ174" s="3">
        <f t="shared" ca="1" si="170"/>
        <v>808</v>
      </c>
      <c r="CK174" s="3">
        <f t="shared" ca="1" si="171"/>
        <v>4.5691392663834828E-3</v>
      </c>
      <c r="CL174" s="3">
        <f t="shared" ca="1" si="172"/>
        <v>0</v>
      </c>
      <c r="CM174" s="3"/>
      <c r="CN174" s="1">
        <f t="shared" ca="1" si="173"/>
        <v>4.1962006552768498</v>
      </c>
      <c r="CO174" s="1">
        <f t="shared" ca="1" si="174"/>
        <v>0.33571534062650893</v>
      </c>
      <c r="CP174" s="1">
        <f t="shared" ca="1" si="175"/>
        <v>3</v>
      </c>
      <c r="DH174" s="1">
        <f t="shared" ca="1" si="176"/>
        <v>678</v>
      </c>
      <c r="DI174" s="1">
        <f t="shared" ca="1" si="177"/>
        <v>0.99938025725128654</v>
      </c>
      <c r="DJ174" s="1">
        <f t="shared" ca="1" si="178"/>
        <v>8</v>
      </c>
    </row>
    <row r="175" spans="2:114" x14ac:dyDescent="0.25">
      <c r="B175">
        <f t="shared" ca="1" si="120"/>
        <v>19</v>
      </c>
      <c r="C175">
        <f t="shared" ca="1" si="121"/>
        <v>42</v>
      </c>
      <c r="D175">
        <f t="shared" ca="1" si="122"/>
        <v>7.9039439988402641E-2</v>
      </c>
      <c r="F175" s="1">
        <f t="shared" ca="1" si="123"/>
        <v>14</v>
      </c>
      <c r="G175" s="1">
        <f t="shared" ca="1" si="124"/>
        <v>30</v>
      </c>
      <c r="H175" s="1">
        <f t="shared" ca="1" si="125"/>
        <v>1</v>
      </c>
      <c r="I175" s="1"/>
      <c r="J175" s="1">
        <f t="shared" ca="1" si="126"/>
        <v>27</v>
      </c>
      <c r="K175" s="1">
        <f t="shared" ca="1" si="127"/>
        <v>1.3938769756451455</v>
      </c>
      <c r="L175" s="1">
        <f t="shared" ca="1" si="128"/>
        <v>25</v>
      </c>
      <c r="M175" s="1"/>
      <c r="N175" s="1">
        <f t="shared" ca="1" si="129"/>
        <v>601</v>
      </c>
      <c r="O175" s="1">
        <f t="shared" ca="1" si="130"/>
        <v>14</v>
      </c>
      <c r="P175" s="1"/>
      <c r="Q175" s="1">
        <f t="shared" ca="1" si="131"/>
        <v>1.8913028303931685</v>
      </c>
      <c r="R175" s="1">
        <f t="shared" ca="1" si="132"/>
        <v>303</v>
      </c>
      <c r="S175" s="1"/>
      <c r="T175" s="1">
        <f t="shared" ca="1" si="133"/>
        <v>4.0756142041302824E-2</v>
      </c>
      <c r="U175" s="1">
        <f t="shared" ca="1" si="134"/>
        <v>62</v>
      </c>
      <c r="V175" s="1">
        <f t="shared" ca="1" si="135"/>
        <v>6</v>
      </c>
      <c r="W175" s="1"/>
      <c r="X175" s="1">
        <f t="shared" ca="1" si="136"/>
        <v>6.4007575888923398</v>
      </c>
      <c r="Y175" s="1">
        <f t="shared" ca="1" si="137"/>
        <v>0.78729553337165303</v>
      </c>
      <c r="Z175" s="1">
        <f t="shared" ca="1" si="138"/>
        <v>344</v>
      </c>
      <c r="AB175" s="1">
        <f t="shared" ca="1" si="139"/>
        <v>0.36678153667534047</v>
      </c>
      <c r="AC175" s="1">
        <f t="shared" ca="1" si="140"/>
        <v>110</v>
      </c>
      <c r="AD175" s="1">
        <f t="shared" ca="1" si="141"/>
        <v>6.1538123832377729E-3</v>
      </c>
      <c r="AE175" s="1"/>
      <c r="AF175" s="1">
        <f t="shared" ca="1" si="142"/>
        <v>0.75885800937270231</v>
      </c>
      <c r="AG175" s="1">
        <f t="shared" ca="1" si="143"/>
        <v>929</v>
      </c>
      <c r="AH175" s="1">
        <f t="shared" ca="1" si="144"/>
        <v>8.9103776432147442E-3</v>
      </c>
      <c r="AJ175" s="1">
        <f t="shared" ca="1" si="145"/>
        <v>0.48875113758987077</v>
      </c>
      <c r="AK175" s="1">
        <f t="shared" ca="1" si="146"/>
        <v>4.6545052082762051E-3</v>
      </c>
      <c r="AL175" s="1"/>
      <c r="AM175" s="1">
        <f t="shared" ca="1" si="147"/>
        <v>0.12349142542846418</v>
      </c>
      <c r="AN175" s="1">
        <f t="shared" ca="1" si="148"/>
        <v>30</v>
      </c>
      <c r="AO175" s="1">
        <f t="shared" ca="1" si="149"/>
        <v>1</v>
      </c>
      <c r="AQ175" s="1">
        <f t="shared" ca="1" si="150"/>
        <v>196</v>
      </c>
      <c r="AR175" s="1">
        <f t="shared" ca="1" si="151"/>
        <v>5</v>
      </c>
      <c r="AS175" s="1">
        <f t="shared" ca="1" si="152"/>
        <v>7</v>
      </c>
      <c r="AU175" s="1">
        <f t="shared" ca="1" si="153"/>
        <v>251</v>
      </c>
      <c r="AV175" s="1">
        <f t="shared" ca="1" si="154"/>
        <v>8</v>
      </c>
      <c r="AW175" s="1">
        <f t="shared" ca="1" si="155"/>
        <v>6.8475209839130663E-2</v>
      </c>
      <c r="AY175" s="1">
        <f t="shared" ca="1" si="156"/>
        <v>1.2771344023692419</v>
      </c>
      <c r="AZ175" s="1">
        <f t="shared" ca="1" si="157"/>
        <v>277</v>
      </c>
      <c r="BA175" s="1">
        <f t="shared" ca="1" si="158"/>
        <v>3.6978141010026986E-3</v>
      </c>
      <c r="BV175" s="1">
        <f t="shared" ca="1" si="159"/>
        <v>0.86974068593985676</v>
      </c>
      <c r="BW175" s="1">
        <f t="shared" ca="1" si="160"/>
        <v>744</v>
      </c>
      <c r="BX175" s="1">
        <f t="shared" ca="1" si="161"/>
        <v>6.8842311903112461E-3</v>
      </c>
      <c r="BY175" s="1">
        <f t="shared" ca="1" si="162"/>
        <v>9.6465687024702054E-2</v>
      </c>
      <c r="BZ175" s="1">
        <f t="shared" ca="1" si="163"/>
        <v>0.40959001905622094</v>
      </c>
      <c r="CB175" s="1">
        <f t="shared" ca="1" si="164"/>
        <v>284</v>
      </c>
      <c r="CC175" s="1">
        <f t="shared" ca="1" si="165"/>
        <v>9</v>
      </c>
      <c r="CD175" s="1">
        <f t="shared" ca="1" si="166"/>
        <v>2.4954899509635337E-2</v>
      </c>
      <c r="CE175" s="1">
        <f t="shared" ca="1" si="179"/>
        <v>0.70989356581987229</v>
      </c>
      <c r="CF175" s="1">
        <f t="shared" ca="1" si="179"/>
        <v>0.99597796771558933</v>
      </c>
      <c r="CH175" s="3">
        <f t="shared" ca="1" si="168"/>
        <v>4.160302453791935E-2</v>
      </c>
      <c r="CI175" s="3">
        <f t="shared" ca="1" si="169"/>
        <v>0.20896279251593594</v>
      </c>
      <c r="CJ175" s="3">
        <f t="shared" ca="1" si="170"/>
        <v>830</v>
      </c>
      <c r="CK175" s="3">
        <f t="shared" ca="1" si="171"/>
        <v>9.7969467137337275E-3</v>
      </c>
      <c r="CL175" s="3">
        <f t="shared" ca="1" si="172"/>
        <v>0</v>
      </c>
      <c r="CM175" s="3"/>
      <c r="CN175" s="1">
        <f t="shared" ca="1" si="173"/>
        <v>9.6661943088096756</v>
      </c>
      <c r="CO175" s="1">
        <f t="shared" ca="1" si="174"/>
        <v>0.47785145002561585</v>
      </c>
      <c r="CP175" s="1">
        <f t="shared" ca="1" si="175"/>
        <v>4</v>
      </c>
      <c r="DH175" s="1">
        <f t="shared" ca="1" si="176"/>
        <v>611</v>
      </c>
      <c r="DI175" s="1">
        <f t="shared" ca="1" si="177"/>
        <v>0.55935752033159258</v>
      </c>
      <c r="DJ175" s="1">
        <f t="shared" ca="1" si="178"/>
        <v>28</v>
      </c>
    </row>
    <row r="176" spans="2:114" x14ac:dyDescent="0.25">
      <c r="B176">
        <f t="shared" ca="1" si="120"/>
        <v>815</v>
      </c>
      <c r="C176">
        <f t="shared" ca="1" si="121"/>
        <v>17</v>
      </c>
      <c r="D176">
        <f t="shared" ca="1" si="122"/>
        <v>2.9610507832381304E-2</v>
      </c>
      <c r="F176" s="1">
        <f t="shared" ca="1" si="123"/>
        <v>49</v>
      </c>
      <c r="G176" s="1">
        <f t="shared" ca="1" si="124"/>
        <v>5</v>
      </c>
      <c r="H176" s="1">
        <f t="shared" ca="1" si="125"/>
        <v>5</v>
      </c>
      <c r="I176" s="1"/>
      <c r="J176" s="1">
        <f t="shared" ca="1" si="126"/>
        <v>8</v>
      </c>
      <c r="K176" s="1">
        <f t="shared" ca="1" si="127"/>
        <v>1.0701460111618124</v>
      </c>
      <c r="L176" s="1">
        <f t="shared" ca="1" si="128"/>
        <v>30</v>
      </c>
      <c r="M176" s="1"/>
      <c r="N176" s="1">
        <f t="shared" ca="1" si="129"/>
        <v>995</v>
      </c>
      <c r="O176" s="1">
        <f t="shared" ca="1" si="130"/>
        <v>18</v>
      </c>
      <c r="P176" s="1"/>
      <c r="Q176" s="1">
        <f t="shared" ca="1" si="131"/>
        <v>0.21467479752582874</v>
      </c>
      <c r="R176" s="1">
        <f t="shared" ca="1" si="132"/>
        <v>1089</v>
      </c>
      <c r="S176" s="1"/>
      <c r="T176" s="1">
        <f t="shared" ca="1" si="133"/>
        <v>4.8132013913923341E-2</v>
      </c>
      <c r="U176" s="1">
        <f t="shared" ca="1" si="134"/>
        <v>232</v>
      </c>
      <c r="V176" s="1">
        <f t="shared" ca="1" si="135"/>
        <v>47</v>
      </c>
      <c r="W176" s="1"/>
      <c r="X176" s="1">
        <f t="shared" ca="1" si="136"/>
        <v>5.738257661309091</v>
      </c>
      <c r="Y176" s="1">
        <f t="shared" ca="1" si="137"/>
        <v>0.36285224558819584</v>
      </c>
      <c r="Z176" s="1">
        <f t="shared" ca="1" si="138"/>
        <v>1019</v>
      </c>
      <c r="AB176" s="1">
        <f t="shared" ca="1" si="139"/>
        <v>0.59340777026121327</v>
      </c>
      <c r="AC176" s="1">
        <f t="shared" ca="1" si="140"/>
        <v>875</v>
      </c>
      <c r="AD176" s="1">
        <f t="shared" ca="1" si="141"/>
        <v>3.4516540822581501E-3</v>
      </c>
      <c r="AE176" s="1"/>
      <c r="AF176" s="1">
        <f t="shared" ca="1" si="142"/>
        <v>0.78702913496541493</v>
      </c>
      <c r="AG176" s="1">
        <f t="shared" ca="1" si="143"/>
        <v>135</v>
      </c>
      <c r="AH176" s="1">
        <f t="shared" ca="1" si="144"/>
        <v>1.6971145955077852E-4</v>
      </c>
      <c r="AJ176" s="1">
        <f t="shared" ca="1" si="145"/>
        <v>0.32364796890296677</v>
      </c>
      <c r="AK176" s="1">
        <f t="shared" ca="1" si="146"/>
        <v>4.5779724091199233E-3</v>
      </c>
      <c r="AL176" s="1"/>
      <c r="AM176" s="1">
        <f t="shared" ca="1" si="147"/>
        <v>0.13267668638165761</v>
      </c>
      <c r="AN176" s="1">
        <f t="shared" ca="1" si="148"/>
        <v>35</v>
      </c>
      <c r="AO176" s="1">
        <f t="shared" ca="1" si="149"/>
        <v>14</v>
      </c>
      <c r="AQ176" s="1">
        <f t="shared" ca="1" si="150"/>
        <v>91</v>
      </c>
      <c r="AR176" s="1">
        <f t="shared" ca="1" si="151"/>
        <v>5</v>
      </c>
      <c r="AS176" s="1">
        <f t="shared" ca="1" si="152"/>
        <v>18</v>
      </c>
      <c r="AU176" s="1">
        <f t="shared" ca="1" si="153"/>
        <v>281</v>
      </c>
      <c r="AV176" s="1">
        <f t="shared" ca="1" si="154"/>
        <v>3</v>
      </c>
      <c r="AW176" s="1">
        <f t="shared" ca="1" si="155"/>
        <v>1.7499251029243986E-2</v>
      </c>
      <c r="AY176" s="1">
        <f t="shared" ca="1" si="156"/>
        <v>1.8933679907885115</v>
      </c>
      <c r="AZ176" s="1">
        <f t="shared" ca="1" si="157"/>
        <v>139</v>
      </c>
      <c r="BA176" s="1">
        <f t="shared" ca="1" si="158"/>
        <v>2.4445036287514929E-3</v>
      </c>
      <c r="BV176" s="1">
        <f t="shared" ca="1" si="159"/>
        <v>0.33842012664533283</v>
      </c>
      <c r="BW176" s="1">
        <f t="shared" ca="1" si="160"/>
        <v>719</v>
      </c>
      <c r="BX176" s="1">
        <f t="shared" ca="1" si="161"/>
        <v>8.1919725073334969E-3</v>
      </c>
      <c r="BY176" s="1">
        <f t="shared" ca="1" si="162"/>
        <v>5.1379789279222612E-2</v>
      </c>
      <c r="BZ176" s="1">
        <f t="shared" ca="1" si="163"/>
        <v>0.95861027508802543</v>
      </c>
      <c r="CB176" s="1">
        <f t="shared" ca="1" si="164"/>
        <v>167</v>
      </c>
      <c r="CC176" s="1">
        <f t="shared" ca="1" si="165"/>
        <v>15</v>
      </c>
      <c r="CD176" s="1">
        <f t="shared" ca="1" si="166"/>
        <v>0.173147464565338</v>
      </c>
      <c r="CE176" s="1">
        <f t="shared" ca="1" si="179"/>
        <v>0.83793334394136976</v>
      </c>
      <c r="CF176" s="1">
        <f t="shared" ca="1" si="179"/>
        <v>0.586330130633827</v>
      </c>
      <c r="CH176" s="3">
        <f t="shared" ca="1" si="168"/>
        <v>0.36628222603072164</v>
      </c>
      <c r="CI176" s="3">
        <f t="shared" ca="1" si="169"/>
        <v>0.58437387826786769</v>
      </c>
      <c r="CJ176" s="3">
        <f t="shared" ca="1" si="170"/>
        <v>1138</v>
      </c>
      <c r="CK176" s="3">
        <f t="shared" ca="1" si="171"/>
        <v>8.9421667698974909E-3</v>
      </c>
      <c r="CL176" s="3">
        <f t="shared" ca="1" si="172"/>
        <v>1</v>
      </c>
      <c r="CM176" s="3"/>
      <c r="CN176" s="1">
        <f t="shared" ca="1" si="173"/>
        <v>5.6381668415042041</v>
      </c>
      <c r="CO176" s="1">
        <f t="shared" ca="1" si="174"/>
        <v>0.43926487020360427</v>
      </c>
      <c r="CP176" s="1">
        <f t="shared" ca="1" si="175"/>
        <v>4</v>
      </c>
      <c r="DH176" s="1">
        <f t="shared" ca="1" si="176"/>
        <v>28</v>
      </c>
      <c r="DI176" s="1">
        <f t="shared" ca="1" si="177"/>
        <v>0.40447079114869222</v>
      </c>
      <c r="DJ176" s="1">
        <f t="shared" ca="1" si="178"/>
        <v>15</v>
      </c>
    </row>
    <row r="177" spans="2:114" x14ac:dyDescent="0.25">
      <c r="B177">
        <f t="shared" ca="1" si="120"/>
        <v>148</v>
      </c>
      <c r="C177">
        <f t="shared" ca="1" si="121"/>
        <v>10</v>
      </c>
      <c r="D177">
        <f t="shared" ca="1" si="122"/>
        <v>0.11772128348779128</v>
      </c>
      <c r="F177" s="1">
        <f t="shared" ca="1" si="123"/>
        <v>14</v>
      </c>
      <c r="G177" s="1">
        <f t="shared" ca="1" si="124"/>
        <v>22</v>
      </c>
      <c r="H177" s="1">
        <f t="shared" ca="1" si="125"/>
        <v>3</v>
      </c>
      <c r="I177" s="1"/>
      <c r="J177" s="1">
        <f t="shared" ca="1" si="126"/>
        <v>19</v>
      </c>
      <c r="K177" s="1">
        <f t="shared" ca="1" si="127"/>
        <v>2.1833688730187184</v>
      </c>
      <c r="L177" s="1">
        <f t="shared" ca="1" si="128"/>
        <v>24</v>
      </c>
      <c r="M177" s="1"/>
      <c r="N177" s="1">
        <f t="shared" ca="1" si="129"/>
        <v>314</v>
      </c>
      <c r="O177" s="1">
        <f t="shared" ca="1" si="130"/>
        <v>28</v>
      </c>
      <c r="P177" s="1"/>
      <c r="Q177" s="1">
        <f t="shared" ca="1" si="131"/>
        <v>3.9201567316638748</v>
      </c>
      <c r="R177" s="1">
        <f t="shared" ca="1" si="132"/>
        <v>1166</v>
      </c>
      <c r="S177" s="1"/>
      <c r="T177" s="1">
        <f t="shared" ca="1" si="133"/>
        <v>0.14901744131186118</v>
      </c>
      <c r="U177" s="1">
        <f t="shared" ca="1" si="134"/>
        <v>388</v>
      </c>
      <c r="V177" s="1">
        <f t="shared" ca="1" si="135"/>
        <v>26</v>
      </c>
      <c r="W177" s="1"/>
      <c r="X177" s="1">
        <f t="shared" ca="1" si="136"/>
        <v>5.9660101799855454</v>
      </c>
      <c r="Y177" s="1">
        <f t="shared" ca="1" si="137"/>
        <v>0.91380986991745494</v>
      </c>
      <c r="Z177" s="1">
        <f t="shared" ca="1" si="138"/>
        <v>1002</v>
      </c>
      <c r="AB177" s="1">
        <f t="shared" ca="1" si="139"/>
        <v>1.1203249173181664E-2</v>
      </c>
      <c r="AC177" s="1">
        <f t="shared" ca="1" si="140"/>
        <v>633</v>
      </c>
      <c r="AD177" s="1">
        <f t="shared" ca="1" si="141"/>
        <v>2.8354556815651344E-3</v>
      </c>
      <c r="AE177" s="1"/>
      <c r="AF177" s="1">
        <f t="shared" ca="1" si="142"/>
        <v>0.69848418007610857</v>
      </c>
      <c r="AG177" s="1">
        <f t="shared" ca="1" si="143"/>
        <v>599</v>
      </c>
      <c r="AH177" s="1">
        <f t="shared" ca="1" si="144"/>
        <v>2.1202511689431065E-3</v>
      </c>
      <c r="AJ177" s="1">
        <f t="shared" ca="1" si="145"/>
        <v>0.93055631066073363</v>
      </c>
      <c r="AK177" s="1">
        <f t="shared" ca="1" si="146"/>
        <v>3.9308949103540672E-3</v>
      </c>
      <c r="AL177" s="1"/>
      <c r="AM177" s="1">
        <f t="shared" ca="1" si="147"/>
        <v>0.12496052014785888</v>
      </c>
      <c r="AN177" s="1">
        <f t="shared" ca="1" si="148"/>
        <v>25</v>
      </c>
      <c r="AO177" s="1">
        <f t="shared" ca="1" si="149"/>
        <v>9</v>
      </c>
      <c r="AQ177" s="1">
        <f t="shared" ca="1" si="150"/>
        <v>47</v>
      </c>
      <c r="AR177" s="1">
        <f t="shared" ca="1" si="151"/>
        <v>6</v>
      </c>
      <c r="AS177" s="1">
        <f t="shared" ca="1" si="152"/>
        <v>21</v>
      </c>
      <c r="AU177" s="1">
        <f t="shared" ca="1" si="153"/>
        <v>111</v>
      </c>
      <c r="AV177" s="1">
        <f t="shared" ca="1" si="154"/>
        <v>5</v>
      </c>
      <c r="AW177" s="1">
        <f t="shared" ca="1" si="155"/>
        <v>0.18789529830698457</v>
      </c>
      <c r="AY177" s="1">
        <f t="shared" ca="1" si="156"/>
        <v>1.4420016236910991</v>
      </c>
      <c r="AZ177" s="1">
        <f t="shared" ca="1" si="157"/>
        <v>211</v>
      </c>
      <c r="BA177" s="1">
        <f t="shared" ca="1" si="158"/>
        <v>7.0370156349325677E-4</v>
      </c>
      <c r="BV177" s="1">
        <f t="shared" ca="1" si="159"/>
        <v>0.67051686120624909</v>
      </c>
      <c r="BW177" s="1">
        <f t="shared" ca="1" si="160"/>
        <v>766</v>
      </c>
      <c r="BX177" s="1">
        <f t="shared" ca="1" si="161"/>
        <v>5.9233600652592632E-3</v>
      </c>
      <c r="BY177" s="1">
        <f t="shared" ca="1" si="162"/>
        <v>3.6621765013129942E-2</v>
      </c>
      <c r="BZ177" s="1">
        <f t="shared" ca="1" si="163"/>
        <v>0.31258446933933048</v>
      </c>
      <c r="CB177" s="1">
        <f t="shared" ca="1" si="164"/>
        <v>162</v>
      </c>
      <c r="CC177" s="1">
        <f t="shared" ca="1" si="165"/>
        <v>11</v>
      </c>
      <c r="CD177" s="1">
        <f t="shared" ca="1" si="166"/>
        <v>7.4925015002494058E-2</v>
      </c>
      <c r="CE177" s="1">
        <f t="shared" ca="1" si="179"/>
        <v>0.81124263966692134</v>
      </c>
      <c r="CF177" s="1">
        <f t="shared" ca="1" si="179"/>
        <v>0.908335719924102</v>
      </c>
      <c r="CH177" s="3">
        <f t="shared" ca="1" si="168"/>
        <v>0.76569935025378577</v>
      </c>
      <c r="CI177" s="3">
        <f t="shared" ca="1" si="169"/>
        <v>0.7446825810959451</v>
      </c>
      <c r="CJ177" s="3">
        <f t="shared" ca="1" si="170"/>
        <v>1696</v>
      </c>
      <c r="CK177" s="3">
        <f t="shared" ca="1" si="171"/>
        <v>6.093374688626715E-3</v>
      </c>
      <c r="CL177" s="3">
        <f t="shared" ca="1" si="172"/>
        <v>1</v>
      </c>
      <c r="CM177" s="3"/>
      <c r="CN177" s="1">
        <f t="shared" ca="1" si="173"/>
        <v>1.0790545920562571</v>
      </c>
      <c r="CO177" s="1">
        <f t="shared" ca="1" si="174"/>
        <v>0.38073975166576718</v>
      </c>
      <c r="CP177" s="1">
        <f t="shared" ca="1" si="175"/>
        <v>3</v>
      </c>
      <c r="DH177" s="1">
        <f t="shared" ca="1" si="176"/>
        <v>759</v>
      </c>
      <c r="DI177" s="1">
        <f t="shared" ca="1" si="177"/>
        <v>0.33319042850801206</v>
      </c>
      <c r="DJ177" s="1">
        <f t="shared" ca="1" si="178"/>
        <v>5</v>
      </c>
    </row>
    <row r="178" spans="2:114" x14ac:dyDescent="0.25">
      <c r="B178">
        <f t="shared" ca="1" si="120"/>
        <v>423</v>
      </c>
      <c r="C178">
        <f t="shared" ca="1" si="121"/>
        <v>47</v>
      </c>
      <c r="D178">
        <f t="shared" ca="1" si="122"/>
        <v>0.16635167216065705</v>
      </c>
      <c r="F178" s="1">
        <f t="shared" ca="1" si="123"/>
        <v>23</v>
      </c>
      <c r="G178" s="1">
        <f t="shared" ca="1" si="124"/>
        <v>26</v>
      </c>
      <c r="H178" s="1">
        <f t="shared" ca="1" si="125"/>
        <v>2</v>
      </c>
      <c r="I178" s="1"/>
      <c r="J178" s="1">
        <f t="shared" ca="1" si="126"/>
        <v>13</v>
      </c>
      <c r="K178" s="1">
        <f t="shared" ca="1" si="127"/>
        <v>2.476882905176371</v>
      </c>
      <c r="L178" s="1">
        <f t="shared" ca="1" si="128"/>
        <v>6</v>
      </c>
      <c r="M178" s="1"/>
      <c r="N178" s="1">
        <f t="shared" ca="1" si="129"/>
        <v>138</v>
      </c>
      <c r="O178" s="1">
        <f t="shared" ca="1" si="130"/>
        <v>48</v>
      </c>
      <c r="P178" s="1"/>
      <c r="Q178" s="1">
        <f t="shared" ca="1" si="131"/>
        <v>1.382611600225534</v>
      </c>
      <c r="R178" s="1">
        <f t="shared" ca="1" si="132"/>
        <v>366</v>
      </c>
      <c r="S178" s="1"/>
      <c r="T178" s="1">
        <f t="shared" ca="1" si="133"/>
        <v>3.7193747073863331E-2</v>
      </c>
      <c r="U178" s="1">
        <f t="shared" ca="1" si="134"/>
        <v>202</v>
      </c>
      <c r="V178" s="1">
        <f t="shared" ca="1" si="135"/>
        <v>21</v>
      </c>
      <c r="W178" s="1"/>
      <c r="X178" s="1">
        <f t="shared" ca="1" si="136"/>
        <v>9.5581521713544202</v>
      </c>
      <c r="Y178" s="1">
        <f t="shared" ca="1" si="137"/>
        <v>0.3820933282564013</v>
      </c>
      <c r="Z178" s="1">
        <f t="shared" ca="1" si="138"/>
        <v>766</v>
      </c>
      <c r="AB178" s="1">
        <f t="shared" ca="1" si="139"/>
        <v>0.8559368060790592</v>
      </c>
      <c r="AC178" s="1">
        <f t="shared" ca="1" si="140"/>
        <v>968</v>
      </c>
      <c r="AD178" s="1">
        <f t="shared" ca="1" si="141"/>
        <v>3.291911322436752E-3</v>
      </c>
      <c r="AE178" s="1"/>
      <c r="AF178" s="1">
        <f t="shared" ca="1" si="142"/>
        <v>0.37035145825414639</v>
      </c>
      <c r="AG178" s="1">
        <f t="shared" ca="1" si="143"/>
        <v>983</v>
      </c>
      <c r="AH178" s="1">
        <f t="shared" ca="1" si="144"/>
        <v>6.5456908608205024E-3</v>
      </c>
      <c r="AJ178" s="1">
        <f t="shared" ca="1" si="145"/>
        <v>3.5801049186702349E-2</v>
      </c>
      <c r="AK178" s="1">
        <f t="shared" ca="1" si="146"/>
        <v>8.9245047993576267E-3</v>
      </c>
      <c r="AL178" s="1"/>
      <c r="AM178" s="1">
        <f t="shared" ca="1" si="147"/>
        <v>6.0918077730161564E-2</v>
      </c>
      <c r="AN178" s="1">
        <f t="shared" ca="1" si="148"/>
        <v>20</v>
      </c>
      <c r="AO178" s="1">
        <f t="shared" ca="1" si="149"/>
        <v>6</v>
      </c>
      <c r="AQ178" s="1">
        <f t="shared" ca="1" si="150"/>
        <v>200</v>
      </c>
      <c r="AR178" s="1">
        <f t="shared" ca="1" si="151"/>
        <v>6</v>
      </c>
      <c r="AS178" s="1">
        <f t="shared" ca="1" si="152"/>
        <v>87</v>
      </c>
      <c r="AU178" s="1">
        <f t="shared" ca="1" si="153"/>
        <v>60</v>
      </c>
      <c r="AV178" s="1">
        <f t="shared" ca="1" si="154"/>
        <v>10</v>
      </c>
      <c r="AW178" s="1">
        <f t="shared" ca="1" si="155"/>
        <v>0.14076930263540888</v>
      </c>
      <c r="AY178" s="1">
        <f t="shared" ca="1" si="156"/>
        <v>1.5620872745687167</v>
      </c>
      <c r="AZ178" s="1">
        <f t="shared" ca="1" si="157"/>
        <v>200</v>
      </c>
      <c r="BA178" s="1">
        <f t="shared" ca="1" si="158"/>
        <v>7.5685823500351796E-3</v>
      </c>
      <c r="BV178" s="1">
        <f t="shared" ca="1" si="159"/>
        <v>0.90093770369717918</v>
      </c>
      <c r="BW178" s="1">
        <f t="shared" ca="1" si="160"/>
        <v>450</v>
      </c>
      <c r="BX178" s="1">
        <f t="shared" ca="1" si="161"/>
        <v>8.5552024423861481E-3</v>
      </c>
      <c r="BY178" s="1">
        <f t="shared" ca="1" si="162"/>
        <v>3.8566648027393513E-2</v>
      </c>
      <c r="BZ178" s="1">
        <f t="shared" ca="1" si="163"/>
        <v>0.99990462473683439</v>
      </c>
      <c r="CB178" s="1">
        <f t="shared" ca="1" si="164"/>
        <v>139</v>
      </c>
      <c r="CC178" s="1">
        <f t="shared" ca="1" si="165"/>
        <v>9</v>
      </c>
      <c r="CD178" s="1">
        <f t="shared" ca="1" si="166"/>
        <v>0.26925313959312752</v>
      </c>
      <c r="CE178" s="1">
        <f t="shared" ca="1" si="179"/>
        <v>0.6840031871273482</v>
      </c>
      <c r="CF178" s="1">
        <f t="shared" ca="1" si="179"/>
        <v>0.5121416357786982</v>
      </c>
      <c r="CH178" s="3">
        <f t="shared" ca="1" si="168"/>
        <v>0.12461465283942381</v>
      </c>
      <c r="CI178" s="3">
        <f t="shared" ca="1" si="169"/>
        <v>0.37524633530113682</v>
      </c>
      <c r="CJ178" s="3">
        <f t="shared" ca="1" si="170"/>
        <v>384</v>
      </c>
      <c r="CK178" s="3">
        <f t="shared" ca="1" si="171"/>
        <v>6.8147731264510498E-3</v>
      </c>
      <c r="CL178" s="3">
        <f t="shared" ca="1" si="172"/>
        <v>1</v>
      </c>
      <c r="CM178" s="3"/>
      <c r="CN178" s="1">
        <f t="shared" ca="1" si="173"/>
        <v>16.685614856819178</v>
      </c>
      <c r="CO178" s="1">
        <f t="shared" ca="1" si="174"/>
        <v>0.18748666574562906</v>
      </c>
      <c r="CP178" s="1">
        <f t="shared" ca="1" si="175"/>
        <v>2</v>
      </c>
      <c r="DH178" s="1">
        <f t="shared" ca="1" si="176"/>
        <v>895</v>
      </c>
      <c r="DI178" s="1">
        <f t="shared" ca="1" si="177"/>
        <v>0.76177470352498278</v>
      </c>
      <c r="DJ178" s="1">
        <f t="shared" ca="1" si="178"/>
        <v>28</v>
      </c>
    </row>
    <row r="179" spans="2:114" x14ac:dyDescent="0.25">
      <c r="B179">
        <f t="shared" ca="1" si="120"/>
        <v>906</v>
      </c>
      <c r="C179">
        <f t="shared" ca="1" si="121"/>
        <v>36</v>
      </c>
      <c r="D179">
        <f t="shared" ca="1" si="122"/>
        <v>0.28248585713405089</v>
      </c>
      <c r="F179" s="1">
        <f t="shared" ca="1" si="123"/>
        <v>33</v>
      </c>
      <c r="G179" s="1">
        <f t="shared" ca="1" si="124"/>
        <v>29</v>
      </c>
      <c r="H179" s="1">
        <f t="shared" ca="1" si="125"/>
        <v>1</v>
      </c>
      <c r="I179" s="1"/>
      <c r="J179" s="1">
        <f t="shared" ca="1" si="126"/>
        <v>3</v>
      </c>
      <c r="K179" s="1">
        <f t="shared" ca="1" si="127"/>
        <v>2.8452997722235533</v>
      </c>
      <c r="L179" s="1">
        <f t="shared" ca="1" si="128"/>
        <v>5</v>
      </c>
      <c r="M179" s="1"/>
      <c r="N179" s="1">
        <f t="shared" ca="1" si="129"/>
        <v>804</v>
      </c>
      <c r="O179" s="1">
        <f t="shared" ca="1" si="130"/>
        <v>25</v>
      </c>
      <c r="P179" s="1"/>
      <c r="Q179" s="1">
        <f t="shared" ca="1" si="131"/>
        <v>4.8243462606413994</v>
      </c>
      <c r="R179" s="1">
        <f t="shared" ca="1" si="132"/>
        <v>773</v>
      </c>
      <c r="S179" s="1"/>
      <c r="T179" s="1">
        <f t="shared" ca="1" si="133"/>
        <v>5.4416103303190494E-2</v>
      </c>
      <c r="U179" s="1">
        <f t="shared" ca="1" si="134"/>
        <v>336</v>
      </c>
      <c r="V179" s="1">
        <f t="shared" ca="1" si="135"/>
        <v>2</v>
      </c>
      <c r="W179" s="1"/>
      <c r="X179" s="1">
        <f t="shared" ca="1" si="136"/>
        <v>8.0275720075480432</v>
      </c>
      <c r="Y179" s="1">
        <f t="shared" ca="1" si="137"/>
        <v>0.3183154326720869</v>
      </c>
      <c r="Z179" s="1">
        <f t="shared" ca="1" si="138"/>
        <v>1059</v>
      </c>
      <c r="AB179" s="1">
        <f t="shared" ca="1" si="139"/>
        <v>0.34674303158906405</v>
      </c>
      <c r="AC179" s="1">
        <f t="shared" ca="1" si="140"/>
        <v>355</v>
      </c>
      <c r="AD179" s="1">
        <f t="shared" ca="1" si="141"/>
        <v>5.8993799785430822E-3</v>
      </c>
      <c r="AE179" s="1"/>
      <c r="AF179" s="1">
        <f t="shared" ca="1" si="142"/>
        <v>0.70170094148657025</v>
      </c>
      <c r="AG179" s="1">
        <f t="shared" ca="1" si="143"/>
        <v>172</v>
      </c>
      <c r="AH179" s="1">
        <f t="shared" ca="1" si="144"/>
        <v>1.0954163019109367E-3</v>
      </c>
      <c r="AJ179" s="1">
        <f t="shared" ca="1" si="145"/>
        <v>0.18570386271594519</v>
      </c>
      <c r="AK179" s="1">
        <f t="shared" ca="1" si="146"/>
        <v>3.6521803818037662E-3</v>
      </c>
      <c r="AL179" s="1"/>
      <c r="AM179" s="1">
        <f t="shared" ca="1" si="147"/>
        <v>5.7444844719063796E-2</v>
      </c>
      <c r="AN179" s="1">
        <f t="shared" ca="1" si="148"/>
        <v>19</v>
      </c>
      <c r="AO179" s="1">
        <f t="shared" ca="1" si="149"/>
        <v>20</v>
      </c>
      <c r="AQ179" s="1">
        <f t="shared" ca="1" si="150"/>
        <v>197</v>
      </c>
      <c r="AR179" s="1">
        <f t="shared" ca="1" si="151"/>
        <v>1</v>
      </c>
      <c r="AS179" s="1">
        <f t="shared" ca="1" si="152"/>
        <v>63</v>
      </c>
      <c r="AU179" s="1">
        <f t="shared" ca="1" si="153"/>
        <v>160</v>
      </c>
      <c r="AV179" s="1">
        <f t="shared" ca="1" si="154"/>
        <v>8</v>
      </c>
      <c r="AW179" s="1">
        <f t="shared" ca="1" si="155"/>
        <v>0.15592697729996011</v>
      </c>
      <c r="AY179" s="1">
        <f t="shared" ca="1" si="156"/>
        <v>1.1334606020342275</v>
      </c>
      <c r="AZ179" s="1">
        <f t="shared" ca="1" si="157"/>
        <v>144</v>
      </c>
      <c r="BA179" s="1">
        <f t="shared" ca="1" si="158"/>
        <v>9.3202035846349281E-3</v>
      </c>
      <c r="BV179" s="1">
        <f t="shared" ca="1" si="159"/>
        <v>0.15721755521599273</v>
      </c>
      <c r="BW179" s="1">
        <f t="shared" ca="1" si="160"/>
        <v>344</v>
      </c>
      <c r="BX179" s="1">
        <f t="shared" ca="1" si="161"/>
        <v>7.7448952744937254E-3</v>
      </c>
      <c r="BY179" s="1">
        <f t="shared" ca="1" si="162"/>
        <v>6.4920977982193345E-2</v>
      </c>
      <c r="BZ179" s="1">
        <f t="shared" ca="1" si="163"/>
        <v>0.84441146870649209</v>
      </c>
      <c r="CB179" s="1">
        <f t="shared" ca="1" si="164"/>
        <v>76</v>
      </c>
      <c r="CC179" s="1">
        <f t="shared" ca="1" si="165"/>
        <v>10</v>
      </c>
      <c r="CD179" s="1">
        <f t="shared" ca="1" si="166"/>
        <v>1.0793029825471107E-2</v>
      </c>
      <c r="CE179" s="1">
        <f t="shared" ca="1" si="179"/>
        <v>0.83261547487990772</v>
      </c>
      <c r="CF179" s="1">
        <f t="shared" ca="1" si="179"/>
        <v>0.91879390512375281</v>
      </c>
      <c r="CH179" s="3">
        <f t="shared" ca="1" si="168"/>
        <v>0.45117696690172832</v>
      </c>
      <c r="CI179" s="3">
        <f t="shared" ca="1" si="169"/>
        <v>5.3543302088564039E-2</v>
      </c>
      <c r="CJ179" s="3">
        <f t="shared" ca="1" si="170"/>
        <v>518</v>
      </c>
      <c r="CK179" s="3">
        <f t="shared" ca="1" si="171"/>
        <v>5.556765669094509E-5</v>
      </c>
      <c r="CL179" s="3">
        <f t="shared" ca="1" si="172"/>
        <v>1</v>
      </c>
      <c r="CM179" s="3"/>
      <c r="CN179" s="1">
        <f t="shared" ca="1" si="173"/>
        <v>8.3730731899896291</v>
      </c>
      <c r="CO179" s="1">
        <f t="shared" ca="1" si="174"/>
        <v>0.18253649658854512</v>
      </c>
      <c r="CP179" s="1">
        <f t="shared" ca="1" si="175"/>
        <v>3</v>
      </c>
      <c r="DH179" s="1">
        <f t="shared" ca="1" si="176"/>
        <v>373</v>
      </c>
      <c r="DI179" s="1">
        <f t="shared" ca="1" si="177"/>
        <v>0.82002783540498714</v>
      </c>
      <c r="DJ179" s="1">
        <f t="shared" ca="1" si="178"/>
        <v>10</v>
      </c>
    </row>
    <row r="180" spans="2:114" x14ac:dyDescent="0.25">
      <c r="B180">
        <f t="shared" ca="1" si="120"/>
        <v>861</v>
      </c>
      <c r="C180">
        <f t="shared" ca="1" si="121"/>
        <v>49</v>
      </c>
      <c r="D180">
        <f t="shared" ca="1" si="122"/>
        <v>0.15131700528646258</v>
      </c>
      <c r="F180" s="1">
        <f t="shared" ca="1" si="123"/>
        <v>6</v>
      </c>
      <c r="G180" s="1">
        <f t="shared" ca="1" si="124"/>
        <v>12</v>
      </c>
      <c r="H180" s="1">
        <f t="shared" ca="1" si="125"/>
        <v>5</v>
      </c>
      <c r="I180" s="1"/>
      <c r="J180" s="1">
        <f t="shared" ca="1" si="126"/>
        <v>10</v>
      </c>
      <c r="K180" s="1">
        <f t="shared" ca="1" si="127"/>
        <v>1.3133624977770086</v>
      </c>
      <c r="L180" s="1">
        <f t="shared" ca="1" si="128"/>
        <v>22</v>
      </c>
      <c r="M180" s="1"/>
      <c r="N180" s="1">
        <f t="shared" ca="1" si="129"/>
        <v>287</v>
      </c>
      <c r="O180" s="1">
        <f t="shared" ca="1" si="130"/>
        <v>4</v>
      </c>
      <c r="P180" s="1"/>
      <c r="Q180" s="1">
        <f t="shared" ca="1" si="131"/>
        <v>0.97988434247862233</v>
      </c>
      <c r="R180" s="1">
        <f t="shared" ca="1" si="132"/>
        <v>573</v>
      </c>
      <c r="S180" s="1"/>
      <c r="T180" s="1">
        <f t="shared" ca="1" si="133"/>
        <v>0.19516207086600346</v>
      </c>
      <c r="U180" s="1">
        <f t="shared" ca="1" si="134"/>
        <v>137</v>
      </c>
      <c r="V180" s="1">
        <f t="shared" ca="1" si="135"/>
        <v>35</v>
      </c>
      <c r="W180" s="1"/>
      <c r="X180" s="1">
        <f t="shared" ca="1" si="136"/>
        <v>8.1311206765189787</v>
      </c>
      <c r="Y180" s="1">
        <f t="shared" ca="1" si="137"/>
        <v>0.70655968024031235</v>
      </c>
      <c r="Z180" s="1">
        <f t="shared" ca="1" si="138"/>
        <v>961</v>
      </c>
      <c r="AB180" s="1">
        <f t="shared" ca="1" si="139"/>
        <v>0.54188851008828043</v>
      </c>
      <c r="AC180" s="1">
        <f t="shared" ca="1" si="140"/>
        <v>699</v>
      </c>
      <c r="AD180" s="1">
        <f t="shared" ca="1" si="141"/>
        <v>5.3521989482485542E-3</v>
      </c>
      <c r="AE180" s="1"/>
      <c r="AF180" s="1">
        <f t="shared" ca="1" si="142"/>
        <v>0.81769702478014039</v>
      </c>
      <c r="AG180" s="1">
        <f t="shared" ca="1" si="143"/>
        <v>560</v>
      </c>
      <c r="AH180" s="1">
        <f t="shared" ca="1" si="144"/>
        <v>1.6207987251616687E-3</v>
      </c>
      <c r="AJ180" s="1">
        <f t="shared" ca="1" si="145"/>
        <v>0.22238318699862458</v>
      </c>
      <c r="AK180" s="1">
        <f t="shared" ca="1" si="146"/>
        <v>4.5573295217667753E-3</v>
      </c>
      <c r="AL180" s="1"/>
      <c r="AM180" s="1">
        <f t="shared" ca="1" si="147"/>
        <v>0.17584917553246837</v>
      </c>
      <c r="AN180" s="1">
        <f t="shared" ca="1" si="148"/>
        <v>20</v>
      </c>
      <c r="AO180" s="1">
        <f t="shared" ca="1" si="149"/>
        <v>6</v>
      </c>
      <c r="AQ180" s="1">
        <f t="shared" ca="1" si="150"/>
        <v>53</v>
      </c>
      <c r="AR180" s="1">
        <f t="shared" ca="1" si="151"/>
        <v>6</v>
      </c>
      <c r="AS180" s="1">
        <f t="shared" ca="1" si="152"/>
        <v>18</v>
      </c>
      <c r="AU180" s="1">
        <f t="shared" ca="1" si="153"/>
        <v>250</v>
      </c>
      <c r="AV180" s="1">
        <f t="shared" ca="1" si="154"/>
        <v>7</v>
      </c>
      <c r="AW180" s="1">
        <f t="shared" ca="1" si="155"/>
        <v>0.176748326106033</v>
      </c>
      <c r="AY180" s="1">
        <f t="shared" ca="1" si="156"/>
        <v>1.6301341222950871</v>
      </c>
      <c r="AZ180" s="1">
        <f t="shared" ca="1" si="157"/>
        <v>133</v>
      </c>
      <c r="BA180" s="1">
        <f t="shared" ca="1" si="158"/>
        <v>7.5086230968846133E-5</v>
      </c>
      <c r="BV180" s="1">
        <f t="shared" ca="1" si="159"/>
        <v>0.13944015317847824</v>
      </c>
      <c r="BW180" s="1">
        <f t="shared" ca="1" si="160"/>
        <v>898</v>
      </c>
      <c r="BX180" s="1">
        <f t="shared" ca="1" si="161"/>
        <v>1.8371002976041411E-3</v>
      </c>
      <c r="BY180" s="1">
        <f t="shared" ca="1" si="162"/>
        <v>2.4261844430126227E-2</v>
      </c>
      <c r="BZ180" s="1">
        <f t="shared" ca="1" si="163"/>
        <v>0.28293643261285817</v>
      </c>
      <c r="CB180" s="1">
        <f t="shared" ca="1" si="164"/>
        <v>326</v>
      </c>
      <c r="CC180" s="1">
        <f t="shared" ca="1" si="165"/>
        <v>10</v>
      </c>
      <c r="CD180" s="1">
        <f t="shared" ca="1" si="166"/>
        <v>9.1095377771129721E-2</v>
      </c>
      <c r="CE180" s="1">
        <f t="shared" ca="1" si="179"/>
        <v>0.51585146239870805</v>
      </c>
      <c r="CF180" s="1">
        <f t="shared" ca="1" si="179"/>
        <v>0.9132643372278002</v>
      </c>
      <c r="CH180" s="3">
        <f t="shared" ca="1" si="168"/>
        <v>0.94181267873720498</v>
      </c>
      <c r="CI180" s="3">
        <f t="shared" ca="1" si="169"/>
        <v>0.60726499018636093</v>
      </c>
      <c r="CJ180" s="3">
        <f t="shared" ca="1" si="170"/>
        <v>1989</v>
      </c>
      <c r="CK180" s="3">
        <f t="shared" ca="1" si="171"/>
        <v>2.9360949930670358E-4</v>
      </c>
      <c r="CL180" s="3">
        <f t="shared" ca="1" si="172"/>
        <v>1</v>
      </c>
      <c r="CM180" s="3"/>
      <c r="CN180" s="1">
        <f t="shared" ca="1" si="173"/>
        <v>12.411168152894982</v>
      </c>
      <c r="CO180" s="1">
        <f t="shared" ca="1" si="174"/>
        <v>0.2257110331805886</v>
      </c>
      <c r="CP180" s="1">
        <f t="shared" ca="1" si="175"/>
        <v>5</v>
      </c>
      <c r="DH180" s="1">
        <f t="shared" ca="1" si="176"/>
        <v>811</v>
      </c>
      <c r="DI180" s="1">
        <f t="shared" ca="1" si="177"/>
        <v>0.52704635934191124</v>
      </c>
      <c r="DJ180" s="1">
        <f t="shared" ca="1" si="178"/>
        <v>9</v>
      </c>
    </row>
    <row r="181" spans="2:114" x14ac:dyDescent="0.25">
      <c r="B181">
        <f t="shared" ca="1" si="120"/>
        <v>238</v>
      </c>
      <c r="C181">
        <f t="shared" ca="1" si="121"/>
        <v>38</v>
      </c>
      <c r="D181">
        <f t="shared" ca="1" si="122"/>
        <v>0.27265886125639177</v>
      </c>
      <c r="F181" s="1">
        <f t="shared" ca="1" si="123"/>
        <v>52</v>
      </c>
      <c r="G181" s="1">
        <f t="shared" ca="1" si="124"/>
        <v>4</v>
      </c>
      <c r="H181" s="1">
        <f t="shared" ca="1" si="125"/>
        <v>10</v>
      </c>
      <c r="I181" s="1"/>
      <c r="J181" s="1">
        <f t="shared" ca="1" si="126"/>
        <v>2</v>
      </c>
      <c r="K181" s="1">
        <f t="shared" ca="1" si="127"/>
        <v>2.8791686285946714</v>
      </c>
      <c r="L181" s="1">
        <f t="shared" ca="1" si="128"/>
        <v>33</v>
      </c>
      <c r="M181" s="1"/>
      <c r="N181" s="1">
        <f t="shared" ca="1" si="129"/>
        <v>778</v>
      </c>
      <c r="O181" s="1">
        <f t="shared" ca="1" si="130"/>
        <v>27</v>
      </c>
      <c r="P181" s="1"/>
      <c r="Q181" s="1">
        <f t="shared" ca="1" si="131"/>
        <v>0.32764637429683202</v>
      </c>
      <c r="R181" s="1">
        <f t="shared" ca="1" si="132"/>
        <v>633</v>
      </c>
      <c r="S181" s="1"/>
      <c r="T181" s="1">
        <f t="shared" ca="1" si="133"/>
        <v>5.709019614468086E-2</v>
      </c>
      <c r="U181" s="1">
        <f t="shared" ca="1" si="134"/>
        <v>273</v>
      </c>
      <c r="V181" s="1">
        <f t="shared" ca="1" si="135"/>
        <v>52</v>
      </c>
      <c r="W181" s="1"/>
      <c r="X181" s="1">
        <f t="shared" ca="1" si="136"/>
        <v>4.2459978519675561</v>
      </c>
      <c r="Y181" s="1">
        <f t="shared" ca="1" si="137"/>
        <v>0.7528948583450964</v>
      </c>
      <c r="Z181" s="1">
        <f t="shared" ca="1" si="138"/>
        <v>1940</v>
      </c>
      <c r="AB181" s="1">
        <f t="shared" ca="1" si="139"/>
        <v>0.57307700790961114</v>
      </c>
      <c r="AC181" s="1">
        <f t="shared" ca="1" si="140"/>
        <v>826</v>
      </c>
      <c r="AD181" s="1">
        <f t="shared" ca="1" si="141"/>
        <v>2.5897438666042986E-3</v>
      </c>
      <c r="AE181" s="1"/>
      <c r="AF181" s="1">
        <f t="shared" ca="1" si="142"/>
        <v>0.72054538588947781</v>
      </c>
      <c r="AG181" s="1">
        <f t="shared" ca="1" si="143"/>
        <v>244</v>
      </c>
      <c r="AH181" s="1">
        <f t="shared" ca="1" si="144"/>
        <v>9.1176156287459727E-3</v>
      </c>
      <c r="AJ181" s="1">
        <f t="shared" ca="1" si="145"/>
        <v>0.98394355443872039</v>
      </c>
      <c r="AK181" s="1">
        <f t="shared" ca="1" si="146"/>
        <v>1.123542260872668E-4</v>
      </c>
      <c r="AL181" s="1"/>
      <c r="AM181" s="1">
        <f t="shared" ca="1" si="147"/>
        <v>0.1699796226141235</v>
      </c>
      <c r="AN181" s="1">
        <f t="shared" ca="1" si="148"/>
        <v>65</v>
      </c>
      <c r="AO181" s="1">
        <f t="shared" ca="1" si="149"/>
        <v>13</v>
      </c>
      <c r="AQ181" s="1">
        <f t="shared" ca="1" si="150"/>
        <v>179</v>
      </c>
      <c r="AR181" s="1">
        <f t="shared" ca="1" si="151"/>
        <v>9</v>
      </c>
      <c r="AS181" s="1">
        <f t="shared" ca="1" si="152"/>
        <v>61</v>
      </c>
      <c r="AU181" s="1">
        <f t="shared" ca="1" si="153"/>
        <v>371</v>
      </c>
      <c r="AV181" s="1">
        <f t="shared" ca="1" si="154"/>
        <v>8</v>
      </c>
      <c r="AW181" s="1">
        <f t="shared" ca="1" si="155"/>
        <v>0.12426781794545773</v>
      </c>
      <c r="AY181" s="1">
        <f t="shared" ca="1" si="156"/>
        <v>1.1732075312281494</v>
      </c>
      <c r="AZ181" s="1">
        <f t="shared" ca="1" si="157"/>
        <v>452</v>
      </c>
      <c r="BA181" s="1">
        <f t="shared" ca="1" si="158"/>
        <v>4.592420747982281E-3</v>
      </c>
      <c r="BV181" s="1">
        <f t="shared" ca="1" si="159"/>
        <v>0.83171564520520569</v>
      </c>
      <c r="BW181" s="1">
        <f t="shared" ca="1" si="160"/>
        <v>845</v>
      </c>
      <c r="BX181" s="1">
        <f t="shared" ca="1" si="161"/>
        <v>1.7720474315841778E-3</v>
      </c>
      <c r="BY181" s="1">
        <f t="shared" ca="1" si="162"/>
        <v>2.9635525858751101E-2</v>
      </c>
      <c r="BZ181" s="1">
        <f t="shared" ca="1" si="163"/>
        <v>0.84730194916042645</v>
      </c>
      <c r="CB181" s="1">
        <f t="shared" ca="1" si="164"/>
        <v>452</v>
      </c>
      <c r="CC181" s="1">
        <f t="shared" ca="1" si="165"/>
        <v>7</v>
      </c>
      <c r="CD181" s="1">
        <f t="shared" ca="1" si="166"/>
        <v>8.1124406906157909E-2</v>
      </c>
      <c r="CE181" s="1">
        <f t="shared" ca="1" si="179"/>
        <v>0.73354253654590584</v>
      </c>
      <c r="CF181" s="1">
        <f t="shared" ca="1" si="179"/>
        <v>0.5558541867531136</v>
      </c>
      <c r="CH181" s="3">
        <f t="shared" ca="1" si="168"/>
        <v>0.31089593669450699</v>
      </c>
      <c r="CI181" s="3">
        <f t="shared" ca="1" si="169"/>
        <v>0.68540067348840306</v>
      </c>
      <c r="CJ181" s="3">
        <f t="shared" ca="1" si="170"/>
        <v>1412</v>
      </c>
      <c r="CK181" s="3">
        <f t="shared" ca="1" si="171"/>
        <v>4.8351831597918246E-3</v>
      </c>
      <c r="CL181" s="3">
        <f t="shared" ca="1" si="172"/>
        <v>1</v>
      </c>
      <c r="CM181" s="3"/>
      <c r="CN181" s="1">
        <f t="shared" ca="1" si="173"/>
        <v>1.2411961994626197</v>
      </c>
      <c r="CO181" s="1">
        <f t="shared" ca="1" si="174"/>
        <v>0.2658650060988858</v>
      </c>
      <c r="CP181" s="1">
        <f t="shared" ca="1" si="175"/>
        <v>3</v>
      </c>
      <c r="DH181" s="1">
        <f t="shared" ca="1" si="176"/>
        <v>212</v>
      </c>
      <c r="DI181" s="1">
        <f t="shared" ca="1" si="177"/>
        <v>6.8475705152896471E-2</v>
      </c>
      <c r="DJ181" s="1">
        <f t="shared" ca="1" si="178"/>
        <v>10</v>
      </c>
    </row>
    <row r="182" spans="2:114" x14ac:dyDescent="0.25">
      <c r="B182">
        <f t="shared" ca="1" si="120"/>
        <v>335</v>
      </c>
      <c r="C182">
        <f t="shared" ca="1" si="121"/>
        <v>36</v>
      </c>
      <c r="D182">
        <f t="shared" ca="1" si="122"/>
        <v>5.0868069319741957E-2</v>
      </c>
      <c r="F182" s="1">
        <f t="shared" ca="1" si="123"/>
        <v>35</v>
      </c>
      <c r="G182" s="1">
        <f t="shared" ca="1" si="124"/>
        <v>4</v>
      </c>
      <c r="H182" s="1">
        <f t="shared" ca="1" si="125"/>
        <v>13</v>
      </c>
      <c r="I182" s="1"/>
      <c r="J182" s="1">
        <f t="shared" ca="1" si="126"/>
        <v>14</v>
      </c>
      <c r="K182" s="1">
        <f t="shared" ca="1" si="127"/>
        <v>1.5906411297615748</v>
      </c>
      <c r="L182" s="1">
        <f t="shared" ca="1" si="128"/>
        <v>16</v>
      </c>
      <c r="M182" s="1"/>
      <c r="N182" s="1">
        <f t="shared" ca="1" si="129"/>
        <v>756</v>
      </c>
      <c r="O182" s="1">
        <f t="shared" ca="1" si="130"/>
        <v>24</v>
      </c>
      <c r="P182" s="1"/>
      <c r="Q182" s="1">
        <f t="shared" ca="1" si="131"/>
        <v>1.8437574557774781</v>
      </c>
      <c r="R182" s="1">
        <f t="shared" ca="1" si="132"/>
        <v>1022</v>
      </c>
      <c r="S182" s="1"/>
      <c r="T182" s="1">
        <f t="shared" ca="1" si="133"/>
        <v>9.4563101367780664E-2</v>
      </c>
      <c r="U182" s="1">
        <f t="shared" ca="1" si="134"/>
        <v>79</v>
      </c>
      <c r="V182" s="1">
        <f t="shared" ca="1" si="135"/>
        <v>10</v>
      </c>
      <c r="W182" s="1"/>
      <c r="X182" s="1">
        <f t="shared" ca="1" si="136"/>
        <v>5.0084935347527182</v>
      </c>
      <c r="Y182" s="1">
        <f t="shared" ca="1" si="137"/>
        <v>0.12997044020254914</v>
      </c>
      <c r="Z182" s="1">
        <f t="shared" ca="1" si="138"/>
        <v>1436</v>
      </c>
      <c r="AB182" s="1">
        <f t="shared" ca="1" si="139"/>
        <v>0.58986903055509987</v>
      </c>
      <c r="AC182" s="1">
        <f t="shared" ca="1" si="140"/>
        <v>757</v>
      </c>
      <c r="AD182" s="1">
        <f t="shared" ca="1" si="141"/>
        <v>5.5003263788755219E-3</v>
      </c>
      <c r="AE182" s="1"/>
      <c r="AF182" s="1">
        <f t="shared" ca="1" si="142"/>
        <v>0.78503038867920949</v>
      </c>
      <c r="AG182" s="1">
        <f t="shared" ca="1" si="143"/>
        <v>634</v>
      </c>
      <c r="AH182" s="1">
        <f t="shared" ca="1" si="144"/>
        <v>4.4206633100959142E-3</v>
      </c>
      <c r="AJ182" s="1">
        <f t="shared" ca="1" si="145"/>
        <v>0.98790158435539543</v>
      </c>
      <c r="AK182" s="1">
        <f t="shared" ca="1" si="146"/>
        <v>9.5759033973857183E-3</v>
      </c>
      <c r="AL182" s="1"/>
      <c r="AM182" s="1">
        <f t="shared" ca="1" si="147"/>
        <v>4.7191739969597198E-2</v>
      </c>
      <c r="AN182" s="1">
        <f t="shared" ca="1" si="148"/>
        <v>24</v>
      </c>
      <c r="AO182" s="1">
        <f t="shared" ca="1" si="149"/>
        <v>6</v>
      </c>
      <c r="AQ182" s="1">
        <f t="shared" ca="1" si="150"/>
        <v>26</v>
      </c>
      <c r="AR182" s="1">
        <f t="shared" ca="1" si="151"/>
        <v>7</v>
      </c>
      <c r="AS182" s="1">
        <f t="shared" ca="1" si="152"/>
        <v>100</v>
      </c>
      <c r="AU182" s="1">
        <f t="shared" ca="1" si="153"/>
        <v>126</v>
      </c>
      <c r="AV182" s="1">
        <f t="shared" ca="1" si="154"/>
        <v>9</v>
      </c>
      <c r="AW182" s="1">
        <f t="shared" ca="1" si="155"/>
        <v>9.1874295439264009E-2</v>
      </c>
      <c r="AY182" s="1">
        <f t="shared" ca="1" si="156"/>
        <v>1.5682883459945578</v>
      </c>
      <c r="AZ182" s="1">
        <f t="shared" ca="1" si="157"/>
        <v>440</v>
      </c>
      <c r="BA182" s="1">
        <f t="shared" ca="1" si="158"/>
        <v>4.1898084474461719E-3</v>
      </c>
      <c r="BV182" s="1">
        <f t="shared" ca="1" si="159"/>
        <v>0.12324907240844746</v>
      </c>
      <c r="BW182" s="1">
        <f t="shared" ca="1" si="160"/>
        <v>952</v>
      </c>
      <c r="BX182" s="1">
        <f t="shared" ca="1" si="161"/>
        <v>6.295145173805714E-3</v>
      </c>
      <c r="BY182" s="1">
        <f t="shared" ca="1" si="162"/>
        <v>3.8033242709009152E-2</v>
      </c>
      <c r="BZ182" s="1">
        <f t="shared" ca="1" si="163"/>
        <v>0.1263333331537142</v>
      </c>
      <c r="CB182" s="1">
        <f t="shared" ca="1" si="164"/>
        <v>495</v>
      </c>
      <c r="CC182" s="1">
        <f t="shared" ca="1" si="165"/>
        <v>3</v>
      </c>
      <c r="CD182" s="1">
        <f t="shared" ca="1" si="166"/>
        <v>0.16054982128578502</v>
      </c>
      <c r="CE182" s="1">
        <f t="shared" ca="1" si="179"/>
        <v>0.55578369087437873</v>
      </c>
      <c r="CF182" s="1">
        <f t="shared" ca="1" si="179"/>
        <v>0.75968049217486144</v>
      </c>
      <c r="CH182" s="3">
        <f t="shared" ca="1" si="168"/>
        <v>4.78198939590374E-2</v>
      </c>
      <c r="CI182" s="3">
        <f t="shared" ca="1" si="169"/>
        <v>0.82970174187007695</v>
      </c>
      <c r="CJ182" s="3">
        <f t="shared" ca="1" si="170"/>
        <v>1550</v>
      </c>
      <c r="CK182" s="3">
        <f t="shared" ca="1" si="171"/>
        <v>2.9517166532194074E-3</v>
      </c>
      <c r="CL182" s="3">
        <f t="shared" ca="1" si="172"/>
        <v>1</v>
      </c>
      <c r="CM182" s="3"/>
      <c r="CN182" s="1">
        <f t="shared" ca="1" si="173"/>
        <v>15.81887845323131</v>
      </c>
      <c r="CO182" s="1">
        <f t="shared" ca="1" si="174"/>
        <v>0.14065692434207322</v>
      </c>
      <c r="CP182" s="1">
        <f t="shared" ca="1" si="175"/>
        <v>3</v>
      </c>
      <c r="DH182" s="1">
        <f t="shared" ca="1" si="176"/>
        <v>465</v>
      </c>
      <c r="DI182" s="1">
        <f t="shared" ca="1" si="177"/>
        <v>0.36559384883610946</v>
      </c>
      <c r="DJ182" s="1">
        <f t="shared" ca="1" si="178"/>
        <v>18</v>
      </c>
    </row>
    <row r="183" spans="2:114" x14ac:dyDescent="0.25">
      <c r="B183">
        <f t="shared" ca="1" si="120"/>
        <v>118</v>
      </c>
      <c r="C183">
        <f t="shared" ca="1" si="121"/>
        <v>4</v>
      </c>
      <c r="D183">
        <f t="shared" ca="1" si="122"/>
        <v>3.5410411018817763E-2</v>
      </c>
      <c r="F183" s="1">
        <f t="shared" ca="1" si="123"/>
        <v>45</v>
      </c>
      <c r="G183" s="1">
        <f t="shared" ca="1" si="124"/>
        <v>12</v>
      </c>
      <c r="H183" s="1">
        <f t="shared" ca="1" si="125"/>
        <v>14</v>
      </c>
      <c r="I183" s="1"/>
      <c r="J183" s="1">
        <f t="shared" ca="1" si="126"/>
        <v>22</v>
      </c>
      <c r="K183" s="1">
        <f t="shared" ca="1" si="127"/>
        <v>1.4927239264358259</v>
      </c>
      <c r="L183" s="1">
        <f t="shared" ca="1" si="128"/>
        <v>16</v>
      </c>
      <c r="M183" s="1"/>
      <c r="N183" s="1">
        <f t="shared" ca="1" si="129"/>
        <v>313</v>
      </c>
      <c r="O183" s="1">
        <f t="shared" ca="1" si="130"/>
        <v>29</v>
      </c>
      <c r="P183" s="1"/>
      <c r="Q183" s="1">
        <f t="shared" ca="1" si="131"/>
        <v>3.4529781245751199</v>
      </c>
      <c r="R183" s="1">
        <f t="shared" ca="1" si="132"/>
        <v>1052</v>
      </c>
      <c r="S183" s="1"/>
      <c r="T183" s="1">
        <f t="shared" ca="1" si="133"/>
        <v>8.5918145927609074E-2</v>
      </c>
      <c r="U183" s="1">
        <f t="shared" ca="1" si="134"/>
        <v>327</v>
      </c>
      <c r="V183" s="1">
        <f t="shared" ca="1" si="135"/>
        <v>17</v>
      </c>
      <c r="W183" s="1"/>
      <c r="X183" s="1">
        <f t="shared" ca="1" si="136"/>
        <v>1.5990191367429902</v>
      </c>
      <c r="Y183" s="1">
        <f t="shared" ca="1" si="137"/>
        <v>0.38094768562587195</v>
      </c>
      <c r="Z183" s="1">
        <f t="shared" ca="1" si="138"/>
        <v>1869</v>
      </c>
      <c r="AB183" s="1">
        <f t="shared" ca="1" si="139"/>
        <v>0.68328790461949451</v>
      </c>
      <c r="AC183" s="1">
        <f t="shared" ca="1" si="140"/>
        <v>730</v>
      </c>
      <c r="AD183" s="1">
        <f t="shared" ca="1" si="141"/>
        <v>3.5847761618664695E-3</v>
      </c>
      <c r="AE183" s="1"/>
      <c r="AF183" s="1">
        <f t="shared" ca="1" si="142"/>
        <v>0.23135729932403415</v>
      </c>
      <c r="AG183" s="1">
        <f t="shared" ca="1" si="143"/>
        <v>810</v>
      </c>
      <c r="AH183" s="1">
        <f t="shared" ca="1" si="144"/>
        <v>8.0018452637940773E-3</v>
      </c>
      <c r="AJ183" s="1">
        <f t="shared" ca="1" si="145"/>
        <v>0.24876738895043438</v>
      </c>
      <c r="AK183" s="1">
        <f t="shared" ca="1" si="146"/>
        <v>6.9039709244901712E-4</v>
      </c>
      <c r="AL183" s="1"/>
      <c r="AM183" s="1">
        <f t="shared" ca="1" si="147"/>
        <v>2.1964011694291293E-2</v>
      </c>
      <c r="AN183" s="1">
        <f t="shared" ca="1" si="148"/>
        <v>67</v>
      </c>
      <c r="AO183" s="1">
        <f t="shared" ca="1" si="149"/>
        <v>1</v>
      </c>
      <c r="AQ183" s="1">
        <f t="shared" ca="1" si="150"/>
        <v>38</v>
      </c>
      <c r="AR183" s="1">
        <f t="shared" ca="1" si="151"/>
        <v>3</v>
      </c>
      <c r="AS183" s="1">
        <f t="shared" ca="1" si="152"/>
        <v>74</v>
      </c>
      <c r="AU183" s="1">
        <f t="shared" ca="1" si="153"/>
        <v>104</v>
      </c>
      <c r="AV183" s="1">
        <f t="shared" ca="1" si="154"/>
        <v>10</v>
      </c>
      <c r="AW183" s="1">
        <f t="shared" ca="1" si="155"/>
        <v>2.6046887628313621E-2</v>
      </c>
      <c r="AY183" s="1">
        <f t="shared" ca="1" si="156"/>
        <v>1.1211195727424781</v>
      </c>
      <c r="AZ183" s="1">
        <f t="shared" ca="1" si="157"/>
        <v>355</v>
      </c>
      <c r="BA183" s="1">
        <f t="shared" ca="1" si="158"/>
        <v>2.6101156265623329E-3</v>
      </c>
      <c r="BV183" s="1">
        <f t="shared" ca="1" si="159"/>
        <v>3.3842706456853416E-2</v>
      </c>
      <c r="BW183" s="1">
        <f t="shared" ca="1" si="160"/>
        <v>337</v>
      </c>
      <c r="BX183" s="1">
        <f t="shared" ca="1" si="161"/>
        <v>7.4757827675570607E-3</v>
      </c>
      <c r="BY183" s="1">
        <f t="shared" ca="1" si="162"/>
        <v>7.1151897949827583E-2</v>
      </c>
      <c r="BZ183" s="1">
        <f t="shared" ca="1" si="163"/>
        <v>0.4064634433153721</v>
      </c>
      <c r="CB183" s="1">
        <f t="shared" ca="1" si="164"/>
        <v>387</v>
      </c>
      <c r="CC183" s="1">
        <f t="shared" ca="1" si="165"/>
        <v>13</v>
      </c>
      <c r="CD183" s="1">
        <f t="shared" ca="1" si="166"/>
        <v>0.20150142999350959</v>
      </c>
      <c r="CE183" s="1">
        <f t="shared" ca="1" si="179"/>
        <v>0.67113524932289681</v>
      </c>
      <c r="CF183" s="1">
        <f t="shared" ca="1" si="179"/>
        <v>0.62349948672808009</v>
      </c>
      <c r="CH183" s="3">
        <f t="shared" ca="1" si="168"/>
        <v>0.18916135336177964</v>
      </c>
      <c r="CI183" s="3">
        <f t="shared" ca="1" si="169"/>
        <v>0.39005707178661703</v>
      </c>
      <c r="CJ183" s="3">
        <f t="shared" ca="1" si="170"/>
        <v>1610</v>
      </c>
      <c r="CK183" s="3">
        <f t="shared" ca="1" si="171"/>
        <v>4.0935591768354344E-3</v>
      </c>
      <c r="CL183" s="3">
        <f t="shared" ca="1" si="172"/>
        <v>1</v>
      </c>
      <c r="CM183" s="3"/>
      <c r="CN183" s="1">
        <f t="shared" ca="1" si="173"/>
        <v>1.5143672397648673</v>
      </c>
      <c r="CO183" s="1">
        <f t="shared" ca="1" si="174"/>
        <v>0.14286721079734205</v>
      </c>
      <c r="CP183" s="1">
        <f t="shared" ca="1" si="175"/>
        <v>2</v>
      </c>
      <c r="DH183" s="1">
        <f t="shared" ca="1" si="176"/>
        <v>187</v>
      </c>
      <c r="DI183" s="1">
        <f t="shared" ca="1" si="177"/>
        <v>1.3471018278457255E-2</v>
      </c>
      <c r="DJ183" s="1">
        <f t="shared" ca="1" si="178"/>
        <v>2</v>
      </c>
    </row>
    <row r="184" spans="2:114" x14ac:dyDescent="0.25">
      <c r="B184">
        <f t="shared" ca="1" si="120"/>
        <v>773</v>
      </c>
      <c r="C184">
        <f t="shared" ca="1" si="121"/>
        <v>6</v>
      </c>
      <c r="D184">
        <f t="shared" ca="1" si="122"/>
        <v>0.27824877401238846</v>
      </c>
      <c r="F184" s="1">
        <f t="shared" ca="1" si="123"/>
        <v>20</v>
      </c>
      <c r="G184" s="1">
        <f t="shared" ca="1" si="124"/>
        <v>17</v>
      </c>
      <c r="H184" s="1">
        <f t="shared" ca="1" si="125"/>
        <v>2</v>
      </c>
      <c r="I184" s="1"/>
      <c r="J184" s="1">
        <f t="shared" ca="1" si="126"/>
        <v>20</v>
      </c>
      <c r="K184" s="1">
        <f t="shared" ca="1" si="127"/>
        <v>1.2168009195344456</v>
      </c>
      <c r="L184" s="1">
        <f t="shared" ca="1" si="128"/>
        <v>2</v>
      </c>
      <c r="M184" s="1"/>
      <c r="N184" s="1">
        <f t="shared" ca="1" si="129"/>
        <v>303</v>
      </c>
      <c r="O184" s="1">
        <f t="shared" ca="1" si="130"/>
        <v>47</v>
      </c>
      <c r="P184" s="1"/>
      <c r="Q184" s="1">
        <f t="shared" ca="1" si="131"/>
        <v>2.146519166421065</v>
      </c>
      <c r="R184" s="1">
        <f t="shared" ca="1" si="132"/>
        <v>397</v>
      </c>
      <c r="S184" s="1"/>
      <c r="T184" s="1">
        <f t="shared" ca="1" si="133"/>
        <v>7.9774910693115916E-2</v>
      </c>
      <c r="U184" s="1">
        <f t="shared" ca="1" si="134"/>
        <v>393</v>
      </c>
      <c r="V184" s="1">
        <f t="shared" ca="1" si="135"/>
        <v>4</v>
      </c>
      <c r="W184" s="1"/>
      <c r="X184" s="1">
        <f t="shared" ca="1" si="136"/>
        <v>5.5517277476032083</v>
      </c>
      <c r="Y184" s="1">
        <f t="shared" ca="1" si="137"/>
        <v>0.87728835681478912</v>
      </c>
      <c r="Z184" s="1">
        <f t="shared" ca="1" si="138"/>
        <v>477</v>
      </c>
      <c r="AB184" s="1">
        <f t="shared" ca="1" si="139"/>
        <v>0.55713251521935381</v>
      </c>
      <c r="AC184" s="1">
        <f t="shared" ca="1" si="140"/>
        <v>943</v>
      </c>
      <c r="AD184" s="1">
        <f t="shared" ca="1" si="141"/>
        <v>9.1960572495441889E-5</v>
      </c>
      <c r="AE184" s="1"/>
      <c r="AF184" s="1">
        <f t="shared" ca="1" si="142"/>
        <v>0.57935452633464057</v>
      </c>
      <c r="AG184" s="1">
        <f t="shared" ca="1" si="143"/>
        <v>240</v>
      </c>
      <c r="AH184" s="1">
        <f t="shared" ca="1" si="144"/>
        <v>1.2445457643775156E-3</v>
      </c>
      <c r="AJ184" s="1">
        <f t="shared" ca="1" si="145"/>
        <v>0.43656196120252988</v>
      </c>
      <c r="AK184" s="1">
        <f t="shared" ca="1" si="146"/>
        <v>8.3277863889198237E-5</v>
      </c>
      <c r="AL184" s="1"/>
      <c r="AM184" s="1">
        <f t="shared" ca="1" si="147"/>
        <v>5.9933226049591205E-2</v>
      </c>
      <c r="AN184" s="1">
        <f t="shared" ca="1" si="148"/>
        <v>40</v>
      </c>
      <c r="AO184" s="1">
        <f t="shared" ca="1" si="149"/>
        <v>2</v>
      </c>
      <c r="AQ184" s="1">
        <f t="shared" ca="1" si="150"/>
        <v>51</v>
      </c>
      <c r="AR184" s="1">
        <f t="shared" ca="1" si="151"/>
        <v>7</v>
      </c>
      <c r="AS184" s="1">
        <f t="shared" ca="1" si="152"/>
        <v>57</v>
      </c>
      <c r="AU184" s="1">
        <f t="shared" ca="1" si="153"/>
        <v>385</v>
      </c>
      <c r="AV184" s="1">
        <f t="shared" ca="1" si="154"/>
        <v>4</v>
      </c>
      <c r="AW184" s="1">
        <f t="shared" ca="1" si="155"/>
        <v>0.16159909253703036</v>
      </c>
      <c r="AY184" s="1">
        <f t="shared" ca="1" si="156"/>
        <v>1.5356391767820883</v>
      </c>
      <c r="AZ184" s="1">
        <f t="shared" ca="1" si="157"/>
        <v>432</v>
      </c>
      <c r="BA184" s="1">
        <f t="shared" ca="1" si="158"/>
        <v>3.1701605682566566E-3</v>
      </c>
      <c r="BV184" s="1">
        <f t="shared" ca="1" si="159"/>
        <v>0.48798594049941013</v>
      </c>
      <c r="BW184" s="1">
        <f t="shared" ca="1" si="160"/>
        <v>150</v>
      </c>
      <c r="BX184" s="1">
        <f t="shared" ca="1" si="161"/>
        <v>2.297109754392259E-3</v>
      </c>
      <c r="BY184" s="1">
        <f t="shared" ca="1" si="162"/>
        <v>4.6400641436461519E-2</v>
      </c>
      <c r="BZ184" s="1">
        <f t="shared" ca="1" si="163"/>
        <v>0.82163579158901645</v>
      </c>
      <c r="CB184" s="1">
        <f t="shared" ca="1" si="164"/>
        <v>209</v>
      </c>
      <c r="CC184" s="1">
        <f t="shared" ca="1" si="165"/>
        <v>9</v>
      </c>
      <c r="CD184" s="1">
        <f t="shared" ca="1" si="166"/>
        <v>0.14788441819627363</v>
      </c>
      <c r="CE184" s="1">
        <f t="shared" ca="1" si="179"/>
        <v>0.50045698431411134</v>
      </c>
      <c r="CF184" s="1">
        <f t="shared" ca="1" si="179"/>
        <v>0.99856040706834226</v>
      </c>
      <c r="CH184" s="3">
        <f t="shared" ca="1" si="168"/>
        <v>0.70723670040417308</v>
      </c>
      <c r="CI184" s="3">
        <f t="shared" ca="1" si="169"/>
        <v>0.58065837764546047</v>
      </c>
      <c r="CJ184" s="3">
        <f t="shared" ca="1" si="170"/>
        <v>664</v>
      </c>
      <c r="CK184" s="3">
        <f t="shared" ca="1" si="171"/>
        <v>8.1452295334266071E-3</v>
      </c>
      <c r="CL184" s="3">
        <f t="shared" ca="1" si="172"/>
        <v>0</v>
      </c>
      <c r="CM184" s="3"/>
      <c r="CN184" s="1">
        <f t="shared" ca="1" si="173"/>
        <v>12.750756686244552</v>
      </c>
      <c r="CO184" s="1">
        <f t="shared" ca="1" si="174"/>
        <v>0.20485289841469578</v>
      </c>
      <c r="CP184" s="1">
        <f t="shared" ca="1" si="175"/>
        <v>1</v>
      </c>
      <c r="DH184" s="1">
        <f t="shared" ca="1" si="176"/>
        <v>21</v>
      </c>
      <c r="DI184" s="1">
        <f t="shared" ca="1" si="177"/>
        <v>0.20181793361270142</v>
      </c>
      <c r="DJ184" s="1">
        <f t="shared" ca="1" si="178"/>
        <v>6</v>
      </c>
    </row>
    <row r="185" spans="2:114" x14ac:dyDescent="0.25">
      <c r="B185">
        <f t="shared" ca="1" si="120"/>
        <v>328</v>
      </c>
      <c r="C185">
        <f t="shared" ca="1" si="121"/>
        <v>26</v>
      </c>
      <c r="D185">
        <f t="shared" ca="1" si="122"/>
        <v>2.4690767506992846E-2</v>
      </c>
      <c r="F185" s="1">
        <f t="shared" ca="1" si="123"/>
        <v>20</v>
      </c>
      <c r="G185" s="1">
        <f t="shared" ca="1" si="124"/>
        <v>30</v>
      </c>
      <c r="H185" s="1">
        <f t="shared" ca="1" si="125"/>
        <v>9</v>
      </c>
      <c r="I185" s="1"/>
      <c r="J185" s="1">
        <f t="shared" ca="1" si="126"/>
        <v>23</v>
      </c>
      <c r="K185" s="1">
        <f t="shared" ca="1" si="127"/>
        <v>2.6604540603771567</v>
      </c>
      <c r="L185" s="1">
        <f t="shared" ca="1" si="128"/>
        <v>5</v>
      </c>
      <c r="M185" s="1"/>
      <c r="N185" s="1">
        <f t="shared" ca="1" si="129"/>
        <v>831</v>
      </c>
      <c r="O185" s="1">
        <f t="shared" ca="1" si="130"/>
        <v>38</v>
      </c>
      <c r="P185" s="1"/>
      <c r="Q185" s="1">
        <f t="shared" ca="1" si="131"/>
        <v>4.3812171825166715</v>
      </c>
      <c r="R185" s="1">
        <f t="shared" ca="1" si="132"/>
        <v>771</v>
      </c>
      <c r="S185" s="1"/>
      <c r="T185" s="1">
        <f t="shared" ca="1" si="133"/>
        <v>0.13411302194964927</v>
      </c>
      <c r="U185" s="1">
        <f t="shared" ca="1" si="134"/>
        <v>142</v>
      </c>
      <c r="V185" s="1">
        <f t="shared" ca="1" si="135"/>
        <v>47</v>
      </c>
      <c r="W185" s="1"/>
      <c r="X185" s="1">
        <f t="shared" ca="1" si="136"/>
        <v>0.14765308645887845</v>
      </c>
      <c r="Y185" s="1">
        <f t="shared" ca="1" si="137"/>
        <v>0.95947353956056391</v>
      </c>
      <c r="Z185" s="1">
        <f t="shared" ca="1" si="138"/>
        <v>1529</v>
      </c>
      <c r="AB185" s="1">
        <f t="shared" ca="1" si="139"/>
        <v>0.11078331996351688</v>
      </c>
      <c r="AC185" s="1">
        <f t="shared" ca="1" si="140"/>
        <v>532</v>
      </c>
      <c r="AD185" s="1">
        <f t="shared" ca="1" si="141"/>
        <v>5.5674472523993207E-3</v>
      </c>
      <c r="AE185" s="1"/>
      <c r="AF185" s="1">
        <f t="shared" ca="1" si="142"/>
        <v>0.60623517179635988</v>
      </c>
      <c r="AG185" s="1">
        <f t="shared" ca="1" si="143"/>
        <v>855</v>
      </c>
      <c r="AH185" s="1">
        <f t="shared" ca="1" si="144"/>
        <v>8.5683617046520798E-3</v>
      </c>
      <c r="AJ185" s="1">
        <f t="shared" ca="1" si="145"/>
        <v>0.86098634367249149</v>
      </c>
      <c r="AK185" s="1">
        <f t="shared" ca="1" si="146"/>
        <v>5.7361885883369292E-3</v>
      </c>
      <c r="AL185" s="1"/>
      <c r="AM185" s="1">
        <f t="shared" ca="1" si="147"/>
        <v>0.18117640470173316</v>
      </c>
      <c r="AN185" s="1">
        <f t="shared" ca="1" si="148"/>
        <v>75</v>
      </c>
      <c r="AO185" s="1">
        <f t="shared" ca="1" si="149"/>
        <v>16</v>
      </c>
      <c r="AQ185" s="1">
        <f t="shared" ca="1" si="150"/>
        <v>76</v>
      </c>
      <c r="AR185" s="1">
        <f t="shared" ca="1" si="151"/>
        <v>9</v>
      </c>
      <c r="AS185" s="1">
        <f t="shared" ca="1" si="152"/>
        <v>8</v>
      </c>
      <c r="AU185" s="1">
        <f t="shared" ca="1" si="153"/>
        <v>84</v>
      </c>
      <c r="AV185" s="1">
        <f t="shared" ca="1" si="154"/>
        <v>4</v>
      </c>
      <c r="AW185" s="1">
        <f t="shared" ca="1" si="155"/>
        <v>0.17137685548397155</v>
      </c>
      <c r="AY185" s="1">
        <f t="shared" ca="1" si="156"/>
        <v>1.118075591240441</v>
      </c>
      <c r="AZ185" s="1">
        <f t="shared" ca="1" si="157"/>
        <v>130</v>
      </c>
      <c r="BA185" s="1">
        <f t="shared" ca="1" si="158"/>
        <v>1.9575881458950908E-3</v>
      </c>
      <c r="BV185" s="1">
        <f t="shared" ca="1" si="159"/>
        <v>0.69193773694041349</v>
      </c>
      <c r="BW185" s="1">
        <f t="shared" ca="1" si="160"/>
        <v>451</v>
      </c>
      <c r="BX185" s="1">
        <f t="shared" ca="1" si="161"/>
        <v>2.6773884078680741E-3</v>
      </c>
      <c r="BY185" s="1">
        <f t="shared" ca="1" si="162"/>
        <v>4.4442521400509728E-2</v>
      </c>
      <c r="BZ185" s="1">
        <f t="shared" ca="1" si="163"/>
        <v>0.15973863970806113</v>
      </c>
      <c r="CB185" s="1">
        <f t="shared" ca="1" si="164"/>
        <v>316</v>
      </c>
      <c r="CC185" s="1">
        <f t="shared" ca="1" si="165"/>
        <v>3</v>
      </c>
      <c r="CD185" s="1">
        <f t="shared" ca="1" si="166"/>
        <v>0.21048575409262324</v>
      </c>
      <c r="CE185" s="1">
        <f t="shared" ca="1" si="179"/>
        <v>0.5416320396799732</v>
      </c>
      <c r="CF185" s="1">
        <f t="shared" ca="1" si="179"/>
        <v>0.78812361225057481</v>
      </c>
      <c r="CH185" s="3">
        <f t="shared" ca="1" si="168"/>
        <v>0.43577173921604617</v>
      </c>
      <c r="CI185" s="3">
        <f t="shared" ca="1" si="169"/>
        <v>0.27081272387400979</v>
      </c>
      <c r="CJ185" s="3">
        <f t="shared" ca="1" si="170"/>
        <v>1624</v>
      </c>
      <c r="CK185" s="3">
        <f t="shared" ca="1" si="171"/>
        <v>2.6885290280077262E-3</v>
      </c>
      <c r="CL185" s="3">
        <f t="shared" ca="1" si="172"/>
        <v>0</v>
      </c>
      <c r="CM185" s="3"/>
      <c r="CN185" s="1">
        <f t="shared" ca="1" si="173"/>
        <v>19.373164548178138</v>
      </c>
      <c r="CO185" s="1">
        <f t="shared" ca="1" si="174"/>
        <v>0.35559340597806555</v>
      </c>
      <c r="CP185" s="1">
        <f t="shared" ca="1" si="175"/>
        <v>3</v>
      </c>
      <c r="DH185" s="1">
        <f t="shared" ca="1" si="176"/>
        <v>178</v>
      </c>
      <c r="DI185" s="1">
        <f t="shared" ca="1" si="177"/>
        <v>0.96687186243720014</v>
      </c>
      <c r="DJ185" s="1">
        <f t="shared" ca="1" si="178"/>
        <v>9</v>
      </c>
    </row>
    <row r="186" spans="2:114" x14ac:dyDescent="0.25">
      <c r="B186">
        <f t="shared" ca="1" si="120"/>
        <v>850</v>
      </c>
      <c r="C186">
        <f t="shared" ca="1" si="121"/>
        <v>49</v>
      </c>
      <c r="D186">
        <f t="shared" ca="1" si="122"/>
        <v>0.12245244325932984</v>
      </c>
      <c r="F186" s="1">
        <f t="shared" ca="1" si="123"/>
        <v>18</v>
      </c>
      <c r="G186" s="1">
        <f t="shared" ca="1" si="124"/>
        <v>8</v>
      </c>
      <c r="H186" s="1">
        <f t="shared" ca="1" si="125"/>
        <v>4</v>
      </c>
      <c r="I186" s="1"/>
      <c r="J186" s="1">
        <f t="shared" ca="1" si="126"/>
        <v>12</v>
      </c>
      <c r="K186" s="1">
        <f t="shared" ca="1" si="127"/>
        <v>2.9708595374408793</v>
      </c>
      <c r="L186" s="1">
        <f t="shared" ca="1" si="128"/>
        <v>18</v>
      </c>
      <c r="M186" s="1"/>
      <c r="N186" s="1">
        <f t="shared" ca="1" si="129"/>
        <v>577</v>
      </c>
      <c r="O186" s="1">
        <f t="shared" ca="1" si="130"/>
        <v>30</v>
      </c>
      <c r="P186" s="1"/>
      <c r="Q186" s="1">
        <f t="shared" ca="1" si="131"/>
        <v>2.1695494879695558</v>
      </c>
      <c r="R186" s="1">
        <f t="shared" ca="1" si="132"/>
        <v>676</v>
      </c>
      <c r="S186" s="1"/>
      <c r="T186" s="1">
        <f t="shared" ca="1" si="133"/>
        <v>0.12566378855675192</v>
      </c>
      <c r="U186" s="1">
        <f t="shared" ca="1" si="134"/>
        <v>121</v>
      </c>
      <c r="V186" s="1">
        <f t="shared" ca="1" si="135"/>
        <v>3</v>
      </c>
      <c r="W186" s="1"/>
      <c r="X186" s="1">
        <f t="shared" ca="1" si="136"/>
        <v>2.4376657914579916</v>
      </c>
      <c r="Y186" s="1">
        <f t="shared" ca="1" si="137"/>
        <v>0.95759085872521366</v>
      </c>
      <c r="Z186" s="1">
        <f t="shared" ca="1" si="138"/>
        <v>643</v>
      </c>
      <c r="AB186" s="1">
        <f t="shared" ca="1" si="139"/>
        <v>0.58786748197393479</v>
      </c>
      <c r="AC186" s="1">
        <f t="shared" ca="1" si="140"/>
        <v>777</v>
      </c>
      <c r="AD186" s="1">
        <f t="shared" ca="1" si="141"/>
        <v>6.5138577629640093E-3</v>
      </c>
      <c r="AE186" s="1"/>
      <c r="AF186" s="1">
        <f t="shared" ca="1" si="142"/>
        <v>0.15686706338444356</v>
      </c>
      <c r="AG186" s="1">
        <f t="shared" ca="1" si="143"/>
        <v>583</v>
      </c>
      <c r="AH186" s="1">
        <f t="shared" ca="1" si="144"/>
        <v>9.0614362529132537E-3</v>
      </c>
      <c r="AJ186" s="1">
        <f t="shared" ca="1" si="145"/>
        <v>0.34505460452455772</v>
      </c>
      <c r="AK186" s="1">
        <f t="shared" ca="1" si="146"/>
        <v>5.043099885681186E-3</v>
      </c>
      <c r="AL186" s="1"/>
      <c r="AM186" s="1">
        <f t="shared" ca="1" si="147"/>
        <v>0.13573242962119986</v>
      </c>
      <c r="AN186" s="1">
        <f t="shared" ca="1" si="148"/>
        <v>14</v>
      </c>
      <c r="AO186" s="1">
        <f t="shared" ca="1" si="149"/>
        <v>0</v>
      </c>
      <c r="AQ186" s="1">
        <f t="shared" ca="1" si="150"/>
        <v>74</v>
      </c>
      <c r="AR186" s="1">
        <f t="shared" ca="1" si="151"/>
        <v>4</v>
      </c>
      <c r="AS186" s="1">
        <f t="shared" ca="1" si="152"/>
        <v>40</v>
      </c>
      <c r="AU186" s="1">
        <f t="shared" ca="1" si="153"/>
        <v>187</v>
      </c>
      <c r="AV186" s="1">
        <f t="shared" ca="1" si="154"/>
        <v>10</v>
      </c>
      <c r="AW186" s="1">
        <f t="shared" ca="1" si="155"/>
        <v>0.16274554237651276</v>
      </c>
      <c r="AY186" s="1">
        <f t="shared" ca="1" si="156"/>
        <v>1.6068495941732417</v>
      </c>
      <c r="AZ186" s="1">
        <f t="shared" ca="1" si="157"/>
        <v>294</v>
      </c>
      <c r="BA186" s="1">
        <f t="shared" ca="1" si="158"/>
        <v>9.3713432801607304E-3</v>
      </c>
      <c r="BV186" s="1">
        <f t="shared" ca="1" si="159"/>
        <v>0.47227806935883981</v>
      </c>
      <c r="BW186" s="1">
        <f t="shared" ca="1" si="160"/>
        <v>251</v>
      </c>
      <c r="BX186" s="1">
        <f t="shared" ca="1" si="161"/>
        <v>3.2420850492172718E-3</v>
      </c>
      <c r="BY186" s="1">
        <f t="shared" ca="1" si="162"/>
        <v>3.6849934342939052E-3</v>
      </c>
      <c r="BZ186" s="1">
        <f t="shared" ca="1" si="163"/>
        <v>0.39814379412342649</v>
      </c>
      <c r="CB186" s="1">
        <f t="shared" ca="1" si="164"/>
        <v>192</v>
      </c>
      <c r="CC186" s="1">
        <f t="shared" ca="1" si="165"/>
        <v>4</v>
      </c>
      <c r="CD186" s="1">
        <f t="shared" ca="1" si="166"/>
        <v>0.18313643875707603</v>
      </c>
      <c r="CE186" s="1">
        <f t="shared" ca="1" si="179"/>
        <v>0.73975109544555351</v>
      </c>
      <c r="CF186" s="1">
        <f t="shared" ca="1" si="179"/>
        <v>0.71404503264131036</v>
      </c>
      <c r="CH186" s="3">
        <f t="shared" ca="1" si="168"/>
        <v>0.32499406802490627</v>
      </c>
      <c r="CI186" s="3">
        <f t="shared" ca="1" si="169"/>
        <v>0.94486115752011735</v>
      </c>
      <c r="CJ186" s="3">
        <f t="shared" ca="1" si="170"/>
        <v>1634</v>
      </c>
      <c r="CK186" s="3">
        <f t="shared" ca="1" si="171"/>
        <v>5.7156227846530674E-3</v>
      </c>
      <c r="CL186" s="3">
        <f t="shared" ca="1" si="172"/>
        <v>1</v>
      </c>
      <c r="CM186" s="3"/>
      <c r="CN186" s="1">
        <f t="shared" ca="1" si="173"/>
        <v>8.046245366201763</v>
      </c>
      <c r="CO186" s="1">
        <f t="shared" ca="1" si="174"/>
        <v>0.25808771924765311</v>
      </c>
      <c r="CP186" s="1">
        <f t="shared" ca="1" si="175"/>
        <v>5</v>
      </c>
      <c r="DH186" s="1">
        <f t="shared" ca="1" si="176"/>
        <v>279</v>
      </c>
      <c r="DI186" s="1">
        <f t="shared" ca="1" si="177"/>
        <v>0.29111734163958763</v>
      </c>
      <c r="DJ186" s="1">
        <f t="shared" ca="1" si="178"/>
        <v>18</v>
      </c>
    </row>
    <row r="187" spans="2:114" x14ac:dyDescent="0.25">
      <c r="B187">
        <f t="shared" ca="1" si="120"/>
        <v>482</v>
      </c>
      <c r="C187">
        <f t="shared" ca="1" si="121"/>
        <v>5</v>
      </c>
      <c r="D187">
        <f t="shared" ca="1" si="122"/>
        <v>0.26149861465340601</v>
      </c>
      <c r="F187" s="1">
        <f t="shared" ca="1" si="123"/>
        <v>5</v>
      </c>
      <c r="G187" s="1">
        <f t="shared" ca="1" si="124"/>
        <v>15</v>
      </c>
      <c r="H187" s="1">
        <f t="shared" ca="1" si="125"/>
        <v>6</v>
      </c>
      <c r="I187" s="1"/>
      <c r="J187" s="1">
        <f t="shared" ca="1" si="126"/>
        <v>7</v>
      </c>
      <c r="K187" s="1">
        <f t="shared" ca="1" si="127"/>
        <v>2.0506742183060656</v>
      </c>
      <c r="L187" s="1">
        <f t="shared" ca="1" si="128"/>
        <v>34</v>
      </c>
      <c r="M187" s="1"/>
      <c r="N187" s="1">
        <f t="shared" ca="1" si="129"/>
        <v>325</v>
      </c>
      <c r="O187" s="1">
        <f t="shared" ca="1" si="130"/>
        <v>26</v>
      </c>
      <c r="P187" s="1"/>
      <c r="Q187" s="1">
        <f t="shared" ca="1" si="131"/>
        <v>1.4472774379202435</v>
      </c>
      <c r="R187" s="1">
        <f t="shared" ca="1" si="132"/>
        <v>883</v>
      </c>
      <c r="S187" s="1"/>
      <c r="T187" s="1">
        <f t="shared" ca="1" si="133"/>
        <v>0.14720044078827491</v>
      </c>
      <c r="U187" s="1">
        <f t="shared" ca="1" si="134"/>
        <v>242</v>
      </c>
      <c r="V187" s="1">
        <f t="shared" ca="1" si="135"/>
        <v>35</v>
      </c>
      <c r="W187" s="1"/>
      <c r="X187" s="1">
        <f t="shared" ca="1" si="136"/>
        <v>7.5671347879970172</v>
      </c>
      <c r="Y187" s="1">
        <f t="shared" ca="1" si="137"/>
        <v>9.8646483486131351E-2</v>
      </c>
      <c r="Z187" s="1">
        <f t="shared" ca="1" si="138"/>
        <v>205</v>
      </c>
      <c r="AB187" s="1">
        <f t="shared" ca="1" si="139"/>
        <v>0.76696802873400727</v>
      </c>
      <c r="AC187" s="1">
        <f t="shared" ca="1" si="140"/>
        <v>949</v>
      </c>
      <c r="AD187" s="1">
        <f t="shared" ca="1" si="141"/>
        <v>2.0264057484764768E-3</v>
      </c>
      <c r="AE187" s="1"/>
      <c r="AF187" s="1">
        <f t="shared" ca="1" si="142"/>
        <v>0.30362218605183849</v>
      </c>
      <c r="AG187" s="1">
        <f t="shared" ca="1" si="143"/>
        <v>848</v>
      </c>
      <c r="AH187" s="1">
        <f t="shared" ca="1" si="144"/>
        <v>3.4553560007937068E-3</v>
      </c>
      <c r="AJ187" s="1">
        <f t="shared" ca="1" si="145"/>
        <v>0.29202257115421981</v>
      </c>
      <c r="AK187" s="1">
        <f t="shared" ca="1" si="146"/>
        <v>8.2632965065535975E-3</v>
      </c>
      <c r="AL187" s="1"/>
      <c r="AM187" s="1">
        <f t="shared" ca="1" si="147"/>
        <v>3.0504180929275239E-2</v>
      </c>
      <c r="AN187" s="1">
        <f t="shared" ca="1" si="148"/>
        <v>73</v>
      </c>
      <c r="AO187" s="1">
        <f t="shared" ca="1" si="149"/>
        <v>16</v>
      </c>
      <c r="AQ187" s="1">
        <f t="shared" ca="1" si="150"/>
        <v>26</v>
      </c>
      <c r="AR187" s="1">
        <f t="shared" ca="1" si="151"/>
        <v>2</v>
      </c>
      <c r="AS187" s="1">
        <f t="shared" ca="1" si="152"/>
        <v>46</v>
      </c>
      <c r="AU187" s="1">
        <f t="shared" ca="1" si="153"/>
        <v>354</v>
      </c>
      <c r="AV187" s="1">
        <f t="shared" ca="1" si="154"/>
        <v>10</v>
      </c>
      <c r="AW187" s="1">
        <f t="shared" ca="1" si="155"/>
        <v>9.9072370021870082E-2</v>
      </c>
      <c r="AY187" s="1">
        <f t="shared" ca="1" si="156"/>
        <v>1.984871179491418</v>
      </c>
      <c r="AZ187" s="1">
        <f t="shared" ca="1" si="157"/>
        <v>104</v>
      </c>
      <c r="BA187" s="1">
        <f t="shared" ca="1" si="158"/>
        <v>5.2769997715631824E-3</v>
      </c>
      <c r="BV187" s="1">
        <f t="shared" ca="1" si="159"/>
        <v>0.83005851701888722</v>
      </c>
      <c r="BW187" s="1">
        <f t="shared" ca="1" si="160"/>
        <v>848</v>
      </c>
      <c r="BX187" s="1">
        <f t="shared" ca="1" si="161"/>
        <v>6.2225137887188261E-5</v>
      </c>
      <c r="BY187" s="1">
        <f t="shared" ca="1" si="162"/>
        <v>9.0467888104955943E-2</v>
      </c>
      <c r="BZ187" s="1">
        <f t="shared" ca="1" si="163"/>
        <v>0.35020494248431455</v>
      </c>
      <c r="CB187" s="1">
        <f t="shared" ca="1" si="164"/>
        <v>82</v>
      </c>
      <c r="CC187" s="1">
        <f t="shared" ca="1" si="165"/>
        <v>6</v>
      </c>
      <c r="CD187" s="1">
        <f t="shared" ca="1" si="166"/>
        <v>8.7332476865116443E-2</v>
      </c>
      <c r="CE187" s="1">
        <f t="shared" ca="1" si="179"/>
        <v>0.7219196358251323</v>
      </c>
      <c r="CF187" s="1">
        <f t="shared" ca="1" si="179"/>
        <v>0.98214802499317355</v>
      </c>
      <c r="CH187" s="3">
        <f t="shared" ca="1" si="168"/>
        <v>0.49712402325529764</v>
      </c>
      <c r="CI187" s="3">
        <f t="shared" ca="1" si="169"/>
        <v>0.68950129171422392</v>
      </c>
      <c r="CJ187" s="3">
        <f t="shared" ca="1" si="170"/>
        <v>654</v>
      </c>
      <c r="CK187" s="3">
        <f t="shared" ca="1" si="171"/>
        <v>1.9792132595400396E-4</v>
      </c>
      <c r="CL187" s="3">
        <f t="shared" ca="1" si="172"/>
        <v>0</v>
      </c>
      <c r="CM187" s="3"/>
      <c r="CN187" s="1">
        <f t="shared" ca="1" si="173"/>
        <v>7.0703577842712964</v>
      </c>
      <c r="CO187" s="1">
        <f t="shared" ca="1" si="174"/>
        <v>0.11333117957829834</v>
      </c>
      <c r="CP187" s="1">
        <f t="shared" ca="1" si="175"/>
        <v>2</v>
      </c>
      <c r="DH187" s="1">
        <f t="shared" ca="1" si="176"/>
        <v>580</v>
      </c>
      <c r="DI187" s="1">
        <f t="shared" ca="1" si="177"/>
        <v>3.66231914586009E-2</v>
      </c>
      <c r="DJ187" s="1">
        <f t="shared" ca="1" si="178"/>
        <v>22</v>
      </c>
    </row>
    <row r="188" spans="2:114" x14ac:dyDescent="0.25">
      <c r="B188">
        <f t="shared" ca="1" si="120"/>
        <v>401</v>
      </c>
      <c r="C188">
        <f t="shared" ca="1" si="121"/>
        <v>52</v>
      </c>
      <c r="D188">
        <f t="shared" ca="1" si="122"/>
        <v>0.18638868258895852</v>
      </c>
      <c r="F188" s="1">
        <f t="shared" ca="1" si="123"/>
        <v>22</v>
      </c>
      <c r="G188" s="1">
        <f t="shared" ca="1" si="124"/>
        <v>3</v>
      </c>
      <c r="H188" s="1">
        <f t="shared" ca="1" si="125"/>
        <v>12</v>
      </c>
      <c r="I188" s="1"/>
      <c r="J188" s="1">
        <f t="shared" ca="1" si="126"/>
        <v>19</v>
      </c>
      <c r="K188" s="1">
        <f t="shared" ca="1" si="127"/>
        <v>2.1122861419987053</v>
      </c>
      <c r="L188" s="1">
        <f t="shared" ca="1" si="128"/>
        <v>28</v>
      </c>
      <c r="M188" s="1"/>
      <c r="N188" s="1">
        <f t="shared" ca="1" si="129"/>
        <v>756</v>
      </c>
      <c r="O188" s="1">
        <f t="shared" ca="1" si="130"/>
        <v>24</v>
      </c>
      <c r="P188" s="1"/>
      <c r="Q188" s="1">
        <f t="shared" ca="1" si="131"/>
        <v>2.867021648075061</v>
      </c>
      <c r="R188" s="1">
        <f t="shared" ca="1" si="132"/>
        <v>303</v>
      </c>
      <c r="S188" s="1"/>
      <c r="T188" s="1">
        <f t="shared" ca="1" si="133"/>
        <v>3.4991000084851488E-2</v>
      </c>
      <c r="U188" s="1">
        <f t="shared" ca="1" si="134"/>
        <v>202</v>
      </c>
      <c r="V188" s="1">
        <f t="shared" ca="1" si="135"/>
        <v>6</v>
      </c>
      <c r="W188" s="1"/>
      <c r="X188" s="1">
        <f t="shared" ca="1" si="136"/>
        <v>5.8065818854577369</v>
      </c>
      <c r="Y188" s="1">
        <f t="shared" ca="1" si="137"/>
        <v>0.80148516013918103</v>
      </c>
      <c r="Z188" s="1">
        <f t="shared" ca="1" si="138"/>
        <v>970</v>
      </c>
      <c r="AB188" s="1">
        <f t="shared" ca="1" si="139"/>
        <v>0.72436163067938708</v>
      </c>
      <c r="AC188" s="1">
        <f t="shared" ca="1" si="140"/>
        <v>831</v>
      </c>
      <c r="AD188" s="1">
        <f t="shared" ca="1" si="141"/>
        <v>6.4285339413868853E-3</v>
      </c>
      <c r="AE188" s="1"/>
      <c r="AF188" s="1">
        <f t="shared" ca="1" si="142"/>
        <v>0.61824344860373093</v>
      </c>
      <c r="AG188" s="1">
        <f t="shared" ca="1" si="143"/>
        <v>820</v>
      </c>
      <c r="AH188" s="1">
        <f t="shared" ca="1" si="144"/>
        <v>2.162906354319752E-3</v>
      </c>
      <c r="AJ188" s="1">
        <f t="shared" ca="1" si="145"/>
        <v>0.13826309721173935</v>
      </c>
      <c r="AK188" s="1">
        <f t="shared" ca="1" si="146"/>
        <v>7.9039741066281553E-3</v>
      </c>
      <c r="AL188" s="1"/>
      <c r="AM188" s="1">
        <f t="shared" ca="1" si="147"/>
        <v>6.8074518687251687E-2</v>
      </c>
      <c r="AN188" s="1">
        <f t="shared" ca="1" si="148"/>
        <v>21</v>
      </c>
      <c r="AO188" s="1">
        <f t="shared" ca="1" si="149"/>
        <v>0</v>
      </c>
      <c r="AQ188" s="1">
        <f t="shared" ca="1" si="150"/>
        <v>79</v>
      </c>
      <c r="AR188" s="1">
        <f t="shared" ca="1" si="151"/>
        <v>0</v>
      </c>
      <c r="AS188" s="1">
        <f t="shared" ca="1" si="152"/>
        <v>76</v>
      </c>
      <c r="AU188" s="1">
        <f t="shared" ca="1" si="153"/>
        <v>160</v>
      </c>
      <c r="AV188" s="1">
        <f t="shared" ca="1" si="154"/>
        <v>9</v>
      </c>
      <c r="AW188" s="1">
        <f t="shared" ca="1" si="155"/>
        <v>6.1206972716049017E-2</v>
      </c>
      <c r="AY188" s="1">
        <f t="shared" ca="1" si="156"/>
        <v>1.9129263783504133</v>
      </c>
      <c r="AZ188" s="1">
        <f t="shared" ca="1" si="157"/>
        <v>237</v>
      </c>
      <c r="BA188" s="1">
        <f t="shared" ca="1" si="158"/>
        <v>4.8935326654036462E-3</v>
      </c>
      <c r="BV188" s="1">
        <f t="shared" ca="1" si="159"/>
        <v>0.61889163259000057</v>
      </c>
      <c r="BW188" s="1">
        <f t="shared" ca="1" si="160"/>
        <v>641</v>
      </c>
      <c r="BX188" s="1">
        <f t="shared" ca="1" si="161"/>
        <v>9.5025030464734525E-3</v>
      </c>
      <c r="BY188" s="1">
        <f t="shared" ca="1" si="162"/>
        <v>3.6318994736380505E-2</v>
      </c>
      <c r="BZ188" s="1">
        <f t="shared" ca="1" si="163"/>
        <v>0.84073607609892498</v>
      </c>
      <c r="CB188" s="1">
        <f t="shared" ca="1" si="164"/>
        <v>499</v>
      </c>
      <c r="CC188" s="1">
        <f t="shared" ca="1" si="165"/>
        <v>12</v>
      </c>
      <c r="CD188" s="1">
        <f t="shared" ca="1" si="166"/>
        <v>3.8509848706673941E-2</v>
      </c>
      <c r="CE188" s="1">
        <f t="shared" ca="1" si="179"/>
        <v>0.65407992895675571</v>
      </c>
      <c r="CF188" s="1">
        <f t="shared" ca="1" si="179"/>
        <v>0.79325684353598569</v>
      </c>
      <c r="CH188" s="3">
        <f t="shared" ca="1" si="168"/>
        <v>0.68268552150298301</v>
      </c>
      <c r="CI188" s="3">
        <f t="shared" ca="1" si="169"/>
        <v>0.10195690638130196</v>
      </c>
      <c r="CJ188" s="3">
        <f t="shared" ca="1" si="170"/>
        <v>489</v>
      </c>
      <c r="CK188" s="3">
        <f t="shared" ca="1" si="171"/>
        <v>8.7168354277940355E-3</v>
      </c>
      <c r="CL188" s="3">
        <f t="shared" ca="1" si="172"/>
        <v>1</v>
      </c>
      <c r="CM188" s="3"/>
      <c r="CN188" s="1">
        <f t="shared" ca="1" si="173"/>
        <v>4.3787711687971793</v>
      </c>
      <c r="CO188" s="1">
        <f t="shared" ca="1" si="174"/>
        <v>0.309030553732005</v>
      </c>
      <c r="CP188" s="1">
        <f t="shared" ca="1" si="175"/>
        <v>3</v>
      </c>
      <c r="DH188" s="1">
        <f t="shared" ca="1" si="176"/>
        <v>551</v>
      </c>
      <c r="DI188" s="1">
        <f t="shared" ca="1" si="177"/>
        <v>0.83083020021111775</v>
      </c>
      <c r="DJ188" s="1">
        <f t="shared" ca="1" si="178"/>
        <v>11</v>
      </c>
    </row>
    <row r="189" spans="2:114" x14ac:dyDescent="0.25">
      <c r="B189">
        <f t="shared" ca="1" si="120"/>
        <v>695</v>
      </c>
      <c r="C189">
        <f t="shared" ca="1" si="121"/>
        <v>18</v>
      </c>
      <c r="D189">
        <f t="shared" ca="1" si="122"/>
        <v>0.12595740109142178</v>
      </c>
      <c r="F189" s="1">
        <f t="shared" ca="1" si="123"/>
        <v>50</v>
      </c>
      <c r="G189" s="1">
        <f t="shared" ca="1" si="124"/>
        <v>27</v>
      </c>
      <c r="H189" s="1">
        <f t="shared" ca="1" si="125"/>
        <v>5</v>
      </c>
      <c r="I189" s="1"/>
      <c r="J189" s="1">
        <f t="shared" ca="1" si="126"/>
        <v>34</v>
      </c>
      <c r="K189" s="1">
        <f t="shared" ca="1" si="127"/>
        <v>2.2917766059534541</v>
      </c>
      <c r="L189" s="1">
        <f t="shared" ca="1" si="128"/>
        <v>14</v>
      </c>
      <c r="M189" s="1"/>
      <c r="N189" s="1">
        <f t="shared" ca="1" si="129"/>
        <v>848</v>
      </c>
      <c r="O189" s="1">
        <f t="shared" ca="1" si="130"/>
        <v>30</v>
      </c>
      <c r="P189" s="1"/>
      <c r="Q189" s="1">
        <f t="shared" ca="1" si="131"/>
        <v>0.55742807470611377</v>
      </c>
      <c r="R189" s="1">
        <f t="shared" ca="1" si="132"/>
        <v>701</v>
      </c>
      <c r="S189" s="1"/>
      <c r="T189" s="1">
        <f t="shared" ca="1" si="133"/>
        <v>0.1434485349540488</v>
      </c>
      <c r="U189" s="1">
        <f t="shared" ca="1" si="134"/>
        <v>447</v>
      </c>
      <c r="V189" s="1">
        <f t="shared" ca="1" si="135"/>
        <v>27</v>
      </c>
      <c r="W189" s="1"/>
      <c r="X189" s="1">
        <f t="shared" ca="1" si="136"/>
        <v>7.336515347806202</v>
      </c>
      <c r="Y189" s="1">
        <f t="shared" ca="1" si="137"/>
        <v>0.9677659950012707</v>
      </c>
      <c r="Z189" s="1">
        <f t="shared" ca="1" si="138"/>
        <v>944</v>
      </c>
      <c r="AB189" s="1">
        <f t="shared" ca="1" si="139"/>
        <v>0.13372124657761578</v>
      </c>
      <c r="AC189" s="1">
        <f t="shared" ca="1" si="140"/>
        <v>191</v>
      </c>
      <c r="AD189" s="1">
        <f t="shared" ca="1" si="141"/>
        <v>7.0660150055264727E-3</v>
      </c>
      <c r="AE189" s="1"/>
      <c r="AF189" s="1">
        <f t="shared" ca="1" si="142"/>
        <v>0.16195147146574673</v>
      </c>
      <c r="AG189" s="1">
        <f t="shared" ca="1" si="143"/>
        <v>205</v>
      </c>
      <c r="AH189" s="1">
        <f t="shared" ca="1" si="144"/>
        <v>9.0365130756364584E-3</v>
      </c>
      <c r="AJ189" s="1">
        <f t="shared" ca="1" si="145"/>
        <v>0.89127710550971873</v>
      </c>
      <c r="AK189" s="1">
        <f t="shared" ca="1" si="146"/>
        <v>2.9665492004336659E-3</v>
      </c>
      <c r="AL189" s="1"/>
      <c r="AM189" s="1">
        <f t="shared" ca="1" si="147"/>
        <v>6.6358301852715129E-2</v>
      </c>
      <c r="AN189" s="1">
        <f t="shared" ca="1" si="148"/>
        <v>26</v>
      </c>
      <c r="AO189" s="1">
        <f t="shared" ca="1" si="149"/>
        <v>20</v>
      </c>
      <c r="AQ189" s="1">
        <f t="shared" ca="1" si="150"/>
        <v>119</v>
      </c>
      <c r="AR189" s="1">
        <f t="shared" ca="1" si="151"/>
        <v>0</v>
      </c>
      <c r="AS189" s="1">
        <f t="shared" ca="1" si="152"/>
        <v>30</v>
      </c>
      <c r="AU189" s="1">
        <f t="shared" ca="1" si="153"/>
        <v>57</v>
      </c>
      <c r="AV189" s="1">
        <f t="shared" ca="1" si="154"/>
        <v>4</v>
      </c>
      <c r="AW189" s="1">
        <f t="shared" ca="1" si="155"/>
        <v>1.0964254367682663E-2</v>
      </c>
      <c r="AY189" s="1">
        <f t="shared" ca="1" si="156"/>
        <v>1.2049030092626778</v>
      </c>
      <c r="AZ189" s="1">
        <f t="shared" ca="1" si="157"/>
        <v>142</v>
      </c>
      <c r="BA189" s="1">
        <f t="shared" ca="1" si="158"/>
        <v>6.4945058216305182E-3</v>
      </c>
      <c r="BV189" s="1">
        <f t="shared" ca="1" si="159"/>
        <v>7.2125036226516295E-2</v>
      </c>
      <c r="BW189" s="1">
        <f t="shared" ca="1" si="160"/>
        <v>372</v>
      </c>
      <c r="BX189" s="1">
        <f t="shared" ca="1" si="161"/>
        <v>3.7583074870791676E-3</v>
      </c>
      <c r="BY189" s="1">
        <f t="shared" ca="1" si="162"/>
        <v>7.4678488229153697E-2</v>
      </c>
      <c r="BZ189" s="1">
        <f t="shared" ca="1" si="163"/>
        <v>0.302349727538754</v>
      </c>
      <c r="CB189" s="1">
        <f t="shared" ca="1" si="164"/>
        <v>328</v>
      </c>
      <c r="CC189" s="1">
        <f t="shared" ca="1" si="165"/>
        <v>7</v>
      </c>
      <c r="CD189" s="1">
        <f t="shared" ca="1" si="166"/>
        <v>0.25186792924806062</v>
      </c>
      <c r="CE189" s="1">
        <f t="shared" ca="1" si="179"/>
        <v>0.90676719431843467</v>
      </c>
      <c r="CF189" s="1">
        <f t="shared" ca="1" si="179"/>
        <v>0.75867222424975789</v>
      </c>
      <c r="CH189" s="3">
        <f t="shared" ca="1" si="168"/>
        <v>0.27984446620506026</v>
      </c>
      <c r="CI189" s="3">
        <f t="shared" ca="1" si="169"/>
        <v>0.72223145041412795</v>
      </c>
      <c r="CJ189" s="3">
        <f t="shared" ca="1" si="170"/>
        <v>1911</v>
      </c>
      <c r="CK189" s="3">
        <f t="shared" ca="1" si="171"/>
        <v>4.5350203775621585E-3</v>
      </c>
      <c r="CL189" s="3">
        <f t="shared" ca="1" si="172"/>
        <v>0</v>
      </c>
      <c r="CM189" s="3"/>
      <c r="CN189" s="1">
        <f t="shared" ca="1" si="173"/>
        <v>19.279663604471878</v>
      </c>
      <c r="CO189" s="1">
        <f t="shared" ca="1" si="174"/>
        <v>3.9859877593811772E-2</v>
      </c>
      <c r="CP189" s="1">
        <f t="shared" ca="1" si="175"/>
        <v>5</v>
      </c>
      <c r="DH189" s="1">
        <f t="shared" ca="1" si="176"/>
        <v>817</v>
      </c>
      <c r="DI189" s="1">
        <f t="shared" ca="1" si="177"/>
        <v>0.87707414755628232</v>
      </c>
      <c r="DJ189" s="1">
        <f t="shared" ca="1" si="178"/>
        <v>13</v>
      </c>
    </row>
    <row r="190" spans="2:114" x14ac:dyDescent="0.25">
      <c r="B190">
        <f t="shared" ca="1" si="120"/>
        <v>104</v>
      </c>
      <c r="C190">
        <f t="shared" ca="1" si="121"/>
        <v>24</v>
      </c>
      <c r="D190">
        <f t="shared" ca="1" si="122"/>
        <v>0.24632090607832619</v>
      </c>
      <c r="F190" s="1">
        <f t="shared" ca="1" si="123"/>
        <v>29</v>
      </c>
      <c r="G190" s="1">
        <f t="shared" ca="1" si="124"/>
        <v>23</v>
      </c>
      <c r="H190" s="1">
        <f t="shared" ca="1" si="125"/>
        <v>13</v>
      </c>
      <c r="I190" s="1"/>
      <c r="J190" s="1">
        <f t="shared" ca="1" si="126"/>
        <v>6</v>
      </c>
      <c r="K190" s="1">
        <f t="shared" ca="1" si="127"/>
        <v>2.1188017508373758</v>
      </c>
      <c r="L190" s="1">
        <f t="shared" ca="1" si="128"/>
        <v>29</v>
      </c>
      <c r="M190" s="1"/>
      <c r="N190" s="1">
        <f t="shared" ca="1" si="129"/>
        <v>774</v>
      </c>
      <c r="O190" s="1">
        <f t="shared" ca="1" si="130"/>
        <v>3</v>
      </c>
      <c r="P190" s="1"/>
      <c r="Q190" s="1">
        <f t="shared" ca="1" si="131"/>
        <v>2.078817841700356</v>
      </c>
      <c r="R190" s="1">
        <f t="shared" ca="1" si="132"/>
        <v>857</v>
      </c>
      <c r="S190" s="1"/>
      <c r="T190" s="1">
        <f t="shared" ca="1" si="133"/>
        <v>3.6988357355203338E-2</v>
      </c>
      <c r="U190" s="1">
        <f t="shared" ca="1" si="134"/>
        <v>250</v>
      </c>
      <c r="V190" s="1">
        <f t="shared" ca="1" si="135"/>
        <v>4</v>
      </c>
      <c r="W190" s="1"/>
      <c r="X190" s="1">
        <f t="shared" ca="1" si="136"/>
        <v>7.8884022377550043</v>
      </c>
      <c r="Y190" s="1">
        <f t="shared" ca="1" si="137"/>
        <v>0.7936742135611965</v>
      </c>
      <c r="Z190" s="1">
        <f t="shared" ca="1" si="138"/>
        <v>1875</v>
      </c>
      <c r="AB190" s="1">
        <f t="shared" ca="1" si="139"/>
        <v>0.72907848482601623</v>
      </c>
      <c r="AC190" s="1">
        <f t="shared" ca="1" si="140"/>
        <v>510</v>
      </c>
      <c r="AD190" s="1">
        <f t="shared" ca="1" si="141"/>
        <v>4.4435285442606041E-4</v>
      </c>
      <c r="AE190" s="1"/>
      <c r="AF190" s="1">
        <f t="shared" ca="1" si="142"/>
        <v>0.34228571149541831</v>
      </c>
      <c r="AG190" s="1">
        <f t="shared" ca="1" si="143"/>
        <v>144</v>
      </c>
      <c r="AH190" s="1">
        <f t="shared" ca="1" si="144"/>
        <v>3.3074830276711605E-3</v>
      </c>
      <c r="AJ190" s="1">
        <f t="shared" ca="1" si="145"/>
        <v>5.9533659061405952E-4</v>
      </c>
      <c r="AK190" s="1">
        <f t="shared" ca="1" si="146"/>
        <v>6.6061200528779165E-3</v>
      </c>
      <c r="AL190" s="1"/>
      <c r="AM190" s="1">
        <f t="shared" ca="1" si="147"/>
        <v>0.18299754459947959</v>
      </c>
      <c r="AN190" s="1">
        <f t="shared" ca="1" si="148"/>
        <v>12</v>
      </c>
      <c r="AO190" s="1">
        <f t="shared" ca="1" si="149"/>
        <v>5</v>
      </c>
      <c r="AQ190" s="1">
        <f t="shared" ca="1" si="150"/>
        <v>32</v>
      </c>
      <c r="AR190" s="1">
        <f t="shared" ca="1" si="151"/>
        <v>0</v>
      </c>
      <c r="AS190" s="1">
        <f t="shared" ca="1" si="152"/>
        <v>60</v>
      </c>
      <c r="AU190" s="1">
        <f t="shared" ca="1" si="153"/>
        <v>366</v>
      </c>
      <c r="AV190" s="1">
        <f t="shared" ca="1" si="154"/>
        <v>5</v>
      </c>
      <c r="AW190" s="1">
        <f t="shared" ca="1" si="155"/>
        <v>2.9901545889296881E-2</v>
      </c>
      <c r="AY190" s="1">
        <f t="shared" ca="1" si="156"/>
        <v>1.7730364063806505</v>
      </c>
      <c r="AZ190" s="1">
        <f t="shared" ca="1" si="157"/>
        <v>308</v>
      </c>
      <c r="BA190" s="1">
        <f t="shared" ca="1" si="158"/>
        <v>6.2517917161181227E-3</v>
      </c>
      <c r="BV190" s="1">
        <f t="shared" ca="1" si="159"/>
        <v>0.79536955947980215</v>
      </c>
      <c r="BW190" s="1">
        <f t="shared" ca="1" si="160"/>
        <v>921</v>
      </c>
      <c r="BX190" s="1">
        <f t="shared" ca="1" si="161"/>
        <v>6.4792934687792876E-3</v>
      </c>
      <c r="BY190" s="1">
        <f t="shared" ca="1" si="162"/>
        <v>6.7318991288466329E-2</v>
      </c>
      <c r="BZ190" s="1">
        <f t="shared" ca="1" si="163"/>
        <v>0.14528180777998789</v>
      </c>
      <c r="CB190" s="1">
        <f t="shared" ca="1" si="164"/>
        <v>108</v>
      </c>
      <c r="CC190" s="1">
        <f t="shared" ca="1" si="165"/>
        <v>14</v>
      </c>
      <c r="CD190" s="1">
        <f t="shared" ca="1" si="166"/>
        <v>9.375727403595438E-2</v>
      </c>
      <c r="CE190" s="1">
        <f t="shared" ca="1" si="179"/>
        <v>0.86343087434652888</v>
      </c>
      <c r="CF190" s="1">
        <f t="shared" ca="1" si="179"/>
        <v>0.65040097373787331</v>
      </c>
      <c r="CH190" s="3">
        <f t="shared" ca="1" si="168"/>
        <v>0.57897510359358129</v>
      </c>
      <c r="CI190" s="3">
        <f t="shared" ca="1" si="169"/>
        <v>0.27069904385735122</v>
      </c>
      <c r="CJ190" s="3">
        <f t="shared" ca="1" si="170"/>
        <v>1385</v>
      </c>
      <c r="CK190" s="3">
        <f t="shared" ca="1" si="171"/>
        <v>5.5045385782559648E-4</v>
      </c>
      <c r="CL190" s="3">
        <f t="shared" ca="1" si="172"/>
        <v>0</v>
      </c>
      <c r="CM190" s="3"/>
      <c r="CN190" s="1">
        <f t="shared" ca="1" si="173"/>
        <v>14.065421558148847</v>
      </c>
      <c r="CO190" s="1">
        <f t="shared" ca="1" si="174"/>
        <v>0.12218855198212497</v>
      </c>
      <c r="CP190" s="1">
        <f t="shared" ca="1" si="175"/>
        <v>4</v>
      </c>
      <c r="DH190" s="1">
        <f t="shared" ca="1" si="176"/>
        <v>390</v>
      </c>
      <c r="DI190" s="1">
        <f t="shared" ca="1" si="177"/>
        <v>0.16089895551404118</v>
      </c>
      <c r="DJ190" s="1">
        <f t="shared" ca="1" si="178"/>
        <v>6</v>
      </c>
    </row>
    <row r="191" spans="2:114" x14ac:dyDescent="0.25">
      <c r="B191">
        <f t="shared" ca="1" si="120"/>
        <v>34</v>
      </c>
      <c r="C191">
        <f t="shared" ca="1" si="121"/>
        <v>11</v>
      </c>
      <c r="D191">
        <f t="shared" ca="1" si="122"/>
        <v>5.7405047261978669E-2</v>
      </c>
      <c r="F191" s="1">
        <f t="shared" ca="1" si="123"/>
        <v>4</v>
      </c>
      <c r="G191" s="1">
        <f t="shared" ca="1" si="124"/>
        <v>30</v>
      </c>
      <c r="H191" s="1">
        <f t="shared" ca="1" si="125"/>
        <v>9</v>
      </c>
      <c r="I191" s="1"/>
      <c r="J191" s="1">
        <f t="shared" ca="1" si="126"/>
        <v>6</v>
      </c>
      <c r="K191" s="1">
        <f t="shared" ca="1" si="127"/>
        <v>2.1050940397427977</v>
      </c>
      <c r="L191" s="1">
        <f t="shared" ca="1" si="128"/>
        <v>28</v>
      </c>
      <c r="M191" s="1"/>
      <c r="N191" s="1">
        <f t="shared" ca="1" si="129"/>
        <v>806</v>
      </c>
      <c r="O191" s="1">
        <f t="shared" ca="1" si="130"/>
        <v>39</v>
      </c>
      <c r="P191" s="1"/>
      <c r="Q191" s="1">
        <f t="shared" ca="1" si="131"/>
        <v>3.4850728749302924</v>
      </c>
      <c r="R191" s="1">
        <f t="shared" ca="1" si="132"/>
        <v>1003</v>
      </c>
      <c r="S191" s="1"/>
      <c r="T191" s="1">
        <f t="shared" ca="1" si="133"/>
        <v>9.0602182351439756E-2</v>
      </c>
      <c r="U191" s="1">
        <f t="shared" ca="1" si="134"/>
        <v>360</v>
      </c>
      <c r="V191" s="1">
        <f t="shared" ca="1" si="135"/>
        <v>40</v>
      </c>
      <c r="W191" s="1"/>
      <c r="X191" s="1">
        <f t="shared" ca="1" si="136"/>
        <v>1.7106726629690998</v>
      </c>
      <c r="Y191" s="1">
        <f t="shared" ca="1" si="137"/>
        <v>0.95828651992437186</v>
      </c>
      <c r="Z191" s="1">
        <f t="shared" ca="1" si="138"/>
        <v>729</v>
      </c>
      <c r="AB191" s="1">
        <f t="shared" ca="1" si="139"/>
        <v>0.81170074316420249</v>
      </c>
      <c r="AC191" s="1">
        <f t="shared" ca="1" si="140"/>
        <v>150</v>
      </c>
      <c r="AD191" s="1">
        <f t="shared" ca="1" si="141"/>
        <v>9.0087205624993488E-3</v>
      </c>
      <c r="AE191" s="1"/>
      <c r="AF191" s="1">
        <f t="shared" ca="1" si="142"/>
        <v>0.85874771930791838</v>
      </c>
      <c r="AG191" s="1">
        <f t="shared" ca="1" si="143"/>
        <v>566</v>
      </c>
      <c r="AH191" s="1">
        <f t="shared" ca="1" si="144"/>
        <v>5.337148015307094E-3</v>
      </c>
      <c r="AJ191" s="1">
        <f t="shared" ca="1" si="145"/>
        <v>0.75221246098388073</v>
      </c>
      <c r="AK191" s="1">
        <f t="shared" ca="1" si="146"/>
        <v>5.6204385385185381E-3</v>
      </c>
      <c r="AL191" s="1"/>
      <c r="AM191" s="1">
        <f t="shared" ca="1" si="147"/>
        <v>0.12530068423449531</v>
      </c>
      <c r="AN191" s="1">
        <f t="shared" ca="1" si="148"/>
        <v>47</v>
      </c>
      <c r="AO191" s="1">
        <f t="shared" ca="1" si="149"/>
        <v>1</v>
      </c>
      <c r="AQ191" s="1">
        <f t="shared" ca="1" si="150"/>
        <v>96</v>
      </c>
      <c r="AR191" s="1">
        <f t="shared" ca="1" si="151"/>
        <v>2</v>
      </c>
      <c r="AS191" s="1">
        <f t="shared" ca="1" si="152"/>
        <v>90</v>
      </c>
      <c r="AU191" s="1">
        <f t="shared" ca="1" si="153"/>
        <v>353</v>
      </c>
      <c r="AV191" s="1">
        <f t="shared" ca="1" si="154"/>
        <v>2</v>
      </c>
      <c r="AW191" s="1">
        <f t="shared" ca="1" si="155"/>
        <v>0.15793308187250929</v>
      </c>
      <c r="AY191" s="1">
        <f t="shared" ca="1" si="156"/>
        <v>1.9985655166366758</v>
      </c>
      <c r="AZ191" s="1">
        <f t="shared" ca="1" si="157"/>
        <v>245</v>
      </c>
      <c r="BA191" s="1">
        <f t="shared" ca="1" si="158"/>
        <v>8.3521671568569577E-4</v>
      </c>
      <c r="BV191" s="1">
        <f t="shared" ca="1" si="159"/>
        <v>0.94008528148369386</v>
      </c>
      <c r="BW191" s="1">
        <f t="shared" ca="1" si="160"/>
        <v>259</v>
      </c>
      <c r="BX191" s="1">
        <f t="shared" ca="1" si="161"/>
        <v>5.7625897913614194E-3</v>
      </c>
      <c r="BY191" s="1">
        <f t="shared" ca="1" si="162"/>
        <v>1.1868975230454198E-2</v>
      </c>
      <c r="BZ191" s="1">
        <f t="shared" ca="1" si="163"/>
        <v>0.55599377366222735</v>
      </c>
      <c r="CB191" s="1">
        <f t="shared" ca="1" si="164"/>
        <v>339</v>
      </c>
      <c r="CC191" s="1">
        <f t="shared" ca="1" si="165"/>
        <v>15</v>
      </c>
      <c r="CD191" s="1">
        <f t="shared" ca="1" si="166"/>
        <v>0.22148521537139404</v>
      </c>
      <c r="CE191" s="1">
        <f t="shared" ca="1" si="179"/>
        <v>0.8970647253248597</v>
      </c>
      <c r="CF191" s="1">
        <f t="shared" ca="1" si="179"/>
        <v>0.81416381539532912</v>
      </c>
      <c r="CH191" s="3">
        <f t="shared" ca="1" si="168"/>
        <v>0.36567027940213814</v>
      </c>
      <c r="CI191" s="3">
        <f t="shared" ca="1" si="169"/>
        <v>0.57920418123011919</v>
      </c>
      <c r="CJ191" s="3">
        <f t="shared" ca="1" si="170"/>
        <v>1735</v>
      </c>
      <c r="CK191" s="3">
        <f t="shared" ca="1" si="171"/>
        <v>3.3029180021035397E-3</v>
      </c>
      <c r="CL191" s="3">
        <f t="shared" ca="1" si="172"/>
        <v>0</v>
      </c>
      <c r="CM191" s="3"/>
      <c r="CN191" s="1">
        <f t="shared" ca="1" si="173"/>
        <v>12.720741507413033</v>
      </c>
      <c r="CO191" s="1">
        <f t="shared" ca="1" si="174"/>
        <v>3.6036479117813755E-2</v>
      </c>
      <c r="CP191" s="1">
        <f t="shared" ca="1" si="175"/>
        <v>3</v>
      </c>
      <c r="DH191" s="1">
        <f t="shared" ca="1" si="176"/>
        <v>840</v>
      </c>
      <c r="DI191" s="1">
        <f t="shared" ca="1" si="177"/>
        <v>0.54856692344890157</v>
      </c>
      <c r="DJ191" s="1">
        <f t="shared" ca="1" si="178"/>
        <v>24</v>
      </c>
    </row>
    <row r="192" spans="2:114" x14ac:dyDescent="0.25">
      <c r="B192">
        <f t="shared" ca="1" si="120"/>
        <v>545</v>
      </c>
      <c r="C192">
        <f t="shared" ca="1" si="121"/>
        <v>3</v>
      </c>
      <c r="D192">
        <f t="shared" ca="1" si="122"/>
        <v>0.22827848609657492</v>
      </c>
      <c r="F192" s="1">
        <f t="shared" ca="1" si="123"/>
        <v>33</v>
      </c>
      <c r="G192" s="1">
        <f t="shared" ca="1" si="124"/>
        <v>30</v>
      </c>
      <c r="H192" s="1">
        <f t="shared" ca="1" si="125"/>
        <v>6</v>
      </c>
      <c r="I192" s="1"/>
      <c r="J192" s="1">
        <f t="shared" ca="1" si="126"/>
        <v>18</v>
      </c>
      <c r="K192" s="1">
        <f t="shared" ca="1" si="127"/>
        <v>2.7651972443084198</v>
      </c>
      <c r="L192" s="1">
        <f t="shared" ca="1" si="128"/>
        <v>25</v>
      </c>
      <c r="M192" s="1"/>
      <c r="N192" s="1">
        <f t="shared" ca="1" si="129"/>
        <v>38</v>
      </c>
      <c r="O192" s="1">
        <f t="shared" ca="1" si="130"/>
        <v>9</v>
      </c>
      <c r="P192" s="1"/>
      <c r="Q192" s="1">
        <f t="shared" ca="1" si="131"/>
        <v>2.2658588348882307</v>
      </c>
      <c r="R192" s="1">
        <f t="shared" ca="1" si="132"/>
        <v>502</v>
      </c>
      <c r="S192" s="1"/>
      <c r="T192" s="1">
        <f t="shared" ca="1" si="133"/>
        <v>9.8698407192293711E-2</v>
      </c>
      <c r="U192" s="1">
        <f t="shared" ca="1" si="134"/>
        <v>106</v>
      </c>
      <c r="V192" s="1">
        <f t="shared" ca="1" si="135"/>
        <v>10</v>
      </c>
      <c r="W192" s="1"/>
      <c r="X192" s="1">
        <f t="shared" ca="1" si="136"/>
        <v>8.727199188103226</v>
      </c>
      <c r="Y192" s="1">
        <f t="shared" ca="1" si="137"/>
        <v>0.78088782693354242</v>
      </c>
      <c r="Z192" s="1">
        <f t="shared" ca="1" si="138"/>
        <v>1484</v>
      </c>
      <c r="AB192" s="1">
        <f t="shared" ca="1" si="139"/>
        <v>0.41695493272295614</v>
      </c>
      <c r="AC192" s="1">
        <f t="shared" ca="1" si="140"/>
        <v>309</v>
      </c>
      <c r="AD192" s="1">
        <f t="shared" ca="1" si="141"/>
        <v>4.0098751834026312E-3</v>
      </c>
      <c r="AE192" s="1"/>
      <c r="AF192" s="1">
        <f t="shared" ca="1" si="142"/>
        <v>0.56252882062938181</v>
      </c>
      <c r="AG192" s="1">
        <f t="shared" ca="1" si="143"/>
        <v>158</v>
      </c>
      <c r="AH192" s="1">
        <f t="shared" ca="1" si="144"/>
        <v>2.725867692825601E-3</v>
      </c>
      <c r="AJ192" s="1">
        <f t="shared" ca="1" si="145"/>
        <v>0.33125125595708838</v>
      </c>
      <c r="AK192" s="1">
        <f t="shared" ca="1" si="146"/>
        <v>2.4168700139178519E-3</v>
      </c>
      <c r="AL192" s="1"/>
      <c r="AM192" s="1">
        <f t="shared" ca="1" si="147"/>
        <v>0.16505569392569627</v>
      </c>
      <c r="AN192" s="1">
        <f t="shared" ca="1" si="148"/>
        <v>12</v>
      </c>
      <c r="AO192" s="1">
        <f t="shared" ca="1" si="149"/>
        <v>11</v>
      </c>
      <c r="AQ192" s="1">
        <f t="shared" ca="1" si="150"/>
        <v>150</v>
      </c>
      <c r="AR192" s="1">
        <f t="shared" ca="1" si="151"/>
        <v>0</v>
      </c>
      <c r="AS192" s="1">
        <f t="shared" ca="1" si="152"/>
        <v>27</v>
      </c>
      <c r="AU192" s="1">
        <f t="shared" ca="1" si="153"/>
        <v>325</v>
      </c>
      <c r="AV192" s="1">
        <f t="shared" ca="1" si="154"/>
        <v>7</v>
      </c>
      <c r="AW192" s="1">
        <f t="shared" ca="1" si="155"/>
        <v>0.12100510565641419</v>
      </c>
      <c r="AY192" s="1">
        <f t="shared" ca="1" si="156"/>
        <v>1.4582582838781541</v>
      </c>
      <c r="AZ192" s="1">
        <f t="shared" ca="1" si="157"/>
        <v>190</v>
      </c>
      <c r="BA192" s="1">
        <f t="shared" ca="1" si="158"/>
        <v>9.7252990493144949E-3</v>
      </c>
      <c r="BV192" s="1">
        <f t="shared" ca="1" si="159"/>
        <v>0.43213962103794062</v>
      </c>
      <c r="BW192" s="1">
        <f t="shared" ca="1" si="160"/>
        <v>935</v>
      </c>
      <c r="BX192" s="1">
        <f t="shared" ca="1" si="161"/>
        <v>9.0737715626237046E-4</v>
      </c>
      <c r="BY192" s="1">
        <f t="shared" ca="1" si="162"/>
        <v>6.9394304674777779E-2</v>
      </c>
      <c r="BZ192" s="1">
        <f t="shared" ca="1" si="163"/>
        <v>0.98119971806111517</v>
      </c>
      <c r="CB192" s="1">
        <f t="shared" ca="1" si="164"/>
        <v>89</v>
      </c>
      <c r="CC192" s="1">
        <f t="shared" ca="1" si="165"/>
        <v>8</v>
      </c>
      <c r="CD192" s="1">
        <f t="shared" ca="1" si="166"/>
        <v>9.540508060246454E-2</v>
      </c>
      <c r="CE192" s="1">
        <f t="shared" ca="1" si="179"/>
        <v>0.82361159144986973</v>
      </c>
      <c r="CF192" s="1">
        <f t="shared" ca="1" si="179"/>
        <v>0.66144415343735963</v>
      </c>
      <c r="CH192" s="3">
        <f t="shared" ca="1" si="168"/>
        <v>0.3941061719723245</v>
      </c>
      <c r="CI192" s="3">
        <f t="shared" ca="1" si="169"/>
        <v>0.70159601295832563</v>
      </c>
      <c r="CJ192" s="3">
        <f t="shared" ca="1" si="170"/>
        <v>1697</v>
      </c>
      <c r="CK192" s="3">
        <f t="shared" ca="1" si="171"/>
        <v>4.810436068308538E-3</v>
      </c>
      <c r="CL192" s="3">
        <f t="shared" ca="1" si="172"/>
        <v>0</v>
      </c>
      <c r="CM192" s="3"/>
      <c r="CN192" s="1">
        <f t="shared" ca="1" si="173"/>
        <v>11.494371806910987</v>
      </c>
      <c r="CO192" s="1">
        <f t="shared" ca="1" si="174"/>
        <v>0.18940620045055065</v>
      </c>
      <c r="CP192" s="1">
        <f t="shared" ca="1" si="175"/>
        <v>2</v>
      </c>
      <c r="DH192" s="1">
        <f t="shared" ca="1" si="176"/>
        <v>156</v>
      </c>
      <c r="DI192" s="1">
        <f t="shared" ca="1" si="177"/>
        <v>0.25421304170944137</v>
      </c>
      <c r="DJ192" s="1">
        <f t="shared" ca="1" si="178"/>
        <v>14</v>
      </c>
    </row>
    <row r="193" spans="2:114" x14ac:dyDescent="0.25">
      <c r="B193">
        <f t="shared" ca="1" si="120"/>
        <v>191</v>
      </c>
      <c r="C193">
        <f t="shared" ca="1" si="121"/>
        <v>32</v>
      </c>
      <c r="D193">
        <f t="shared" ca="1" si="122"/>
        <v>0.20296105829364194</v>
      </c>
      <c r="F193" s="1">
        <f t="shared" ca="1" si="123"/>
        <v>21</v>
      </c>
      <c r="G193" s="1">
        <f t="shared" ca="1" si="124"/>
        <v>26</v>
      </c>
      <c r="H193" s="1">
        <f t="shared" ca="1" si="125"/>
        <v>7</v>
      </c>
      <c r="I193" s="1"/>
      <c r="J193" s="1">
        <f t="shared" ca="1" si="126"/>
        <v>27</v>
      </c>
      <c r="K193" s="1">
        <f t="shared" ca="1" si="127"/>
        <v>2.3751230808074424</v>
      </c>
      <c r="L193" s="1">
        <f t="shared" ca="1" si="128"/>
        <v>6</v>
      </c>
      <c r="M193" s="1"/>
      <c r="N193" s="1">
        <f t="shared" ca="1" si="129"/>
        <v>117</v>
      </c>
      <c r="O193" s="1">
        <f t="shared" ca="1" si="130"/>
        <v>38</v>
      </c>
      <c r="P193" s="1"/>
      <c r="Q193" s="1">
        <f t="shared" ca="1" si="131"/>
        <v>2.0436854288760458</v>
      </c>
      <c r="R193" s="1">
        <f t="shared" ca="1" si="132"/>
        <v>407</v>
      </c>
      <c r="S193" s="1"/>
      <c r="T193" s="1">
        <f t="shared" ca="1" si="133"/>
        <v>0.16407496036642993</v>
      </c>
      <c r="U193" s="1">
        <f t="shared" ca="1" si="134"/>
        <v>221</v>
      </c>
      <c r="V193" s="1">
        <f t="shared" ca="1" si="135"/>
        <v>44</v>
      </c>
      <c r="W193" s="1"/>
      <c r="X193" s="1">
        <f t="shared" ca="1" si="136"/>
        <v>0.22450785889304123</v>
      </c>
      <c r="Y193" s="1">
        <f t="shared" ca="1" si="137"/>
        <v>0.65060994584550425</v>
      </c>
      <c r="Z193" s="1">
        <f t="shared" ca="1" si="138"/>
        <v>457</v>
      </c>
      <c r="AB193" s="1">
        <f t="shared" ca="1" si="139"/>
        <v>0.87550970446863086</v>
      </c>
      <c r="AC193" s="1">
        <f t="shared" ca="1" si="140"/>
        <v>765</v>
      </c>
      <c r="AD193" s="1">
        <f t="shared" ca="1" si="141"/>
        <v>6.5547269519091529E-4</v>
      </c>
      <c r="AE193" s="1"/>
      <c r="AF193" s="1">
        <f t="shared" ca="1" si="142"/>
        <v>0.84836000568070591</v>
      </c>
      <c r="AG193" s="1">
        <f t="shared" ca="1" si="143"/>
        <v>603</v>
      </c>
      <c r="AH193" s="1">
        <f t="shared" ca="1" si="144"/>
        <v>9.7976708062416425E-3</v>
      </c>
      <c r="AJ193" s="1">
        <f t="shared" ca="1" si="145"/>
        <v>1.4042098317655793E-2</v>
      </c>
      <c r="AK193" s="1">
        <f t="shared" ca="1" si="146"/>
        <v>9.9108402562262856E-3</v>
      </c>
      <c r="AL193" s="1"/>
      <c r="AM193" s="1">
        <f t="shared" ca="1" si="147"/>
        <v>0.13916010752004665</v>
      </c>
      <c r="AN193" s="1">
        <f t="shared" ca="1" si="148"/>
        <v>24</v>
      </c>
      <c r="AO193" s="1">
        <f t="shared" ca="1" si="149"/>
        <v>20</v>
      </c>
      <c r="AQ193" s="1">
        <f t="shared" ca="1" si="150"/>
        <v>157</v>
      </c>
      <c r="AR193" s="1">
        <f t="shared" ca="1" si="151"/>
        <v>6</v>
      </c>
      <c r="AS193" s="1">
        <f t="shared" ca="1" si="152"/>
        <v>58</v>
      </c>
      <c r="AU193" s="1">
        <f t="shared" ca="1" si="153"/>
        <v>259</v>
      </c>
      <c r="AV193" s="1">
        <f t="shared" ca="1" si="154"/>
        <v>9</v>
      </c>
      <c r="AW193" s="1">
        <f t="shared" ca="1" si="155"/>
        <v>7.115354676292665E-2</v>
      </c>
      <c r="AY193" s="1">
        <f t="shared" ca="1" si="156"/>
        <v>1.4648134438489469</v>
      </c>
      <c r="AZ193" s="1">
        <f t="shared" ca="1" si="157"/>
        <v>454</v>
      </c>
      <c r="BA193" s="1">
        <f t="shared" ca="1" si="158"/>
        <v>9.3194181879864019E-3</v>
      </c>
      <c r="BV193" s="1">
        <f t="shared" ca="1" si="159"/>
        <v>0.42394003205299313</v>
      </c>
      <c r="BW193" s="1">
        <f t="shared" ca="1" si="160"/>
        <v>588</v>
      </c>
      <c r="BX193" s="1">
        <f t="shared" ca="1" si="161"/>
        <v>5.2679602609921449E-3</v>
      </c>
      <c r="BY193" s="1">
        <f t="shared" ca="1" si="162"/>
        <v>7.3639024273177978E-2</v>
      </c>
      <c r="BZ193" s="1">
        <f t="shared" ca="1" si="163"/>
        <v>0.29196890696883893</v>
      </c>
      <c r="CB193" s="1">
        <f t="shared" ca="1" si="164"/>
        <v>392</v>
      </c>
      <c r="CC193" s="1">
        <f t="shared" ca="1" si="165"/>
        <v>9</v>
      </c>
      <c r="CD193" s="1">
        <f t="shared" ca="1" si="166"/>
        <v>0.14050805963194207</v>
      </c>
      <c r="CE193" s="1">
        <f t="shared" ca="1" si="179"/>
        <v>0.94272474305697052</v>
      </c>
      <c r="CF193" s="1">
        <f t="shared" ca="1" si="179"/>
        <v>0.82422424143929307</v>
      </c>
      <c r="CH193" s="3">
        <f t="shared" ca="1" si="168"/>
        <v>0.670183506772833</v>
      </c>
      <c r="CI193" s="3">
        <f t="shared" ca="1" si="169"/>
        <v>0.35410565094255786</v>
      </c>
      <c r="CJ193" s="3">
        <f t="shared" ca="1" si="170"/>
        <v>1901</v>
      </c>
      <c r="CK193" s="3">
        <f t="shared" ca="1" si="171"/>
        <v>1.9396419642855802E-3</v>
      </c>
      <c r="CL193" s="3">
        <f t="shared" ca="1" si="172"/>
        <v>0</v>
      </c>
      <c r="CM193" s="3"/>
      <c r="CN193" s="1">
        <f t="shared" ca="1" si="173"/>
        <v>7.2704514051088944</v>
      </c>
      <c r="CO193" s="1">
        <f t="shared" ca="1" si="174"/>
        <v>0.24896949384290781</v>
      </c>
      <c r="CP193" s="1">
        <f t="shared" ca="1" si="175"/>
        <v>5</v>
      </c>
      <c r="DH193" s="1">
        <f t="shared" ca="1" si="176"/>
        <v>625</v>
      </c>
      <c r="DI193" s="1">
        <f t="shared" ca="1" si="177"/>
        <v>4.4205660189372206E-2</v>
      </c>
      <c r="DJ193" s="1">
        <f t="shared" ca="1" si="178"/>
        <v>24</v>
      </c>
    </row>
    <row r="194" spans="2:114" x14ac:dyDescent="0.25">
      <c r="B194">
        <f t="shared" ca="1" si="120"/>
        <v>915</v>
      </c>
      <c r="C194">
        <f t="shared" ca="1" si="121"/>
        <v>49</v>
      </c>
      <c r="D194">
        <f t="shared" ca="1" si="122"/>
        <v>0.23577247038901444</v>
      </c>
      <c r="F194" s="1">
        <f t="shared" ca="1" si="123"/>
        <v>39</v>
      </c>
      <c r="G194" s="1">
        <f t="shared" ca="1" si="124"/>
        <v>2</v>
      </c>
      <c r="H194" s="1">
        <f t="shared" ca="1" si="125"/>
        <v>12</v>
      </c>
      <c r="I194" s="1"/>
      <c r="J194" s="1">
        <f t="shared" ca="1" si="126"/>
        <v>3</v>
      </c>
      <c r="K194" s="1">
        <f t="shared" ca="1" si="127"/>
        <v>1.1005137971100831</v>
      </c>
      <c r="L194" s="1">
        <f t="shared" ca="1" si="128"/>
        <v>18</v>
      </c>
      <c r="M194" s="1"/>
      <c r="N194" s="1">
        <f t="shared" ca="1" si="129"/>
        <v>80</v>
      </c>
      <c r="O194" s="1">
        <f t="shared" ca="1" si="130"/>
        <v>25</v>
      </c>
      <c r="P194" s="1"/>
      <c r="Q194" s="1">
        <f t="shared" ca="1" si="131"/>
        <v>1.2782067979938032</v>
      </c>
      <c r="R194" s="1">
        <f t="shared" ca="1" si="132"/>
        <v>418</v>
      </c>
      <c r="S194" s="1"/>
      <c r="T194" s="1">
        <f t="shared" ca="1" si="133"/>
        <v>0.13804731315427243</v>
      </c>
      <c r="U194" s="1">
        <f t="shared" ca="1" si="134"/>
        <v>139</v>
      </c>
      <c r="V194" s="1">
        <f t="shared" ca="1" si="135"/>
        <v>47</v>
      </c>
      <c r="W194" s="1"/>
      <c r="X194" s="1">
        <f t="shared" ca="1" si="136"/>
        <v>1.9438356059185427</v>
      </c>
      <c r="Y194" s="1">
        <f t="shared" ca="1" si="137"/>
        <v>0.68303279933348682</v>
      </c>
      <c r="Z194" s="1">
        <f t="shared" ca="1" si="138"/>
        <v>1015</v>
      </c>
      <c r="AB194" s="1">
        <f t="shared" ca="1" si="139"/>
        <v>0.30060377982317676</v>
      </c>
      <c r="AC194" s="1">
        <f t="shared" ca="1" si="140"/>
        <v>423</v>
      </c>
      <c r="AD194" s="1">
        <f t="shared" ca="1" si="141"/>
        <v>6.4464848633261074E-3</v>
      </c>
      <c r="AE194" s="1"/>
      <c r="AF194" s="1">
        <f t="shared" ca="1" si="142"/>
        <v>0.42225316988176054</v>
      </c>
      <c r="AG194" s="1">
        <f t="shared" ca="1" si="143"/>
        <v>966</v>
      </c>
      <c r="AH194" s="1">
        <f t="shared" ca="1" si="144"/>
        <v>2.7077363430901349E-3</v>
      </c>
      <c r="AJ194" s="1">
        <f t="shared" ca="1" si="145"/>
        <v>0.49947185335487465</v>
      </c>
      <c r="AK194" s="1">
        <f t="shared" ca="1" si="146"/>
        <v>6.1898769049671754E-3</v>
      </c>
      <c r="AL194" s="1"/>
      <c r="AM194" s="1">
        <f t="shared" ca="1" si="147"/>
        <v>0.12644958386216842</v>
      </c>
      <c r="AN194" s="1">
        <f t="shared" ca="1" si="148"/>
        <v>70</v>
      </c>
      <c r="AO194" s="1">
        <f t="shared" ca="1" si="149"/>
        <v>11</v>
      </c>
      <c r="AQ194" s="1">
        <f t="shared" ca="1" si="150"/>
        <v>92</v>
      </c>
      <c r="AR194" s="1">
        <f t="shared" ca="1" si="151"/>
        <v>10</v>
      </c>
      <c r="AS194" s="1">
        <f t="shared" ca="1" si="152"/>
        <v>88</v>
      </c>
      <c r="AU194" s="1">
        <f t="shared" ca="1" si="153"/>
        <v>127</v>
      </c>
      <c r="AV194" s="1">
        <f t="shared" ca="1" si="154"/>
        <v>9</v>
      </c>
      <c r="AW194" s="1">
        <f t="shared" ca="1" si="155"/>
        <v>0.15477152958691395</v>
      </c>
      <c r="AY194" s="1">
        <f t="shared" ca="1" si="156"/>
        <v>1.7959113203497392</v>
      </c>
      <c r="AZ194" s="1">
        <f t="shared" ca="1" si="157"/>
        <v>498</v>
      </c>
      <c r="BA194" s="1">
        <f t="shared" ca="1" si="158"/>
        <v>7.0749738197927025E-3</v>
      </c>
      <c r="BV194" s="1">
        <f t="shared" ca="1" si="159"/>
        <v>0.26450561365664083</v>
      </c>
      <c r="BW194" s="1">
        <f t="shared" ca="1" si="160"/>
        <v>580</v>
      </c>
      <c r="BX194" s="1">
        <f t="shared" ca="1" si="161"/>
        <v>1.0385568518839474E-3</v>
      </c>
      <c r="BY194" s="1">
        <f t="shared" ca="1" si="162"/>
        <v>1.6342561480510838E-2</v>
      </c>
      <c r="BZ194" s="1">
        <f t="shared" ca="1" si="163"/>
        <v>1.7753093684820254E-3</v>
      </c>
      <c r="CB194" s="1">
        <f t="shared" ca="1" si="164"/>
        <v>214</v>
      </c>
      <c r="CC194" s="1">
        <f t="shared" ca="1" si="165"/>
        <v>14</v>
      </c>
      <c r="CD194" s="1">
        <f t="shared" ca="1" si="166"/>
        <v>0.20446701006771323</v>
      </c>
      <c r="CE194" s="1">
        <f t="shared" ca="1" si="179"/>
        <v>0.72962175280738473</v>
      </c>
      <c r="CF194" s="1">
        <f t="shared" ca="1" si="179"/>
        <v>0.99052581378573112</v>
      </c>
      <c r="CH194" s="3">
        <f t="shared" ca="1" si="168"/>
        <v>0.47114578617198216</v>
      </c>
      <c r="CI194" s="3">
        <f t="shared" ca="1" si="169"/>
        <v>0.49809765174060605</v>
      </c>
      <c r="CJ194" s="3">
        <f t="shared" ca="1" si="170"/>
        <v>1512</v>
      </c>
      <c r="CK194" s="3">
        <f t="shared" ca="1" si="171"/>
        <v>4.3431861434219806E-3</v>
      </c>
      <c r="CL194" s="3">
        <f t="shared" ca="1" si="172"/>
        <v>0</v>
      </c>
      <c r="CM194" s="3"/>
      <c r="CN194" s="1">
        <f t="shared" ca="1" si="173"/>
        <v>16.764383190113296</v>
      </c>
      <c r="CO194" s="1">
        <f t="shared" ca="1" si="174"/>
        <v>0.31848001259309866</v>
      </c>
      <c r="CP194" s="1">
        <f t="shared" ca="1" si="175"/>
        <v>5</v>
      </c>
      <c r="DH194" s="1">
        <f t="shared" ca="1" si="176"/>
        <v>791</v>
      </c>
      <c r="DI194" s="1">
        <f t="shared" ca="1" si="177"/>
        <v>0.42442361940798734</v>
      </c>
      <c r="DJ194" s="1">
        <f t="shared" ca="1" si="178"/>
        <v>3</v>
      </c>
    </row>
    <row r="195" spans="2:114" x14ac:dyDescent="0.25">
      <c r="B195">
        <f t="shared" ca="1" si="120"/>
        <v>293</v>
      </c>
      <c r="C195">
        <f t="shared" ca="1" si="121"/>
        <v>10</v>
      </c>
      <c r="D195">
        <f t="shared" ca="1" si="122"/>
        <v>0.17691799814976583</v>
      </c>
      <c r="F195" s="1">
        <f t="shared" ca="1" si="123"/>
        <v>52</v>
      </c>
      <c r="G195" s="1">
        <f t="shared" ca="1" si="124"/>
        <v>10</v>
      </c>
      <c r="H195" s="1">
        <f t="shared" ca="1" si="125"/>
        <v>5</v>
      </c>
      <c r="I195" s="1"/>
      <c r="J195" s="1">
        <f t="shared" ca="1" si="126"/>
        <v>36</v>
      </c>
      <c r="K195" s="1">
        <f t="shared" ca="1" si="127"/>
        <v>1.6492031282693929</v>
      </c>
      <c r="L195" s="1">
        <f t="shared" ca="1" si="128"/>
        <v>13</v>
      </c>
      <c r="M195" s="1"/>
      <c r="N195" s="1">
        <f t="shared" ca="1" si="129"/>
        <v>20</v>
      </c>
      <c r="O195" s="1">
        <f t="shared" ca="1" si="130"/>
        <v>51</v>
      </c>
      <c r="P195" s="1"/>
      <c r="Q195" s="1">
        <f t="shared" ca="1" si="131"/>
        <v>4.5357849046643306</v>
      </c>
      <c r="R195" s="1">
        <f t="shared" ca="1" si="132"/>
        <v>685</v>
      </c>
      <c r="S195" s="1"/>
      <c r="T195" s="1">
        <f t="shared" ca="1" si="133"/>
        <v>0.14924888589570276</v>
      </c>
      <c r="U195" s="1">
        <f t="shared" ca="1" si="134"/>
        <v>190</v>
      </c>
      <c r="V195" s="1">
        <f t="shared" ca="1" si="135"/>
        <v>14</v>
      </c>
      <c r="W195" s="1"/>
      <c r="X195" s="1">
        <f t="shared" ca="1" si="136"/>
        <v>4.2425320194904472</v>
      </c>
      <c r="Y195" s="1">
        <f t="shared" ca="1" si="137"/>
        <v>0.56956926866497459</v>
      </c>
      <c r="Z195" s="1">
        <f t="shared" ca="1" si="138"/>
        <v>1484</v>
      </c>
      <c r="AB195" s="1">
        <f t="shared" ca="1" si="139"/>
        <v>0.41067434377757667</v>
      </c>
      <c r="AC195" s="1">
        <f t="shared" ca="1" si="140"/>
        <v>664</v>
      </c>
      <c r="AD195" s="1">
        <f t="shared" ca="1" si="141"/>
        <v>6.6707884695560498E-3</v>
      </c>
      <c r="AE195" s="1"/>
      <c r="AF195" s="1">
        <f t="shared" ca="1" si="142"/>
        <v>0.14710871355658109</v>
      </c>
      <c r="AG195" s="1">
        <f t="shared" ca="1" si="143"/>
        <v>116</v>
      </c>
      <c r="AH195" s="1">
        <f t="shared" ca="1" si="144"/>
        <v>7.082134566324562E-4</v>
      </c>
      <c r="AJ195" s="1">
        <f t="shared" ca="1" si="145"/>
        <v>0.91809733543492533</v>
      </c>
      <c r="AK195" s="1">
        <f t="shared" ca="1" si="146"/>
        <v>1.5343849333896049E-3</v>
      </c>
      <c r="AL195" s="1"/>
      <c r="AM195" s="1">
        <f t="shared" ca="1" si="147"/>
        <v>0.10350942535915528</v>
      </c>
      <c r="AN195" s="1">
        <f t="shared" ca="1" si="148"/>
        <v>29</v>
      </c>
      <c r="AO195" s="1">
        <f t="shared" ca="1" si="149"/>
        <v>4</v>
      </c>
      <c r="AQ195" s="1">
        <f t="shared" ca="1" si="150"/>
        <v>31</v>
      </c>
      <c r="AR195" s="1">
        <f t="shared" ca="1" si="151"/>
        <v>6</v>
      </c>
      <c r="AS195" s="1">
        <f t="shared" ca="1" si="152"/>
        <v>18</v>
      </c>
      <c r="AU195" s="1">
        <f t="shared" ca="1" si="153"/>
        <v>244</v>
      </c>
      <c r="AV195" s="1">
        <f t="shared" ca="1" si="154"/>
        <v>7</v>
      </c>
      <c r="AW195" s="1">
        <f t="shared" ca="1" si="155"/>
        <v>0.16462507734902285</v>
      </c>
      <c r="AY195" s="1">
        <f t="shared" ca="1" si="156"/>
        <v>1.1785434968763984</v>
      </c>
      <c r="AZ195" s="1">
        <f t="shared" ca="1" si="157"/>
        <v>287</v>
      </c>
      <c r="BA195" s="1">
        <f t="shared" ca="1" si="158"/>
        <v>2.2682306846599216E-3</v>
      </c>
      <c r="BV195" s="1">
        <f t="shared" ca="1" si="159"/>
        <v>0.7767605795398973</v>
      </c>
      <c r="BW195" s="1">
        <f t="shared" ca="1" si="160"/>
        <v>813</v>
      </c>
      <c r="BX195" s="1">
        <f t="shared" ca="1" si="161"/>
        <v>8.1176188649263303E-3</v>
      </c>
      <c r="BY195" s="1">
        <f t="shared" ca="1" si="162"/>
        <v>5.1310299955238212E-2</v>
      </c>
      <c r="BZ195" s="1">
        <f t="shared" ca="1" si="163"/>
        <v>2.0277919830667845E-2</v>
      </c>
      <c r="CB195" s="1">
        <f t="shared" ca="1" si="164"/>
        <v>466</v>
      </c>
      <c r="CC195" s="1">
        <f t="shared" ca="1" si="165"/>
        <v>6</v>
      </c>
      <c r="CD195" s="1">
        <f t="shared" ca="1" si="166"/>
        <v>0.2494928620215755</v>
      </c>
      <c r="CE195" s="1">
        <f t="shared" ca="1" si="179"/>
        <v>0.98465130020495684</v>
      </c>
      <c r="CF195" s="1">
        <f t="shared" ca="1" si="179"/>
        <v>0.9243947199545941</v>
      </c>
      <c r="CH195" s="3">
        <f t="shared" ca="1" si="168"/>
        <v>0.47932351066280809</v>
      </c>
      <c r="CI195" s="3">
        <f t="shared" ca="1" si="169"/>
        <v>0.56243575743665353</v>
      </c>
      <c r="CJ195" s="3">
        <f t="shared" ca="1" si="170"/>
        <v>119</v>
      </c>
      <c r="CK195" s="3">
        <f t="shared" ca="1" si="171"/>
        <v>8.081781794189842E-3</v>
      </c>
      <c r="CL195" s="3">
        <f t="shared" ca="1" si="172"/>
        <v>0</v>
      </c>
      <c r="CM195" s="3"/>
      <c r="CN195" s="1">
        <f t="shared" ca="1" si="173"/>
        <v>7.2510735034173113</v>
      </c>
      <c r="CO195" s="1">
        <f t="shared" ca="1" si="174"/>
        <v>0.39600715209331938</v>
      </c>
      <c r="CP195" s="1">
        <f t="shared" ca="1" si="175"/>
        <v>3</v>
      </c>
      <c r="DH195" s="1">
        <f t="shared" ca="1" si="176"/>
        <v>874</v>
      </c>
      <c r="DI195" s="1">
        <f t="shared" ca="1" si="177"/>
        <v>0.44189771068754496</v>
      </c>
      <c r="DJ195" s="1">
        <f t="shared" ca="1" si="178"/>
        <v>19</v>
      </c>
    </row>
    <row r="196" spans="2:114" x14ac:dyDescent="0.25">
      <c r="B196">
        <f t="shared" ref="B196:B202" ca="1" si="180">RANDBETWEEN(15,1000)</f>
        <v>570</v>
      </c>
      <c r="C196">
        <f t="shared" ref="C196:C202" ca="1" si="181">RANDBETWEEN(2,52)</f>
        <v>19</v>
      </c>
      <c r="D196">
        <f t="shared" ref="D196:D202" ca="1" si="182">RAND()*(0.3-0.01)+0.01</f>
        <v>3.1904327660700393E-2</v>
      </c>
      <c r="F196" s="1">
        <f t="shared" ref="F196:F202" ca="1" si="183">RANDBETWEEN(2,52)</f>
        <v>41</v>
      </c>
      <c r="G196" s="1">
        <f t="shared" ref="G196:G202" ca="1" si="184">RANDBETWEEN(2,30)</f>
        <v>23</v>
      </c>
      <c r="H196" s="1">
        <f t="shared" ref="H196:H202" ca="1" si="185">RANDBETWEEN(1,15)</f>
        <v>13</v>
      </c>
      <c r="I196" s="1"/>
      <c r="J196" s="1">
        <f t="shared" ref="J196:J202" ca="1" si="186">RANDBETWEEN(1,39)</f>
        <v>21</v>
      </c>
      <c r="K196" s="1">
        <f t="shared" ref="K196:K202" ca="1" si="187">RAND()*(3-1)+1</f>
        <v>1.2269859013472924</v>
      </c>
      <c r="L196" s="1">
        <f t="shared" ref="L196:L202" ca="1" si="188">RANDBETWEEN(2,35)</f>
        <v>15</v>
      </c>
      <c r="M196" s="1"/>
      <c r="N196" s="1">
        <f t="shared" ref="N196:N202" ca="1" si="189">RANDBETWEEN(15,1000)</f>
        <v>734</v>
      </c>
      <c r="O196" s="1">
        <f t="shared" ref="O196:O202" ca="1" si="190">RANDBETWEEN(2,52)</f>
        <v>43</v>
      </c>
      <c r="P196" s="1"/>
      <c r="Q196" s="1">
        <f t="shared" ref="Q196:Q202" ca="1" si="191">RAND()*(5-0.01)+0.01</f>
        <v>2.5635995546161436</v>
      </c>
      <c r="R196" s="1">
        <f t="shared" ref="R196:R202" ca="1" si="192">RANDBETWEEN(200,1200)</f>
        <v>888</v>
      </c>
      <c r="S196" s="1"/>
      <c r="T196" s="1">
        <f t="shared" ref="T196:T202" ca="1" si="193">RAND()*(0.2-0.01)+0.01</f>
        <v>4.7741352200179117E-2</v>
      </c>
      <c r="U196" s="1">
        <f t="shared" ref="U196:U202" ca="1" si="194">RANDBETWEEN(50,450)</f>
        <v>126</v>
      </c>
      <c r="V196" s="1">
        <f t="shared" ref="V196:V202" ca="1" si="195">RANDBETWEEN(2,52)</f>
        <v>28</v>
      </c>
      <c r="W196" s="1"/>
      <c r="X196" s="1">
        <f t="shared" ref="X196:X202" ca="1" si="196">RAND()*(10-0.01)+0.01</f>
        <v>4.2388180103579787</v>
      </c>
      <c r="Y196" s="1">
        <f t="shared" ref="Y196:Y202" ca="1" si="197">RAND()*(1-0.0001)+0.0001</f>
        <v>0.81435893961299999</v>
      </c>
      <c r="Z196" s="1">
        <f t="shared" ref="Z196:Z202" ca="1" si="198">RANDBETWEEN(100,2000)</f>
        <v>799</v>
      </c>
      <c r="AB196" s="1">
        <f t="shared" ref="AB196:AB202" ca="1" si="199">RAND()*(1-0.0001)+0.0001</f>
        <v>0.23591580629097011</v>
      </c>
      <c r="AC196" s="1">
        <f t="shared" ref="AC196:AC202" ca="1" si="200">RANDBETWEEN(100,1000)</f>
        <v>511</v>
      </c>
      <c r="AD196" s="1">
        <f t="shared" ref="AD196:AD202" ca="1" si="201">RAND()*(0.01-0.00001)+0.00001</f>
        <v>6.2255171126179868E-3</v>
      </c>
      <c r="AE196" s="1"/>
      <c r="AF196" s="1">
        <f t="shared" ref="AF196:AF202" ca="1" si="202">RAND()*(0.9-0.1)+0.1</f>
        <v>0.5286481085583401</v>
      </c>
      <c r="AG196" s="1">
        <f t="shared" ref="AG196:AG202" ca="1" si="203">RANDBETWEEN(100,1000)</f>
        <v>485</v>
      </c>
      <c r="AH196" s="1">
        <f t="shared" ref="AH196:AH202" ca="1" si="204">RAND()*(0.01-0.00001)+0.00001</f>
        <v>5.5914777394221382E-3</v>
      </c>
      <c r="AJ196" s="1">
        <f t="shared" ref="AJ196:AJ202" ca="1" si="205">RAND()*(1-0)+0</f>
        <v>0.65030522121258316</v>
      </c>
      <c r="AK196" s="1">
        <f t="shared" ref="AK196:AK202" ca="1" si="206">RAND()*(0.01-0.00001)+0.00001</f>
        <v>9.691489870320041E-3</v>
      </c>
      <c r="AL196" s="1"/>
      <c r="AM196" s="1">
        <f t="shared" ref="AM196:AM202" ca="1" si="207">RAND()*(0.2-0.005)+0.005</f>
        <v>0.13459477335533246</v>
      </c>
      <c r="AN196" s="1">
        <f t="shared" ref="AN196:AN202" ca="1" si="208">RANDBETWEEN(10,80)</f>
        <v>57</v>
      </c>
      <c r="AO196" s="1">
        <f t="shared" ref="AO196:AO202" ca="1" si="209">RANDBETWEEN(-1,20)</f>
        <v>18</v>
      </c>
      <c r="AQ196" s="1">
        <f t="shared" ref="AQ196:AQ202" ca="1" si="210">RANDBETWEEN(10,200)</f>
        <v>66</v>
      </c>
      <c r="AR196" s="1">
        <f t="shared" ref="AR196:AR202" ca="1" si="211">RANDBETWEEN(0,10)</f>
        <v>6</v>
      </c>
      <c r="AS196" s="1">
        <f t="shared" ref="AS196:AS202" ca="1" si="212">RANDBETWEEN(1,100)</f>
        <v>1</v>
      </c>
      <c r="AU196" s="1">
        <f t="shared" ref="AU196:AU202" ca="1" si="213">RANDBETWEEN(50,400)</f>
        <v>371</v>
      </c>
      <c r="AV196" s="1">
        <f t="shared" ref="AV196:AV202" ca="1" si="214">RANDBETWEEN(2,10)</f>
        <v>2</v>
      </c>
      <c r="AW196" s="1">
        <f t="shared" ref="AW196:AW202" ca="1" si="215">RAND()*(0.2-0.01)+0.01</f>
        <v>3.4077924331818346E-2</v>
      </c>
      <c r="AY196" s="1">
        <f t="shared" ref="AY196:AY202" ca="1" si="216">RAND()*(2-1.1)+1.1</f>
        <v>1.8228726910618995</v>
      </c>
      <c r="AZ196" s="1">
        <f t="shared" ref="AZ196:AZ202" ca="1" si="217">RANDBETWEEN(50,500)</f>
        <v>328</v>
      </c>
      <c r="BA196" s="1">
        <f t="shared" ref="BA196:BA202" ca="1" si="218">RAND()*(0.01-0.00001)+0.00001</f>
        <v>4.5882980679320933E-3</v>
      </c>
      <c r="BV196" s="1">
        <f t="shared" ref="BV196:BV202" ca="1" si="219">RAND()*(1-0.0001)+0.0001</f>
        <v>0.85744579484608074</v>
      </c>
      <c r="BW196" s="1">
        <f t="shared" ref="BW196:BW202" ca="1" si="220">RANDBETWEEN(100,1000)</f>
        <v>771</v>
      </c>
      <c r="BX196" s="1">
        <f t="shared" ref="BX196:BX202" ca="1" si="221">RAND()*(0.01-0.00001)+0.00001</f>
        <v>5.2580205295622755E-3</v>
      </c>
      <c r="BY196" s="1">
        <f t="shared" ref="BY196:BY202" ca="1" si="222">RAND()*(0.1-0.0001)+0.0001</f>
        <v>7.6277816238837823E-2</v>
      </c>
      <c r="BZ196" s="1">
        <f t="shared" ref="BZ196:BZ202" ca="1" si="223">RAND()*(1-0)+0</f>
        <v>0.34182836319653531</v>
      </c>
      <c r="CB196" s="1">
        <f t="shared" ref="CB196:CB202" ca="1" si="224">RANDBETWEEN(50,500)</f>
        <v>374</v>
      </c>
      <c r="CC196" s="1">
        <f t="shared" ref="CC196:CC202" ca="1" si="225">RANDBETWEEN(3,15)</f>
        <v>9</v>
      </c>
      <c r="CD196" s="1">
        <f t="shared" ref="CD196:CD202" ca="1" si="226">RAND()*(0.3-0.01)+0.01</f>
        <v>0.10933346544965042</v>
      </c>
      <c r="CE196" s="1">
        <f t="shared" ca="1" si="179"/>
        <v>0.51541826988332895</v>
      </c>
      <c r="CF196" s="1">
        <f t="shared" ca="1" si="179"/>
        <v>0.93916181756022921</v>
      </c>
      <c r="CH196" s="3">
        <f t="shared" ref="CH196:CH202" ca="1" si="227">RAND()*(1-0.0001)+0.0001</f>
        <v>0.4300381252660021</v>
      </c>
      <c r="CI196" s="3">
        <f t="shared" ref="CI196:CI202" ca="1" si="228">RAND()*(0.99-0.01)+0.01</f>
        <v>0.88437846722231905</v>
      </c>
      <c r="CJ196" s="3">
        <f t="shared" ref="CJ196:CJ202" ca="1" si="229">RANDBETWEEN(100,2000)</f>
        <v>1667</v>
      </c>
      <c r="CK196" s="3">
        <f t="shared" ref="CK196:CK202" ca="1" si="230">RAND()*(0.01-0.000001)+0.000001</f>
        <v>9.5403967055992676E-4</v>
      </c>
      <c r="CL196" s="3">
        <f t="shared" ref="CL196:CL202" ca="1" si="231">RANDBETWEEN(0,1)</f>
        <v>0</v>
      </c>
      <c r="CM196" s="3"/>
      <c r="CN196" s="1">
        <f t="shared" ref="CN196:CN202" ca="1" si="232">RAND()*(20-0.1)+0.1</f>
        <v>6.1091543772839536</v>
      </c>
      <c r="CO196" s="1">
        <f t="shared" ref="CO196:CO202" ca="1" si="233">RAND()*(0.5-0.001)+0.001</f>
        <v>0.360444476794472</v>
      </c>
      <c r="CP196" s="1">
        <f t="shared" ref="CP196:CP202" ca="1" si="234">RANDBETWEEN(1,5)</f>
        <v>4</v>
      </c>
      <c r="DH196" s="1">
        <f t="shared" ref="DH196:DH202" ca="1" si="235">RANDBETWEEN(10,900)</f>
        <v>345</v>
      </c>
      <c r="DI196" s="1">
        <f t="shared" ref="DI196:DI202" ca="1" si="236">RAND()*(1-0.001)+0.001</f>
        <v>0.30867248737490527</v>
      </c>
      <c r="DJ196" s="1">
        <f t="shared" ref="DJ196:DJ202" ca="1" si="237">RANDBETWEEN(1,30)</f>
        <v>1</v>
      </c>
    </row>
    <row r="197" spans="2:114" x14ac:dyDescent="0.25">
      <c r="B197">
        <f t="shared" ca="1" si="180"/>
        <v>938</v>
      </c>
      <c r="C197">
        <f t="shared" ca="1" si="181"/>
        <v>24</v>
      </c>
      <c r="D197">
        <f t="shared" ca="1" si="182"/>
        <v>0.15128913695964455</v>
      </c>
      <c r="F197" s="1">
        <f t="shared" ca="1" si="183"/>
        <v>37</v>
      </c>
      <c r="G197" s="1">
        <f t="shared" ca="1" si="184"/>
        <v>12</v>
      </c>
      <c r="H197" s="1">
        <f t="shared" ca="1" si="185"/>
        <v>3</v>
      </c>
      <c r="I197" s="1"/>
      <c r="J197" s="1">
        <f t="shared" ca="1" si="186"/>
        <v>19</v>
      </c>
      <c r="K197" s="1">
        <f t="shared" ca="1" si="187"/>
        <v>1.0908586807973264</v>
      </c>
      <c r="L197" s="1">
        <f t="shared" ca="1" si="188"/>
        <v>7</v>
      </c>
      <c r="M197" s="1"/>
      <c r="N197" s="1">
        <f t="shared" ca="1" si="189"/>
        <v>685</v>
      </c>
      <c r="O197" s="1">
        <f t="shared" ca="1" si="190"/>
        <v>15</v>
      </c>
      <c r="P197" s="1"/>
      <c r="Q197" s="1">
        <f t="shared" ca="1" si="191"/>
        <v>0.17977709696514646</v>
      </c>
      <c r="R197" s="1">
        <f t="shared" ca="1" si="192"/>
        <v>582</v>
      </c>
      <c r="S197" s="1"/>
      <c r="T197" s="1">
        <f t="shared" ca="1" si="193"/>
        <v>8.9297471450953875E-2</v>
      </c>
      <c r="U197" s="1">
        <f t="shared" ca="1" si="194"/>
        <v>132</v>
      </c>
      <c r="V197" s="1">
        <f t="shared" ca="1" si="195"/>
        <v>3</v>
      </c>
      <c r="W197" s="1"/>
      <c r="X197" s="1">
        <f t="shared" ca="1" si="196"/>
        <v>1.0612363374340161</v>
      </c>
      <c r="Y197" s="1">
        <f t="shared" ca="1" si="197"/>
        <v>0.5414683259726828</v>
      </c>
      <c r="Z197" s="1">
        <f t="shared" ca="1" si="198"/>
        <v>579</v>
      </c>
      <c r="AB197" s="1">
        <f t="shared" ca="1" si="199"/>
        <v>1.9678898029317497E-2</v>
      </c>
      <c r="AC197" s="1">
        <f t="shared" ca="1" si="200"/>
        <v>777</v>
      </c>
      <c r="AD197" s="1">
        <f t="shared" ca="1" si="201"/>
        <v>8.7796511754108502E-3</v>
      </c>
      <c r="AE197" s="1"/>
      <c r="AF197" s="1">
        <f t="shared" ca="1" si="202"/>
        <v>0.70863190605829807</v>
      </c>
      <c r="AG197" s="1">
        <f t="shared" ca="1" si="203"/>
        <v>122</v>
      </c>
      <c r="AH197" s="1">
        <f t="shared" ca="1" si="204"/>
        <v>7.9138426162344098E-3</v>
      </c>
      <c r="AJ197" s="1">
        <f t="shared" ca="1" si="205"/>
        <v>0.62926306942081045</v>
      </c>
      <c r="AK197" s="1">
        <f t="shared" ca="1" si="206"/>
        <v>6.7549654567453472E-3</v>
      </c>
      <c r="AL197" s="1"/>
      <c r="AM197" s="1">
        <f t="shared" ca="1" si="207"/>
        <v>0.16790659927367385</v>
      </c>
      <c r="AN197" s="1">
        <f t="shared" ca="1" si="208"/>
        <v>13</v>
      </c>
      <c r="AO197" s="1">
        <f t="shared" ca="1" si="209"/>
        <v>-1</v>
      </c>
      <c r="AQ197" s="1">
        <f t="shared" ca="1" si="210"/>
        <v>36</v>
      </c>
      <c r="AR197" s="1">
        <f t="shared" ca="1" si="211"/>
        <v>10</v>
      </c>
      <c r="AS197" s="1">
        <f t="shared" ca="1" si="212"/>
        <v>82</v>
      </c>
      <c r="AU197" s="1">
        <f t="shared" ca="1" si="213"/>
        <v>110</v>
      </c>
      <c r="AV197" s="1">
        <f t="shared" ca="1" si="214"/>
        <v>8</v>
      </c>
      <c r="AW197" s="1">
        <f t="shared" ca="1" si="215"/>
        <v>6.3129944309049266E-2</v>
      </c>
      <c r="AY197" s="1">
        <f t="shared" ca="1" si="216"/>
        <v>1.2189930397604298</v>
      </c>
      <c r="AZ197" s="1">
        <f t="shared" ca="1" si="217"/>
        <v>394</v>
      </c>
      <c r="BA197" s="1">
        <f t="shared" ca="1" si="218"/>
        <v>7.5119633770528646E-4</v>
      </c>
      <c r="BV197" s="1">
        <f t="shared" ca="1" si="219"/>
        <v>2.8291549245490235E-2</v>
      </c>
      <c r="BW197" s="1">
        <f t="shared" ca="1" si="220"/>
        <v>197</v>
      </c>
      <c r="BX197" s="1">
        <f t="shared" ca="1" si="221"/>
        <v>7.4675864863235431E-3</v>
      </c>
      <c r="BY197" s="1">
        <f t="shared" ca="1" si="222"/>
        <v>6.3272268449476171E-2</v>
      </c>
      <c r="BZ197" s="1">
        <f t="shared" ca="1" si="223"/>
        <v>0.8503799515894428</v>
      </c>
      <c r="CB197" s="1">
        <f t="shared" ca="1" si="224"/>
        <v>87</v>
      </c>
      <c r="CC197" s="1">
        <f t="shared" ca="1" si="225"/>
        <v>3</v>
      </c>
      <c r="CD197" s="1">
        <f t="shared" ca="1" si="226"/>
        <v>0.18718280702823117</v>
      </c>
      <c r="CE197" s="1">
        <f t="shared" ca="1" si="179"/>
        <v>0.57479922223448798</v>
      </c>
      <c r="CF197" s="1">
        <f t="shared" ca="1" si="179"/>
        <v>0.99826011059319508</v>
      </c>
      <c r="CH197" s="3">
        <f t="shared" ca="1" si="227"/>
        <v>0.84184659816655472</v>
      </c>
      <c r="CI197" s="3">
        <f t="shared" ca="1" si="228"/>
        <v>0.93317843366612929</v>
      </c>
      <c r="CJ197" s="3">
        <f t="shared" ca="1" si="229"/>
        <v>518</v>
      </c>
      <c r="CK197" s="3">
        <f t="shared" ca="1" si="230"/>
        <v>1.5996258148156181E-3</v>
      </c>
      <c r="CL197" s="3">
        <f t="shared" ca="1" si="231"/>
        <v>0</v>
      </c>
      <c r="CM197" s="3"/>
      <c r="CN197" s="1">
        <f t="shared" ca="1" si="232"/>
        <v>19.84357632621321</v>
      </c>
      <c r="CO197" s="1">
        <f t="shared" ca="1" si="233"/>
        <v>0.49617798432139631</v>
      </c>
      <c r="CP197" s="1">
        <f t="shared" ca="1" si="234"/>
        <v>5</v>
      </c>
      <c r="DH197" s="1">
        <f t="shared" ca="1" si="235"/>
        <v>588</v>
      </c>
      <c r="DI197" s="1">
        <f t="shared" ca="1" si="236"/>
        <v>0.4730514983188378</v>
      </c>
      <c r="DJ197" s="1">
        <f t="shared" ca="1" si="237"/>
        <v>3</v>
      </c>
    </row>
    <row r="198" spans="2:114" x14ac:dyDescent="0.25">
      <c r="B198">
        <f t="shared" ca="1" si="180"/>
        <v>158</v>
      </c>
      <c r="C198">
        <f t="shared" ca="1" si="181"/>
        <v>33</v>
      </c>
      <c r="D198">
        <f t="shared" ca="1" si="182"/>
        <v>9.8275624046628152E-2</v>
      </c>
      <c r="F198" s="1">
        <f t="shared" ca="1" si="183"/>
        <v>42</v>
      </c>
      <c r="G198" s="1">
        <f t="shared" ca="1" si="184"/>
        <v>17</v>
      </c>
      <c r="H198" s="1">
        <f t="shared" ca="1" si="185"/>
        <v>6</v>
      </c>
      <c r="I198" s="1"/>
      <c r="J198" s="1">
        <f t="shared" ca="1" si="186"/>
        <v>15</v>
      </c>
      <c r="K198" s="1">
        <f t="shared" ca="1" si="187"/>
        <v>1.9071454368875833</v>
      </c>
      <c r="L198" s="1">
        <f t="shared" ca="1" si="188"/>
        <v>13</v>
      </c>
      <c r="M198" s="1"/>
      <c r="N198" s="1">
        <f t="shared" ca="1" si="189"/>
        <v>33</v>
      </c>
      <c r="O198" s="1">
        <f t="shared" ca="1" si="190"/>
        <v>8</v>
      </c>
      <c r="P198" s="1"/>
      <c r="Q198" s="1">
        <f t="shared" ca="1" si="191"/>
        <v>0.57047062017924222</v>
      </c>
      <c r="R198" s="1">
        <f t="shared" ca="1" si="192"/>
        <v>1177</v>
      </c>
      <c r="S198" s="1"/>
      <c r="T198" s="1">
        <f t="shared" ca="1" si="193"/>
        <v>1.0740582181355884E-2</v>
      </c>
      <c r="U198" s="1">
        <f t="shared" ca="1" si="194"/>
        <v>382</v>
      </c>
      <c r="V198" s="1">
        <f t="shared" ca="1" si="195"/>
        <v>20</v>
      </c>
      <c r="W198" s="1"/>
      <c r="X198" s="1">
        <f t="shared" ca="1" si="196"/>
        <v>3.9222392996375111</v>
      </c>
      <c r="Y198" s="1">
        <f t="shared" ca="1" si="197"/>
        <v>0.87350284412590096</v>
      </c>
      <c r="Z198" s="1">
        <f t="shared" ca="1" si="198"/>
        <v>1666</v>
      </c>
      <c r="AB198" s="1">
        <f t="shared" ca="1" si="199"/>
        <v>0.55703619645126679</v>
      </c>
      <c r="AC198" s="1">
        <f t="shared" ca="1" si="200"/>
        <v>167</v>
      </c>
      <c r="AD198" s="1">
        <f t="shared" ca="1" si="201"/>
        <v>4.0903830656171033E-3</v>
      </c>
      <c r="AE198" s="1"/>
      <c r="AF198" s="1">
        <f t="shared" ca="1" si="202"/>
        <v>0.54738384791931016</v>
      </c>
      <c r="AG198" s="1">
        <f t="shared" ca="1" si="203"/>
        <v>658</v>
      </c>
      <c r="AH198" s="1">
        <f t="shared" ca="1" si="204"/>
        <v>1.9050414981239842E-3</v>
      </c>
      <c r="AJ198" s="1">
        <f t="shared" ca="1" si="205"/>
        <v>0.42469707167379755</v>
      </c>
      <c r="AK198" s="1">
        <f t="shared" ca="1" si="206"/>
        <v>5.584687723337858E-3</v>
      </c>
      <c r="AL198" s="1"/>
      <c r="AM198" s="1">
        <f t="shared" ca="1" si="207"/>
        <v>2.5664880883275027E-2</v>
      </c>
      <c r="AN198" s="1">
        <f t="shared" ca="1" si="208"/>
        <v>67</v>
      </c>
      <c r="AO198" s="1">
        <f t="shared" ca="1" si="209"/>
        <v>17</v>
      </c>
      <c r="AQ198" s="1">
        <f t="shared" ca="1" si="210"/>
        <v>53</v>
      </c>
      <c r="AR198" s="1">
        <f t="shared" ca="1" si="211"/>
        <v>8</v>
      </c>
      <c r="AS198" s="1">
        <f t="shared" ca="1" si="212"/>
        <v>68</v>
      </c>
      <c r="AU198" s="1">
        <f t="shared" ca="1" si="213"/>
        <v>390</v>
      </c>
      <c r="AV198" s="1">
        <f t="shared" ca="1" si="214"/>
        <v>8</v>
      </c>
      <c r="AW198" s="1">
        <f t="shared" ca="1" si="215"/>
        <v>2.3931422694878232E-2</v>
      </c>
      <c r="AY198" s="1">
        <f t="shared" ca="1" si="216"/>
        <v>1.1367320117783519</v>
      </c>
      <c r="AZ198" s="1">
        <f t="shared" ca="1" si="217"/>
        <v>193</v>
      </c>
      <c r="BA198" s="1">
        <f t="shared" ca="1" si="218"/>
        <v>6.7290328751637438E-3</v>
      </c>
      <c r="BV198" s="1">
        <f t="shared" ca="1" si="219"/>
        <v>0.55061887206473903</v>
      </c>
      <c r="BW198" s="1">
        <f t="shared" ca="1" si="220"/>
        <v>128</v>
      </c>
      <c r="BX198" s="1">
        <f t="shared" ca="1" si="221"/>
        <v>9.2592220936399596E-3</v>
      </c>
      <c r="BY198" s="1">
        <f t="shared" ca="1" si="222"/>
        <v>4.6108841639301004E-3</v>
      </c>
      <c r="BZ198" s="1">
        <f t="shared" ca="1" si="223"/>
        <v>0.73285186100323541</v>
      </c>
      <c r="CB198" s="1">
        <f t="shared" ca="1" si="224"/>
        <v>162</v>
      </c>
      <c r="CC198" s="1">
        <f t="shared" ca="1" si="225"/>
        <v>3</v>
      </c>
      <c r="CD198" s="1">
        <f t="shared" ca="1" si="226"/>
        <v>0.10806188580615196</v>
      </c>
      <c r="CE198" s="1">
        <f t="shared" ca="1" si="179"/>
        <v>0.80941572375075788</v>
      </c>
      <c r="CF198" s="1">
        <f t="shared" ca="1" si="179"/>
        <v>0.50275856219463266</v>
      </c>
      <c r="CH198" s="3">
        <f t="shared" ca="1" si="227"/>
        <v>0.46734155966692126</v>
      </c>
      <c r="CI198" s="3">
        <f t="shared" ca="1" si="228"/>
        <v>7.7374409310084477E-2</v>
      </c>
      <c r="CJ198" s="3">
        <f t="shared" ca="1" si="229"/>
        <v>1315</v>
      </c>
      <c r="CK198" s="3">
        <f t="shared" ca="1" si="230"/>
        <v>9.7934086596510525E-3</v>
      </c>
      <c r="CL198" s="3">
        <f t="shared" ca="1" si="231"/>
        <v>0</v>
      </c>
      <c r="CM198" s="3"/>
      <c r="CN198" s="1">
        <f t="shared" ca="1" si="232"/>
        <v>6.2841121623152594</v>
      </c>
      <c r="CO198" s="1">
        <f t="shared" ca="1" si="233"/>
        <v>0.17071719383342165</v>
      </c>
      <c r="CP198" s="1">
        <f t="shared" ca="1" si="234"/>
        <v>5</v>
      </c>
      <c r="DH198" s="1">
        <f t="shared" ca="1" si="235"/>
        <v>336</v>
      </c>
      <c r="DI198" s="1">
        <f t="shared" ca="1" si="236"/>
        <v>0.27895022022026111</v>
      </c>
      <c r="DJ198" s="1">
        <f t="shared" ca="1" si="237"/>
        <v>24</v>
      </c>
    </row>
    <row r="199" spans="2:114" x14ac:dyDescent="0.25">
      <c r="B199">
        <f t="shared" ca="1" si="180"/>
        <v>711</v>
      </c>
      <c r="C199">
        <f t="shared" ca="1" si="181"/>
        <v>4</v>
      </c>
      <c r="D199">
        <f t="shared" ca="1" si="182"/>
        <v>0.25183114328429362</v>
      </c>
      <c r="F199" s="1">
        <f t="shared" ca="1" si="183"/>
        <v>5</v>
      </c>
      <c r="G199" s="1">
        <f t="shared" ca="1" si="184"/>
        <v>15</v>
      </c>
      <c r="H199" s="1">
        <f t="shared" ca="1" si="185"/>
        <v>11</v>
      </c>
      <c r="I199" s="1"/>
      <c r="J199" s="1">
        <f t="shared" ca="1" si="186"/>
        <v>33</v>
      </c>
      <c r="K199" s="1">
        <f t="shared" ca="1" si="187"/>
        <v>2.2331088716421394</v>
      </c>
      <c r="L199" s="1">
        <f t="shared" ca="1" si="188"/>
        <v>3</v>
      </c>
      <c r="M199" s="1"/>
      <c r="N199" s="1">
        <f t="shared" ca="1" si="189"/>
        <v>910</v>
      </c>
      <c r="O199" s="1">
        <f t="shared" ca="1" si="190"/>
        <v>11</v>
      </c>
      <c r="P199" s="1"/>
      <c r="Q199" s="1">
        <f t="shared" ca="1" si="191"/>
        <v>0.86680809733641462</v>
      </c>
      <c r="R199" s="1">
        <f t="shared" ca="1" si="192"/>
        <v>461</v>
      </c>
      <c r="S199" s="1"/>
      <c r="T199" s="1">
        <f t="shared" ca="1" si="193"/>
        <v>0.1272744136365605</v>
      </c>
      <c r="U199" s="1">
        <f t="shared" ca="1" si="194"/>
        <v>80</v>
      </c>
      <c r="V199" s="1">
        <f t="shared" ca="1" si="195"/>
        <v>7</v>
      </c>
      <c r="W199" s="1"/>
      <c r="X199" s="1">
        <f t="shared" ca="1" si="196"/>
        <v>9.4002893291174239</v>
      </c>
      <c r="Y199" s="1">
        <f t="shared" ca="1" si="197"/>
        <v>0.22108492435634061</v>
      </c>
      <c r="Z199" s="1">
        <f t="shared" ca="1" si="198"/>
        <v>710</v>
      </c>
      <c r="AB199" s="1">
        <f t="shared" ca="1" si="199"/>
        <v>2.6242195813175814E-2</v>
      </c>
      <c r="AC199" s="1">
        <f t="shared" ca="1" si="200"/>
        <v>486</v>
      </c>
      <c r="AD199" s="1">
        <f t="shared" ca="1" si="201"/>
        <v>6.5125717049240826E-3</v>
      </c>
      <c r="AE199" s="1"/>
      <c r="AF199" s="1">
        <f t="shared" ca="1" si="202"/>
        <v>0.48268869776356793</v>
      </c>
      <c r="AG199" s="1">
        <f t="shared" ca="1" si="203"/>
        <v>442</v>
      </c>
      <c r="AH199" s="1">
        <f t="shared" ca="1" si="204"/>
        <v>7.3971854671720551E-3</v>
      </c>
      <c r="AJ199" s="1">
        <f t="shared" ca="1" si="205"/>
        <v>0.76809841472597717</v>
      </c>
      <c r="AK199" s="1">
        <f t="shared" ca="1" si="206"/>
        <v>2.7476629812229554E-3</v>
      </c>
      <c r="AL199" s="1"/>
      <c r="AM199" s="1">
        <f t="shared" ca="1" si="207"/>
        <v>4.0987769277614161E-2</v>
      </c>
      <c r="AN199" s="1">
        <f t="shared" ca="1" si="208"/>
        <v>73</v>
      </c>
      <c r="AO199" s="1">
        <f t="shared" ca="1" si="209"/>
        <v>7</v>
      </c>
      <c r="AQ199" s="1">
        <f t="shared" ca="1" si="210"/>
        <v>55</v>
      </c>
      <c r="AR199" s="1">
        <f t="shared" ca="1" si="211"/>
        <v>5</v>
      </c>
      <c r="AS199" s="1">
        <f t="shared" ca="1" si="212"/>
        <v>28</v>
      </c>
      <c r="AU199" s="1">
        <f t="shared" ca="1" si="213"/>
        <v>185</v>
      </c>
      <c r="AV199" s="1">
        <f t="shared" ca="1" si="214"/>
        <v>8</v>
      </c>
      <c r="AW199" s="1">
        <f t="shared" ca="1" si="215"/>
        <v>6.3542003243484663E-2</v>
      </c>
      <c r="AY199" s="1">
        <f t="shared" ca="1" si="216"/>
        <v>1.7026774489205634</v>
      </c>
      <c r="AZ199" s="1">
        <f t="shared" ca="1" si="217"/>
        <v>219</v>
      </c>
      <c r="BA199" s="1">
        <f t="shared" ca="1" si="218"/>
        <v>5.7997088292964039E-3</v>
      </c>
      <c r="BV199" s="1">
        <f t="shared" ca="1" si="219"/>
        <v>0.96897579241686982</v>
      </c>
      <c r="BW199" s="1">
        <f t="shared" ca="1" si="220"/>
        <v>120</v>
      </c>
      <c r="BX199" s="1">
        <f t="shared" ca="1" si="221"/>
        <v>9.0055326536579699E-3</v>
      </c>
      <c r="BY199" s="1">
        <f t="shared" ca="1" si="222"/>
        <v>7.944881001778277E-2</v>
      </c>
      <c r="BZ199" s="1">
        <f t="shared" ca="1" si="223"/>
        <v>0.38042924510361953</v>
      </c>
      <c r="CB199" s="1">
        <f t="shared" ca="1" si="224"/>
        <v>374</v>
      </c>
      <c r="CC199" s="1">
        <f t="shared" ca="1" si="225"/>
        <v>8</v>
      </c>
      <c r="CD199" s="1">
        <f t="shared" ca="1" si="226"/>
        <v>0.12658306492561885</v>
      </c>
      <c r="CE199" s="1">
        <f t="shared" ca="1" si="179"/>
        <v>0.61265392741713032</v>
      </c>
      <c r="CF199" s="1">
        <f t="shared" ca="1" si="179"/>
        <v>0.64505774823474138</v>
      </c>
      <c r="CH199" s="3">
        <f t="shared" ca="1" si="227"/>
        <v>1.1431037768118138E-2</v>
      </c>
      <c r="CI199" s="3">
        <f t="shared" ca="1" si="228"/>
        <v>5.2985789924321181E-2</v>
      </c>
      <c r="CJ199" s="3">
        <f t="shared" ca="1" si="229"/>
        <v>1454</v>
      </c>
      <c r="CK199" s="3">
        <f t="shared" ca="1" si="230"/>
        <v>7.9861254509616952E-3</v>
      </c>
      <c r="CL199" s="3">
        <f t="shared" ca="1" si="231"/>
        <v>1</v>
      </c>
      <c r="CM199" s="3"/>
      <c r="CN199" s="1">
        <f t="shared" ca="1" si="232"/>
        <v>18.454308541654385</v>
      </c>
      <c r="CO199" s="1">
        <f t="shared" ca="1" si="233"/>
        <v>0.42083711147194836</v>
      </c>
      <c r="CP199" s="1">
        <f t="shared" ca="1" si="234"/>
        <v>3</v>
      </c>
      <c r="DH199" s="1">
        <f t="shared" ca="1" si="235"/>
        <v>579</v>
      </c>
      <c r="DI199" s="1">
        <f t="shared" ca="1" si="236"/>
        <v>0.19631807578745211</v>
      </c>
      <c r="DJ199" s="1">
        <f t="shared" ca="1" si="237"/>
        <v>12</v>
      </c>
    </row>
    <row r="200" spans="2:114" x14ac:dyDescent="0.25">
      <c r="B200">
        <f t="shared" ca="1" si="180"/>
        <v>971</v>
      </c>
      <c r="C200">
        <f t="shared" ca="1" si="181"/>
        <v>17</v>
      </c>
      <c r="D200">
        <f t="shared" ca="1" si="182"/>
        <v>0.28187489301920882</v>
      </c>
      <c r="F200" s="1">
        <f t="shared" ca="1" si="183"/>
        <v>25</v>
      </c>
      <c r="G200" s="1">
        <f t="shared" ca="1" si="184"/>
        <v>10</v>
      </c>
      <c r="H200" s="1">
        <f t="shared" ca="1" si="185"/>
        <v>13</v>
      </c>
      <c r="I200" s="1"/>
      <c r="J200" s="1">
        <f t="shared" ca="1" si="186"/>
        <v>8</v>
      </c>
      <c r="K200" s="1">
        <f t="shared" ca="1" si="187"/>
        <v>2.8264577954886638</v>
      </c>
      <c r="L200" s="1">
        <f t="shared" ca="1" si="188"/>
        <v>28</v>
      </c>
      <c r="M200" s="1"/>
      <c r="N200" s="1">
        <f t="shared" ca="1" si="189"/>
        <v>822</v>
      </c>
      <c r="O200" s="1">
        <f t="shared" ca="1" si="190"/>
        <v>6</v>
      </c>
      <c r="P200" s="1"/>
      <c r="Q200" s="1">
        <f t="shared" ca="1" si="191"/>
        <v>3.6990057594351495</v>
      </c>
      <c r="R200" s="1">
        <f t="shared" ca="1" si="192"/>
        <v>854</v>
      </c>
      <c r="S200" s="1"/>
      <c r="T200" s="1">
        <f t="shared" ca="1" si="193"/>
        <v>0.18580728166047591</v>
      </c>
      <c r="U200" s="1">
        <f t="shared" ca="1" si="194"/>
        <v>342</v>
      </c>
      <c r="V200" s="1">
        <f t="shared" ca="1" si="195"/>
        <v>17</v>
      </c>
      <c r="W200" s="1"/>
      <c r="X200" s="1">
        <f t="shared" ca="1" si="196"/>
        <v>8.7164895674820553</v>
      </c>
      <c r="Y200" s="1">
        <f t="shared" ca="1" si="197"/>
        <v>0.52009024880310317</v>
      </c>
      <c r="Z200" s="1">
        <f t="shared" ca="1" si="198"/>
        <v>269</v>
      </c>
      <c r="AB200" s="1">
        <f t="shared" ca="1" si="199"/>
        <v>0.9608343707198892</v>
      </c>
      <c r="AC200" s="1">
        <f t="shared" ca="1" si="200"/>
        <v>793</v>
      </c>
      <c r="AD200" s="1">
        <f t="shared" ca="1" si="201"/>
        <v>2.6448993141736641E-3</v>
      </c>
      <c r="AE200" s="1"/>
      <c r="AF200" s="1">
        <f t="shared" ca="1" si="202"/>
        <v>0.73623524659257966</v>
      </c>
      <c r="AG200" s="1">
        <f t="shared" ca="1" si="203"/>
        <v>670</v>
      </c>
      <c r="AH200" s="1">
        <f t="shared" ca="1" si="204"/>
        <v>1.8914639348316384E-3</v>
      </c>
      <c r="AJ200" s="1">
        <f t="shared" ca="1" si="205"/>
        <v>0.31697267587248512</v>
      </c>
      <c r="AK200" s="1">
        <f t="shared" ca="1" si="206"/>
        <v>2.5442365307933976E-3</v>
      </c>
      <c r="AL200" s="1"/>
      <c r="AM200" s="1">
        <f t="shared" ca="1" si="207"/>
        <v>9.731695853345522E-2</v>
      </c>
      <c r="AN200" s="1">
        <f t="shared" ca="1" si="208"/>
        <v>42</v>
      </c>
      <c r="AO200" s="1">
        <f t="shared" ca="1" si="209"/>
        <v>15</v>
      </c>
      <c r="AQ200" s="1">
        <f t="shared" ca="1" si="210"/>
        <v>70</v>
      </c>
      <c r="AR200" s="1">
        <f t="shared" ca="1" si="211"/>
        <v>4</v>
      </c>
      <c r="AS200" s="1">
        <f t="shared" ca="1" si="212"/>
        <v>20</v>
      </c>
      <c r="AU200" s="1">
        <f t="shared" ca="1" si="213"/>
        <v>352</v>
      </c>
      <c r="AV200" s="1">
        <f t="shared" ca="1" si="214"/>
        <v>6</v>
      </c>
      <c r="AW200" s="1">
        <f t="shared" ca="1" si="215"/>
        <v>0.15049903058404707</v>
      </c>
      <c r="AY200" s="1">
        <f t="shared" ca="1" si="216"/>
        <v>1.1264723843331297</v>
      </c>
      <c r="AZ200" s="1">
        <f t="shared" ca="1" si="217"/>
        <v>65</v>
      </c>
      <c r="BA200" s="1">
        <f t="shared" ca="1" si="218"/>
        <v>8.2890400135723092E-3</v>
      </c>
      <c r="BV200" s="1">
        <f t="shared" ca="1" si="219"/>
        <v>0.80182605496408732</v>
      </c>
      <c r="BW200" s="1">
        <f t="shared" ca="1" si="220"/>
        <v>261</v>
      </c>
      <c r="BX200" s="1">
        <f t="shared" ca="1" si="221"/>
        <v>7.050949239449651E-3</v>
      </c>
      <c r="BY200" s="1">
        <f t="shared" ca="1" si="222"/>
        <v>8.2285260859559062E-2</v>
      </c>
      <c r="BZ200" s="1">
        <f t="shared" ca="1" si="223"/>
        <v>0.16458339880185513</v>
      </c>
      <c r="CB200" s="1">
        <f t="shared" ca="1" si="224"/>
        <v>308</v>
      </c>
      <c r="CC200" s="1">
        <f t="shared" ca="1" si="225"/>
        <v>7</v>
      </c>
      <c r="CD200" s="1">
        <f t="shared" ca="1" si="226"/>
        <v>9.7717992262654096E-2</v>
      </c>
      <c r="CE200" s="1">
        <f t="shared" ca="1" si="179"/>
        <v>0.6074730001844959</v>
      </c>
      <c r="CF200" s="1">
        <f t="shared" ca="1" si="179"/>
        <v>0.87564943590410993</v>
      </c>
      <c r="CH200" s="3">
        <f t="shared" ca="1" si="227"/>
        <v>0.26548174211784609</v>
      </c>
      <c r="CI200" s="3">
        <f t="shared" ca="1" si="228"/>
        <v>0.28754891457261056</v>
      </c>
      <c r="CJ200" s="3">
        <f t="shared" ca="1" si="229"/>
        <v>477</v>
      </c>
      <c r="CK200" s="3">
        <f t="shared" ca="1" si="230"/>
        <v>9.6250843245534057E-3</v>
      </c>
      <c r="CL200" s="3">
        <f t="shared" ca="1" si="231"/>
        <v>1</v>
      </c>
      <c r="CM200" s="3"/>
      <c r="CN200" s="1">
        <f t="shared" ca="1" si="232"/>
        <v>16.168925645552036</v>
      </c>
      <c r="CO200" s="1">
        <f t="shared" ca="1" si="233"/>
        <v>0.36398060484151162</v>
      </c>
      <c r="CP200" s="1">
        <f t="shared" ca="1" si="234"/>
        <v>1</v>
      </c>
      <c r="DH200" s="1">
        <f t="shared" ca="1" si="235"/>
        <v>550</v>
      </c>
      <c r="DI200" s="1">
        <f t="shared" ca="1" si="236"/>
        <v>0.34485906107286907</v>
      </c>
      <c r="DJ200" s="1">
        <f t="shared" ca="1" si="237"/>
        <v>16</v>
      </c>
    </row>
    <row r="201" spans="2:114" x14ac:dyDescent="0.25">
      <c r="B201">
        <f t="shared" ca="1" si="180"/>
        <v>774</v>
      </c>
      <c r="C201">
        <f t="shared" ca="1" si="181"/>
        <v>36</v>
      </c>
      <c r="D201">
        <f t="shared" ca="1" si="182"/>
        <v>0.18769952493525782</v>
      </c>
      <c r="F201" s="1">
        <f t="shared" ca="1" si="183"/>
        <v>28</v>
      </c>
      <c r="G201" s="1">
        <f t="shared" ca="1" si="184"/>
        <v>24</v>
      </c>
      <c r="H201" s="1">
        <f t="shared" ca="1" si="185"/>
        <v>8</v>
      </c>
      <c r="I201" s="1"/>
      <c r="J201" s="1">
        <f t="shared" ca="1" si="186"/>
        <v>26</v>
      </c>
      <c r="K201" s="1">
        <f t="shared" ca="1" si="187"/>
        <v>1.6176636678574154</v>
      </c>
      <c r="L201" s="1">
        <f t="shared" ca="1" si="188"/>
        <v>32</v>
      </c>
      <c r="M201" s="1"/>
      <c r="N201" s="1">
        <f t="shared" ca="1" si="189"/>
        <v>56</v>
      </c>
      <c r="O201" s="1">
        <f t="shared" ca="1" si="190"/>
        <v>19</v>
      </c>
      <c r="P201" s="1"/>
      <c r="Q201" s="1">
        <f t="shared" ca="1" si="191"/>
        <v>3.7180628826521676</v>
      </c>
      <c r="R201" s="1">
        <f t="shared" ca="1" si="192"/>
        <v>876</v>
      </c>
      <c r="S201" s="1"/>
      <c r="T201" s="1">
        <f t="shared" ca="1" si="193"/>
        <v>9.0958993673111041E-2</v>
      </c>
      <c r="U201" s="1">
        <f t="shared" ca="1" si="194"/>
        <v>445</v>
      </c>
      <c r="V201" s="1">
        <f t="shared" ca="1" si="195"/>
        <v>11</v>
      </c>
      <c r="W201" s="1"/>
      <c r="X201" s="1">
        <f t="shared" ca="1" si="196"/>
        <v>7.7637412579361014</v>
      </c>
      <c r="Y201" s="1">
        <f t="shared" ca="1" si="197"/>
        <v>0.32690594256798883</v>
      </c>
      <c r="Z201" s="1">
        <f t="shared" ca="1" si="198"/>
        <v>867</v>
      </c>
      <c r="AB201" s="1">
        <f t="shared" ca="1" si="199"/>
        <v>0.91662447916796874</v>
      </c>
      <c r="AC201" s="1">
        <f t="shared" ca="1" si="200"/>
        <v>624</v>
      </c>
      <c r="AD201" s="1">
        <f t="shared" ca="1" si="201"/>
        <v>2.3654004041586524E-3</v>
      </c>
      <c r="AE201" s="1"/>
      <c r="AF201" s="1">
        <f t="shared" ca="1" si="202"/>
        <v>0.10181204587433985</v>
      </c>
      <c r="AG201" s="1">
        <f t="shared" ca="1" si="203"/>
        <v>249</v>
      </c>
      <c r="AH201" s="1">
        <f t="shared" ca="1" si="204"/>
        <v>6.4590675063272178E-3</v>
      </c>
      <c r="AJ201" s="1">
        <f t="shared" ca="1" si="205"/>
        <v>0.45716345906446965</v>
      </c>
      <c r="AK201" s="1">
        <f t="shared" ca="1" si="206"/>
        <v>4.0001758100688652E-3</v>
      </c>
      <c r="AL201" s="1"/>
      <c r="AM201" s="1">
        <f t="shared" ca="1" si="207"/>
        <v>0.19946426853837571</v>
      </c>
      <c r="AN201" s="1">
        <f t="shared" ca="1" si="208"/>
        <v>53</v>
      </c>
      <c r="AO201" s="1">
        <f t="shared" ca="1" si="209"/>
        <v>12</v>
      </c>
      <c r="AQ201" s="1">
        <f t="shared" ca="1" si="210"/>
        <v>186</v>
      </c>
      <c r="AR201" s="1">
        <f t="shared" ca="1" si="211"/>
        <v>5</v>
      </c>
      <c r="AS201" s="1">
        <f t="shared" ca="1" si="212"/>
        <v>15</v>
      </c>
      <c r="AU201" s="1">
        <f t="shared" ca="1" si="213"/>
        <v>121</v>
      </c>
      <c r="AV201" s="1">
        <f t="shared" ca="1" si="214"/>
        <v>8</v>
      </c>
      <c r="AW201" s="1">
        <f t="shared" ca="1" si="215"/>
        <v>0.12653236144329527</v>
      </c>
      <c r="AY201" s="1">
        <f t="shared" ca="1" si="216"/>
        <v>1.710870658078506</v>
      </c>
      <c r="AZ201" s="1">
        <f t="shared" ca="1" si="217"/>
        <v>291</v>
      </c>
      <c r="BA201" s="1">
        <f t="shared" ca="1" si="218"/>
        <v>5.3754078903107726E-3</v>
      </c>
      <c r="BV201" s="1">
        <f t="shared" ca="1" si="219"/>
        <v>0.73142078751754602</v>
      </c>
      <c r="BW201" s="1">
        <f t="shared" ca="1" si="220"/>
        <v>905</v>
      </c>
      <c r="BX201" s="1">
        <f t="shared" ca="1" si="221"/>
        <v>2.6858133807847418E-3</v>
      </c>
      <c r="BY201" s="1">
        <f t="shared" ca="1" si="222"/>
        <v>2.6696189685375134E-2</v>
      </c>
      <c r="BZ201" s="1">
        <f t="shared" ca="1" si="223"/>
        <v>0.65948018345237669</v>
      </c>
      <c r="CB201" s="1">
        <f t="shared" ca="1" si="224"/>
        <v>98</v>
      </c>
      <c r="CC201" s="1">
        <f t="shared" ca="1" si="225"/>
        <v>4</v>
      </c>
      <c r="CD201" s="1">
        <f t="shared" ca="1" si="226"/>
        <v>0.18877958032856562</v>
      </c>
      <c r="CE201" s="1">
        <f t="shared" ca="1" si="179"/>
        <v>0.69790369586244949</v>
      </c>
      <c r="CF201" s="1">
        <f t="shared" ca="1" si="179"/>
        <v>0.65983404350340569</v>
      </c>
      <c r="CH201" s="3">
        <f t="shared" ca="1" si="227"/>
        <v>0.96279086756064591</v>
      </c>
      <c r="CI201" s="3">
        <f t="shared" ca="1" si="228"/>
        <v>0.71443355254293506</v>
      </c>
      <c r="CJ201" s="3">
        <f t="shared" ca="1" si="229"/>
        <v>1764</v>
      </c>
      <c r="CK201" s="3">
        <f t="shared" ca="1" si="230"/>
        <v>5.2705190031848521E-3</v>
      </c>
      <c r="CL201" s="3">
        <f t="shared" ca="1" si="231"/>
        <v>1</v>
      </c>
      <c r="CM201" s="3"/>
      <c r="CN201" s="1">
        <f t="shared" ca="1" si="232"/>
        <v>19.819326723922462</v>
      </c>
      <c r="CO201" s="1">
        <f t="shared" ca="1" si="233"/>
        <v>0.32381867501150824</v>
      </c>
      <c r="CP201" s="1">
        <f t="shared" ca="1" si="234"/>
        <v>3</v>
      </c>
      <c r="DH201" s="1">
        <f t="shared" ca="1" si="235"/>
        <v>139</v>
      </c>
      <c r="DI201" s="1">
        <f t="shared" ca="1" si="236"/>
        <v>0.62689334119546847</v>
      </c>
      <c r="DJ201" s="1">
        <f t="shared" ca="1" si="237"/>
        <v>12</v>
      </c>
    </row>
    <row r="202" spans="2:114" x14ac:dyDescent="0.25">
      <c r="B202">
        <f t="shared" ca="1" si="180"/>
        <v>21</v>
      </c>
      <c r="C202">
        <f t="shared" ca="1" si="181"/>
        <v>47</v>
      </c>
      <c r="D202">
        <f t="shared" ca="1" si="182"/>
        <v>0.18925103138216612</v>
      </c>
      <c r="F202" s="1">
        <f t="shared" ca="1" si="183"/>
        <v>38</v>
      </c>
      <c r="G202" s="1">
        <f t="shared" ca="1" si="184"/>
        <v>24</v>
      </c>
      <c r="H202" s="1">
        <f t="shared" ca="1" si="185"/>
        <v>3</v>
      </c>
      <c r="I202" s="1"/>
      <c r="J202" s="1">
        <f t="shared" ca="1" si="186"/>
        <v>5</v>
      </c>
      <c r="K202" s="1">
        <f t="shared" ca="1" si="187"/>
        <v>1.4125043917448477</v>
      </c>
      <c r="L202" s="1">
        <f t="shared" ca="1" si="188"/>
        <v>18</v>
      </c>
      <c r="M202" s="1"/>
      <c r="N202" s="1">
        <f t="shared" ca="1" si="189"/>
        <v>224</v>
      </c>
      <c r="O202" s="1">
        <f t="shared" ca="1" si="190"/>
        <v>24</v>
      </c>
      <c r="P202" s="1"/>
      <c r="Q202" s="1">
        <f t="shared" ca="1" si="191"/>
        <v>1.9704734718690136</v>
      </c>
      <c r="R202" s="1">
        <f t="shared" ca="1" si="192"/>
        <v>827</v>
      </c>
      <c r="S202" s="1"/>
      <c r="T202" s="1">
        <f t="shared" ca="1" si="193"/>
        <v>3.6918121406353588E-2</v>
      </c>
      <c r="U202" s="1">
        <f t="shared" ca="1" si="194"/>
        <v>140</v>
      </c>
      <c r="V202" s="1">
        <f t="shared" ca="1" si="195"/>
        <v>28</v>
      </c>
      <c r="W202" s="1"/>
      <c r="X202" s="1">
        <f t="shared" ca="1" si="196"/>
        <v>4.0123616879650363</v>
      </c>
      <c r="Y202" s="1">
        <f t="shared" ca="1" si="197"/>
        <v>0.7892165519051515</v>
      </c>
      <c r="Z202" s="1">
        <f t="shared" ca="1" si="198"/>
        <v>416</v>
      </c>
      <c r="AB202" s="1">
        <f t="shared" ca="1" si="199"/>
        <v>0.39173154669831267</v>
      </c>
      <c r="AC202" s="1">
        <f t="shared" ca="1" si="200"/>
        <v>435</v>
      </c>
      <c r="AD202" s="1">
        <f t="shared" ca="1" si="201"/>
        <v>3.5350940382064739E-3</v>
      </c>
      <c r="AE202" s="1"/>
      <c r="AF202" s="1">
        <f t="shared" ca="1" si="202"/>
        <v>0.12424285560347768</v>
      </c>
      <c r="AG202" s="1">
        <f t="shared" ca="1" si="203"/>
        <v>864</v>
      </c>
      <c r="AH202" s="1">
        <f t="shared" ca="1" si="204"/>
        <v>2.5659725374029101E-3</v>
      </c>
      <c r="AJ202" s="1">
        <f t="shared" ca="1" si="205"/>
        <v>0.15865371806810058</v>
      </c>
      <c r="AK202" s="1">
        <f t="shared" ca="1" si="206"/>
        <v>7.5185310723613937E-4</v>
      </c>
      <c r="AL202" s="1"/>
      <c r="AM202" s="1">
        <f t="shared" ca="1" si="207"/>
        <v>0.17584025371125961</v>
      </c>
      <c r="AN202" s="1">
        <f t="shared" ca="1" si="208"/>
        <v>26</v>
      </c>
      <c r="AO202" s="1">
        <f t="shared" ca="1" si="209"/>
        <v>11</v>
      </c>
      <c r="AQ202" s="1">
        <f t="shared" ca="1" si="210"/>
        <v>124</v>
      </c>
      <c r="AR202" s="1">
        <f t="shared" ca="1" si="211"/>
        <v>1</v>
      </c>
      <c r="AS202" s="1">
        <f t="shared" ca="1" si="212"/>
        <v>43</v>
      </c>
      <c r="AU202" s="1">
        <f t="shared" ca="1" si="213"/>
        <v>177</v>
      </c>
      <c r="AV202" s="1">
        <f t="shared" ca="1" si="214"/>
        <v>2</v>
      </c>
      <c r="AW202" s="1">
        <f t="shared" ca="1" si="215"/>
        <v>4.540331243423474E-2</v>
      </c>
      <c r="AY202" s="1">
        <f t="shared" ca="1" si="216"/>
        <v>1.9907470029232344</v>
      </c>
      <c r="AZ202" s="1">
        <f t="shared" ca="1" si="217"/>
        <v>307</v>
      </c>
      <c r="BA202" s="1">
        <f t="shared" ca="1" si="218"/>
        <v>8.8679157986173707E-3</v>
      </c>
      <c r="BV202" s="1">
        <f t="shared" ca="1" si="219"/>
        <v>0.27116973570803315</v>
      </c>
      <c r="BW202" s="1">
        <f t="shared" ca="1" si="220"/>
        <v>675</v>
      </c>
      <c r="BX202" s="1">
        <f t="shared" ca="1" si="221"/>
        <v>4.2523313725914324E-3</v>
      </c>
      <c r="BY202" s="1">
        <f t="shared" ca="1" si="222"/>
        <v>5.5060776530075843E-2</v>
      </c>
      <c r="BZ202" s="1">
        <f t="shared" ca="1" si="223"/>
        <v>0.27968436085586446</v>
      </c>
      <c r="CB202" s="1">
        <f t="shared" ca="1" si="224"/>
        <v>365</v>
      </c>
      <c r="CC202" s="1">
        <f t="shared" ca="1" si="225"/>
        <v>4</v>
      </c>
      <c r="CD202" s="1">
        <f t="shared" ca="1" si="226"/>
        <v>0.2296074335151306</v>
      </c>
      <c r="CE202" s="1">
        <f t="shared" ca="1" si="179"/>
        <v>0.58977944170520635</v>
      </c>
      <c r="CF202" s="1">
        <f t="shared" ca="1" si="179"/>
        <v>0.85372102463553212</v>
      </c>
      <c r="CH202" s="3">
        <f t="shared" ca="1" si="227"/>
        <v>0.99202215049330311</v>
      </c>
      <c r="CI202" s="3">
        <f t="shared" ca="1" si="228"/>
        <v>0.52292872999876638</v>
      </c>
      <c r="CJ202" s="3">
        <f t="shared" ca="1" si="229"/>
        <v>318</v>
      </c>
      <c r="CK202" s="3">
        <f t="shared" ca="1" si="230"/>
        <v>4.8956356297777479E-3</v>
      </c>
      <c r="CL202" s="3">
        <f t="shared" ca="1" si="231"/>
        <v>1</v>
      </c>
      <c r="CM202" s="3"/>
      <c r="CN202" s="1">
        <f t="shared" ca="1" si="232"/>
        <v>15.605927614144591</v>
      </c>
      <c r="CO202" s="1">
        <f t="shared" ca="1" si="233"/>
        <v>0.40765604032841668</v>
      </c>
      <c r="CP202" s="1">
        <f t="shared" ca="1" si="234"/>
        <v>5</v>
      </c>
      <c r="DH202" s="1">
        <f t="shared" ca="1" si="235"/>
        <v>175</v>
      </c>
      <c r="DI202" s="1">
        <f t="shared" ca="1" si="236"/>
        <v>0.7116775040899016</v>
      </c>
      <c r="DJ202" s="1">
        <f t="shared" ca="1" si="237"/>
        <v>3</v>
      </c>
    </row>
  </sheetData>
  <mergeCells count="28">
    <mergeCell ref="CR1:CT1"/>
    <mergeCell ref="CV1:CX1"/>
    <mergeCell ref="CN1:CP1"/>
    <mergeCell ref="CH1:CL1"/>
    <mergeCell ref="DH1:DJ1"/>
    <mergeCell ref="T1:V1"/>
    <mergeCell ref="X1:Z1"/>
    <mergeCell ref="B1:D1"/>
    <mergeCell ref="F1:H1"/>
    <mergeCell ref="J1:L1"/>
    <mergeCell ref="N1:O1"/>
    <mergeCell ref="Q1:R1"/>
    <mergeCell ref="DD1:DF1"/>
    <mergeCell ref="AJ1:AK1"/>
    <mergeCell ref="AB1:AD1"/>
    <mergeCell ref="AF1:AH1"/>
    <mergeCell ref="AY1:BA1"/>
    <mergeCell ref="BC1:BE1"/>
    <mergeCell ref="CZ1:DB1"/>
    <mergeCell ref="CB1:CF1"/>
    <mergeCell ref="AU1:AW1"/>
    <mergeCell ref="AQ1:AS1"/>
    <mergeCell ref="AM1:AO1"/>
    <mergeCell ref="BV1:BZ1"/>
    <mergeCell ref="BO1:BP1"/>
    <mergeCell ref="BR1:BT1"/>
    <mergeCell ref="BG1:BI1"/>
    <mergeCell ref="BK1:BM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2026-06-22T07:09:51Z</dcterms:modified>
</cp:coreProperties>
</file>